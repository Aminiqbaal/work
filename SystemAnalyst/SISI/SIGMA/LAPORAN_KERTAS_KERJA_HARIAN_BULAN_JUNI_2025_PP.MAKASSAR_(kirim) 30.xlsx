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xl/customStorage/customStorage.xml" ContentType="application/vnd.wps-officedocument.customStorag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01"/>
  <workbookPr/>
  <xr:revisionPtr revIDLastSave="0" documentId="8_{1DDC323F-865A-474A-9DFA-0DF4CA9C0B46}" xr6:coauthVersionLast="47" xr6:coauthVersionMax="47" xr10:uidLastSave="{00000000-0000-0000-0000-000000000000}"/>
  <bookViews>
    <workbookView xWindow="0" yWindow="0" windowWidth="19200" windowHeight="6800" tabRatio="918" firstSheet="1" activeTab="1" xr2:uid="{00000000-000D-0000-FFFF-FFFF00000000}"/>
  </bookViews>
  <sheets>
    <sheet name="Release Semen" sheetId="41" r:id="rId1"/>
    <sheet name="Downtime Packer" sheetId="26" r:id="rId2"/>
    <sheet name="Stok Silo" sheetId="42" r:id="rId3"/>
    <sheet name="Stock Kantong" sheetId="45" r:id="rId4"/>
    <sheet name="Stock Kantong (2)" sheetId="46" state="hidden" r:id="rId5"/>
    <sheet name="Sheet4" sheetId="44" state="hidden" r:id="rId6"/>
    <sheet name="Discharge rate kapal" sheetId="27" state="hidden" r:id="rId7"/>
    <sheet name="list Kendala" sheetId="24" state="hidden" r:id="rId8"/>
    <sheet name="Program Kerja" sheetId="25" state="hidden" r:id="rId9"/>
  </sheets>
  <definedNames>
    <definedName name="_xlnm._FilterDatabase" localSheetId="7" hidden="1">'list Kendala'!$A$5:$G$52</definedName>
    <definedName name="_xlnm.Print_Area" localSheetId="1">'Downtime Packer'!$B$4:$AB$36</definedName>
    <definedName name="_xlnm.Print_Area" localSheetId="5">Sheet4!$C$41:$H$41</definedName>
  </definedNames>
  <calcPr calcId="191028" concurrentManualCount="1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H194" i="25" l="1"/>
  <c r="BG194" i="25"/>
  <c r="BF194" i="25"/>
  <c r="BE194" i="25"/>
  <c r="BD194" i="25"/>
  <c r="BC194" i="25"/>
  <c r="BB194" i="25"/>
  <c r="BA194" i="25"/>
  <c r="AZ194" i="25"/>
  <c r="AY194" i="25"/>
  <c r="AX194" i="25"/>
  <c r="AW194" i="25"/>
  <c r="AV194" i="25"/>
  <c r="AU194" i="25"/>
  <c r="AT194" i="25"/>
  <c r="AS194" i="25"/>
  <c r="AR194" i="25"/>
  <c r="AQ194" i="25"/>
  <c r="AP194" i="25"/>
  <c r="AO194" i="25"/>
  <c r="AN194" i="25"/>
  <c r="AM194" i="25"/>
  <c r="AL194" i="25"/>
  <c r="AK194" i="25"/>
  <c r="AJ194" i="25"/>
  <c r="AI194" i="25"/>
  <c r="AH194" i="25"/>
  <c r="AG194" i="25"/>
  <c r="AF194" i="25"/>
  <c r="AE194" i="25"/>
  <c r="AD194" i="25"/>
  <c r="AC194" i="25"/>
  <c r="AB194" i="25"/>
  <c r="AA194" i="25"/>
  <c r="Z194" i="25"/>
  <c r="Y194" i="25"/>
  <c r="X194" i="25"/>
  <c r="W194" i="25"/>
  <c r="V194" i="25"/>
  <c r="U194" i="25"/>
  <c r="T194" i="25"/>
  <c r="S194" i="25"/>
  <c r="R194" i="25"/>
  <c r="Q194" i="25"/>
  <c r="BH193" i="25"/>
  <c r="BG193" i="25"/>
  <c r="BF193" i="25"/>
  <c r="BE193" i="25"/>
  <c r="BD193" i="25"/>
  <c r="BC193" i="25"/>
  <c r="BB193" i="25"/>
  <c r="BA193" i="25"/>
  <c r="AZ193" i="25"/>
  <c r="AY193" i="25"/>
  <c r="AX193" i="25"/>
  <c r="AW193" i="25"/>
  <c r="AV193" i="25"/>
  <c r="AU193" i="25"/>
  <c r="AT193" i="25"/>
  <c r="AS193" i="25"/>
  <c r="AR193" i="25"/>
  <c r="AQ193" i="25"/>
  <c r="AP193" i="25"/>
  <c r="AO193" i="25"/>
  <c r="AN193" i="25"/>
  <c r="AM193" i="25"/>
  <c r="AL193" i="25"/>
  <c r="AK193" i="25"/>
  <c r="AJ193" i="25"/>
  <c r="AI193" i="25"/>
  <c r="AH193" i="25"/>
  <c r="AG193" i="25"/>
  <c r="AF193" i="25"/>
  <c r="AE193" i="25"/>
  <c r="AD193" i="25"/>
  <c r="AC193" i="25"/>
  <c r="AB193" i="25"/>
  <c r="AA193" i="25"/>
  <c r="Z193" i="25"/>
  <c r="Y193" i="25"/>
  <c r="X193" i="25"/>
  <c r="W193" i="25"/>
  <c r="V193" i="25"/>
  <c r="U193" i="25"/>
  <c r="T193" i="25"/>
  <c r="S193" i="25"/>
  <c r="R193" i="25"/>
  <c r="Q193" i="25"/>
  <c r="BH192" i="25"/>
  <c r="BG192" i="25"/>
  <c r="BF192" i="25"/>
  <c r="BE192" i="25"/>
  <c r="BD192" i="25"/>
  <c r="BC192" i="25"/>
  <c r="BB192" i="25"/>
  <c r="BA192" i="25"/>
  <c r="AZ192" i="25"/>
  <c r="AY192" i="25"/>
  <c r="AX192" i="25"/>
  <c r="AW192" i="25"/>
  <c r="AV192" i="25"/>
  <c r="AU192" i="25"/>
  <c r="AT192" i="25"/>
  <c r="AS192" i="25"/>
  <c r="AR192" i="25"/>
  <c r="AQ192" i="25"/>
  <c r="AP192" i="25"/>
  <c r="AO192" i="25"/>
  <c r="AN192" i="25"/>
  <c r="AM192" i="25"/>
  <c r="AL192" i="25"/>
  <c r="AK192" i="25"/>
  <c r="AJ192" i="25"/>
  <c r="AI192" i="25"/>
  <c r="AH192" i="25"/>
  <c r="AG192" i="25"/>
  <c r="AF192" i="25"/>
  <c r="AE192" i="25"/>
  <c r="AD192" i="25"/>
  <c r="AC192" i="25"/>
  <c r="AB192" i="25"/>
  <c r="AA192" i="25"/>
  <c r="Z192" i="25"/>
  <c r="Y192" i="25"/>
  <c r="X192" i="25"/>
  <c r="W192" i="25"/>
  <c r="V192" i="25"/>
  <c r="U192" i="25"/>
  <c r="T192" i="25"/>
  <c r="S192" i="25"/>
  <c r="R192" i="25"/>
  <c r="Q192" i="25"/>
  <c r="BH191" i="25"/>
  <c r="BG191" i="25"/>
  <c r="BF191" i="25"/>
  <c r="BE191" i="25"/>
  <c r="BD191" i="25"/>
  <c r="BC191" i="25"/>
  <c r="BB191" i="25"/>
  <c r="BA191" i="25"/>
  <c r="AZ191" i="25"/>
  <c r="AY191" i="25"/>
  <c r="AX191" i="25"/>
  <c r="AW191" i="25"/>
  <c r="AV191" i="25"/>
  <c r="AU191" i="25"/>
  <c r="AT191" i="25"/>
  <c r="AS191" i="25"/>
  <c r="AR191" i="25"/>
  <c r="AQ191" i="25"/>
  <c r="AP191" i="25"/>
  <c r="AO191" i="25"/>
  <c r="AN191" i="25"/>
  <c r="AM191" i="25"/>
  <c r="AL191" i="25"/>
  <c r="AK191" i="25"/>
  <c r="AJ191" i="25"/>
  <c r="AI191" i="25"/>
  <c r="AH191" i="25"/>
  <c r="AG191" i="25"/>
  <c r="AF191" i="25"/>
  <c r="AE191" i="25"/>
  <c r="AD191" i="25"/>
  <c r="AC191" i="25"/>
  <c r="AB191" i="25"/>
  <c r="AA191" i="25"/>
  <c r="Z191" i="25"/>
  <c r="Y191" i="25"/>
  <c r="X191" i="25"/>
  <c r="W191" i="25"/>
  <c r="V191" i="25"/>
  <c r="U191" i="25"/>
  <c r="T191" i="25"/>
  <c r="S191" i="25"/>
  <c r="R191" i="25"/>
  <c r="Q191" i="25"/>
  <c r="BH190" i="25"/>
  <c r="BG190" i="25"/>
  <c r="BF190" i="25"/>
  <c r="BE190" i="25"/>
  <c r="BD190" i="25"/>
  <c r="BC190" i="25"/>
  <c r="BB190" i="25"/>
  <c r="BA190" i="25"/>
  <c r="AZ190" i="25"/>
  <c r="AY190" i="25"/>
  <c r="AX190" i="25"/>
  <c r="AW190" i="25"/>
  <c r="AV190" i="25"/>
  <c r="AU190" i="25"/>
  <c r="AT190" i="25"/>
  <c r="AS190" i="25"/>
  <c r="AR190" i="25"/>
  <c r="AQ190" i="25"/>
  <c r="AP190" i="25"/>
  <c r="AO190" i="25"/>
  <c r="AN190" i="25"/>
  <c r="AM190" i="25"/>
  <c r="AL190" i="25"/>
  <c r="AK190" i="25"/>
  <c r="AJ190" i="25"/>
  <c r="AI190" i="25"/>
  <c r="AH190" i="25"/>
  <c r="AG190" i="25"/>
  <c r="AF190" i="25"/>
  <c r="AE190" i="25"/>
  <c r="AD190" i="25"/>
  <c r="AC190" i="25"/>
  <c r="AB190" i="25"/>
  <c r="AA190" i="25"/>
  <c r="Z190" i="25"/>
  <c r="Y190" i="25"/>
  <c r="X190" i="25"/>
  <c r="W190" i="25"/>
  <c r="V190" i="25"/>
  <c r="U190" i="25"/>
  <c r="T190" i="25"/>
  <c r="S190" i="25"/>
  <c r="R190" i="25"/>
  <c r="Q190" i="25"/>
  <c r="AN187" i="25"/>
  <c r="AM187" i="25"/>
  <c r="AL187" i="25"/>
  <c r="AK187" i="25"/>
  <c r="AJ187" i="25"/>
  <c r="AI187" i="25"/>
  <c r="AH187" i="25"/>
  <c r="AG187" i="25"/>
  <c r="AF187" i="25"/>
  <c r="AE187" i="25"/>
  <c r="AD187" i="25"/>
  <c r="AC187" i="25"/>
  <c r="AB187" i="25"/>
  <c r="AA187" i="25"/>
  <c r="Z187" i="25"/>
  <c r="Y187" i="25"/>
  <c r="AN186" i="25"/>
  <c r="AM186" i="25"/>
  <c r="AL186" i="25"/>
  <c r="AK186" i="25"/>
  <c r="AJ186" i="25"/>
  <c r="AI186" i="25"/>
  <c r="AH186" i="25"/>
  <c r="AG186" i="25"/>
  <c r="AF186" i="25"/>
  <c r="AE186" i="25"/>
  <c r="AD186" i="25"/>
  <c r="AC186" i="25"/>
  <c r="AB186" i="25"/>
  <c r="AA186" i="25"/>
  <c r="Z186" i="25"/>
  <c r="Y186" i="25"/>
  <c r="AN185" i="25"/>
  <c r="AM185" i="25"/>
  <c r="AL185" i="25"/>
  <c r="AK185" i="25"/>
  <c r="AJ185" i="25"/>
  <c r="AI185" i="25"/>
  <c r="AH185" i="25"/>
  <c r="AG185" i="25"/>
  <c r="AF185" i="25"/>
  <c r="AE185" i="25"/>
  <c r="AD185" i="25"/>
  <c r="AC185" i="25"/>
  <c r="AB185" i="25"/>
  <c r="AA185" i="25"/>
  <c r="Z185" i="25"/>
  <c r="Y185" i="25"/>
  <c r="AN184" i="25"/>
  <c r="AM184" i="25"/>
  <c r="AL184" i="25"/>
  <c r="AK184" i="25"/>
  <c r="AJ184" i="25"/>
  <c r="AI184" i="25"/>
  <c r="AH184" i="25"/>
  <c r="AG184" i="25"/>
  <c r="AF184" i="25"/>
  <c r="AE184" i="25"/>
  <c r="AD184" i="25"/>
  <c r="AC184" i="25"/>
  <c r="AB184" i="25"/>
  <c r="AA184" i="25"/>
  <c r="Z184" i="25"/>
  <c r="Y184" i="25"/>
  <c r="AN183" i="25"/>
  <c r="AM183" i="25"/>
  <c r="AL183" i="25"/>
  <c r="AK183" i="25"/>
  <c r="AJ183" i="25"/>
  <c r="AI183" i="25"/>
  <c r="AH183" i="25"/>
  <c r="AG183" i="25"/>
  <c r="AF183" i="25"/>
  <c r="AE183" i="25"/>
  <c r="AD183" i="25"/>
  <c r="AC183" i="25"/>
  <c r="AB183" i="25"/>
  <c r="AA183" i="25"/>
  <c r="Z183" i="25"/>
  <c r="Y183" i="25"/>
  <c r="AI175" i="25"/>
  <c r="AH175" i="25"/>
  <c r="AG175" i="25"/>
  <c r="AF175" i="25"/>
  <c r="AE175" i="25"/>
  <c r="AD175" i="25"/>
  <c r="AC175" i="25"/>
  <c r="AB175" i="25"/>
  <c r="AA175" i="25"/>
  <c r="Z175" i="25"/>
  <c r="Y175" i="25"/>
  <c r="X175" i="25"/>
  <c r="W175" i="25"/>
  <c r="V175" i="25"/>
  <c r="U175" i="25"/>
  <c r="T175" i="25"/>
  <c r="AI174" i="25"/>
  <c r="AH174" i="25"/>
  <c r="AG174" i="25"/>
  <c r="AF174" i="25"/>
  <c r="AE174" i="25"/>
  <c r="AD174" i="25"/>
  <c r="AC174" i="25"/>
  <c r="AB174" i="25"/>
  <c r="AA174" i="25"/>
  <c r="Z174" i="25"/>
  <c r="Y174" i="25"/>
  <c r="X174" i="25"/>
  <c r="W174" i="25"/>
  <c r="V174" i="25"/>
  <c r="U174" i="25"/>
  <c r="T174" i="25"/>
  <c r="AI173" i="25"/>
  <c r="AH173" i="25"/>
  <c r="AG173" i="25"/>
  <c r="AF173" i="25"/>
  <c r="AE173" i="25"/>
  <c r="AD173" i="25"/>
  <c r="AC173" i="25"/>
  <c r="AB173" i="25"/>
  <c r="AA173" i="25"/>
  <c r="Z173" i="25"/>
  <c r="Y173" i="25"/>
  <c r="X173" i="25"/>
  <c r="W173" i="25"/>
  <c r="V173" i="25"/>
  <c r="U173" i="25"/>
  <c r="T173" i="25"/>
  <c r="AI172" i="25"/>
  <c r="AH172" i="25"/>
  <c r="AG172" i="25"/>
  <c r="AF172" i="25"/>
  <c r="AE172" i="25"/>
  <c r="AD172" i="25"/>
  <c r="AC172" i="25"/>
  <c r="AB172" i="25"/>
  <c r="AA172" i="25"/>
  <c r="Z172" i="25"/>
  <c r="Y172" i="25"/>
  <c r="X172" i="25"/>
  <c r="W172" i="25"/>
  <c r="V172" i="25"/>
  <c r="U172" i="25"/>
  <c r="T172" i="25"/>
  <c r="AI171" i="25"/>
  <c r="AH171" i="25"/>
  <c r="AG171" i="25"/>
  <c r="AF171" i="25"/>
  <c r="AE171" i="25"/>
  <c r="AD171" i="25"/>
  <c r="AC171" i="25"/>
  <c r="AB171" i="25"/>
  <c r="AA171" i="25"/>
  <c r="Z171" i="25"/>
  <c r="Y171" i="25"/>
  <c r="X171" i="25"/>
  <c r="W171" i="25"/>
  <c r="V171" i="25"/>
  <c r="U171" i="25"/>
  <c r="T171" i="25"/>
  <c r="AT163" i="25"/>
  <c r="AS163" i="25"/>
  <c r="AR163" i="25"/>
  <c r="AQ163" i="25"/>
  <c r="AP163" i="25"/>
  <c r="AO163" i="25"/>
  <c r="AN163" i="25"/>
  <c r="AM163" i="25"/>
  <c r="AL163" i="25"/>
  <c r="AK163" i="25"/>
  <c r="AJ163" i="25"/>
  <c r="AI163" i="25"/>
  <c r="AH163" i="25"/>
  <c r="AG163" i="25"/>
  <c r="AT162" i="25"/>
  <c r="AS162" i="25"/>
  <c r="AR162" i="25"/>
  <c r="AQ162" i="25"/>
  <c r="AP162" i="25"/>
  <c r="AO162" i="25"/>
  <c r="AN162" i="25"/>
  <c r="AM162" i="25"/>
  <c r="AL162" i="25"/>
  <c r="AK162" i="25"/>
  <c r="AJ162" i="25"/>
  <c r="AI162" i="25"/>
  <c r="AH162" i="25"/>
  <c r="AG162" i="25"/>
  <c r="AT161" i="25"/>
  <c r="AS161" i="25"/>
  <c r="AR161" i="25"/>
  <c r="AQ161" i="25"/>
  <c r="AP161" i="25"/>
  <c r="AO161" i="25"/>
  <c r="AN161" i="25"/>
  <c r="AM161" i="25"/>
  <c r="AL161" i="25"/>
  <c r="AK161" i="25"/>
  <c r="AJ161" i="25"/>
  <c r="AI161" i="25"/>
  <c r="AH161" i="25"/>
  <c r="AG161" i="25"/>
  <c r="AT160" i="25"/>
  <c r="AS160" i="25"/>
  <c r="AR160" i="25"/>
  <c r="AQ160" i="25"/>
  <c r="AP160" i="25"/>
  <c r="AO160" i="25"/>
  <c r="AN160" i="25"/>
  <c r="AM160" i="25"/>
  <c r="AL160" i="25"/>
  <c r="AK160" i="25"/>
  <c r="AJ160" i="25"/>
  <c r="AI160" i="25"/>
  <c r="AH160" i="25"/>
  <c r="AG160" i="25"/>
  <c r="AT159" i="25"/>
  <c r="AS159" i="25"/>
  <c r="AR159" i="25"/>
  <c r="AQ159" i="25"/>
  <c r="AP159" i="25"/>
  <c r="AO159" i="25"/>
  <c r="AN159" i="25"/>
  <c r="AM159" i="25"/>
  <c r="AL159" i="25"/>
  <c r="AK159" i="25"/>
  <c r="AJ159" i="25"/>
  <c r="AI159" i="25"/>
  <c r="AH159" i="25"/>
  <c r="AG159" i="25"/>
  <c r="AL153" i="25"/>
  <c r="AK153" i="25"/>
  <c r="AJ153" i="25"/>
  <c r="AI153" i="25"/>
  <c r="AH153" i="25"/>
  <c r="AG153" i="25"/>
  <c r="AF153" i="25"/>
  <c r="AE153" i="25"/>
  <c r="AD153" i="25"/>
  <c r="AC153" i="25"/>
  <c r="AB153" i="25"/>
  <c r="AA153" i="25"/>
  <c r="AL152" i="25"/>
  <c r="AK152" i="25"/>
  <c r="AJ152" i="25"/>
  <c r="AI152" i="25"/>
  <c r="AH152" i="25"/>
  <c r="AG152" i="25"/>
  <c r="AF152" i="25"/>
  <c r="AE152" i="25"/>
  <c r="AD152" i="25"/>
  <c r="AC152" i="25"/>
  <c r="AB152" i="25"/>
  <c r="AA152" i="25"/>
  <c r="AL151" i="25"/>
  <c r="AK151" i="25"/>
  <c r="AJ151" i="25"/>
  <c r="AI151" i="25"/>
  <c r="AH151" i="25"/>
  <c r="AG151" i="25"/>
  <c r="AF151" i="25"/>
  <c r="AE151" i="25"/>
  <c r="AD151" i="25"/>
  <c r="AC151" i="25"/>
  <c r="AB151" i="25"/>
  <c r="AA151" i="25"/>
  <c r="AL150" i="25"/>
  <c r="AK150" i="25"/>
  <c r="AJ150" i="25"/>
  <c r="AI150" i="25"/>
  <c r="AH150" i="25"/>
  <c r="AG150" i="25"/>
  <c r="AF150" i="25"/>
  <c r="AE150" i="25"/>
  <c r="AD150" i="25"/>
  <c r="AC150" i="25"/>
  <c r="AB150" i="25"/>
  <c r="AA150" i="25"/>
  <c r="AL149" i="25"/>
  <c r="AK149" i="25"/>
  <c r="AJ149" i="25"/>
  <c r="AI149" i="25"/>
  <c r="AH149" i="25"/>
  <c r="AG149" i="25"/>
  <c r="AF149" i="25"/>
  <c r="AE149" i="25"/>
  <c r="AD149" i="25"/>
  <c r="AC149" i="25"/>
  <c r="AB149" i="25"/>
  <c r="AA149" i="25"/>
  <c r="W143" i="25"/>
  <c r="V143" i="25"/>
  <c r="U143" i="25"/>
  <c r="W142" i="25"/>
  <c r="V142" i="25"/>
  <c r="U142" i="25"/>
  <c r="W141" i="25"/>
  <c r="V141" i="25"/>
  <c r="U141" i="25"/>
  <c r="W140" i="25"/>
  <c r="V140" i="25"/>
  <c r="U140" i="25"/>
  <c r="W139" i="25"/>
  <c r="V139" i="25"/>
  <c r="U139" i="25"/>
  <c r="Y131" i="25"/>
  <c r="X131" i="25"/>
  <c r="W131" i="25"/>
  <c r="V131" i="25"/>
  <c r="U131" i="25"/>
  <c r="Y130" i="25"/>
  <c r="X130" i="25"/>
  <c r="W130" i="25"/>
  <c r="V130" i="25"/>
  <c r="U130" i="25"/>
  <c r="Y129" i="25"/>
  <c r="X129" i="25"/>
  <c r="W129" i="25"/>
  <c r="V129" i="25"/>
  <c r="U129" i="25"/>
  <c r="Y128" i="25"/>
  <c r="X128" i="25"/>
  <c r="W128" i="25"/>
  <c r="V128" i="25"/>
  <c r="U128" i="25"/>
  <c r="Y127" i="25"/>
  <c r="X127" i="25"/>
  <c r="W127" i="25"/>
  <c r="V127" i="25"/>
  <c r="U127" i="25"/>
  <c r="Y121" i="25"/>
  <c r="X121" i="25"/>
  <c r="W121" i="25"/>
  <c r="V121" i="25"/>
  <c r="U121" i="25"/>
  <c r="Y120" i="25"/>
  <c r="X120" i="25"/>
  <c r="W120" i="25"/>
  <c r="V120" i="25"/>
  <c r="U120" i="25"/>
  <c r="Y119" i="25"/>
  <c r="X119" i="25"/>
  <c r="W119" i="25"/>
  <c r="V119" i="25"/>
  <c r="U119" i="25"/>
  <c r="Y118" i="25"/>
  <c r="X118" i="25"/>
  <c r="W118" i="25"/>
  <c r="V118" i="25"/>
  <c r="U118" i="25"/>
  <c r="Y117" i="25"/>
  <c r="X117" i="25"/>
  <c r="W117" i="25"/>
  <c r="V117" i="25"/>
  <c r="U117" i="25"/>
  <c r="Y111" i="25"/>
  <c r="X111" i="25"/>
  <c r="W111" i="25"/>
  <c r="V111" i="25"/>
  <c r="U111" i="25"/>
  <c r="Y110" i="25"/>
  <c r="X110" i="25"/>
  <c r="W110" i="25"/>
  <c r="V110" i="25"/>
  <c r="U110" i="25"/>
  <c r="Y109" i="25"/>
  <c r="X109" i="25"/>
  <c r="W109" i="25"/>
  <c r="V109" i="25"/>
  <c r="U109" i="25"/>
  <c r="Y108" i="25"/>
  <c r="X108" i="25"/>
  <c r="W108" i="25"/>
  <c r="V108" i="25"/>
  <c r="U108" i="25"/>
  <c r="Y107" i="25"/>
  <c r="X107" i="25"/>
  <c r="W107" i="25"/>
  <c r="V107" i="25"/>
  <c r="U107" i="25"/>
  <c r="AE101" i="25"/>
  <c r="AD101" i="25"/>
  <c r="AC101" i="25"/>
  <c r="AB101" i="25"/>
  <c r="AA101" i="25"/>
  <c r="AE100" i="25"/>
  <c r="AD100" i="25"/>
  <c r="AC100" i="25"/>
  <c r="AB100" i="25"/>
  <c r="AA100" i="25"/>
  <c r="AE99" i="25"/>
  <c r="AD99" i="25"/>
  <c r="AC99" i="25"/>
  <c r="AB99" i="25"/>
  <c r="AA99" i="25"/>
  <c r="AE98" i="25"/>
  <c r="AD98" i="25"/>
  <c r="AC98" i="25"/>
  <c r="AB98" i="25"/>
  <c r="AA98" i="25"/>
  <c r="AE97" i="25"/>
  <c r="AD97" i="25"/>
  <c r="AC97" i="25"/>
  <c r="AB97" i="25"/>
  <c r="AA97" i="25"/>
  <c r="AC89" i="25"/>
  <c r="AB89" i="25"/>
  <c r="AA89" i="25"/>
  <c r="Z89" i="25"/>
  <c r="Y89" i="25"/>
  <c r="AC88" i="25"/>
  <c r="AB88" i="25"/>
  <c r="AA88" i="25"/>
  <c r="Z88" i="25"/>
  <c r="Y88" i="25"/>
  <c r="AC87" i="25"/>
  <c r="AB87" i="25"/>
  <c r="AA87" i="25"/>
  <c r="Z87" i="25"/>
  <c r="Y87" i="25"/>
  <c r="AC86" i="25"/>
  <c r="AB86" i="25"/>
  <c r="AA86" i="25"/>
  <c r="Z86" i="25"/>
  <c r="Y86" i="25"/>
  <c r="AC85" i="25"/>
  <c r="AB85" i="25"/>
  <c r="AA85" i="25"/>
  <c r="Z85" i="25"/>
  <c r="Y85" i="25"/>
  <c r="Z77" i="25"/>
  <c r="Y77" i="25"/>
  <c r="X77" i="25"/>
  <c r="W77" i="25"/>
  <c r="V77" i="25"/>
  <c r="Z76" i="25"/>
  <c r="Y76" i="25"/>
  <c r="X76" i="25"/>
  <c r="W76" i="25"/>
  <c r="V76" i="25"/>
  <c r="Z75" i="25"/>
  <c r="Y75" i="25"/>
  <c r="X75" i="25"/>
  <c r="W75" i="25"/>
  <c r="V75" i="25"/>
  <c r="Z74" i="25"/>
  <c r="Y74" i="25"/>
  <c r="X74" i="25"/>
  <c r="W74" i="25"/>
  <c r="V74" i="25"/>
  <c r="Z73" i="25"/>
  <c r="Y73" i="25"/>
  <c r="X73" i="25"/>
  <c r="W73" i="25"/>
  <c r="V73" i="25"/>
  <c r="AC54" i="25"/>
  <c r="AB54" i="25"/>
  <c r="AA54" i="25"/>
  <c r="Z54" i="25"/>
  <c r="Y54" i="25"/>
  <c r="AC53" i="25"/>
  <c r="AB53" i="25"/>
  <c r="AA53" i="25"/>
  <c r="Z53" i="25"/>
  <c r="Y53" i="25"/>
  <c r="AC52" i="25"/>
  <c r="AB52" i="25"/>
  <c r="AA52" i="25"/>
  <c r="Z52" i="25"/>
  <c r="Y52" i="25"/>
  <c r="AC51" i="25"/>
  <c r="AB51" i="25"/>
  <c r="AA51" i="25"/>
  <c r="Z51" i="25"/>
  <c r="Y51" i="25"/>
  <c r="AC50" i="25"/>
  <c r="AB50" i="25"/>
  <c r="AA50" i="25"/>
  <c r="Z50" i="25"/>
  <c r="Y50" i="25"/>
  <c r="X42" i="25"/>
  <c r="W42" i="25"/>
  <c r="V42" i="25"/>
  <c r="U42" i="25"/>
  <c r="X41" i="25"/>
  <c r="W41" i="25"/>
  <c r="V41" i="25"/>
  <c r="U41" i="25"/>
  <c r="X40" i="25"/>
  <c r="W40" i="25"/>
  <c r="V40" i="25"/>
  <c r="U40" i="25"/>
  <c r="X39" i="25"/>
  <c r="W39" i="25"/>
  <c r="V39" i="25"/>
  <c r="U39" i="25"/>
  <c r="X38" i="25"/>
  <c r="W38" i="25"/>
  <c r="V38" i="25"/>
  <c r="U38" i="25"/>
  <c r="Y34" i="25"/>
  <c r="X34" i="25"/>
  <c r="W34" i="25"/>
  <c r="V34" i="25"/>
  <c r="U34" i="25"/>
  <c r="Y33" i="25"/>
  <c r="X33" i="25"/>
  <c r="W33" i="25"/>
  <c r="V33" i="25"/>
  <c r="U33" i="25"/>
  <c r="Y32" i="25"/>
  <c r="X32" i="25"/>
  <c r="W32" i="25"/>
  <c r="V32" i="25"/>
  <c r="U32" i="25"/>
  <c r="Y31" i="25"/>
  <c r="X31" i="25"/>
  <c r="W31" i="25"/>
  <c r="V31" i="25"/>
  <c r="U31" i="25"/>
  <c r="Y30" i="25"/>
  <c r="X30" i="25"/>
  <c r="W30" i="25"/>
  <c r="V30" i="25"/>
  <c r="U30" i="25"/>
  <c r="AC24" i="25"/>
  <c r="AB24" i="25"/>
  <c r="AA24" i="25"/>
  <c r="Z24" i="25"/>
  <c r="Y24" i="25"/>
  <c r="AC23" i="25"/>
  <c r="AB23" i="25"/>
  <c r="AA23" i="25"/>
  <c r="Z23" i="25"/>
  <c r="Y23" i="25"/>
  <c r="AC22" i="25"/>
  <c r="AB22" i="25"/>
  <c r="AA22" i="25"/>
  <c r="Z22" i="25"/>
  <c r="Y22" i="25"/>
  <c r="AC21" i="25"/>
  <c r="AB21" i="25"/>
  <c r="AA21" i="25"/>
  <c r="Z21" i="25"/>
  <c r="Y21" i="25"/>
  <c r="AC20" i="25"/>
  <c r="AB20" i="25"/>
  <c r="AA20" i="25"/>
  <c r="Z20" i="25"/>
  <c r="Y20" i="25"/>
  <c r="G52" i="24"/>
  <c r="G40" i="24"/>
  <c r="G28" i="24"/>
  <c r="W38" i="27"/>
  <c r="V38" i="27"/>
  <c r="U38" i="27"/>
  <c r="J38" i="27"/>
  <c r="I38" i="27"/>
  <c r="H38" i="27"/>
  <c r="F38" i="27"/>
  <c r="D38" i="27"/>
  <c r="W6" i="27"/>
  <c r="V6" i="27"/>
  <c r="U6" i="27"/>
  <c r="J6" i="27"/>
  <c r="H6" i="27"/>
  <c r="I379" i="46"/>
  <c r="E379" i="46"/>
  <c r="I378" i="46"/>
  <c r="E378" i="46"/>
  <c r="I377" i="46"/>
  <c r="E377" i="46"/>
  <c r="I376" i="46"/>
  <c r="E376" i="46"/>
  <c r="Y374" i="46"/>
  <c r="S374" i="46"/>
  <c r="R374" i="46"/>
  <c r="Q374" i="46"/>
  <c r="P374" i="46"/>
  <c r="O374" i="46"/>
  <c r="N374" i="46"/>
  <c r="M374" i="46"/>
  <c r="L374" i="46"/>
  <c r="K374" i="46"/>
  <c r="J374" i="46"/>
  <c r="I374" i="46"/>
  <c r="H374" i="46"/>
  <c r="AB313" i="46"/>
  <c r="AA313" i="46"/>
  <c r="Z313" i="46"/>
  <c r="AB312" i="46"/>
  <c r="AA312" i="46"/>
  <c r="Z312" i="46"/>
  <c r="AB311" i="46"/>
  <c r="AA311" i="46"/>
  <c r="Z311" i="46"/>
  <c r="AB310" i="46"/>
  <c r="AA310" i="46"/>
  <c r="Z310" i="46"/>
  <c r="AB309" i="46"/>
  <c r="AA309" i="46"/>
  <c r="Z309" i="46"/>
  <c r="AB308" i="46"/>
  <c r="AA308" i="46"/>
  <c r="Z308" i="46"/>
  <c r="Y308" i="46"/>
  <c r="X308" i="46"/>
  <c r="W308" i="46"/>
  <c r="AB307" i="46"/>
  <c r="AA307" i="46"/>
  <c r="Z307" i="46"/>
  <c r="Y307" i="46"/>
  <c r="X307" i="46"/>
  <c r="W307" i="46"/>
  <c r="AB306" i="46"/>
  <c r="AA306" i="46"/>
  <c r="Z306" i="46"/>
  <c r="Y306" i="46"/>
  <c r="X306" i="46"/>
  <c r="W306" i="46"/>
  <c r="AB305" i="46"/>
  <c r="AA305" i="46"/>
  <c r="Z305" i="46"/>
  <c r="Y305" i="46"/>
  <c r="X305" i="46"/>
  <c r="W305" i="46"/>
  <c r="AB304" i="46"/>
  <c r="AA304" i="46"/>
  <c r="Z304" i="46"/>
  <c r="Y304" i="46"/>
  <c r="X304" i="46"/>
  <c r="W304" i="46"/>
  <c r="AB303" i="46"/>
  <c r="AA303" i="46"/>
  <c r="Z303" i="46"/>
  <c r="AB302" i="46"/>
  <c r="AA302" i="46"/>
  <c r="Z302" i="46"/>
  <c r="AB301" i="46"/>
  <c r="AA301" i="46"/>
  <c r="Z301" i="46"/>
  <c r="AB300" i="46"/>
  <c r="AA300" i="46"/>
  <c r="Z300" i="46"/>
  <c r="AB299" i="46"/>
  <c r="AA299" i="46"/>
  <c r="Z299" i="46"/>
  <c r="AB298" i="46"/>
  <c r="AA298" i="46"/>
  <c r="Z298" i="46"/>
  <c r="Y298" i="46"/>
  <c r="X298" i="46"/>
  <c r="W298" i="46"/>
  <c r="AB297" i="46"/>
  <c r="AA297" i="46"/>
  <c r="Z297" i="46"/>
  <c r="Y297" i="46"/>
  <c r="X297" i="46"/>
  <c r="W297" i="46"/>
  <c r="AB296" i="46"/>
  <c r="AA296" i="46"/>
  <c r="Z296" i="46"/>
  <c r="Y296" i="46"/>
  <c r="X296" i="46"/>
  <c r="W296" i="46"/>
  <c r="AB295" i="46"/>
  <c r="AA295" i="46"/>
  <c r="Z295" i="46"/>
  <c r="Y295" i="46"/>
  <c r="X295" i="46"/>
  <c r="W295" i="46"/>
  <c r="AB294" i="46"/>
  <c r="AA294" i="46"/>
  <c r="Z294" i="46"/>
  <c r="Y294" i="46"/>
  <c r="X294" i="46"/>
  <c r="W294" i="46"/>
  <c r="AB293" i="46"/>
  <c r="AA293" i="46"/>
  <c r="Z293" i="46"/>
  <c r="AB292" i="46"/>
  <c r="AA292" i="46"/>
  <c r="Z292" i="46"/>
  <c r="AB291" i="46"/>
  <c r="AA291" i="46"/>
  <c r="Z291" i="46"/>
  <c r="AB290" i="46"/>
  <c r="AA290" i="46"/>
  <c r="Z290" i="46"/>
  <c r="AB289" i="46"/>
  <c r="AA289" i="46"/>
  <c r="Z289" i="46"/>
  <c r="AB288" i="46"/>
  <c r="AA288" i="46"/>
  <c r="Z288" i="46"/>
  <c r="Y288" i="46"/>
  <c r="X288" i="46"/>
  <c r="W288" i="46"/>
  <c r="AB287" i="46"/>
  <c r="AA287" i="46"/>
  <c r="Z287" i="46"/>
  <c r="Y287" i="46"/>
  <c r="X287" i="46"/>
  <c r="W287" i="46"/>
  <c r="AB286" i="46"/>
  <c r="AA286" i="46"/>
  <c r="Z286" i="46"/>
  <c r="Y286" i="46"/>
  <c r="X286" i="46"/>
  <c r="W286" i="46"/>
  <c r="AB285" i="46"/>
  <c r="AA285" i="46"/>
  <c r="Z285" i="46"/>
  <c r="Y285" i="46"/>
  <c r="X285" i="46"/>
  <c r="W285" i="46"/>
  <c r="AB284" i="46"/>
  <c r="AA284" i="46"/>
  <c r="Z284" i="46"/>
  <c r="Y284" i="46"/>
  <c r="X284" i="46"/>
  <c r="W284" i="46"/>
  <c r="AB283" i="46"/>
  <c r="AA283" i="46"/>
  <c r="Z283" i="46"/>
  <c r="AB282" i="46"/>
  <c r="AA282" i="46"/>
  <c r="Z282" i="46"/>
  <c r="AB281" i="46"/>
  <c r="AA281" i="46"/>
  <c r="Z281" i="46"/>
  <c r="AB280" i="46"/>
  <c r="AA280" i="46"/>
  <c r="Z280" i="46"/>
  <c r="AB279" i="46"/>
  <c r="AA279" i="46"/>
  <c r="Z279" i="46"/>
  <c r="AB278" i="46"/>
  <c r="AA278" i="46"/>
  <c r="Z278" i="46"/>
  <c r="Y278" i="46"/>
  <c r="X278" i="46"/>
  <c r="W278" i="46"/>
  <c r="AB277" i="46"/>
  <c r="AA277" i="46"/>
  <c r="Z277" i="46"/>
  <c r="Y277" i="46"/>
  <c r="X277" i="46"/>
  <c r="W277" i="46"/>
  <c r="AB276" i="46"/>
  <c r="AA276" i="46"/>
  <c r="Z276" i="46"/>
  <c r="Y276" i="46"/>
  <c r="X276" i="46"/>
  <c r="W276" i="46"/>
  <c r="AB275" i="46"/>
  <c r="AA275" i="46"/>
  <c r="Z275" i="46"/>
  <c r="Y275" i="46"/>
  <c r="X275" i="46"/>
  <c r="W275" i="46"/>
  <c r="AB274" i="46"/>
  <c r="AA274" i="46"/>
  <c r="Z274" i="46"/>
  <c r="Y274" i="46"/>
  <c r="X274" i="46"/>
  <c r="W274" i="46"/>
  <c r="AB273" i="46"/>
  <c r="AA273" i="46"/>
  <c r="Z273" i="46"/>
  <c r="AB272" i="46"/>
  <c r="AA272" i="46"/>
  <c r="Z272" i="46"/>
  <c r="AB271" i="46"/>
  <c r="AA271" i="46"/>
  <c r="Z271" i="46"/>
  <c r="AB270" i="46"/>
  <c r="AA270" i="46"/>
  <c r="Z270" i="46"/>
  <c r="AB269" i="46"/>
  <c r="AA269" i="46"/>
  <c r="Z269" i="46"/>
  <c r="AB268" i="46"/>
  <c r="AA268" i="46"/>
  <c r="Z268" i="46"/>
  <c r="Y268" i="46"/>
  <c r="X268" i="46"/>
  <c r="W268" i="46"/>
  <c r="AB267" i="46"/>
  <c r="AA267" i="46"/>
  <c r="Z267" i="46"/>
  <c r="Y267" i="46"/>
  <c r="X267" i="46"/>
  <c r="W267" i="46"/>
  <c r="AB266" i="46"/>
  <c r="AA266" i="46"/>
  <c r="Z266" i="46"/>
  <c r="Y266" i="46"/>
  <c r="X266" i="46"/>
  <c r="W266" i="46"/>
  <c r="AB265" i="46"/>
  <c r="AA265" i="46"/>
  <c r="Z265" i="46"/>
  <c r="Y265" i="46"/>
  <c r="X265" i="46"/>
  <c r="W265" i="46"/>
  <c r="AB264" i="46"/>
  <c r="AA264" i="46"/>
  <c r="Z264" i="46"/>
  <c r="Y264" i="46"/>
  <c r="X264" i="46"/>
  <c r="W264" i="46"/>
  <c r="AB263" i="46"/>
  <c r="AA263" i="46"/>
  <c r="Z263" i="46"/>
  <c r="AB262" i="46"/>
  <c r="AA262" i="46"/>
  <c r="Z262" i="46"/>
  <c r="AB261" i="46"/>
  <c r="AA261" i="46"/>
  <c r="Z261" i="46"/>
  <c r="AB260" i="46"/>
  <c r="AA260" i="46"/>
  <c r="Z260" i="46"/>
  <c r="AB259" i="46"/>
  <c r="AA259" i="46"/>
  <c r="Z259" i="46"/>
  <c r="AB258" i="46"/>
  <c r="AA258" i="46"/>
  <c r="Z258" i="46"/>
  <c r="Y258" i="46"/>
  <c r="X258" i="46"/>
  <c r="W258" i="46"/>
  <c r="AB257" i="46"/>
  <c r="AA257" i="46"/>
  <c r="Z257" i="46"/>
  <c r="Y257" i="46"/>
  <c r="X257" i="46"/>
  <c r="W257" i="46"/>
  <c r="AB256" i="46"/>
  <c r="AA256" i="46"/>
  <c r="Z256" i="46"/>
  <c r="Y256" i="46"/>
  <c r="X256" i="46"/>
  <c r="W256" i="46"/>
  <c r="AB255" i="46"/>
  <c r="AA255" i="46"/>
  <c r="Z255" i="46"/>
  <c r="Y255" i="46"/>
  <c r="X255" i="46"/>
  <c r="W255" i="46"/>
  <c r="AB254" i="46"/>
  <c r="AA254" i="46"/>
  <c r="Z254" i="46"/>
  <c r="Y254" i="46"/>
  <c r="X254" i="46"/>
  <c r="W254" i="46"/>
  <c r="AB253" i="46"/>
  <c r="AA253" i="46"/>
  <c r="Z253" i="46"/>
  <c r="AB252" i="46"/>
  <c r="AA252" i="46"/>
  <c r="Z252" i="46"/>
  <c r="AB251" i="46"/>
  <c r="AA251" i="46"/>
  <c r="Z251" i="46"/>
  <c r="AB250" i="46"/>
  <c r="AA250" i="46"/>
  <c r="Z250" i="46"/>
  <c r="AB249" i="46"/>
  <c r="AA249" i="46"/>
  <c r="Z249" i="46"/>
  <c r="AB248" i="46"/>
  <c r="AA248" i="46"/>
  <c r="Z248" i="46"/>
  <c r="Y248" i="46"/>
  <c r="X248" i="46"/>
  <c r="W248" i="46"/>
  <c r="AB247" i="46"/>
  <c r="AA247" i="46"/>
  <c r="Z247" i="46"/>
  <c r="Y247" i="46"/>
  <c r="X247" i="46"/>
  <c r="W247" i="46"/>
  <c r="AB246" i="46"/>
  <c r="AA246" i="46"/>
  <c r="Z246" i="46"/>
  <c r="Y246" i="46"/>
  <c r="X246" i="46"/>
  <c r="W246" i="46"/>
  <c r="AB245" i="46"/>
  <c r="AA245" i="46"/>
  <c r="Z245" i="46"/>
  <c r="Y245" i="46"/>
  <c r="X245" i="46"/>
  <c r="W245" i="46"/>
  <c r="AB244" i="46"/>
  <c r="AA244" i="46"/>
  <c r="Z244" i="46"/>
  <c r="Y244" i="46"/>
  <c r="X244" i="46"/>
  <c r="W244" i="46"/>
  <c r="AB243" i="46"/>
  <c r="AA243" i="46"/>
  <c r="Z243" i="46"/>
  <c r="AB242" i="46"/>
  <c r="AA242" i="46"/>
  <c r="Z242" i="46"/>
  <c r="AB241" i="46"/>
  <c r="AA241" i="46"/>
  <c r="Z241" i="46"/>
  <c r="AB240" i="46"/>
  <c r="AA240" i="46"/>
  <c r="Z240" i="46"/>
  <c r="AB239" i="46"/>
  <c r="AA239" i="46"/>
  <c r="Z239" i="46"/>
  <c r="AB238" i="46"/>
  <c r="AA238" i="46"/>
  <c r="Z238" i="46"/>
  <c r="Y238" i="46"/>
  <c r="X238" i="46"/>
  <c r="W238" i="46"/>
  <c r="AB237" i="46"/>
  <c r="AA237" i="46"/>
  <c r="Z237" i="46"/>
  <c r="Y237" i="46"/>
  <c r="X237" i="46"/>
  <c r="W237" i="46"/>
  <c r="AB236" i="46"/>
  <c r="AA236" i="46"/>
  <c r="Z236" i="46"/>
  <c r="Y236" i="46"/>
  <c r="X236" i="46"/>
  <c r="W236" i="46"/>
  <c r="AB235" i="46"/>
  <c r="AA235" i="46"/>
  <c r="Z235" i="46"/>
  <c r="Y235" i="46"/>
  <c r="X235" i="46"/>
  <c r="W235" i="46"/>
  <c r="AB234" i="46"/>
  <c r="AA234" i="46"/>
  <c r="Z234" i="46"/>
  <c r="Y234" i="46"/>
  <c r="X234" i="46"/>
  <c r="W234" i="46"/>
  <c r="AB233" i="46"/>
  <c r="AA233" i="46"/>
  <c r="Z233" i="46"/>
  <c r="AB232" i="46"/>
  <c r="AA232" i="46"/>
  <c r="Z232" i="46"/>
  <c r="AB231" i="46"/>
  <c r="AA231" i="46"/>
  <c r="Z231" i="46"/>
  <c r="AB230" i="46"/>
  <c r="AA230" i="46"/>
  <c r="Z230" i="46"/>
  <c r="AB229" i="46"/>
  <c r="AA229" i="46"/>
  <c r="Z229" i="46"/>
  <c r="AB228" i="46"/>
  <c r="AA228" i="46"/>
  <c r="Z228" i="46"/>
  <c r="Y228" i="46"/>
  <c r="X228" i="46"/>
  <c r="W228" i="46"/>
  <c r="AB227" i="46"/>
  <c r="AA227" i="46"/>
  <c r="Z227" i="46"/>
  <c r="Y227" i="46"/>
  <c r="X227" i="46"/>
  <c r="W227" i="46"/>
  <c r="AB226" i="46"/>
  <c r="AA226" i="46"/>
  <c r="Z226" i="46"/>
  <c r="Y226" i="46"/>
  <c r="X226" i="46"/>
  <c r="W226" i="46"/>
  <c r="AB225" i="46"/>
  <c r="AA225" i="46"/>
  <c r="Z225" i="46"/>
  <c r="Y225" i="46"/>
  <c r="X225" i="46"/>
  <c r="W225" i="46"/>
  <c r="AB224" i="46"/>
  <c r="AA224" i="46"/>
  <c r="Z224" i="46"/>
  <c r="Y224" i="46"/>
  <c r="X224" i="46"/>
  <c r="W224" i="46"/>
  <c r="AB223" i="46"/>
  <c r="AA223" i="46"/>
  <c r="Z223" i="46"/>
  <c r="AB222" i="46"/>
  <c r="AA222" i="46"/>
  <c r="Z222" i="46"/>
  <c r="AB221" i="46"/>
  <c r="AA221" i="46"/>
  <c r="Z221" i="46"/>
  <c r="AB220" i="46"/>
  <c r="AA220" i="46"/>
  <c r="Z220" i="46"/>
  <c r="AB219" i="46"/>
  <c r="AA219" i="46"/>
  <c r="Z219" i="46"/>
  <c r="AB218" i="46"/>
  <c r="AA218" i="46"/>
  <c r="Z218" i="46"/>
  <c r="Y218" i="46"/>
  <c r="X218" i="46"/>
  <c r="W218" i="46"/>
  <c r="AB217" i="46"/>
  <c r="AA217" i="46"/>
  <c r="Z217" i="46"/>
  <c r="Y217" i="46"/>
  <c r="X217" i="46"/>
  <c r="W217" i="46"/>
  <c r="AB216" i="46"/>
  <c r="AA216" i="46"/>
  <c r="Z216" i="46"/>
  <c r="Y216" i="46"/>
  <c r="X216" i="46"/>
  <c r="W216" i="46"/>
  <c r="AB215" i="46"/>
  <c r="AA215" i="46"/>
  <c r="Z215" i="46"/>
  <c r="Y215" i="46"/>
  <c r="X215" i="46"/>
  <c r="W215" i="46"/>
  <c r="AB214" i="46"/>
  <c r="AA214" i="46"/>
  <c r="Z214" i="46"/>
  <c r="Y214" i="46"/>
  <c r="X214" i="46"/>
  <c r="W214" i="46"/>
  <c r="AB213" i="46"/>
  <c r="AA213" i="46"/>
  <c r="Z213" i="46"/>
  <c r="AB212" i="46"/>
  <c r="AA212" i="46"/>
  <c r="Z212" i="46"/>
  <c r="AB211" i="46"/>
  <c r="AA211" i="46"/>
  <c r="Z211" i="46"/>
  <c r="AB210" i="46"/>
  <c r="AA210" i="46"/>
  <c r="Z210" i="46"/>
  <c r="AB209" i="46"/>
  <c r="AA209" i="46"/>
  <c r="Z209" i="46"/>
  <c r="AB208" i="46"/>
  <c r="AA208" i="46"/>
  <c r="Z208" i="46"/>
  <c r="Y208" i="46"/>
  <c r="X208" i="46"/>
  <c r="W208" i="46"/>
  <c r="AB207" i="46"/>
  <c r="AA207" i="46"/>
  <c r="Z207" i="46"/>
  <c r="Y207" i="46"/>
  <c r="X207" i="46"/>
  <c r="W207" i="46"/>
  <c r="AB206" i="46"/>
  <c r="AA206" i="46"/>
  <c r="Z206" i="46"/>
  <c r="Y206" i="46"/>
  <c r="X206" i="46"/>
  <c r="W206" i="46"/>
  <c r="AB205" i="46"/>
  <c r="AA205" i="46"/>
  <c r="Z205" i="46"/>
  <c r="Y205" i="46"/>
  <c r="X205" i="46"/>
  <c r="W205" i="46"/>
  <c r="AB204" i="46"/>
  <c r="AA204" i="46"/>
  <c r="Z204" i="46"/>
  <c r="Y204" i="46"/>
  <c r="X204" i="46"/>
  <c r="W204" i="46"/>
  <c r="AB203" i="46"/>
  <c r="AA203" i="46"/>
  <c r="Z203" i="46"/>
  <c r="AB202" i="46"/>
  <c r="AA202" i="46"/>
  <c r="Z202" i="46"/>
  <c r="AB201" i="46"/>
  <c r="AA201" i="46"/>
  <c r="Z201" i="46"/>
  <c r="AB200" i="46"/>
  <c r="AA200" i="46"/>
  <c r="Z200" i="46"/>
  <c r="AB199" i="46"/>
  <c r="AA199" i="46"/>
  <c r="Z199" i="46"/>
  <c r="AB198" i="46"/>
  <c r="AA198" i="46"/>
  <c r="Z198" i="46"/>
  <c r="Y198" i="46"/>
  <c r="X198" i="46"/>
  <c r="W198" i="46"/>
  <c r="AB197" i="46"/>
  <c r="AA197" i="46"/>
  <c r="Z197" i="46"/>
  <c r="Y197" i="46"/>
  <c r="X197" i="46"/>
  <c r="W197" i="46"/>
  <c r="AB196" i="46"/>
  <c r="AA196" i="46"/>
  <c r="Z196" i="46"/>
  <c r="Y196" i="46"/>
  <c r="X196" i="46"/>
  <c r="W196" i="46"/>
  <c r="AB195" i="46"/>
  <c r="AA195" i="46"/>
  <c r="Z195" i="46"/>
  <c r="Y195" i="46"/>
  <c r="X195" i="46"/>
  <c r="W195" i="46"/>
  <c r="AB194" i="46"/>
  <c r="AA194" i="46"/>
  <c r="Z194" i="46"/>
  <c r="Y194" i="46"/>
  <c r="X194" i="46"/>
  <c r="W194" i="46"/>
  <c r="AB193" i="46"/>
  <c r="AA193" i="46"/>
  <c r="Z193" i="46"/>
  <c r="AB192" i="46"/>
  <c r="AA192" i="46"/>
  <c r="Z192" i="46"/>
  <c r="AB191" i="46"/>
  <c r="AA191" i="46"/>
  <c r="Z191" i="46"/>
  <c r="AB190" i="46"/>
  <c r="AA190" i="46"/>
  <c r="Z190" i="46"/>
  <c r="AB189" i="46"/>
  <c r="AA189" i="46"/>
  <c r="Z189" i="46"/>
  <c r="AB188" i="46"/>
  <c r="AA188" i="46"/>
  <c r="Z188" i="46"/>
  <c r="Y188" i="46"/>
  <c r="X188" i="46"/>
  <c r="W188" i="46"/>
  <c r="AB187" i="46"/>
  <c r="AA187" i="46"/>
  <c r="Z187" i="46"/>
  <c r="Y187" i="46"/>
  <c r="X187" i="46"/>
  <c r="W187" i="46"/>
  <c r="AB186" i="46"/>
  <c r="AA186" i="46"/>
  <c r="Z186" i="46"/>
  <c r="Y186" i="46"/>
  <c r="X186" i="46"/>
  <c r="W186" i="46"/>
  <c r="AB185" i="46"/>
  <c r="AA185" i="46"/>
  <c r="Z185" i="46"/>
  <c r="Y185" i="46"/>
  <c r="X185" i="46"/>
  <c r="W185" i="46"/>
  <c r="AB184" i="46"/>
  <c r="AA184" i="46"/>
  <c r="Z184" i="46"/>
  <c r="Y184" i="46"/>
  <c r="X184" i="46"/>
  <c r="W184" i="46"/>
  <c r="AB183" i="46"/>
  <c r="AA183" i="46"/>
  <c r="Z183" i="46"/>
  <c r="AB182" i="46"/>
  <c r="AA182" i="46"/>
  <c r="Z182" i="46"/>
  <c r="AB181" i="46"/>
  <c r="AA181" i="46"/>
  <c r="Z181" i="46"/>
  <c r="AB180" i="46"/>
  <c r="AA180" i="46"/>
  <c r="Z180" i="46"/>
  <c r="AB179" i="46"/>
  <c r="AA179" i="46"/>
  <c r="Z179" i="46"/>
  <c r="AB178" i="46"/>
  <c r="AA178" i="46"/>
  <c r="Z178" i="46"/>
  <c r="Y178" i="46"/>
  <c r="X178" i="46"/>
  <c r="W178" i="46"/>
  <c r="AB177" i="46"/>
  <c r="AA177" i="46"/>
  <c r="Z177" i="46"/>
  <c r="Y177" i="46"/>
  <c r="X177" i="46"/>
  <c r="W177" i="46"/>
  <c r="AB176" i="46"/>
  <c r="AA176" i="46"/>
  <c r="Z176" i="46"/>
  <c r="Y176" i="46"/>
  <c r="X176" i="46"/>
  <c r="W176" i="46"/>
  <c r="AB175" i="46"/>
  <c r="AA175" i="46"/>
  <c r="Z175" i="46"/>
  <c r="Y175" i="46"/>
  <c r="X175" i="46"/>
  <c r="W175" i="46"/>
  <c r="AB174" i="46"/>
  <c r="AA174" i="46"/>
  <c r="Z174" i="46"/>
  <c r="Y174" i="46"/>
  <c r="X174" i="46"/>
  <c r="W174" i="46"/>
  <c r="AB173" i="46"/>
  <c r="AA173" i="46"/>
  <c r="Z173" i="46"/>
  <c r="AB172" i="46"/>
  <c r="AA172" i="46"/>
  <c r="Z172" i="46"/>
  <c r="AB171" i="46"/>
  <c r="AA171" i="46"/>
  <c r="Z171" i="46"/>
  <c r="AB170" i="46"/>
  <c r="AA170" i="46"/>
  <c r="Z170" i="46"/>
  <c r="AB169" i="46"/>
  <c r="AA169" i="46"/>
  <c r="Z169" i="46"/>
  <c r="AB168" i="46"/>
  <c r="AA168" i="46"/>
  <c r="Z168" i="46"/>
  <c r="Y168" i="46"/>
  <c r="X168" i="46"/>
  <c r="W168" i="46"/>
  <c r="AB167" i="46"/>
  <c r="AA167" i="46"/>
  <c r="Z167" i="46"/>
  <c r="Y167" i="46"/>
  <c r="X167" i="46"/>
  <c r="W167" i="46"/>
  <c r="AB166" i="46"/>
  <c r="AA166" i="46"/>
  <c r="Z166" i="46"/>
  <c r="Y166" i="46"/>
  <c r="X166" i="46"/>
  <c r="W166" i="46"/>
  <c r="AB165" i="46"/>
  <c r="AA165" i="46"/>
  <c r="Z165" i="46"/>
  <c r="Y165" i="46"/>
  <c r="X165" i="46"/>
  <c r="W165" i="46"/>
  <c r="AB164" i="46"/>
  <c r="AA164" i="46"/>
  <c r="Z164" i="46"/>
  <c r="Y164" i="46"/>
  <c r="X164" i="46"/>
  <c r="W164" i="46"/>
  <c r="AB163" i="46"/>
  <c r="AA163" i="46"/>
  <c r="Z163" i="46"/>
  <c r="AB162" i="46"/>
  <c r="AA162" i="46"/>
  <c r="Z162" i="46"/>
  <c r="AB161" i="46"/>
  <c r="AA161" i="46"/>
  <c r="Z161" i="46"/>
  <c r="AB160" i="46"/>
  <c r="AA160" i="46"/>
  <c r="Z160" i="46"/>
  <c r="AB159" i="46"/>
  <c r="AA159" i="46"/>
  <c r="Z159" i="46"/>
  <c r="AB158" i="46"/>
  <c r="AA158" i="46"/>
  <c r="Z158" i="46"/>
  <c r="Y158" i="46"/>
  <c r="X158" i="46"/>
  <c r="W158" i="46"/>
  <c r="AB157" i="46"/>
  <c r="AA157" i="46"/>
  <c r="Z157" i="46"/>
  <c r="Y157" i="46"/>
  <c r="X157" i="46"/>
  <c r="W157" i="46"/>
  <c r="AB156" i="46"/>
  <c r="AA156" i="46"/>
  <c r="Z156" i="46"/>
  <c r="Y156" i="46"/>
  <c r="X156" i="46"/>
  <c r="W156" i="46"/>
  <c r="AB155" i="46"/>
  <c r="AA155" i="46"/>
  <c r="Z155" i="46"/>
  <c r="Y155" i="46"/>
  <c r="X155" i="46"/>
  <c r="W155" i="46"/>
  <c r="AB154" i="46"/>
  <c r="AA154" i="46"/>
  <c r="Z154" i="46"/>
  <c r="Y154" i="46"/>
  <c r="X154" i="46"/>
  <c r="W154" i="46"/>
  <c r="AB153" i="46"/>
  <c r="AA153" i="46"/>
  <c r="Z153" i="46"/>
  <c r="AB152" i="46"/>
  <c r="AA152" i="46"/>
  <c r="Z152" i="46"/>
  <c r="AB151" i="46"/>
  <c r="AA151" i="46"/>
  <c r="Z151" i="46"/>
  <c r="AB150" i="46"/>
  <c r="AA150" i="46"/>
  <c r="Z150" i="46"/>
  <c r="AB149" i="46"/>
  <c r="AA149" i="46"/>
  <c r="Z149" i="46"/>
  <c r="AB148" i="46"/>
  <c r="AA148" i="46"/>
  <c r="Z148" i="46"/>
  <c r="Y148" i="46"/>
  <c r="X148" i="46"/>
  <c r="W148" i="46"/>
  <c r="AB147" i="46"/>
  <c r="AA147" i="46"/>
  <c r="Z147" i="46"/>
  <c r="Y147" i="46"/>
  <c r="X147" i="46"/>
  <c r="W147" i="46"/>
  <c r="AB146" i="46"/>
  <c r="AA146" i="46"/>
  <c r="Z146" i="46"/>
  <c r="Y146" i="46"/>
  <c r="X146" i="46"/>
  <c r="W146" i="46"/>
  <c r="AB145" i="46"/>
  <c r="AA145" i="46"/>
  <c r="Z145" i="46"/>
  <c r="Y145" i="46"/>
  <c r="X145" i="46"/>
  <c r="W145" i="46"/>
  <c r="AB144" i="46"/>
  <c r="AA144" i="46"/>
  <c r="Z144" i="46"/>
  <c r="Y144" i="46"/>
  <c r="X144" i="46"/>
  <c r="W144" i="46"/>
  <c r="AB143" i="46"/>
  <c r="AA143" i="46"/>
  <c r="Z143" i="46"/>
  <c r="AB142" i="46"/>
  <c r="AA142" i="46"/>
  <c r="Z142" i="46"/>
  <c r="AB141" i="46"/>
  <c r="AA141" i="46"/>
  <c r="Z141" i="46"/>
  <c r="AB140" i="46"/>
  <c r="AA140" i="46"/>
  <c r="Z140" i="46"/>
  <c r="AB139" i="46"/>
  <c r="AA139" i="46"/>
  <c r="Z139" i="46"/>
  <c r="AB138" i="46"/>
  <c r="AA138" i="46"/>
  <c r="Z138" i="46"/>
  <c r="Y138" i="46"/>
  <c r="X138" i="46"/>
  <c r="W138" i="46"/>
  <c r="AB137" i="46"/>
  <c r="AA137" i="46"/>
  <c r="Z137" i="46"/>
  <c r="Y137" i="46"/>
  <c r="X137" i="46"/>
  <c r="W137" i="46"/>
  <c r="AB136" i="46"/>
  <c r="AA136" i="46"/>
  <c r="Z136" i="46"/>
  <c r="Y136" i="46"/>
  <c r="X136" i="46"/>
  <c r="W136" i="46"/>
  <c r="AB135" i="46"/>
  <c r="AA135" i="46"/>
  <c r="Z135" i="46"/>
  <c r="Y135" i="46"/>
  <c r="X135" i="46"/>
  <c r="W135" i="46"/>
  <c r="AB134" i="46"/>
  <c r="AA134" i="46"/>
  <c r="Z134" i="46"/>
  <c r="Y134" i="46"/>
  <c r="X134" i="46"/>
  <c r="W134" i="46"/>
  <c r="AB133" i="46"/>
  <c r="AA133" i="46"/>
  <c r="Z133" i="46"/>
  <c r="AB132" i="46"/>
  <c r="AA132" i="46"/>
  <c r="Z132" i="46"/>
  <c r="AB131" i="46"/>
  <c r="AA131" i="46"/>
  <c r="Z131" i="46"/>
  <c r="AB130" i="46"/>
  <c r="AA130" i="46"/>
  <c r="Z130" i="46"/>
  <c r="AB129" i="46"/>
  <c r="AA129" i="46"/>
  <c r="Z129" i="46"/>
  <c r="AB128" i="46"/>
  <c r="AA128" i="46"/>
  <c r="Z128" i="46"/>
  <c r="Y128" i="46"/>
  <c r="X128" i="46"/>
  <c r="W128" i="46"/>
  <c r="AB127" i="46"/>
  <c r="AA127" i="46"/>
  <c r="Z127" i="46"/>
  <c r="Y127" i="46"/>
  <c r="X127" i="46"/>
  <c r="W127" i="46"/>
  <c r="AB126" i="46"/>
  <c r="AA126" i="46"/>
  <c r="Z126" i="46"/>
  <c r="Y126" i="46"/>
  <c r="X126" i="46"/>
  <c r="W126" i="46"/>
  <c r="AB125" i="46"/>
  <c r="AA125" i="46"/>
  <c r="Z125" i="46"/>
  <c r="Y125" i="46"/>
  <c r="X125" i="46"/>
  <c r="W125" i="46"/>
  <c r="AB124" i="46"/>
  <c r="AA124" i="46"/>
  <c r="Z124" i="46"/>
  <c r="Y124" i="46"/>
  <c r="X124" i="46"/>
  <c r="W124" i="46"/>
  <c r="AB123" i="46"/>
  <c r="AA123" i="46"/>
  <c r="Z123" i="46"/>
  <c r="AB122" i="46"/>
  <c r="AA122" i="46"/>
  <c r="Z122" i="46"/>
  <c r="AB121" i="46"/>
  <c r="AA121" i="46"/>
  <c r="Z121" i="46"/>
  <c r="AB120" i="46"/>
  <c r="AA120" i="46"/>
  <c r="Z120" i="46"/>
  <c r="AB119" i="46"/>
  <c r="AA119" i="46"/>
  <c r="Z119" i="46"/>
  <c r="AB118" i="46"/>
  <c r="AA118" i="46"/>
  <c r="Z118" i="46"/>
  <c r="Y118" i="46"/>
  <c r="X118" i="46"/>
  <c r="W118" i="46"/>
  <c r="AB117" i="46"/>
  <c r="AA117" i="46"/>
  <c r="Z117" i="46"/>
  <c r="Y117" i="46"/>
  <c r="X117" i="46"/>
  <c r="W117" i="46"/>
  <c r="AB116" i="46"/>
  <c r="AA116" i="46"/>
  <c r="Z116" i="46"/>
  <c r="Y116" i="46"/>
  <c r="X116" i="46"/>
  <c r="W116" i="46"/>
  <c r="AB115" i="46"/>
  <c r="AA115" i="46"/>
  <c r="Z115" i="46"/>
  <c r="Y115" i="46"/>
  <c r="X115" i="46"/>
  <c r="W115" i="46"/>
  <c r="AB114" i="46"/>
  <c r="AA114" i="46"/>
  <c r="Z114" i="46"/>
  <c r="Y114" i="46"/>
  <c r="X114" i="46"/>
  <c r="W114" i="46"/>
  <c r="AB113" i="46"/>
  <c r="AA113" i="46"/>
  <c r="Z113" i="46"/>
  <c r="AB112" i="46"/>
  <c r="AA112" i="46"/>
  <c r="Z112" i="46"/>
  <c r="AB111" i="46"/>
  <c r="AA111" i="46"/>
  <c r="Z111" i="46"/>
  <c r="AB110" i="46"/>
  <c r="AA110" i="46"/>
  <c r="Z110" i="46"/>
  <c r="AB109" i="46"/>
  <c r="AA109" i="46"/>
  <c r="Z109" i="46"/>
  <c r="AB108" i="46"/>
  <c r="AA108" i="46"/>
  <c r="Z108" i="46"/>
  <c r="Y108" i="46"/>
  <c r="X108" i="46"/>
  <c r="W108" i="46"/>
  <c r="AB107" i="46"/>
  <c r="AA107" i="46"/>
  <c r="Z107" i="46"/>
  <c r="Y107" i="46"/>
  <c r="X107" i="46"/>
  <c r="W107" i="46"/>
  <c r="AB106" i="46"/>
  <c r="AA106" i="46"/>
  <c r="Z106" i="46"/>
  <c r="Y106" i="46"/>
  <c r="X106" i="46"/>
  <c r="W106" i="46"/>
  <c r="AB105" i="46"/>
  <c r="AA105" i="46"/>
  <c r="Z105" i="46"/>
  <c r="Y105" i="46"/>
  <c r="X105" i="46"/>
  <c r="W105" i="46"/>
  <c r="AB104" i="46"/>
  <c r="AA104" i="46"/>
  <c r="Z104" i="46"/>
  <c r="Y104" i="46"/>
  <c r="X104" i="46"/>
  <c r="W104" i="46"/>
  <c r="AB103" i="46"/>
  <c r="AA103" i="46"/>
  <c r="Z103" i="46"/>
  <c r="AB102" i="46"/>
  <c r="AA102" i="46"/>
  <c r="Z102" i="46"/>
  <c r="AB101" i="46"/>
  <c r="AA101" i="46"/>
  <c r="Z101" i="46"/>
  <c r="AB100" i="46"/>
  <c r="AA100" i="46"/>
  <c r="Z100" i="46"/>
  <c r="AB99" i="46"/>
  <c r="AA99" i="46"/>
  <c r="Z99" i="46"/>
  <c r="AB98" i="46"/>
  <c r="AA98" i="46"/>
  <c r="Z98" i="46"/>
  <c r="Y98" i="46"/>
  <c r="X98" i="46"/>
  <c r="W98" i="46"/>
  <c r="AB97" i="46"/>
  <c r="AA97" i="46"/>
  <c r="Z97" i="46"/>
  <c r="Y97" i="46"/>
  <c r="X97" i="46"/>
  <c r="W97" i="46"/>
  <c r="AB96" i="46"/>
  <c r="AA96" i="46"/>
  <c r="Z96" i="46"/>
  <c r="Y96" i="46"/>
  <c r="X96" i="46"/>
  <c r="W96" i="46"/>
  <c r="AB95" i="46"/>
  <c r="AA95" i="46"/>
  <c r="Z95" i="46"/>
  <c r="Y95" i="46"/>
  <c r="X95" i="46"/>
  <c r="W95" i="46"/>
  <c r="AB94" i="46"/>
  <c r="AA94" i="46"/>
  <c r="Z94" i="46"/>
  <c r="Y94" i="46"/>
  <c r="X94" i="46"/>
  <c r="W94" i="46"/>
  <c r="AB93" i="46"/>
  <c r="AA93" i="46"/>
  <c r="Z93" i="46"/>
  <c r="AB92" i="46"/>
  <c r="AA92" i="46"/>
  <c r="Z92" i="46"/>
  <c r="AB91" i="46"/>
  <c r="AA91" i="46"/>
  <c r="Z91" i="46"/>
  <c r="AB90" i="46"/>
  <c r="AA90" i="46"/>
  <c r="Z90" i="46"/>
  <c r="AB89" i="46"/>
  <c r="AA89" i="46"/>
  <c r="Z89" i="46"/>
  <c r="AB88" i="46"/>
  <c r="AA88" i="46"/>
  <c r="Z88" i="46"/>
  <c r="Y88" i="46"/>
  <c r="X88" i="46"/>
  <c r="W88" i="46"/>
  <c r="AB87" i="46"/>
  <c r="AA87" i="46"/>
  <c r="Z87" i="46"/>
  <c r="Y87" i="46"/>
  <c r="X87" i="46"/>
  <c r="W87" i="46"/>
  <c r="AB86" i="46"/>
  <c r="AA86" i="46"/>
  <c r="Z86" i="46"/>
  <c r="Y86" i="46"/>
  <c r="X86" i="46"/>
  <c r="W86" i="46"/>
  <c r="AB85" i="46"/>
  <c r="AA85" i="46"/>
  <c r="Z85" i="46"/>
  <c r="Y85" i="46"/>
  <c r="X85" i="46"/>
  <c r="W85" i="46"/>
  <c r="AB84" i="46"/>
  <c r="AA84" i="46"/>
  <c r="Z84" i="46"/>
  <c r="Y84" i="46"/>
  <c r="X84" i="46"/>
  <c r="W84" i="46"/>
  <c r="AB83" i="46"/>
  <c r="AA83" i="46"/>
  <c r="Z83" i="46"/>
  <c r="AB82" i="46"/>
  <c r="AA82" i="46"/>
  <c r="Z82" i="46"/>
  <c r="AB81" i="46"/>
  <c r="AA81" i="46"/>
  <c r="Z81" i="46"/>
  <c r="AB80" i="46"/>
  <c r="AA80" i="46"/>
  <c r="Z80" i="46"/>
  <c r="AB79" i="46"/>
  <c r="AA79" i="46"/>
  <c r="Z79" i="46"/>
  <c r="AB78" i="46"/>
  <c r="AA78" i="46"/>
  <c r="Z78" i="46"/>
  <c r="Y78" i="46"/>
  <c r="X78" i="46"/>
  <c r="W78" i="46"/>
  <c r="AB77" i="46"/>
  <c r="AA77" i="46"/>
  <c r="Z77" i="46"/>
  <c r="Y77" i="46"/>
  <c r="X77" i="46"/>
  <c r="W77" i="46"/>
  <c r="AB76" i="46"/>
  <c r="AA76" i="46"/>
  <c r="Z76" i="46"/>
  <c r="Y76" i="46"/>
  <c r="X76" i="46"/>
  <c r="AB75" i="46"/>
  <c r="AA75" i="46"/>
  <c r="Z75" i="46"/>
  <c r="Y75" i="46"/>
  <c r="X75" i="46"/>
  <c r="W75" i="46"/>
  <c r="AB74" i="46"/>
  <c r="AA74" i="46"/>
  <c r="Z74" i="46"/>
  <c r="Y74" i="46"/>
  <c r="X74" i="46"/>
  <c r="AB73" i="46"/>
  <c r="AA73" i="46"/>
  <c r="Z73" i="46"/>
  <c r="AB72" i="46"/>
  <c r="AA72" i="46"/>
  <c r="Z72" i="46"/>
  <c r="AB71" i="46"/>
  <c r="AA71" i="46"/>
  <c r="Z71" i="46"/>
  <c r="AB70" i="46"/>
  <c r="AA70" i="46"/>
  <c r="Z70" i="46"/>
  <c r="AB69" i="46"/>
  <c r="AA69" i="46"/>
  <c r="Z69" i="46"/>
  <c r="AB68" i="46"/>
  <c r="AA68" i="46"/>
  <c r="Z68" i="46"/>
  <c r="Y68" i="46"/>
  <c r="X68" i="46"/>
  <c r="W68" i="46"/>
  <c r="AB67" i="46"/>
  <c r="AA67" i="46"/>
  <c r="Z67" i="46"/>
  <c r="Y67" i="46"/>
  <c r="X67" i="46"/>
  <c r="W67" i="46"/>
  <c r="AB66" i="46"/>
  <c r="AA66" i="46"/>
  <c r="Z66" i="46"/>
  <c r="Y66" i="46"/>
  <c r="X66" i="46"/>
  <c r="W66" i="46"/>
  <c r="AB65" i="46"/>
  <c r="AA65" i="46"/>
  <c r="Z65" i="46"/>
  <c r="Y65" i="46"/>
  <c r="X65" i="46"/>
  <c r="W65" i="46"/>
  <c r="AB64" i="46"/>
  <c r="AA64" i="46"/>
  <c r="Z64" i="46"/>
  <c r="Y64" i="46"/>
  <c r="X64" i="46"/>
  <c r="W64" i="46"/>
  <c r="AB63" i="46"/>
  <c r="AA63" i="46"/>
  <c r="Z63" i="46"/>
  <c r="AB62" i="46"/>
  <c r="AA62" i="46"/>
  <c r="Z62" i="46"/>
  <c r="AB61" i="46"/>
  <c r="AA61" i="46"/>
  <c r="Z61" i="46"/>
  <c r="AB60" i="46"/>
  <c r="AA60" i="46"/>
  <c r="Z60" i="46"/>
  <c r="AB59" i="46"/>
  <c r="AA59" i="46"/>
  <c r="Z59" i="46"/>
  <c r="AB58" i="46"/>
  <c r="AA58" i="46"/>
  <c r="Z58" i="46"/>
  <c r="Y58" i="46"/>
  <c r="X58" i="46"/>
  <c r="W58" i="46"/>
  <c r="AB57" i="46"/>
  <c r="AA57" i="46"/>
  <c r="Z57" i="46"/>
  <c r="Y57" i="46"/>
  <c r="X57" i="46"/>
  <c r="AB56" i="46"/>
  <c r="AA56" i="46"/>
  <c r="Z56" i="46"/>
  <c r="Y56" i="46"/>
  <c r="X56" i="46"/>
  <c r="AB55" i="46"/>
  <c r="AA55" i="46"/>
  <c r="Z55" i="46"/>
  <c r="Y55" i="46"/>
  <c r="X55" i="46"/>
  <c r="AB54" i="46"/>
  <c r="AA54" i="46"/>
  <c r="Z54" i="46"/>
  <c r="Y54" i="46"/>
  <c r="X54" i="46"/>
  <c r="W54" i="46"/>
  <c r="AB53" i="46"/>
  <c r="AA53" i="46"/>
  <c r="Z53" i="46"/>
  <c r="AB52" i="46"/>
  <c r="AA52" i="46"/>
  <c r="Z52" i="46"/>
  <c r="AB51" i="46"/>
  <c r="AA51" i="46"/>
  <c r="Z51" i="46"/>
  <c r="AB50" i="46"/>
  <c r="AA50" i="46"/>
  <c r="Z50" i="46"/>
  <c r="AB49" i="46"/>
  <c r="AA49" i="46"/>
  <c r="Z49" i="46"/>
  <c r="AB48" i="46"/>
  <c r="AA48" i="46"/>
  <c r="Z48" i="46"/>
  <c r="Y48" i="46"/>
  <c r="X48" i="46"/>
  <c r="W48" i="46"/>
  <c r="AB47" i="46"/>
  <c r="AA47" i="46"/>
  <c r="Z47" i="46"/>
  <c r="Y47" i="46"/>
  <c r="X47" i="46"/>
  <c r="AB46" i="46"/>
  <c r="AA46" i="46"/>
  <c r="Z46" i="46"/>
  <c r="Y46" i="46"/>
  <c r="X46" i="46"/>
  <c r="AB45" i="46"/>
  <c r="AA45" i="46"/>
  <c r="Z45" i="46"/>
  <c r="Y45" i="46"/>
  <c r="X45" i="46"/>
  <c r="AB44" i="46"/>
  <c r="AA44" i="46"/>
  <c r="Z44" i="46"/>
  <c r="Y44" i="46"/>
  <c r="X44" i="46"/>
  <c r="W44" i="46"/>
  <c r="AB43" i="46"/>
  <c r="AA43" i="46"/>
  <c r="Z43" i="46"/>
  <c r="AB42" i="46"/>
  <c r="AA42" i="46"/>
  <c r="Z42" i="46"/>
  <c r="AB41" i="46"/>
  <c r="AA41" i="46"/>
  <c r="Z41" i="46"/>
  <c r="AB40" i="46"/>
  <c r="AA40" i="46"/>
  <c r="Z40" i="46"/>
  <c r="AB39" i="46"/>
  <c r="AA39" i="46"/>
  <c r="Z39" i="46"/>
  <c r="AB38" i="46"/>
  <c r="AA38" i="46"/>
  <c r="Z38" i="46"/>
  <c r="Y38" i="46"/>
  <c r="X38" i="46"/>
  <c r="AB37" i="46"/>
  <c r="AA37" i="46"/>
  <c r="Z37" i="46"/>
  <c r="Y37" i="46"/>
  <c r="X37" i="46"/>
  <c r="AB36" i="46"/>
  <c r="AA36" i="46"/>
  <c r="Z36" i="46"/>
  <c r="Y36" i="46"/>
  <c r="X36" i="46"/>
  <c r="W36" i="46"/>
  <c r="AB35" i="46"/>
  <c r="AA35" i="46"/>
  <c r="Z35" i="46"/>
  <c r="Y35" i="46"/>
  <c r="X35" i="46"/>
  <c r="AB34" i="46"/>
  <c r="AA34" i="46"/>
  <c r="Z34" i="46"/>
  <c r="Y34" i="46"/>
  <c r="X34" i="46"/>
  <c r="W34" i="46"/>
  <c r="AB33" i="46"/>
  <c r="AA33" i="46"/>
  <c r="Z33" i="46"/>
  <c r="AB32" i="46"/>
  <c r="AA32" i="46"/>
  <c r="Z32" i="46"/>
  <c r="AB31" i="46"/>
  <c r="AA31" i="46"/>
  <c r="Z31" i="46"/>
  <c r="AB30" i="46"/>
  <c r="AA30" i="46"/>
  <c r="Z30" i="46"/>
  <c r="AB29" i="46"/>
  <c r="AA29" i="46"/>
  <c r="Z29" i="46"/>
  <c r="AB28" i="46"/>
  <c r="AA28" i="46"/>
  <c r="Z28" i="46"/>
  <c r="Y28" i="46"/>
  <c r="X28" i="46"/>
  <c r="W28" i="46"/>
  <c r="AB27" i="46"/>
  <c r="AA27" i="46"/>
  <c r="Z27" i="46"/>
  <c r="Y27" i="46"/>
  <c r="X27" i="46"/>
  <c r="W27" i="46"/>
  <c r="AB26" i="46"/>
  <c r="AA26" i="46"/>
  <c r="Z26" i="46"/>
  <c r="Y26" i="46"/>
  <c r="X26" i="46"/>
  <c r="W26" i="46"/>
  <c r="AB25" i="46"/>
  <c r="AA25" i="46"/>
  <c r="Z25" i="46"/>
  <c r="Y25" i="46"/>
  <c r="X25" i="46"/>
  <c r="AB24" i="46"/>
  <c r="AA24" i="46"/>
  <c r="Z24" i="46"/>
  <c r="Y24" i="46"/>
  <c r="X24" i="46"/>
  <c r="W24" i="46"/>
  <c r="AB23" i="46"/>
  <c r="AA23" i="46"/>
  <c r="Z23" i="46"/>
  <c r="AB22" i="46"/>
  <c r="AA22" i="46"/>
  <c r="Z22" i="46"/>
  <c r="AB21" i="46"/>
  <c r="AA21" i="46"/>
  <c r="Z21" i="46"/>
  <c r="AB20" i="46"/>
  <c r="AA20" i="46"/>
  <c r="Z20" i="46"/>
  <c r="AB19" i="46"/>
  <c r="AA19" i="46"/>
  <c r="Z19" i="46"/>
  <c r="AB18" i="46"/>
  <c r="AA18" i="46"/>
  <c r="Z18" i="46"/>
  <c r="Y18" i="46"/>
  <c r="X18" i="46"/>
  <c r="AB17" i="46"/>
  <c r="AA17" i="46"/>
  <c r="Z17" i="46"/>
  <c r="Y17" i="46"/>
  <c r="X17" i="46"/>
  <c r="AB16" i="46"/>
  <c r="AA16" i="46"/>
  <c r="Z16" i="46"/>
  <c r="Y16" i="46"/>
  <c r="X16" i="46"/>
  <c r="AB15" i="46"/>
  <c r="AA15" i="46"/>
  <c r="Z15" i="46"/>
  <c r="Y15" i="46"/>
  <c r="X15" i="46"/>
  <c r="AC14" i="46"/>
  <c r="AB14" i="46"/>
  <c r="AA14" i="46"/>
  <c r="Z14" i="46"/>
  <c r="Y14" i="46"/>
  <c r="X14" i="46"/>
  <c r="W14" i="46"/>
  <c r="AB13" i="46"/>
  <c r="AA13" i="46"/>
  <c r="Z13" i="46"/>
  <c r="AB12" i="46"/>
  <c r="AA12" i="46"/>
  <c r="Z12" i="46"/>
  <c r="AB11" i="46"/>
  <c r="AA11" i="46"/>
  <c r="Z11" i="46"/>
  <c r="AB10" i="46"/>
  <c r="AA10" i="46"/>
  <c r="Z10" i="46"/>
  <c r="AJ9" i="46"/>
  <c r="AI9" i="46"/>
  <c r="AG9" i="46"/>
  <c r="AF9" i="46"/>
  <c r="AE9" i="46"/>
  <c r="AD9" i="46"/>
  <c r="AB9" i="46"/>
  <c r="AA9" i="46"/>
  <c r="Z9" i="46"/>
  <c r="AJ8" i="46"/>
  <c r="AI8" i="46"/>
  <c r="AG8" i="46"/>
  <c r="AF8" i="46"/>
  <c r="AE8" i="46"/>
  <c r="AD8" i="46"/>
  <c r="AB8" i="46"/>
  <c r="AA8" i="46"/>
  <c r="Z8" i="46"/>
  <c r="Y8" i="46"/>
  <c r="X8" i="46"/>
  <c r="AB7" i="46"/>
  <c r="AA7" i="46"/>
  <c r="Z7" i="46"/>
  <c r="Y7" i="46"/>
  <c r="X7" i="46"/>
  <c r="AJ6" i="46"/>
  <c r="AI6" i="46"/>
  <c r="AG6" i="46"/>
  <c r="AF6" i="46"/>
  <c r="AE6" i="46"/>
  <c r="AD6" i="46"/>
  <c r="AB6" i="46"/>
  <c r="AA6" i="46"/>
  <c r="Z6" i="46"/>
  <c r="Y6" i="46"/>
  <c r="X6" i="46"/>
  <c r="AJ5" i="46"/>
  <c r="AG5" i="46"/>
  <c r="AF5" i="46"/>
  <c r="AE5" i="46"/>
  <c r="AD5" i="46"/>
  <c r="AB5" i="46"/>
  <c r="AA5" i="46"/>
  <c r="Z5" i="46"/>
  <c r="Y5" i="46"/>
  <c r="X5" i="46"/>
  <c r="AJ4" i="46"/>
  <c r="AI4" i="46"/>
  <c r="AG4" i="46"/>
  <c r="AF4" i="46"/>
  <c r="AE4" i="46"/>
  <c r="AD4" i="46"/>
  <c r="AC4" i="46"/>
  <c r="AB4" i="46"/>
  <c r="AA4" i="46"/>
  <c r="Z4" i="46"/>
  <c r="Y4" i="46"/>
  <c r="X4" i="46"/>
  <c r="E442" i="45"/>
  <c r="I441" i="45"/>
  <c r="E441" i="45"/>
  <c r="I440" i="45"/>
  <c r="E440" i="45"/>
  <c r="I439" i="45"/>
  <c r="E439" i="45"/>
  <c r="I438" i="45"/>
  <c r="E438" i="45"/>
  <c r="Y436" i="45"/>
  <c r="S436" i="45"/>
  <c r="R436" i="45"/>
  <c r="Q436" i="45"/>
  <c r="P436" i="45"/>
  <c r="O436" i="45"/>
  <c r="N436" i="45"/>
  <c r="M436" i="45"/>
  <c r="L436" i="45"/>
  <c r="K436" i="45"/>
  <c r="J436" i="45"/>
  <c r="I436" i="45"/>
  <c r="H436" i="45"/>
  <c r="AB374" i="45"/>
  <c r="AA374" i="45"/>
  <c r="Z374" i="45"/>
  <c r="AB373" i="45"/>
  <c r="AA373" i="45"/>
  <c r="Z373" i="45"/>
  <c r="AB372" i="45"/>
  <c r="AA372" i="45"/>
  <c r="Z372" i="45"/>
  <c r="AB371" i="45"/>
  <c r="AA371" i="45"/>
  <c r="Z371" i="45"/>
  <c r="AB370" i="45"/>
  <c r="AA370" i="45"/>
  <c r="Z370" i="45"/>
  <c r="W369" i="45"/>
  <c r="AB368" i="45"/>
  <c r="AA368" i="45"/>
  <c r="Z368" i="45"/>
  <c r="Y368" i="45"/>
  <c r="X368" i="45"/>
  <c r="W368" i="45"/>
  <c r="AB367" i="45"/>
  <c r="AA367" i="45"/>
  <c r="Z367" i="45"/>
  <c r="Y367" i="45"/>
  <c r="X367" i="45"/>
  <c r="W367" i="45"/>
  <c r="AB366" i="45"/>
  <c r="AA366" i="45"/>
  <c r="Z366" i="45"/>
  <c r="Y366" i="45"/>
  <c r="X366" i="45"/>
  <c r="W366" i="45"/>
  <c r="AB365" i="45"/>
  <c r="AA365" i="45"/>
  <c r="Z365" i="45"/>
  <c r="Y365" i="45"/>
  <c r="X365" i="45"/>
  <c r="W365" i="45"/>
  <c r="AB364" i="45"/>
  <c r="AA364" i="45"/>
  <c r="Z364" i="45"/>
  <c r="Y364" i="45"/>
  <c r="X364" i="45"/>
  <c r="W364" i="45"/>
  <c r="AB362" i="45"/>
  <c r="AA362" i="45"/>
  <c r="Z362" i="45"/>
  <c r="AB361" i="45"/>
  <c r="AA361" i="45"/>
  <c r="Z361" i="45"/>
  <c r="AB360" i="45"/>
  <c r="AA360" i="45"/>
  <c r="Z360" i="45"/>
  <c r="AB359" i="45"/>
  <c r="AA359" i="45"/>
  <c r="Z359" i="45"/>
  <c r="AB358" i="45"/>
  <c r="AA358" i="45"/>
  <c r="Z358" i="45"/>
  <c r="W357" i="45"/>
  <c r="AB356" i="45"/>
  <c r="AA356" i="45"/>
  <c r="Z356" i="45"/>
  <c r="Y356" i="45"/>
  <c r="X356" i="45"/>
  <c r="W356" i="45"/>
  <c r="AB355" i="45"/>
  <c r="AA355" i="45"/>
  <c r="Z355" i="45"/>
  <c r="Y355" i="45"/>
  <c r="X355" i="45"/>
  <c r="W355" i="45"/>
  <c r="AB354" i="45"/>
  <c r="AA354" i="45"/>
  <c r="Z354" i="45"/>
  <c r="Y354" i="45"/>
  <c r="X354" i="45"/>
  <c r="W354" i="45"/>
  <c r="AB353" i="45"/>
  <c r="AA353" i="45"/>
  <c r="Z353" i="45"/>
  <c r="Y353" i="45"/>
  <c r="X353" i="45"/>
  <c r="W353" i="45"/>
  <c r="AB352" i="45"/>
  <c r="AA352" i="45"/>
  <c r="Z352" i="45"/>
  <c r="Y352" i="45"/>
  <c r="X352" i="45"/>
  <c r="W352" i="45"/>
  <c r="AB350" i="45"/>
  <c r="AA350" i="45"/>
  <c r="Z350" i="45"/>
  <c r="AB349" i="45"/>
  <c r="AA349" i="45"/>
  <c r="Z349" i="45"/>
  <c r="AB348" i="45"/>
  <c r="AA348" i="45"/>
  <c r="Z348" i="45"/>
  <c r="AB347" i="45"/>
  <c r="AA347" i="45"/>
  <c r="Z347" i="45"/>
  <c r="AB346" i="45"/>
  <c r="AA346" i="45"/>
  <c r="Z346" i="45"/>
  <c r="W345" i="45"/>
  <c r="AB344" i="45"/>
  <c r="AA344" i="45"/>
  <c r="Z344" i="45"/>
  <c r="Y344" i="45"/>
  <c r="X344" i="45"/>
  <c r="W344" i="45"/>
  <c r="AB343" i="45"/>
  <c r="AA343" i="45"/>
  <c r="Z343" i="45"/>
  <c r="Y343" i="45"/>
  <c r="X343" i="45"/>
  <c r="W343" i="45"/>
  <c r="AB342" i="45"/>
  <c r="AA342" i="45"/>
  <c r="Z342" i="45"/>
  <c r="Y342" i="45"/>
  <c r="X342" i="45"/>
  <c r="W342" i="45"/>
  <c r="AB341" i="45"/>
  <c r="AA341" i="45"/>
  <c r="Z341" i="45"/>
  <c r="Y341" i="45"/>
  <c r="X341" i="45"/>
  <c r="W341" i="45"/>
  <c r="AB340" i="45"/>
  <c r="AA340" i="45"/>
  <c r="Z340" i="45"/>
  <c r="Y340" i="45"/>
  <c r="X340" i="45"/>
  <c r="W340" i="45"/>
  <c r="AB338" i="45"/>
  <c r="AA338" i="45"/>
  <c r="Z338" i="45"/>
  <c r="AB337" i="45"/>
  <c r="AA337" i="45"/>
  <c r="Z337" i="45"/>
  <c r="AB336" i="45"/>
  <c r="AA336" i="45"/>
  <c r="Z336" i="45"/>
  <c r="AB335" i="45"/>
  <c r="AA335" i="45"/>
  <c r="Z335" i="45"/>
  <c r="AB334" i="45"/>
  <c r="AA334" i="45"/>
  <c r="Z334" i="45"/>
  <c r="W333" i="45"/>
  <c r="AB332" i="45"/>
  <c r="AA332" i="45"/>
  <c r="Z332" i="45"/>
  <c r="Y332" i="45"/>
  <c r="X332" i="45"/>
  <c r="W332" i="45"/>
  <c r="AB331" i="45"/>
  <c r="AA331" i="45"/>
  <c r="Z331" i="45"/>
  <c r="Y331" i="45"/>
  <c r="X331" i="45"/>
  <c r="W331" i="45"/>
  <c r="AB330" i="45"/>
  <c r="AA330" i="45"/>
  <c r="Z330" i="45"/>
  <c r="Y330" i="45"/>
  <c r="X330" i="45"/>
  <c r="W330" i="45"/>
  <c r="AB329" i="45"/>
  <c r="AA329" i="45"/>
  <c r="Z329" i="45"/>
  <c r="Y329" i="45"/>
  <c r="X329" i="45"/>
  <c r="W329" i="45"/>
  <c r="AB328" i="45"/>
  <c r="AA328" i="45"/>
  <c r="Z328" i="45"/>
  <c r="Y328" i="45"/>
  <c r="X328" i="45"/>
  <c r="W328" i="45"/>
  <c r="AB326" i="45"/>
  <c r="AA326" i="45"/>
  <c r="Z326" i="45"/>
  <c r="AB325" i="45"/>
  <c r="AA325" i="45"/>
  <c r="Z325" i="45"/>
  <c r="AB324" i="45"/>
  <c r="AA324" i="45"/>
  <c r="Z324" i="45"/>
  <c r="AB323" i="45"/>
  <c r="AA323" i="45"/>
  <c r="Z323" i="45"/>
  <c r="AB322" i="45"/>
  <c r="AA322" i="45"/>
  <c r="Z322" i="45"/>
  <c r="W321" i="45"/>
  <c r="AB320" i="45"/>
  <c r="AA320" i="45"/>
  <c r="Z320" i="45"/>
  <c r="Y320" i="45"/>
  <c r="X320" i="45"/>
  <c r="W320" i="45"/>
  <c r="AB319" i="45"/>
  <c r="AA319" i="45"/>
  <c r="Z319" i="45"/>
  <c r="Y319" i="45"/>
  <c r="X319" i="45"/>
  <c r="W319" i="45"/>
  <c r="AB318" i="45"/>
  <c r="AA318" i="45"/>
  <c r="Z318" i="45"/>
  <c r="Y318" i="45"/>
  <c r="X318" i="45"/>
  <c r="W318" i="45"/>
  <c r="AB317" i="45"/>
  <c r="AA317" i="45"/>
  <c r="Z317" i="45"/>
  <c r="Y317" i="45"/>
  <c r="X317" i="45"/>
  <c r="W317" i="45"/>
  <c r="AB316" i="45"/>
  <c r="AA316" i="45"/>
  <c r="Z316" i="45"/>
  <c r="Y316" i="45"/>
  <c r="X316" i="45"/>
  <c r="W316" i="45"/>
  <c r="AB314" i="45"/>
  <c r="AA314" i="45"/>
  <c r="Z314" i="45"/>
  <c r="AB313" i="45"/>
  <c r="AA313" i="45"/>
  <c r="Z313" i="45"/>
  <c r="AB312" i="45"/>
  <c r="AA312" i="45"/>
  <c r="Z312" i="45"/>
  <c r="AB311" i="45"/>
  <c r="AA311" i="45"/>
  <c r="Z311" i="45"/>
  <c r="AB310" i="45"/>
  <c r="AA310" i="45"/>
  <c r="Z310" i="45"/>
  <c r="W309" i="45"/>
  <c r="W308" i="45"/>
  <c r="AB307" i="45"/>
  <c r="AA307" i="45"/>
  <c r="Z307" i="45"/>
  <c r="Y307" i="45"/>
  <c r="X307" i="45"/>
  <c r="W307" i="45"/>
  <c r="AB306" i="45"/>
  <c r="AA306" i="45"/>
  <c r="Z306" i="45"/>
  <c r="Y306" i="45"/>
  <c r="X306" i="45"/>
  <c r="W306" i="45"/>
  <c r="AB305" i="45"/>
  <c r="AA305" i="45"/>
  <c r="Z305" i="45"/>
  <c r="Y305" i="45"/>
  <c r="X305" i="45"/>
  <c r="W305" i="45"/>
  <c r="AB304" i="45"/>
  <c r="AA304" i="45"/>
  <c r="Z304" i="45"/>
  <c r="Y304" i="45"/>
  <c r="X304" i="45"/>
  <c r="W304" i="45"/>
  <c r="AB303" i="45"/>
  <c r="AA303" i="45"/>
  <c r="Z303" i="45"/>
  <c r="AB301" i="45"/>
  <c r="AA301" i="45"/>
  <c r="Z301" i="45"/>
  <c r="AB300" i="45"/>
  <c r="AA300" i="45"/>
  <c r="Z300" i="45"/>
  <c r="AB299" i="45"/>
  <c r="AA299" i="45"/>
  <c r="Z299" i="45"/>
  <c r="AB298" i="45"/>
  <c r="AA298" i="45"/>
  <c r="Z298" i="45"/>
  <c r="AB297" i="45"/>
  <c r="AA297" i="45"/>
  <c r="Z297" i="45"/>
  <c r="Y297" i="45"/>
  <c r="X297" i="45"/>
  <c r="W297" i="45"/>
  <c r="W296" i="45"/>
  <c r="AB295" i="45"/>
  <c r="AA295" i="45"/>
  <c r="Z295" i="45"/>
  <c r="Y295" i="45"/>
  <c r="X295" i="45"/>
  <c r="W295" i="45"/>
  <c r="AB294" i="45"/>
  <c r="AA294" i="45"/>
  <c r="Z294" i="45"/>
  <c r="Y294" i="45"/>
  <c r="X294" i="45"/>
  <c r="W294" i="45"/>
  <c r="AB293" i="45"/>
  <c r="AA293" i="45"/>
  <c r="Z293" i="45"/>
  <c r="Y293" i="45"/>
  <c r="X293" i="45"/>
  <c r="W293" i="45"/>
  <c r="AB292" i="45"/>
  <c r="AA292" i="45"/>
  <c r="Z292" i="45"/>
  <c r="Y292" i="45"/>
  <c r="X292" i="45"/>
  <c r="W292" i="45"/>
  <c r="AB291" i="45"/>
  <c r="AA291" i="45"/>
  <c r="Z291" i="45"/>
  <c r="AB289" i="45"/>
  <c r="AA289" i="45"/>
  <c r="Z289" i="45"/>
  <c r="AB288" i="45"/>
  <c r="AA288" i="45"/>
  <c r="Z288" i="45"/>
  <c r="AB287" i="45"/>
  <c r="AA287" i="45"/>
  <c r="Z287" i="45"/>
  <c r="AB286" i="45"/>
  <c r="AA286" i="45"/>
  <c r="Z286" i="45"/>
  <c r="AB285" i="45"/>
  <c r="AA285" i="45"/>
  <c r="Z285" i="45"/>
  <c r="Y285" i="45"/>
  <c r="X285" i="45"/>
  <c r="W285" i="45"/>
  <c r="W284" i="45"/>
  <c r="AB283" i="45"/>
  <c r="AA283" i="45"/>
  <c r="Z283" i="45"/>
  <c r="Y283" i="45"/>
  <c r="X283" i="45"/>
  <c r="W283" i="45"/>
  <c r="AB282" i="45"/>
  <c r="AA282" i="45"/>
  <c r="Z282" i="45"/>
  <c r="Y282" i="45"/>
  <c r="X282" i="45"/>
  <c r="W282" i="45"/>
  <c r="AB281" i="45"/>
  <c r="AA281" i="45"/>
  <c r="Z281" i="45"/>
  <c r="Y281" i="45"/>
  <c r="X281" i="45"/>
  <c r="W281" i="45"/>
  <c r="AB280" i="45"/>
  <c r="AA280" i="45"/>
  <c r="Z280" i="45"/>
  <c r="Y280" i="45"/>
  <c r="X280" i="45"/>
  <c r="W280" i="45"/>
  <c r="AB279" i="45"/>
  <c r="AA279" i="45"/>
  <c r="Z279" i="45"/>
  <c r="AB277" i="45"/>
  <c r="AA277" i="45"/>
  <c r="Z277" i="45"/>
  <c r="AB276" i="45"/>
  <c r="AA276" i="45"/>
  <c r="Z276" i="45"/>
  <c r="AB275" i="45"/>
  <c r="AA275" i="45"/>
  <c r="Z275" i="45"/>
  <c r="AB274" i="45"/>
  <c r="AA274" i="45"/>
  <c r="Z274" i="45"/>
  <c r="AB273" i="45"/>
  <c r="AA273" i="45"/>
  <c r="Z273" i="45"/>
  <c r="Y273" i="45"/>
  <c r="X273" i="45"/>
  <c r="W273" i="45"/>
  <c r="W272" i="45"/>
  <c r="AB271" i="45"/>
  <c r="AA271" i="45"/>
  <c r="Z271" i="45"/>
  <c r="Y271" i="45"/>
  <c r="X271" i="45"/>
  <c r="W271" i="45"/>
  <c r="AB270" i="45"/>
  <c r="AA270" i="45"/>
  <c r="Z270" i="45"/>
  <c r="Y270" i="45"/>
  <c r="X270" i="45"/>
  <c r="W270" i="45"/>
  <c r="AB269" i="45"/>
  <c r="AA269" i="45"/>
  <c r="Z269" i="45"/>
  <c r="Y269" i="45"/>
  <c r="X269" i="45"/>
  <c r="W269" i="45"/>
  <c r="AB268" i="45"/>
  <c r="AA268" i="45"/>
  <c r="Z268" i="45"/>
  <c r="Y268" i="45"/>
  <c r="X268" i="45"/>
  <c r="W268" i="45"/>
  <c r="AB267" i="45"/>
  <c r="AA267" i="45"/>
  <c r="Z267" i="45"/>
  <c r="AB265" i="45"/>
  <c r="AA265" i="45"/>
  <c r="Z265" i="45"/>
  <c r="AB264" i="45"/>
  <c r="AA264" i="45"/>
  <c r="Z264" i="45"/>
  <c r="AB263" i="45"/>
  <c r="AA263" i="45"/>
  <c r="Z263" i="45"/>
  <c r="AB262" i="45"/>
  <c r="AA262" i="45"/>
  <c r="Z262" i="45"/>
  <c r="AB261" i="45"/>
  <c r="AA261" i="45"/>
  <c r="Z261" i="45"/>
  <c r="Y261" i="45"/>
  <c r="X261" i="45"/>
  <c r="W261" i="45"/>
  <c r="W260" i="45"/>
  <c r="AB259" i="45"/>
  <c r="AA259" i="45"/>
  <c r="Z259" i="45"/>
  <c r="Y259" i="45"/>
  <c r="X259" i="45"/>
  <c r="W259" i="45"/>
  <c r="AB258" i="45"/>
  <c r="AA258" i="45"/>
  <c r="Z258" i="45"/>
  <c r="Y258" i="45"/>
  <c r="X258" i="45"/>
  <c r="W258" i="45"/>
  <c r="AB257" i="45"/>
  <c r="AA257" i="45"/>
  <c r="Z257" i="45"/>
  <c r="Y257" i="45"/>
  <c r="X257" i="45"/>
  <c r="W257" i="45"/>
  <c r="AB256" i="45"/>
  <c r="AA256" i="45"/>
  <c r="Z256" i="45"/>
  <c r="Y256" i="45"/>
  <c r="X256" i="45"/>
  <c r="W256" i="45"/>
  <c r="AB255" i="45"/>
  <c r="AA255" i="45"/>
  <c r="Z255" i="45"/>
  <c r="AB253" i="45"/>
  <c r="AA253" i="45"/>
  <c r="Z253" i="45"/>
  <c r="AB252" i="45"/>
  <c r="AA252" i="45"/>
  <c r="Z252" i="45"/>
  <c r="AB251" i="45"/>
  <c r="AA251" i="45"/>
  <c r="Z251" i="45"/>
  <c r="AB250" i="45"/>
  <c r="AA250" i="45"/>
  <c r="Z250" i="45"/>
  <c r="AB249" i="45"/>
  <c r="AA249" i="45"/>
  <c r="Z249" i="45"/>
  <c r="Y249" i="45"/>
  <c r="X249" i="45"/>
  <c r="W249" i="45"/>
  <c r="W248" i="45"/>
  <c r="AB247" i="45"/>
  <c r="AA247" i="45"/>
  <c r="Z247" i="45"/>
  <c r="Y247" i="45"/>
  <c r="X247" i="45"/>
  <c r="W247" i="45"/>
  <c r="AB246" i="45"/>
  <c r="AA246" i="45"/>
  <c r="Z246" i="45"/>
  <c r="Y246" i="45"/>
  <c r="X246" i="45"/>
  <c r="W246" i="45"/>
  <c r="AB245" i="45"/>
  <c r="AA245" i="45"/>
  <c r="Z245" i="45"/>
  <c r="Y245" i="45"/>
  <c r="X245" i="45"/>
  <c r="W245" i="45"/>
  <c r="AB244" i="45"/>
  <c r="AA244" i="45"/>
  <c r="Z244" i="45"/>
  <c r="Y244" i="45"/>
  <c r="X244" i="45"/>
  <c r="W244" i="45"/>
  <c r="AB243" i="45"/>
  <c r="AA243" i="45"/>
  <c r="Z243" i="45"/>
  <c r="AB241" i="45"/>
  <c r="AA241" i="45"/>
  <c r="Z241" i="45"/>
  <c r="AB240" i="45"/>
  <c r="AA240" i="45"/>
  <c r="Z240" i="45"/>
  <c r="AB239" i="45"/>
  <c r="AA239" i="45"/>
  <c r="Z239" i="45"/>
  <c r="AB238" i="45"/>
  <c r="AA238" i="45"/>
  <c r="Z238" i="45"/>
  <c r="AB237" i="45"/>
  <c r="AA237" i="45"/>
  <c r="Z237" i="45"/>
  <c r="Y237" i="45"/>
  <c r="X237" i="45"/>
  <c r="W237" i="45"/>
  <c r="W236" i="45"/>
  <c r="AB235" i="45"/>
  <c r="AA235" i="45"/>
  <c r="Z235" i="45"/>
  <c r="Y235" i="45"/>
  <c r="X235" i="45"/>
  <c r="W235" i="45"/>
  <c r="AB234" i="45"/>
  <c r="AA234" i="45"/>
  <c r="Z234" i="45"/>
  <c r="Y234" i="45"/>
  <c r="X234" i="45"/>
  <c r="W234" i="45"/>
  <c r="AB233" i="45"/>
  <c r="AA233" i="45"/>
  <c r="Z233" i="45"/>
  <c r="Y233" i="45"/>
  <c r="X233" i="45"/>
  <c r="W233" i="45"/>
  <c r="AB232" i="45"/>
  <c r="AA232" i="45"/>
  <c r="Z232" i="45"/>
  <c r="Y232" i="45"/>
  <c r="X232" i="45"/>
  <c r="W232" i="45"/>
  <c r="AB231" i="45"/>
  <c r="AA231" i="45"/>
  <c r="Z231" i="45"/>
  <c r="AB229" i="45"/>
  <c r="AA229" i="45"/>
  <c r="Z229" i="45"/>
  <c r="AB228" i="45"/>
  <c r="AA228" i="45"/>
  <c r="Z228" i="45"/>
  <c r="AB227" i="45"/>
  <c r="AA227" i="45"/>
  <c r="Z227" i="45"/>
  <c r="AB226" i="45"/>
  <c r="AA226" i="45"/>
  <c r="Z226" i="45"/>
  <c r="AB225" i="45"/>
  <c r="AA225" i="45"/>
  <c r="Z225" i="45"/>
  <c r="Y225" i="45"/>
  <c r="X225" i="45"/>
  <c r="W225" i="45"/>
  <c r="W224" i="45"/>
  <c r="AB223" i="45"/>
  <c r="AA223" i="45"/>
  <c r="Z223" i="45"/>
  <c r="Y223" i="45"/>
  <c r="X223" i="45"/>
  <c r="W223" i="45"/>
  <c r="AB222" i="45"/>
  <c r="AA222" i="45"/>
  <c r="Z222" i="45"/>
  <c r="Y222" i="45"/>
  <c r="X222" i="45"/>
  <c r="W222" i="45"/>
  <c r="AB221" i="45"/>
  <c r="AA221" i="45"/>
  <c r="Z221" i="45"/>
  <c r="Y221" i="45"/>
  <c r="X221" i="45"/>
  <c r="W221" i="45"/>
  <c r="AB220" i="45"/>
  <c r="AA220" i="45"/>
  <c r="Z220" i="45"/>
  <c r="Y220" i="45"/>
  <c r="X220" i="45"/>
  <c r="W220" i="45"/>
  <c r="AB219" i="45"/>
  <c r="AA219" i="45"/>
  <c r="Z219" i="45"/>
  <c r="AB217" i="45"/>
  <c r="AA217" i="45"/>
  <c r="Z217" i="45"/>
  <c r="AB216" i="45"/>
  <c r="AA216" i="45"/>
  <c r="Z216" i="45"/>
  <c r="AB215" i="45"/>
  <c r="AA215" i="45"/>
  <c r="Z215" i="45"/>
  <c r="AB214" i="45"/>
  <c r="AA214" i="45"/>
  <c r="Z214" i="45"/>
  <c r="AB213" i="45"/>
  <c r="AA213" i="45"/>
  <c r="Z213" i="45"/>
  <c r="Y213" i="45"/>
  <c r="X213" i="45"/>
  <c r="W213" i="45"/>
  <c r="W212" i="45"/>
  <c r="AB211" i="45"/>
  <c r="AA211" i="45"/>
  <c r="Z211" i="45"/>
  <c r="Y211" i="45"/>
  <c r="X211" i="45"/>
  <c r="W211" i="45"/>
  <c r="AB210" i="45"/>
  <c r="AA210" i="45"/>
  <c r="Z210" i="45"/>
  <c r="Y210" i="45"/>
  <c r="X210" i="45"/>
  <c r="W210" i="45"/>
  <c r="AB209" i="45"/>
  <c r="AA209" i="45"/>
  <c r="Z209" i="45"/>
  <c r="Y209" i="45"/>
  <c r="X209" i="45"/>
  <c r="W209" i="45"/>
  <c r="AB208" i="45"/>
  <c r="AA208" i="45"/>
  <c r="Z208" i="45"/>
  <c r="Y208" i="45"/>
  <c r="X208" i="45"/>
  <c r="W208" i="45"/>
  <c r="AB207" i="45"/>
  <c r="AA207" i="45"/>
  <c r="Z207" i="45"/>
  <c r="AB205" i="45"/>
  <c r="AA205" i="45"/>
  <c r="Z205" i="45"/>
  <c r="AB204" i="45"/>
  <c r="AA204" i="45"/>
  <c r="Z204" i="45"/>
  <c r="AB203" i="45"/>
  <c r="AA203" i="45"/>
  <c r="Z203" i="45"/>
  <c r="AB202" i="45"/>
  <c r="AA202" i="45"/>
  <c r="Z202" i="45"/>
  <c r="AB201" i="45"/>
  <c r="AA201" i="45"/>
  <c r="Z201" i="45"/>
  <c r="Y201" i="45"/>
  <c r="X201" i="45"/>
  <c r="W201" i="45"/>
  <c r="W200" i="45"/>
  <c r="AB199" i="45"/>
  <c r="AA199" i="45"/>
  <c r="Z199" i="45"/>
  <c r="Y199" i="45"/>
  <c r="X199" i="45"/>
  <c r="W199" i="45"/>
  <c r="AB198" i="45"/>
  <c r="AA198" i="45"/>
  <c r="Z198" i="45"/>
  <c r="Y198" i="45"/>
  <c r="X198" i="45"/>
  <c r="W198" i="45"/>
  <c r="AB197" i="45"/>
  <c r="AA197" i="45"/>
  <c r="Z197" i="45"/>
  <c r="Y197" i="45"/>
  <c r="X197" i="45"/>
  <c r="W197" i="45"/>
  <c r="AB196" i="45"/>
  <c r="AA196" i="45"/>
  <c r="Z196" i="45"/>
  <c r="Y196" i="45"/>
  <c r="X196" i="45"/>
  <c r="W196" i="45"/>
  <c r="AB195" i="45"/>
  <c r="AA195" i="45"/>
  <c r="Z195" i="45"/>
  <c r="AB193" i="45"/>
  <c r="AA193" i="45"/>
  <c r="Z193" i="45"/>
  <c r="AB192" i="45"/>
  <c r="AA192" i="45"/>
  <c r="Z192" i="45"/>
  <c r="AB191" i="45"/>
  <c r="AA191" i="45"/>
  <c r="Z191" i="45"/>
  <c r="AB190" i="45"/>
  <c r="AA190" i="45"/>
  <c r="Z190" i="45"/>
  <c r="AB189" i="45"/>
  <c r="AA189" i="45"/>
  <c r="Z189" i="45"/>
  <c r="Y189" i="45"/>
  <c r="X189" i="45"/>
  <c r="W189" i="45"/>
  <c r="W188" i="45"/>
  <c r="AB187" i="45"/>
  <c r="AA187" i="45"/>
  <c r="Z187" i="45"/>
  <c r="Y187" i="45"/>
  <c r="X187" i="45"/>
  <c r="W187" i="45"/>
  <c r="AB186" i="45"/>
  <c r="AA186" i="45"/>
  <c r="Z186" i="45"/>
  <c r="Y186" i="45"/>
  <c r="X186" i="45"/>
  <c r="W186" i="45"/>
  <c r="AB185" i="45"/>
  <c r="AA185" i="45"/>
  <c r="Z185" i="45"/>
  <c r="Y185" i="45"/>
  <c r="X185" i="45"/>
  <c r="W185" i="45"/>
  <c r="AB184" i="45"/>
  <c r="AA184" i="45"/>
  <c r="Z184" i="45"/>
  <c r="Y184" i="45"/>
  <c r="X184" i="45"/>
  <c r="W184" i="45"/>
  <c r="AB183" i="45"/>
  <c r="AA183" i="45"/>
  <c r="Z183" i="45"/>
  <c r="AB181" i="45"/>
  <c r="AA181" i="45"/>
  <c r="Z181" i="45"/>
  <c r="AB180" i="45"/>
  <c r="AA180" i="45"/>
  <c r="Z180" i="45"/>
  <c r="AB179" i="45"/>
  <c r="AA179" i="45"/>
  <c r="Z179" i="45"/>
  <c r="AB178" i="45"/>
  <c r="AA178" i="45"/>
  <c r="Z178" i="45"/>
  <c r="AB177" i="45"/>
  <c r="AA177" i="45"/>
  <c r="Z177" i="45"/>
  <c r="Y177" i="45"/>
  <c r="X177" i="45"/>
  <c r="W177" i="45"/>
  <c r="W176" i="45"/>
  <c r="AB175" i="45"/>
  <c r="AA175" i="45"/>
  <c r="Z175" i="45"/>
  <c r="Y175" i="45"/>
  <c r="X175" i="45"/>
  <c r="W175" i="45"/>
  <c r="AB174" i="45"/>
  <c r="AA174" i="45"/>
  <c r="Z174" i="45"/>
  <c r="Y174" i="45"/>
  <c r="X174" i="45"/>
  <c r="W174" i="45"/>
  <c r="AB173" i="45"/>
  <c r="AA173" i="45"/>
  <c r="Z173" i="45"/>
  <c r="Y173" i="45"/>
  <c r="X173" i="45"/>
  <c r="W173" i="45"/>
  <c r="AB172" i="45"/>
  <c r="AA172" i="45"/>
  <c r="Z172" i="45"/>
  <c r="Y172" i="45"/>
  <c r="X172" i="45"/>
  <c r="W172" i="45"/>
  <c r="AB171" i="45"/>
  <c r="AA171" i="45"/>
  <c r="Z171" i="45"/>
  <c r="AB169" i="45"/>
  <c r="AA169" i="45"/>
  <c r="Z169" i="45"/>
  <c r="AB168" i="45"/>
  <c r="AA168" i="45"/>
  <c r="Z168" i="45"/>
  <c r="AB167" i="45"/>
  <c r="AA167" i="45"/>
  <c r="Z167" i="45"/>
  <c r="AB166" i="45"/>
  <c r="AA166" i="45"/>
  <c r="Z166" i="45"/>
  <c r="AB165" i="45"/>
  <c r="AA165" i="45"/>
  <c r="Z165" i="45"/>
  <c r="Y165" i="45"/>
  <c r="X165" i="45"/>
  <c r="W165" i="45"/>
  <c r="W164" i="45"/>
  <c r="AB163" i="45"/>
  <c r="AA163" i="45"/>
  <c r="Z163" i="45"/>
  <c r="Y163" i="45"/>
  <c r="X163" i="45"/>
  <c r="W163" i="45"/>
  <c r="AB162" i="45"/>
  <c r="AA162" i="45"/>
  <c r="Z162" i="45"/>
  <c r="Y162" i="45"/>
  <c r="X162" i="45"/>
  <c r="W162" i="45"/>
  <c r="AB161" i="45"/>
  <c r="AA161" i="45"/>
  <c r="Z161" i="45"/>
  <c r="Y161" i="45"/>
  <c r="X161" i="45"/>
  <c r="W161" i="45"/>
  <c r="AB160" i="45"/>
  <c r="AA160" i="45"/>
  <c r="Z160" i="45"/>
  <c r="Y160" i="45"/>
  <c r="X160" i="45"/>
  <c r="W160" i="45"/>
  <c r="AB159" i="45"/>
  <c r="AA159" i="45"/>
  <c r="Z159" i="45"/>
  <c r="AB157" i="45"/>
  <c r="AA157" i="45"/>
  <c r="Z157" i="45"/>
  <c r="AB156" i="45"/>
  <c r="AA156" i="45"/>
  <c r="Z156" i="45"/>
  <c r="AB155" i="45"/>
  <c r="AA155" i="45"/>
  <c r="Z155" i="45"/>
  <c r="AB154" i="45"/>
  <c r="AA154" i="45"/>
  <c r="Z154" i="45"/>
  <c r="AB153" i="45"/>
  <c r="AA153" i="45"/>
  <c r="Z153" i="45"/>
  <c r="Y153" i="45"/>
  <c r="X153" i="45"/>
  <c r="W153" i="45"/>
  <c r="W152" i="45"/>
  <c r="AB151" i="45"/>
  <c r="AA151" i="45"/>
  <c r="Z151" i="45"/>
  <c r="Y151" i="45"/>
  <c r="X151" i="45"/>
  <c r="W151" i="45"/>
  <c r="AB150" i="45"/>
  <c r="AA150" i="45"/>
  <c r="Z150" i="45"/>
  <c r="Y150" i="45"/>
  <c r="X150" i="45"/>
  <c r="W150" i="45"/>
  <c r="AB149" i="45"/>
  <c r="AA149" i="45"/>
  <c r="Z149" i="45"/>
  <c r="Y149" i="45"/>
  <c r="X149" i="45"/>
  <c r="W149" i="45"/>
  <c r="AB148" i="45"/>
  <c r="AA148" i="45"/>
  <c r="Z148" i="45"/>
  <c r="Y148" i="45"/>
  <c r="X148" i="45"/>
  <c r="W148" i="45"/>
  <c r="AB147" i="45"/>
  <c r="AA147" i="45"/>
  <c r="Z147" i="45"/>
  <c r="AB145" i="45"/>
  <c r="AA145" i="45"/>
  <c r="Z145" i="45"/>
  <c r="AB144" i="45"/>
  <c r="AA144" i="45"/>
  <c r="Z144" i="45"/>
  <c r="AB143" i="45"/>
  <c r="AA143" i="45"/>
  <c r="Z143" i="45"/>
  <c r="AB142" i="45"/>
  <c r="AA142" i="45"/>
  <c r="Z142" i="45"/>
  <c r="AB141" i="45"/>
  <c r="AA141" i="45"/>
  <c r="Z141" i="45"/>
  <c r="Y141" i="45"/>
  <c r="X141" i="45"/>
  <c r="W141" i="45"/>
  <c r="W140" i="45"/>
  <c r="AB139" i="45"/>
  <c r="AA139" i="45"/>
  <c r="Z139" i="45"/>
  <c r="Y139" i="45"/>
  <c r="X139" i="45"/>
  <c r="W139" i="45"/>
  <c r="AB138" i="45"/>
  <c r="AA138" i="45"/>
  <c r="Z138" i="45"/>
  <c r="Y138" i="45"/>
  <c r="X138" i="45"/>
  <c r="W138" i="45"/>
  <c r="AB137" i="45"/>
  <c r="AA137" i="45"/>
  <c r="Z137" i="45"/>
  <c r="Y137" i="45"/>
  <c r="X137" i="45"/>
  <c r="W137" i="45"/>
  <c r="AB136" i="45"/>
  <c r="AA136" i="45"/>
  <c r="Z136" i="45"/>
  <c r="Y136" i="45"/>
  <c r="X136" i="45"/>
  <c r="W136" i="45"/>
  <c r="AB135" i="45"/>
  <c r="AA135" i="45"/>
  <c r="Z135" i="45"/>
  <c r="AB133" i="45"/>
  <c r="AA133" i="45"/>
  <c r="Z133" i="45"/>
  <c r="AB132" i="45"/>
  <c r="AA132" i="45"/>
  <c r="Z132" i="45"/>
  <c r="AB131" i="45"/>
  <c r="AA131" i="45"/>
  <c r="Z131" i="45"/>
  <c r="AB130" i="45"/>
  <c r="AA130" i="45"/>
  <c r="Z130" i="45"/>
  <c r="AB129" i="45"/>
  <c r="AA129" i="45"/>
  <c r="Z129" i="45"/>
  <c r="Y129" i="45"/>
  <c r="X129" i="45"/>
  <c r="W129" i="45"/>
  <c r="W128" i="45"/>
  <c r="AB127" i="45"/>
  <c r="AA127" i="45"/>
  <c r="Z127" i="45"/>
  <c r="Y127" i="45"/>
  <c r="X127" i="45"/>
  <c r="W127" i="45"/>
  <c r="AB126" i="45"/>
  <c r="AA126" i="45"/>
  <c r="Z126" i="45"/>
  <c r="Y126" i="45"/>
  <c r="X126" i="45"/>
  <c r="W126" i="45"/>
  <c r="AB125" i="45"/>
  <c r="AA125" i="45"/>
  <c r="Z125" i="45"/>
  <c r="Y125" i="45"/>
  <c r="X125" i="45"/>
  <c r="W125" i="45"/>
  <c r="AB124" i="45"/>
  <c r="AA124" i="45"/>
  <c r="Z124" i="45"/>
  <c r="Y124" i="45"/>
  <c r="X124" i="45"/>
  <c r="W124" i="45"/>
  <c r="AB123" i="45"/>
  <c r="AA123" i="45"/>
  <c r="Z123" i="45"/>
  <c r="AB121" i="45"/>
  <c r="AA121" i="45"/>
  <c r="Z121" i="45"/>
  <c r="AB120" i="45"/>
  <c r="AA120" i="45"/>
  <c r="Z120" i="45"/>
  <c r="AB119" i="45"/>
  <c r="AA119" i="45"/>
  <c r="Z119" i="45"/>
  <c r="AB118" i="45"/>
  <c r="AA118" i="45"/>
  <c r="Z118" i="45"/>
  <c r="AB117" i="45"/>
  <c r="AA117" i="45"/>
  <c r="Z117" i="45"/>
  <c r="Y117" i="45"/>
  <c r="X117" i="45"/>
  <c r="W117" i="45"/>
  <c r="W116" i="45"/>
  <c r="AB115" i="45"/>
  <c r="AA115" i="45"/>
  <c r="Z115" i="45"/>
  <c r="Y115" i="45"/>
  <c r="X115" i="45"/>
  <c r="W115" i="45"/>
  <c r="AB114" i="45"/>
  <c r="AA114" i="45"/>
  <c r="Z114" i="45"/>
  <c r="Y114" i="45"/>
  <c r="X114" i="45"/>
  <c r="W114" i="45"/>
  <c r="AB113" i="45"/>
  <c r="AA113" i="45"/>
  <c r="Z113" i="45"/>
  <c r="Y113" i="45"/>
  <c r="X113" i="45"/>
  <c r="W113" i="45"/>
  <c r="AB112" i="45"/>
  <c r="AA112" i="45"/>
  <c r="Z112" i="45"/>
  <c r="Y112" i="45"/>
  <c r="X112" i="45"/>
  <c r="W112" i="45"/>
  <c r="AB111" i="45"/>
  <c r="AA111" i="45"/>
  <c r="Z111" i="45"/>
  <c r="AB109" i="45"/>
  <c r="AA109" i="45"/>
  <c r="Z109" i="45"/>
  <c r="AB108" i="45"/>
  <c r="AA108" i="45"/>
  <c r="Z108" i="45"/>
  <c r="AB107" i="45"/>
  <c r="AA107" i="45"/>
  <c r="Z107" i="45"/>
  <c r="AB106" i="45"/>
  <c r="AA106" i="45"/>
  <c r="Z106" i="45"/>
  <c r="AB105" i="45"/>
  <c r="AA105" i="45"/>
  <c r="Z105" i="45"/>
  <c r="Y105" i="45"/>
  <c r="X105" i="45"/>
  <c r="W105" i="45"/>
  <c r="W104" i="45"/>
  <c r="AB103" i="45"/>
  <c r="AA103" i="45"/>
  <c r="Z103" i="45"/>
  <c r="Y103" i="45"/>
  <c r="X103" i="45"/>
  <c r="W103" i="45"/>
  <c r="AB102" i="45"/>
  <c r="AA102" i="45"/>
  <c r="Z102" i="45"/>
  <c r="Y102" i="45"/>
  <c r="X102" i="45"/>
  <c r="W102" i="45"/>
  <c r="AB101" i="45"/>
  <c r="AA101" i="45"/>
  <c r="Z101" i="45"/>
  <c r="Y101" i="45"/>
  <c r="X101" i="45"/>
  <c r="W101" i="45"/>
  <c r="AB100" i="45"/>
  <c r="AA100" i="45"/>
  <c r="Z100" i="45"/>
  <c r="Y100" i="45"/>
  <c r="X100" i="45"/>
  <c r="W100" i="45"/>
  <c r="AG99" i="45"/>
  <c r="AE99" i="45"/>
  <c r="AD99" i="45"/>
  <c r="AC99" i="45"/>
  <c r="AB99" i="45"/>
  <c r="AA99" i="45"/>
  <c r="Z99" i="45"/>
  <c r="AG98" i="45"/>
  <c r="AE98" i="45"/>
  <c r="AD98" i="45"/>
  <c r="AC98" i="45"/>
  <c r="AG97" i="45"/>
  <c r="AE97" i="45"/>
  <c r="AD97" i="45"/>
  <c r="AC97" i="45"/>
  <c r="AB97" i="45"/>
  <c r="AA97" i="45"/>
  <c r="Z97" i="45"/>
  <c r="AG96" i="45"/>
  <c r="AE96" i="45"/>
  <c r="AD96" i="45"/>
  <c r="AC96" i="45"/>
  <c r="AB96" i="45"/>
  <c r="AA96" i="45"/>
  <c r="Z96" i="45"/>
  <c r="AG95" i="45"/>
  <c r="AE95" i="45"/>
  <c r="AD95" i="45"/>
  <c r="AC95" i="45"/>
  <c r="AB95" i="45"/>
  <c r="AA95" i="45"/>
  <c r="Z95" i="45"/>
  <c r="AG94" i="45"/>
  <c r="AE94" i="45"/>
  <c r="AD94" i="45"/>
  <c r="AC94" i="45"/>
  <c r="AB94" i="45"/>
  <c r="AA94" i="45"/>
  <c r="Z94" i="45"/>
  <c r="AG93" i="45"/>
  <c r="AE93" i="45"/>
  <c r="AD93" i="45"/>
  <c r="AC93" i="45"/>
  <c r="AB93" i="45"/>
  <c r="AA93" i="45"/>
  <c r="Z93" i="45"/>
  <c r="Y93" i="45"/>
  <c r="X93" i="45"/>
  <c r="W93" i="45"/>
  <c r="AH92" i="45"/>
  <c r="AG92" i="45"/>
  <c r="AE92" i="45"/>
  <c r="AD92" i="45"/>
  <c r="AC92" i="45"/>
  <c r="W92" i="45"/>
  <c r="AH91" i="45"/>
  <c r="AG91" i="45"/>
  <c r="AE91" i="45"/>
  <c r="AD91" i="45"/>
  <c r="AC91" i="45"/>
  <c r="AB91" i="45"/>
  <c r="AA91" i="45"/>
  <c r="Z91" i="45"/>
  <c r="Y91" i="45"/>
  <c r="X91" i="45"/>
  <c r="W91" i="45"/>
  <c r="AH90" i="45"/>
  <c r="AG90" i="45"/>
  <c r="AE90" i="45"/>
  <c r="AD90" i="45"/>
  <c r="AC90" i="45"/>
  <c r="AB90" i="45"/>
  <c r="AA90" i="45"/>
  <c r="Z90" i="45"/>
  <c r="Y90" i="45"/>
  <c r="X90" i="45"/>
  <c r="W90" i="45"/>
  <c r="AH89" i="45"/>
  <c r="AG89" i="45"/>
  <c r="AE89" i="45"/>
  <c r="AD89" i="45"/>
  <c r="AC89" i="45"/>
  <c r="AB89" i="45"/>
  <c r="AA89" i="45"/>
  <c r="Z89" i="45"/>
  <c r="Y89" i="45"/>
  <c r="X89" i="45"/>
  <c r="W89" i="45"/>
  <c r="AH88" i="45"/>
  <c r="AG88" i="45"/>
  <c r="AE88" i="45"/>
  <c r="AD88" i="45"/>
  <c r="AC88" i="45"/>
  <c r="AB88" i="45"/>
  <c r="AA88" i="45"/>
  <c r="Z88" i="45"/>
  <c r="Y88" i="45"/>
  <c r="X88" i="45"/>
  <c r="W88" i="45"/>
  <c r="AG87" i="45"/>
  <c r="AE87" i="45"/>
  <c r="AD87" i="45"/>
  <c r="AC87" i="45"/>
  <c r="AB87" i="45"/>
  <c r="AA87" i="45"/>
  <c r="Z87" i="45"/>
  <c r="AG86" i="45"/>
  <c r="AE86" i="45"/>
  <c r="AD86" i="45"/>
  <c r="AC86" i="45"/>
  <c r="AG85" i="45"/>
  <c r="AE85" i="45"/>
  <c r="AD85" i="45"/>
  <c r="AC85" i="45"/>
  <c r="AB85" i="45"/>
  <c r="AA85" i="45"/>
  <c r="Z85" i="45"/>
  <c r="AG84" i="45"/>
  <c r="AE84" i="45"/>
  <c r="AD84" i="45"/>
  <c r="AC84" i="45"/>
  <c r="AB84" i="45"/>
  <c r="AA84" i="45"/>
  <c r="Z84" i="45"/>
  <c r="AG83" i="45"/>
  <c r="AE83" i="45"/>
  <c r="AD83" i="45"/>
  <c r="AC83" i="45"/>
  <c r="AB83" i="45"/>
  <c r="AA83" i="45"/>
  <c r="Z83" i="45"/>
  <c r="AG82" i="45"/>
  <c r="AE82" i="45"/>
  <c r="AD82" i="45"/>
  <c r="AC82" i="45"/>
  <c r="AB82" i="45"/>
  <c r="AA82" i="45"/>
  <c r="Z82" i="45"/>
  <c r="AG81" i="45"/>
  <c r="AE81" i="45"/>
  <c r="AD81" i="45"/>
  <c r="AC81" i="45"/>
  <c r="AB81" i="45"/>
  <c r="AA81" i="45"/>
  <c r="Z81" i="45"/>
  <c r="Y81" i="45"/>
  <c r="X81" i="45"/>
  <c r="W81" i="45"/>
  <c r="AH80" i="45"/>
  <c r="AG80" i="45"/>
  <c r="AE80" i="45"/>
  <c r="AD80" i="45"/>
  <c r="AC80" i="45"/>
  <c r="W80" i="45"/>
  <c r="AH79" i="45"/>
  <c r="AG79" i="45"/>
  <c r="AE79" i="45"/>
  <c r="AD79" i="45"/>
  <c r="AC79" i="45"/>
  <c r="AB79" i="45"/>
  <c r="AA79" i="45"/>
  <c r="Z79" i="45"/>
  <c r="Y79" i="45"/>
  <c r="X79" i="45"/>
  <c r="W79" i="45"/>
  <c r="AH78" i="45"/>
  <c r="AG78" i="45"/>
  <c r="AE78" i="45"/>
  <c r="AD78" i="45"/>
  <c r="AC78" i="45"/>
  <c r="AB78" i="45"/>
  <c r="AA78" i="45"/>
  <c r="Z78" i="45"/>
  <c r="Y78" i="45"/>
  <c r="X78" i="45"/>
  <c r="W78" i="45"/>
  <c r="AH77" i="45"/>
  <c r="AG77" i="45"/>
  <c r="AE77" i="45"/>
  <c r="AD77" i="45"/>
  <c r="AC77" i="45"/>
  <c r="AB77" i="45"/>
  <c r="AA77" i="45"/>
  <c r="Z77" i="45"/>
  <c r="Y77" i="45"/>
  <c r="X77" i="45"/>
  <c r="W77" i="45"/>
  <c r="AH76" i="45"/>
  <c r="AG76" i="45"/>
  <c r="AE76" i="45"/>
  <c r="AD76" i="45"/>
  <c r="AC76" i="45"/>
  <c r="AB76" i="45"/>
  <c r="AA76" i="45"/>
  <c r="Z76" i="45"/>
  <c r="Y76" i="45"/>
  <c r="X76" i="45"/>
  <c r="W76" i="45"/>
  <c r="AG75" i="45"/>
  <c r="AE75" i="45"/>
  <c r="AD75" i="45"/>
  <c r="AC75" i="45"/>
  <c r="AB75" i="45"/>
  <c r="AA75" i="45"/>
  <c r="Z75" i="45"/>
  <c r="AG74" i="45"/>
  <c r="AE74" i="45"/>
  <c r="AD74" i="45"/>
  <c r="AC74" i="45"/>
  <c r="AG73" i="45"/>
  <c r="AE73" i="45"/>
  <c r="AD73" i="45"/>
  <c r="AC73" i="45"/>
  <c r="AB73" i="45"/>
  <c r="AA73" i="45"/>
  <c r="Z73" i="45"/>
  <c r="AG72" i="45"/>
  <c r="AE72" i="45"/>
  <c r="AD72" i="45"/>
  <c r="AC72" i="45"/>
  <c r="AB72" i="45"/>
  <c r="AA72" i="45"/>
  <c r="Z72" i="45"/>
  <c r="AG71" i="45"/>
  <c r="AE71" i="45"/>
  <c r="AD71" i="45"/>
  <c r="AC71" i="45"/>
  <c r="AB71" i="45"/>
  <c r="AA71" i="45"/>
  <c r="Z71" i="45"/>
  <c r="AG70" i="45"/>
  <c r="AE70" i="45"/>
  <c r="AD70" i="45"/>
  <c r="AC70" i="45"/>
  <c r="AB70" i="45"/>
  <c r="AA70" i="45"/>
  <c r="Z70" i="45"/>
  <c r="AG69" i="45"/>
  <c r="AE69" i="45"/>
  <c r="AD69" i="45"/>
  <c r="AC69" i="45"/>
  <c r="AB69" i="45"/>
  <c r="AA69" i="45"/>
  <c r="Z69" i="45"/>
  <c r="Y69" i="45"/>
  <c r="X69" i="45"/>
  <c r="W69" i="45"/>
  <c r="AH68" i="45"/>
  <c r="AG68" i="45"/>
  <c r="AE68" i="45"/>
  <c r="AD68" i="45"/>
  <c r="AC68" i="45"/>
  <c r="W68" i="45"/>
  <c r="AH67" i="45"/>
  <c r="AG67" i="45"/>
  <c r="AE67" i="45"/>
  <c r="AD67" i="45"/>
  <c r="AC67" i="45"/>
  <c r="AB67" i="45"/>
  <c r="AA67" i="45"/>
  <c r="Z67" i="45"/>
  <c r="Y67" i="45"/>
  <c r="X67" i="45"/>
  <c r="W67" i="45"/>
  <c r="AH66" i="45"/>
  <c r="AG66" i="45"/>
  <c r="AE66" i="45"/>
  <c r="AD66" i="45"/>
  <c r="AC66" i="45"/>
  <c r="AB66" i="45"/>
  <c r="AA66" i="45"/>
  <c r="Z66" i="45"/>
  <c r="Y66" i="45"/>
  <c r="X66" i="45"/>
  <c r="W66" i="45"/>
  <c r="AH65" i="45"/>
  <c r="AG65" i="45"/>
  <c r="AE65" i="45"/>
  <c r="AD65" i="45"/>
  <c r="AC65" i="45"/>
  <c r="AB65" i="45"/>
  <c r="AA65" i="45"/>
  <c r="Z65" i="45"/>
  <c r="Y65" i="45"/>
  <c r="X65" i="45"/>
  <c r="W65" i="45"/>
  <c r="AH64" i="45"/>
  <c r="AG64" i="45"/>
  <c r="AE64" i="45"/>
  <c r="AD64" i="45"/>
  <c r="AC64" i="45"/>
  <c r="AB64" i="45"/>
  <c r="AA64" i="45"/>
  <c r="Z64" i="45"/>
  <c r="Y64" i="45"/>
  <c r="X64" i="45"/>
  <c r="W64" i="45"/>
  <c r="AG63" i="45"/>
  <c r="AE63" i="45"/>
  <c r="AD63" i="45"/>
  <c r="AC63" i="45"/>
  <c r="AB63" i="45"/>
  <c r="AA63" i="45"/>
  <c r="Z63" i="45"/>
  <c r="AG62" i="45"/>
  <c r="AE62" i="45"/>
  <c r="AD62" i="45"/>
  <c r="AC62" i="45"/>
  <c r="AG61" i="45"/>
  <c r="AE61" i="45"/>
  <c r="AD61" i="45"/>
  <c r="AC61" i="45"/>
  <c r="AB61" i="45"/>
  <c r="AA61" i="45"/>
  <c r="Z61" i="45"/>
  <c r="AG60" i="45"/>
  <c r="AE60" i="45"/>
  <c r="AD60" i="45"/>
  <c r="AC60" i="45"/>
  <c r="AB60" i="45"/>
  <c r="AA60" i="45"/>
  <c r="Z60" i="45"/>
  <c r="AG59" i="45"/>
  <c r="AE59" i="45"/>
  <c r="AD59" i="45"/>
  <c r="AC59" i="45"/>
  <c r="AB59" i="45"/>
  <c r="AA59" i="45"/>
  <c r="Z59" i="45"/>
  <c r="AG58" i="45"/>
  <c r="AE58" i="45"/>
  <c r="AD58" i="45"/>
  <c r="AC58" i="45"/>
  <c r="AB58" i="45"/>
  <c r="AA58" i="45"/>
  <c r="Z58" i="45"/>
  <c r="AG57" i="45"/>
  <c r="AE57" i="45"/>
  <c r="AD57" i="45"/>
  <c r="AC57" i="45"/>
  <c r="AB57" i="45"/>
  <c r="AA57" i="45"/>
  <c r="Z57" i="45"/>
  <c r="Y57" i="45"/>
  <c r="X57" i="45"/>
  <c r="W57" i="45"/>
  <c r="AH56" i="45"/>
  <c r="AG56" i="45"/>
  <c r="AE56" i="45"/>
  <c r="AD56" i="45"/>
  <c r="AC56" i="45"/>
  <c r="W56" i="45"/>
  <c r="AH55" i="45"/>
  <c r="AG55" i="45"/>
  <c r="AE55" i="45"/>
  <c r="AD55" i="45"/>
  <c r="AC55" i="45"/>
  <c r="AB55" i="45"/>
  <c r="AA55" i="45"/>
  <c r="Z55" i="45"/>
  <c r="Y55" i="45"/>
  <c r="X55" i="45"/>
  <c r="W55" i="45"/>
  <c r="AH54" i="45"/>
  <c r="AG54" i="45"/>
  <c r="AE54" i="45"/>
  <c r="AD54" i="45"/>
  <c r="AC54" i="45"/>
  <c r="AB54" i="45"/>
  <c r="AA54" i="45"/>
  <c r="Z54" i="45"/>
  <c r="Y54" i="45"/>
  <c r="X54" i="45"/>
  <c r="W54" i="45"/>
  <c r="AH53" i="45"/>
  <c r="AG53" i="45"/>
  <c r="AE53" i="45"/>
  <c r="AD53" i="45"/>
  <c r="AC53" i="45"/>
  <c r="AB53" i="45"/>
  <c r="AA53" i="45"/>
  <c r="Z53" i="45"/>
  <c r="Y53" i="45"/>
  <c r="X53" i="45"/>
  <c r="W53" i="45"/>
  <c r="AH52" i="45"/>
  <c r="AG52" i="45"/>
  <c r="AE52" i="45"/>
  <c r="AD52" i="45"/>
  <c r="AC52" i="45"/>
  <c r="AB52" i="45"/>
  <c r="AA52" i="45"/>
  <c r="Z52" i="45"/>
  <c r="Y52" i="45"/>
  <c r="X52" i="45"/>
  <c r="W52" i="45"/>
  <c r="AB51" i="45"/>
  <c r="AA51" i="45"/>
  <c r="Z51" i="45"/>
  <c r="AB49" i="45"/>
  <c r="AA49" i="45"/>
  <c r="Z49" i="45"/>
  <c r="AB48" i="45"/>
  <c r="AA48" i="45"/>
  <c r="Z48" i="45"/>
  <c r="AB47" i="45"/>
  <c r="AA47" i="45"/>
  <c r="Z47" i="45"/>
  <c r="AB46" i="45"/>
  <c r="AA46" i="45"/>
  <c r="Z46" i="45"/>
  <c r="AB45" i="45"/>
  <c r="AA45" i="45"/>
  <c r="Z45" i="45"/>
  <c r="Y45" i="45"/>
  <c r="X45" i="45"/>
  <c r="W45" i="45"/>
  <c r="W44" i="45"/>
  <c r="AB43" i="45"/>
  <c r="AA43" i="45"/>
  <c r="Z43" i="45"/>
  <c r="Y43" i="45"/>
  <c r="X43" i="45"/>
  <c r="W43" i="45"/>
  <c r="AB42" i="45"/>
  <c r="AA42" i="45"/>
  <c r="Z42" i="45"/>
  <c r="Y42" i="45"/>
  <c r="X42" i="45"/>
  <c r="W42" i="45"/>
  <c r="AB41" i="45"/>
  <c r="AA41" i="45"/>
  <c r="Z41" i="45"/>
  <c r="Y41" i="45"/>
  <c r="X41" i="45"/>
  <c r="W41" i="45"/>
  <c r="AB40" i="45"/>
  <c r="AA40" i="45"/>
  <c r="Z40" i="45"/>
  <c r="Y40" i="45"/>
  <c r="X40" i="45"/>
  <c r="W40" i="45"/>
  <c r="AB39" i="45"/>
  <c r="AA39" i="45"/>
  <c r="Z39" i="45"/>
  <c r="AB37" i="45"/>
  <c r="AA37" i="45"/>
  <c r="Z37" i="45"/>
  <c r="AB36" i="45"/>
  <c r="AA36" i="45"/>
  <c r="Z36" i="45"/>
  <c r="AB35" i="45"/>
  <c r="AA35" i="45"/>
  <c r="Z35" i="45"/>
  <c r="AB34" i="45"/>
  <c r="AA34" i="45"/>
  <c r="Z34" i="45"/>
  <c r="AB33" i="45"/>
  <c r="AA33" i="45"/>
  <c r="Z33" i="45"/>
  <c r="Y33" i="45"/>
  <c r="X33" i="45"/>
  <c r="W33" i="45"/>
  <c r="W32" i="45"/>
  <c r="AB31" i="45"/>
  <c r="AA31" i="45"/>
  <c r="Z31" i="45"/>
  <c r="Y31" i="45"/>
  <c r="X31" i="45"/>
  <c r="W31" i="45"/>
  <c r="AB30" i="45"/>
  <c r="AA30" i="45"/>
  <c r="Z30" i="45"/>
  <c r="Y30" i="45"/>
  <c r="X30" i="45"/>
  <c r="W30" i="45"/>
  <c r="AB29" i="45"/>
  <c r="AA29" i="45"/>
  <c r="Z29" i="45"/>
  <c r="Y29" i="45"/>
  <c r="X29" i="45"/>
  <c r="W29" i="45"/>
  <c r="AB28" i="45"/>
  <c r="AA28" i="45"/>
  <c r="Z28" i="45"/>
  <c r="Y28" i="45"/>
  <c r="X28" i="45"/>
  <c r="W28" i="45"/>
  <c r="AB27" i="45"/>
  <c r="AA27" i="45"/>
  <c r="Z27" i="45"/>
  <c r="AB25" i="45"/>
  <c r="AA25" i="45"/>
  <c r="Z25" i="45"/>
  <c r="AB24" i="45"/>
  <c r="AA24" i="45"/>
  <c r="Z24" i="45"/>
  <c r="AB23" i="45"/>
  <c r="AA23" i="45"/>
  <c r="Z23" i="45"/>
  <c r="AB22" i="45"/>
  <c r="AA22" i="45"/>
  <c r="Z22" i="45"/>
  <c r="AB21" i="45"/>
  <c r="AA21" i="45"/>
  <c r="Z21" i="45"/>
  <c r="Y21" i="45"/>
  <c r="X21" i="45"/>
  <c r="W21" i="45"/>
  <c r="W20" i="45"/>
  <c r="AB19" i="45"/>
  <c r="AA19" i="45"/>
  <c r="Z19" i="45"/>
  <c r="Y19" i="45"/>
  <c r="X19" i="45"/>
  <c r="W19" i="45"/>
  <c r="AB18" i="45"/>
  <c r="AA18" i="45"/>
  <c r="Z18" i="45"/>
  <c r="Y18" i="45"/>
  <c r="X18" i="45"/>
  <c r="W18" i="45"/>
  <c r="AB17" i="45"/>
  <c r="AA17" i="45"/>
  <c r="Z17" i="45"/>
  <c r="Y17" i="45"/>
  <c r="X17" i="45"/>
  <c r="W17" i="45"/>
  <c r="AC16" i="45"/>
  <c r="AB16" i="45"/>
  <c r="AA16" i="45"/>
  <c r="Z16" i="45"/>
  <c r="Y16" i="45"/>
  <c r="X16" i="45"/>
  <c r="W16" i="45"/>
  <c r="AB15" i="45"/>
  <c r="AA15" i="45"/>
  <c r="Z15" i="45"/>
  <c r="AB13" i="45"/>
  <c r="AA13" i="45"/>
  <c r="Z13" i="45"/>
  <c r="AB12" i="45"/>
  <c r="AA12" i="45"/>
  <c r="Z12" i="45"/>
  <c r="AB11" i="45"/>
  <c r="AA11" i="45"/>
  <c r="Z11" i="45"/>
  <c r="AJ10" i="45"/>
  <c r="AI10" i="45"/>
  <c r="AG10" i="45"/>
  <c r="AF10" i="45"/>
  <c r="AE10" i="45"/>
  <c r="AD10" i="45"/>
  <c r="AB10" i="45"/>
  <c r="AA10" i="45"/>
  <c r="Z10" i="45"/>
  <c r="AJ9" i="45"/>
  <c r="AI9" i="45"/>
  <c r="AG9" i="45"/>
  <c r="AF9" i="45"/>
  <c r="AE9" i="45"/>
  <c r="AD9" i="45"/>
  <c r="AB9" i="45"/>
  <c r="AA9" i="45"/>
  <c r="Z9" i="45"/>
  <c r="Y9" i="45"/>
  <c r="X9" i="45"/>
  <c r="W9" i="45"/>
  <c r="W8" i="45"/>
  <c r="AJ7" i="45"/>
  <c r="AI7" i="45"/>
  <c r="AG7" i="45"/>
  <c r="AF7" i="45"/>
  <c r="AE7" i="45"/>
  <c r="AD7" i="45"/>
  <c r="AB7" i="45"/>
  <c r="AA7" i="45"/>
  <c r="Z7" i="45"/>
  <c r="Y7" i="45"/>
  <c r="X7" i="45"/>
  <c r="W7" i="45"/>
  <c r="AJ6" i="45"/>
  <c r="AI6" i="45"/>
  <c r="AG6" i="45"/>
  <c r="AF6" i="45"/>
  <c r="AE6" i="45"/>
  <c r="AD6" i="45"/>
  <c r="AB6" i="45"/>
  <c r="AA6" i="45"/>
  <c r="Z6" i="45"/>
  <c r="Y6" i="45"/>
  <c r="X6" i="45"/>
  <c r="W6" i="45"/>
  <c r="AJ5" i="45"/>
  <c r="AG5" i="45"/>
  <c r="AF5" i="45"/>
  <c r="AE5" i="45"/>
  <c r="AD5" i="45"/>
  <c r="AB5" i="45"/>
  <c r="AA5" i="45"/>
  <c r="Z5" i="45"/>
  <c r="Y5" i="45"/>
  <c r="X5" i="45"/>
  <c r="W5" i="45"/>
  <c r="AJ4" i="45"/>
  <c r="AI4" i="45"/>
  <c r="AG4" i="45"/>
  <c r="AF4" i="45"/>
  <c r="AE4" i="45"/>
  <c r="AD4" i="45"/>
  <c r="AC4" i="45"/>
  <c r="AB4" i="45"/>
  <c r="AA4" i="45"/>
  <c r="Z4" i="45"/>
  <c r="Y4" i="45"/>
  <c r="X4" i="45"/>
  <c r="W4" i="45"/>
  <c r="G33" i="42"/>
  <c r="G32" i="42"/>
  <c r="G31" i="42"/>
  <c r="G30" i="42"/>
  <c r="G29" i="42"/>
  <c r="G28" i="42"/>
  <c r="G27" i="42"/>
  <c r="G26" i="42"/>
  <c r="G25" i="42"/>
  <c r="G24" i="42"/>
  <c r="G23" i="42"/>
  <c r="G22" i="42"/>
  <c r="G21" i="42"/>
  <c r="G20" i="42"/>
  <c r="G19" i="42"/>
  <c r="G18" i="42"/>
  <c r="G17" i="42"/>
  <c r="G16" i="42"/>
  <c r="G15" i="42"/>
  <c r="G14" i="42"/>
  <c r="G13" i="42"/>
  <c r="G12" i="42"/>
  <c r="G11" i="42"/>
  <c r="G10" i="42"/>
  <c r="G9" i="42"/>
  <c r="G8" i="42"/>
  <c r="G7" i="42"/>
  <c r="G6" i="42"/>
  <c r="G5" i="42"/>
  <c r="G4" i="42"/>
  <c r="D4" i="42"/>
  <c r="G3" i="42"/>
  <c r="D92" i="26"/>
  <c r="D91" i="26"/>
  <c r="F90" i="26"/>
  <c r="D90" i="26"/>
  <c r="F89" i="26"/>
  <c r="D89" i="26"/>
  <c r="F88" i="26"/>
  <c r="D88" i="26"/>
  <c r="F87" i="26"/>
  <c r="D87" i="26"/>
  <c r="F86" i="26"/>
  <c r="D86" i="26"/>
  <c r="F85" i="26"/>
  <c r="D85" i="26"/>
  <c r="F84" i="26"/>
  <c r="D84" i="26"/>
  <c r="F83" i="26"/>
  <c r="D83" i="26"/>
  <c r="S82" i="26"/>
  <c r="F82" i="26"/>
  <c r="D82" i="26"/>
  <c r="F81" i="26"/>
  <c r="D81" i="26"/>
  <c r="U80" i="26"/>
  <c r="S80" i="26"/>
  <c r="J80" i="26"/>
  <c r="F80" i="26"/>
  <c r="D80" i="26"/>
  <c r="U79" i="26"/>
  <c r="S79" i="26"/>
  <c r="J79" i="26"/>
  <c r="F79" i="26"/>
  <c r="D79" i="26"/>
  <c r="U78" i="26"/>
  <c r="S78" i="26"/>
  <c r="F78" i="26"/>
  <c r="D78" i="26"/>
  <c r="U77" i="26"/>
  <c r="S77" i="26"/>
  <c r="N77" i="26"/>
  <c r="L77" i="26"/>
  <c r="J77" i="26"/>
  <c r="F77" i="26"/>
  <c r="D77" i="26"/>
  <c r="U76" i="26"/>
  <c r="S76" i="26"/>
  <c r="N76" i="26"/>
  <c r="L76" i="26"/>
  <c r="J76" i="26"/>
  <c r="F76" i="26"/>
  <c r="D76" i="26"/>
  <c r="U75" i="26"/>
  <c r="S75" i="26"/>
  <c r="N75" i="26"/>
  <c r="L75" i="26"/>
  <c r="J75" i="26"/>
  <c r="F75" i="26"/>
  <c r="D75" i="26"/>
  <c r="U74" i="26"/>
  <c r="S74" i="26"/>
  <c r="AA70" i="26"/>
  <c r="Z70" i="26"/>
  <c r="X70" i="26"/>
  <c r="W70" i="26"/>
  <c r="V70" i="26"/>
  <c r="U70" i="26"/>
  <c r="T70" i="26"/>
  <c r="S70" i="26"/>
  <c r="R70" i="26"/>
  <c r="Q70" i="26"/>
  <c r="P70" i="26"/>
  <c r="O70" i="26"/>
  <c r="N70" i="26"/>
  <c r="M70" i="26"/>
  <c r="L70" i="26"/>
  <c r="K70" i="26"/>
  <c r="J70" i="26"/>
  <c r="I70" i="26"/>
  <c r="H70" i="26"/>
  <c r="G70" i="26"/>
  <c r="F70" i="26"/>
  <c r="E70" i="26"/>
  <c r="D70" i="26"/>
  <c r="C70" i="26"/>
  <c r="AB69" i="26"/>
  <c r="AA69" i="26"/>
  <c r="Z69" i="26"/>
  <c r="X69" i="26"/>
  <c r="W69" i="26"/>
  <c r="V69" i="26"/>
  <c r="U69" i="26"/>
  <c r="T69" i="26"/>
  <c r="S69" i="26"/>
  <c r="R69" i="26"/>
  <c r="Q69" i="26"/>
  <c r="P69" i="26"/>
  <c r="O69" i="26"/>
  <c r="N69" i="26"/>
  <c r="L69" i="26"/>
  <c r="K69" i="26"/>
  <c r="J69" i="26"/>
  <c r="I69" i="26"/>
  <c r="H69" i="26"/>
  <c r="G69" i="26"/>
  <c r="F69" i="26"/>
  <c r="E69" i="26"/>
  <c r="D69" i="26"/>
  <c r="C69" i="26"/>
  <c r="AB65" i="26"/>
  <c r="AA65" i="26"/>
  <c r="Z65" i="26"/>
  <c r="F65" i="26"/>
  <c r="AB64" i="26"/>
  <c r="AA64" i="26"/>
  <c r="Z64" i="26"/>
  <c r="F64" i="26"/>
  <c r="AB63" i="26"/>
  <c r="AA63" i="26"/>
  <c r="Z63" i="26"/>
  <c r="F63" i="26"/>
  <c r="AB62" i="26"/>
  <c r="AA62" i="26"/>
  <c r="Z62" i="26"/>
  <c r="F62" i="26"/>
  <c r="AB61" i="26"/>
  <c r="AA61" i="26"/>
  <c r="Z61" i="26"/>
  <c r="F61" i="26"/>
  <c r="AB60" i="26"/>
  <c r="AA60" i="26"/>
  <c r="Z60" i="26"/>
  <c r="F60" i="26"/>
  <c r="AB59" i="26"/>
  <c r="AA59" i="26"/>
  <c r="Z59" i="26"/>
  <c r="F59" i="26"/>
  <c r="AB58" i="26"/>
  <c r="AA58" i="26"/>
  <c r="Z58" i="26"/>
  <c r="F58" i="26"/>
  <c r="AB57" i="26"/>
  <c r="AA57" i="26"/>
  <c r="Z57" i="26"/>
  <c r="F57" i="26"/>
  <c r="AB56" i="26"/>
  <c r="AA56" i="26"/>
  <c r="Z56" i="26"/>
  <c r="F56" i="26"/>
  <c r="AB55" i="26"/>
  <c r="AA55" i="26"/>
  <c r="Z55" i="26"/>
  <c r="F55" i="26"/>
  <c r="AB54" i="26"/>
  <c r="AA54" i="26"/>
  <c r="Z54" i="26"/>
  <c r="F54" i="26"/>
  <c r="AB53" i="26"/>
  <c r="AA53" i="26"/>
  <c r="Z53" i="26"/>
  <c r="F53" i="26"/>
  <c r="AB52" i="26"/>
  <c r="AA52" i="26"/>
  <c r="Z52" i="26"/>
  <c r="F52" i="26"/>
  <c r="AB51" i="26"/>
  <c r="AA51" i="26"/>
  <c r="Z51" i="26"/>
  <c r="F51" i="26"/>
  <c r="AB50" i="26"/>
  <c r="AA50" i="26"/>
  <c r="Z50" i="26"/>
  <c r="F50" i="26"/>
  <c r="AB49" i="26"/>
  <c r="AA49" i="26"/>
  <c r="Z49" i="26"/>
  <c r="F49" i="26"/>
  <c r="AB48" i="26"/>
  <c r="AA48" i="26"/>
  <c r="Z48" i="26"/>
  <c r="F48" i="26"/>
  <c r="AB47" i="26"/>
  <c r="AA47" i="26"/>
  <c r="Z47" i="26"/>
  <c r="F47" i="26"/>
  <c r="AB46" i="26"/>
  <c r="AA46" i="26"/>
  <c r="Z46" i="26"/>
  <c r="F46" i="26"/>
  <c r="AB45" i="26"/>
  <c r="AA45" i="26"/>
  <c r="Z45" i="26"/>
  <c r="F45" i="26"/>
  <c r="AB44" i="26"/>
  <c r="AA44" i="26"/>
  <c r="Z44" i="26"/>
  <c r="F44" i="26"/>
  <c r="AB43" i="26"/>
  <c r="AA43" i="26"/>
  <c r="Z43" i="26"/>
  <c r="F43" i="26"/>
  <c r="AB42" i="26"/>
  <c r="AA42" i="26"/>
  <c r="Z42" i="26"/>
  <c r="F42" i="26"/>
  <c r="AB41" i="26"/>
  <c r="AA41" i="26"/>
  <c r="Z41" i="26"/>
  <c r="F41" i="26"/>
  <c r="AB40" i="26"/>
  <c r="AA40" i="26"/>
  <c r="Z40" i="26"/>
  <c r="F40" i="26"/>
  <c r="AB39" i="26"/>
  <c r="AA39" i="26"/>
  <c r="Z39" i="26"/>
  <c r="F39" i="26"/>
  <c r="AB38" i="26"/>
  <c r="AA38" i="26"/>
  <c r="Z38" i="26"/>
  <c r="F38" i="26"/>
  <c r="AB37" i="26"/>
  <c r="AA37" i="26"/>
  <c r="Z37" i="26"/>
  <c r="F37" i="26"/>
  <c r="AB36" i="26"/>
  <c r="AA36" i="26"/>
  <c r="Z36" i="26"/>
  <c r="F36" i="26"/>
  <c r="AB35" i="26"/>
  <c r="AA35" i="26"/>
  <c r="Z35" i="26"/>
  <c r="F35" i="26"/>
  <c r="AB34" i="26"/>
  <c r="AA34" i="26"/>
  <c r="Z34" i="26"/>
  <c r="F34" i="26"/>
  <c r="AB33" i="26"/>
  <c r="AA33" i="26"/>
  <c r="Z33" i="26"/>
  <c r="F33" i="26"/>
  <c r="AB32" i="26"/>
  <c r="AA32" i="26"/>
  <c r="Z32" i="26"/>
  <c r="F32" i="26"/>
  <c r="AB31" i="26"/>
  <c r="AA31" i="26"/>
  <c r="Z31" i="26"/>
  <c r="F31" i="26"/>
  <c r="AB30" i="26"/>
  <c r="AA30" i="26"/>
  <c r="Z30" i="26"/>
  <c r="F30" i="26"/>
  <c r="AB29" i="26"/>
  <c r="AA29" i="26"/>
  <c r="Z29" i="26"/>
  <c r="F29" i="26"/>
  <c r="AB28" i="26"/>
  <c r="AA28" i="26"/>
  <c r="Z28" i="26"/>
  <c r="F28" i="26"/>
  <c r="AB27" i="26"/>
  <c r="AA27" i="26"/>
  <c r="Z27" i="26"/>
  <c r="F27" i="26"/>
  <c r="AB26" i="26"/>
  <c r="AA26" i="26"/>
  <c r="Z26" i="26"/>
  <c r="F26" i="26"/>
  <c r="AB25" i="26"/>
  <c r="AA25" i="26"/>
  <c r="Z25" i="26"/>
  <c r="F25" i="26"/>
  <c r="AB24" i="26"/>
  <c r="AA24" i="26"/>
  <c r="Z24" i="26"/>
  <c r="F24" i="26"/>
  <c r="AB23" i="26"/>
  <c r="AA23" i="26"/>
  <c r="Z23" i="26"/>
  <c r="F23" i="26"/>
  <c r="AB22" i="26"/>
  <c r="AA22" i="26"/>
  <c r="Z22" i="26"/>
  <c r="F22" i="26"/>
  <c r="AB21" i="26"/>
  <c r="AA21" i="26"/>
  <c r="Z21" i="26"/>
  <c r="F21" i="26"/>
  <c r="AB20" i="26"/>
  <c r="AA20" i="26"/>
  <c r="Z20" i="26"/>
  <c r="F20" i="26"/>
  <c r="AB19" i="26"/>
  <c r="AA19" i="26"/>
  <c r="Z19" i="26"/>
  <c r="F19" i="26"/>
  <c r="AB18" i="26"/>
  <c r="AA18" i="26"/>
  <c r="Z18" i="26"/>
  <c r="F18" i="26"/>
  <c r="AB17" i="26"/>
  <c r="AA17" i="26"/>
  <c r="Z17" i="26"/>
  <c r="F17" i="26"/>
  <c r="AB16" i="26"/>
  <c r="AA16" i="26"/>
  <c r="Z16" i="26"/>
  <c r="F16" i="26"/>
  <c r="AB15" i="26"/>
  <c r="AA15" i="26"/>
  <c r="Z15" i="26"/>
  <c r="F15" i="26"/>
  <c r="AB14" i="26"/>
  <c r="AA14" i="26"/>
  <c r="Z14" i="26"/>
  <c r="F14" i="26"/>
  <c r="AB13" i="26"/>
  <c r="AA13" i="26"/>
  <c r="Z13" i="26"/>
  <c r="F13" i="26"/>
  <c r="AB12" i="26"/>
  <c r="AA12" i="26"/>
  <c r="Z12" i="26"/>
  <c r="F12" i="26"/>
  <c r="AB11" i="26"/>
  <c r="AA11" i="26"/>
  <c r="Z11" i="26"/>
  <c r="F11" i="26"/>
  <c r="AB10" i="26"/>
  <c r="AA10" i="26"/>
  <c r="Z10" i="26"/>
  <c r="F10" i="26"/>
  <c r="AB9" i="26"/>
  <c r="AA9" i="26"/>
  <c r="Z9" i="26"/>
  <c r="F9" i="26"/>
  <c r="AB8" i="26"/>
  <c r="AA8" i="26"/>
  <c r="Z8" i="26"/>
  <c r="F8" i="26"/>
  <c r="AB7" i="26"/>
  <c r="AA7" i="26"/>
  <c r="Z7" i="26"/>
  <c r="F7" i="26"/>
  <c r="AB6" i="26"/>
  <c r="AA6" i="26"/>
  <c r="Z6" i="26"/>
  <c r="F6" i="26"/>
  <c r="P34" i="41"/>
  <c r="O34" i="41"/>
  <c r="N34" i="41"/>
  <c r="M34" i="41"/>
  <c r="L34" i="41"/>
  <c r="K34" i="41"/>
  <c r="J34" i="41"/>
  <c r="I34" i="41"/>
  <c r="H34" i="41"/>
  <c r="Q33" i="41"/>
  <c r="P33" i="41"/>
  <c r="O33" i="41"/>
  <c r="K33" i="41"/>
  <c r="Q32" i="41"/>
  <c r="P32" i="41"/>
  <c r="O32" i="41"/>
  <c r="N32" i="41"/>
  <c r="K32" i="41"/>
  <c r="Q31" i="41"/>
  <c r="P31" i="41"/>
  <c r="O31" i="41"/>
  <c r="N31" i="41"/>
  <c r="K31" i="41"/>
  <c r="Q30" i="41"/>
  <c r="P30" i="41"/>
  <c r="O30" i="41"/>
  <c r="N30" i="41"/>
  <c r="K30" i="41"/>
  <c r="F30" i="41"/>
  <c r="Q29" i="41"/>
  <c r="P29" i="41"/>
  <c r="O29" i="41"/>
  <c r="N29" i="41"/>
  <c r="K29" i="41"/>
  <c r="F29" i="41"/>
  <c r="Q28" i="41"/>
  <c r="P28" i="41"/>
  <c r="O28" i="41"/>
  <c r="N28" i="41"/>
  <c r="K28" i="41"/>
  <c r="F28" i="41"/>
  <c r="Q27" i="41"/>
  <c r="P27" i="41"/>
  <c r="O27" i="41"/>
  <c r="N27" i="41"/>
  <c r="K27" i="41"/>
  <c r="F27" i="41"/>
  <c r="Q26" i="41"/>
  <c r="P26" i="41"/>
  <c r="O26" i="41"/>
  <c r="N26" i="41"/>
  <c r="K26" i="41"/>
  <c r="F26" i="41"/>
  <c r="Q25" i="41"/>
  <c r="P25" i="41"/>
  <c r="O25" i="41"/>
  <c r="N25" i="41"/>
  <c r="K25" i="41"/>
  <c r="F25" i="41"/>
  <c r="Q24" i="41"/>
  <c r="P24" i="41"/>
  <c r="O24" i="41"/>
  <c r="N24" i="41"/>
  <c r="K24" i="41"/>
  <c r="F24" i="41"/>
  <c r="Q23" i="41"/>
  <c r="P23" i="41"/>
  <c r="O23" i="41"/>
  <c r="N23" i="41"/>
  <c r="K23" i="41"/>
  <c r="F23" i="41"/>
  <c r="Q22" i="41"/>
  <c r="P22" i="41"/>
  <c r="O22" i="41"/>
  <c r="N22" i="41"/>
  <c r="K22" i="41"/>
  <c r="F22" i="41"/>
  <c r="Q21" i="41"/>
  <c r="P21" i="41"/>
  <c r="O21" i="41"/>
  <c r="N21" i="41"/>
  <c r="K21" i="41"/>
  <c r="F21" i="41"/>
  <c r="Q20" i="41"/>
  <c r="P20" i="41"/>
  <c r="O20" i="41"/>
  <c r="N20" i="41"/>
  <c r="K20" i="41"/>
  <c r="F20" i="41"/>
  <c r="Q19" i="41"/>
  <c r="P19" i="41"/>
  <c r="O19" i="41"/>
  <c r="N19" i="41"/>
  <c r="K19" i="41"/>
  <c r="F19" i="41"/>
  <c r="Q18" i="41"/>
  <c r="P18" i="41"/>
  <c r="O18" i="41"/>
  <c r="N18" i="41"/>
  <c r="K18" i="41"/>
  <c r="F18" i="41"/>
  <c r="Q17" i="41"/>
  <c r="P17" i="41"/>
  <c r="O17" i="41"/>
  <c r="N17" i="41"/>
  <c r="K17" i="41"/>
  <c r="F17" i="41"/>
  <c r="Q16" i="41"/>
  <c r="P16" i="41"/>
  <c r="O16" i="41"/>
  <c r="N16" i="41"/>
  <c r="K16" i="41"/>
  <c r="F16" i="41"/>
  <c r="Q15" i="41"/>
  <c r="P15" i="41"/>
  <c r="O15" i="41"/>
  <c r="N15" i="41"/>
  <c r="K15" i="41"/>
  <c r="F15" i="41"/>
  <c r="Q14" i="41"/>
  <c r="P14" i="41"/>
  <c r="O14" i="41"/>
  <c r="N14" i="41"/>
  <c r="K14" i="41"/>
  <c r="F14" i="41"/>
  <c r="Q13" i="41"/>
  <c r="P13" i="41"/>
  <c r="O13" i="41"/>
  <c r="N13" i="41"/>
  <c r="K13" i="41"/>
  <c r="F13" i="41"/>
  <c r="Q12" i="41"/>
  <c r="P12" i="41"/>
  <c r="O12" i="41"/>
  <c r="N12" i="41"/>
  <c r="K12" i="41"/>
  <c r="F12" i="41"/>
  <c r="Q11" i="41"/>
  <c r="P11" i="41"/>
  <c r="O11" i="41"/>
  <c r="N11" i="41"/>
  <c r="K11" i="41"/>
  <c r="F11" i="41"/>
  <c r="Q10" i="41"/>
  <c r="P10" i="41"/>
  <c r="O10" i="41"/>
  <c r="N10" i="41"/>
  <c r="K10" i="41"/>
  <c r="F10" i="41"/>
  <c r="Q9" i="41"/>
  <c r="P9" i="41"/>
  <c r="O9" i="41"/>
  <c r="N9" i="41"/>
  <c r="K9" i="41"/>
  <c r="F9" i="41"/>
  <c r="Q8" i="41"/>
  <c r="P8" i="41"/>
  <c r="O8" i="41"/>
  <c r="N8" i="41"/>
  <c r="K8" i="41"/>
  <c r="F8" i="41"/>
  <c r="Q7" i="41"/>
  <c r="P7" i="41"/>
  <c r="O7" i="41"/>
  <c r="N7" i="41"/>
  <c r="K7" i="41"/>
  <c r="F7" i="41"/>
  <c r="Q6" i="41"/>
  <c r="P6" i="41"/>
  <c r="O6" i="41"/>
  <c r="N6" i="41"/>
  <c r="K6" i="41"/>
  <c r="F6" i="41"/>
  <c r="Q5" i="41"/>
  <c r="P5" i="41"/>
  <c r="O5" i="41"/>
  <c r="N5" i="41"/>
  <c r="K5" i="41"/>
  <c r="F5" i="41"/>
  <c r="Q4" i="41"/>
  <c r="P4" i="41"/>
  <c r="O4" i="41"/>
  <c r="N4" i="41"/>
  <c r="K4" i="41"/>
  <c r="F4" i="41"/>
  <c r="Q3" i="41"/>
  <c r="P3" i="41"/>
  <c r="O3" i="41"/>
  <c r="N3" i="41"/>
  <c r="K3" i="41"/>
  <c r="F3" i="4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yunus.yusuf</author>
  </authors>
  <commentList>
    <comment ref="A3" authorId="0" shapeId="0" xr:uid="{00000000-0006-0000-0000-000001000000}">
      <text>
        <r>
          <rPr>
            <b/>
            <sz val="9"/>
            <rFont val="Times New Roman"/>
          </rPr>
          <t>yunus.yusuf:</t>
        </r>
        <r>
          <rPr>
            <sz val="9"/>
            <rFont val="Times New Roman"/>
          </rPr>
          <t xml:space="preserve">
Packer standby, tdk ada Armada Kontener yg datang</t>
        </r>
      </text>
    </comment>
    <comment ref="A4" authorId="0" shapeId="0" xr:uid="{00000000-0006-0000-0000-000002000000}">
      <text>
        <r>
          <rPr>
            <b/>
            <sz val="9"/>
            <rFont val="Times New Roman"/>
          </rPr>
          <t>yunus.yusuf:</t>
        </r>
        <r>
          <rPr>
            <sz val="9"/>
            <rFont val="Times New Roman"/>
          </rPr>
          <t xml:space="preserve">
Packer standby, tdk ada Armada Kontener yg datang
</t>
        </r>
      </text>
    </comment>
    <comment ref="A11" authorId="0" shapeId="0" xr:uid="{00000000-0006-0000-0000-000003000000}">
      <text>
        <r>
          <rPr>
            <b/>
            <sz val="9"/>
            <rFont val="Times New Roman"/>
          </rPr>
          <t>yunus.yusuf:</t>
        </r>
        <r>
          <rPr>
            <sz val="9"/>
            <rFont val="Times New Roman"/>
          </rPr>
          <t xml:space="preserve">
TDK OPERASI, HABIS SO KONTENER
</t>
        </r>
      </text>
    </comment>
    <comment ref="A15" authorId="0" shapeId="0" xr:uid="{00000000-0006-0000-0000-000004000000}">
      <text>
        <r>
          <rPr>
            <b/>
            <sz val="9"/>
            <rFont val="Times New Roman"/>
          </rPr>
          <t>yunus.yusuf:</t>
        </r>
        <r>
          <rPr>
            <sz val="9"/>
            <rFont val="Times New Roman"/>
          </rPr>
          <t xml:space="preserve">
PACKER STANDBY, TDK OPERASI (SO KONTENER HABIS)</t>
        </r>
      </text>
    </comment>
    <comment ref="A21" authorId="0" shapeId="0" xr:uid="{00000000-0006-0000-0000-000005000000}">
      <text>
        <r>
          <rPr>
            <b/>
            <sz val="9"/>
            <rFont val="Times New Roman"/>
          </rPr>
          <t>yunus.yusuf:</t>
        </r>
        <r>
          <rPr>
            <sz val="9"/>
            <rFont val="Times New Roman"/>
          </rPr>
          <t xml:space="preserve">
Packer tdk operasi/produksi krn tdk ada Kontener (KONTENER EMPTY NOT READY)
</t>
        </r>
      </text>
    </comment>
  </commentList>
</comments>
</file>

<file path=xl/sharedStrings.xml><?xml version="1.0" encoding="utf-8"?>
<sst xmlns="http://schemas.openxmlformats.org/spreadsheetml/2006/main" count="1582" uniqueCount="432">
  <si>
    <t>Tanggal</t>
  </si>
  <si>
    <t>OPC</t>
  </si>
  <si>
    <t>Total OPC (Ton)</t>
  </si>
  <si>
    <t>PCC</t>
  </si>
  <si>
    <t>Total PCC (Ton)</t>
  </si>
  <si>
    <t>PCC+</t>
  </si>
  <si>
    <t>Maxstrength</t>
  </si>
  <si>
    <t>Total Bulk</t>
  </si>
  <si>
    <t>Total Bag</t>
  </si>
  <si>
    <t>Grand Total</t>
  </si>
  <si>
    <t>Bulk</t>
  </si>
  <si>
    <t>Bag 40 kg</t>
  </si>
  <si>
    <t>Bag 50 kg</t>
  </si>
  <si>
    <t>Big Bag</t>
  </si>
  <si>
    <t>Big bag</t>
  </si>
  <si>
    <t>LAPORAN DOWNTIME PACKER PACKING PLANT MAKASSAR</t>
  </si>
  <si>
    <t>PERIODE BULAN JUNI 2025</t>
  </si>
  <si>
    <t>Tgl</t>
  </si>
  <si>
    <t>Jam Operasional</t>
  </si>
  <si>
    <t>Gangguan Internal</t>
  </si>
  <si>
    <t>External Trouble</t>
  </si>
  <si>
    <t>Other External Trouble</t>
  </si>
  <si>
    <t xml:space="preserve">Packer </t>
  </si>
  <si>
    <t>Total Gangguan Internal</t>
  </si>
  <si>
    <t>Total Gangguan External</t>
  </si>
  <si>
    <t>Availability</t>
  </si>
  <si>
    <t>Keterangan</t>
  </si>
  <si>
    <t>Normal</t>
  </si>
  <si>
    <t>Lembur</t>
  </si>
  <si>
    <t>Istirahat</t>
  </si>
  <si>
    <t>Jam Efektif</t>
  </si>
  <si>
    <t>Mekanikal</t>
  </si>
  <si>
    <t>Proses</t>
  </si>
  <si>
    <t>Elect &amp; Instr</t>
  </si>
  <si>
    <t>DO/NA</t>
  </si>
  <si>
    <t>SO Admin/BG</t>
  </si>
  <si>
    <t>Ship N/A</t>
  </si>
  <si>
    <t>Ship Trouble</t>
  </si>
  <si>
    <t>Idle truck</t>
  </si>
  <si>
    <t>Kepelabuhan</t>
  </si>
  <si>
    <t>Stok Semen</t>
  </si>
  <si>
    <t>PLN</t>
  </si>
  <si>
    <t>Kantong</t>
  </si>
  <si>
    <t>Pallete</t>
  </si>
  <si>
    <t>Switch 40/50 &amp; SG/ST</t>
  </si>
  <si>
    <t>Jaringan/SAP</t>
  </si>
  <si>
    <t>Forklift</t>
  </si>
  <si>
    <t>Operator</t>
  </si>
  <si>
    <t>Cuaca/Alam</t>
  </si>
  <si>
    <t>Packer standby, tdk ada Armada Kontener yg datang</t>
  </si>
  <si>
    <t>Armada lambat datang, tdk ada Buruh shift 2</t>
  </si>
  <si>
    <t>Pelayanan Buruh cuma Shift 1 (Jelang hari Raya Idul Adha 1446 H)</t>
  </si>
  <si>
    <t>Tdk ada Buruh (Libur hari Raya Idul Adha 1446 H)</t>
  </si>
  <si>
    <t>Packer standby, Armada Kontener Sedikit yg datang</t>
  </si>
  <si>
    <t>Cuma 4 Kontener yg datang, Packer standby, Armada Kontener Sedikit</t>
  </si>
  <si>
    <t>JAM OPERASIONAL</t>
  </si>
  <si>
    <t>Total</t>
  </si>
  <si>
    <t>Average</t>
  </si>
  <si>
    <t>INTER/PENGELOLA</t>
  </si>
  <si>
    <t>%</t>
  </si>
  <si>
    <t>Jam</t>
  </si>
  <si>
    <t>jam</t>
  </si>
  <si>
    <t>Gangguan External</t>
  </si>
  <si>
    <t>Operasi</t>
  </si>
  <si>
    <t>Off</t>
  </si>
  <si>
    <t>Prosentase</t>
  </si>
  <si>
    <t>TOTAL</t>
  </si>
  <si>
    <t>Working hours</t>
  </si>
  <si>
    <t>Plant</t>
  </si>
  <si>
    <t>Tipe Semen</t>
  </si>
  <si>
    <t>Stok Efektif (Ton)</t>
  </si>
  <si>
    <t>Matl. Number</t>
  </si>
  <si>
    <t>Stock Awal</t>
  </si>
  <si>
    <t>Stock  In</t>
  </si>
  <si>
    <t>Stock  Out</t>
  </si>
  <si>
    <t>Stock  Rusak</t>
  </si>
  <si>
    <t>Stock  Rezak</t>
  </si>
  <si>
    <t>Bag Pecah</t>
  </si>
  <si>
    <t>Nomor Packer</t>
  </si>
  <si>
    <t>PRODUKSI</t>
  </si>
  <si>
    <t>Pecah</t>
  </si>
  <si>
    <t>Packer Machine</t>
  </si>
  <si>
    <t>Dropping dari Packer ke Belt Conveyor</t>
  </si>
  <si>
    <t>Transport Belt Conveyor</t>
  </si>
  <si>
    <t>Di Truck</t>
  </si>
  <si>
    <t>IDENTIFIKASI KANTONG PECAH 2025 PP. MAKASSAR</t>
  </si>
  <si>
    <t>Mulut</t>
  </si>
  <si>
    <t>Lem</t>
  </si>
  <si>
    <t>Body Kantong</t>
  </si>
  <si>
    <t>Stock akhir Kantong</t>
  </si>
  <si>
    <t>Lem/Jahitan</t>
  </si>
  <si>
    <t>TOTAL PECAH</t>
  </si>
  <si>
    <t>JENIS KANTONG</t>
  </si>
  <si>
    <t>TOTAL PAKAI</t>
  </si>
  <si>
    <t>% PECAH</t>
  </si>
  <si>
    <t>121-400-0780</t>
  </si>
  <si>
    <t>1P 40KG</t>
  </si>
  <si>
    <t>121-400-0800</t>
  </si>
  <si>
    <t>1P 50KG</t>
  </si>
  <si>
    <t>121-400-0270</t>
  </si>
  <si>
    <t>3P 40KG</t>
  </si>
  <si>
    <t>121-400-0280</t>
  </si>
  <si>
    <t>3P 50KG</t>
  </si>
  <si>
    <t>121-400-0803</t>
  </si>
  <si>
    <t>121-400-0802</t>
  </si>
  <si>
    <t>3P 50KG (PREMIUM)</t>
  </si>
  <si>
    <t>121-400-0282</t>
  </si>
  <si>
    <t>produksi</t>
  </si>
  <si>
    <t>masuk</t>
  </si>
  <si>
    <t>pecah</t>
  </si>
  <si>
    <t>Kdi</t>
  </si>
  <si>
    <t>total</t>
  </si>
  <si>
    <t>prodksi</t>
  </si>
  <si>
    <t>kdi</t>
  </si>
  <si>
    <t>total kantong</t>
  </si>
  <si>
    <t>31/06/2025</t>
  </si>
  <si>
    <t>Body</t>
  </si>
  <si>
    <t>SHIFT I / II</t>
  </si>
  <si>
    <t>REGU</t>
  </si>
  <si>
    <t>C</t>
  </si>
  <si>
    <t>50 PREMIUM</t>
  </si>
  <si>
    <t>PACKER I</t>
  </si>
  <si>
    <t>PENGISIAN KAPAL</t>
  </si>
  <si>
    <t>PENGISIAN KONTAINER</t>
  </si>
  <si>
    <t>PACKER II</t>
  </si>
  <si>
    <t>Sub Total Produksi Packer</t>
  </si>
  <si>
    <t>SHIFT II / III</t>
  </si>
  <si>
    <t>B</t>
  </si>
  <si>
    <t>IDENTIFIKASI KANTONG PECAH 2020 PP. MAKASSAR</t>
  </si>
  <si>
    <t>TGL</t>
  </si>
  <si>
    <t>Produksi Packer 1</t>
  </si>
  <si>
    <t>Produksi Packer 2</t>
  </si>
  <si>
    <t>Kontainer ( ton )</t>
  </si>
  <si>
    <t>Kapal ( ton )</t>
  </si>
  <si>
    <t>Pasted 40 Kg</t>
  </si>
  <si>
    <t>( TON )</t>
  </si>
  <si>
    <t>Pasted 50 Kg</t>
  </si>
  <si>
    <t>Woven 40 Kg</t>
  </si>
  <si>
    <t>Woven 50 Kg</t>
  </si>
  <si>
    <t>PCC 40 Kg</t>
  </si>
  <si>
    <t>PCC 50 Kg</t>
  </si>
  <si>
    <t>STOCK KANTONG DAN PENERIMAAN SEMEN / KANTONG</t>
  </si>
  <si>
    <t>STOCK KANTONG</t>
  </si>
  <si>
    <t>PASTED 40</t>
  </si>
  <si>
    <t>PASTED 50</t>
  </si>
  <si>
    <t>WOV. JAHIT 40</t>
  </si>
  <si>
    <t>WOV. JAHIT 50</t>
  </si>
  <si>
    <t>JUMBO 1 T</t>
  </si>
  <si>
    <t>SORTIR</t>
  </si>
  <si>
    <t>Awal</t>
  </si>
  <si>
    <t>Penerimaan</t>
  </si>
  <si>
    <t>Pemakaian</t>
  </si>
  <si>
    <t>Sortir</t>
  </si>
  <si>
    <t>Kurang Dalam Ikatan</t>
  </si>
  <si>
    <t>Lebih Dalam Ikatan</t>
  </si>
  <si>
    <t>Kantong Cadangan / Beli</t>
  </si>
  <si>
    <t>S t o c k   A k h i r</t>
  </si>
  <si>
    <t>Tanggal Cut Off</t>
  </si>
  <si>
    <t>LAPORAN unloading kapal</t>
  </si>
  <si>
    <t>PERIODE BULAN MARET 2020</t>
  </si>
  <si>
    <t>Nama kapal</t>
  </si>
  <si>
    <t>Manifest muat (ton)</t>
  </si>
  <si>
    <t>Waktu kapal sandar</t>
  </si>
  <si>
    <t>Waktu Pembongkaran (unloading)</t>
  </si>
  <si>
    <t>manifest bongkar (ton)</t>
  </si>
  <si>
    <t>volume balance</t>
  </si>
  <si>
    <t>Gangguan Internal (jam)</t>
  </si>
  <si>
    <t>Gangguan Eksternal (jam)</t>
  </si>
  <si>
    <t>discharge rate kapal (ton/jam)</t>
  </si>
  <si>
    <t>start bongkar (jam)</t>
  </si>
  <si>
    <t>selesai bongkar (jam)</t>
  </si>
  <si>
    <t>Lama Pembongkaran</t>
  </si>
  <si>
    <t>Genset kapal</t>
  </si>
  <si>
    <t>blower (compressor)</t>
  </si>
  <si>
    <t>awak kapal</t>
  </si>
  <si>
    <t>pipa bocor</t>
  </si>
  <si>
    <t>silo penuh</t>
  </si>
  <si>
    <t xml:space="preserve">bag filter </t>
  </si>
  <si>
    <t xml:space="preserve">cuaca </t>
  </si>
  <si>
    <t>ksop</t>
  </si>
  <si>
    <t>pbm</t>
  </si>
  <si>
    <t>draft survey</t>
  </si>
  <si>
    <t>Sigap</t>
  </si>
  <si>
    <t>Genset kehabisan solar</t>
  </si>
  <si>
    <t>LIST KENDALA</t>
  </si>
  <si>
    <t>PERIODE BULAN : FEBRUARI 2020</t>
  </si>
  <si>
    <t>NO</t>
  </si>
  <si>
    <t>GANGGUAN INTERNAL</t>
  </si>
  <si>
    <t>EQUIPMENT</t>
  </si>
  <si>
    <t>KET. KENDALA</t>
  </si>
  <si>
    <t>TINGKAT KESERINGAN</t>
  </si>
  <si>
    <t>TOTAL WAKTU (jam)</t>
  </si>
  <si>
    <t>Nomor</t>
  </si>
  <si>
    <t>Nama</t>
  </si>
  <si>
    <t>ELEKTRIKAL &amp; INSTRUMENT</t>
  </si>
  <si>
    <t>7 menit</t>
  </si>
  <si>
    <t>57 menit</t>
  </si>
  <si>
    <t>48 menit</t>
  </si>
  <si>
    <t>1 jam 110 menit</t>
  </si>
  <si>
    <t>1 jam 3 menit</t>
  </si>
  <si>
    <t>4 jam 69 menit</t>
  </si>
  <si>
    <t>55 menit</t>
  </si>
  <si>
    <t>15 menit</t>
  </si>
  <si>
    <t>2 jam 25 menit</t>
  </si>
  <si>
    <t>17 menit</t>
  </si>
  <si>
    <t>49 menit</t>
  </si>
  <si>
    <t>56 menit</t>
  </si>
  <si>
    <t>TOTAL WAKTU</t>
  </si>
  <si>
    <t>MEKANIKAL</t>
  </si>
  <si>
    <t>3 jam 5 menit</t>
  </si>
  <si>
    <t>83 menit</t>
  </si>
  <si>
    <t>1 jam 5 menit</t>
  </si>
  <si>
    <t>28 menit</t>
  </si>
  <si>
    <t>1 jam 40 menit</t>
  </si>
  <si>
    <t>1 jam 60 menit</t>
  </si>
  <si>
    <t>GANGGUAN EKSTERNAL</t>
  </si>
  <si>
    <t>SEPTEMBER - 31 OKTOBER 2019</t>
  </si>
  <si>
    <t>STANDBY</t>
  </si>
  <si>
    <t>Truk / DO kosong</t>
  </si>
  <si>
    <t>Idle time</t>
  </si>
  <si>
    <t>Stok semen</t>
  </si>
  <si>
    <t>SO/BG</t>
  </si>
  <si>
    <t>SAP</t>
  </si>
  <si>
    <t>Alam</t>
  </si>
  <si>
    <t>Switch 40/50</t>
  </si>
  <si>
    <t>Service</t>
  </si>
  <si>
    <t>Section of Makassar Packing plant</t>
  </si>
  <si>
    <t>MISBAHUDDIN</t>
  </si>
  <si>
    <t>MONITORING NEGATIF LIST PP PONTIANAK 2019</t>
  </si>
  <si>
    <t>No</t>
  </si>
  <si>
    <t>Nomor Equipment</t>
  </si>
  <si>
    <t>Deskripsi/Area</t>
  </si>
  <si>
    <t>Tanggal Temuan</t>
  </si>
  <si>
    <t>Foto Temuan</t>
  </si>
  <si>
    <t>Permasalahan</t>
  </si>
  <si>
    <t>Analisa Penyebab</t>
  </si>
  <si>
    <t>Rencana Tindak Lanjut</t>
  </si>
  <si>
    <t>TARGET</t>
  </si>
  <si>
    <t>P/A</t>
  </si>
  <si>
    <t>JAN</t>
  </si>
  <si>
    <t>FEB</t>
  </si>
  <si>
    <t>MAR</t>
  </si>
  <si>
    <t>APR</t>
  </si>
  <si>
    <t>MEI</t>
  </si>
  <si>
    <t>JUN</t>
  </si>
  <si>
    <t>JUL</t>
  </si>
  <si>
    <t>AGU</t>
  </si>
  <si>
    <t>SEP</t>
  </si>
  <si>
    <t>OKT</t>
  </si>
  <si>
    <t>NOV</t>
  </si>
  <si>
    <t>DES</t>
  </si>
  <si>
    <t>NOTIFIKASI</t>
  </si>
  <si>
    <t>ORDER</t>
  </si>
  <si>
    <t>RESERVASI</t>
  </si>
  <si>
    <t>Estimasi Biaya (ECE)</t>
  </si>
  <si>
    <t>Priority</t>
  </si>
  <si>
    <t>Status</t>
  </si>
  <si>
    <t xml:space="preserve">Dermaga </t>
  </si>
  <si>
    <t>GRATING</t>
  </si>
  <si>
    <t>Hilang sisi kiri (1 segment)</t>
  </si>
  <si>
    <t>Hilang</t>
  </si>
  <si>
    <t xml:space="preserve">Pemasangan grating ex. proyek dg las permanen </t>
  </si>
  <si>
    <t>P</t>
  </si>
  <si>
    <t>close</t>
  </si>
  <si>
    <t>A</t>
  </si>
  <si>
    <t>selesai di las permanen/full</t>
  </si>
  <si>
    <t>Top Silo</t>
  </si>
  <si>
    <t>Semen membatu</t>
  </si>
  <si>
    <t xml:space="preserve">Matrial bocor </t>
  </si>
  <si>
    <t>Ada kebocoran di Pipa pneumatic di top silo</t>
  </si>
  <si>
    <t>drill</t>
  </si>
  <si>
    <t>Sudah bersih</t>
  </si>
  <si>
    <t>419 BF 01</t>
  </si>
  <si>
    <t>BAG FILTER/TOP SILO</t>
  </si>
  <si>
    <t>Life time</t>
  </si>
  <si>
    <t>Penggantian baru</t>
  </si>
  <si>
    <t>300000549045</t>
  </si>
  <si>
    <t>1. Pengadaan Membran &amp; Ring Peer</t>
  </si>
  <si>
    <t>Sudah onsite Plant tgl 29 mar 19, dibuat spare</t>
  </si>
  <si>
    <t>2. Pemasangan Membran &amp; Ring Peer</t>
  </si>
  <si>
    <t>3. Pengetesan Membran &amp; Ring Peer</t>
  </si>
  <si>
    <t>PLAN PROGRESS</t>
  </si>
  <si>
    <t>CUMMULATIVE PLAN PROGRESS</t>
  </si>
  <si>
    <t>ACTUAL PROGRESS</t>
  </si>
  <si>
    <t>CUMMULATIVE ACTUAL PROGRESS</t>
  </si>
  <si>
    <t>DEVIASI</t>
  </si>
  <si>
    <t>429 TC 01</t>
  </si>
  <si>
    <t>BAG FILTER/CURAH</t>
  </si>
  <si>
    <t xml:space="preserve">Matrial menyembur dari Fan </t>
  </si>
  <si>
    <t>bag rusak</t>
  </si>
  <si>
    <t xml:space="preserve">Penggantian baru </t>
  </si>
  <si>
    <t>1. Pengadaan Bag House</t>
  </si>
  <si>
    <t>Repair/dijahit bag cloud yg lama menggunakan bag dari tuban. Minggu ke 2 bulan April repair selesai.</t>
  </si>
  <si>
    <t>2. Pemasangan/pengetesan Bag House</t>
  </si>
  <si>
    <t>Sudah dicoba dg filter modifikasi</t>
  </si>
  <si>
    <t>439 LE 01</t>
  </si>
  <si>
    <t>LEVEL SWITCH PRE BIN</t>
  </si>
  <si>
    <t>Kadang Alarm</t>
  </si>
  <si>
    <t>Rusak</t>
  </si>
  <si>
    <t>Sudah onsite Plant, tgl 12 mar '19, dibuat spare</t>
  </si>
  <si>
    <t>Pengadaan Boot level Switch</t>
  </si>
  <si>
    <t>439 BF 01</t>
  </si>
  <si>
    <t>BAG FILTER</t>
  </si>
  <si>
    <t>439 PM01</t>
  </si>
  <si>
    <t>PACKING MACHINE</t>
  </si>
  <si>
    <t>Spare</t>
  </si>
  <si>
    <t>Selesai</t>
  </si>
  <si>
    <t xml:space="preserve">1.Pengadaan </t>
  </si>
  <si>
    <t>SLIDE SYSTEM CP</t>
  </si>
  <si>
    <t>300000540245</t>
  </si>
  <si>
    <t xml:space="preserve">21137114 </t>
  </si>
  <si>
    <t>Sudah onsite Plant, tgl 12 mar '19</t>
  </si>
  <si>
    <t>LABYRINTH SEAL CP</t>
  </si>
  <si>
    <t>BUSHING IMPELLER CP</t>
  </si>
  <si>
    <t>Barang sudah di bon &amp; rencana kirim ke ponti</t>
  </si>
  <si>
    <t>IMPELLER CP</t>
  </si>
  <si>
    <t>300000549041</t>
  </si>
  <si>
    <t>Sudah onsite Plant, tgl 29 mar '19</t>
  </si>
  <si>
    <t>AIR CYL BAG STOOL CP</t>
  </si>
  <si>
    <t>AIR CYL GATE VALVE CP</t>
  </si>
  <si>
    <t>HOUSING IMPELER</t>
  </si>
  <si>
    <t>RUMAH SEAL</t>
  </si>
  <si>
    <t>TERMINAL VALVE ( Sol Valve 5/2-25 DC, G1/4 Asco )</t>
  </si>
  <si>
    <t>MANIFOLD ASSY FOR 4 STATION SOL VALVE</t>
  </si>
  <si>
    <t>BLACK BOX SPOUT</t>
  </si>
  <si>
    <t>300000554850</t>
  </si>
  <si>
    <t>Pinjam pakai Plant Balikpapan</t>
  </si>
  <si>
    <t xml:space="preserve">2.Pemasangan </t>
  </si>
  <si>
    <t>Sudah pemasangan, tgl 31 mar'19</t>
  </si>
  <si>
    <t xml:space="preserve">3.Pengetesan </t>
  </si>
  <si>
    <t>Pengetesan , problem 2X putaran sudah teratasi, tgl 31 mar'19</t>
  </si>
  <si>
    <t>MOTOR SPOUT</t>
  </si>
  <si>
    <t>300000544180</t>
  </si>
  <si>
    <t>2380177</t>
  </si>
  <si>
    <t>progress</t>
  </si>
  <si>
    <t>1.Pengadaan Motor Spout</t>
  </si>
  <si>
    <t>Pembuatan notifikasi ke Maintenance Plant</t>
  </si>
  <si>
    <t xml:space="preserve">Proses pengadaan </t>
  </si>
  <si>
    <t>2.Pemasangan Motor Spout</t>
  </si>
  <si>
    <t>3.Pengetesan Motor Spout</t>
  </si>
  <si>
    <t>MOTOR ROTARY PACKING MACHINE</t>
  </si>
  <si>
    <t>1.Pengadaan Motor Rotary</t>
  </si>
  <si>
    <t>2.Pemasangan Motor Rotary</t>
  </si>
  <si>
    <t>3.Pengetesan Motor Rotary</t>
  </si>
  <si>
    <t>439BC 01</t>
  </si>
  <si>
    <t>BELT TRANSPORT</t>
  </si>
  <si>
    <t>Belt pecah</t>
  </si>
  <si>
    <t>Karet sudah tua</t>
  </si>
  <si>
    <t>300000539985</t>
  </si>
  <si>
    <t>Sudah onsite Plant, 12 maret 2019</t>
  </si>
  <si>
    <t xml:space="preserve">1. Pengadaan Belt </t>
  </si>
  <si>
    <t>Belt dibuat spare</t>
  </si>
  <si>
    <t xml:space="preserve">2. Pemasangan Belt </t>
  </si>
  <si>
    <t>439BC 02</t>
  </si>
  <si>
    <t>As Roll kocak</t>
  </si>
  <si>
    <t>aus/life time</t>
  </si>
  <si>
    <t>300000540267</t>
  </si>
  <si>
    <t>1. Pengadaan Belt, Bearing &amp; As Roll</t>
  </si>
  <si>
    <t>2. Pemasangan Belt, Bearing &amp; As Roll</t>
  </si>
  <si>
    <t>439BR 01</t>
  </si>
  <si>
    <t>Belt lari ke kiri</t>
  </si>
  <si>
    <t>di adjust tidak bisa</t>
  </si>
  <si>
    <t>300000540596</t>
  </si>
  <si>
    <t>1. Pengadaan Belt</t>
  </si>
  <si>
    <t>2. Pemasangan Belt</t>
  </si>
  <si>
    <t>429CP 02</t>
  </si>
  <si>
    <t>COMPRESSOR</t>
  </si>
  <si>
    <t>Over heat &amp; low pressure</t>
  </si>
  <si>
    <t>Screw rusak</t>
  </si>
  <si>
    <t>Ambil dari Tuban Plant</t>
  </si>
  <si>
    <t>1. Pengambilan dari Tuban</t>
  </si>
  <si>
    <t>2. Pemasangan Compressor</t>
  </si>
  <si>
    <t>Rencana pengetasan compressor  dari tuban</t>
  </si>
  <si>
    <t>3. Pengetesan Compressor</t>
  </si>
  <si>
    <t xml:space="preserve">sudah di trial </t>
  </si>
  <si>
    <t>439 SC 02</t>
  </si>
  <si>
    <t>Chute Reject Semen</t>
  </si>
  <si>
    <t>Semen Riject menumpuk</t>
  </si>
  <si>
    <t>Chute Screw terlalu kecil &amp; kerja dua kali</t>
  </si>
  <si>
    <t>Membuat akses jalan pembuangan semen langsung ke chute dan memperlebar chute</t>
  </si>
  <si>
    <t>Cancel</t>
  </si>
  <si>
    <t>1. Pengadaan Plat &amp; Siku</t>
  </si>
  <si>
    <t>Pembelian matrial untuk fabrikasi</t>
  </si>
  <si>
    <t>2. Fabrrikasi &amp; Pemasangan Plat &amp; Siku</t>
  </si>
  <si>
    <t>LAMPU</t>
  </si>
  <si>
    <t>DERMAGA, JALAN &amp; PACKER</t>
  </si>
  <si>
    <t>Lampu mati</t>
  </si>
  <si>
    <t>Lampu putus</t>
  </si>
  <si>
    <t>Ganti dengan LED</t>
  </si>
  <si>
    <t>1. Pengadaan Lampu</t>
  </si>
  <si>
    <t>Pengadaan langsung reimburs lewat pengelola</t>
  </si>
  <si>
    <t>Pemblelian dg jumlah bertahap menyesuaiakan biaya operasional yg di-reimburs-kan</t>
  </si>
  <si>
    <t>2. Pemasangan lampu</t>
  </si>
  <si>
    <t>TRAFO</t>
  </si>
  <si>
    <t>RUANG TRAFO</t>
  </si>
  <si>
    <t>Top Kolom pecah &amp; dinding retak</t>
  </si>
  <si>
    <t>Structure duct turun</t>
  </si>
  <si>
    <t>Pembuatan kolom penyangga baru</t>
  </si>
  <si>
    <t>1. Pembuatan dokument</t>
  </si>
  <si>
    <t>Progress Dok. egineering 100 %</t>
  </si>
  <si>
    <t>Approval dokument GM, SM 100%</t>
  </si>
  <si>
    <t>2. Tender</t>
  </si>
  <si>
    <t xml:space="preserve">Pemenang tender diatas ECE sehingga mencari kontraktor lokal Pontianak </t>
  </si>
  <si>
    <t>Persyaratan administrasi kontraktor lokal belum lengkap sebagai calon Vendor SI</t>
  </si>
  <si>
    <t>3. Konstruksi</t>
  </si>
  <si>
    <t>419 AS 01</t>
  </si>
  <si>
    <t>AIR SLIDE to PRE BIN</t>
  </si>
  <si>
    <t>Kanvas Mlembung</t>
  </si>
  <si>
    <t>Penggantian Air slade baru</t>
  </si>
  <si>
    <t>IN PLANT</t>
  </si>
  <si>
    <t>ALL AREA</t>
  </si>
  <si>
    <t>Kotor</t>
  </si>
  <si>
    <t>Material semen tumpah</t>
  </si>
  <si>
    <t>Pembentukan Tim 5R dan TPM</t>
  </si>
  <si>
    <t>Koordinasi rutin mingguan dan rapat terkait temuan TPM</t>
  </si>
  <si>
    <t>PIPA PNEUMATIC</t>
  </si>
  <si>
    <t>Pipa buntu</t>
  </si>
  <si>
    <t xml:space="preserve">Waktu habis pengisian semen tidak bersih </t>
  </si>
  <si>
    <t>Buka flexible hose</t>
  </si>
  <si>
    <t>Flexible hose sudah dilepas untuk melihat material beku dalam pipa, rencana tembus pipa buntu akan dijasakan</t>
  </si>
  <si>
    <t>SILO</t>
  </si>
  <si>
    <t>Loading Device</t>
  </si>
  <si>
    <t>Banyak kebociran pd Belows</t>
  </si>
  <si>
    <t>Live time/ waktunya penggantian</t>
  </si>
  <si>
    <t>Penggantian Belows</t>
  </si>
  <si>
    <t>Close</t>
  </si>
  <si>
    <t xml:space="preserve">Spare part belows sudah siap di Plant </t>
  </si>
  <si>
    <t>1. Permintaan Belows f/ loading divice</t>
  </si>
  <si>
    <t>2. Penggantian Belows Loading Divice</t>
  </si>
  <si>
    <t>Sarung Belows Loading Divice bagian luar &amp; dalam sudah diganti</t>
  </si>
  <si>
    <t>Progress</t>
  </si>
  <si>
    <t>Sarung Belows bagian dalam telah diganti dg material belows subtitusi. Permintaan Sarung Belows bagian dalammasih proses MP2B dan dilanjut ke Pengadaan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</si>
</sst>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5"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409]h:mm:ss\ AM/PM"/>
    <numFmt numFmtId="165" formatCode="_-* #,##0.00_-;\-* #,##0.00_-;_-* &quot;-&quot;??_-;_-@_-"/>
    <numFmt numFmtId="166" formatCode="dd\-mmm\-yy"/>
    <numFmt numFmtId="167" formatCode="_([$Rp-421]* #,##0.00_);_([$Rp-421]* \(#,##0.00\);_([$Rp-421]* &quot;-&quot;??_);_(@_)"/>
    <numFmt numFmtId="168" formatCode="_(* #,##0_);_(* \(#,##0\);_(* &quot;-&quot;??_);_(@_)"/>
    <numFmt numFmtId="169" formatCode="_-* #,##0_-;\-* #,##0_-;_-* &quot;-&quot;??_-;_-@_-"/>
    <numFmt numFmtId="170" formatCode="0\ &quot;kali&quot;"/>
    <numFmt numFmtId="171" formatCode="[$-421]dd\ mmmm\ yyyy;@"/>
    <numFmt numFmtId="172" formatCode="0.00_ "/>
    <numFmt numFmtId="173" formatCode="_(* #,##0.0_);_(* \(#,##0.0\);_(* &quot;-&quot;??_);_(@_)"/>
    <numFmt numFmtId="174" formatCode="_(* #,##0_);_(* \(#,##0\);_(* \-_);_(@_)"/>
    <numFmt numFmtId="175" formatCode="_(* #,##0.00_);_(* \(#,##0.00\);_(* \-??_);_(@_)"/>
    <numFmt numFmtId="176" formatCode="yyyy\-mm\-dd;@"/>
    <numFmt numFmtId="177" formatCode="_(* #,##0.00_);_(* \(#,##0.00\);_(* &quot;-&quot;_);_(@_)"/>
    <numFmt numFmtId="178" formatCode="#,##0;[Red]#,##0"/>
    <numFmt numFmtId="179" formatCode="0.000"/>
    <numFmt numFmtId="180" formatCode="#,000_);[Red]\(#,000\)"/>
    <numFmt numFmtId="181" formatCode="0_ "/>
    <numFmt numFmtId="182" formatCode="_-* #,##0.00_-;\-* #,##0.00_-;_-* &quot;-&quot;??.0_-;_-@_-"/>
    <numFmt numFmtId="183" formatCode="0.000_ "/>
    <numFmt numFmtId="184" formatCode="0.0"/>
    <numFmt numFmtId="185" formatCode="0.0%"/>
  </numFmts>
  <fonts count="84">
    <font>
      <sz val="11"/>
      <color theme="1"/>
      <name val="Calibri"/>
      <charset val="134"/>
      <scheme val="minor"/>
    </font>
    <font>
      <b/>
      <sz val="10"/>
      <name val="Arial"/>
      <charset val="134"/>
    </font>
    <font>
      <sz val="8"/>
      <name val="Arial"/>
      <charset val="134"/>
    </font>
    <font>
      <b/>
      <sz val="12"/>
      <name val="Arial Black"/>
      <charset val="134"/>
    </font>
    <font>
      <b/>
      <sz val="8"/>
      <name val="Arial Black"/>
      <charset val="134"/>
    </font>
    <font>
      <b/>
      <sz val="22"/>
      <name val="Arial"/>
      <charset val="134"/>
    </font>
    <font>
      <b/>
      <sz val="12"/>
      <name val="Arial"/>
      <charset val="134"/>
    </font>
    <font>
      <b/>
      <i/>
      <sz val="10"/>
      <color theme="1"/>
      <name val="Calibri"/>
      <charset val="134"/>
      <scheme val="minor"/>
    </font>
    <font>
      <b/>
      <sz val="10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rgb="FFFF0000"/>
      <name val="Calibri"/>
      <charset val="134"/>
      <scheme val="minor"/>
    </font>
    <font>
      <sz val="11"/>
      <color rgb="FF9C0006"/>
      <name val="Calibri"/>
      <charset val="134"/>
      <scheme val="minor"/>
    </font>
    <font>
      <sz val="11"/>
      <name val="Calibri"/>
      <charset val="134"/>
      <scheme val="minor"/>
    </font>
    <font>
      <sz val="11"/>
      <color rgb="FF00B050"/>
      <name val="Calibri"/>
      <charset val="134"/>
      <scheme val="minor"/>
    </font>
    <font>
      <b/>
      <u val="double"/>
      <sz val="12"/>
      <color theme="1"/>
      <name val="Times New Roman"/>
      <charset val="134"/>
    </font>
    <font>
      <b/>
      <u val="double"/>
      <sz val="16"/>
      <color theme="1"/>
      <name val="Times New Roman"/>
      <charset val="134"/>
    </font>
    <font>
      <sz val="11"/>
      <color theme="0" tint="-4.9989318521683403E-2"/>
      <name val="Bell MT"/>
      <charset val="134"/>
    </font>
    <font>
      <sz val="10"/>
      <color theme="0" tint="-4.9989318521683403E-2"/>
      <name val="Bell MT"/>
      <charset val="134"/>
    </font>
    <font>
      <sz val="11"/>
      <color theme="1"/>
      <name val="Times New Roman"/>
      <charset val="134"/>
    </font>
    <font>
      <sz val="11"/>
      <color theme="0" tint="-4.9989318521683403E-2"/>
      <name val="Times New Roman"/>
      <charset val="134"/>
    </font>
    <font>
      <sz val="11"/>
      <color theme="0"/>
      <name val="Times New Roman"/>
      <charset val="134"/>
    </font>
    <font>
      <b/>
      <u/>
      <sz val="11"/>
      <color theme="1"/>
      <name val="Calibri"/>
      <charset val="134"/>
      <scheme val="minor"/>
    </font>
    <font>
      <sz val="10"/>
      <color rgb="FFFF0000"/>
      <name val="Calibri"/>
      <charset val="134"/>
      <scheme val="minor"/>
    </font>
    <font>
      <sz val="10"/>
      <color theme="1"/>
      <name val="Calibri"/>
      <charset val="134"/>
      <scheme val="minor"/>
    </font>
    <font>
      <b/>
      <sz val="11"/>
      <color rgb="FFFF0000"/>
      <name val="Calibri"/>
      <charset val="134"/>
      <scheme val="minor"/>
    </font>
    <font>
      <b/>
      <u val="double"/>
      <sz val="18"/>
      <color theme="1"/>
      <name val="Times New Roman"/>
      <charset val="134"/>
    </font>
    <font>
      <sz val="11"/>
      <color theme="5" tint="0.59999389629810485"/>
      <name val="Calibri"/>
      <charset val="134"/>
      <scheme val="minor"/>
    </font>
    <font>
      <sz val="12"/>
      <color theme="5" tint="0.59999389629810485"/>
      <name val="Calibri"/>
      <charset val="134"/>
      <scheme val="minor"/>
    </font>
    <font>
      <sz val="12"/>
      <color rgb="FFFF0000"/>
      <name val="Calibri"/>
      <charset val="134"/>
      <scheme val="minor"/>
    </font>
    <font>
      <b/>
      <sz val="22"/>
      <color theme="1"/>
      <name val="Calibri"/>
      <charset val="134"/>
      <scheme val="minor"/>
    </font>
    <font>
      <sz val="12"/>
      <color theme="5" tint="0.59999389629810485"/>
      <name val="Calibri"/>
      <charset val="134"/>
    </font>
    <font>
      <sz val="12"/>
      <color rgb="FFFF0000"/>
      <name val="Calibri"/>
      <charset val="134"/>
    </font>
    <font>
      <sz val="10"/>
      <name val="Calibri"/>
      <charset val="134"/>
    </font>
    <font>
      <b/>
      <sz val="10"/>
      <name val="Calibri"/>
      <charset val="134"/>
    </font>
    <font>
      <b/>
      <sz val="8"/>
      <name val="Calibri"/>
      <charset val="134"/>
    </font>
    <font>
      <b/>
      <sz val="9"/>
      <name val="Calibri"/>
      <charset val="134"/>
    </font>
    <font>
      <b/>
      <sz val="10"/>
      <color rgb="FFFF0000"/>
      <name val="Calibri"/>
      <charset val="134"/>
    </font>
    <font>
      <b/>
      <sz val="9"/>
      <color rgb="FF0F243E"/>
      <name val="Calibri"/>
      <charset val="134"/>
    </font>
    <font>
      <b/>
      <sz val="11"/>
      <name val="Calibri"/>
      <charset val="134"/>
    </font>
    <font>
      <sz val="11"/>
      <color theme="1"/>
      <name val="Calibri"/>
      <charset val="134"/>
    </font>
    <font>
      <sz val="9"/>
      <name val="Calibri"/>
      <charset val="134"/>
    </font>
    <font>
      <sz val="10"/>
      <name val="Arial"/>
      <charset val="134"/>
    </font>
    <font>
      <b/>
      <sz val="10"/>
      <color rgb="FFFFFFFF"/>
      <name val="Arial"/>
      <charset val="134"/>
    </font>
    <font>
      <sz val="10"/>
      <color rgb="FFFF0000"/>
      <name val="Arial"/>
      <charset val="134"/>
    </font>
    <font>
      <b/>
      <sz val="10"/>
      <color rgb="FFFF0000"/>
      <name val="Arial"/>
      <charset val="134"/>
    </font>
    <font>
      <b/>
      <sz val="11"/>
      <name val="Arial"/>
      <charset val="134"/>
    </font>
    <font>
      <b/>
      <sz val="9"/>
      <color rgb="FFFFFFFF"/>
      <name val="Arial"/>
      <charset val="134"/>
    </font>
    <font>
      <sz val="10"/>
      <color theme="0"/>
      <name val="Arial"/>
      <charset val="134"/>
    </font>
    <font>
      <b/>
      <sz val="9"/>
      <name val="Arial"/>
      <charset val="134"/>
    </font>
    <font>
      <b/>
      <sz val="10"/>
      <color theme="0"/>
      <name val="Arial"/>
      <charset val="134"/>
    </font>
    <font>
      <sz val="10"/>
      <color rgb="FF000000"/>
      <name val="Arial"/>
      <charset val="134"/>
    </font>
    <font>
      <sz val="10"/>
      <color theme="1"/>
      <name val="Arial"/>
      <charset val="134"/>
    </font>
    <font>
      <b/>
      <sz val="9"/>
      <name val="Consolas"/>
      <charset val="134"/>
    </font>
    <font>
      <b/>
      <sz val="12"/>
      <name val="Consolas"/>
      <charset val="134"/>
    </font>
    <font>
      <b/>
      <sz val="9"/>
      <color theme="1"/>
      <name val="Consolas"/>
      <charset val="134"/>
    </font>
    <font>
      <b/>
      <sz val="10"/>
      <name val="Consolas"/>
      <charset val="134"/>
    </font>
    <font>
      <b/>
      <sz val="10"/>
      <color rgb="FFFFFF00"/>
      <name val="Consolas"/>
      <charset val="134"/>
    </font>
    <font>
      <b/>
      <sz val="10"/>
      <color theme="1"/>
      <name val="Consolas"/>
      <charset val="134"/>
    </font>
    <font>
      <sz val="9"/>
      <name val="Arial"/>
      <charset val="134"/>
    </font>
    <font>
      <sz val="10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sz val="14"/>
      <color theme="1"/>
      <name val="Calibri"/>
      <charset val="134"/>
      <scheme val="minor"/>
    </font>
    <font>
      <sz val="12"/>
      <name val="Calibri"/>
      <charset val="134"/>
      <scheme val="minor"/>
    </font>
    <font>
      <sz val="12"/>
      <color theme="1"/>
      <name val="Calibri"/>
      <charset val="134"/>
      <scheme val="minor"/>
    </font>
    <font>
      <sz val="12"/>
      <name val="Calibri"/>
      <charset val="134"/>
    </font>
    <font>
      <b/>
      <sz val="12"/>
      <name val="Calibri"/>
      <charset val="134"/>
    </font>
    <font>
      <sz val="8"/>
      <color theme="1"/>
      <name val="Arial"/>
      <charset val="134"/>
    </font>
    <font>
      <sz val="8"/>
      <color rgb="FFFF0000"/>
      <name val="Arial"/>
      <charset val="134"/>
    </font>
    <font>
      <sz val="11"/>
      <color rgb="FF006100"/>
      <name val="Calibri"/>
      <charset val="134"/>
      <scheme val="minor"/>
    </font>
    <font>
      <sz val="11"/>
      <color theme="0"/>
      <name val="Calibri"/>
      <charset val="134"/>
      <scheme val="minor"/>
    </font>
    <font>
      <sz val="11"/>
      <color rgb="FF800080"/>
      <name val="Calibri"/>
      <charset val="134"/>
    </font>
    <font>
      <sz val="11"/>
      <color indexed="20"/>
      <name val="Calibri"/>
      <charset val="134"/>
    </font>
    <font>
      <sz val="12"/>
      <name val="Times New Roman"/>
      <charset val="134"/>
    </font>
    <font>
      <sz val="11"/>
      <color theme="1"/>
      <name val="Calibri"/>
      <charset val="1"/>
      <scheme val="minor"/>
    </font>
    <font>
      <sz val="11"/>
      <color rgb="FF000000"/>
      <name val="Calibri"/>
      <charset val="134"/>
    </font>
    <font>
      <sz val="11"/>
      <color indexed="8"/>
      <name val="Calibri"/>
      <charset val="134"/>
    </font>
    <font>
      <i/>
      <sz val="11"/>
      <color rgb="FF7F7F7F"/>
      <name val="Calibri"/>
      <charset val="134"/>
      <scheme val="minor"/>
    </font>
    <font>
      <sz val="11"/>
      <color rgb="FF008000"/>
      <name val="Calibri"/>
      <charset val="134"/>
    </font>
    <font>
      <sz val="11"/>
      <color indexed="17"/>
      <name val="Calibri"/>
      <charset val="134"/>
    </font>
    <font>
      <sz val="11"/>
      <color indexed="54"/>
      <name val="Arial"/>
      <charset val="134"/>
    </font>
    <font>
      <sz val="11"/>
      <color rgb="FF3F3F76"/>
      <name val="Arial"/>
      <charset val="134"/>
    </font>
    <font>
      <b/>
      <sz val="9"/>
      <name val="Times New Roman"/>
    </font>
    <font>
      <sz val="9"/>
      <name val="Times New Roman"/>
    </font>
    <font>
      <sz val="11"/>
      <color theme="1"/>
      <name val="Calibri"/>
      <charset val="134"/>
      <scheme val="minor"/>
    </font>
  </fonts>
  <fills count="6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7998901333658864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3998840296639912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8229926450392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39982299264503923"/>
        <bgColor indexed="64"/>
      </patternFill>
    </fill>
    <fill>
      <patternFill patternType="solid">
        <fgColor theme="9" tint="0.39982299264503923"/>
        <bgColor indexed="64"/>
      </patternFill>
    </fill>
    <fill>
      <patternFill patternType="solid">
        <fgColor theme="7" tint="0.79982909634693444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CC3399"/>
        <bgColor indexed="64"/>
      </patternFill>
    </fill>
    <fill>
      <patternFill patternType="solid">
        <fgColor rgb="FF00B05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ABF8F"/>
        <bgColor rgb="FF000000"/>
      </patternFill>
    </fill>
    <fill>
      <patternFill patternType="solid">
        <fgColor rgb="FFC5D9F1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92CDDC"/>
        <bgColor rgb="FF000000"/>
      </patternFill>
    </fill>
    <fill>
      <patternFill patternType="solid">
        <fgColor rgb="FF8DB4E2"/>
        <bgColor rgb="FFFFFF00"/>
      </patternFill>
    </fill>
    <fill>
      <patternFill patternType="solid">
        <fgColor rgb="FFFFC000"/>
        <bgColor rgb="FFFFFF00"/>
      </patternFill>
    </fill>
    <fill>
      <patternFill patternType="solid">
        <fgColor rgb="FF333300"/>
        <bgColor rgb="FF000000"/>
      </patternFill>
    </fill>
    <fill>
      <patternFill patternType="solid">
        <fgColor rgb="FFC6E0B4"/>
        <bgColor rgb="FF000000"/>
      </patternFill>
    </fill>
    <fill>
      <patternFill patternType="solid">
        <fgColor theme="9" tint="0.59999389629810485"/>
        <bgColor rgb="FF000000"/>
      </patternFill>
    </fill>
    <fill>
      <patternFill patternType="solid">
        <fgColor rgb="FFC6E0B4"/>
        <bgColor indexed="64"/>
      </patternFill>
    </fill>
    <fill>
      <patternFill patternType="solid">
        <fgColor theme="8" tint="0.39988402966399123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rgb="FFFFC000"/>
        <bgColor rgb="FF000000"/>
      </patternFill>
    </fill>
    <fill>
      <patternFill patternType="solid">
        <fgColor theme="4" tint="0.79989013336588644"/>
        <bgColor rgb="FF000000"/>
      </patternFill>
    </fill>
    <fill>
      <patternFill patternType="solid">
        <fgColor theme="6" tint="0.39988402966399123"/>
        <bgColor indexed="64"/>
      </patternFill>
    </fill>
    <fill>
      <patternFill patternType="solid">
        <fgColor theme="4" tint="0.79989013336588644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BDD7EE"/>
        <bgColor rgb="FF000000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A9D08E"/>
        <bgColor rgb="FF000000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D0CECE"/>
        <bgColor rgb="FF000000"/>
      </patternFill>
    </fill>
    <fill>
      <patternFill patternType="solid">
        <fgColor rgb="FFD9E1F2"/>
        <bgColor rgb="FF000000"/>
      </patternFill>
    </fill>
    <fill>
      <patternFill patternType="solid">
        <fgColor rgb="FFFFF2CC"/>
        <bgColor rgb="FF000000"/>
      </patternFill>
    </fill>
    <fill>
      <patternFill patternType="solid">
        <fgColor rgb="FFFFFF99"/>
        <bgColor rgb="FF000000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99CC"/>
        <bgColor rgb="FFFFFFFF"/>
      </patternFill>
    </fill>
    <fill>
      <patternFill patternType="solid">
        <fgColor indexed="45"/>
        <bgColor indexed="64"/>
      </patternFill>
    </fill>
    <fill>
      <patternFill patternType="solid">
        <fgColor rgb="FFCCFFCC"/>
        <bgColor rgb="FFFFFFFF"/>
      </patternFill>
    </fill>
    <fill>
      <patternFill patternType="solid">
        <fgColor indexed="42"/>
        <bgColor indexed="64"/>
      </patternFill>
    </fill>
    <fill>
      <patternFill patternType="solid">
        <fgColor indexed="39"/>
        <bgColor indexed="44"/>
      </patternFill>
    </fill>
    <fill>
      <patternFill patternType="solid">
        <fgColor rgb="FFFFCC99"/>
        <bgColor rgb="FFFAC090"/>
      </patternFill>
    </fill>
  </fills>
  <borders count="18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double">
        <color auto="1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 style="thin">
        <color auto="1"/>
      </right>
      <top style="thin">
        <color auto="1"/>
      </top>
      <bottom style="double">
        <color auto="1"/>
      </bottom>
      <diagonal/>
    </border>
    <border>
      <left/>
      <right/>
      <top style="double">
        <color auto="1"/>
      </top>
      <bottom/>
      <diagonal/>
    </border>
    <border>
      <left/>
      <right style="thin">
        <color auto="1"/>
      </right>
      <top style="double">
        <color auto="1"/>
      </top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/>
      <right/>
      <top style="medium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/>
      <top style="double">
        <color auto="1"/>
      </top>
      <bottom style="thin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/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 style="thin">
        <color rgb="FF000000"/>
      </left>
      <right/>
      <top style="double">
        <color auto="1"/>
      </top>
      <bottom/>
      <diagonal/>
    </border>
    <border>
      <left style="double">
        <color auto="1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auto="1"/>
      </left>
      <right/>
      <top style="medium">
        <color rgb="FF000000"/>
      </top>
      <bottom style="thin">
        <color rgb="FF000000"/>
      </bottom>
      <diagonal/>
    </border>
    <border>
      <left style="double">
        <color auto="1"/>
      </left>
      <right/>
      <top style="thin">
        <color rgb="FF000000"/>
      </top>
      <bottom style="hair">
        <color rgb="FF000000"/>
      </bottom>
      <diagonal/>
    </border>
    <border>
      <left/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double">
        <color auto="1"/>
      </left>
      <right/>
      <top style="hair">
        <color rgb="FF000000"/>
      </top>
      <bottom style="hair">
        <color rgb="FF000000"/>
      </bottom>
      <diagonal/>
    </border>
    <border>
      <left/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 style="double">
        <color auto="1"/>
      </left>
      <right/>
      <top style="hair">
        <color rgb="FF000000"/>
      </top>
      <bottom style="thin">
        <color rgb="FF000000"/>
      </bottom>
      <diagonal/>
    </border>
    <border>
      <left/>
      <right style="thin">
        <color rgb="FF000000"/>
      </right>
      <top style="hair">
        <color rgb="FF000000"/>
      </top>
      <bottom style="thin">
        <color rgb="FF000000"/>
      </bottom>
      <diagonal/>
    </border>
    <border>
      <left style="double">
        <color auto="1"/>
      </left>
      <right/>
      <top style="thin">
        <color rgb="FF000000"/>
      </top>
      <bottom style="double">
        <color auto="1"/>
      </bottom>
      <diagonal/>
    </border>
    <border>
      <left/>
      <right style="thin">
        <color rgb="FF000000"/>
      </right>
      <top style="thin">
        <color rgb="FF000000"/>
      </top>
      <bottom style="double">
        <color auto="1"/>
      </bottom>
      <diagonal/>
    </border>
    <border>
      <left style="thin">
        <color rgb="FF000000"/>
      </left>
      <right/>
      <top style="thin">
        <color rgb="FF000000"/>
      </top>
      <bottom style="double">
        <color auto="1"/>
      </bottom>
      <diagonal/>
    </border>
    <border>
      <left/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hair">
        <color auto="1"/>
      </left>
      <right style="double">
        <color auto="1"/>
      </right>
      <top style="thin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/>
      <diagonal/>
    </border>
    <border>
      <left style="thin">
        <color auto="1"/>
      </left>
      <right/>
      <top style="double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medium">
        <color auto="1"/>
      </left>
      <right style="double">
        <color auto="1"/>
      </right>
      <top style="double">
        <color auto="1"/>
      </top>
      <bottom/>
      <diagonal/>
    </border>
    <border>
      <left style="medium">
        <color auto="1"/>
      </left>
      <right style="double">
        <color auto="1"/>
      </right>
      <top/>
      <bottom style="thin">
        <color auto="1"/>
      </bottom>
      <diagonal/>
    </border>
    <border>
      <left style="medium">
        <color auto="1"/>
      </left>
      <right style="double">
        <color auto="1"/>
      </right>
      <top style="thin">
        <color rgb="FF000000"/>
      </top>
      <bottom/>
      <diagonal/>
    </border>
    <border>
      <left style="medium">
        <color auto="1"/>
      </left>
      <right style="double">
        <color auto="1"/>
      </right>
      <top style="hair">
        <color rgb="FF000000"/>
      </top>
      <bottom style="hair">
        <color rgb="FF000000"/>
      </bottom>
      <diagonal/>
    </border>
    <border>
      <left style="medium">
        <color auto="1"/>
      </left>
      <right style="double">
        <color auto="1"/>
      </right>
      <top/>
      <bottom/>
      <diagonal/>
    </border>
    <border>
      <left style="medium">
        <color auto="1"/>
      </left>
      <right style="double">
        <color auto="1"/>
      </right>
      <top style="thin">
        <color rgb="FF000000"/>
      </top>
      <bottom style="double">
        <color auto="1"/>
      </bottom>
      <diagonal/>
    </border>
    <border>
      <left style="thin">
        <color auto="1"/>
      </left>
      <right/>
      <top style="double">
        <color auto="1"/>
      </top>
      <bottom/>
      <diagonal/>
    </border>
    <border>
      <left style="hair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hair">
        <color auto="1"/>
      </bottom>
      <diagonal/>
    </border>
    <border>
      <left style="hair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double">
        <color auto="1"/>
      </left>
      <right style="thin">
        <color auto="1"/>
      </right>
      <top style="hair">
        <color auto="1"/>
      </top>
      <bottom/>
      <diagonal/>
    </border>
    <border>
      <left/>
      <right/>
      <top style="hair">
        <color auto="1"/>
      </top>
      <bottom/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/>
      <top style="double">
        <color auto="1"/>
      </top>
      <bottom style="double">
        <color auto="1"/>
      </bottom>
      <diagonal/>
    </border>
    <border>
      <left/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 style="hair">
        <color auto="1"/>
      </bottom>
      <diagonal/>
    </border>
    <border>
      <left/>
      <right style="double">
        <color auto="1"/>
      </right>
      <top style="hair">
        <color auto="1"/>
      </top>
      <bottom style="hair">
        <color auto="1"/>
      </bottom>
      <diagonal/>
    </border>
    <border>
      <left/>
      <right style="double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/>
      <right/>
      <top style="double">
        <color auto="1"/>
      </top>
      <bottom style="double">
        <color auto="1"/>
      </bottom>
      <diagonal/>
    </border>
    <border>
      <left/>
      <right style="double">
        <color auto="1"/>
      </right>
      <top style="double">
        <color auto="1"/>
      </top>
      <bottom style="double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 style="hair">
        <color auto="1"/>
      </bottom>
      <diagonal/>
    </border>
    <border>
      <left/>
      <right style="medium">
        <color auto="1"/>
      </right>
      <top/>
      <bottom style="hair">
        <color auto="1"/>
      </bottom>
      <diagonal/>
    </border>
    <border>
      <left/>
      <right style="medium">
        <color auto="1"/>
      </right>
      <top style="hair">
        <color auto="1"/>
      </top>
      <bottom style="hair">
        <color auto="1"/>
      </bottom>
      <diagonal/>
    </border>
    <border>
      <left/>
      <right/>
      <top style="dotted">
        <color auto="1"/>
      </top>
      <bottom style="dotted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/>
      <right/>
      <top style="hair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hair">
        <color auto="1"/>
      </top>
      <bottom style="medium">
        <color auto="1"/>
      </bottom>
      <diagonal/>
    </border>
    <border>
      <left/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medium">
        <color auto="1"/>
      </right>
      <top/>
      <bottom style="hair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hair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dashed">
        <color auto="1"/>
      </bottom>
      <diagonal/>
    </border>
    <border>
      <left style="medium">
        <color auto="1"/>
      </left>
      <right style="medium">
        <color auto="1"/>
      </right>
      <top style="dashed">
        <color auto="1"/>
      </top>
      <bottom style="dashed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/>
      <diagonal/>
    </border>
    <border>
      <left style="medium">
        <color auto="1"/>
      </left>
      <right style="medium">
        <color auto="1"/>
      </right>
      <top style="dashed">
        <color auto="1"/>
      </top>
      <bottom/>
      <diagonal/>
    </border>
    <border>
      <left/>
      <right/>
      <top style="medium">
        <color auto="1"/>
      </top>
      <bottom style="dashed">
        <color auto="1"/>
      </bottom>
      <diagonal/>
    </border>
    <border>
      <left style="medium">
        <color auto="1"/>
      </left>
      <right/>
      <top style="medium">
        <color auto="1"/>
      </top>
      <bottom style="hair">
        <color auto="1"/>
      </bottom>
      <diagonal/>
    </border>
    <border>
      <left/>
      <right/>
      <top style="dashed">
        <color auto="1"/>
      </top>
      <bottom style="dashed">
        <color auto="1"/>
      </bottom>
      <diagonal/>
    </border>
    <border>
      <left style="medium">
        <color auto="1"/>
      </left>
      <right/>
      <top style="hair">
        <color auto="1"/>
      </top>
      <bottom style="hair">
        <color auto="1"/>
      </bottom>
      <diagonal/>
    </border>
    <border>
      <left style="thick">
        <color indexed="15"/>
      </left>
      <right style="thick">
        <color indexed="15"/>
      </right>
      <top style="thick">
        <color indexed="15"/>
      </top>
      <bottom style="thick">
        <color indexed="15"/>
      </bottom>
      <diagonal/>
    </border>
    <border>
      <left style="thick">
        <color rgb="FF7F7F7F"/>
      </left>
      <right style="thick">
        <color rgb="FF7F7F7F"/>
      </right>
      <top style="thick">
        <color rgb="FF7F7F7F"/>
      </top>
      <bottom style="thick">
        <color rgb="FF7F7F7F"/>
      </bottom>
      <diagonal/>
    </border>
  </borders>
  <cellStyleXfs count="62">
    <xf numFmtId="0" fontId="0" fillId="0" borderId="0"/>
    <xf numFmtId="43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41" fontId="83" fillId="0" borderId="0" applyFont="0" applyFill="0" applyBorder="0" applyAlignment="0" applyProtection="0"/>
    <xf numFmtId="0" fontId="68" fillId="54" borderId="0" applyNumberFormat="0" applyBorder="0" applyAlignment="0" applyProtection="0"/>
    <xf numFmtId="0" fontId="11" fillId="55" borderId="0" applyNumberFormat="0" applyBorder="0" applyAlignment="0" applyProtection="0"/>
    <xf numFmtId="0" fontId="69" fillId="56" borderId="0" applyNumberFormat="0" applyBorder="0" applyAlignment="0" applyProtection="0"/>
    <xf numFmtId="0" fontId="70" fillId="57" borderId="0" applyNumberFormat="0" applyBorder="0" applyAlignment="0" applyProtection="0"/>
    <xf numFmtId="0" fontId="71" fillId="58" borderId="0" applyNumberFormat="0" applyBorder="0" applyAlignment="0" applyProtection="0"/>
    <xf numFmtId="41" fontId="83" fillId="0" borderId="0" applyFont="0" applyFill="0" applyBorder="0" applyAlignment="0" applyProtection="0"/>
    <xf numFmtId="41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64" fillId="0" borderId="0" applyFont="0" applyFill="0" applyBorder="0" applyAlignment="0" applyProtection="0">
      <alignment vertical="center"/>
    </xf>
    <xf numFmtId="43" fontId="72" fillId="0" borderId="0" applyFont="0" applyFill="0" applyBorder="0" applyAlignment="0" applyProtection="0">
      <alignment vertical="center"/>
    </xf>
    <xf numFmtId="164" fontId="41" fillId="0" borderId="0" applyFill="0" applyBorder="0" applyAlignment="0" applyProtection="0"/>
    <xf numFmtId="43" fontId="72" fillId="0" borderId="0" applyFont="0" applyFill="0" applyBorder="0" applyAlignment="0" applyProtection="0">
      <alignment vertical="center"/>
    </xf>
    <xf numFmtId="43" fontId="83" fillId="0" borderId="0" applyFont="0" applyFill="0" applyBorder="0" applyAlignment="0" applyProtection="0"/>
    <xf numFmtId="164" fontId="41" fillId="0" borderId="0" applyFill="0" applyBorder="0" applyAlignment="0" applyProtection="0"/>
    <xf numFmtId="165" fontId="73" fillId="0" borderId="0" applyFont="0" applyFill="0" applyBorder="0" applyAlignment="0" applyProtection="0"/>
    <xf numFmtId="43" fontId="74" fillId="0" borderId="0" applyFont="0" applyFill="0" applyBorder="0" applyAlignment="0" applyProtection="0"/>
    <xf numFmtId="43" fontId="64" fillId="0" borderId="0" applyFont="0" applyFill="0" applyBorder="0" applyAlignment="0" applyProtection="0">
      <alignment vertical="center"/>
    </xf>
    <xf numFmtId="165" fontId="7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165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4" fontId="83" fillId="0" borderId="0" applyFont="0" applyFill="0" applyBorder="0" applyAlignment="0" applyProtection="0"/>
    <xf numFmtId="0" fontId="75" fillId="0" borderId="0">
      <alignment vertical="center"/>
    </xf>
    <xf numFmtId="0" fontId="76" fillId="0" borderId="0" applyNumberFormat="0" applyFill="0" applyBorder="0" applyAlignment="0" applyProtection="0"/>
    <xf numFmtId="0" fontId="77" fillId="59" borderId="0" applyNumberFormat="0" applyBorder="0" applyAlignment="0" applyProtection="0"/>
    <xf numFmtId="0" fontId="78" fillId="60" borderId="0" applyNumberFormat="0" applyBorder="0" applyAlignment="0" applyProtection="0"/>
    <xf numFmtId="0" fontId="41" fillId="0" borderId="0"/>
    <xf numFmtId="0" fontId="41" fillId="0" borderId="0">
      <alignment vertical="center"/>
    </xf>
    <xf numFmtId="0" fontId="83" fillId="0" borderId="0"/>
    <xf numFmtId="0" fontId="41" fillId="0" borderId="0"/>
    <xf numFmtId="0" fontId="83" fillId="0" borderId="0"/>
    <xf numFmtId="0" fontId="74" fillId="0" borderId="0"/>
    <xf numFmtId="0" fontId="41" fillId="0" borderId="0"/>
    <xf numFmtId="0" fontId="72" fillId="0" borderId="0">
      <alignment vertical="center"/>
    </xf>
    <xf numFmtId="0" fontId="83" fillId="0" borderId="0"/>
    <xf numFmtId="0" fontId="83" fillId="0" borderId="0"/>
    <xf numFmtId="0" fontId="73" fillId="0" borderId="0"/>
    <xf numFmtId="0" fontId="83" fillId="0" borderId="0"/>
    <xf numFmtId="0" fontId="7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41" fillId="0" borderId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0" fontId="79" fillId="61" borderId="182">
      <alignment vertical="top"/>
    </xf>
    <xf numFmtId="0" fontId="80" fillId="62" borderId="183"/>
  </cellStyleXfs>
  <cellXfs count="989">
    <xf numFmtId="0" fontId="0" fillId="0" borderId="0" xfId="0"/>
    <xf numFmtId="0" fontId="83" fillId="2" borderId="0" xfId="51" applyFill="1"/>
    <xf numFmtId="0" fontId="1" fillId="2" borderId="0" xfId="51" applyFont="1" applyFill="1"/>
    <xf numFmtId="0" fontId="83" fillId="2" borderId="0" xfId="45" applyFill="1"/>
    <xf numFmtId="43" fontId="0" fillId="0" borderId="0" xfId="27" applyFont="1" applyAlignment="1">
      <alignment wrapText="1"/>
    </xf>
    <xf numFmtId="9" fontId="0" fillId="0" borderId="0" xfId="27" applyNumberFormat="1" applyFont="1" applyAlignment="1">
      <alignment wrapText="1"/>
    </xf>
    <xf numFmtId="43" fontId="0" fillId="0" borderId="0" xfId="27" applyFont="1" applyAlignment="1">
      <alignment horizontal="center" wrapText="1"/>
    </xf>
    <xf numFmtId="0" fontId="2" fillId="2" borderId="0" xfId="51" applyFont="1" applyFill="1"/>
    <xf numFmtId="0" fontId="3" fillId="2" borderId="0" xfId="51" applyFont="1" applyFill="1"/>
    <xf numFmtId="0" fontId="4" fillId="2" borderId="0" xfId="51" applyFont="1" applyFill="1"/>
    <xf numFmtId="0" fontId="6" fillId="2" borderId="0" xfId="51" applyFont="1" applyFill="1" applyAlignment="1">
      <alignment horizontal="center" vertical="center"/>
    </xf>
    <xf numFmtId="0" fontId="7" fillId="2" borderId="0" xfId="51" applyFont="1" applyFill="1" applyAlignment="1">
      <alignment horizontal="center"/>
    </xf>
    <xf numFmtId="0" fontId="8" fillId="3" borderId="3" xfId="51" applyFont="1" applyFill="1" applyBorder="1" applyAlignment="1">
      <alignment horizontal="center" vertical="center" wrapText="1"/>
    </xf>
    <xf numFmtId="0" fontId="9" fillId="5" borderId="2" xfId="4" applyFont="1" applyFill="1" applyBorder="1" applyAlignment="1">
      <alignment wrapText="1"/>
    </xf>
    <xf numFmtId="166" fontId="83" fillId="5" borderId="2" xfId="51" applyNumberFormat="1" applyFill="1" applyBorder="1"/>
    <xf numFmtId="0" fontId="83" fillId="5" borderId="2" xfId="51" applyFill="1" applyBorder="1"/>
    <xf numFmtId="0" fontId="83" fillId="5" borderId="2" xfId="51" applyFill="1" applyBorder="1" applyAlignment="1">
      <alignment wrapText="1"/>
    </xf>
    <xf numFmtId="0" fontId="9" fillId="2" borderId="3" xfId="51" applyFont="1" applyFill="1" applyBorder="1" applyAlignment="1">
      <alignment wrapText="1"/>
    </xf>
    <xf numFmtId="166" fontId="83" fillId="2" borderId="3" xfId="51" applyNumberFormat="1" applyFill="1" applyBorder="1"/>
    <xf numFmtId="0" fontId="83" fillId="2" borderId="3" xfId="51" applyFill="1" applyBorder="1"/>
    <xf numFmtId="0" fontId="83" fillId="2" borderId="3" xfId="51" applyFill="1" applyBorder="1" applyAlignment="1">
      <alignment wrapText="1"/>
    </xf>
    <xf numFmtId="0" fontId="9" fillId="5" borderId="3" xfId="4" applyFont="1" applyFill="1" applyBorder="1" applyAlignment="1">
      <alignment wrapText="1"/>
    </xf>
    <xf numFmtId="166" fontId="83" fillId="5" borderId="4" xfId="51" applyNumberFormat="1" applyFill="1" applyBorder="1"/>
    <xf numFmtId="0" fontId="83" fillId="5" borderId="3" xfId="51" applyFill="1" applyBorder="1"/>
    <xf numFmtId="0" fontId="83" fillId="5" borderId="3" xfId="51" applyFill="1" applyBorder="1" applyAlignment="1">
      <alignment wrapText="1"/>
    </xf>
    <xf numFmtId="0" fontId="83" fillId="2" borderId="2" xfId="51" applyFill="1" applyBorder="1" applyAlignment="1">
      <alignment horizontal="left" wrapText="1"/>
    </xf>
    <xf numFmtId="166" fontId="83" fillId="2" borderId="2" xfId="51" applyNumberFormat="1" applyFill="1" applyBorder="1"/>
    <xf numFmtId="0" fontId="83" fillId="2" borderId="2" xfId="51" applyFill="1" applyBorder="1"/>
    <xf numFmtId="0" fontId="83" fillId="2" borderId="2" xfId="51" applyFill="1" applyBorder="1" applyAlignment="1">
      <alignment wrapText="1"/>
    </xf>
    <xf numFmtId="0" fontId="83" fillId="2" borderId="3" xfId="51" applyFill="1" applyBorder="1" applyAlignment="1">
      <alignment horizontal="left" wrapText="1"/>
    </xf>
    <xf numFmtId="0" fontId="9" fillId="2" borderId="0" xfId="45" applyFont="1" applyFill="1"/>
    <xf numFmtId="0" fontId="9" fillId="0" borderId="8" xfId="38" applyFont="1" applyBorder="1" applyAlignment="1">
      <alignment horizontal="left"/>
    </xf>
    <xf numFmtId="0" fontId="9" fillId="0" borderId="9" xfId="38" applyFont="1" applyBorder="1" applyAlignment="1">
      <alignment horizontal="left"/>
    </xf>
    <xf numFmtId="0" fontId="83" fillId="2" borderId="3" xfId="51" applyFill="1" applyBorder="1" applyAlignment="1">
      <alignment horizontal="center" vertical="center"/>
    </xf>
    <xf numFmtId="0" fontId="9" fillId="5" borderId="3" xfId="4" applyFont="1" applyFill="1" applyBorder="1" applyAlignment="1">
      <alignment horizontal="left" wrapText="1"/>
    </xf>
    <xf numFmtId="0" fontId="8" fillId="0" borderId="12" xfId="51" applyFont="1" applyBorder="1" applyAlignment="1">
      <alignment horizontal="left" indent="2"/>
    </xf>
    <xf numFmtId="166" fontId="83" fillId="2" borderId="5" xfId="51" applyNumberFormat="1" applyFill="1" applyBorder="1"/>
    <xf numFmtId="0" fontId="83" fillId="2" borderId="5" xfId="51" applyFill="1" applyBorder="1"/>
    <xf numFmtId="0" fontId="83" fillId="2" borderId="5" xfId="51" applyFill="1" applyBorder="1" applyAlignment="1">
      <alignment wrapText="1"/>
    </xf>
    <xf numFmtId="0" fontId="8" fillId="0" borderId="13" xfId="51" applyFont="1" applyBorder="1" applyAlignment="1">
      <alignment horizontal="left" indent="2"/>
    </xf>
    <xf numFmtId="9" fontId="2" fillId="2" borderId="0" xfId="51" applyNumberFormat="1" applyFont="1" applyFill="1"/>
    <xf numFmtId="0" fontId="2" fillId="2" borderId="0" xfId="51" applyFont="1" applyFill="1" applyAlignment="1">
      <alignment horizontal="center"/>
    </xf>
    <xf numFmtId="9" fontId="6" fillId="2" borderId="0" xfId="51" applyNumberFormat="1" applyFont="1" applyFill="1" applyAlignment="1">
      <alignment horizontal="center" vertical="center"/>
    </xf>
    <xf numFmtId="9" fontId="7" fillId="2" borderId="0" xfId="51" applyNumberFormat="1" applyFont="1" applyFill="1" applyAlignment="1">
      <alignment horizontal="center"/>
    </xf>
    <xf numFmtId="0" fontId="8" fillId="3" borderId="14" xfId="51" applyFont="1" applyFill="1" applyBorder="1" applyAlignment="1">
      <alignment horizontal="center" vertical="center" wrapText="1"/>
    </xf>
    <xf numFmtId="166" fontId="83" fillId="5" borderId="2" xfId="51" applyNumberFormat="1" applyFill="1" applyBorder="1" applyAlignment="1">
      <alignment horizontal="center" vertical="center"/>
    </xf>
    <xf numFmtId="9" fontId="83" fillId="5" borderId="2" xfId="51" applyNumberFormat="1" applyFill="1" applyBorder="1" applyAlignment="1">
      <alignment horizontal="center" vertical="center"/>
    </xf>
    <xf numFmtId="0" fontId="83" fillId="2" borderId="4" xfId="51" applyFill="1" applyBorder="1" applyAlignment="1">
      <alignment horizontal="center"/>
    </xf>
    <xf numFmtId="0" fontId="83" fillId="2" borderId="4" xfId="51" applyFill="1" applyBorder="1"/>
    <xf numFmtId="166" fontId="83" fillId="2" borderId="3" xfId="51" applyNumberFormat="1" applyFill="1" applyBorder="1" applyAlignment="1">
      <alignment horizontal="center" vertical="center"/>
    </xf>
    <xf numFmtId="9" fontId="83" fillId="2" borderId="3" xfId="51" applyNumberFormat="1" applyFill="1" applyBorder="1" applyAlignment="1">
      <alignment horizontal="center" vertical="center"/>
    </xf>
    <xf numFmtId="0" fontId="83" fillId="2" borderId="5" xfId="51" applyFill="1" applyBorder="1" applyAlignment="1">
      <alignment horizontal="center"/>
    </xf>
    <xf numFmtId="17" fontId="83" fillId="5" borderId="3" xfId="51" applyNumberFormat="1" applyFill="1" applyBorder="1" applyAlignment="1">
      <alignment horizontal="center" vertical="center"/>
    </xf>
    <xf numFmtId="9" fontId="83" fillId="5" borderId="3" xfId="51" applyNumberFormat="1" applyFill="1" applyBorder="1" applyAlignment="1">
      <alignment horizontal="center" vertical="center"/>
    </xf>
    <xf numFmtId="0" fontId="83" fillId="2" borderId="3" xfId="51" applyFill="1" applyBorder="1" applyAlignment="1">
      <alignment horizontal="center"/>
    </xf>
    <xf numFmtId="17" fontId="83" fillId="2" borderId="2" xfId="51" applyNumberFormat="1" applyFill="1" applyBorder="1" applyAlignment="1">
      <alignment horizontal="center" vertical="center"/>
    </xf>
    <xf numFmtId="17" fontId="83" fillId="2" borderId="3" xfId="51" applyNumberFormat="1" applyFill="1" applyBorder="1" applyAlignment="1">
      <alignment horizontal="center" vertical="center"/>
    </xf>
    <xf numFmtId="17" fontId="83" fillId="2" borderId="3" xfId="51" applyNumberFormat="1" applyFill="1" applyBorder="1" applyAlignment="1">
      <alignment horizontal="center"/>
    </xf>
    <xf numFmtId="0" fontId="83" fillId="2" borderId="17" xfId="45" applyFill="1" applyBorder="1" applyAlignment="1">
      <alignment horizontal="center"/>
    </xf>
    <xf numFmtId="0" fontId="83" fillId="2" borderId="17" xfId="45" applyFill="1" applyBorder="1"/>
    <xf numFmtId="9" fontId="9" fillId="0" borderId="14" xfId="38" applyNumberFormat="1" applyFont="1" applyBorder="1" applyAlignment="1">
      <alignment horizontal="left"/>
    </xf>
    <xf numFmtId="0" fontId="83" fillId="2" borderId="3" xfId="45" applyFill="1" applyBorder="1" applyAlignment="1">
      <alignment horizontal="center"/>
    </xf>
    <xf numFmtId="0" fontId="83" fillId="2" borderId="4" xfId="45" applyFill="1" applyBorder="1"/>
    <xf numFmtId="0" fontId="83" fillId="2" borderId="15" xfId="45" applyFill="1" applyBorder="1" applyAlignment="1">
      <alignment horizontal="center"/>
    </xf>
    <xf numFmtId="0" fontId="83" fillId="2" borderId="19" xfId="45" applyFill="1" applyBorder="1"/>
    <xf numFmtId="17" fontId="83" fillId="5" borderId="3" xfId="51" applyNumberFormat="1" applyFill="1" applyBorder="1" applyAlignment="1">
      <alignment horizontal="center"/>
    </xf>
    <xf numFmtId="9" fontId="83" fillId="5" borderId="3" xfId="51" applyNumberFormat="1" applyFill="1" applyBorder="1" applyAlignment="1">
      <alignment horizontal="center"/>
    </xf>
    <xf numFmtId="17" fontId="83" fillId="2" borderId="2" xfId="51" applyNumberFormat="1" applyFill="1" applyBorder="1" applyAlignment="1">
      <alignment horizontal="center"/>
    </xf>
    <xf numFmtId="17" fontId="83" fillId="2" borderId="5" xfId="51" applyNumberFormat="1" applyFill="1" applyBorder="1" applyAlignment="1">
      <alignment horizontal="center"/>
    </xf>
    <xf numFmtId="9" fontId="83" fillId="2" borderId="5" xfId="51" applyNumberFormat="1" applyFill="1" applyBorder="1" applyAlignment="1">
      <alignment horizontal="center"/>
    </xf>
    <xf numFmtId="0" fontId="10" fillId="0" borderId="4" xfId="51" applyFont="1" applyBorder="1"/>
    <xf numFmtId="0" fontId="83" fillId="7" borderId="4" xfId="51" applyFill="1" applyBorder="1"/>
    <xf numFmtId="0" fontId="83" fillId="0" borderId="3" xfId="51" applyBorder="1"/>
    <xf numFmtId="0" fontId="83" fillId="5" borderId="3" xfId="51" applyFill="1" applyBorder="1" applyAlignment="1">
      <alignment horizontal="center" vertical="center"/>
    </xf>
    <xf numFmtId="0" fontId="11" fillId="7" borderId="3" xfId="5" applyFill="1" applyBorder="1"/>
    <xf numFmtId="37" fontId="0" fillId="2" borderId="17" xfId="10" applyNumberFormat="1" applyFont="1" applyFill="1" applyBorder="1"/>
    <xf numFmtId="37" fontId="0" fillId="2" borderId="4" xfId="10" applyNumberFormat="1" applyFont="1" applyFill="1" applyBorder="1"/>
    <xf numFmtId="37" fontId="83" fillId="2" borderId="19" xfId="45" applyNumberFormat="1" applyFill="1" applyBorder="1"/>
    <xf numFmtId="37" fontId="83" fillId="0" borderId="19" xfId="45" applyNumberFormat="1" applyBorder="1"/>
    <xf numFmtId="0" fontId="83" fillId="7" borderId="3" xfId="51" applyFill="1" applyBorder="1"/>
    <xf numFmtId="0" fontId="83" fillId="0" borderId="3" xfId="51" applyBorder="1" applyAlignment="1">
      <alignment horizontal="center" vertical="center"/>
    </xf>
    <xf numFmtId="167" fontId="83" fillId="2" borderId="4" xfId="51" applyNumberFormat="1" applyFill="1" applyBorder="1"/>
    <xf numFmtId="167" fontId="83" fillId="2" borderId="3" xfId="51" applyNumberFormat="1" applyFill="1" applyBorder="1"/>
    <xf numFmtId="49" fontId="0" fillId="0" borderId="4" xfId="5" applyNumberFormat="1" applyFont="1" applyFill="1" applyBorder="1" applyAlignment="1">
      <alignment horizontal="center" vertical="center" wrapText="1"/>
    </xf>
    <xf numFmtId="0" fontId="12" fillId="0" borderId="4" xfId="51" applyFont="1" applyBorder="1" applyAlignment="1">
      <alignment horizontal="center" vertical="center"/>
    </xf>
    <xf numFmtId="168" fontId="9" fillId="2" borderId="3" xfId="28" applyNumberFormat="1" applyFont="1" applyFill="1" applyBorder="1"/>
    <xf numFmtId="49" fontId="12" fillId="0" borderId="0" xfId="51" applyNumberFormat="1" applyFont="1" applyAlignment="1">
      <alignment horizontal="center" vertical="center"/>
    </xf>
    <xf numFmtId="49" fontId="12" fillId="0" borderId="4" xfId="51" applyNumberFormat="1" applyFont="1" applyBorder="1" applyAlignment="1">
      <alignment horizontal="center" vertical="center"/>
    </xf>
    <xf numFmtId="169" fontId="9" fillId="0" borderId="20" xfId="27" applyNumberFormat="1" applyFont="1" applyBorder="1" applyAlignment="1">
      <alignment horizontal="center"/>
    </xf>
    <xf numFmtId="169" fontId="9" fillId="0" borderId="4" xfId="27" applyNumberFormat="1" applyFont="1" applyBorder="1" applyAlignment="1">
      <alignment horizontal="center"/>
    </xf>
    <xf numFmtId="169" fontId="9" fillId="0" borderId="4" xfId="28" applyNumberFormat="1" applyFont="1" applyBorder="1" applyAlignment="1">
      <alignment horizontal="center"/>
    </xf>
    <xf numFmtId="49" fontId="0" fillId="0" borderId="4" xfId="5" applyNumberFormat="1" applyFont="1" applyFill="1" applyBorder="1" applyAlignment="1">
      <alignment horizontal="center" vertical="center"/>
    </xf>
    <xf numFmtId="0" fontId="12" fillId="0" borderId="4" xfId="51" applyFont="1" applyBorder="1" applyAlignment="1">
      <alignment horizontal="center"/>
    </xf>
    <xf numFmtId="167" fontId="83" fillId="2" borderId="3" xfId="51" applyNumberFormat="1" applyFill="1" applyBorder="1" applyAlignment="1">
      <alignment horizontal="center"/>
    </xf>
    <xf numFmtId="0" fontId="83" fillId="0" borderId="3" xfId="51" applyBorder="1" applyAlignment="1">
      <alignment horizontal="left" vertical="center" wrapText="1"/>
    </xf>
    <xf numFmtId="0" fontId="83" fillId="2" borderId="3" xfId="51" applyFill="1" applyBorder="1" applyAlignment="1">
      <alignment horizontal="left" vertical="center" wrapText="1"/>
    </xf>
    <xf numFmtId="0" fontId="83" fillId="2" borderId="4" xfId="45" applyFill="1" applyBorder="1" applyAlignment="1">
      <alignment horizontal="center"/>
    </xf>
    <xf numFmtId="0" fontId="83" fillId="2" borderId="19" xfId="45" applyFill="1" applyBorder="1" applyAlignment="1">
      <alignment horizontal="center"/>
    </xf>
    <xf numFmtId="0" fontId="83" fillId="2" borderId="21" xfId="45" applyFill="1" applyBorder="1"/>
    <xf numFmtId="0" fontId="83" fillId="0" borderId="3" xfId="51" applyBorder="1" applyAlignment="1">
      <alignment wrapText="1"/>
    </xf>
    <xf numFmtId="0" fontId="83" fillId="2" borderId="4" xfId="51" applyFill="1" applyBorder="1" applyAlignment="1">
      <alignment vertical="center" wrapText="1"/>
    </xf>
    <xf numFmtId="0" fontId="83" fillId="2" borderId="15" xfId="51" applyFill="1" applyBorder="1" applyAlignment="1">
      <alignment vertical="center" wrapText="1"/>
    </xf>
    <xf numFmtId="0" fontId="83" fillId="2" borderId="22" xfId="51" applyFill="1" applyBorder="1" applyAlignment="1">
      <alignment vertical="center" wrapText="1"/>
    </xf>
    <xf numFmtId="0" fontId="83" fillId="2" borderId="3" xfId="51" applyFill="1" applyBorder="1" applyAlignment="1">
      <alignment vertical="center" wrapText="1"/>
    </xf>
    <xf numFmtId="169" fontId="9" fillId="0" borderId="3" xfId="27" applyNumberFormat="1" applyFont="1" applyBorder="1" applyAlignment="1">
      <alignment horizontal="center"/>
    </xf>
    <xf numFmtId="169" fontId="9" fillId="0" borderId="3" xfId="28" applyNumberFormat="1" applyFont="1" applyBorder="1" applyAlignment="1">
      <alignment horizontal="center"/>
    </xf>
    <xf numFmtId="0" fontId="8" fillId="0" borderId="21" xfId="51" applyFont="1" applyBorder="1" applyAlignment="1">
      <alignment horizontal="left" indent="2"/>
    </xf>
    <xf numFmtId="0" fontId="9" fillId="5" borderId="4" xfId="4" applyFont="1" applyFill="1" applyBorder="1"/>
    <xf numFmtId="0" fontId="83" fillId="5" borderId="4" xfId="51" applyFill="1" applyBorder="1"/>
    <xf numFmtId="0" fontId="83" fillId="5" borderId="4" xfId="51" applyFill="1" applyBorder="1" applyAlignment="1">
      <alignment wrapText="1"/>
    </xf>
    <xf numFmtId="0" fontId="83" fillId="2" borderId="3" xfId="51" applyFill="1" applyBorder="1" applyAlignment="1">
      <alignment horizontal="left" wrapText="1" indent="1"/>
    </xf>
    <xf numFmtId="166" fontId="83" fillId="5" borderId="3" xfId="51" applyNumberFormat="1" applyFill="1" applyBorder="1"/>
    <xf numFmtId="0" fontId="9" fillId="5" borderId="4" xfId="51" applyFont="1" applyFill="1" applyBorder="1"/>
    <xf numFmtId="0" fontId="83" fillId="2" borderId="19" xfId="51" applyFill="1" applyBorder="1"/>
    <xf numFmtId="0" fontId="83" fillId="2" borderId="3" xfId="45" applyFill="1" applyBorder="1"/>
    <xf numFmtId="37" fontId="0" fillId="0" borderId="17" xfId="10" applyNumberFormat="1" applyFont="1" applyFill="1" applyBorder="1"/>
    <xf numFmtId="37" fontId="0" fillId="0" borderId="4" xfId="10" applyNumberFormat="1" applyFont="1" applyFill="1" applyBorder="1"/>
    <xf numFmtId="0" fontId="83" fillId="7" borderId="3" xfId="51" applyFill="1" applyBorder="1" applyAlignment="1">
      <alignment horizontal="center" vertical="center"/>
    </xf>
    <xf numFmtId="0" fontId="83" fillId="2" borderId="17" xfId="45" applyFill="1" applyBorder="1" applyAlignment="1">
      <alignment horizontal="center" vertical="center"/>
    </xf>
    <xf numFmtId="0" fontId="83" fillId="2" borderId="4" xfId="45" applyFill="1" applyBorder="1" applyAlignment="1">
      <alignment horizontal="center" vertical="center"/>
    </xf>
    <xf numFmtId="0" fontId="83" fillId="2" borderId="19" xfId="45" applyFill="1" applyBorder="1" applyAlignment="1">
      <alignment horizontal="center" vertical="center"/>
    </xf>
    <xf numFmtId="0" fontId="83" fillId="2" borderId="4" xfId="51" applyFill="1" applyBorder="1" applyAlignment="1">
      <alignment horizontal="center" vertical="center"/>
    </xf>
    <xf numFmtId="0" fontId="83" fillId="5" borderId="4" xfId="51" applyFill="1" applyBorder="1" applyAlignment="1">
      <alignment horizontal="center" vertical="center"/>
    </xf>
    <xf numFmtId="0" fontId="83" fillId="0" borderId="17" xfId="45" applyBorder="1"/>
    <xf numFmtId="0" fontId="83" fillId="0" borderId="4" xfId="45" applyBorder="1"/>
    <xf numFmtId="0" fontId="83" fillId="0" borderId="19" xfId="45" applyBorder="1"/>
    <xf numFmtId="49" fontId="12" fillId="0" borderId="8" xfId="51" applyNumberFormat="1" applyFont="1" applyBorder="1" applyAlignment="1">
      <alignment horizontal="center" vertical="center"/>
    </xf>
    <xf numFmtId="0" fontId="83" fillId="2" borderId="2" xfId="45" applyFill="1" applyBorder="1"/>
    <xf numFmtId="49" fontId="12" fillId="0" borderId="14" xfId="51" applyNumberFormat="1" applyFont="1" applyBorder="1" applyAlignment="1">
      <alignment horizontal="center" vertical="center"/>
    </xf>
    <xf numFmtId="169" fontId="9" fillId="0" borderId="5" xfId="27" applyNumberFormat="1" applyFont="1" applyBorder="1" applyAlignment="1">
      <alignment horizontal="center" vertical="center"/>
    </xf>
    <xf numFmtId="169" fontId="9" fillId="0" borderId="5" xfId="27" applyNumberFormat="1" applyFont="1" applyBorder="1" applyAlignment="1">
      <alignment horizontal="center"/>
    </xf>
    <xf numFmtId="168" fontId="9" fillId="2" borderId="3" xfId="28" applyNumberFormat="1" applyFont="1" applyFill="1" applyBorder="1" applyAlignment="1">
      <alignment horizontal="center"/>
    </xf>
    <xf numFmtId="0" fontId="83" fillId="2" borderId="3" xfId="51" applyFill="1" applyBorder="1" applyAlignment="1">
      <alignment horizontal="left" vertical="center"/>
    </xf>
    <xf numFmtId="0" fontId="83" fillId="2" borderId="2" xfId="45" applyFill="1" applyBorder="1" applyAlignment="1">
      <alignment horizontal="center"/>
    </xf>
    <xf numFmtId="0" fontId="83" fillId="5" borderId="3" xfId="51" applyFill="1" applyBorder="1" applyAlignment="1">
      <alignment vertical="center" wrapText="1"/>
    </xf>
    <xf numFmtId="0" fontId="9" fillId="5" borderId="4" xfId="4" applyFont="1" applyFill="1" applyBorder="1" applyAlignment="1">
      <alignment horizontal="left" vertical="center"/>
    </xf>
    <xf numFmtId="166" fontId="83" fillId="5" borderId="4" xfId="51" applyNumberFormat="1" applyFill="1" applyBorder="1" applyAlignment="1">
      <alignment horizontal="center" vertical="center"/>
    </xf>
    <xf numFmtId="0" fontId="83" fillId="5" borderId="4" xfId="51" applyFill="1" applyBorder="1" applyAlignment="1">
      <alignment horizontal="left" vertical="center"/>
    </xf>
    <xf numFmtId="0" fontId="83" fillId="5" borderId="4" xfId="51" applyFill="1" applyBorder="1" applyAlignment="1">
      <alignment horizontal="left" vertical="center" wrapText="1"/>
    </xf>
    <xf numFmtId="0" fontId="9" fillId="5" borderId="3" xfId="51" applyFont="1" applyFill="1" applyBorder="1" applyAlignment="1">
      <alignment horizontal="left" wrapText="1"/>
    </xf>
    <xf numFmtId="0" fontId="9" fillId="5" borderId="22" xfId="51" applyFont="1" applyFill="1" applyBorder="1" applyAlignment="1">
      <alignment horizontal="left" wrapText="1"/>
    </xf>
    <xf numFmtId="166" fontId="83" fillId="5" borderId="22" xfId="51" applyNumberFormat="1" applyFill="1" applyBorder="1"/>
    <xf numFmtId="0" fontId="83" fillId="5" borderId="22" xfId="51" applyFill="1" applyBorder="1"/>
    <xf numFmtId="9" fontId="83" fillId="5" borderId="4" xfId="51" applyNumberFormat="1" applyFill="1" applyBorder="1"/>
    <xf numFmtId="0" fontId="83" fillId="0" borderId="4" xfId="51" applyBorder="1" applyAlignment="1">
      <alignment horizontal="center"/>
    </xf>
    <xf numFmtId="0" fontId="83" fillId="0" borderId="4" xfId="51" applyBorder="1"/>
    <xf numFmtId="0" fontId="83" fillId="5" borderId="3" xfId="51" applyFill="1" applyBorder="1" applyAlignment="1">
      <alignment horizontal="left" vertical="center" wrapText="1"/>
    </xf>
    <xf numFmtId="9" fontId="83" fillId="5" borderId="2" xfId="51" applyNumberFormat="1" applyFill="1" applyBorder="1"/>
    <xf numFmtId="0" fontId="83" fillId="2" borderId="2" xfId="51" applyFill="1" applyBorder="1" applyAlignment="1">
      <alignment horizontal="center"/>
    </xf>
    <xf numFmtId="17" fontId="83" fillId="5" borderId="17" xfId="51" applyNumberFormat="1" applyFill="1" applyBorder="1" applyAlignment="1">
      <alignment horizontal="center"/>
    </xf>
    <xf numFmtId="9" fontId="83" fillId="5" borderId="22" xfId="51" applyNumberFormat="1" applyFill="1" applyBorder="1"/>
    <xf numFmtId="0" fontId="83" fillId="2" borderId="17" xfId="51" applyFill="1" applyBorder="1" applyAlignment="1">
      <alignment horizontal="center"/>
    </xf>
    <xf numFmtId="0" fontId="83" fillId="0" borderId="22" xfId="51" applyBorder="1"/>
    <xf numFmtId="9" fontId="83" fillId="2" borderId="3" xfId="51" applyNumberFormat="1" applyFill="1" applyBorder="1"/>
    <xf numFmtId="0" fontId="83" fillId="7" borderId="4" xfId="51" applyFill="1" applyBorder="1" applyAlignment="1">
      <alignment horizontal="center" vertical="center"/>
    </xf>
    <xf numFmtId="0" fontId="83" fillId="0" borderId="4" xfId="51" applyBorder="1" applyAlignment="1">
      <alignment horizontal="center" vertical="center"/>
    </xf>
    <xf numFmtId="43" fontId="0" fillId="0" borderId="4" xfId="27" applyFont="1" applyBorder="1" applyAlignment="1">
      <alignment wrapText="1"/>
    </xf>
    <xf numFmtId="168" fontId="0" fillId="5" borderId="4" xfId="27" applyNumberFormat="1" applyFont="1" applyFill="1" applyBorder="1" applyAlignment="1">
      <alignment horizontal="center" vertical="center" wrapText="1"/>
    </xf>
    <xf numFmtId="43" fontId="0" fillId="0" borderId="19" xfId="27" applyFont="1" applyBorder="1" applyAlignment="1">
      <alignment wrapText="1"/>
    </xf>
    <xf numFmtId="0" fontId="83" fillId="7" borderId="22" xfId="51" applyFill="1" applyBorder="1"/>
    <xf numFmtId="0" fontId="83" fillId="7" borderId="3" xfId="51" applyFill="1" applyBorder="1" applyAlignment="1">
      <alignment horizontal="center"/>
    </xf>
    <xf numFmtId="0" fontId="83" fillId="8" borderId="3" xfId="51" applyFill="1" applyBorder="1"/>
    <xf numFmtId="0" fontId="83" fillId="7" borderId="2" xfId="51" applyFill="1" applyBorder="1"/>
    <xf numFmtId="0" fontId="83" fillId="8" borderId="4" xfId="51" applyFill="1" applyBorder="1"/>
    <xf numFmtId="0" fontId="13" fillId="0" borderId="4" xfId="51" applyFont="1" applyBorder="1"/>
    <xf numFmtId="0" fontId="83" fillId="2" borderId="3" xfId="45" applyFill="1" applyBorder="1" applyAlignment="1">
      <alignment horizontal="center" vertical="center"/>
    </xf>
    <xf numFmtId="0" fontId="83" fillId="0" borderId="2" xfId="51" applyBorder="1"/>
    <xf numFmtId="1" fontId="0" fillId="0" borderId="4" xfId="27" applyNumberFormat="1" applyFont="1" applyFill="1" applyBorder="1" applyAlignment="1">
      <alignment horizontal="left"/>
    </xf>
    <xf numFmtId="167" fontId="83" fillId="2" borderId="2" xfId="51" applyNumberFormat="1" applyFill="1" applyBorder="1"/>
    <xf numFmtId="167" fontId="83" fillId="2" borderId="22" xfId="51" applyNumberFormat="1" applyFill="1" applyBorder="1"/>
    <xf numFmtId="167" fontId="83" fillId="2" borderId="4" xfId="51" applyNumberFormat="1" applyFill="1" applyBorder="1" applyAlignment="1">
      <alignment horizontal="center"/>
    </xf>
    <xf numFmtId="0" fontId="83" fillId="2" borderId="4" xfId="51" applyFill="1" applyBorder="1" applyAlignment="1">
      <alignment wrapText="1"/>
    </xf>
    <xf numFmtId="0" fontId="83" fillId="2" borderId="17" xfId="51" applyFill="1" applyBorder="1" applyAlignment="1">
      <alignment horizontal="left" vertical="center"/>
    </xf>
    <xf numFmtId="0" fontId="83" fillId="5" borderId="4" xfId="51" applyFill="1" applyBorder="1" applyAlignment="1">
      <alignment vertical="center" wrapText="1"/>
    </xf>
    <xf numFmtId="0" fontId="83" fillId="0" borderId="4" xfId="51" applyBorder="1" applyAlignment="1">
      <alignment vertical="center" wrapText="1"/>
    </xf>
    <xf numFmtId="167" fontId="83" fillId="2" borderId="2" xfId="51" applyNumberFormat="1" applyFill="1" applyBorder="1" applyAlignment="1">
      <alignment horizontal="center"/>
    </xf>
    <xf numFmtId="0" fontId="83" fillId="9" borderId="3" xfId="51" applyFill="1" applyBorder="1"/>
    <xf numFmtId="1" fontId="0" fillId="2" borderId="3" xfId="29" applyNumberFormat="1" applyFont="1" applyFill="1" applyBorder="1" applyAlignment="1">
      <alignment horizontal="center"/>
    </xf>
    <xf numFmtId="0" fontId="83" fillId="9" borderId="4" xfId="51" applyFill="1" applyBorder="1" applyAlignment="1">
      <alignment wrapText="1"/>
    </xf>
    <xf numFmtId="1" fontId="83" fillId="2" borderId="3" xfId="51" applyNumberFormat="1" applyFill="1" applyBorder="1" applyAlignment="1">
      <alignment horizontal="center"/>
    </xf>
    <xf numFmtId="43" fontId="0" fillId="0" borderId="21" xfId="27" applyFont="1" applyBorder="1" applyAlignment="1">
      <alignment wrapText="1"/>
    </xf>
    <xf numFmtId="43" fontId="0" fillId="0" borderId="0" xfId="27" applyFont="1" applyBorder="1" applyAlignment="1">
      <alignment wrapText="1"/>
    </xf>
    <xf numFmtId="0" fontId="83" fillId="2" borderId="17" xfId="51" applyFill="1" applyBorder="1"/>
    <xf numFmtId="0" fontId="0" fillId="2" borderId="5" xfId="4" applyFont="1" applyFill="1" applyBorder="1" applyAlignment="1">
      <alignment wrapText="1"/>
    </xf>
    <xf numFmtId="0" fontId="9" fillId="2" borderId="5" xfId="4" applyFont="1" applyFill="1" applyBorder="1" applyAlignment="1">
      <alignment wrapText="1"/>
    </xf>
    <xf numFmtId="166" fontId="83" fillId="2" borderId="5" xfId="51" applyNumberFormat="1" applyFill="1" applyBorder="1" applyAlignment="1">
      <alignment horizontal="center" vertical="center"/>
    </xf>
    <xf numFmtId="9" fontId="83" fillId="2" borderId="5" xfId="51" applyNumberFormat="1" applyFill="1" applyBorder="1" applyAlignment="1">
      <alignment horizontal="center" vertical="center"/>
    </xf>
    <xf numFmtId="0" fontId="10" fillId="0" borderId="3" xfId="51" applyFont="1" applyBorder="1"/>
    <xf numFmtId="0" fontId="83" fillId="2" borderId="22" xfId="51" applyFill="1" applyBorder="1"/>
    <xf numFmtId="0" fontId="83" fillId="10" borderId="4" xfId="51" applyFill="1" applyBorder="1"/>
    <xf numFmtId="0" fontId="83" fillId="10" borderId="3" xfId="51" applyFill="1" applyBorder="1"/>
    <xf numFmtId="0" fontId="83" fillId="9" borderId="3" xfId="51" applyFill="1" applyBorder="1" applyAlignment="1">
      <alignment wrapText="1"/>
    </xf>
    <xf numFmtId="0" fontId="83" fillId="0" borderId="0" xfId="36"/>
    <xf numFmtId="0" fontId="15" fillId="0" borderId="0" xfId="40" applyFont="1" applyAlignment="1" applyProtection="1">
      <alignment vertical="center"/>
      <protection locked="0"/>
    </xf>
    <xf numFmtId="0" fontId="16" fillId="11" borderId="26" xfId="36" applyFont="1" applyFill="1" applyBorder="1" applyAlignment="1">
      <alignment horizontal="center" vertical="center"/>
    </xf>
    <xf numFmtId="0" fontId="18" fillId="0" borderId="28" xfId="36" applyFont="1" applyBorder="1" applyAlignment="1">
      <alignment horizontal="center" vertical="top"/>
    </xf>
    <xf numFmtId="0" fontId="18" fillId="0" borderId="28" xfId="36" applyFont="1" applyBorder="1" applyAlignment="1">
      <alignment vertical="top"/>
    </xf>
    <xf numFmtId="170" fontId="18" fillId="0" borderId="28" xfId="36" applyNumberFormat="1" applyFont="1" applyBorder="1" applyAlignment="1">
      <alignment horizontal="center" vertical="top"/>
    </xf>
    <xf numFmtId="0" fontId="18" fillId="0" borderId="4" xfId="36" applyFont="1" applyBorder="1" applyAlignment="1">
      <alignment horizontal="center" vertical="top"/>
    </xf>
    <xf numFmtId="0" fontId="18" fillId="0" borderId="4" xfId="36" applyFont="1" applyBorder="1" applyAlignment="1">
      <alignment vertical="top"/>
    </xf>
    <xf numFmtId="170" fontId="18" fillId="0" borderId="4" xfId="36" applyNumberFormat="1" applyFont="1" applyBorder="1" applyAlignment="1">
      <alignment horizontal="center" vertical="top"/>
    </xf>
    <xf numFmtId="2" fontId="18" fillId="0" borderId="4" xfId="36" applyNumberFormat="1" applyFont="1" applyBorder="1" applyAlignment="1">
      <alignment horizontal="center" vertical="top"/>
    </xf>
    <xf numFmtId="0" fontId="18" fillId="0" borderId="8" xfId="36" applyFont="1" applyBorder="1" applyAlignment="1">
      <alignment horizontal="center" vertical="top"/>
    </xf>
    <xf numFmtId="0" fontId="18" fillId="0" borderId="14" xfId="36" applyFont="1" applyBorder="1" applyAlignment="1">
      <alignment vertical="top"/>
    </xf>
    <xf numFmtId="0" fontId="18" fillId="0" borderId="29" xfId="36" applyFont="1" applyBorder="1" applyAlignment="1">
      <alignment horizontal="center" vertical="top"/>
    </xf>
    <xf numFmtId="0" fontId="18" fillId="0" borderId="2" xfId="36" applyFont="1" applyBorder="1" applyAlignment="1">
      <alignment horizontal="center" vertical="top"/>
    </xf>
    <xf numFmtId="0" fontId="18" fillId="0" borderId="30" xfId="36" applyFont="1" applyBorder="1" applyAlignment="1">
      <alignment vertical="top"/>
    </xf>
    <xf numFmtId="170" fontId="18" fillId="0" borderId="2" xfId="36" applyNumberFormat="1" applyFont="1" applyBorder="1" applyAlignment="1">
      <alignment horizontal="center" vertical="top"/>
    </xf>
    <xf numFmtId="0" fontId="18" fillId="0" borderId="31" xfId="36" applyFont="1" applyBorder="1" applyAlignment="1">
      <alignment horizontal="center" vertical="top"/>
    </xf>
    <xf numFmtId="170" fontId="18" fillId="11" borderId="26" xfId="36" applyNumberFormat="1" applyFont="1" applyFill="1" applyBorder="1" applyAlignment="1">
      <alignment horizontal="center" vertical="top"/>
    </xf>
    <xf numFmtId="0" fontId="19" fillId="11" borderId="26" xfId="36" applyFont="1" applyFill="1" applyBorder="1" applyAlignment="1">
      <alignment horizontal="center" vertical="top"/>
    </xf>
    <xf numFmtId="0" fontId="18" fillId="0" borderId="3" xfId="36" applyFont="1" applyBorder="1" applyAlignment="1">
      <alignment horizontal="center" vertical="top"/>
    </xf>
    <xf numFmtId="0" fontId="18" fillId="0" borderId="3" xfId="36" applyFont="1" applyBorder="1" applyAlignment="1">
      <alignment vertical="top"/>
    </xf>
    <xf numFmtId="170" fontId="18" fillId="0" borderId="3" xfId="36" applyNumberFormat="1" applyFont="1" applyBorder="1" applyAlignment="1">
      <alignment horizontal="center" vertical="top"/>
    </xf>
    <xf numFmtId="0" fontId="18" fillId="0" borderId="0" xfId="36" applyFont="1" applyAlignment="1">
      <alignment horizontal="left" vertical="top"/>
    </xf>
    <xf numFmtId="2" fontId="18" fillId="0" borderId="2" xfId="36" applyNumberFormat="1" applyFont="1" applyBorder="1" applyAlignment="1">
      <alignment horizontal="center" vertical="top"/>
    </xf>
    <xf numFmtId="0" fontId="18" fillId="11" borderId="26" xfId="36" applyFont="1" applyFill="1" applyBorder="1" applyAlignment="1">
      <alignment horizontal="center" vertical="top"/>
    </xf>
    <xf numFmtId="0" fontId="22" fillId="12" borderId="0" xfId="0" applyFont="1" applyFill="1"/>
    <xf numFmtId="0" fontId="23" fillId="0" borderId="0" xfId="0" applyFont="1"/>
    <xf numFmtId="0" fontId="23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9" fillId="0" borderId="0" xfId="0" applyFont="1"/>
    <xf numFmtId="0" fontId="24" fillId="13" borderId="0" xfId="0" applyFont="1" applyFill="1" applyProtection="1">
      <protection locked="0"/>
    </xf>
    <xf numFmtId="0" fontId="23" fillId="14" borderId="45" xfId="0" applyFont="1" applyFill="1" applyBorder="1" applyAlignment="1">
      <alignment horizontal="center" vertical="center" wrapText="1"/>
    </xf>
    <xf numFmtId="0" fontId="23" fillId="14" borderId="15" xfId="0" applyFont="1" applyFill="1" applyBorder="1" applyAlignment="1">
      <alignment horizontal="center" vertical="center" wrapText="1"/>
    </xf>
    <xf numFmtId="0" fontId="23" fillId="14" borderId="42" xfId="0" applyFont="1" applyFill="1" applyBorder="1" applyAlignment="1">
      <alignment horizontal="center" vertical="center" wrapText="1"/>
    </xf>
    <xf numFmtId="0" fontId="22" fillId="0" borderId="0" xfId="0" applyFont="1"/>
    <xf numFmtId="0" fontId="10" fillId="12" borderId="46" xfId="0" applyFont="1" applyFill="1" applyBorder="1" applyAlignment="1">
      <alignment horizontal="center"/>
    </xf>
    <xf numFmtId="0" fontId="26" fillId="12" borderId="47" xfId="0" applyFont="1" applyFill="1" applyBorder="1" applyAlignment="1">
      <alignment horizontal="center"/>
    </xf>
    <xf numFmtId="41" fontId="26" fillId="12" borderId="47" xfId="3" applyFont="1" applyFill="1" applyBorder="1" applyAlignment="1">
      <alignment horizontal="center"/>
    </xf>
    <xf numFmtId="1" fontId="27" fillId="12" borderId="47" xfId="1" applyNumberFormat="1" applyFont="1" applyFill="1" applyBorder="1" applyAlignment="1">
      <alignment horizontal="center" vertical="center"/>
    </xf>
    <xf numFmtId="1" fontId="27" fillId="12" borderId="48" xfId="1" applyNumberFormat="1" applyFont="1" applyFill="1" applyBorder="1" applyAlignment="1">
      <alignment horizontal="center" vertical="center"/>
    </xf>
    <xf numFmtId="1" fontId="27" fillId="12" borderId="49" xfId="1" applyNumberFormat="1" applyFont="1" applyFill="1" applyBorder="1" applyAlignment="1">
      <alignment horizontal="center" vertical="center"/>
    </xf>
    <xf numFmtId="2" fontId="27" fillId="12" borderId="49" xfId="1" applyNumberFormat="1" applyFont="1" applyFill="1" applyBorder="1" applyProtection="1">
      <protection locked="0"/>
    </xf>
    <xf numFmtId="0" fontId="10" fillId="12" borderId="47" xfId="0" applyFont="1" applyFill="1" applyBorder="1" applyAlignment="1">
      <alignment horizontal="center"/>
    </xf>
    <xf numFmtId="41" fontId="10" fillId="12" borderId="47" xfId="3" applyFont="1" applyFill="1" applyBorder="1" applyAlignment="1">
      <alignment horizontal="center"/>
    </xf>
    <xf numFmtId="1" fontId="28" fillId="12" borderId="47" xfId="1" applyNumberFormat="1" applyFont="1" applyFill="1" applyBorder="1" applyAlignment="1">
      <alignment horizontal="center" vertical="center"/>
    </xf>
    <xf numFmtId="1" fontId="28" fillId="12" borderId="48" xfId="1" applyNumberFormat="1" applyFont="1" applyFill="1" applyBorder="1" applyAlignment="1">
      <alignment horizontal="center" vertical="center"/>
    </xf>
    <xf numFmtId="1" fontId="28" fillId="12" borderId="49" xfId="1" applyNumberFormat="1" applyFont="1" applyFill="1" applyBorder="1" applyAlignment="1">
      <alignment horizontal="center" vertical="center"/>
    </xf>
    <xf numFmtId="2" fontId="28" fillId="12" borderId="49" xfId="1" applyNumberFormat="1" applyFont="1" applyFill="1" applyBorder="1" applyProtection="1">
      <protection locked="0"/>
    </xf>
    <xf numFmtId="1" fontId="23" fillId="0" borderId="0" xfId="0" applyNumberFormat="1" applyFont="1"/>
    <xf numFmtId="0" fontId="23" fillId="16" borderId="40" xfId="0" applyFont="1" applyFill="1" applyBorder="1" applyAlignment="1">
      <alignment horizontal="center" vertical="center"/>
    </xf>
    <xf numFmtId="0" fontId="23" fillId="16" borderId="41" xfId="0" applyFont="1" applyFill="1" applyBorder="1" applyAlignment="1">
      <alignment horizontal="center" vertical="center" wrapText="1"/>
    </xf>
    <xf numFmtId="0" fontId="23" fillId="16" borderId="42" xfId="0" applyFont="1" applyFill="1" applyBorder="1" applyAlignment="1">
      <alignment horizontal="center" vertical="center"/>
    </xf>
    <xf numFmtId="0" fontId="23" fillId="18" borderId="53" xfId="0" applyFont="1" applyFill="1" applyBorder="1" applyAlignment="1">
      <alignment horizontal="center" vertical="center"/>
    </xf>
    <xf numFmtId="0" fontId="23" fillId="18" borderId="15" xfId="0" applyFont="1" applyFill="1" applyBorder="1" applyAlignment="1">
      <alignment horizontal="center" vertical="center"/>
    </xf>
    <xf numFmtId="41" fontId="27" fillId="12" borderId="54" xfId="3" applyFont="1" applyFill="1" applyBorder="1" applyProtection="1">
      <protection locked="0"/>
    </xf>
    <xf numFmtId="172" fontId="27" fillId="12" borderId="54" xfId="1" applyNumberFormat="1" applyFont="1" applyFill="1" applyBorder="1" applyAlignment="1">
      <alignment horizontal="center" vertical="center"/>
    </xf>
    <xf numFmtId="0" fontId="27" fillId="12" borderId="49" xfId="1" applyNumberFormat="1" applyFont="1" applyFill="1" applyBorder="1" applyAlignment="1">
      <alignment horizontal="center" vertical="center"/>
    </xf>
    <xf numFmtId="0" fontId="27" fillId="12" borderId="55" xfId="1" applyNumberFormat="1" applyFont="1" applyFill="1" applyBorder="1" applyAlignment="1">
      <alignment horizontal="center" vertical="center"/>
    </xf>
    <xf numFmtId="172" fontId="27" fillId="12" borderId="49" xfId="1" applyNumberFormat="1" applyFont="1" applyFill="1" applyBorder="1" applyAlignment="1">
      <alignment horizontal="center" vertical="center"/>
    </xf>
    <xf numFmtId="2" fontId="27" fillId="12" borderId="49" xfId="1" applyNumberFormat="1" applyFont="1" applyFill="1" applyBorder="1" applyAlignment="1">
      <alignment horizontal="center" vertical="center"/>
    </xf>
    <xf numFmtId="41" fontId="28" fillId="12" borderId="54" xfId="3" applyFont="1" applyFill="1" applyBorder="1" applyProtection="1">
      <protection locked="0"/>
    </xf>
    <xf numFmtId="172" fontId="28" fillId="12" borderId="54" xfId="1" applyNumberFormat="1" applyFont="1" applyFill="1" applyBorder="1" applyAlignment="1">
      <alignment horizontal="center" vertical="center"/>
    </xf>
    <xf numFmtId="0" fontId="28" fillId="12" borderId="49" xfId="1" applyNumberFormat="1" applyFont="1" applyFill="1" applyBorder="1" applyAlignment="1">
      <alignment horizontal="center" vertical="center"/>
    </xf>
    <xf numFmtId="0" fontId="28" fillId="12" borderId="55" xfId="1" applyNumberFormat="1" applyFont="1" applyFill="1" applyBorder="1" applyAlignment="1">
      <alignment horizontal="center" vertical="center"/>
    </xf>
    <xf numFmtId="172" fontId="28" fillId="12" borderId="49" xfId="1" applyNumberFormat="1" applyFont="1" applyFill="1" applyBorder="1" applyAlignment="1">
      <alignment horizontal="center" vertical="center"/>
    </xf>
    <xf numFmtId="2" fontId="28" fillId="12" borderId="49" xfId="1" applyNumberFormat="1" applyFont="1" applyFill="1" applyBorder="1" applyAlignment="1">
      <alignment horizontal="center" vertical="center"/>
    </xf>
    <xf numFmtId="172" fontId="27" fillId="12" borderId="56" xfId="1" applyNumberFormat="1" applyFont="1" applyFill="1" applyBorder="1" applyProtection="1">
      <protection locked="0"/>
    </xf>
    <xf numFmtId="168" fontId="27" fillId="12" borderId="56" xfId="1" applyNumberFormat="1" applyFont="1" applyFill="1" applyBorder="1" applyProtection="1">
      <protection locked="0"/>
    </xf>
    <xf numFmtId="20" fontId="30" fillId="12" borderId="47" xfId="0" applyNumberFormat="1" applyFont="1" applyFill="1" applyBorder="1" applyAlignment="1">
      <alignment horizontal="left" vertical="center" wrapText="1"/>
    </xf>
    <xf numFmtId="172" fontId="28" fillId="12" borderId="56" xfId="1" applyNumberFormat="1" applyFont="1" applyFill="1" applyBorder="1" applyProtection="1">
      <protection locked="0"/>
    </xf>
    <xf numFmtId="168" fontId="28" fillId="12" borderId="56" xfId="1" applyNumberFormat="1" applyFont="1" applyFill="1" applyBorder="1" applyProtection="1">
      <protection locked="0"/>
    </xf>
    <xf numFmtId="20" fontId="31" fillId="12" borderId="47" xfId="0" applyNumberFormat="1" applyFont="1" applyFill="1" applyBorder="1" applyAlignment="1">
      <alignment horizontal="left" vertical="center" wrapText="1"/>
    </xf>
    <xf numFmtId="0" fontId="23" fillId="2" borderId="4" xfId="0" applyFont="1" applyFill="1" applyBorder="1"/>
    <xf numFmtId="0" fontId="22" fillId="2" borderId="4" xfId="0" applyFont="1" applyFill="1" applyBorder="1"/>
    <xf numFmtId="4" fontId="32" fillId="21" borderId="0" xfId="0" applyNumberFormat="1" applyFont="1" applyFill="1" applyAlignment="1">
      <alignment vertical="center"/>
    </xf>
    <xf numFmtId="0" fontId="32" fillId="0" borderId="0" xfId="0" applyFont="1" applyAlignment="1">
      <alignment vertical="center"/>
    </xf>
    <xf numFmtId="4" fontId="32" fillId="0" borderId="0" xfId="0" applyNumberFormat="1" applyFont="1" applyAlignment="1">
      <alignment vertical="center"/>
    </xf>
    <xf numFmtId="0" fontId="34" fillId="23" borderId="29" xfId="0" applyFont="1" applyFill="1" applyBorder="1" applyAlignment="1">
      <alignment horizontal="center" vertical="center"/>
    </xf>
    <xf numFmtId="0" fontId="34" fillId="23" borderId="31" xfId="0" applyFont="1" applyFill="1" applyBorder="1" applyAlignment="1">
      <alignment horizontal="center" vertical="center"/>
    </xf>
    <xf numFmtId="0" fontId="34" fillId="23" borderId="61" xfId="0" applyFont="1" applyFill="1" applyBorder="1" applyAlignment="1">
      <alignment horizontal="center" vertical="center"/>
    </xf>
    <xf numFmtId="0" fontId="34" fillId="23" borderId="2" xfId="0" applyFont="1" applyFill="1" applyBorder="1" applyAlignment="1">
      <alignment horizontal="center" vertical="center"/>
    </xf>
    <xf numFmtId="0" fontId="32" fillId="0" borderId="62" xfId="0" applyFont="1" applyBorder="1" applyAlignment="1">
      <alignment horizontal="center" vertical="center"/>
    </xf>
    <xf numFmtId="168" fontId="33" fillId="0" borderId="58" xfId="1" applyNumberFormat="1" applyFont="1" applyFill="1" applyBorder="1" applyAlignment="1">
      <alignment vertical="center"/>
    </xf>
    <xf numFmtId="43" fontId="35" fillId="24" borderId="59" xfId="1" applyFont="1" applyFill="1" applyBorder="1" applyAlignment="1">
      <alignment vertical="center"/>
    </xf>
    <xf numFmtId="168" fontId="36" fillId="0" borderId="63" xfId="1" applyNumberFormat="1" applyFont="1" applyFill="1" applyBorder="1" applyAlignment="1">
      <alignment vertical="center"/>
    </xf>
    <xf numFmtId="0" fontId="32" fillId="0" borderId="64" xfId="0" applyFont="1" applyBorder="1" applyAlignment="1">
      <alignment horizontal="center" vertical="center"/>
    </xf>
    <xf numFmtId="168" fontId="33" fillId="0" borderId="8" xfId="1" applyNumberFormat="1" applyFont="1" applyFill="1" applyBorder="1" applyAlignment="1">
      <alignment vertical="center"/>
    </xf>
    <xf numFmtId="173" fontId="37" fillId="24" borderId="9" xfId="1" applyNumberFormat="1" applyFont="1" applyFill="1" applyBorder="1" applyAlignment="1">
      <alignment vertical="center"/>
    </xf>
    <xf numFmtId="168" fontId="36" fillId="0" borderId="65" xfId="1" applyNumberFormat="1" applyFont="1" applyFill="1" applyBorder="1" applyAlignment="1">
      <alignment vertical="center"/>
    </xf>
    <xf numFmtId="43" fontId="35" fillId="24" borderId="9" xfId="1" applyFont="1" applyFill="1" applyBorder="1" applyAlignment="1">
      <alignment vertical="center"/>
    </xf>
    <xf numFmtId="168" fontId="33" fillId="0" borderId="65" xfId="1" applyNumberFormat="1" applyFont="1" applyFill="1" applyBorder="1" applyAlignment="1">
      <alignment vertical="center"/>
    </xf>
    <xf numFmtId="0" fontId="32" fillId="25" borderId="64" xfId="0" applyFont="1" applyFill="1" applyBorder="1" applyAlignment="1">
      <alignment horizontal="center" vertical="center"/>
    </xf>
    <xf numFmtId="168" fontId="33" fillId="25" borderId="8" xfId="1" applyNumberFormat="1" applyFont="1" applyFill="1" applyBorder="1" applyAlignment="1">
      <alignment vertical="center"/>
    </xf>
    <xf numFmtId="168" fontId="36" fillId="25" borderId="65" xfId="1" applyNumberFormat="1" applyFont="1" applyFill="1" applyBorder="1" applyAlignment="1">
      <alignment vertical="center"/>
    </xf>
    <xf numFmtId="43" fontId="33" fillId="0" borderId="8" xfId="1" applyFont="1" applyFill="1" applyBorder="1" applyAlignment="1">
      <alignment vertical="center"/>
    </xf>
    <xf numFmtId="0" fontId="32" fillId="0" borderId="66" xfId="0" applyFont="1" applyBorder="1" applyAlignment="1">
      <alignment horizontal="center" vertical="center"/>
    </xf>
    <xf numFmtId="168" fontId="33" fillId="0" borderId="29" xfId="1" applyNumberFormat="1" applyFont="1" applyFill="1" applyBorder="1" applyAlignment="1">
      <alignment vertical="center"/>
    </xf>
    <xf numFmtId="168" fontId="36" fillId="0" borderId="67" xfId="1" applyNumberFormat="1" applyFont="1" applyFill="1" applyBorder="1" applyAlignment="1">
      <alignment vertical="center"/>
    </xf>
    <xf numFmtId="168" fontId="36" fillId="0" borderId="61" xfId="1" applyNumberFormat="1" applyFont="1" applyFill="1" applyBorder="1" applyAlignment="1">
      <alignment vertical="center"/>
    </xf>
    <xf numFmtId="0" fontId="32" fillId="0" borderId="68" xfId="0" applyFont="1" applyBorder="1" applyAlignment="1">
      <alignment vertical="center"/>
    </xf>
    <xf numFmtId="168" fontId="33" fillId="24" borderId="69" xfId="1" applyNumberFormat="1" applyFont="1" applyFill="1" applyBorder="1" applyAlignment="1">
      <alignment vertical="center"/>
    </xf>
    <xf numFmtId="43" fontId="33" fillId="22" borderId="69" xfId="1" applyFont="1" applyFill="1" applyBorder="1" applyAlignment="1">
      <alignment vertical="center"/>
    </xf>
    <xf numFmtId="168" fontId="36" fillId="24" borderId="69" xfId="1" applyNumberFormat="1" applyFont="1" applyFill="1" applyBorder="1" applyAlignment="1">
      <alignment vertical="center"/>
    </xf>
    <xf numFmtId="0" fontId="38" fillId="0" borderId="21" xfId="0" applyFont="1" applyBorder="1" applyAlignment="1">
      <alignment horizontal="center" vertical="center"/>
    </xf>
    <xf numFmtId="0" fontId="38" fillId="0" borderId="0" xfId="0" applyFont="1" applyAlignment="1">
      <alignment horizontal="left" vertical="center"/>
    </xf>
    <xf numFmtId="0" fontId="33" fillId="0" borderId="0" xfId="0" applyFont="1" applyAlignment="1">
      <alignment horizontal="center" vertical="center"/>
    </xf>
    <xf numFmtId="0" fontId="33" fillId="27" borderId="74" xfId="53" applyFont="1" applyFill="1" applyBorder="1" applyAlignment="1">
      <alignment horizontal="center" vertical="center"/>
    </xf>
    <xf numFmtId="0" fontId="34" fillId="28" borderId="74" xfId="53" applyFont="1" applyFill="1" applyBorder="1" applyAlignment="1">
      <alignment horizontal="center" vertical="center"/>
    </xf>
    <xf numFmtId="0" fontId="33" fillId="21" borderId="75" xfId="0" applyFont="1" applyFill="1" applyBorder="1" applyAlignment="1">
      <alignment horizontal="center" vertical="center"/>
    </xf>
    <xf numFmtId="174" fontId="33" fillId="0" borderId="78" xfId="53" applyNumberFormat="1" applyFont="1" applyBorder="1" applyAlignment="1">
      <alignment horizontal="right" vertical="center"/>
    </xf>
    <xf numFmtId="174" fontId="32" fillId="25" borderId="81" xfId="53" applyNumberFormat="1" applyFont="1" applyFill="1" applyBorder="1" applyAlignment="1">
      <alignment vertical="center"/>
    </xf>
    <xf numFmtId="174" fontId="32" fillId="25" borderId="81" xfId="53" applyNumberFormat="1" applyFont="1" applyFill="1" applyBorder="1" applyAlignment="1">
      <alignment horizontal="right" vertical="center"/>
    </xf>
    <xf numFmtId="174" fontId="32" fillId="0" borderId="81" xfId="53" applyNumberFormat="1" applyFont="1" applyBorder="1" applyAlignment="1">
      <alignment horizontal="right" vertical="center"/>
    </xf>
    <xf numFmtId="174" fontId="33" fillId="25" borderId="82" xfId="53" applyNumberFormat="1" applyFont="1" applyFill="1" applyBorder="1" applyAlignment="1">
      <alignment horizontal="right" vertical="center"/>
    </xf>
    <xf numFmtId="174" fontId="32" fillId="25" borderId="82" xfId="53" applyNumberFormat="1" applyFont="1" applyFill="1" applyBorder="1" applyAlignment="1">
      <alignment horizontal="right" vertical="center"/>
    </xf>
    <xf numFmtId="174" fontId="32" fillId="25" borderId="80" xfId="53" applyNumberFormat="1" applyFont="1" applyFill="1" applyBorder="1" applyAlignment="1">
      <alignment horizontal="right" vertical="center"/>
    </xf>
    <xf numFmtId="174" fontId="32" fillId="25" borderId="83" xfId="53" applyNumberFormat="1" applyFont="1" applyFill="1" applyBorder="1" applyAlignment="1">
      <alignment horizontal="right" vertical="center"/>
    </xf>
    <xf numFmtId="174" fontId="32" fillId="0" borderId="81" xfId="53" applyNumberFormat="1" applyFont="1" applyBorder="1" applyAlignment="1">
      <alignment vertical="center"/>
    </xf>
    <xf numFmtId="174" fontId="33" fillId="0" borderId="80" xfId="53" applyNumberFormat="1" applyFont="1" applyBorder="1" applyAlignment="1">
      <alignment horizontal="right" vertical="center"/>
    </xf>
    <xf numFmtId="174" fontId="32" fillId="0" borderId="83" xfId="53" applyNumberFormat="1" applyFont="1" applyBorder="1" applyAlignment="1">
      <alignment horizontal="right" vertical="center"/>
    </xf>
    <xf numFmtId="174" fontId="36" fillId="0" borderId="81" xfId="53" applyNumberFormat="1" applyFont="1" applyBorder="1" applyAlignment="1">
      <alignment vertical="center"/>
    </xf>
    <xf numFmtId="174" fontId="36" fillId="0" borderId="81" xfId="53" applyNumberFormat="1" applyFont="1" applyBorder="1" applyAlignment="1">
      <alignment horizontal="right" vertical="center"/>
    </xf>
    <xf numFmtId="174" fontId="36" fillId="0" borderId="80" xfId="53" applyNumberFormat="1" applyFont="1" applyBorder="1" applyAlignment="1">
      <alignment horizontal="right" vertical="center"/>
    </xf>
    <xf numFmtId="174" fontId="36" fillId="0" borderId="83" xfId="53" applyNumberFormat="1" applyFont="1" applyBorder="1" applyAlignment="1">
      <alignment horizontal="right" vertical="center"/>
    </xf>
    <xf numFmtId="174" fontId="33" fillId="0" borderId="88" xfId="53" applyNumberFormat="1" applyFont="1" applyBorder="1" applyAlignment="1">
      <alignment horizontal="right" vertical="center"/>
    </xf>
    <xf numFmtId="0" fontId="32" fillId="0" borderId="90" xfId="0" applyFont="1" applyBorder="1" applyAlignment="1">
      <alignment vertical="center"/>
    </xf>
    <xf numFmtId="0" fontId="34" fillId="26" borderId="29" xfId="0" applyFont="1" applyFill="1" applyBorder="1" applyAlignment="1">
      <alignment horizontal="center" vertical="center"/>
    </xf>
    <xf numFmtId="0" fontId="34" fillId="26" borderId="31" xfId="0" applyFont="1" applyFill="1" applyBorder="1" applyAlignment="1">
      <alignment horizontal="center" vertical="center"/>
    </xf>
    <xf numFmtId="0" fontId="34" fillId="26" borderId="61" xfId="0" applyFont="1" applyFill="1" applyBorder="1" applyAlignment="1">
      <alignment horizontal="center" vertical="center"/>
    </xf>
    <xf numFmtId="0" fontId="34" fillId="26" borderId="2" xfId="0" applyFont="1" applyFill="1" applyBorder="1" applyAlignment="1">
      <alignment horizontal="center" vertical="center"/>
    </xf>
    <xf numFmtId="0" fontId="34" fillId="26" borderId="91" xfId="0" applyFont="1" applyFill="1" applyBorder="1" applyAlignment="1">
      <alignment horizontal="center" vertical="center"/>
    </xf>
    <xf numFmtId="168" fontId="33" fillId="0" borderId="63" xfId="1" applyNumberFormat="1" applyFont="1" applyFill="1" applyBorder="1" applyAlignment="1">
      <alignment vertical="center"/>
    </xf>
    <xf numFmtId="168" fontId="33" fillId="0" borderId="28" xfId="1" applyNumberFormat="1" applyFont="1" applyFill="1" applyBorder="1" applyAlignment="1">
      <alignment vertical="center"/>
    </xf>
    <xf numFmtId="43" fontId="35" fillId="24" borderId="58" xfId="1" applyFont="1" applyFill="1" applyBorder="1" applyAlignment="1">
      <alignment vertical="center"/>
    </xf>
    <xf numFmtId="168" fontId="36" fillId="0" borderId="92" xfId="1" applyNumberFormat="1" applyFont="1" applyFill="1" applyBorder="1" applyAlignment="1">
      <alignment vertical="center"/>
    </xf>
    <xf numFmtId="168" fontId="33" fillId="0" borderId="4" xfId="1" applyNumberFormat="1" applyFont="1" applyFill="1" applyBorder="1" applyAlignment="1">
      <alignment vertical="center"/>
    </xf>
    <xf numFmtId="43" fontId="35" fillId="24" borderId="8" xfId="1" applyFont="1" applyFill="1" applyBorder="1" applyAlignment="1">
      <alignment vertical="center"/>
    </xf>
    <xf numFmtId="168" fontId="36" fillId="0" borderId="93" xfId="1" applyNumberFormat="1" applyFont="1" applyFill="1" applyBorder="1" applyAlignment="1">
      <alignment vertical="center"/>
    </xf>
    <xf numFmtId="168" fontId="33" fillId="25" borderId="4" xfId="1" applyNumberFormat="1" applyFont="1" applyFill="1" applyBorder="1" applyAlignment="1">
      <alignment vertical="center"/>
    </xf>
    <xf numFmtId="168" fontId="36" fillId="25" borderId="93" xfId="1" applyNumberFormat="1" applyFont="1" applyFill="1" applyBorder="1" applyAlignment="1">
      <alignment vertical="center"/>
    </xf>
    <xf numFmtId="0" fontId="32" fillId="25" borderId="0" xfId="0" applyFont="1" applyFill="1" applyAlignment="1">
      <alignment vertical="center"/>
    </xf>
    <xf numFmtId="168" fontId="32" fillId="0" borderId="93" xfId="1" applyNumberFormat="1" applyFont="1" applyFill="1" applyBorder="1" applyAlignment="1">
      <alignment vertical="center"/>
    </xf>
    <xf numFmtId="168" fontId="33" fillId="0" borderId="2" xfId="1" applyNumberFormat="1" applyFont="1" applyFill="1" applyBorder="1" applyAlignment="1">
      <alignment vertical="center"/>
    </xf>
    <xf numFmtId="168" fontId="36" fillId="0" borderId="94" xfId="1" applyNumberFormat="1" applyFont="1" applyFill="1" applyBorder="1" applyAlignment="1">
      <alignment vertical="center"/>
    </xf>
    <xf numFmtId="168" fontId="36" fillId="24" borderId="95" xfId="1" applyNumberFormat="1" applyFont="1" applyFill="1" applyBorder="1" applyAlignment="1">
      <alignment vertical="center"/>
    </xf>
    <xf numFmtId="0" fontId="32" fillId="0" borderId="96" xfId="0" applyFont="1" applyBorder="1" applyAlignment="1">
      <alignment vertical="center"/>
    </xf>
    <xf numFmtId="0" fontId="33" fillId="24" borderId="68" xfId="0" applyFont="1" applyFill="1" applyBorder="1" applyAlignment="1">
      <alignment vertical="center"/>
    </xf>
    <xf numFmtId="174" fontId="33" fillId="0" borderId="0" xfId="53" applyNumberFormat="1" applyFont="1" applyAlignment="1">
      <alignment horizontal="right" vertical="center"/>
    </xf>
    <xf numFmtId="0" fontId="33" fillId="25" borderId="0" xfId="53" applyFont="1" applyFill="1" applyAlignment="1">
      <alignment horizontal="center" vertical="center"/>
    </xf>
    <xf numFmtId="174" fontId="33" fillId="22" borderId="99" xfId="53" applyNumberFormat="1" applyFont="1" applyFill="1" applyBorder="1" applyAlignment="1">
      <alignment horizontal="right" vertical="center"/>
    </xf>
    <xf numFmtId="174" fontId="33" fillId="22" borderId="100" xfId="53" applyNumberFormat="1" applyFont="1" applyFill="1" applyBorder="1" applyAlignment="1">
      <alignment horizontal="right" vertical="center"/>
    </xf>
    <xf numFmtId="174" fontId="32" fillId="0" borderId="0" xfId="53" applyNumberFormat="1" applyFont="1" applyAlignment="1">
      <alignment horizontal="right" vertical="center"/>
    </xf>
    <xf numFmtId="174" fontId="33" fillId="22" borderId="101" xfId="53" applyNumberFormat="1" applyFont="1" applyFill="1" applyBorder="1" applyAlignment="1">
      <alignment horizontal="right" vertical="center"/>
    </xf>
    <xf numFmtId="174" fontId="36" fillId="0" borderId="0" xfId="53" applyNumberFormat="1" applyFont="1" applyAlignment="1">
      <alignment horizontal="right" vertical="center"/>
    </xf>
    <xf numFmtId="174" fontId="33" fillId="22" borderId="102" xfId="53" applyNumberFormat="1" applyFont="1" applyFill="1" applyBorder="1" applyAlignment="1">
      <alignment horizontal="right" vertical="center"/>
    </xf>
    <xf numFmtId="0" fontId="34" fillId="0" borderId="103" xfId="0" applyFont="1" applyBorder="1" applyAlignment="1">
      <alignment horizontal="center" vertical="center"/>
    </xf>
    <xf numFmtId="0" fontId="34" fillId="0" borderId="27" xfId="0" applyFont="1" applyBorder="1" applyAlignment="1">
      <alignment horizontal="center" vertical="center"/>
    </xf>
    <xf numFmtId="168" fontId="36" fillId="0" borderId="104" xfId="1" applyNumberFormat="1" applyFont="1" applyFill="1" applyBorder="1" applyAlignment="1">
      <alignment vertical="center"/>
    </xf>
    <xf numFmtId="0" fontId="40" fillId="0" borderId="105" xfId="0" applyFont="1" applyBorder="1" applyAlignment="1">
      <alignment horizontal="center" vertical="center"/>
    </xf>
    <xf numFmtId="175" fontId="33" fillId="0" borderId="35" xfId="0" applyNumberFormat="1" applyFont="1" applyBorder="1" applyAlignment="1">
      <alignment vertical="center"/>
    </xf>
    <xf numFmtId="175" fontId="33" fillId="0" borderId="27" xfId="0" applyNumberFormat="1" applyFont="1" applyBorder="1" applyAlignment="1">
      <alignment vertical="center"/>
    </xf>
    <xf numFmtId="168" fontId="36" fillId="0" borderId="106" xfId="1" applyNumberFormat="1" applyFont="1" applyFill="1" applyBorder="1" applyAlignment="1">
      <alignment vertical="center"/>
    </xf>
    <xf numFmtId="0" fontId="40" fillId="0" borderId="107" xfId="0" applyFont="1" applyBorder="1" applyAlignment="1">
      <alignment horizontal="center" vertical="center"/>
    </xf>
    <xf numFmtId="175" fontId="33" fillId="0" borderId="108" xfId="0" applyNumberFormat="1" applyFont="1" applyBorder="1" applyAlignment="1">
      <alignment vertical="center"/>
    </xf>
    <xf numFmtId="175" fontId="33" fillId="0" borderId="13" xfId="0" applyNumberFormat="1" applyFont="1" applyBorder="1" applyAlignment="1">
      <alignment vertical="center"/>
    </xf>
    <xf numFmtId="175" fontId="33" fillId="0" borderId="109" xfId="0" applyNumberFormat="1" applyFont="1" applyBorder="1" applyAlignment="1">
      <alignment vertical="center"/>
    </xf>
    <xf numFmtId="175" fontId="33" fillId="0" borderId="12" xfId="0" applyNumberFormat="1" applyFont="1" applyBorder="1" applyAlignment="1">
      <alignment vertical="center"/>
    </xf>
    <xf numFmtId="175" fontId="33" fillId="0" borderId="110" xfId="0" applyNumberFormat="1" applyFont="1" applyBorder="1" applyAlignment="1">
      <alignment vertical="center"/>
    </xf>
    <xf numFmtId="2" fontId="33" fillId="0" borderId="110" xfId="0" applyNumberFormat="1" applyFont="1" applyBorder="1" applyAlignment="1">
      <alignment vertical="center"/>
    </xf>
    <xf numFmtId="2" fontId="33" fillId="0" borderId="13" xfId="0" applyNumberFormat="1" applyFont="1" applyBorder="1" applyAlignment="1">
      <alignment vertical="center"/>
    </xf>
    <xf numFmtId="0" fontId="33" fillId="0" borderId="110" xfId="0" applyFont="1" applyBorder="1" applyAlignment="1">
      <alignment vertical="center"/>
    </xf>
    <xf numFmtId="168" fontId="33" fillId="0" borderId="61" xfId="1" applyNumberFormat="1" applyFont="1" applyFill="1" applyBorder="1" applyAlignment="1">
      <alignment vertical="center"/>
    </xf>
    <xf numFmtId="43" fontId="35" fillId="24" borderId="31" xfId="1" applyFont="1" applyFill="1" applyBorder="1" applyAlignment="1">
      <alignment vertical="center"/>
    </xf>
    <xf numFmtId="168" fontId="36" fillId="0" borderId="91" xfId="1" applyNumberFormat="1" applyFont="1" applyFill="1" applyBorder="1" applyAlignment="1">
      <alignment vertical="center"/>
    </xf>
    <xf numFmtId="0" fontId="40" fillId="0" borderId="111" xfId="0" applyFont="1" applyBorder="1" applyAlignment="1">
      <alignment horizontal="center" vertical="center"/>
    </xf>
    <xf numFmtId="175" fontId="33" fillId="0" borderId="112" xfId="0" applyNumberFormat="1" applyFont="1" applyBorder="1" applyAlignment="1">
      <alignment vertical="center"/>
    </xf>
    <xf numFmtId="175" fontId="33" fillId="0" borderId="113" xfId="0" applyNumberFormat="1" applyFont="1" applyBorder="1" applyAlignment="1">
      <alignment vertical="center"/>
    </xf>
    <xf numFmtId="168" fontId="36" fillId="24" borderId="114" xfId="1" applyNumberFormat="1" applyFont="1" applyFill="1" applyBorder="1" applyAlignment="1">
      <alignment vertical="center"/>
    </xf>
    <xf numFmtId="0" fontId="32" fillId="0" borderId="115" xfId="0" applyFont="1" applyBorder="1" applyAlignment="1">
      <alignment vertical="center"/>
    </xf>
    <xf numFmtId="43" fontId="33" fillId="24" borderId="69" xfId="1" applyFont="1" applyFill="1" applyBorder="1" applyAlignment="1">
      <alignment vertical="center"/>
    </xf>
    <xf numFmtId="0" fontId="34" fillId="0" borderId="117" xfId="0" applyFont="1" applyBorder="1" applyAlignment="1">
      <alignment horizontal="center" vertical="center"/>
    </xf>
    <xf numFmtId="175" fontId="33" fillId="0" borderId="118" xfId="0" applyNumberFormat="1" applyFont="1" applyBorder="1" applyAlignment="1">
      <alignment vertical="center"/>
    </xf>
    <xf numFmtId="175" fontId="33" fillId="0" borderId="119" xfId="0" applyNumberFormat="1" applyFont="1" applyBorder="1" applyAlignment="1">
      <alignment vertical="center"/>
    </xf>
    <xf numFmtId="0" fontId="33" fillId="0" borderId="13" xfId="0" applyFont="1" applyBorder="1" applyAlignment="1">
      <alignment vertical="center"/>
    </xf>
    <xf numFmtId="0" fontId="33" fillId="0" borderId="119" xfId="0" applyFont="1" applyBorder="1" applyAlignment="1">
      <alignment vertical="center"/>
    </xf>
    <xf numFmtId="0" fontId="33" fillId="0" borderId="120" xfId="0" applyFont="1" applyBorder="1" applyAlignment="1">
      <alignment vertical="center"/>
    </xf>
    <xf numFmtId="0" fontId="41" fillId="0" borderId="0" xfId="0" applyFont="1"/>
    <xf numFmtId="0" fontId="42" fillId="29" borderId="2" xfId="0" applyFont="1" applyFill="1" applyBorder="1" applyAlignment="1">
      <alignment horizontal="center" vertical="center"/>
    </xf>
    <xf numFmtId="0" fontId="42" fillId="29" borderId="2" xfId="0" applyFont="1" applyFill="1" applyBorder="1" applyAlignment="1">
      <alignment horizontal="center" vertical="center" wrapText="1"/>
    </xf>
    <xf numFmtId="176" fontId="41" fillId="30" borderId="121" xfId="0" applyNumberFormat="1" applyFont="1" applyFill="1" applyBorder="1"/>
    <xf numFmtId="0" fontId="41" fillId="30" borderId="121" xfId="0" applyFont="1" applyFill="1" applyBorder="1"/>
    <xf numFmtId="0" fontId="43" fillId="30" borderId="121" xfId="0" applyFont="1" applyFill="1" applyBorder="1"/>
    <xf numFmtId="174" fontId="41" fillId="30" borderId="121" xfId="0" applyNumberFormat="1" applyFont="1" applyFill="1" applyBorder="1"/>
    <xf numFmtId="176" fontId="41" fillId="13" borderId="121" xfId="0" applyNumberFormat="1" applyFont="1" applyFill="1" applyBorder="1"/>
    <xf numFmtId="0" fontId="41" fillId="13" borderId="121" xfId="0" applyFont="1" applyFill="1" applyBorder="1"/>
    <xf numFmtId="0" fontId="43" fillId="22" borderId="121" xfId="0" applyFont="1" applyFill="1" applyBorder="1"/>
    <xf numFmtId="0" fontId="41" fillId="22" borderId="121" xfId="0" applyFont="1" applyFill="1" applyBorder="1"/>
    <xf numFmtId="174" fontId="41" fillId="22" borderId="121" xfId="0" applyNumberFormat="1" applyFont="1" applyFill="1" applyBorder="1"/>
    <xf numFmtId="0" fontId="43" fillId="31" borderId="121" xfId="0" applyFont="1" applyFill="1" applyBorder="1"/>
    <xf numFmtId="0" fontId="42" fillId="0" borderId="0" xfId="0" applyFont="1" applyAlignment="1">
      <alignment horizontal="center" vertical="center" wrapText="1"/>
    </xf>
    <xf numFmtId="0" fontId="42" fillId="0" borderId="0" xfId="0" applyFont="1" applyAlignment="1">
      <alignment horizontal="center" vertical="center"/>
    </xf>
    <xf numFmtId="0" fontId="41" fillId="0" borderId="0" xfId="0" applyFont="1" applyAlignment="1">
      <alignment horizontal="left"/>
    </xf>
    <xf numFmtId="1" fontId="41" fillId="32" borderId="0" xfId="0" applyNumberFormat="1" applyFont="1" applyFill="1"/>
    <xf numFmtId="0" fontId="44" fillId="0" borderId="0" xfId="0" applyFont="1"/>
    <xf numFmtId="0" fontId="46" fillId="33" borderId="50" xfId="0" applyFont="1" applyFill="1" applyBorder="1" applyAlignment="1">
      <alignment horizontal="center" vertical="center"/>
    </xf>
    <xf numFmtId="0" fontId="46" fillId="33" borderId="124" xfId="0" applyFont="1" applyFill="1" applyBorder="1" applyAlignment="1">
      <alignment horizontal="center" vertical="center"/>
    </xf>
    <xf numFmtId="0" fontId="46" fillId="33" borderId="51" xfId="0" applyFont="1" applyFill="1" applyBorder="1" applyAlignment="1">
      <alignment horizontal="center" vertical="center"/>
    </xf>
    <xf numFmtId="0" fontId="43" fillId="0" borderId="0" xfId="0" applyFont="1"/>
    <xf numFmtId="0" fontId="1" fillId="34" borderId="0" xfId="0" applyFont="1" applyFill="1" applyAlignment="1">
      <alignment horizontal="center" vertical="center"/>
    </xf>
    <xf numFmtId="1" fontId="41" fillId="0" borderId="0" xfId="0" applyNumberFormat="1" applyFont="1"/>
    <xf numFmtId="0" fontId="47" fillId="5" borderId="125" xfId="0" applyFont="1" applyFill="1" applyBorder="1"/>
    <xf numFmtId="0" fontId="47" fillId="5" borderId="126" xfId="0" applyFont="1" applyFill="1" applyBorder="1"/>
    <xf numFmtId="0" fontId="47" fillId="5" borderId="1" xfId="0" applyFont="1" applyFill="1" applyBorder="1"/>
    <xf numFmtId="0" fontId="47" fillId="5" borderId="127" xfId="0" applyFont="1" applyFill="1" applyBorder="1"/>
    <xf numFmtId="0" fontId="47" fillId="5" borderId="128" xfId="0" applyFont="1" applyFill="1" applyBorder="1"/>
    <xf numFmtId="0" fontId="47" fillId="5" borderId="9" xfId="0" applyFont="1" applyFill="1" applyBorder="1"/>
    <xf numFmtId="0" fontId="41" fillId="6" borderId="127" xfId="0" applyFont="1" applyFill="1" applyBorder="1"/>
    <xf numFmtId="0" fontId="41" fillId="6" borderId="128" xfId="0" applyFont="1" applyFill="1" applyBorder="1"/>
    <xf numFmtId="0" fontId="41" fillId="6" borderId="9" xfId="0" applyFont="1" applyFill="1" applyBorder="1"/>
    <xf numFmtId="0" fontId="41" fillId="6" borderId="129" xfId="0" applyFont="1" applyFill="1" applyBorder="1"/>
    <xf numFmtId="0" fontId="41" fillId="6" borderId="130" xfId="0" applyFont="1" applyFill="1" applyBorder="1"/>
    <xf numFmtId="0" fontId="41" fillId="6" borderId="31" xfId="0" applyFont="1" applyFill="1" applyBorder="1"/>
    <xf numFmtId="0" fontId="1" fillId="13" borderId="50" xfId="0" applyFont="1" applyFill="1" applyBorder="1"/>
    <xf numFmtId="0" fontId="1" fillId="13" borderId="124" xfId="0" applyFont="1" applyFill="1" applyBorder="1"/>
    <xf numFmtId="0" fontId="1" fillId="13" borderId="51" xfId="0" applyFont="1" applyFill="1" applyBorder="1"/>
    <xf numFmtId="174" fontId="41" fillId="0" borderId="0" xfId="0" applyNumberFormat="1" applyFont="1"/>
    <xf numFmtId="0" fontId="48" fillId="0" borderId="124" xfId="0" applyFont="1" applyBorder="1" applyAlignment="1">
      <alignment horizontal="center"/>
    </xf>
    <xf numFmtId="0" fontId="48" fillId="0" borderId="51" xfId="0" applyFont="1" applyBorder="1" applyAlignment="1">
      <alignment horizontal="center"/>
    </xf>
    <xf numFmtId="0" fontId="48" fillId="0" borderId="52" xfId="0" applyFont="1" applyBorder="1" applyAlignment="1">
      <alignment horizontal="center"/>
    </xf>
    <xf numFmtId="0" fontId="49" fillId="5" borderId="126" xfId="0" applyFont="1" applyFill="1" applyBorder="1"/>
    <xf numFmtId="0" fontId="49" fillId="5" borderId="1" xfId="0" applyFont="1" applyFill="1" applyBorder="1"/>
    <xf numFmtId="168" fontId="47" fillId="5" borderId="126" xfId="0" applyNumberFormat="1" applyFont="1" applyFill="1" applyBorder="1"/>
    <xf numFmtId="177" fontId="47" fillId="5" borderId="132" xfId="0" applyNumberFormat="1" applyFont="1" applyFill="1" applyBorder="1"/>
    <xf numFmtId="0" fontId="49" fillId="5" borderId="128" xfId="0" applyFont="1" applyFill="1" applyBorder="1"/>
    <xf numFmtId="0" fontId="49" fillId="5" borderId="9" xfId="0" applyFont="1" applyFill="1" applyBorder="1"/>
    <xf numFmtId="168" fontId="47" fillId="5" borderId="128" xfId="0" applyNumberFormat="1" applyFont="1" applyFill="1" applyBorder="1"/>
    <xf numFmtId="177" fontId="47" fillId="5" borderId="133" xfId="0" applyNumberFormat="1" applyFont="1" applyFill="1" applyBorder="1"/>
    <xf numFmtId="0" fontId="1" fillId="6" borderId="128" xfId="0" applyFont="1" applyFill="1" applyBorder="1"/>
    <xf numFmtId="0" fontId="1" fillId="6" borderId="9" xfId="0" applyFont="1" applyFill="1" applyBorder="1"/>
    <xf numFmtId="168" fontId="41" fillId="6" borderId="128" xfId="0" applyNumberFormat="1" applyFont="1" applyFill="1" applyBorder="1"/>
    <xf numFmtId="177" fontId="41" fillId="6" borderId="133" xfId="0" applyNumberFormat="1" applyFont="1" applyFill="1" applyBorder="1"/>
    <xf numFmtId="0" fontId="1" fillId="6" borderId="130" xfId="0" applyFont="1" applyFill="1" applyBorder="1"/>
    <xf numFmtId="0" fontId="1" fillId="6" borderId="31" xfId="0" applyFont="1" applyFill="1" applyBorder="1"/>
    <xf numFmtId="168" fontId="41" fillId="6" borderId="130" xfId="0" applyNumberFormat="1" applyFont="1" applyFill="1" applyBorder="1"/>
    <xf numFmtId="177" fontId="41" fillId="6" borderId="134" xfId="0" applyNumberFormat="1" applyFont="1" applyFill="1" applyBorder="1"/>
    <xf numFmtId="168" fontId="41" fillId="6" borderId="130" xfId="3" applyNumberFormat="1" applyFont="1" applyFill="1" applyBorder="1"/>
    <xf numFmtId="168" fontId="1" fillId="13" borderId="124" xfId="0" applyNumberFormat="1" applyFont="1" applyFill="1" applyBorder="1"/>
    <xf numFmtId="43" fontId="1" fillId="13" borderId="52" xfId="0" applyNumberFormat="1" applyFont="1" applyFill="1" applyBorder="1"/>
    <xf numFmtId="176" fontId="50" fillId="13" borderId="121" xfId="0" applyNumberFormat="1" applyFont="1" applyFill="1" applyBorder="1"/>
    <xf numFmtId="1" fontId="41" fillId="0" borderId="0" xfId="0" applyNumberFormat="1" applyFont="1" applyAlignment="1">
      <alignment horizontal="left"/>
    </xf>
    <xf numFmtId="1" fontId="43" fillId="0" borderId="0" xfId="0" applyNumberFormat="1" applyFont="1"/>
    <xf numFmtId="41" fontId="41" fillId="30" borderId="121" xfId="0" applyNumberFormat="1" applyFont="1" applyFill="1" applyBorder="1"/>
    <xf numFmtId="41" fontId="41" fillId="22" borderId="121" xfId="0" applyNumberFormat="1" applyFont="1" applyFill="1" applyBorder="1"/>
    <xf numFmtId="176" fontId="41" fillId="32" borderId="121" xfId="0" applyNumberFormat="1" applyFont="1" applyFill="1" applyBorder="1"/>
    <xf numFmtId="176" fontId="41" fillId="35" borderId="121" xfId="0" applyNumberFormat="1" applyFont="1" applyFill="1" applyBorder="1"/>
    <xf numFmtId="0" fontId="41" fillId="31" borderId="121" xfId="0" applyFont="1" applyFill="1" applyBorder="1"/>
    <xf numFmtId="176" fontId="41" fillId="31" borderId="121" xfId="0" applyNumberFormat="1" applyFont="1" applyFill="1" applyBorder="1"/>
    <xf numFmtId="176" fontId="41" fillId="22" borderId="121" xfId="0" applyNumberFormat="1" applyFont="1" applyFill="1" applyBorder="1"/>
    <xf numFmtId="1" fontId="41" fillId="22" borderId="121" xfId="0" applyNumberFormat="1" applyFont="1" applyFill="1" applyBorder="1"/>
    <xf numFmtId="0" fontId="51" fillId="30" borderId="121" xfId="0" applyFont="1" applyFill="1" applyBorder="1"/>
    <xf numFmtId="1" fontId="41" fillId="30" borderId="121" xfId="0" applyNumberFormat="1" applyFont="1" applyFill="1" applyBorder="1"/>
    <xf numFmtId="176" fontId="41" fillId="13" borderId="0" xfId="0" applyNumberFormat="1" applyFont="1" applyFill="1"/>
    <xf numFmtId="0" fontId="41" fillId="13" borderId="0" xfId="0" applyFont="1" applyFill="1"/>
    <xf numFmtId="176" fontId="41" fillId="0" borderId="0" xfId="0" applyNumberFormat="1" applyFont="1"/>
    <xf numFmtId="0" fontId="52" fillId="0" borderId="135" xfId="0" applyFont="1" applyBorder="1" applyAlignment="1" applyProtection="1">
      <alignment horizontal="center" vertical="center"/>
      <protection locked="0"/>
    </xf>
    <xf numFmtId="0" fontId="53" fillId="0" borderId="135" xfId="0" applyFont="1" applyBorder="1" applyAlignment="1" applyProtection="1">
      <alignment horizontal="center" vertical="center"/>
      <protection locked="0"/>
    </xf>
    <xf numFmtId="178" fontId="52" fillId="0" borderId="135" xfId="0" applyNumberFormat="1" applyFont="1" applyBorder="1" applyAlignment="1" applyProtection="1">
      <alignment horizontal="center" vertical="center"/>
      <protection locked="0"/>
    </xf>
    <xf numFmtId="178" fontId="54" fillId="0" borderId="135" xfId="0" applyNumberFormat="1" applyFont="1" applyBorder="1" applyAlignment="1" applyProtection="1">
      <alignment horizontal="center" vertical="center"/>
      <protection locked="0"/>
    </xf>
    <xf numFmtId="0" fontId="55" fillId="0" borderId="135" xfId="0" applyFont="1" applyBorder="1" applyAlignment="1" applyProtection="1">
      <alignment horizontal="center" vertical="center"/>
      <protection locked="0"/>
    </xf>
    <xf numFmtId="0" fontId="57" fillId="37" borderId="135" xfId="3" applyNumberFormat="1" applyFont="1" applyFill="1" applyBorder="1" applyAlignment="1" applyProtection="1">
      <alignment horizontal="center" vertical="center"/>
      <protection locked="0"/>
    </xf>
    <xf numFmtId="0" fontId="55" fillId="38" borderId="135" xfId="3" applyNumberFormat="1" applyFont="1" applyFill="1" applyBorder="1" applyAlignment="1" applyProtection="1">
      <alignment horizontal="center" vertical="center"/>
      <protection locked="0"/>
    </xf>
    <xf numFmtId="0" fontId="57" fillId="39" borderId="135" xfId="3" applyNumberFormat="1" applyFont="1" applyFill="1" applyBorder="1" applyAlignment="1" applyProtection="1">
      <alignment horizontal="center" vertical="center"/>
      <protection locked="0"/>
    </xf>
    <xf numFmtId="0" fontId="55" fillId="37" borderId="135" xfId="3" applyNumberFormat="1" applyFont="1" applyFill="1" applyBorder="1" applyAlignment="1" applyProtection="1">
      <alignment horizontal="center" vertical="center"/>
      <protection locked="0"/>
    </xf>
    <xf numFmtId="0" fontId="55" fillId="40" borderId="135" xfId="0" applyFont="1" applyFill="1" applyBorder="1" applyAlignment="1" applyProtection="1">
      <alignment horizontal="center" vertical="center"/>
      <protection hidden="1"/>
    </xf>
    <xf numFmtId="178" fontId="55" fillId="0" borderId="135" xfId="0" applyNumberFormat="1" applyFont="1" applyBorder="1" applyAlignment="1" applyProtection="1">
      <alignment horizontal="center" vertical="center"/>
      <protection locked="0"/>
    </xf>
    <xf numFmtId="0" fontId="55" fillId="39" borderId="135" xfId="3" applyNumberFormat="1" applyFont="1" applyFill="1" applyBorder="1" applyAlignment="1" applyProtection="1">
      <alignment horizontal="center" vertical="center"/>
      <protection locked="0"/>
    </xf>
    <xf numFmtId="176" fontId="41" fillId="30" borderId="121" xfId="0" applyNumberFormat="1" applyFont="1" applyFill="1" applyBorder="1" applyAlignment="1">
      <alignment horizontal="center"/>
    </xf>
    <xf numFmtId="1" fontId="51" fillId="30" borderId="121" xfId="0" applyNumberFormat="1" applyFont="1" applyFill="1" applyBorder="1"/>
    <xf numFmtId="176" fontId="41" fillId="13" borderId="121" xfId="0" applyNumberFormat="1" applyFont="1" applyFill="1" applyBorder="1" applyAlignment="1">
      <alignment horizontal="center"/>
    </xf>
    <xf numFmtId="1" fontId="41" fillId="31" borderId="121" xfId="0" applyNumberFormat="1" applyFont="1" applyFill="1" applyBorder="1"/>
    <xf numFmtId="1" fontId="43" fillId="30" borderId="121" xfId="0" applyNumberFormat="1" applyFont="1" applyFill="1" applyBorder="1"/>
    <xf numFmtId="1" fontId="41" fillId="31" borderId="121" xfId="3" applyNumberFormat="1" applyFont="1" applyFill="1" applyBorder="1"/>
    <xf numFmtId="0" fontId="41" fillId="30" borderId="121" xfId="3" applyNumberFormat="1" applyFont="1" applyFill="1" applyBorder="1"/>
    <xf numFmtId="1" fontId="41" fillId="30" borderId="121" xfId="3" applyNumberFormat="1" applyFont="1" applyFill="1" applyBorder="1"/>
    <xf numFmtId="0" fontId="41" fillId="30" borderId="121" xfId="1" applyNumberFormat="1" applyFont="1" applyFill="1" applyBorder="1"/>
    <xf numFmtId="1" fontId="41" fillId="30" borderId="121" xfId="1" applyNumberFormat="1" applyFont="1" applyFill="1" applyBorder="1"/>
    <xf numFmtId="3" fontId="41" fillId="22" borderId="121" xfId="3" applyNumberFormat="1" applyFont="1" applyFill="1" applyBorder="1"/>
    <xf numFmtId="0" fontId="41" fillId="22" borderId="121" xfId="3" applyNumberFormat="1" applyFont="1" applyFill="1" applyBorder="1"/>
    <xf numFmtId="0" fontId="41" fillId="22" borderId="121" xfId="1" applyNumberFormat="1" applyFont="1" applyFill="1" applyBorder="1"/>
    <xf numFmtId="1" fontId="41" fillId="22" borderId="121" xfId="1" applyNumberFormat="1" applyFont="1" applyFill="1" applyBorder="1"/>
    <xf numFmtId="1" fontId="41" fillId="22" borderId="121" xfId="3" applyNumberFormat="1" applyFont="1" applyFill="1" applyBorder="1"/>
    <xf numFmtId="1" fontId="51" fillId="22" borderId="121" xfId="0" applyNumberFormat="1" applyFont="1" applyFill="1" applyBorder="1"/>
    <xf numFmtId="41" fontId="41" fillId="30" borderId="121" xfId="3" applyFont="1" applyFill="1" applyBorder="1"/>
    <xf numFmtId="174" fontId="41" fillId="0" borderId="0" xfId="0" applyNumberFormat="1" applyFont="1" applyAlignment="1">
      <alignment horizontal="left"/>
    </xf>
    <xf numFmtId="174" fontId="43" fillId="0" borderId="0" xfId="0" applyNumberFormat="1" applyFont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41" fontId="48" fillId="41" borderId="121" xfId="3" applyFont="1" applyFill="1" applyBorder="1" applyAlignment="1">
      <alignment horizontal="center" vertical="center"/>
    </xf>
    <xf numFmtId="41" fontId="58" fillId="41" borderId="121" xfId="3" applyFont="1" applyFill="1" applyBorder="1"/>
    <xf numFmtId="41" fontId="48" fillId="7" borderId="121" xfId="3" applyFont="1" applyFill="1" applyBorder="1" applyAlignment="1">
      <alignment horizontal="center" vertical="center"/>
    </xf>
    <xf numFmtId="41" fontId="58" fillId="7" borderId="121" xfId="3" applyFont="1" applyFill="1" applyBorder="1"/>
    <xf numFmtId="41" fontId="58" fillId="41" borderId="121" xfId="0" applyNumberFormat="1" applyFont="1" applyFill="1" applyBorder="1"/>
    <xf numFmtId="41" fontId="41" fillId="0" borderId="0" xfId="0" applyNumberFormat="1" applyFont="1"/>
    <xf numFmtId="41" fontId="58" fillId="7" borderId="121" xfId="0" applyNumberFormat="1" applyFont="1" applyFill="1" applyBorder="1"/>
    <xf numFmtId="0" fontId="41" fillId="31" borderId="121" xfId="1" applyNumberFormat="1" applyFont="1" applyFill="1" applyBorder="1"/>
    <xf numFmtId="168" fontId="41" fillId="30" borderId="121" xfId="1" applyNumberFormat="1" applyFont="1" applyFill="1" applyBorder="1"/>
    <xf numFmtId="168" fontId="41" fillId="22" borderId="121" xfId="1" applyNumberFormat="1" applyFont="1" applyFill="1" applyBorder="1"/>
    <xf numFmtId="179" fontId="41" fillId="30" borderId="121" xfId="1" applyNumberFormat="1" applyFont="1" applyFill="1" applyBorder="1"/>
    <xf numFmtId="180" fontId="41" fillId="22" borderId="121" xfId="0" applyNumberFormat="1" applyFont="1" applyFill="1" applyBorder="1"/>
    <xf numFmtId="0" fontId="43" fillId="13" borderId="121" xfId="0" applyFont="1" applyFill="1" applyBorder="1"/>
    <xf numFmtId="179" fontId="43" fillId="30" borderId="121" xfId="1" applyNumberFormat="1" applyFont="1" applyFill="1" applyBorder="1"/>
    <xf numFmtId="179" fontId="41" fillId="22" borderId="121" xfId="1" applyNumberFormat="1" applyFont="1" applyFill="1" applyBorder="1"/>
    <xf numFmtId="181" fontId="41" fillId="22" borderId="121" xfId="0" applyNumberFormat="1" applyFont="1" applyFill="1" applyBorder="1"/>
    <xf numFmtId="176" fontId="41" fillId="32" borderId="121" xfId="0" applyNumberFormat="1" applyFont="1" applyFill="1" applyBorder="1" applyAlignment="1">
      <alignment horizontal="center"/>
    </xf>
    <xf numFmtId="176" fontId="41" fillId="35" borderId="121" xfId="0" applyNumberFormat="1" applyFont="1" applyFill="1" applyBorder="1" applyAlignment="1">
      <alignment horizontal="center"/>
    </xf>
    <xf numFmtId="176" fontId="41" fillId="31" borderId="121" xfId="0" applyNumberFormat="1" applyFont="1" applyFill="1" applyBorder="1" applyAlignment="1">
      <alignment horizontal="center"/>
    </xf>
    <xf numFmtId="176" fontId="41" fillId="22" borderId="121" xfId="0" applyNumberFormat="1" applyFont="1" applyFill="1" applyBorder="1" applyAlignment="1">
      <alignment horizontal="center"/>
    </xf>
    <xf numFmtId="176" fontId="41" fillId="13" borderId="0" xfId="0" applyNumberFormat="1" applyFont="1" applyFill="1" applyAlignment="1">
      <alignment horizontal="center"/>
    </xf>
    <xf numFmtId="1" fontId="41" fillId="22" borderId="0" xfId="0" applyNumberFormat="1" applyFont="1" applyFill="1"/>
    <xf numFmtId="0" fontId="1" fillId="0" borderId="39" xfId="0" applyFont="1" applyBorder="1" applyAlignment="1">
      <alignment horizontal="center" vertical="center"/>
    </xf>
    <xf numFmtId="0" fontId="1" fillId="0" borderId="124" xfId="0" applyFont="1" applyBorder="1" applyAlignment="1">
      <alignment horizontal="center" vertical="center"/>
    </xf>
    <xf numFmtId="176" fontId="41" fillId="30" borderId="128" xfId="0" applyNumberFormat="1" applyFont="1" applyFill="1" applyBorder="1"/>
    <xf numFmtId="0" fontId="41" fillId="0" borderId="38" xfId="0" applyFont="1" applyBorder="1"/>
    <xf numFmtId="4" fontId="41" fillId="0" borderId="39" xfId="0" applyNumberFormat="1" applyFont="1" applyBorder="1"/>
    <xf numFmtId="0" fontId="41" fillId="0" borderId="128" xfId="0" applyFont="1" applyBorder="1"/>
    <xf numFmtId="177" fontId="41" fillId="0" borderId="38" xfId="3" applyNumberFormat="1" applyFont="1" applyFill="1" applyBorder="1"/>
    <xf numFmtId="0" fontId="41" fillId="0" borderId="127" xfId="0" applyFont="1" applyBorder="1"/>
    <xf numFmtId="4" fontId="41" fillId="0" borderId="128" xfId="0" applyNumberFormat="1" applyFont="1" applyBorder="1"/>
    <xf numFmtId="0" fontId="41" fillId="0" borderId="133" xfId="0" applyFont="1" applyBorder="1"/>
    <xf numFmtId="177" fontId="41" fillId="0" borderId="128" xfId="3" applyNumberFormat="1" applyFont="1" applyFill="1" applyBorder="1"/>
    <xf numFmtId="4" fontId="41" fillId="0" borderId="0" xfId="0" applyNumberFormat="1" applyFont="1"/>
    <xf numFmtId="177" fontId="41" fillId="0" borderId="0" xfId="0" applyNumberFormat="1" applyFont="1"/>
    <xf numFmtId="43" fontId="41" fillId="0" borderId="0" xfId="0" applyNumberFormat="1" applyFont="1"/>
    <xf numFmtId="0" fontId="22" fillId="2" borderId="0" xfId="43" applyFont="1" applyFill="1"/>
    <xf numFmtId="0" fontId="23" fillId="2" borderId="0" xfId="43" applyFont="1" applyFill="1"/>
    <xf numFmtId="0" fontId="22" fillId="0" borderId="0" xfId="43" applyFont="1"/>
    <xf numFmtId="0" fontId="59" fillId="2" borderId="0" xfId="43" applyFont="1" applyFill="1"/>
    <xf numFmtId="0" fontId="59" fillId="0" borderId="0" xfId="43" applyFont="1"/>
    <xf numFmtId="0" fontId="23" fillId="0" borderId="0" xfId="43" applyFont="1"/>
    <xf numFmtId="0" fontId="23" fillId="0" borderId="0" xfId="43" applyFont="1" applyAlignment="1">
      <alignment horizontal="center"/>
    </xf>
    <xf numFmtId="0" fontId="8" fillId="0" borderId="0" xfId="43" applyFont="1" applyAlignment="1">
      <alignment horizontal="center"/>
    </xf>
    <xf numFmtId="0" fontId="9" fillId="0" borderId="0" xfId="43" applyFont="1"/>
    <xf numFmtId="0" fontId="24" fillId="13" borderId="0" xfId="43" applyFont="1" applyFill="1" applyProtection="1">
      <protection locked="0"/>
    </xf>
    <xf numFmtId="0" fontId="61" fillId="14" borderId="140" xfId="43" applyFont="1" applyFill="1" applyBorder="1" applyAlignment="1">
      <alignment horizontal="center" vertical="center" wrapText="1"/>
    </xf>
    <xf numFmtId="0" fontId="61" fillId="14" borderId="124" xfId="43" applyFont="1" applyFill="1" applyBorder="1" applyAlignment="1">
      <alignment horizontal="center" vertical="center" wrapText="1"/>
    </xf>
    <xf numFmtId="0" fontId="61" fillId="14" borderId="37" xfId="43" applyFont="1" applyFill="1" applyBorder="1" applyAlignment="1">
      <alignment horizontal="center" vertical="center" wrapText="1"/>
    </xf>
    <xf numFmtId="0" fontId="61" fillId="16" borderId="51" xfId="43" applyFont="1" applyFill="1" applyBorder="1" applyAlignment="1">
      <alignment horizontal="center" vertical="center" wrapText="1"/>
    </xf>
    <xf numFmtId="0" fontId="61" fillId="16" borderId="124" xfId="43" applyFont="1" applyFill="1" applyBorder="1" applyAlignment="1">
      <alignment horizontal="center" vertical="center" wrapText="1"/>
    </xf>
    <xf numFmtId="176" fontId="59" fillId="41" borderId="46" xfId="43" applyNumberFormat="1" applyFont="1" applyFill="1" applyBorder="1" applyAlignment="1">
      <alignment horizontal="center"/>
    </xf>
    <xf numFmtId="0" fontId="62" fillId="41" borderId="48" xfId="1" applyNumberFormat="1" applyFont="1" applyFill="1" applyBorder="1" applyAlignment="1">
      <alignment horizontal="center" vertical="center"/>
    </xf>
    <xf numFmtId="0" fontId="62" fillId="41" borderId="49" xfId="1" applyNumberFormat="1" applyFont="1" applyFill="1" applyBorder="1" applyAlignment="1" applyProtection="1">
      <alignment horizontal="center"/>
      <protection locked="0"/>
    </xf>
    <xf numFmtId="2" fontId="62" fillId="41" borderId="55" xfId="1" applyNumberFormat="1" applyFont="1" applyFill="1" applyBorder="1" applyProtection="1">
      <protection locked="0"/>
    </xf>
    <xf numFmtId="0" fontId="62" fillId="41" borderId="46" xfId="1" applyNumberFormat="1" applyFont="1" applyFill="1" applyBorder="1" applyAlignment="1">
      <alignment vertical="center"/>
    </xf>
    <xf numFmtId="0" fontId="62" fillId="41" borderId="55" xfId="1" applyNumberFormat="1" applyFont="1" applyFill="1" applyBorder="1" applyAlignment="1">
      <alignment vertical="center"/>
    </xf>
    <xf numFmtId="176" fontId="59" fillId="41" borderId="141" xfId="43" applyNumberFormat="1" applyFont="1" applyFill="1" applyBorder="1" applyAlignment="1">
      <alignment horizontal="center"/>
    </xf>
    <xf numFmtId="0" fontId="62" fillId="41" borderId="142" xfId="1" applyNumberFormat="1" applyFont="1" applyFill="1" applyBorder="1" applyAlignment="1">
      <alignment horizontal="center" vertical="center"/>
    </xf>
    <xf numFmtId="0" fontId="62" fillId="41" borderId="13" xfId="1" applyNumberFormat="1" applyFont="1" applyFill="1" applyBorder="1" applyAlignment="1" applyProtection="1">
      <alignment horizontal="center"/>
      <protection locked="0"/>
    </xf>
    <xf numFmtId="2" fontId="62" fillId="41" borderId="143" xfId="1" applyNumberFormat="1" applyFont="1" applyFill="1" applyBorder="1" applyProtection="1">
      <protection locked="0"/>
    </xf>
    <xf numFmtId="0" fontId="62" fillId="41" borderId="56" xfId="1" applyNumberFormat="1" applyFont="1" applyFill="1" applyBorder="1" applyAlignment="1">
      <alignment vertical="center"/>
    </xf>
    <xf numFmtId="0" fontId="62" fillId="41" borderId="143" xfId="1" applyNumberFormat="1" applyFont="1" applyFill="1" applyBorder="1" applyAlignment="1">
      <alignment vertical="center"/>
    </xf>
    <xf numFmtId="176" fontId="59" fillId="0" borderId="56" xfId="43" applyNumberFormat="1" applyFont="1" applyBorder="1" applyAlignment="1">
      <alignment horizontal="center"/>
    </xf>
    <xf numFmtId="0" fontId="62" fillId="0" borderId="142" xfId="1" applyNumberFormat="1" applyFont="1" applyFill="1" applyBorder="1" applyAlignment="1">
      <alignment horizontal="center" vertical="center"/>
    </xf>
    <xf numFmtId="0" fontId="62" fillId="0" borderId="13" xfId="1" applyNumberFormat="1" applyFont="1" applyFill="1" applyBorder="1" applyAlignment="1" applyProtection="1">
      <alignment horizontal="center"/>
      <protection locked="0"/>
    </xf>
    <xf numFmtId="2" fontId="62" fillId="0" borderId="143" xfId="1" applyNumberFormat="1" applyFont="1" applyFill="1" applyBorder="1" applyProtection="1">
      <protection locked="0"/>
    </xf>
    <xf numFmtId="0" fontId="62" fillId="0" borderId="56" xfId="1" applyNumberFormat="1" applyFont="1" applyFill="1" applyBorder="1" applyAlignment="1">
      <alignment vertical="center"/>
    </xf>
    <xf numFmtId="0" fontId="62" fillId="0" borderId="143" xfId="1" applyNumberFormat="1" applyFont="1" applyFill="1" applyBorder="1" applyAlignment="1">
      <alignment vertical="center"/>
    </xf>
    <xf numFmtId="176" fontId="59" fillId="41" borderId="56" xfId="43" applyNumberFormat="1" applyFont="1" applyFill="1" applyBorder="1" applyAlignment="1">
      <alignment horizontal="center"/>
    </xf>
    <xf numFmtId="172" fontId="62" fillId="41" borderId="56" xfId="1" applyNumberFormat="1" applyFont="1" applyFill="1" applyBorder="1" applyAlignment="1">
      <alignment vertical="center"/>
    </xf>
    <xf numFmtId="177" fontId="62" fillId="0" borderId="143" xfId="1" applyNumberFormat="1" applyFont="1" applyFill="1" applyBorder="1" applyAlignment="1">
      <alignment vertical="center"/>
    </xf>
    <xf numFmtId="176" fontId="23" fillId="41" borderId="56" xfId="43" applyNumberFormat="1" applyFont="1" applyFill="1" applyBorder="1" applyAlignment="1">
      <alignment horizontal="center"/>
    </xf>
    <xf numFmtId="0" fontId="63" fillId="41" borderId="142" xfId="1" applyNumberFormat="1" applyFont="1" applyFill="1" applyBorder="1" applyAlignment="1">
      <alignment horizontal="center" vertical="center"/>
    </xf>
    <xf numFmtId="0" fontId="63" fillId="41" borderId="13" xfId="1" applyNumberFormat="1" applyFont="1" applyFill="1" applyBorder="1" applyAlignment="1" applyProtection="1">
      <alignment horizontal="center"/>
      <protection locked="0"/>
    </xf>
    <xf numFmtId="2" fontId="63" fillId="41" borderId="143" xfId="1" applyNumberFormat="1" applyFont="1" applyFill="1" applyBorder="1" applyProtection="1">
      <protection locked="0"/>
    </xf>
    <xf numFmtId="177" fontId="63" fillId="41" borderId="56" xfId="1" applyNumberFormat="1" applyFont="1" applyFill="1" applyBorder="1" applyAlignment="1">
      <alignment vertical="center"/>
    </xf>
    <xf numFmtId="0" fontId="63" fillId="41" borderId="143" xfId="1" applyNumberFormat="1" applyFont="1" applyFill="1" applyBorder="1" applyAlignment="1">
      <alignment vertical="center"/>
    </xf>
    <xf numFmtId="0" fontId="63" fillId="41" borderId="56" xfId="1" applyNumberFormat="1" applyFont="1" applyFill="1" applyBorder="1" applyAlignment="1">
      <alignment vertical="center"/>
    </xf>
    <xf numFmtId="177" fontId="62" fillId="0" borderId="56" xfId="1" applyNumberFormat="1" applyFont="1" applyFill="1" applyBorder="1" applyAlignment="1">
      <alignment vertical="center"/>
    </xf>
    <xf numFmtId="43" fontId="62" fillId="41" borderId="143" xfId="1" applyFont="1" applyFill="1" applyBorder="1" applyAlignment="1">
      <alignment vertical="center"/>
    </xf>
    <xf numFmtId="177" fontId="62" fillId="41" borderId="56" xfId="1" applyNumberFormat="1" applyFont="1" applyFill="1" applyBorder="1" applyAlignment="1">
      <alignment vertical="center"/>
    </xf>
    <xf numFmtId="165" fontId="62" fillId="0" borderId="56" xfId="1" applyNumberFormat="1" applyFont="1" applyFill="1" applyBorder="1" applyAlignment="1">
      <alignment vertical="center"/>
    </xf>
    <xf numFmtId="177" fontId="62" fillId="41" borderId="143" xfId="1" applyNumberFormat="1" applyFont="1" applyFill="1" applyBorder="1" applyAlignment="1">
      <alignment vertical="center"/>
    </xf>
    <xf numFmtId="172" fontId="62" fillId="0" borderId="143" xfId="1" applyNumberFormat="1" applyFont="1" applyFill="1" applyBorder="1" applyAlignment="1">
      <alignment vertical="center"/>
    </xf>
    <xf numFmtId="182" fontId="62" fillId="41" borderId="56" xfId="1" applyNumberFormat="1" applyFont="1" applyFill="1" applyBorder="1" applyAlignment="1">
      <alignment vertical="center"/>
    </xf>
    <xf numFmtId="182" fontId="62" fillId="41" borderId="143" xfId="1" applyNumberFormat="1" applyFont="1" applyFill="1" applyBorder="1" applyAlignment="1">
      <alignment vertical="center"/>
    </xf>
    <xf numFmtId="43" fontId="62" fillId="0" borderId="143" xfId="1" applyFont="1" applyFill="1" applyBorder="1" applyAlignment="1">
      <alignment vertical="center"/>
    </xf>
    <xf numFmtId="176" fontId="59" fillId="42" borderId="56" xfId="43" applyNumberFormat="1" applyFont="1" applyFill="1" applyBorder="1" applyAlignment="1">
      <alignment horizontal="center"/>
    </xf>
    <xf numFmtId="0" fontId="62" fillId="42" borderId="142" xfId="1" applyNumberFormat="1" applyFont="1" applyFill="1" applyBorder="1" applyAlignment="1">
      <alignment horizontal="center" vertical="center"/>
    </xf>
    <xf numFmtId="0" fontId="62" fillId="42" borderId="13" xfId="1" applyNumberFormat="1" applyFont="1" applyFill="1" applyBorder="1" applyAlignment="1" applyProtection="1">
      <alignment horizontal="center"/>
      <protection locked="0"/>
    </xf>
    <xf numFmtId="2" fontId="62" fillId="42" borderId="143" xfId="1" applyNumberFormat="1" applyFont="1" applyFill="1" applyBorder="1" applyProtection="1">
      <protection locked="0"/>
    </xf>
    <xf numFmtId="0" fontId="1" fillId="43" borderId="50" xfId="0" applyFont="1" applyFill="1" applyBorder="1" applyAlignment="1">
      <alignment horizontal="center" vertical="center" wrapText="1"/>
    </xf>
    <xf numFmtId="0" fontId="1" fillId="43" borderId="124" xfId="0" applyFont="1" applyFill="1" applyBorder="1" applyAlignment="1">
      <alignment horizontal="center" vertical="center" wrapText="1"/>
    </xf>
    <xf numFmtId="0" fontId="1" fillId="43" borderId="51" xfId="0" applyFont="1" applyFill="1" applyBorder="1" applyAlignment="1">
      <alignment horizontal="center" vertical="center" wrapText="1"/>
    </xf>
    <xf numFmtId="177" fontId="62" fillId="41" borderId="55" xfId="1" applyNumberFormat="1" applyFont="1" applyFill="1" applyBorder="1" applyAlignment="1">
      <alignment vertical="center"/>
    </xf>
    <xf numFmtId="2" fontId="62" fillId="0" borderId="143" xfId="1" applyNumberFormat="1" applyFont="1" applyFill="1" applyBorder="1" applyAlignment="1">
      <alignment vertical="center"/>
    </xf>
    <xf numFmtId="172" fontId="62" fillId="41" borderId="143" xfId="1" applyNumberFormat="1" applyFont="1" applyFill="1" applyBorder="1" applyAlignment="1">
      <alignment vertical="center"/>
    </xf>
    <xf numFmtId="2" fontId="62" fillId="41" borderId="143" xfId="1" applyNumberFormat="1" applyFont="1" applyFill="1" applyBorder="1" applyAlignment="1">
      <alignment vertical="center"/>
    </xf>
    <xf numFmtId="172" fontId="63" fillId="41" borderId="143" xfId="1" applyNumberFormat="1" applyFont="1" applyFill="1" applyBorder="1" applyAlignment="1">
      <alignment vertical="center"/>
    </xf>
    <xf numFmtId="177" fontId="63" fillId="41" borderId="143" xfId="1" applyNumberFormat="1" applyFont="1" applyFill="1" applyBorder="1" applyAlignment="1">
      <alignment vertical="center"/>
    </xf>
    <xf numFmtId="43" fontId="63" fillId="41" borderId="143" xfId="1" applyFont="1" applyFill="1" applyBorder="1" applyAlignment="1">
      <alignment vertical="center"/>
    </xf>
    <xf numFmtId="165" fontId="62" fillId="0" borderId="143" xfId="1" applyNumberFormat="1" applyFont="1" applyFill="1" applyBorder="1" applyAlignment="1">
      <alignment vertical="center"/>
    </xf>
    <xf numFmtId="165" fontId="62" fillId="41" borderId="143" xfId="1" applyNumberFormat="1" applyFont="1" applyFill="1" applyBorder="1" applyAlignment="1">
      <alignment vertical="center"/>
    </xf>
    <xf numFmtId="43" fontId="28" fillId="41" borderId="143" xfId="1" applyFont="1" applyFill="1" applyBorder="1" applyAlignment="1">
      <alignment vertical="center"/>
    </xf>
    <xf numFmtId="177" fontId="28" fillId="0" borderId="143" xfId="1" applyNumberFormat="1" applyFont="1" applyFill="1" applyBorder="1" applyAlignment="1">
      <alignment vertical="center"/>
    </xf>
    <xf numFmtId="43" fontId="28" fillId="0" borderId="143" xfId="1" applyFont="1" applyFill="1" applyBorder="1" applyAlignment="1">
      <alignment vertical="center"/>
    </xf>
    <xf numFmtId="183" fontId="62" fillId="0" borderId="143" xfId="1" applyNumberFormat="1" applyFont="1" applyFill="1" applyBorder="1" applyAlignment="1">
      <alignment vertical="center"/>
    </xf>
    <xf numFmtId="43" fontId="62" fillId="0" borderId="143" xfId="1" applyFont="1" applyFill="1" applyBorder="1" applyAlignment="1">
      <alignment horizontal="right" vertical="center"/>
    </xf>
    <xf numFmtId="177" fontId="62" fillId="0" borderId="143" xfId="1" applyNumberFormat="1" applyFont="1" applyFill="1" applyBorder="1" applyAlignment="1">
      <alignment horizontal="right" vertical="center"/>
    </xf>
    <xf numFmtId="172" fontId="62" fillId="44" borderId="143" xfId="1" applyNumberFormat="1" applyFont="1" applyFill="1" applyBorder="1" applyAlignment="1">
      <alignment vertical="center"/>
    </xf>
    <xf numFmtId="0" fontId="1" fillId="45" borderId="50" xfId="0" applyFont="1" applyFill="1" applyBorder="1" applyAlignment="1">
      <alignment horizontal="center" vertical="center" wrapText="1"/>
    </xf>
    <xf numFmtId="0" fontId="1" fillId="45" borderId="124" xfId="0" applyFont="1" applyFill="1" applyBorder="1" applyAlignment="1">
      <alignment horizontal="center" vertical="center" wrapText="1"/>
    </xf>
    <xf numFmtId="0" fontId="1" fillId="45" borderId="51" xfId="0" applyFont="1" applyFill="1" applyBorder="1" applyAlignment="1">
      <alignment horizontal="center" vertical="center" wrapText="1"/>
    </xf>
    <xf numFmtId="0" fontId="1" fillId="45" borderId="52" xfId="0" applyFont="1" applyFill="1" applyBorder="1" applyAlignment="1">
      <alignment horizontal="center" vertical="center" wrapText="1"/>
    </xf>
    <xf numFmtId="43" fontId="62" fillId="41" borderId="55" xfId="1" applyFont="1" applyFill="1" applyBorder="1" applyAlignment="1">
      <alignment vertical="center"/>
    </xf>
    <xf numFmtId="0" fontId="23" fillId="2" borderId="4" xfId="43" applyFont="1" applyFill="1" applyBorder="1"/>
    <xf numFmtId="0" fontId="62" fillId="41" borderId="146" xfId="1" applyNumberFormat="1" applyFont="1" applyFill="1" applyBorder="1" applyAlignment="1">
      <alignment horizontal="center" vertical="center"/>
    </xf>
    <xf numFmtId="172" fontId="28" fillId="0" borderId="56" xfId="1" applyNumberFormat="1" applyFont="1" applyFill="1" applyBorder="1" applyProtection="1">
      <protection locked="0"/>
    </xf>
    <xf numFmtId="9" fontId="28" fillId="0" borderId="56" xfId="2" applyFont="1" applyFill="1" applyBorder="1" applyProtection="1">
      <protection locked="0"/>
    </xf>
    <xf numFmtId="20" fontId="31" fillId="0" borderId="47" xfId="43" applyNumberFormat="1" applyFont="1" applyBorder="1" applyAlignment="1">
      <alignment horizontal="left" vertical="center" wrapText="1"/>
    </xf>
    <xf numFmtId="0" fontId="22" fillId="2" borderId="4" xfId="43" applyFont="1" applyFill="1" applyBorder="1"/>
    <xf numFmtId="0" fontId="62" fillId="41" borderId="147" xfId="1" applyNumberFormat="1" applyFont="1" applyFill="1" applyBorder="1" applyAlignment="1">
      <alignment horizontal="center" vertical="center"/>
    </xf>
    <xf numFmtId="20" fontId="31" fillId="0" borderId="109" xfId="43" applyNumberFormat="1" applyFont="1" applyBorder="1" applyAlignment="1">
      <alignment horizontal="left" vertical="center" wrapText="1"/>
    </xf>
    <xf numFmtId="0" fontId="62" fillId="0" borderId="148" xfId="1" applyNumberFormat="1" applyFont="1" applyFill="1" applyBorder="1" applyAlignment="1">
      <alignment horizontal="center" vertical="center"/>
    </xf>
    <xf numFmtId="0" fontId="62" fillId="41" borderId="148" xfId="1" applyNumberFormat="1" applyFont="1" applyFill="1" applyBorder="1" applyAlignment="1">
      <alignment horizontal="center" vertical="center"/>
    </xf>
    <xf numFmtId="20" fontId="31" fillId="0" borderId="110" xfId="43" applyNumberFormat="1" applyFont="1" applyBorder="1" applyAlignment="1">
      <alignment horizontal="left" vertical="center" wrapText="1"/>
    </xf>
    <xf numFmtId="20" fontId="64" fillId="0" borderId="110" xfId="43" applyNumberFormat="1" applyFont="1" applyBorder="1" applyAlignment="1">
      <alignment horizontal="left" vertical="center" wrapText="1"/>
    </xf>
    <xf numFmtId="20" fontId="31" fillId="0" borderId="110" xfId="48" applyNumberFormat="1" applyFont="1" applyBorder="1" applyAlignment="1">
      <alignment horizontal="left" vertical="center" wrapText="1"/>
    </xf>
    <xf numFmtId="0" fontId="63" fillId="41" borderId="148" xfId="1" applyNumberFormat="1" applyFont="1" applyFill="1" applyBorder="1" applyAlignment="1">
      <alignment horizontal="center" vertical="center"/>
    </xf>
    <xf numFmtId="20" fontId="64" fillId="0" borderId="112" xfId="43" applyNumberFormat="1" applyFont="1" applyBorder="1" applyAlignment="1">
      <alignment horizontal="left" vertical="center" wrapText="1"/>
    </xf>
    <xf numFmtId="0" fontId="59" fillId="2" borderId="4" xfId="43" applyFont="1" applyFill="1" applyBorder="1"/>
    <xf numFmtId="20" fontId="31" fillId="0" borderId="149" xfId="43" applyNumberFormat="1" applyFont="1" applyBorder="1" applyAlignment="1">
      <alignment horizontal="left" vertical="center" wrapText="1"/>
    </xf>
    <xf numFmtId="0" fontId="62" fillId="0" borderId="148" xfId="25" applyNumberFormat="1" applyFont="1" applyFill="1" applyBorder="1" applyAlignment="1">
      <alignment horizontal="center" vertical="center"/>
    </xf>
    <xf numFmtId="20" fontId="31" fillId="0" borderId="149" xfId="48" applyNumberFormat="1" applyFont="1" applyBorder="1" applyAlignment="1">
      <alignment horizontal="left" vertical="center" wrapText="1"/>
    </xf>
    <xf numFmtId="0" fontId="62" fillId="41" borderId="148" xfId="25" applyNumberFormat="1" applyFont="1" applyFill="1" applyBorder="1" applyAlignment="1">
      <alignment horizontal="center" vertical="center"/>
    </xf>
    <xf numFmtId="20" fontId="65" fillId="0" borderId="109" xfId="43" applyNumberFormat="1" applyFont="1" applyBorder="1" applyAlignment="1">
      <alignment horizontal="left" vertical="center" wrapText="1"/>
    </xf>
    <xf numFmtId="20" fontId="64" fillId="0" borderId="109" xfId="43" applyNumberFormat="1" applyFont="1" applyBorder="1" applyAlignment="1">
      <alignment horizontal="left" vertical="center" wrapText="1"/>
    </xf>
    <xf numFmtId="0" fontId="62" fillId="41" borderId="148" xfId="1" applyNumberFormat="1" applyFont="1" applyFill="1" applyBorder="1" applyAlignment="1" applyProtection="1">
      <alignment horizontal="center"/>
      <protection locked="0"/>
    </xf>
    <xf numFmtId="0" fontId="62" fillId="0" borderId="148" xfId="1" applyNumberFormat="1" applyFont="1" applyFill="1" applyBorder="1" applyAlignment="1" applyProtection="1">
      <alignment horizontal="center"/>
      <protection locked="0"/>
    </xf>
    <xf numFmtId="20" fontId="62" fillId="0" borderId="110" xfId="43" applyNumberFormat="1" applyFont="1" applyBorder="1" applyAlignment="1" applyProtection="1">
      <alignment horizontal="left"/>
      <protection locked="0"/>
    </xf>
    <xf numFmtId="20" fontId="64" fillId="0" borderId="148" xfId="43" applyNumberFormat="1" applyFont="1" applyBorder="1" applyAlignment="1">
      <alignment horizontal="left" vertical="center" wrapText="1"/>
    </xf>
    <xf numFmtId="2" fontId="62" fillId="44" borderId="143" xfId="1" applyNumberFormat="1" applyFont="1" applyFill="1" applyBorder="1" applyProtection="1">
      <protection locked="0"/>
    </xf>
    <xf numFmtId="176" fontId="23" fillId="2" borderId="150" xfId="43" applyNumberFormat="1" applyFont="1" applyFill="1" applyBorder="1" applyAlignment="1">
      <alignment horizontal="center"/>
    </xf>
    <xf numFmtId="0" fontId="63" fillId="2" borderId="151" xfId="1" applyNumberFormat="1" applyFont="1" applyFill="1" applyBorder="1" applyAlignment="1">
      <alignment horizontal="center" vertical="center"/>
    </xf>
    <xf numFmtId="0" fontId="62" fillId="2" borderId="152" xfId="1" applyNumberFormat="1" applyFont="1" applyFill="1" applyBorder="1" applyAlignment="1" applyProtection="1">
      <alignment horizontal="center"/>
      <protection locked="0"/>
    </xf>
    <xf numFmtId="2" fontId="62" fillId="2" borderId="153" xfId="1" applyNumberFormat="1" applyFont="1" applyFill="1" applyBorder="1" applyProtection="1">
      <protection locked="0"/>
    </xf>
    <xf numFmtId="0" fontId="63" fillId="2" borderId="154" xfId="1" applyNumberFormat="1" applyFont="1" applyFill="1" applyBorder="1" applyAlignment="1">
      <alignment horizontal="center" vertical="center"/>
    </xf>
    <xf numFmtId="0" fontId="63" fillId="0" borderId="124" xfId="1" applyNumberFormat="1" applyFont="1" applyBorder="1" applyProtection="1"/>
    <xf numFmtId="2" fontId="63" fillId="0" borderId="124" xfId="1" applyNumberFormat="1" applyFont="1" applyBorder="1" applyProtection="1"/>
    <xf numFmtId="2" fontId="63" fillId="46" borderId="140" xfId="1" applyNumberFormat="1" applyFont="1" applyFill="1" applyBorder="1" applyProtection="1"/>
    <xf numFmtId="2" fontId="63" fillId="46" borderId="44" xfId="1" applyNumberFormat="1" applyFont="1" applyFill="1" applyBorder="1" applyProtection="1"/>
    <xf numFmtId="184" fontId="23" fillId="0" borderId="0" xfId="43" applyNumberFormat="1" applyFont="1"/>
    <xf numFmtId="0" fontId="83" fillId="48" borderId="37" xfId="43" applyFill="1" applyBorder="1"/>
    <xf numFmtId="0" fontId="9" fillId="17" borderId="156" xfId="43" applyFont="1" applyFill="1" applyBorder="1" applyAlignment="1">
      <alignment horizontal="left"/>
    </xf>
    <xf numFmtId="177" fontId="0" fillId="0" borderId="48" xfId="3" applyNumberFormat="1" applyFont="1" applyBorder="1" applyAlignment="1" applyProtection="1">
      <alignment horizontal="left"/>
    </xf>
    <xf numFmtId="0" fontId="23" fillId="0" borderId="55" xfId="43" applyFont="1" applyBorder="1"/>
    <xf numFmtId="177" fontId="0" fillId="0" borderId="48" xfId="3" applyNumberFormat="1" applyFont="1" applyBorder="1" applyProtection="1"/>
    <xf numFmtId="0" fontId="9" fillId="17" borderId="108" xfId="43" applyFont="1" applyFill="1" applyBorder="1" applyAlignment="1">
      <alignment horizontal="left"/>
    </xf>
    <xf numFmtId="177" fontId="23" fillId="0" borderId="142" xfId="3" applyNumberFormat="1" applyFont="1" applyBorder="1" applyAlignment="1" applyProtection="1">
      <alignment horizontal="left"/>
    </xf>
    <xf numFmtId="0" fontId="23" fillId="0" borderId="143" xfId="43" applyFont="1" applyBorder="1"/>
    <xf numFmtId="177" fontId="23" fillId="0" borderId="142" xfId="3" applyNumberFormat="1" applyFont="1" applyBorder="1" applyProtection="1"/>
    <xf numFmtId="0" fontId="9" fillId="17" borderId="110" xfId="43" applyFont="1" applyFill="1" applyBorder="1" applyAlignment="1">
      <alignment horizontal="left"/>
    </xf>
    <xf numFmtId="0" fontId="9" fillId="17" borderId="112" xfId="43" applyFont="1" applyFill="1" applyBorder="1" applyAlignment="1">
      <alignment horizontal="left"/>
    </xf>
    <xf numFmtId="177" fontId="23" fillId="0" borderId="157" xfId="3" applyNumberFormat="1" applyFont="1" applyBorder="1" applyAlignment="1" applyProtection="1">
      <alignment horizontal="left"/>
    </xf>
    <xf numFmtId="177" fontId="23" fillId="0" borderId="157" xfId="3" applyNumberFormat="1" applyFont="1" applyBorder="1" applyProtection="1"/>
    <xf numFmtId="0" fontId="9" fillId="17" borderId="154" xfId="43" applyFont="1" applyFill="1" applyBorder="1" applyAlignment="1">
      <alignment horizontal="left"/>
    </xf>
    <xf numFmtId="177" fontId="23" fillId="0" borderId="151" xfId="3" applyNumberFormat="1" applyFont="1" applyBorder="1" applyAlignment="1" applyProtection="1">
      <alignment horizontal="left"/>
    </xf>
    <xf numFmtId="0" fontId="23" fillId="0" borderId="153" xfId="43" applyFont="1" applyBorder="1"/>
    <xf numFmtId="177" fontId="23" fillId="0" borderId="151" xfId="3" applyNumberFormat="1" applyFont="1" applyBorder="1" applyProtection="1"/>
    <xf numFmtId="0" fontId="8" fillId="0" borderId="3" xfId="43" applyFont="1" applyBorder="1" applyAlignment="1">
      <alignment horizontal="left"/>
    </xf>
    <xf numFmtId="177" fontId="23" fillId="0" borderId="158" xfId="3" applyNumberFormat="1" applyFont="1" applyBorder="1" applyProtection="1"/>
    <xf numFmtId="0" fontId="8" fillId="0" borderId="19" xfId="43" applyFont="1" applyBorder="1" applyAlignment="1">
      <alignment horizontal="left"/>
    </xf>
    <xf numFmtId="185" fontId="0" fillId="3" borderId="159" xfId="2" applyNumberFormat="1" applyFont="1" applyFill="1" applyBorder="1" applyProtection="1"/>
    <xf numFmtId="43" fontId="23" fillId="0" borderId="0" xfId="43" applyNumberFormat="1" applyFont="1"/>
    <xf numFmtId="43" fontId="63" fillId="2" borderId="154" xfId="1" applyFont="1" applyFill="1" applyBorder="1" applyAlignment="1">
      <alignment horizontal="center" vertical="center"/>
    </xf>
    <xf numFmtId="43" fontId="63" fillId="2" borderId="160" xfId="1" applyFont="1" applyFill="1" applyBorder="1" applyAlignment="1">
      <alignment horizontal="center" vertical="center"/>
    </xf>
    <xf numFmtId="177" fontId="63" fillId="2" borderId="154" xfId="1" applyNumberFormat="1" applyFont="1" applyFill="1" applyBorder="1" applyAlignment="1">
      <alignment horizontal="center" vertical="center"/>
    </xf>
    <xf numFmtId="0" fontId="63" fillId="2" borderId="161" xfId="1" applyNumberFormat="1" applyFont="1" applyFill="1" applyBorder="1" applyAlignment="1">
      <alignment horizontal="center" vertical="center"/>
    </xf>
    <xf numFmtId="0" fontId="83" fillId="0" borderId="0" xfId="43"/>
    <xf numFmtId="0" fontId="8" fillId="48" borderId="44" xfId="43" applyFont="1" applyFill="1" applyBorder="1"/>
    <xf numFmtId="0" fontId="8" fillId="0" borderId="155" xfId="43" applyFont="1" applyBorder="1" applyAlignment="1">
      <alignment horizontal="center"/>
    </xf>
    <xf numFmtId="0" fontId="8" fillId="0" borderId="37" xfId="43" applyFont="1" applyBorder="1" applyAlignment="1">
      <alignment horizontal="center"/>
    </xf>
    <xf numFmtId="0" fontId="9" fillId="17" borderId="162" xfId="43" applyFont="1" applyFill="1" applyBorder="1"/>
    <xf numFmtId="177" fontId="0" fillId="0" borderId="12" xfId="3" applyNumberFormat="1" applyFont="1" applyBorder="1" applyAlignment="1" applyProtection="1">
      <alignment horizontal="left"/>
    </xf>
    <xf numFmtId="0" fontId="23" fillId="0" borderId="12" xfId="43" applyFont="1" applyBorder="1"/>
    <xf numFmtId="185" fontId="23" fillId="0" borderId="163" xfId="2" applyNumberFormat="1" applyFont="1" applyBorder="1" applyProtection="1"/>
    <xf numFmtId="177" fontId="0" fillId="0" borderId="163" xfId="3" applyNumberFormat="1" applyFont="1" applyBorder="1" applyProtection="1"/>
    <xf numFmtId="0" fontId="23" fillId="0" borderId="163" xfId="43" applyFont="1" applyBorder="1"/>
    <xf numFmtId="0" fontId="9" fillId="17" borderId="142" xfId="43" applyFont="1" applyFill="1" applyBorder="1"/>
    <xf numFmtId="177" fontId="23" fillId="0" borderId="13" xfId="3" applyNumberFormat="1" applyFont="1" applyBorder="1" applyAlignment="1" applyProtection="1">
      <alignment horizontal="left"/>
    </xf>
    <xf numFmtId="0" fontId="23" fillId="0" borderId="13" xfId="43" applyFont="1" applyBorder="1"/>
    <xf numFmtId="185" fontId="23" fillId="0" borderId="143" xfId="2" applyNumberFormat="1" applyFont="1" applyBorder="1" applyProtection="1"/>
    <xf numFmtId="177" fontId="23" fillId="0" borderId="143" xfId="3" applyNumberFormat="1" applyFont="1" applyBorder="1" applyProtection="1"/>
    <xf numFmtId="0" fontId="9" fillId="17" borderId="157" xfId="43" applyFont="1" applyFill="1" applyBorder="1"/>
    <xf numFmtId="168" fontId="23" fillId="0" borderId="113" xfId="43" applyNumberFormat="1" applyFont="1" applyBorder="1" applyAlignment="1">
      <alignment horizontal="left"/>
    </xf>
    <xf numFmtId="0" fontId="23" fillId="0" borderId="152" xfId="43" applyFont="1" applyBorder="1"/>
    <xf numFmtId="185" fontId="23" fillId="0" borderId="153" xfId="2" applyNumberFormat="1" applyFont="1" applyBorder="1" applyProtection="1"/>
    <xf numFmtId="173" fontId="23" fillId="0" borderId="153" xfId="43" applyNumberFormat="1" applyFont="1" applyBorder="1"/>
    <xf numFmtId="0" fontId="8" fillId="0" borderId="164" xfId="43" applyFont="1" applyBorder="1"/>
    <xf numFmtId="177" fontId="23" fillId="0" borderId="165" xfId="3" applyNumberFormat="1" applyFont="1" applyBorder="1" applyProtection="1"/>
    <xf numFmtId="0" fontId="8" fillId="0" borderId="166" xfId="43" applyFont="1" applyBorder="1"/>
    <xf numFmtId="0" fontId="63" fillId="2" borderId="160" xfId="1" applyNumberFormat="1" applyFont="1" applyFill="1" applyBorder="1" applyAlignment="1">
      <alignment horizontal="center" vertical="center"/>
    </xf>
    <xf numFmtId="0" fontId="9" fillId="49" borderId="164" xfId="43" applyFont="1" applyFill="1" applyBorder="1" applyAlignment="1">
      <alignment horizontal="left"/>
    </xf>
    <xf numFmtId="0" fontId="9" fillId="49" borderId="17" xfId="43" applyFont="1" applyFill="1" applyBorder="1" applyAlignment="1">
      <alignment horizontal="left"/>
    </xf>
    <xf numFmtId="184" fontId="9" fillId="0" borderId="17" xfId="43" applyNumberFormat="1" applyFont="1" applyBorder="1"/>
    <xf numFmtId="185" fontId="9" fillId="0" borderId="17" xfId="2" applyNumberFormat="1" applyFont="1" applyFill="1" applyBorder="1" applyAlignment="1" applyProtection="1">
      <alignment horizontal="left"/>
    </xf>
    <xf numFmtId="184" fontId="9" fillId="0" borderId="165" xfId="43" applyNumberFormat="1" applyFont="1" applyBorder="1"/>
    <xf numFmtId="185" fontId="9" fillId="0" borderId="165" xfId="2" applyNumberFormat="1" applyFont="1" applyFill="1" applyBorder="1" applyAlignment="1" applyProtection="1">
      <alignment horizontal="left"/>
    </xf>
    <xf numFmtId="0" fontId="9" fillId="17" borderId="167" xfId="43" applyFont="1" applyFill="1" applyBorder="1" applyAlignment="1">
      <alignment horizontal="left"/>
    </xf>
    <xf numFmtId="0" fontId="9" fillId="17" borderId="4" xfId="43" applyFont="1" applyFill="1" applyBorder="1" applyAlignment="1">
      <alignment horizontal="left"/>
    </xf>
    <xf numFmtId="184" fontId="9" fillId="0" borderId="4" xfId="43" applyNumberFormat="1" applyFont="1" applyBorder="1"/>
    <xf numFmtId="185" fontId="9" fillId="0" borderId="4" xfId="2" applyNumberFormat="1" applyFont="1" applyFill="1" applyBorder="1" applyAlignment="1" applyProtection="1">
      <alignment horizontal="left"/>
    </xf>
    <xf numFmtId="184" fontId="9" fillId="0" borderId="168" xfId="43" applyNumberFormat="1" applyFont="1" applyBorder="1"/>
    <xf numFmtId="185" fontId="9" fillId="0" borderId="168" xfId="2" applyNumberFormat="1" applyFont="1" applyFill="1" applyBorder="1" applyAlignment="1" applyProtection="1">
      <alignment horizontal="left"/>
    </xf>
    <xf numFmtId="184" fontId="9" fillId="0" borderId="19" xfId="43" applyNumberFormat="1" applyFont="1" applyBorder="1"/>
    <xf numFmtId="185" fontId="9" fillId="0" borderId="19" xfId="2" applyNumberFormat="1" applyFont="1" applyFill="1" applyBorder="1" applyAlignment="1" applyProtection="1">
      <alignment horizontal="left"/>
    </xf>
    <xf numFmtId="184" fontId="9" fillId="0" borderId="159" xfId="43" applyNumberFormat="1" applyFont="1" applyBorder="1"/>
    <xf numFmtId="185" fontId="9" fillId="0" borderId="159" xfId="2" applyNumberFormat="1" applyFont="1" applyFill="1" applyBorder="1" applyAlignment="1" applyProtection="1">
      <alignment horizontal="left"/>
    </xf>
    <xf numFmtId="0" fontId="9" fillId="0" borderId="140" xfId="43" applyFont="1" applyBorder="1" applyAlignment="1">
      <alignment horizontal="center"/>
    </xf>
    <xf numFmtId="0" fontId="9" fillId="0" borderId="37" xfId="43" applyFont="1" applyBorder="1" applyAlignment="1">
      <alignment horizontal="center"/>
    </xf>
    <xf numFmtId="184" fontId="9" fillId="0" borderId="155" xfId="43" applyNumberFormat="1" applyFont="1" applyBorder="1"/>
    <xf numFmtId="1" fontId="9" fillId="0" borderId="124" xfId="43" applyNumberFormat="1" applyFont="1" applyBorder="1"/>
    <xf numFmtId="184" fontId="9" fillId="0" borderId="41" xfId="43" applyNumberFormat="1" applyFont="1" applyBorder="1"/>
    <xf numFmtId="185" fontId="9" fillId="0" borderId="42" xfId="57" applyNumberFormat="1" applyFont="1" applyFill="1" applyBorder="1" applyAlignment="1" applyProtection="1">
      <alignment horizontal="left"/>
    </xf>
    <xf numFmtId="0" fontId="62" fillId="0" borderId="171" xfId="1" applyNumberFormat="1" applyFont="1" applyFill="1" applyBorder="1" applyAlignment="1">
      <alignment horizontal="center" vertical="center"/>
    </xf>
    <xf numFmtId="41" fontId="62" fillId="41" borderId="143" xfId="1" applyNumberFormat="1" applyFont="1" applyFill="1" applyBorder="1" applyAlignment="1">
      <alignment horizontal="center" vertical="center"/>
    </xf>
    <xf numFmtId="20" fontId="64" fillId="0" borderId="172" xfId="43" applyNumberFormat="1" applyFont="1" applyBorder="1" applyAlignment="1">
      <alignment horizontal="left" vertical="center" wrapText="1"/>
    </xf>
    <xf numFmtId="20" fontId="64" fillId="0" borderId="173" xfId="43" applyNumberFormat="1" applyFont="1" applyBorder="1" applyAlignment="1">
      <alignment horizontal="left" vertical="center" wrapText="1"/>
    </xf>
    <xf numFmtId="20" fontId="64" fillId="0" borderId="0" xfId="43" applyNumberFormat="1" applyFont="1" applyAlignment="1">
      <alignment horizontal="left" vertical="center" wrapText="1"/>
    </xf>
    <xf numFmtId="172" fontId="63" fillId="0" borderId="124" xfId="1" applyNumberFormat="1" applyFont="1" applyBorder="1" applyProtection="1"/>
    <xf numFmtId="185" fontId="63" fillId="0" borderId="128" xfId="2" applyNumberFormat="1" applyFont="1" applyFill="1" applyBorder="1" applyProtection="1">
      <protection locked="0"/>
    </xf>
    <xf numFmtId="177" fontId="23" fillId="0" borderId="0" xfId="43" applyNumberFormat="1" applyFont="1"/>
    <xf numFmtId="0" fontId="1" fillId="51" borderId="50" xfId="0" applyFont="1" applyFill="1" applyBorder="1" applyAlignment="1">
      <alignment horizontal="center" vertical="center"/>
    </xf>
    <xf numFmtId="0" fontId="1" fillId="51" borderId="51" xfId="0" applyFont="1" applyFill="1" applyBorder="1" applyAlignment="1">
      <alignment horizontal="center" vertical="center"/>
    </xf>
    <xf numFmtId="0" fontId="1" fillId="51" borderId="124" xfId="0" applyFont="1" applyFill="1" applyBorder="1" applyAlignment="1">
      <alignment horizontal="center" vertical="center"/>
    </xf>
    <xf numFmtId="0" fontId="1" fillId="52" borderId="51" xfId="0" applyFont="1" applyFill="1" applyBorder="1" applyAlignment="1">
      <alignment horizontal="center"/>
    </xf>
    <xf numFmtId="0" fontId="1" fillId="52" borderId="124" xfId="0" applyFont="1" applyFill="1" applyBorder="1" applyAlignment="1">
      <alignment horizontal="center"/>
    </xf>
    <xf numFmtId="176" fontId="41" fillId="30" borderId="46" xfId="0" applyNumberFormat="1" applyFont="1" applyFill="1" applyBorder="1"/>
    <xf numFmtId="1" fontId="41" fillId="0" borderId="46" xfId="0" applyNumberFormat="1" applyFont="1" applyBorder="1"/>
    <xf numFmtId="1" fontId="41" fillId="0" borderId="47" xfId="0" applyNumberFormat="1" applyFont="1" applyBorder="1"/>
    <xf numFmtId="1" fontId="41" fillId="0" borderId="174" xfId="0" applyNumberFormat="1" applyFont="1" applyBorder="1"/>
    <xf numFmtId="175" fontId="41" fillId="0" borderId="46" xfId="0" applyNumberFormat="1" applyFont="1" applyBorder="1"/>
    <xf numFmtId="43" fontId="41" fillId="0" borderId="46" xfId="0" applyNumberFormat="1" applyFont="1" applyBorder="1"/>
    <xf numFmtId="176" fontId="41" fillId="30" borderId="56" xfId="0" applyNumberFormat="1" applyFont="1" applyFill="1" applyBorder="1"/>
    <xf numFmtId="1" fontId="41" fillId="0" borderId="56" xfId="0" applyNumberFormat="1" applyFont="1" applyBorder="1"/>
    <xf numFmtId="1" fontId="41" fillId="0" borderId="110" xfId="0" applyNumberFormat="1" applyFont="1" applyBorder="1"/>
    <xf numFmtId="1" fontId="41" fillId="0" borderId="175" xfId="0" applyNumberFormat="1" applyFont="1" applyBorder="1"/>
    <xf numFmtId="175" fontId="41" fillId="0" borderId="56" xfId="0" applyNumberFormat="1" applyFont="1" applyBorder="1"/>
    <xf numFmtId="43" fontId="41" fillId="0" borderId="56" xfId="0" applyNumberFormat="1" applyFont="1" applyBorder="1"/>
    <xf numFmtId="1" fontId="43" fillId="0" borderId="56" xfId="0" applyNumberFormat="1" applyFont="1" applyBorder="1"/>
    <xf numFmtId="1" fontId="43" fillId="0" borderId="110" xfId="0" applyNumberFormat="1" applyFont="1" applyBorder="1"/>
    <xf numFmtId="1" fontId="43" fillId="0" borderId="175" xfId="0" applyNumberFormat="1" applyFont="1" applyBorder="1"/>
    <xf numFmtId="1" fontId="41" fillId="13" borderId="56" xfId="0" applyNumberFormat="1" applyFont="1" applyFill="1" applyBorder="1"/>
    <xf numFmtId="1" fontId="41" fillId="13" borderId="110" xfId="0" applyNumberFormat="1" applyFont="1" applyFill="1" applyBorder="1"/>
    <xf numFmtId="1" fontId="41" fillId="13" borderId="175" xfId="0" applyNumberFormat="1" applyFont="1" applyFill="1" applyBorder="1"/>
    <xf numFmtId="1" fontId="43" fillId="2" borderId="56" xfId="0" applyNumberFormat="1" applyFont="1" applyFill="1" applyBorder="1"/>
    <xf numFmtId="1" fontId="43" fillId="2" borderId="110" xfId="0" applyNumberFormat="1" applyFont="1" applyFill="1" applyBorder="1"/>
    <xf numFmtId="1" fontId="43" fillId="2" borderId="175" xfId="0" applyNumberFormat="1" applyFont="1" applyFill="1" applyBorder="1"/>
    <xf numFmtId="175" fontId="41" fillId="2" borderId="56" xfId="0" applyNumberFormat="1" applyFont="1" applyFill="1" applyBorder="1"/>
    <xf numFmtId="43" fontId="41" fillId="2" borderId="56" xfId="0" applyNumberFormat="1" applyFont="1" applyFill="1" applyBorder="1"/>
    <xf numFmtId="176" fontId="43" fillId="30" borderId="56" xfId="0" applyNumberFormat="1" applyFont="1" applyFill="1" applyBorder="1"/>
    <xf numFmtId="175" fontId="43" fillId="0" borderId="56" xfId="0" applyNumberFormat="1" applyFont="1" applyBorder="1"/>
    <xf numFmtId="43" fontId="43" fillId="0" borderId="56" xfId="0" applyNumberFormat="1" applyFont="1" applyBorder="1"/>
    <xf numFmtId="1" fontId="41" fillId="0" borderId="176" xfId="0" applyNumberFormat="1" applyFont="1" applyBorder="1"/>
    <xf numFmtId="1" fontId="41" fillId="0" borderId="112" xfId="0" applyNumberFormat="1" applyFont="1" applyBorder="1"/>
    <xf numFmtId="1" fontId="41" fillId="0" borderId="177" xfId="0" applyNumberFormat="1" applyFont="1" applyBorder="1"/>
    <xf numFmtId="0" fontId="1" fillId="0" borderId="51" xfId="0" applyFont="1" applyBorder="1"/>
    <xf numFmtId="177" fontId="1" fillId="0" borderId="124" xfId="3" applyNumberFormat="1" applyFont="1" applyFill="1" applyBorder="1"/>
    <xf numFmtId="0" fontId="1" fillId="30" borderId="124" xfId="0" applyFont="1" applyFill="1" applyBorder="1" applyAlignment="1">
      <alignment horizontal="center" vertical="center"/>
    </xf>
    <xf numFmtId="0" fontId="1" fillId="53" borderId="51" xfId="0" applyFont="1" applyFill="1" applyBorder="1" applyAlignment="1">
      <alignment horizontal="center" vertical="center"/>
    </xf>
    <xf numFmtId="0" fontId="1" fillId="30" borderId="44" xfId="0" applyFont="1" applyFill="1" applyBorder="1" applyAlignment="1">
      <alignment horizontal="center"/>
    </xf>
    <xf numFmtId="0" fontId="1" fillId="53" borderId="37" xfId="0" applyFont="1" applyFill="1" applyBorder="1" applyAlignment="1">
      <alignment horizontal="center"/>
    </xf>
    <xf numFmtId="177" fontId="41" fillId="0" borderId="178" xfId="3" applyNumberFormat="1" applyFont="1" applyFill="1" applyBorder="1"/>
    <xf numFmtId="177" fontId="41" fillId="0" borderId="46" xfId="3" applyNumberFormat="1" applyFont="1" applyFill="1" applyBorder="1"/>
    <xf numFmtId="177" fontId="41" fillId="0" borderId="47" xfId="3" applyNumberFormat="1" applyFont="1" applyFill="1" applyBorder="1"/>
    <xf numFmtId="177" fontId="41" fillId="0" borderId="179" xfId="3" applyNumberFormat="1" applyFont="1" applyFill="1" applyBorder="1"/>
    <xf numFmtId="177" fontId="41" fillId="0" borderId="174" xfId="3" applyNumberFormat="1" applyFont="1" applyFill="1" applyBorder="1"/>
    <xf numFmtId="177" fontId="41" fillId="0" borderId="180" xfId="3" applyNumberFormat="1" applyFont="1" applyFill="1" applyBorder="1"/>
    <xf numFmtId="177" fontId="41" fillId="0" borderId="56" xfId="3" applyNumberFormat="1" applyFont="1" applyFill="1" applyBorder="1"/>
    <xf numFmtId="177" fontId="41" fillId="0" borderId="110" xfId="3" applyNumberFormat="1" applyFont="1" applyFill="1" applyBorder="1"/>
    <xf numFmtId="177" fontId="41" fillId="0" borderId="181" xfId="3" applyNumberFormat="1" applyFont="1" applyFill="1" applyBorder="1"/>
    <xf numFmtId="177" fontId="41" fillId="0" borderId="175" xfId="3" applyNumberFormat="1" applyFont="1" applyFill="1" applyBorder="1"/>
    <xf numFmtId="177" fontId="41" fillId="2" borderId="175" xfId="3" applyNumberFormat="1" applyFont="1" applyFill="1" applyBorder="1"/>
    <xf numFmtId="177" fontId="51" fillId="0" borderId="180" xfId="3" applyNumberFormat="1" applyFont="1" applyFill="1" applyBorder="1"/>
    <xf numFmtId="177" fontId="51" fillId="0" borderId="56" xfId="3" applyNumberFormat="1" applyFont="1" applyFill="1" applyBorder="1"/>
    <xf numFmtId="177" fontId="51" fillId="0" borderId="110" xfId="3" applyNumberFormat="1" applyFont="1" applyFill="1" applyBorder="1"/>
    <xf numFmtId="177" fontId="51" fillId="0" borderId="181" xfId="3" applyNumberFormat="1" applyFont="1" applyFill="1" applyBorder="1"/>
    <xf numFmtId="177" fontId="51" fillId="0" borderId="175" xfId="3" applyNumberFormat="1" applyFont="1" applyFill="1" applyBorder="1"/>
    <xf numFmtId="177" fontId="41" fillId="2" borderId="180" xfId="3" applyNumberFormat="1" applyFont="1" applyFill="1" applyBorder="1"/>
    <xf numFmtId="177" fontId="41" fillId="2" borderId="56" xfId="3" applyNumberFormat="1" applyFont="1" applyFill="1" applyBorder="1"/>
    <xf numFmtId="177" fontId="41" fillId="2" borderId="110" xfId="3" applyNumberFormat="1" applyFont="1" applyFill="1" applyBorder="1"/>
    <xf numFmtId="177" fontId="41" fillId="2" borderId="181" xfId="3" applyNumberFormat="1" applyFont="1" applyFill="1" applyBorder="1"/>
    <xf numFmtId="177" fontId="43" fillId="0" borderId="180" xfId="3" applyNumberFormat="1" applyFont="1" applyFill="1" applyBorder="1"/>
    <xf numFmtId="177" fontId="43" fillId="0" borderId="56" xfId="3" applyNumberFormat="1" applyFont="1" applyFill="1" applyBorder="1"/>
    <xf numFmtId="177" fontId="43" fillId="0" borderId="110" xfId="3" applyNumberFormat="1" applyFont="1" applyFill="1" applyBorder="1"/>
    <xf numFmtId="177" fontId="43" fillId="0" borderId="181" xfId="3" applyNumberFormat="1" applyFont="1" applyFill="1" applyBorder="1"/>
    <xf numFmtId="177" fontId="43" fillId="0" borderId="175" xfId="3" applyNumberFormat="1" applyFont="1" applyFill="1" applyBorder="1"/>
    <xf numFmtId="177" fontId="41" fillId="0" borderId="112" xfId="3" applyNumberFormat="1" applyFont="1" applyFill="1" applyBorder="1"/>
    <xf numFmtId="177" fontId="1" fillId="0" borderId="51" xfId="3" applyNumberFormat="1" applyFont="1" applyFill="1" applyBorder="1"/>
    <xf numFmtId="177" fontId="2" fillId="0" borderId="0" xfId="0" applyNumberFormat="1" applyFont="1"/>
    <xf numFmtId="165" fontId="2" fillId="0" borderId="0" xfId="0" applyNumberFormat="1" applyFont="1"/>
    <xf numFmtId="2" fontId="41" fillId="0" borderId="0" xfId="0" applyNumberFormat="1" applyFont="1"/>
    <xf numFmtId="165" fontId="66" fillId="0" borderId="0" xfId="0" applyNumberFormat="1" applyFont="1"/>
    <xf numFmtId="165" fontId="67" fillId="0" borderId="0" xfId="0" applyNumberFormat="1" applyFont="1"/>
    <xf numFmtId="0" fontId="1" fillId="50" borderId="122" xfId="0" applyFont="1" applyFill="1" applyBorder="1" applyAlignment="1">
      <alignment horizontal="center" vertical="center"/>
    </xf>
    <xf numFmtId="0" fontId="1" fillId="50" borderId="140" xfId="0" applyFont="1" applyFill="1" applyBorder="1" applyAlignment="1">
      <alignment horizontal="center" vertical="center"/>
    </xf>
    <xf numFmtId="0" fontId="1" fillId="51" borderId="39" xfId="0" applyFont="1" applyFill="1" applyBorder="1" applyAlignment="1">
      <alignment horizontal="center" vertical="center"/>
    </xf>
    <xf numFmtId="0" fontId="1" fillId="51" borderId="44" xfId="0" applyFont="1" applyFill="1" applyBorder="1" applyAlignment="1">
      <alignment horizontal="center" vertical="center"/>
    </xf>
    <xf numFmtId="0" fontId="1" fillId="52" borderId="39" xfId="0" applyFont="1" applyFill="1" applyBorder="1" applyAlignment="1">
      <alignment horizontal="center" vertical="center"/>
    </xf>
    <xf numFmtId="0" fontId="1" fillId="52" borderId="173" xfId="0" applyFont="1" applyFill="1" applyBorder="1" applyAlignment="1">
      <alignment horizontal="center" vertical="center"/>
    </xf>
    <xf numFmtId="0" fontId="1" fillId="0" borderId="39" xfId="0" applyFont="1" applyBorder="1" applyAlignment="1">
      <alignment horizontal="center" vertical="center"/>
    </xf>
    <xf numFmtId="0" fontId="1" fillId="0" borderId="44" xfId="0" applyFont="1" applyBorder="1" applyAlignment="1">
      <alignment horizontal="center" vertical="center"/>
    </xf>
    <xf numFmtId="0" fontId="1" fillId="51" borderId="50" xfId="0" applyFont="1" applyFill="1" applyBorder="1" applyAlignment="1">
      <alignment horizontal="center" vertical="center"/>
    </xf>
    <xf numFmtId="0" fontId="1" fillId="51" borderId="51" xfId="0" applyFont="1" applyFill="1" applyBorder="1" applyAlignment="1">
      <alignment horizontal="center" vertical="center"/>
    </xf>
    <xf numFmtId="0" fontId="1" fillId="52" borderId="51" xfId="0" applyFont="1" applyFill="1" applyBorder="1" applyAlignment="1">
      <alignment horizontal="center" vertical="center"/>
    </xf>
    <xf numFmtId="0" fontId="25" fillId="0" borderId="0" xfId="43" applyFont="1" applyAlignment="1" applyProtection="1">
      <alignment horizontal="center" vertical="center"/>
      <protection locked="0"/>
    </xf>
    <xf numFmtId="0" fontId="15" fillId="0" borderId="37" xfId="43" applyFont="1" applyBorder="1" applyAlignment="1" applyProtection="1">
      <alignment horizontal="center" vertical="top"/>
      <protection locked="0"/>
    </xf>
    <xf numFmtId="0" fontId="60" fillId="14" borderId="40" xfId="43" applyFont="1" applyFill="1" applyBorder="1" applyAlignment="1">
      <alignment horizontal="center" vertical="center"/>
    </xf>
    <xf numFmtId="0" fontId="60" fillId="14" borderId="41" xfId="43" applyFont="1" applyFill="1" applyBorder="1" applyAlignment="1">
      <alignment horizontal="center" vertical="center"/>
    </xf>
    <xf numFmtId="0" fontId="60" fillId="14" borderId="42" xfId="43" applyFont="1" applyFill="1" applyBorder="1" applyAlignment="1">
      <alignment horizontal="center" vertical="center"/>
    </xf>
    <xf numFmtId="0" fontId="60" fillId="16" borderId="51" xfId="43" applyFont="1" applyFill="1" applyBorder="1" applyAlignment="1">
      <alignment horizontal="center" vertical="center"/>
    </xf>
    <xf numFmtId="0" fontId="1" fillId="43" borderId="40" xfId="0" applyFont="1" applyFill="1" applyBorder="1" applyAlignment="1">
      <alignment horizontal="center" vertical="center"/>
    </xf>
    <xf numFmtId="0" fontId="1" fillId="43" borderId="41" xfId="0" applyFont="1" applyFill="1" applyBorder="1" applyAlignment="1">
      <alignment horizontal="center" vertical="center"/>
    </xf>
    <xf numFmtId="0" fontId="1" fillId="43" borderId="42" xfId="0" applyFont="1" applyFill="1" applyBorder="1" applyAlignment="1">
      <alignment horizontal="center" vertical="center"/>
    </xf>
    <xf numFmtId="0" fontId="1" fillId="45" borderId="144" xfId="0" applyFont="1" applyFill="1" applyBorder="1" applyAlignment="1">
      <alignment horizontal="center" vertical="center"/>
    </xf>
    <xf numFmtId="0" fontId="1" fillId="45" borderId="22" xfId="0" applyFont="1" applyFill="1" applyBorder="1" applyAlignment="1">
      <alignment horizontal="center" vertical="center"/>
    </xf>
    <xf numFmtId="0" fontId="1" fillId="45" borderId="145" xfId="0" applyFont="1" applyFill="1" applyBorder="1" applyAlignment="1">
      <alignment horizontal="center" vertical="center"/>
    </xf>
    <xf numFmtId="0" fontId="60" fillId="7" borderId="38" xfId="43" applyFont="1" applyFill="1" applyBorder="1" applyAlignment="1">
      <alignment horizontal="center" vertical="center"/>
    </xf>
    <xf numFmtId="0" fontId="60" fillId="7" borderId="43" xfId="43" applyFont="1" applyFill="1" applyBorder="1" applyAlignment="1">
      <alignment horizontal="center" vertical="center"/>
    </xf>
    <xf numFmtId="0" fontId="9" fillId="47" borderId="51" xfId="43" applyFont="1" applyFill="1" applyBorder="1" applyAlignment="1">
      <alignment horizontal="center" vertical="center"/>
    </xf>
    <xf numFmtId="0" fontId="9" fillId="47" borderId="52" xfId="43" applyFont="1" applyFill="1" applyBorder="1" applyAlignment="1">
      <alignment horizontal="center" vertical="center"/>
    </xf>
    <xf numFmtId="0" fontId="9" fillId="47" borderId="50" xfId="43" applyFont="1" applyFill="1" applyBorder="1" applyAlignment="1">
      <alignment horizontal="center"/>
    </xf>
    <xf numFmtId="0" fontId="9" fillId="47" borderId="51" xfId="43" applyFont="1" applyFill="1" applyBorder="1" applyAlignment="1">
      <alignment horizontal="center"/>
    </xf>
    <xf numFmtId="0" fontId="9" fillId="47" borderId="52" xfId="43" applyFont="1" applyFill="1" applyBorder="1" applyAlignment="1">
      <alignment horizontal="center"/>
    </xf>
    <xf numFmtId="0" fontId="9" fillId="0" borderId="45" xfId="43" applyFont="1" applyBorder="1" applyAlignment="1">
      <alignment horizontal="center"/>
    </xf>
    <xf numFmtId="0" fontId="9" fillId="0" borderId="15" xfId="43" applyFont="1" applyBorder="1" applyAlignment="1">
      <alignment horizontal="center"/>
    </xf>
    <xf numFmtId="0" fontId="9" fillId="0" borderId="155" xfId="43" applyFont="1" applyBorder="1" applyAlignment="1">
      <alignment horizontal="center"/>
    </xf>
    <xf numFmtId="0" fontId="9" fillId="14" borderId="127" xfId="43" applyFont="1" applyFill="1" applyBorder="1" applyAlignment="1">
      <alignment horizontal="left"/>
    </xf>
    <xf numFmtId="0" fontId="9" fillId="14" borderId="14" xfId="43" applyFont="1" applyFill="1" applyBorder="1" applyAlignment="1">
      <alignment horizontal="left"/>
    </xf>
    <xf numFmtId="0" fontId="9" fillId="14" borderId="169" xfId="43" applyFont="1" applyFill="1" applyBorder="1" applyAlignment="1">
      <alignment horizontal="left"/>
    </xf>
    <xf numFmtId="0" fontId="9" fillId="14" borderId="18" xfId="43" applyFont="1" applyFill="1" applyBorder="1" applyAlignment="1">
      <alignment horizontal="left"/>
    </xf>
    <xf numFmtId="0" fontId="9" fillId="14" borderId="50" xfId="43" applyFont="1" applyFill="1" applyBorder="1" applyAlignment="1">
      <alignment horizontal="left"/>
    </xf>
    <xf numFmtId="0" fontId="9" fillId="14" borderId="170" xfId="43" applyFont="1" applyFill="1" applyBorder="1" applyAlignment="1">
      <alignment horizontal="left"/>
    </xf>
    <xf numFmtId="0" fontId="60" fillId="17" borderId="39" xfId="43" applyFont="1" applyFill="1" applyBorder="1" applyAlignment="1">
      <alignment horizontal="center" vertical="center"/>
    </xf>
    <xf numFmtId="0" fontId="60" fillId="17" borderId="44" xfId="43" applyFont="1" applyFill="1" applyBorder="1" applyAlignment="1">
      <alignment horizontal="center" vertical="center"/>
    </xf>
    <xf numFmtId="0" fontId="60" fillId="19" borderId="39" xfId="43" applyFont="1" applyFill="1" applyBorder="1" applyAlignment="1">
      <alignment horizontal="center" vertical="center" wrapText="1"/>
    </xf>
    <xf numFmtId="0" fontId="60" fillId="19" borderId="44" xfId="43" applyFont="1" applyFill="1" applyBorder="1" applyAlignment="1">
      <alignment horizontal="center" vertical="center" wrapText="1"/>
    </xf>
    <xf numFmtId="0" fontId="29" fillId="13" borderId="144" xfId="43" applyFont="1" applyFill="1" applyBorder="1" applyAlignment="1">
      <alignment horizontal="center" vertical="center"/>
    </xf>
    <xf numFmtId="0" fontId="29" fillId="13" borderId="45" xfId="43" applyFont="1" applyFill="1" applyBorder="1" applyAlignment="1">
      <alignment horizontal="center" vertical="center"/>
    </xf>
    <xf numFmtId="0" fontId="1" fillId="0" borderId="50" xfId="0" applyFont="1" applyBorder="1" applyAlignment="1">
      <alignment horizontal="center" vertical="center"/>
    </xf>
    <xf numFmtId="0" fontId="1" fillId="0" borderId="51" xfId="0" applyFont="1" applyBorder="1" applyAlignment="1">
      <alignment horizontal="center" vertical="center"/>
    </xf>
    <xf numFmtId="0" fontId="42" fillId="29" borderId="122" xfId="0" applyFont="1" applyFill="1" applyBorder="1" applyAlignment="1">
      <alignment horizontal="center" vertical="center"/>
    </xf>
    <xf numFmtId="0" fontId="42" fillId="29" borderId="138" xfId="0" applyFont="1" applyFill="1" applyBorder="1" applyAlignment="1">
      <alignment horizontal="center" vertical="center"/>
    </xf>
    <xf numFmtId="0" fontId="1" fillId="0" borderId="139" xfId="0" applyFont="1" applyBorder="1" applyAlignment="1">
      <alignment horizontal="center" vertical="center"/>
    </xf>
    <xf numFmtId="0" fontId="42" fillId="29" borderId="4" xfId="0" applyFont="1" applyFill="1" applyBorder="1" applyAlignment="1">
      <alignment horizontal="center" vertical="center"/>
    </xf>
    <xf numFmtId="0" fontId="45" fillId="0" borderId="122" xfId="0" applyFont="1" applyBorder="1" applyAlignment="1">
      <alignment horizontal="center"/>
    </xf>
    <xf numFmtId="0" fontId="45" fillId="0" borderId="123" xfId="0" applyFont="1" applyBorder="1" applyAlignment="1">
      <alignment horizontal="center"/>
    </xf>
    <xf numFmtId="0" fontId="45" fillId="0" borderId="131" xfId="0" applyFont="1" applyBorder="1" applyAlignment="1">
      <alignment horizontal="center"/>
    </xf>
    <xf numFmtId="0" fontId="52" fillId="0" borderId="135" xfId="0" applyFont="1" applyBorder="1" applyAlignment="1" applyProtection="1">
      <alignment horizontal="center" vertical="center"/>
      <protection locked="0"/>
    </xf>
    <xf numFmtId="0" fontId="55" fillId="40" borderId="115" xfId="0" applyFont="1" applyFill="1" applyBorder="1" applyAlignment="1" applyProtection="1">
      <alignment horizontal="center" vertical="center"/>
      <protection locked="0"/>
    </xf>
    <xf numFmtId="0" fontId="55" fillId="40" borderId="136" xfId="0" applyFont="1" applyFill="1" applyBorder="1" applyAlignment="1" applyProtection="1">
      <alignment horizontal="center" vertical="center"/>
      <protection locked="0"/>
    </xf>
    <xf numFmtId="0" fontId="55" fillId="40" borderId="137" xfId="0" applyFont="1" applyFill="1" applyBorder="1" applyAlignment="1" applyProtection="1">
      <alignment horizontal="center" vertical="center"/>
      <protection locked="0"/>
    </xf>
    <xf numFmtId="0" fontId="55" fillId="0" borderId="115" xfId="0" applyFont="1" applyBorder="1" applyAlignment="1" applyProtection="1">
      <alignment horizontal="center" vertical="center"/>
      <protection locked="0"/>
    </xf>
    <xf numFmtId="0" fontId="55" fillId="0" borderId="137" xfId="0" applyFont="1" applyBorder="1" applyAlignment="1" applyProtection="1">
      <alignment horizontal="center" vertical="center"/>
      <protection locked="0"/>
    </xf>
    <xf numFmtId="0" fontId="55" fillId="40" borderId="135" xfId="0" applyFont="1" applyFill="1" applyBorder="1" applyAlignment="1" applyProtection="1">
      <alignment horizontal="center" vertical="center"/>
      <protection locked="0"/>
    </xf>
    <xf numFmtId="0" fontId="42" fillId="29" borderId="4" xfId="0" applyFont="1" applyFill="1" applyBorder="1" applyAlignment="1">
      <alignment horizontal="center" vertical="center" wrapText="1"/>
    </xf>
    <xf numFmtId="0" fontId="42" fillId="29" borderId="2" xfId="0" applyFont="1" applyFill="1" applyBorder="1" applyAlignment="1">
      <alignment horizontal="center" vertical="center" wrapText="1"/>
    </xf>
    <xf numFmtId="0" fontId="44" fillId="0" borderId="0" xfId="0" applyFont="1" applyAlignment="1">
      <alignment horizontal="center"/>
    </xf>
    <xf numFmtId="0" fontId="55" fillId="0" borderId="135" xfId="0" applyFont="1" applyBorder="1" applyAlignment="1" applyProtection="1">
      <alignment horizontal="center" vertical="center"/>
      <protection locked="0"/>
    </xf>
    <xf numFmtId="0" fontId="56" fillId="36" borderId="135" xfId="0" applyFont="1" applyFill="1" applyBorder="1" applyAlignment="1" applyProtection="1">
      <alignment horizontal="left" vertical="center" wrapText="1"/>
      <protection locked="0"/>
    </xf>
    <xf numFmtId="0" fontId="55" fillId="0" borderId="135" xfId="0" applyFont="1" applyBorder="1" applyAlignment="1" applyProtection="1">
      <alignment horizontal="left" vertical="center"/>
      <protection locked="0"/>
    </xf>
    <xf numFmtId="0" fontId="42" fillId="29" borderId="2" xfId="0" applyFont="1" applyFill="1" applyBorder="1" applyAlignment="1">
      <alignment horizontal="center" vertical="center"/>
    </xf>
    <xf numFmtId="0" fontId="38" fillId="22" borderId="103" xfId="0" applyFont="1" applyFill="1" applyBorder="1" applyAlignment="1">
      <alignment horizontal="center" vertical="center"/>
    </xf>
    <xf numFmtId="0" fontId="38" fillId="22" borderId="35" xfId="0" applyFont="1" applyFill="1" applyBorder="1" applyAlignment="1">
      <alignment horizontal="center" vertical="center"/>
    </xf>
    <xf numFmtId="0" fontId="38" fillId="26" borderId="103" xfId="0" applyFont="1" applyFill="1" applyBorder="1" applyAlignment="1">
      <alignment horizontal="center" vertical="center"/>
    </xf>
    <xf numFmtId="0" fontId="38" fillId="26" borderId="116" xfId="0" applyFont="1" applyFill="1" applyBorder="1" applyAlignment="1">
      <alignment horizontal="center" vertical="center"/>
    </xf>
    <xf numFmtId="4" fontId="32" fillId="0" borderId="0" xfId="0" applyNumberFormat="1" applyFont="1" applyAlignment="1">
      <alignment horizontal="center" vertical="center"/>
    </xf>
    <xf numFmtId="0" fontId="32" fillId="0" borderId="0" xfId="0" applyFont="1" applyAlignment="1">
      <alignment horizontal="center" vertical="center"/>
    </xf>
    <xf numFmtId="0" fontId="32" fillId="0" borderId="76" xfId="53" applyFont="1" applyBorder="1" applyAlignment="1">
      <alignment horizontal="left" vertical="center"/>
    </xf>
    <xf numFmtId="0" fontId="32" fillId="0" borderId="77" xfId="53" applyFont="1" applyBorder="1" applyAlignment="1">
      <alignment horizontal="left" vertical="center"/>
    </xf>
    <xf numFmtId="0" fontId="32" fillId="0" borderId="79" xfId="53" applyFont="1" applyBorder="1" applyAlignment="1">
      <alignment horizontal="left" vertical="center"/>
    </xf>
    <xf numFmtId="0" fontId="32" fillId="0" borderId="80" xfId="53" applyFont="1" applyBorder="1" applyAlignment="1">
      <alignment horizontal="left" vertical="center"/>
    </xf>
    <xf numFmtId="37" fontId="32" fillId="0" borderId="79" xfId="53" applyNumberFormat="1" applyFont="1" applyBorder="1" applyAlignment="1">
      <alignment horizontal="left" vertical="center"/>
    </xf>
    <xf numFmtId="37" fontId="32" fillId="0" borderId="80" xfId="53" applyNumberFormat="1" applyFont="1" applyBorder="1" applyAlignment="1">
      <alignment horizontal="left" vertical="center"/>
    </xf>
    <xf numFmtId="0" fontId="33" fillId="22" borderId="58" xfId="0" applyFont="1" applyFill="1" applyBorder="1" applyAlignment="1">
      <alignment horizontal="center" vertical="center"/>
    </xf>
    <xf numFmtId="0" fontId="33" fillId="22" borderId="59" xfId="0" applyFont="1" applyFill="1" applyBorder="1" applyAlignment="1">
      <alignment horizontal="center" vertical="center"/>
    </xf>
    <xf numFmtId="0" fontId="33" fillId="22" borderId="89" xfId="0" applyFont="1" applyFill="1" applyBorder="1" applyAlignment="1">
      <alignment horizontal="center" vertical="center"/>
    </xf>
    <xf numFmtId="37" fontId="32" fillId="0" borderId="84" xfId="53" applyNumberFormat="1" applyFont="1" applyBorder="1" applyAlignment="1">
      <alignment horizontal="left" vertical="center"/>
    </xf>
    <xf numFmtId="37" fontId="32" fillId="0" borderId="85" xfId="53" applyNumberFormat="1" applyFont="1" applyBorder="1" applyAlignment="1">
      <alignment horizontal="left" vertical="center"/>
    </xf>
    <xf numFmtId="37" fontId="33" fillId="0" borderId="86" xfId="53" applyNumberFormat="1" applyFont="1" applyBorder="1" applyAlignment="1">
      <alignment horizontal="left" vertical="center"/>
    </xf>
    <xf numFmtId="37" fontId="33" fillId="0" borderId="87" xfId="53" applyNumberFormat="1" applyFont="1" applyBorder="1" applyAlignment="1">
      <alignment horizontal="left" vertical="center"/>
    </xf>
    <xf numFmtId="0" fontId="32" fillId="21" borderId="57" xfId="0" applyFont="1" applyFill="1" applyBorder="1" applyAlignment="1">
      <alignment horizontal="center" vertical="center" wrapText="1"/>
    </xf>
    <xf numFmtId="0" fontId="32" fillId="21" borderId="60" xfId="0" applyFont="1" applyFill="1" applyBorder="1" applyAlignment="1">
      <alignment horizontal="center" vertical="center" wrapText="1"/>
    </xf>
    <xf numFmtId="0" fontId="33" fillId="22" borderId="97" xfId="0" applyFont="1" applyFill="1" applyBorder="1" applyAlignment="1">
      <alignment horizontal="center" vertical="center" wrapText="1"/>
    </xf>
    <xf numFmtId="0" fontId="39" fillId="22" borderId="98" xfId="0" applyFont="1" applyFill="1" applyBorder="1" applyAlignment="1">
      <alignment horizontal="center" vertical="center" wrapText="1"/>
    </xf>
    <xf numFmtId="0" fontId="33" fillId="21" borderId="57" xfId="0" applyFont="1" applyFill="1" applyBorder="1" applyAlignment="1">
      <alignment horizontal="center" vertical="center" wrapText="1"/>
    </xf>
    <xf numFmtId="0" fontId="33" fillId="21" borderId="60" xfId="0" applyFont="1" applyFill="1" applyBorder="1" applyAlignment="1">
      <alignment horizontal="center" vertical="center" wrapText="1"/>
    </xf>
    <xf numFmtId="0" fontId="33" fillId="0" borderId="70" xfId="53" applyFont="1" applyBorder="1" applyAlignment="1">
      <alignment horizontal="center" vertical="center"/>
    </xf>
    <xf numFmtId="0" fontId="33" fillId="0" borderId="35" xfId="53" applyFont="1" applyBorder="1" applyAlignment="1">
      <alignment horizontal="center" vertical="center"/>
    </xf>
    <xf numFmtId="0" fontId="33" fillId="0" borderId="72" xfId="53" applyFont="1" applyBorder="1" applyAlignment="1">
      <alignment horizontal="center" vertical="center"/>
    </xf>
    <xf numFmtId="0" fontId="33" fillId="0" borderId="73" xfId="53" applyFont="1" applyBorder="1" applyAlignment="1">
      <alignment horizontal="center" vertical="center"/>
    </xf>
    <xf numFmtId="174" fontId="33" fillId="26" borderId="71" xfId="53" applyNumberFormat="1" applyFont="1" applyFill="1" applyBorder="1" applyAlignment="1">
      <alignment horizontal="center" vertical="center"/>
    </xf>
    <xf numFmtId="174" fontId="33" fillId="26" borderId="35" xfId="53" applyNumberFormat="1" applyFont="1" applyFill="1" applyBorder="1" applyAlignment="1">
      <alignment horizontal="center" vertical="center"/>
    </xf>
    <xf numFmtId="0" fontId="25" fillId="0" borderId="0" xfId="0" applyFont="1" applyAlignment="1" applyProtection="1">
      <alignment horizontal="center" vertical="center"/>
      <protection locked="0"/>
    </xf>
    <xf numFmtId="0" fontId="15" fillId="0" borderId="37" xfId="0" applyFont="1" applyBorder="1" applyAlignment="1" applyProtection="1">
      <alignment horizontal="center" vertical="top"/>
      <protection locked="0"/>
    </xf>
    <xf numFmtId="0" fontId="8" fillId="14" borderId="40" xfId="0" applyFont="1" applyFill="1" applyBorder="1" applyAlignment="1">
      <alignment horizontal="center" vertical="center"/>
    </xf>
    <xf numFmtId="0" fontId="8" fillId="14" borderId="41" xfId="0" applyFont="1" applyFill="1" applyBorder="1" applyAlignment="1">
      <alignment horizontal="center" vertical="center"/>
    </xf>
    <xf numFmtId="0" fontId="8" fillId="14" borderId="42" xfId="0" applyFont="1" applyFill="1" applyBorder="1" applyAlignment="1">
      <alignment horizontal="center" vertical="center"/>
    </xf>
    <xf numFmtId="0" fontId="8" fillId="16" borderId="50" xfId="0" applyFont="1" applyFill="1" applyBorder="1" applyAlignment="1">
      <alignment horizontal="center" vertical="center"/>
    </xf>
    <xf numFmtId="0" fontId="8" fillId="16" borderId="51" xfId="0" applyFont="1" applyFill="1" applyBorder="1" applyAlignment="1">
      <alignment horizontal="center" vertical="center"/>
    </xf>
    <xf numFmtId="0" fontId="8" fillId="16" borderId="52" xfId="0" applyFont="1" applyFill="1" applyBorder="1" applyAlignment="1">
      <alignment horizontal="center" vertical="center"/>
    </xf>
    <xf numFmtId="0" fontId="8" fillId="17" borderId="51" xfId="0" applyFont="1" applyFill="1" applyBorder="1" applyAlignment="1">
      <alignment horizontal="center" vertical="center"/>
    </xf>
    <xf numFmtId="0" fontId="8" fillId="7" borderId="38" xfId="0" applyFont="1" applyFill="1" applyBorder="1" applyAlignment="1">
      <alignment horizontal="center" vertical="center"/>
    </xf>
    <xf numFmtId="0" fontId="8" fillId="7" borderId="43" xfId="0" applyFont="1" applyFill="1" applyBorder="1" applyAlignment="1">
      <alignment horizontal="center" vertical="center"/>
    </xf>
    <xf numFmtId="0" fontId="8" fillId="7" borderId="39" xfId="0" applyFont="1" applyFill="1" applyBorder="1" applyAlignment="1">
      <alignment horizontal="center" vertical="center"/>
    </xf>
    <xf numFmtId="0" fontId="8" fillId="7" borderId="44" xfId="0" applyFont="1" applyFill="1" applyBorder="1" applyAlignment="1">
      <alignment horizontal="center" vertical="center"/>
    </xf>
    <xf numFmtId="0" fontId="8" fillId="7" borderId="39" xfId="0" applyFont="1" applyFill="1" applyBorder="1" applyAlignment="1">
      <alignment horizontal="center" vertical="center" wrapText="1"/>
    </xf>
    <xf numFmtId="0" fontId="8" fillId="7" borderId="44" xfId="0" applyFont="1" applyFill="1" applyBorder="1" applyAlignment="1">
      <alignment horizontal="center" vertical="center" wrapText="1"/>
    </xf>
    <xf numFmtId="0" fontId="8" fillId="7" borderId="38" xfId="0" applyFont="1" applyFill="1" applyBorder="1" applyAlignment="1">
      <alignment horizontal="center" vertical="center" wrapText="1"/>
    </xf>
    <xf numFmtId="0" fontId="8" fillId="7" borderId="43" xfId="0" applyFont="1" applyFill="1" applyBorder="1" applyAlignment="1">
      <alignment horizontal="center" vertical="center" wrapText="1"/>
    </xf>
    <xf numFmtId="0" fontId="8" fillId="15" borderId="39" xfId="0" applyFont="1" applyFill="1" applyBorder="1" applyAlignment="1">
      <alignment horizontal="center" vertical="center" wrapText="1"/>
    </xf>
    <xf numFmtId="0" fontId="8" fillId="15" borderId="44" xfId="0" applyFont="1" applyFill="1" applyBorder="1" applyAlignment="1">
      <alignment horizontal="center" vertical="center" wrapText="1"/>
    </xf>
    <xf numFmtId="0" fontId="8" fillId="19" borderId="39" xfId="0" applyFont="1" applyFill="1" applyBorder="1" applyAlignment="1">
      <alignment horizontal="center" vertical="center" wrapText="1"/>
    </xf>
    <xf numFmtId="0" fontId="8" fillId="19" borderId="44" xfId="0" applyFont="1" applyFill="1" applyBorder="1" applyAlignment="1">
      <alignment horizontal="center" vertical="center" wrapText="1"/>
    </xf>
    <xf numFmtId="0" fontId="8" fillId="20" borderId="39" xfId="0" applyFont="1" applyFill="1" applyBorder="1" applyAlignment="1">
      <alignment horizontal="center" vertical="center" wrapText="1"/>
    </xf>
    <xf numFmtId="0" fontId="8" fillId="20" borderId="44" xfId="0" applyFont="1" applyFill="1" applyBorder="1" applyAlignment="1">
      <alignment horizontal="center" vertical="center" wrapText="1"/>
    </xf>
    <xf numFmtId="0" fontId="29" fillId="13" borderId="7" xfId="0" applyFont="1" applyFill="1" applyBorder="1" applyAlignment="1">
      <alignment horizontal="center" vertical="center"/>
    </xf>
    <xf numFmtId="0" fontId="29" fillId="13" borderId="11" xfId="0" applyFont="1" applyFill="1" applyBorder="1" applyAlignment="1">
      <alignment horizontal="center" vertical="center"/>
    </xf>
    <xf numFmtId="0" fontId="7" fillId="0" borderId="0" xfId="36" applyFont="1" applyAlignment="1">
      <alignment horizontal="center"/>
    </xf>
    <xf numFmtId="0" fontId="8" fillId="0" borderId="0" xfId="36" applyFont="1" applyAlignment="1">
      <alignment horizontal="center"/>
    </xf>
    <xf numFmtId="0" fontId="14" fillId="0" borderId="0" xfId="40" applyFont="1" applyAlignment="1" applyProtection="1">
      <alignment horizontal="center" vertical="center"/>
      <protection locked="0"/>
    </xf>
    <xf numFmtId="0" fontId="14" fillId="0" borderId="1" xfId="40" applyFont="1" applyBorder="1" applyAlignment="1" applyProtection="1">
      <alignment horizontal="center" vertical="center"/>
      <protection locked="0"/>
    </xf>
    <xf numFmtId="0" fontId="16" fillId="11" borderId="8" xfId="36" applyFont="1" applyFill="1" applyBorder="1" applyAlignment="1">
      <alignment horizontal="center" vertical="center"/>
    </xf>
    <xf numFmtId="0" fontId="16" fillId="11" borderId="14" xfId="36" applyFont="1" applyFill="1" applyBorder="1" applyAlignment="1">
      <alignment horizontal="center" vertical="center"/>
    </xf>
    <xf numFmtId="0" fontId="19" fillId="11" borderId="32" xfId="36" applyFont="1" applyFill="1" applyBorder="1" applyAlignment="1">
      <alignment horizontal="center" vertical="top"/>
    </xf>
    <xf numFmtId="0" fontId="19" fillId="11" borderId="33" xfId="36" applyFont="1" applyFill="1" applyBorder="1" applyAlignment="1">
      <alignment horizontal="center" vertical="top"/>
    </xf>
    <xf numFmtId="0" fontId="19" fillId="11" borderId="34" xfId="36" applyFont="1" applyFill="1" applyBorder="1" applyAlignment="1">
      <alignment horizontal="center" vertical="top"/>
    </xf>
    <xf numFmtId="0" fontId="21" fillId="0" borderId="0" xfId="36" applyFont="1" applyAlignment="1">
      <alignment horizontal="center"/>
    </xf>
    <xf numFmtId="0" fontId="16" fillId="11" borderId="2" xfId="36" applyFont="1" applyFill="1" applyBorder="1" applyAlignment="1">
      <alignment horizontal="center" vertical="center"/>
    </xf>
    <xf numFmtId="0" fontId="16" fillId="11" borderId="25" xfId="36" applyFont="1" applyFill="1" applyBorder="1" applyAlignment="1">
      <alignment horizontal="center" vertical="center"/>
    </xf>
    <xf numFmtId="0" fontId="18" fillId="0" borderId="27" xfId="36" applyFont="1" applyBorder="1" applyAlignment="1">
      <alignment horizontal="center" vertical="top"/>
    </xf>
    <xf numFmtId="0" fontId="18" fillId="0" borderId="5" xfId="36" applyFont="1" applyBorder="1" applyAlignment="1">
      <alignment horizontal="center" vertical="top"/>
    </xf>
    <xf numFmtId="0" fontId="18" fillId="0" borderId="25" xfId="36" applyFont="1" applyBorder="1" applyAlignment="1">
      <alignment horizontal="center" vertical="top"/>
    </xf>
    <xf numFmtId="0" fontId="18" fillId="0" borderId="3" xfId="36" applyFont="1" applyBorder="1" applyAlignment="1">
      <alignment horizontal="center" vertical="top"/>
    </xf>
    <xf numFmtId="0" fontId="18" fillId="0" borderId="27" xfId="36" applyFont="1" applyBorder="1" applyAlignment="1">
      <alignment horizontal="center" vertical="center" wrapText="1"/>
    </xf>
    <xf numFmtId="0" fontId="18" fillId="0" borderId="5" xfId="36" applyFont="1" applyBorder="1" applyAlignment="1">
      <alignment horizontal="center" vertical="center" wrapText="1"/>
    </xf>
    <xf numFmtId="0" fontId="18" fillId="0" borderId="25" xfId="36" applyFont="1" applyBorder="1" applyAlignment="1">
      <alignment horizontal="center" vertical="center" wrapText="1"/>
    </xf>
    <xf numFmtId="0" fontId="18" fillId="0" borderId="5" xfId="36" applyFont="1" applyBorder="1" applyAlignment="1">
      <alignment horizontal="center" vertical="center"/>
    </xf>
    <xf numFmtId="0" fontId="18" fillId="0" borderId="3" xfId="36" applyFont="1" applyBorder="1" applyAlignment="1">
      <alignment horizontal="center" vertical="center"/>
    </xf>
    <xf numFmtId="0" fontId="17" fillId="11" borderId="2" xfId="36" applyFont="1" applyFill="1" applyBorder="1" applyAlignment="1">
      <alignment horizontal="center" vertical="center" wrapText="1"/>
    </xf>
    <xf numFmtId="0" fontId="17" fillId="11" borderId="25" xfId="36" applyFont="1" applyFill="1" applyBorder="1" applyAlignment="1">
      <alignment horizontal="center" vertical="center" wrapText="1"/>
    </xf>
    <xf numFmtId="0" fontId="16" fillId="11" borderId="2" xfId="36" applyFont="1" applyFill="1" applyBorder="1" applyAlignment="1">
      <alignment horizontal="center" vertical="center" wrapText="1"/>
    </xf>
    <xf numFmtId="0" fontId="16" fillId="11" borderId="25" xfId="36" applyFont="1" applyFill="1" applyBorder="1" applyAlignment="1">
      <alignment horizontal="center" vertical="center" wrapText="1"/>
    </xf>
    <xf numFmtId="0" fontId="20" fillId="11" borderId="29" xfId="36" applyFont="1" applyFill="1" applyBorder="1" applyAlignment="1">
      <alignment horizontal="center" vertical="top"/>
    </xf>
    <xf numFmtId="0" fontId="20" fillId="11" borderId="31" xfId="36" applyFont="1" applyFill="1" applyBorder="1" applyAlignment="1">
      <alignment horizontal="center" vertical="top"/>
    </xf>
    <xf numFmtId="0" fontId="20" fillId="11" borderId="35" xfId="36" applyFont="1" applyFill="1" applyBorder="1" applyAlignment="1">
      <alignment horizontal="center" vertical="top"/>
    </xf>
    <xf numFmtId="0" fontId="20" fillId="11" borderId="36" xfId="36" applyFont="1" applyFill="1" applyBorder="1" applyAlignment="1">
      <alignment horizontal="center" vertical="top"/>
    </xf>
    <xf numFmtId="171" fontId="83" fillId="0" borderId="0" xfId="36" applyNumberFormat="1" applyAlignment="1">
      <alignment horizontal="center" vertical="center"/>
    </xf>
    <xf numFmtId="0" fontId="1" fillId="2" borderId="0" xfId="51" applyFont="1" applyFill="1" applyAlignment="1">
      <alignment horizontal="center" vertical="center"/>
    </xf>
    <xf numFmtId="0" fontId="7" fillId="2" borderId="1" xfId="51" applyFont="1" applyFill="1" applyBorder="1" applyAlignment="1">
      <alignment horizontal="center"/>
    </xf>
    <xf numFmtId="0" fontId="8" fillId="3" borderId="8" xfId="51" applyFont="1" applyFill="1" applyBorder="1" applyAlignment="1">
      <alignment horizontal="center" vertical="center" wrapText="1"/>
    </xf>
    <xf numFmtId="0" fontId="8" fillId="3" borderId="9" xfId="51" applyFont="1" applyFill="1" applyBorder="1" applyAlignment="1">
      <alignment horizontal="center" vertical="center" wrapText="1"/>
    </xf>
    <xf numFmtId="0" fontId="8" fillId="3" borderId="14" xfId="51" applyFont="1" applyFill="1" applyBorder="1" applyAlignment="1">
      <alignment horizontal="center" vertical="center" wrapText="1"/>
    </xf>
    <xf numFmtId="0" fontId="8" fillId="3" borderId="2" xfId="51" applyFont="1" applyFill="1" applyBorder="1" applyAlignment="1">
      <alignment horizontal="center" vertical="center" wrapText="1"/>
    </xf>
    <xf numFmtId="0" fontId="8" fillId="3" borderId="3" xfId="51" applyFont="1" applyFill="1" applyBorder="1" applyAlignment="1">
      <alignment horizontal="center" vertical="center" wrapText="1"/>
    </xf>
    <xf numFmtId="9" fontId="8" fillId="3" borderId="2" xfId="51" applyNumberFormat="1" applyFont="1" applyFill="1" applyBorder="1" applyAlignment="1">
      <alignment horizontal="center" vertical="center" wrapText="1"/>
    </xf>
    <xf numFmtId="9" fontId="8" fillId="3" borderId="3" xfId="51" applyNumberFormat="1" applyFont="1" applyFill="1" applyBorder="1" applyAlignment="1">
      <alignment horizontal="center" vertical="center" wrapText="1"/>
    </xf>
    <xf numFmtId="0" fontId="9" fillId="0" borderId="6" xfId="38" applyFont="1" applyBorder="1" applyAlignment="1">
      <alignment horizontal="left"/>
    </xf>
    <xf numFmtId="0" fontId="9" fillId="0" borderId="7" xfId="38" applyFont="1" applyBorder="1" applyAlignment="1">
      <alignment horizontal="left"/>
    </xf>
    <xf numFmtId="0" fontId="9" fillId="0" borderId="16" xfId="38" applyFont="1" applyBorder="1" applyAlignment="1">
      <alignment horizontal="left"/>
    </xf>
    <xf numFmtId="0" fontId="9" fillId="0" borderId="8" xfId="38" applyFont="1" applyBorder="1" applyAlignment="1">
      <alignment horizontal="left"/>
    </xf>
    <xf numFmtId="0" fontId="9" fillId="0" borderId="9" xfId="38" applyFont="1" applyBorder="1" applyAlignment="1">
      <alignment horizontal="left"/>
    </xf>
    <xf numFmtId="0" fontId="9" fillId="0" borderId="14" xfId="38" applyFont="1" applyBorder="1" applyAlignment="1">
      <alignment horizontal="left"/>
    </xf>
    <xf numFmtId="0" fontId="9" fillId="0" borderId="10" xfId="38" applyFont="1" applyBorder="1" applyAlignment="1">
      <alignment horizontal="left"/>
    </xf>
    <xf numFmtId="0" fontId="9" fillId="0" borderId="11" xfId="38" applyFont="1" applyBorder="1" applyAlignment="1">
      <alignment horizontal="left"/>
    </xf>
    <xf numFmtId="0" fontId="9" fillId="0" borderId="18" xfId="38" applyFont="1" applyBorder="1" applyAlignment="1">
      <alignment horizontal="left"/>
    </xf>
    <xf numFmtId="9" fontId="83" fillId="2" borderId="2" xfId="51" applyNumberFormat="1" applyFill="1" applyBorder="1" applyAlignment="1">
      <alignment horizontal="center"/>
    </xf>
    <xf numFmtId="9" fontId="83" fillId="2" borderId="3" xfId="51" applyNumberFormat="1" applyFill="1" applyBorder="1" applyAlignment="1">
      <alignment horizontal="center"/>
    </xf>
    <xf numFmtId="9" fontId="83" fillId="2" borderId="2" xfId="51" applyNumberFormat="1" applyFill="1" applyBorder="1" applyAlignment="1">
      <alignment horizontal="center" vertical="center"/>
    </xf>
    <xf numFmtId="9" fontId="83" fillId="2" borderId="3" xfId="51" applyNumberFormat="1" applyFill="1" applyBorder="1" applyAlignment="1">
      <alignment horizontal="center" vertical="center"/>
    </xf>
    <xf numFmtId="9" fontId="83" fillId="2" borderId="15" xfId="51" applyNumberFormat="1" applyFill="1" applyBorder="1" applyAlignment="1">
      <alignment horizontal="center" vertical="center"/>
    </xf>
    <xf numFmtId="0" fontId="83" fillId="2" borderId="2" xfId="51" applyFill="1" applyBorder="1" applyAlignment="1">
      <alignment horizontal="center" vertical="center"/>
    </xf>
    <xf numFmtId="0" fontId="83" fillId="2" borderId="5" xfId="51" applyFill="1" applyBorder="1" applyAlignment="1">
      <alignment horizontal="center" vertical="center"/>
    </xf>
    <xf numFmtId="0" fontId="83" fillId="2" borderId="3" xfId="51" applyFill="1" applyBorder="1" applyAlignment="1">
      <alignment horizontal="center" vertical="center"/>
    </xf>
    <xf numFmtId="0" fontId="83" fillId="2" borderId="2" xfId="51" applyFill="1" applyBorder="1" applyAlignment="1">
      <alignment horizontal="center" vertical="center" wrapText="1"/>
    </xf>
    <xf numFmtId="0" fontId="83" fillId="2" borderId="3" xfId="51" applyFill="1" applyBorder="1" applyAlignment="1">
      <alignment horizontal="center" vertical="center" wrapText="1"/>
    </xf>
    <xf numFmtId="0" fontId="83" fillId="2" borderId="5" xfId="51" applyFill="1" applyBorder="1" applyAlignment="1">
      <alignment horizontal="center" vertical="center" wrapText="1"/>
    </xf>
    <xf numFmtId="0" fontId="9" fillId="0" borderId="23" xfId="38" applyFont="1" applyBorder="1" applyAlignment="1">
      <alignment horizontal="left"/>
    </xf>
    <xf numFmtId="0" fontId="9" fillId="0" borderId="1" xfId="38" applyFont="1" applyBorder="1" applyAlignment="1">
      <alignment horizontal="left"/>
    </xf>
    <xf numFmtId="0" fontId="9" fillId="0" borderId="24" xfId="38" applyFont="1" applyBorder="1" applyAlignment="1">
      <alignment horizontal="left"/>
    </xf>
    <xf numFmtId="0" fontId="83" fillId="4" borderId="2" xfId="51" applyFill="1" applyBorder="1" applyAlignment="1">
      <alignment horizontal="center" vertical="center"/>
    </xf>
    <xf numFmtId="0" fontId="83" fillId="4" borderId="3" xfId="51" applyFill="1" applyBorder="1" applyAlignment="1">
      <alignment horizontal="center" vertical="center"/>
    </xf>
    <xf numFmtId="0" fontId="83" fillId="4" borderId="5" xfId="51" applyFill="1" applyBorder="1" applyAlignment="1">
      <alignment horizontal="center" vertical="center"/>
    </xf>
    <xf numFmtId="0" fontId="83" fillId="6" borderId="2" xfId="51" applyFill="1" applyBorder="1" applyAlignment="1">
      <alignment horizontal="center" vertical="center"/>
    </xf>
    <xf numFmtId="0" fontId="83" fillId="6" borderId="5" xfId="51" applyFill="1" applyBorder="1" applyAlignment="1">
      <alignment horizontal="center" vertical="center"/>
    </xf>
    <xf numFmtId="0" fontId="83" fillId="6" borderId="3" xfId="51" applyFill="1" applyBorder="1" applyAlignment="1">
      <alignment horizontal="center" vertical="center"/>
    </xf>
    <xf numFmtId="0" fontId="83" fillId="5" borderId="22" xfId="51" applyFill="1" applyBorder="1" applyAlignment="1">
      <alignment horizontal="left" vertical="center" wrapText="1"/>
    </xf>
    <xf numFmtId="0" fontId="83" fillId="5" borderId="3" xfId="51" applyFill="1" applyBorder="1" applyAlignment="1">
      <alignment horizontal="left" vertical="center" wrapText="1"/>
    </xf>
    <xf numFmtId="0" fontId="5" fillId="2" borderId="0" xfId="51" applyFont="1" applyFill="1" applyAlignment="1">
      <alignment horizontal="center" vertical="center"/>
    </xf>
  </cellXfs>
  <cellStyles count="62">
    <cellStyle name="Accent2 2" xfId="6" xr:uid="{00000000-0005-0000-0000-000031000000}"/>
    <cellStyle name="Bad" xfId="5" builtinId="27"/>
    <cellStyle name="Bad 2" xfId="7" xr:uid="{00000000-0005-0000-0000-000032000000}"/>
    <cellStyle name="Bad 2 2" xfId="8" xr:uid="{00000000-0005-0000-0000-000033000000}"/>
    <cellStyle name="Comma" xfId="1" builtinId="3"/>
    <cellStyle name="Comma [0]" xfId="3" builtinId="6"/>
    <cellStyle name="Comma [0] 2" xfId="9" xr:uid="{00000000-0005-0000-0000-000034000000}"/>
    <cellStyle name="Comma [0] 2 2 3 2 2 2 2 2 2 2" xfId="10" xr:uid="{00000000-0005-0000-0000-000035000000}"/>
    <cellStyle name="Comma 10 4 3 3 12 8" xfId="11" xr:uid="{00000000-0005-0000-0000-000036000000}"/>
    <cellStyle name="Comma 10 4 3 3 19" xfId="12" xr:uid="{00000000-0005-0000-0000-000037000000}"/>
    <cellStyle name="Comma 11" xfId="13" xr:uid="{00000000-0005-0000-0000-000038000000}"/>
    <cellStyle name="Comma 11 3" xfId="14" xr:uid="{00000000-0005-0000-0000-000039000000}"/>
    <cellStyle name="Comma 15 2" xfId="15" xr:uid="{00000000-0005-0000-0000-00003A000000}"/>
    <cellStyle name="Comma 15 2 3" xfId="16" xr:uid="{00000000-0005-0000-0000-00003B000000}"/>
    <cellStyle name="Comma 2" xfId="17" xr:uid="{00000000-0005-0000-0000-00003C000000}"/>
    <cellStyle name="Comma 2 2" xfId="18" xr:uid="{00000000-0005-0000-0000-00003D000000}"/>
    <cellStyle name="Comma 2 3" xfId="19" xr:uid="{00000000-0005-0000-0000-00003E000000}"/>
    <cellStyle name="Comma 2 45" xfId="20" xr:uid="{00000000-0005-0000-0000-00003F000000}"/>
    <cellStyle name="Comma 2 6" xfId="21" xr:uid="{00000000-0005-0000-0000-000040000000}"/>
    <cellStyle name="Comma 2_Stock Kantong" xfId="22" xr:uid="{00000000-0005-0000-0000-000041000000}"/>
    <cellStyle name="Comma 3" xfId="23" xr:uid="{00000000-0005-0000-0000-000042000000}"/>
    <cellStyle name="Comma 32 5" xfId="24" xr:uid="{00000000-0005-0000-0000-000043000000}"/>
    <cellStyle name="Comma 33" xfId="25" xr:uid="{00000000-0005-0000-0000-000044000000}"/>
    <cellStyle name="Comma 4" xfId="26" xr:uid="{00000000-0005-0000-0000-000045000000}"/>
    <cellStyle name="Comma 4 2 2 2 2 2 2 2" xfId="27" xr:uid="{00000000-0005-0000-0000-000046000000}"/>
    <cellStyle name="Comma 5 2 2 2 2 2 2" xfId="28" xr:uid="{00000000-0005-0000-0000-000047000000}"/>
    <cellStyle name="Currency 2 2 2 2 2" xfId="29" xr:uid="{00000000-0005-0000-0000-000048000000}"/>
    <cellStyle name="Excel Built-in Normal" xfId="30" xr:uid="{00000000-0005-0000-0000-000049000000}"/>
    <cellStyle name="Explanatory Text 2" xfId="31" xr:uid="{00000000-0005-0000-0000-00004A000000}"/>
    <cellStyle name="Good" xfId="4" builtinId="26"/>
    <cellStyle name="Good 2" xfId="32" xr:uid="{00000000-0005-0000-0000-00004B000000}"/>
    <cellStyle name="Good 2 2" xfId="33" xr:uid="{00000000-0005-0000-0000-00004C000000}"/>
    <cellStyle name="Normal" xfId="0" builtinId="0"/>
    <cellStyle name="Normal 10" xfId="34" xr:uid="{00000000-0005-0000-0000-00004D000000}"/>
    <cellStyle name="Normal 10 3" xfId="35" xr:uid="{00000000-0005-0000-0000-00004E000000}"/>
    <cellStyle name="Normal 19" xfId="36" xr:uid="{00000000-0005-0000-0000-00004F000000}"/>
    <cellStyle name="Normal 2" xfId="37" xr:uid="{00000000-0005-0000-0000-000050000000}"/>
    <cellStyle name="Normal 2 2 4 2 2 2 2 2 2 2" xfId="38" xr:uid="{00000000-0005-0000-0000-000051000000}"/>
    <cellStyle name="Normal 2 21" xfId="39" xr:uid="{00000000-0005-0000-0000-000052000000}"/>
    <cellStyle name="Normal 2 3" xfId="40" xr:uid="{00000000-0005-0000-0000-000053000000}"/>
    <cellStyle name="Normal 2 4" xfId="41" xr:uid="{00000000-0005-0000-0000-000054000000}"/>
    <cellStyle name="Normal 20" xfId="42" xr:uid="{00000000-0005-0000-0000-000055000000}"/>
    <cellStyle name="Normal 3" xfId="43" xr:uid="{00000000-0005-0000-0000-000056000000}"/>
    <cellStyle name="Normal 3 2" xfId="44" xr:uid="{00000000-0005-0000-0000-000057000000}"/>
    <cellStyle name="Normal 3 3 2 2 2 2 2 2 2" xfId="45" xr:uid="{00000000-0005-0000-0000-000058000000}"/>
    <cellStyle name="Normal 3_Stock Kantong" xfId="46" xr:uid="{00000000-0005-0000-0000-000059000000}"/>
    <cellStyle name="Normal 32 5" xfId="47" xr:uid="{00000000-0005-0000-0000-00005A000000}"/>
    <cellStyle name="Normal 33" xfId="48" xr:uid="{00000000-0005-0000-0000-00005B000000}"/>
    <cellStyle name="Normal 4" xfId="49" xr:uid="{00000000-0005-0000-0000-00005C000000}"/>
    <cellStyle name="Normal 5" xfId="50" xr:uid="{00000000-0005-0000-0000-00005D000000}"/>
    <cellStyle name="Normal 5 2 2 2 2 2 2 2" xfId="51" xr:uid="{00000000-0005-0000-0000-00005E000000}"/>
    <cellStyle name="Normal 9 4 3 3 19" xfId="52" xr:uid="{00000000-0005-0000-0000-00005F000000}"/>
    <cellStyle name="Normal_Sheet1" xfId="53" xr:uid="{00000000-0005-0000-0000-000060000000}"/>
    <cellStyle name="Percent" xfId="2" builtinId="5"/>
    <cellStyle name="Percent 17" xfId="54" xr:uid="{00000000-0005-0000-0000-000061000000}"/>
    <cellStyle name="Percent 2" xfId="55" xr:uid="{00000000-0005-0000-0000-000062000000}"/>
    <cellStyle name="Percent 2 2" xfId="56" xr:uid="{00000000-0005-0000-0000-000063000000}"/>
    <cellStyle name="Percent 2 2 2" xfId="57" xr:uid="{00000000-0005-0000-0000-000064000000}"/>
    <cellStyle name="Percent 38 5" xfId="58" xr:uid="{00000000-0005-0000-0000-000065000000}"/>
    <cellStyle name="Percent 39" xfId="59" xr:uid="{00000000-0005-0000-0000-000066000000}"/>
    <cellStyle name="Style 1" xfId="60" xr:uid="{00000000-0005-0000-0000-000067000000}"/>
    <cellStyle name="TableStyleLight1" xfId="61" xr:uid="{00000000-0005-0000-0000-000068000000}"/>
  </cellStyles>
  <dxfs count="50">
    <dxf>
      <fill>
        <patternFill patternType="solid">
          <bgColor rgb="FFFFFF00"/>
        </patternFill>
      </fill>
    </dxf>
    <dxf>
      <font>
        <color theme="1"/>
      </font>
      <fill>
        <patternFill patternType="solid">
          <bgColor rgb="FF92D05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auto="1"/>
      </font>
      <fill>
        <patternFill patternType="solid">
          <bgColor rgb="FF00B050"/>
        </patternFill>
      </fill>
    </dxf>
    <dxf>
      <fill>
        <patternFill patternType="solid">
          <bgColor rgb="FFFFFF00"/>
        </patternFill>
      </fill>
    </dxf>
    <dxf>
      <font>
        <color theme="1"/>
      </font>
      <fill>
        <patternFill patternType="solid">
          <bgColor rgb="FF92D05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auto="1"/>
      </font>
      <fill>
        <patternFill patternType="solid">
          <bgColor rgb="FF00B050"/>
        </patternFill>
      </fill>
    </dxf>
    <dxf>
      <fill>
        <patternFill patternType="solid">
          <bgColor rgb="FFFFFF00"/>
        </patternFill>
      </fill>
    </dxf>
    <dxf>
      <font>
        <color theme="1"/>
      </font>
      <fill>
        <patternFill patternType="solid">
          <bgColor rgb="FF92D05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auto="1"/>
      </font>
      <fill>
        <patternFill patternType="solid">
          <bgColor rgb="FF00B050"/>
        </patternFill>
      </fill>
    </dxf>
    <dxf>
      <fill>
        <patternFill patternType="solid">
          <bgColor rgb="FFFFFF00"/>
        </patternFill>
      </fill>
    </dxf>
    <dxf>
      <font>
        <color theme="1"/>
      </font>
      <fill>
        <patternFill patternType="solid">
          <bgColor rgb="FF92D05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auto="1"/>
      </font>
      <fill>
        <patternFill patternType="solid">
          <bgColor rgb="FF00B050"/>
        </patternFill>
      </fill>
    </dxf>
    <dxf>
      <fill>
        <patternFill patternType="solid">
          <bgColor rgb="FFFFFF00"/>
        </patternFill>
      </fill>
    </dxf>
    <dxf>
      <font>
        <color theme="1"/>
      </font>
      <fill>
        <patternFill patternType="solid">
          <bgColor rgb="FF92D05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auto="1"/>
      </font>
      <fill>
        <patternFill patternType="solid">
          <bgColor rgb="FF00B050"/>
        </patternFill>
      </fill>
    </dxf>
    <dxf>
      <fill>
        <patternFill patternType="solid">
          <bgColor rgb="FFFFFF00"/>
        </patternFill>
      </fill>
    </dxf>
    <dxf>
      <font>
        <color theme="1"/>
      </font>
      <fill>
        <patternFill patternType="solid">
          <bgColor rgb="FF92D05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auto="1"/>
      </font>
      <fill>
        <patternFill patternType="solid">
          <bgColor rgb="FF00B050"/>
        </patternFill>
      </fill>
    </dxf>
    <dxf>
      <fill>
        <patternFill patternType="solid">
          <bgColor rgb="FFFFFF00"/>
        </patternFill>
      </fill>
    </dxf>
    <dxf>
      <font>
        <color theme="1"/>
      </font>
      <fill>
        <patternFill patternType="solid">
          <bgColor rgb="FF92D05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auto="1"/>
      </font>
      <fill>
        <patternFill patternType="solid">
          <bgColor rgb="FF00B05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auto="1"/>
      </font>
      <fill>
        <patternFill patternType="solid">
          <bgColor rgb="FF00B050"/>
        </patternFill>
      </fill>
    </dxf>
    <dxf>
      <fill>
        <patternFill patternType="solid">
          <bgColor rgb="FFFFFF00"/>
        </patternFill>
      </fill>
    </dxf>
    <dxf>
      <font>
        <color theme="1"/>
      </font>
      <fill>
        <patternFill patternType="solid">
          <bgColor rgb="FF92D05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auto="1"/>
      </font>
      <fill>
        <patternFill patternType="solid">
          <bgColor rgb="FF00B050"/>
        </patternFill>
      </fill>
    </dxf>
    <dxf>
      <fill>
        <patternFill patternType="solid">
          <bgColor rgb="FFFFFF00"/>
        </patternFill>
      </fill>
    </dxf>
    <dxf>
      <font>
        <color theme="1"/>
      </font>
      <fill>
        <patternFill patternType="solid">
          <bgColor rgb="FF92D05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auto="1"/>
      </font>
      <fill>
        <patternFill patternType="solid">
          <bgColor rgb="FF00B050"/>
        </patternFill>
      </fill>
    </dxf>
    <dxf>
      <fill>
        <patternFill patternType="solid">
          <bgColor rgb="FFFFFF00"/>
        </patternFill>
      </fill>
    </dxf>
    <dxf>
      <font>
        <color theme="1"/>
      </font>
      <fill>
        <patternFill patternType="solid">
          <bgColor rgb="FF92D05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auto="1"/>
      </font>
      <fill>
        <patternFill patternType="solid">
          <bgColor rgb="FF00B05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auto="1"/>
      </font>
      <fill>
        <patternFill patternType="solid">
          <bgColor rgb="FF00B05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auto="1"/>
      </font>
      <fill>
        <patternFill patternType="solid">
          <bgColor rgb="FF00B05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auto="1"/>
      </font>
      <fill>
        <patternFill patternType="solid">
          <bgColor rgb="FF00B05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auto="1"/>
      </font>
      <fill>
        <patternFill patternType="solid">
          <bgColor rgb="FF00B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www.wps.cn/officeDocument/2023/relationships/customStorage" Target="customStorage/customStorage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8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/>
              <a:t>PP</a:t>
            </a:r>
            <a:r>
              <a:rPr lang="id-ID" sz="1800" b="1"/>
              <a:t>.</a:t>
            </a:r>
            <a:r>
              <a:rPr lang="id-ID" sz="1800" b="1" baseline="0"/>
              <a:t> Makassar</a:t>
            </a:r>
            <a:endParaRPr lang="en-US" sz="1800" b="1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9.9301929162688596E-2"/>
          <c:y val="0.118215139442232"/>
          <c:w val="0.88177334833970999"/>
          <c:h val="0.67134061190489902"/>
        </c:manualLayout>
      </c:layout>
      <c:barChart>
        <c:barDir val="col"/>
        <c:grouping val="stacked"/>
        <c:varyColors val="0"/>
        <c:ser>
          <c:idx val="2"/>
          <c:order val="2"/>
          <c:tx>
            <c:strRef>
              <c:f>'Downtime Packer'!$E$5</c:f>
              <c:strCache>
                <c:ptCount val="1"/>
                <c:pt idx="0">
                  <c:v>Istirahat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'Downtime Packer'!$E$6:$E$67</c:f>
              <c:numCache>
                <c:formatCode>General</c:formatCode>
                <c:ptCount val="62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  <c:pt idx="24">
                  <c:v>2</c:v>
                </c:pt>
                <c:pt idx="25">
                  <c:v>2</c:v>
                </c:pt>
                <c:pt idx="26">
                  <c:v>2</c:v>
                </c:pt>
                <c:pt idx="27">
                  <c:v>2</c:v>
                </c:pt>
                <c:pt idx="28">
                  <c:v>2</c:v>
                </c:pt>
                <c:pt idx="29">
                  <c:v>2</c:v>
                </c:pt>
                <c:pt idx="30">
                  <c:v>2</c:v>
                </c:pt>
                <c:pt idx="31">
                  <c:v>2</c:v>
                </c:pt>
                <c:pt idx="32">
                  <c:v>2</c:v>
                </c:pt>
                <c:pt idx="33">
                  <c:v>2</c:v>
                </c:pt>
                <c:pt idx="34">
                  <c:v>2</c:v>
                </c:pt>
                <c:pt idx="35">
                  <c:v>2</c:v>
                </c:pt>
                <c:pt idx="36">
                  <c:v>2</c:v>
                </c:pt>
                <c:pt idx="37">
                  <c:v>2</c:v>
                </c:pt>
                <c:pt idx="38">
                  <c:v>2</c:v>
                </c:pt>
                <c:pt idx="39">
                  <c:v>2</c:v>
                </c:pt>
                <c:pt idx="40">
                  <c:v>2</c:v>
                </c:pt>
                <c:pt idx="41">
                  <c:v>2</c:v>
                </c:pt>
                <c:pt idx="42">
                  <c:v>2</c:v>
                </c:pt>
                <c:pt idx="43">
                  <c:v>2</c:v>
                </c:pt>
                <c:pt idx="44">
                  <c:v>2</c:v>
                </c:pt>
                <c:pt idx="45">
                  <c:v>2</c:v>
                </c:pt>
                <c:pt idx="46">
                  <c:v>2</c:v>
                </c:pt>
                <c:pt idx="47">
                  <c:v>2</c:v>
                </c:pt>
                <c:pt idx="48">
                  <c:v>2</c:v>
                </c:pt>
                <c:pt idx="49">
                  <c:v>2</c:v>
                </c:pt>
                <c:pt idx="50">
                  <c:v>2</c:v>
                </c:pt>
                <c:pt idx="51">
                  <c:v>2</c:v>
                </c:pt>
                <c:pt idx="52">
                  <c:v>2</c:v>
                </c:pt>
                <c:pt idx="53">
                  <c:v>2</c:v>
                </c:pt>
                <c:pt idx="54">
                  <c:v>2</c:v>
                </c:pt>
                <c:pt idx="55">
                  <c:v>2</c:v>
                </c:pt>
                <c:pt idx="56">
                  <c:v>2</c:v>
                </c:pt>
                <c:pt idx="57">
                  <c:v>2</c:v>
                </c:pt>
                <c:pt idx="58">
                  <c:v>2</c:v>
                </c:pt>
                <c:pt idx="59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CE9-4FD0-A4D3-A7FEA34F7430}"/>
            </c:ext>
          </c:extLst>
        </c:ser>
        <c:ser>
          <c:idx val="3"/>
          <c:order val="3"/>
          <c:tx>
            <c:strRef>
              <c:f>'Downtime Packer'!#REF!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'Downtime Packer'!#REF!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CE9-4FD0-A4D3-A7FEA34F7430}"/>
            </c:ext>
          </c:extLst>
        </c:ser>
        <c:ser>
          <c:idx val="4"/>
          <c:order val="4"/>
          <c:tx>
            <c:strRef>
              <c:f>'Downtime Packer'!$F$5</c:f>
              <c:strCache>
                <c:ptCount val="1"/>
                <c:pt idx="0">
                  <c:v>Jam Efektif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'Downtime Packer'!$F$6:$F$67</c:f>
              <c:numCache>
                <c:formatCode>0.00</c:formatCode>
                <c:ptCount val="6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12.750000000116399</c:v>
                </c:pt>
                <c:pt idx="6">
                  <c:v>-5.8211213627146195E-11</c:v>
                </c:pt>
                <c:pt idx="7">
                  <c:v>12.583333332557199</c:v>
                </c:pt>
                <c:pt idx="8">
                  <c:v>5.58333333593328</c:v>
                </c:pt>
                <c:pt idx="9">
                  <c:v>5.9166666675591797</c:v>
                </c:pt>
                <c:pt idx="10">
                  <c:v>8.14900147361186E-10</c:v>
                </c:pt>
                <c:pt idx="11">
                  <c:v>8.14900147361186E-10</c:v>
                </c:pt>
                <c:pt idx="12">
                  <c:v>12.1666666671517</c:v>
                </c:pt>
                <c:pt idx="13">
                  <c:v>12.999999999883601</c:v>
                </c:pt>
                <c:pt idx="14">
                  <c:v>8.14900147361186E-10</c:v>
                </c:pt>
                <c:pt idx="15">
                  <c:v>12.9166666662786</c:v>
                </c:pt>
                <c:pt idx="16">
                  <c:v>-5.82005554861098E-11</c:v>
                </c:pt>
                <c:pt idx="17">
                  <c:v>13.0833333306946</c:v>
                </c:pt>
                <c:pt idx="18">
                  <c:v>8.0833333351765795</c:v>
                </c:pt>
                <c:pt idx="19">
                  <c:v>6.9166666666278598</c:v>
                </c:pt>
                <c:pt idx="20">
                  <c:v>9.8333333326736394</c:v>
                </c:pt>
                <c:pt idx="21">
                  <c:v>11.0000000017462</c:v>
                </c:pt>
                <c:pt idx="22">
                  <c:v>8.1490725278854401E-10</c:v>
                </c:pt>
                <c:pt idx="23">
                  <c:v>12.749999999068701</c:v>
                </c:pt>
                <c:pt idx="24">
                  <c:v>12.166666666627901</c:v>
                </c:pt>
                <c:pt idx="25">
                  <c:v>12.249999998835801</c:v>
                </c:pt>
                <c:pt idx="26">
                  <c:v>12.250000000058201</c:v>
                </c:pt>
                <c:pt idx="27">
                  <c:v>12.9166666695965</c:v>
                </c:pt>
                <c:pt idx="28">
                  <c:v>8.1490725278854401E-10</c:v>
                </c:pt>
                <c:pt idx="29">
                  <c:v>12.749999999068701</c:v>
                </c:pt>
                <c:pt idx="30">
                  <c:v>8.1490725278854401E-10</c:v>
                </c:pt>
                <c:pt idx="31">
                  <c:v>12.499999999126899</c:v>
                </c:pt>
                <c:pt idx="32">
                  <c:v>8.14900147361186E-10</c:v>
                </c:pt>
                <c:pt idx="33">
                  <c:v>12.3333333324408</c:v>
                </c:pt>
                <c:pt idx="34">
                  <c:v>-5.82005554861098E-11</c:v>
                </c:pt>
                <c:pt idx="35">
                  <c:v>3.08333333494374</c:v>
                </c:pt>
                <c:pt idx="36">
                  <c:v>0</c:v>
                </c:pt>
                <c:pt idx="37">
                  <c:v>0</c:v>
                </c:pt>
                <c:pt idx="38">
                  <c:v>7.4999999990686703</c:v>
                </c:pt>
                <c:pt idx="39">
                  <c:v>4.4166666658129499</c:v>
                </c:pt>
                <c:pt idx="40">
                  <c:v>-5.82005554861098E-11</c:v>
                </c:pt>
                <c:pt idx="41">
                  <c:v>11.3333333316259</c:v>
                </c:pt>
                <c:pt idx="42">
                  <c:v>-5.82005554861098E-11</c:v>
                </c:pt>
                <c:pt idx="43">
                  <c:v>-5.82005554861098E-11</c:v>
                </c:pt>
                <c:pt idx="44">
                  <c:v>-5.82005554861098E-11</c:v>
                </c:pt>
                <c:pt idx="45">
                  <c:v>12.3333333326154</c:v>
                </c:pt>
                <c:pt idx="46">
                  <c:v>12.2499999991851</c:v>
                </c:pt>
                <c:pt idx="47">
                  <c:v>13.249999998952299</c:v>
                </c:pt>
                <c:pt idx="48">
                  <c:v>6.8333333333721402</c:v>
                </c:pt>
                <c:pt idx="49">
                  <c:v>13.250000000873101</c:v>
                </c:pt>
                <c:pt idx="50">
                  <c:v>0</c:v>
                </c:pt>
                <c:pt idx="51">
                  <c:v>13.3</c:v>
                </c:pt>
                <c:pt idx="52">
                  <c:v>8.1490725278854401E-10</c:v>
                </c:pt>
                <c:pt idx="53">
                  <c:v>13.249999996856801</c:v>
                </c:pt>
                <c:pt idx="54">
                  <c:v>12.7499999983702</c:v>
                </c:pt>
                <c:pt idx="55">
                  <c:v>12.9999999991851</c:v>
                </c:pt>
                <c:pt idx="56">
                  <c:v>10.666666666627901</c:v>
                </c:pt>
                <c:pt idx="57">
                  <c:v>13.000000001280601</c:v>
                </c:pt>
                <c:pt idx="58">
                  <c:v>11.8333333318587</c:v>
                </c:pt>
                <c:pt idx="59">
                  <c:v>11.916666667209901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CE9-4FD0-A4D3-A7FEA34F7430}"/>
            </c:ext>
          </c:extLst>
        </c:ser>
        <c:ser>
          <c:idx val="5"/>
          <c:order val="5"/>
          <c:tx>
            <c:strRef>
              <c:f>'Downtime Packer'!$G$5</c:f>
              <c:strCache>
                <c:ptCount val="1"/>
                <c:pt idx="0">
                  <c:v>Mekanikal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val>
            <c:numRef>
              <c:f>'Downtime Packer'!$G$6:$G$67</c:f>
              <c:numCache>
                <c:formatCode>General</c:formatCode>
                <c:ptCount val="62"/>
              </c:numCache>
            </c:numRef>
          </c:val>
          <c:extLst>
            <c:ext xmlns:c16="http://schemas.microsoft.com/office/drawing/2014/chart" uri="{C3380CC4-5D6E-409C-BE32-E72D297353CC}">
              <c16:uniqueId val="{00000003-9CE9-4FD0-A4D3-A7FEA34F7430}"/>
            </c:ext>
          </c:extLst>
        </c:ser>
        <c:ser>
          <c:idx val="6"/>
          <c:order val="6"/>
          <c:tx>
            <c:strRef>
              <c:f>'Downtime Packer'!$H$5</c:f>
              <c:strCache>
                <c:ptCount val="1"/>
                <c:pt idx="0">
                  <c:v>Proses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val>
            <c:numRef>
              <c:f>'Downtime Packer'!$H$6:$H$67</c:f>
              <c:numCache>
                <c:formatCode>General</c:formatCode>
                <c:ptCount val="62"/>
              </c:numCache>
            </c:numRef>
          </c:val>
          <c:extLst>
            <c:ext xmlns:c16="http://schemas.microsoft.com/office/drawing/2014/chart" uri="{C3380CC4-5D6E-409C-BE32-E72D297353CC}">
              <c16:uniqueId val="{00000004-9CE9-4FD0-A4D3-A7FEA34F7430}"/>
            </c:ext>
          </c:extLst>
        </c:ser>
        <c:ser>
          <c:idx val="7"/>
          <c:order val="7"/>
          <c:tx>
            <c:strRef>
              <c:f>'Downtime Packer'!$I$5</c:f>
              <c:strCache>
                <c:ptCount val="1"/>
                <c:pt idx="0">
                  <c:v>Elect &amp; Instr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'Downtime Packer'!$I$6:$I$67</c:f>
              <c:numCache>
                <c:formatCode>General</c:formatCode>
                <c:ptCount val="62"/>
              </c:numCache>
            </c:numRef>
          </c:val>
          <c:extLst>
            <c:ext xmlns:c16="http://schemas.microsoft.com/office/drawing/2014/chart" uri="{C3380CC4-5D6E-409C-BE32-E72D297353CC}">
              <c16:uniqueId val="{00000005-9CE9-4FD0-A4D3-A7FEA34F7430}"/>
            </c:ext>
          </c:extLst>
        </c:ser>
        <c:ser>
          <c:idx val="8"/>
          <c:order val="8"/>
          <c:tx>
            <c:strRef>
              <c:f>'Downtime Packer'!$J$5</c:f>
              <c:strCache>
                <c:ptCount val="1"/>
                <c:pt idx="0">
                  <c:v>DO/NA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val>
            <c:numRef>
              <c:f>'Downtime Packer'!$J$6:$J$67</c:f>
              <c:numCache>
                <c:formatCode>_(* #,##0.00_);_(* \(#,##0.00\);_(* "-"??_);_(@_)</c:formatCode>
                <c:ptCount val="62"/>
                <c:pt idx="0" formatCode="_(* #,##0.00_);_(* \(#,##0.00\);_(* &quot;-&quot;_);_(@_)">
                  <c:v>14</c:v>
                </c:pt>
                <c:pt idx="1">
                  <c:v>14</c:v>
                </c:pt>
                <c:pt idx="2">
                  <c:v>14</c:v>
                </c:pt>
                <c:pt idx="3">
                  <c:v>14</c:v>
                </c:pt>
                <c:pt idx="4">
                  <c:v>14</c:v>
                </c:pt>
                <c:pt idx="6">
                  <c:v>4.0000000008149099</c:v>
                </c:pt>
                <c:pt idx="7">
                  <c:v>0</c:v>
                </c:pt>
                <c:pt idx="14" formatCode="_(* #,##0.00_);_(* \(#,##0.00\);_(* &quot;-&quot;_);_(@_)">
                  <c:v>13.9999999991851</c:v>
                </c:pt>
                <c:pt idx="16" formatCode="_-* #,##0.00_-;\-* #,##0.00_-;_-* &quot;-&quot;??_-;_-@_-">
                  <c:v>14.000000000058201</c:v>
                </c:pt>
                <c:pt idx="18">
                  <c:v>4.9999999991850901</c:v>
                </c:pt>
                <c:pt idx="19">
                  <c:v>7.0000000008149099</c:v>
                </c:pt>
                <c:pt idx="20" formatCode="_-* #,##0.00_-;\-* #,##0.00_-;_-* &quot;-&quot;??_-;_-@_-">
                  <c:v>2.6666666666278598</c:v>
                </c:pt>
                <c:pt idx="21">
                  <c:v>2.6666666666278598</c:v>
                </c:pt>
                <c:pt idx="22">
                  <c:v>6</c:v>
                </c:pt>
                <c:pt idx="24">
                  <c:v>0</c:v>
                </c:pt>
                <c:pt idx="25" formatCode="_(* #,##0.00_);_(* \(#,##0.00\);_(* &quot;-&quot;_);_(@_)">
                  <c:v>0</c:v>
                </c:pt>
                <c:pt idx="26" formatCode="_-* #,##0.00_-;\-* #,##0.00_-;_-* &quot;-&quot;??_-;_-@_-">
                  <c:v>0</c:v>
                </c:pt>
                <c:pt idx="27">
                  <c:v>0</c:v>
                </c:pt>
                <c:pt idx="28">
                  <c:v>13.9999999991851</c:v>
                </c:pt>
                <c:pt idx="29">
                  <c:v>0.49999999918509302</c:v>
                </c:pt>
                <c:pt idx="30">
                  <c:v>13.9999999991851</c:v>
                </c:pt>
                <c:pt idx="31">
                  <c:v>0.99999999994179201</c:v>
                </c:pt>
                <c:pt idx="32">
                  <c:v>13.9999999991851</c:v>
                </c:pt>
                <c:pt idx="33">
                  <c:v>0.99999999994179201</c:v>
                </c:pt>
                <c:pt idx="34">
                  <c:v>14.000000000058201</c:v>
                </c:pt>
                <c:pt idx="35">
                  <c:v>9.9999999983701908</c:v>
                </c:pt>
                <c:pt idx="36">
                  <c:v>14</c:v>
                </c:pt>
                <c:pt idx="37">
                  <c:v>14</c:v>
                </c:pt>
                <c:pt idx="38" formatCode="_-* #,##0.00_-;\-* #,##0.00_-;_-* &quot;-&quot;??_-;_-@_-">
                  <c:v>4.5</c:v>
                </c:pt>
                <c:pt idx="39">
                  <c:v>9.5000000007566996</c:v>
                </c:pt>
                <c:pt idx="40" formatCode="_(* #,##0.00_);_(* \(#,##0.00\);_(* &quot;-&quot;_);_(@_)">
                  <c:v>14.000000000058201</c:v>
                </c:pt>
                <c:pt idx="41">
                  <c:v>1.5</c:v>
                </c:pt>
                <c:pt idx="42">
                  <c:v>14.000000000058201</c:v>
                </c:pt>
                <c:pt idx="43">
                  <c:v>14.000000000058201</c:v>
                </c:pt>
                <c:pt idx="44" formatCode="_-* #,##0.00_-;\-* #,##0.00_-;_-* &quot;-&quot;??_-;_-@_-">
                  <c:v>14.000000000058201</c:v>
                </c:pt>
                <c:pt idx="45">
                  <c:v>0</c:v>
                </c:pt>
                <c:pt idx="48" formatCode="_-* #,##0.00_-;\-* #,##0.00_-;_-* &quot;-&quot;??.0_-;_-@_-">
                  <c:v>7.0000000008149099</c:v>
                </c:pt>
                <c:pt idx="50" formatCode="_-* #,##0.00_-;\-* #,##0.00_-;_-* &quot;-&quot;??_-;_-@_-">
                  <c:v>14</c:v>
                </c:pt>
                <c:pt idx="52">
                  <c:v>13.9999999991851</c:v>
                </c:pt>
                <c:pt idx="56">
                  <c:v>2.5000000008149099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CE9-4FD0-A4D3-A7FEA34F7430}"/>
            </c:ext>
          </c:extLst>
        </c:ser>
        <c:ser>
          <c:idx val="9"/>
          <c:order val="9"/>
          <c:tx>
            <c:strRef>
              <c:f>'Downtime Packer'!$K$5</c:f>
              <c:strCache>
                <c:ptCount val="1"/>
                <c:pt idx="0">
                  <c:v>SO Admin/BG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val>
            <c:numRef>
              <c:f>'Downtime Packer'!$K$6:$K$67</c:f>
              <c:numCache>
                <c:formatCode>_(* #,##0.00_);_(* \(#,##0.00\);_(* "-"??_);_(@_)</c:formatCode>
                <c:ptCount val="62"/>
              </c:numCache>
            </c:numRef>
          </c:val>
          <c:extLst>
            <c:ext xmlns:c16="http://schemas.microsoft.com/office/drawing/2014/chart" uri="{C3380CC4-5D6E-409C-BE32-E72D297353CC}">
              <c16:uniqueId val="{00000007-9CE9-4FD0-A4D3-A7FEA34F7430}"/>
            </c:ext>
          </c:extLst>
        </c:ser>
        <c:ser>
          <c:idx val="10"/>
          <c:order val="10"/>
          <c:tx>
            <c:strRef>
              <c:f>'Downtime Packer'!$L$5</c:f>
              <c:strCache>
                <c:ptCount val="1"/>
                <c:pt idx="0">
                  <c:v>Ship N/A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val>
            <c:numRef>
              <c:f>'Downtime Packer'!$L$6:$L$67</c:f>
              <c:numCache>
                <c:formatCode>_(* #,##0.00_);_(* \(#,##0.00\);_(* "-"_);_(@_)</c:formatCode>
                <c:ptCount val="62"/>
              </c:numCache>
            </c:numRef>
          </c:val>
          <c:extLst>
            <c:ext xmlns:c16="http://schemas.microsoft.com/office/drawing/2014/chart" uri="{C3380CC4-5D6E-409C-BE32-E72D297353CC}">
              <c16:uniqueId val="{00000008-9CE9-4FD0-A4D3-A7FEA34F7430}"/>
            </c:ext>
          </c:extLst>
        </c:ser>
        <c:ser>
          <c:idx val="11"/>
          <c:order val="11"/>
          <c:tx>
            <c:strRef>
              <c:f>'Downtime Packer'!$N$5</c:f>
              <c:strCache>
                <c:ptCount val="1"/>
                <c:pt idx="0">
                  <c:v>Idle truck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val>
            <c:numRef>
              <c:f>'Downtime Packer'!$N$6:$N$67</c:f>
              <c:numCache>
                <c:formatCode>_(* #,##0.00_);_(* \(#,##0.00\);_(* "-"_);_(@_)</c:formatCode>
                <c:ptCount val="62"/>
                <c:pt idx="5">
                  <c:v>0.24999999906867701</c:v>
                </c:pt>
                <c:pt idx="7" formatCode="0.00">
                  <c:v>0.24999999994179201</c:v>
                </c:pt>
                <c:pt idx="8">
                  <c:v>0.24999999819556301</c:v>
                </c:pt>
                <c:pt idx="9" formatCode="_(* #,##0.00_);_(* \(#,##0.00\);_(* &quot;-&quot;??_);_(@_)">
                  <c:v>0.16666666651144599</c:v>
                </c:pt>
                <c:pt idx="12">
                  <c:v>0.33333333197515502</c:v>
                </c:pt>
                <c:pt idx="13" formatCode="_(* #,##0.00_);_(* \(#,##0.00\);_(* &quot;-&quot;??_);_(@_)">
                  <c:v>0.24999999924329999</c:v>
                </c:pt>
                <c:pt idx="15" formatCode="_(* #,##0.00_);_(* \(#,##0.00\);_(* &quot;-&quot;??_);_(@_)">
                  <c:v>0.24999999959254601</c:v>
                </c:pt>
                <c:pt idx="17" formatCode="_(* #,##0.00_);_(* \(#,##0.00\);_(* &quot;-&quot;??_);_(@_)">
                  <c:v>0.25000000186264498</c:v>
                </c:pt>
                <c:pt idx="18" formatCode="_(* #,##0.00_);_(* \(#,##0.00\);_(* &quot;-&quot;??_);_(@_)">
                  <c:v>0.24999999819556301</c:v>
                </c:pt>
                <c:pt idx="19" formatCode="_(* #,##0.00_);_(* \(#,##0.00\);_(* &quot;-&quot;??_);_(@_)">
                  <c:v>8.3333332557231202E-2</c:v>
                </c:pt>
                <c:pt idx="20" formatCode="0.00_ ">
                  <c:v>0.33333333319751501</c:v>
                </c:pt>
                <c:pt idx="21" formatCode="0.00_ ">
                  <c:v>0.24999999837018499</c:v>
                </c:pt>
                <c:pt idx="23" formatCode="_(* #,##0.00_);_(* \(#,##0.00\);_(* &quot;-&quot;??_);_(@_)">
                  <c:v>0.25000000011641499</c:v>
                </c:pt>
                <c:pt idx="24">
                  <c:v>0.33333333249902403</c:v>
                </c:pt>
                <c:pt idx="25" formatCode="_(* #,##0.00_);_(* \(#,##0.00\);_(* &quot;-&quot;??_);_(@_)">
                  <c:v>0.250000001164153</c:v>
                </c:pt>
                <c:pt idx="26" formatCode="_-* #,##0.00_-;\-* #,##0.00_-;_-* &quot;-&quot;??_-;_-@_-">
                  <c:v>0.24999999906867701</c:v>
                </c:pt>
                <c:pt idx="27" formatCode="_(* #,##0.00_);_(* \(#,##0.00\);_(* &quot;-&quot;??_);_(@_)">
                  <c:v>0.58333332964684803</c:v>
                </c:pt>
                <c:pt idx="29" formatCode="_(* #,##0.00_);_(* \(#,##0.00\);_(* &quot;-&quot;??_);_(@_)">
                  <c:v>0.25000000098953001</c:v>
                </c:pt>
                <c:pt idx="31" formatCode="_(* #,##0.00_);_(* \(#,##0.00\);_(* &quot;-&quot;??_);_(@_)">
                  <c:v>0.25000000011641499</c:v>
                </c:pt>
                <c:pt idx="33" formatCode="_(* #,##0.00_);_(* \(#,##0.00\);_(* &quot;-&quot;??_);_(@_)">
                  <c:v>0.25000000011641499</c:v>
                </c:pt>
                <c:pt idx="35" formatCode="_(* #,##0.00_);_(* \(#,##0.00\);_(* &quot;-&quot;??_);_(@_)">
                  <c:v>8.3333332557231202E-2</c:v>
                </c:pt>
                <c:pt idx="38" formatCode="_-* #,##0.00_-;\-* #,##0.00_-;_-* &quot;-&quot;??_-;_-@_-">
                  <c:v>0.25000000011641499</c:v>
                </c:pt>
                <c:pt idx="39" formatCode="_(* #,##0.00_);_(* \(#,##0.00\);_(* &quot;-&quot;??_);_(@_)">
                  <c:v>8.3333333430346102E-2</c:v>
                </c:pt>
                <c:pt idx="41" formatCode="_(* #,##0.00_);_(* \(#,##0.00\);_(* &quot;-&quot;??_);_(@_)">
                  <c:v>0.166666667559184</c:v>
                </c:pt>
                <c:pt idx="45">
                  <c:v>0.16666666651144599</c:v>
                </c:pt>
                <c:pt idx="46">
                  <c:v>0.333333333372138</c:v>
                </c:pt>
                <c:pt idx="47" formatCode="_(* #,##0.00_);_(* \(#,##0.00\);_(* &quot;-&quot;??_);_(@_)">
                  <c:v>0.25000000029103803</c:v>
                </c:pt>
                <c:pt idx="48" formatCode="_-* #,##0.00_-;\-* #,##0.00_-;_-* &quot;-&quot;??.0_-;_-@_-">
                  <c:v>0.166666665812954</c:v>
                </c:pt>
                <c:pt idx="49" formatCode="_-* #,##0.00_-;\-* #,##0.00_-;_-* &quot;-&quot;??.0_-;_-@_-">
                  <c:v>0.24999999837018499</c:v>
                </c:pt>
                <c:pt idx="51">
                  <c:v>0.2</c:v>
                </c:pt>
                <c:pt idx="53" formatCode="_(* #,##0.00_);_(* \(#,##0.00\);_(* &quot;-&quot;??_);_(@_)">
                  <c:v>0.25000000238651399</c:v>
                </c:pt>
                <c:pt idx="54">
                  <c:v>0.25000000081490698</c:v>
                </c:pt>
                <c:pt idx="55" formatCode="_(* #,##0.00_);_(* \(#,##0.00\);_(* &quot;-&quot;??_);_(@_)">
                  <c:v>0.25000000081490698</c:v>
                </c:pt>
                <c:pt idx="56">
                  <c:v>0.33333333249902403</c:v>
                </c:pt>
                <c:pt idx="57">
                  <c:v>0.24999999784631699</c:v>
                </c:pt>
                <c:pt idx="58">
                  <c:v>0.33333333407062998</c:v>
                </c:pt>
                <c:pt idx="59">
                  <c:v>0.24999999871943099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9CE9-4FD0-A4D3-A7FEA34F7430}"/>
            </c:ext>
          </c:extLst>
        </c:ser>
        <c:ser>
          <c:idx val="12"/>
          <c:order val="12"/>
          <c:tx>
            <c:strRef>
              <c:f>'Downtime Packer'!$O$5</c:f>
              <c:strCache>
                <c:ptCount val="1"/>
                <c:pt idx="0">
                  <c:v>Kepelabuhan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'Downtime Packer'!$O$6:$O$67</c:f>
              <c:numCache>
                <c:formatCode>_(* #,##0.00_);_(* \(#,##0.00\);_(* "-"_);_(@_)</c:formatCode>
                <c:ptCount val="62"/>
                <c:pt idx="5">
                  <c:v>1.0000000008149099</c:v>
                </c:pt>
                <c:pt idx="6">
                  <c:v>9.9999999992433004</c:v>
                </c:pt>
                <c:pt idx="7" formatCode="0.00">
                  <c:v>1.16666666750098</c:v>
                </c:pt>
                <c:pt idx="8">
                  <c:v>8.1666666658711602</c:v>
                </c:pt>
                <c:pt idx="9">
                  <c:v>7.9166666659293696</c:v>
                </c:pt>
                <c:pt idx="10" formatCode="_(* #,##0.00_);_(* \(#,##0.00\);_(* &quot;-&quot;??_);_(@_)">
                  <c:v>13.9999999991851</c:v>
                </c:pt>
                <c:pt idx="11">
                  <c:v>13.9999999991851</c:v>
                </c:pt>
                <c:pt idx="12">
                  <c:v>1.50000000087311</c:v>
                </c:pt>
                <c:pt idx="13">
                  <c:v>0.75000000087311502</c:v>
                </c:pt>
                <c:pt idx="15">
                  <c:v>0.83333333412883803</c:v>
                </c:pt>
                <c:pt idx="17">
                  <c:v>0.66666666744276903</c:v>
                </c:pt>
                <c:pt idx="18">
                  <c:v>0.66666666744276903</c:v>
                </c:pt>
                <c:pt idx="19">
                  <c:v>0</c:v>
                </c:pt>
                <c:pt idx="20">
                  <c:v>1.16666666750098</c:v>
                </c:pt>
                <c:pt idx="21" formatCode="0.00_ ">
                  <c:v>8.3333333255723105E-2</c:v>
                </c:pt>
                <c:pt idx="22">
                  <c:v>7.9999999991850901</c:v>
                </c:pt>
                <c:pt idx="23">
                  <c:v>1.0000000008149099</c:v>
                </c:pt>
                <c:pt idx="24">
                  <c:v>1.50000000087311</c:v>
                </c:pt>
                <c:pt idx="25">
                  <c:v>1.5</c:v>
                </c:pt>
                <c:pt idx="26">
                  <c:v>1.50000000087311</c:v>
                </c:pt>
                <c:pt idx="27" formatCode="_(* #,##0.00_);_(* \(#,##0.00\);_(* &quot;-&quot;??_);_(@_)">
                  <c:v>0.50000000075670004</c:v>
                </c:pt>
                <c:pt idx="29">
                  <c:v>0.50000000075670004</c:v>
                </c:pt>
                <c:pt idx="31">
                  <c:v>0.25000000081490698</c:v>
                </c:pt>
                <c:pt idx="33">
                  <c:v>0.41666666750097597</c:v>
                </c:pt>
                <c:pt idx="35">
                  <c:v>0.83333333412883803</c:v>
                </c:pt>
                <c:pt idx="38" formatCode="_(* #,##0.00_);_(* \(#,##0.00\);_(* &quot;-&quot;??_);_(@_)">
                  <c:v>1.7500000008149099</c:v>
                </c:pt>
                <c:pt idx="39">
                  <c:v>0</c:v>
                </c:pt>
                <c:pt idx="41">
                  <c:v>1.0000000008149099</c:v>
                </c:pt>
                <c:pt idx="45">
                  <c:v>1.50000000087311</c:v>
                </c:pt>
                <c:pt idx="46">
                  <c:v>1.4166666674427699</c:v>
                </c:pt>
                <c:pt idx="47">
                  <c:v>0.50000000075670004</c:v>
                </c:pt>
                <c:pt idx="49" formatCode="_-* #,##0.00_-;\-* #,##0.00_-;_-* &quot;-&quot;??.0_-;_-@_-">
                  <c:v>0.50000000075670004</c:v>
                </c:pt>
                <c:pt idx="51">
                  <c:v>0.5</c:v>
                </c:pt>
                <c:pt idx="53">
                  <c:v>0.50000000075670004</c:v>
                </c:pt>
                <c:pt idx="54">
                  <c:v>1.0000000008149099</c:v>
                </c:pt>
                <c:pt idx="55">
                  <c:v>0.75</c:v>
                </c:pt>
                <c:pt idx="56">
                  <c:v>0.50000000005820799</c:v>
                </c:pt>
                <c:pt idx="57">
                  <c:v>0.75000000087311502</c:v>
                </c:pt>
                <c:pt idx="58">
                  <c:v>1.8333333340706299</c:v>
                </c:pt>
                <c:pt idx="59">
                  <c:v>1.8333333340706299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9CE9-4FD0-A4D3-A7FEA34F7430}"/>
            </c:ext>
          </c:extLst>
        </c:ser>
        <c:ser>
          <c:idx val="13"/>
          <c:order val="13"/>
          <c:tx>
            <c:strRef>
              <c:f>'Downtime Packer'!$P$5</c:f>
              <c:strCache>
                <c:ptCount val="1"/>
                <c:pt idx="0">
                  <c:v>Stok Semen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'Downtime Packer'!$P$6:$P$67</c:f>
              <c:numCache>
                <c:formatCode>_(* #,##0.00_);_(* \(#,##0.00\);_(* "-"_);_(@_)</c:formatCode>
                <c:ptCount val="62"/>
              </c:numCache>
            </c:numRef>
          </c:val>
          <c:extLst>
            <c:ext xmlns:c16="http://schemas.microsoft.com/office/drawing/2014/chart" uri="{C3380CC4-5D6E-409C-BE32-E72D297353CC}">
              <c16:uniqueId val="{0000000B-9CE9-4FD0-A4D3-A7FEA34F7430}"/>
            </c:ext>
          </c:extLst>
        </c:ser>
        <c:ser>
          <c:idx val="14"/>
          <c:order val="14"/>
          <c:tx>
            <c:strRef>
              <c:f>'Downtime Packer'!$Q$5</c:f>
              <c:strCache>
                <c:ptCount val="1"/>
                <c:pt idx="0">
                  <c:v>PLN</c:v>
                </c:pt>
              </c:strCache>
            </c:strRef>
          </c:tx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'Downtime Packer'!$Q$6:$Q$67</c:f>
              <c:numCache>
                <c:formatCode>_(* #,##0.00_);_(* \(#,##0.00\);_(* "-"_);_(@_)</c:formatCode>
                <c:ptCount val="62"/>
              </c:numCache>
            </c:numRef>
          </c:val>
          <c:extLst>
            <c:ext xmlns:c16="http://schemas.microsoft.com/office/drawing/2014/chart" uri="{C3380CC4-5D6E-409C-BE32-E72D297353CC}">
              <c16:uniqueId val="{0000000C-9CE9-4FD0-A4D3-A7FEA34F7430}"/>
            </c:ext>
          </c:extLst>
        </c:ser>
        <c:ser>
          <c:idx val="15"/>
          <c:order val="15"/>
          <c:tx>
            <c:strRef>
              <c:f>'Downtime Packer'!$R$5</c:f>
              <c:strCache>
                <c:ptCount val="1"/>
                <c:pt idx="0">
                  <c:v>Kantong</c:v>
                </c:pt>
              </c:strCache>
            </c:strRef>
          </c:tx>
          <c:spPr>
            <a:solidFill>
              <a:schemeClr val="tx2"/>
            </a:solidFill>
            <a:ln>
              <a:noFill/>
            </a:ln>
            <a:effectLst/>
          </c:spPr>
          <c:invertIfNegative val="0"/>
          <c:val>
            <c:numRef>
              <c:f>'Downtime Packer'!$R$6:$R$67</c:f>
              <c:numCache>
                <c:formatCode>_(* #,##0.00_);_(* \(#,##0.00\);_(* "-"_);_(@_)</c:formatCode>
                <c:ptCount val="62"/>
              </c:numCache>
            </c:numRef>
          </c:val>
          <c:extLst>
            <c:ext xmlns:c16="http://schemas.microsoft.com/office/drawing/2014/chart" uri="{C3380CC4-5D6E-409C-BE32-E72D297353CC}">
              <c16:uniqueId val="{0000000D-9CE9-4FD0-A4D3-A7FEA34F7430}"/>
            </c:ext>
          </c:extLst>
        </c:ser>
        <c:ser>
          <c:idx val="16"/>
          <c:order val="16"/>
          <c:tx>
            <c:strRef>
              <c:f>'Downtime Packer'!$S$5</c:f>
              <c:strCache>
                <c:ptCount val="1"/>
                <c:pt idx="0">
                  <c:v>Pallete</c:v>
                </c:pt>
              </c:strCache>
            </c:strRef>
          </c:tx>
          <c:spPr>
            <a:solidFill>
              <a:srgbClr val="92D050"/>
            </a:solidFill>
            <a:ln>
              <a:noFill/>
            </a:ln>
            <a:effectLst/>
          </c:spPr>
          <c:invertIfNegative val="0"/>
          <c:val>
            <c:numRef>
              <c:f>'Downtime Packer'!$S$6:$S$67</c:f>
              <c:numCache>
                <c:formatCode>_(* #,##0.00_);_(* \(#,##0.00\);_(* "-"_);_(@_)</c:formatCode>
                <c:ptCount val="62"/>
              </c:numCache>
            </c:numRef>
          </c:val>
          <c:extLst>
            <c:ext xmlns:c16="http://schemas.microsoft.com/office/drawing/2014/chart" uri="{C3380CC4-5D6E-409C-BE32-E72D297353CC}">
              <c16:uniqueId val="{0000000E-9CE9-4FD0-A4D3-A7FEA34F7430}"/>
            </c:ext>
          </c:extLst>
        </c:ser>
        <c:ser>
          <c:idx val="17"/>
          <c:order val="17"/>
          <c:tx>
            <c:strRef>
              <c:f>'Downtime Packer'!$T$5</c:f>
              <c:strCache>
                <c:ptCount val="1"/>
                <c:pt idx="0">
                  <c:v>Switch 40/50 &amp; SG/ST</c:v>
                </c:pt>
              </c:strCache>
            </c:strRef>
          </c:tx>
          <c:spPr>
            <a:solidFill>
              <a:schemeClr val="accent4">
                <a:lumMod val="50000"/>
              </a:schemeClr>
            </a:solidFill>
            <a:ln>
              <a:noFill/>
            </a:ln>
            <a:effectLst/>
          </c:spPr>
          <c:invertIfNegative val="0"/>
          <c:val>
            <c:numRef>
              <c:f>'Downtime Packer'!$T$6:$T$67</c:f>
              <c:numCache>
                <c:formatCode>_(* #,##0.00_);_(* \(#,##0.00\);_(* "-"_);_(@_)</c:formatCode>
                <c:ptCount val="62"/>
              </c:numCache>
            </c:numRef>
          </c:val>
          <c:extLst>
            <c:ext xmlns:c16="http://schemas.microsoft.com/office/drawing/2014/chart" uri="{C3380CC4-5D6E-409C-BE32-E72D297353CC}">
              <c16:uniqueId val="{0000000F-9CE9-4FD0-A4D3-A7FEA34F7430}"/>
            </c:ext>
          </c:extLst>
        </c:ser>
        <c:ser>
          <c:idx val="18"/>
          <c:order val="18"/>
          <c:tx>
            <c:strRef>
              <c:f>'Downtime Packer'!#REF!</c:f>
              <c:strCache>
                <c:ptCount val="1"/>
                <c:pt idx="0">
                  <c:v>#REF!</c:v>
                </c:pt>
              </c:strCache>
            </c:strRef>
          </c:tx>
          <c:invertIfNegative val="0"/>
          <c:val>
            <c:numRef>
              <c:f>'Downtime Packer'!#REF!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9CE9-4FD0-A4D3-A7FEA34F7430}"/>
            </c:ext>
          </c:extLst>
        </c:ser>
        <c:ser>
          <c:idx val="19"/>
          <c:order val="19"/>
          <c:tx>
            <c:strRef>
              <c:f>'Downtime Packer'!$U$5</c:f>
              <c:strCache>
                <c:ptCount val="1"/>
                <c:pt idx="0">
                  <c:v>Jaringan/SAP</c:v>
                </c:pt>
              </c:strCache>
            </c:strRef>
          </c:tx>
          <c:spPr>
            <a:solidFill>
              <a:schemeClr val="accent2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'Downtime Packer'!$U$6:$U$67</c:f>
              <c:numCache>
                <c:formatCode>_(* #,##0.00_);_(* \(#,##0.00\);_(* "-"_);_(@_)</c:formatCode>
                <c:ptCount val="62"/>
              </c:numCache>
            </c:numRef>
          </c:val>
          <c:extLst>
            <c:ext xmlns:c16="http://schemas.microsoft.com/office/drawing/2014/chart" uri="{C3380CC4-5D6E-409C-BE32-E72D297353CC}">
              <c16:uniqueId val="{00000011-9CE9-4FD0-A4D3-A7FEA34F7430}"/>
            </c:ext>
          </c:extLst>
        </c:ser>
        <c:ser>
          <c:idx val="20"/>
          <c:order val="20"/>
          <c:tx>
            <c:strRef>
              <c:f>'Downtime Packer'!$V$5</c:f>
              <c:strCache>
                <c:ptCount val="1"/>
                <c:pt idx="0">
                  <c:v>Forklift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'Downtime Packer'!$V$6:$V$67</c:f>
              <c:numCache>
                <c:formatCode>_(* #,##0.00_);_(* \(#,##0.00\);_(* "-"_);_(@_)</c:formatCode>
                <c:ptCount val="62"/>
              </c:numCache>
            </c:numRef>
          </c:val>
          <c:extLst>
            <c:ext xmlns:c16="http://schemas.microsoft.com/office/drawing/2014/chart" uri="{C3380CC4-5D6E-409C-BE32-E72D297353CC}">
              <c16:uniqueId val="{00000012-9CE9-4FD0-A4D3-A7FEA34F7430}"/>
            </c:ext>
          </c:extLst>
        </c:ser>
        <c:ser>
          <c:idx val="21"/>
          <c:order val="21"/>
          <c:tx>
            <c:strRef>
              <c:f>'Downtime Packer'!$W$5</c:f>
              <c:strCache>
                <c:ptCount val="1"/>
                <c:pt idx="0">
                  <c:v>Operator</c:v>
                </c:pt>
              </c:strCache>
            </c:strRef>
          </c:tx>
          <c:spPr>
            <a:solidFill>
              <a:schemeClr val="accent4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'Downtime Packer'!$W$6:$W$67</c:f>
              <c:numCache>
                <c:formatCode>_(* #,##0.00_);_(* \(#,##0.00\);_(* "-"_);_(@_)</c:formatCode>
                <c:ptCount val="62"/>
              </c:numCache>
            </c:numRef>
          </c:val>
          <c:extLst>
            <c:ext xmlns:c16="http://schemas.microsoft.com/office/drawing/2014/chart" uri="{C3380CC4-5D6E-409C-BE32-E72D297353CC}">
              <c16:uniqueId val="{00000013-9CE9-4FD0-A4D3-A7FEA34F7430}"/>
            </c:ext>
          </c:extLst>
        </c:ser>
        <c:ser>
          <c:idx val="22"/>
          <c:order val="22"/>
          <c:tx>
            <c:strRef>
              <c:f>'Downtime Packer'!$X$5</c:f>
              <c:strCache>
                <c:ptCount val="1"/>
                <c:pt idx="0">
                  <c:v>Cuaca/Alam</c:v>
                </c:pt>
              </c:strCache>
            </c:strRef>
          </c:tx>
          <c:spPr>
            <a:solidFill>
              <a:srgbClr val="FFCCCC"/>
            </a:solidFill>
            <a:ln>
              <a:noFill/>
            </a:ln>
            <a:effectLst/>
          </c:spPr>
          <c:invertIfNegative val="0"/>
          <c:val>
            <c:numRef>
              <c:f>'Downtime Packer'!$X$6:$X$67</c:f>
              <c:numCache>
                <c:formatCode>_(* #,##0.00_);_(* \(#,##0.00\);_(* "-"_);_(@_)</c:formatCode>
                <c:ptCount val="62"/>
              </c:numCache>
            </c:numRef>
          </c:val>
          <c:extLst>
            <c:ext xmlns:c16="http://schemas.microsoft.com/office/drawing/2014/chart" uri="{C3380CC4-5D6E-409C-BE32-E72D297353CC}">
              <c16:uniqueId val="{00000014-9CE9-4FD0-A4D3-A7FEA34F7430}"/>
            </c:ext>
          </c:extLst>
        </c:ser>
        <c:ser>
          <c:idx val="23"/>
          <c:order val="23"/>
          <c:tx>
            <c:strRef>
              <c:f>'Downtime Packer'!#REF!</c:f>
              <c:strCache>
                <c:ptCount val="1"/>
                <c:pt idx="0">
                  <c:v>#REF!</c:v>
                </c:pt>
              </c:strCache>
            </c:strRef>
          </c:tx>
          <c:invertIfNegative val="0"/>
          <c:val>
            <c:numRef>
              <c:f>'Downtime Packer'!#REF!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9CE9-4FD0-A4D3-A7FEA34F74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8"/>
        <c:overlap val="100"/>
        <c:axId val="1090346240"/>
        <c:axId val="1090342712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'Downtime Packer'!$C$5</c15:sqref>
                        </c15:formulaRef>
                      </c:ext>
                    </c:extLst>
                    <c:strCache>
                      <c:ptCount val="1"/>
                      <c:pt idx="0">
                        <c:v>Normal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val>
                  <c:numRef>
                    <c:extLst>
                      <c:ext uri="{02D57815-91ED-43cb-92C2-25804820EDAC}">
                        <c15:formulaRef>
                          <c15:sqref>'Downtime Packer'!$C$6:$C$67</c15:sqref>
                        </c15:formulaRef>
                      </c:ext>
                    </c:extLst>
                    <c:numCache>
                      <c:formatCode>General</c:formatCode>
                      <c:ptCount val="62"/>
                      <c:pt idx="0">
                        <c:v>16</c:v>
                      </c:pt>
                      <c:pt idx="1">
                        <c:v>16</c:v>
                      </c:pt>
                      <c:pt idx="2">
                        <c:v>16</c:v>
                      </c:pt>
                      <c:pt idx="3">
                        <c:v>16</c:v>
                      </c:pt>
                      <c:pt idx="4">
                        <c:v>16</c:v>
                      </c:pt>
                      <c:pt idx="5">
                        <c:v>16</c:v>
                      </c:pt>
                      <c:pt idx="6">
                        <c:v>16</c:v>
                      </c:pt>
                      <c:pt idx="7">
                        <c:v>16</c:v>
                      </c:pt>
                      <c:pt idx="8">
                        <c:v>16</c:v>
                      </c:pt>
                      <c:pt idx="9">
                        <c:v>16</c:v>
                      </c:pt>
                      <c:pt idx="10">
                        <c:v>16</c:v>
                      </c:pt>
                      <c:pt idx="11">
                        <c:v>16</c:v>
                      </c:pt>
                      <c:pt idx="12">
                        <c:v>16</c:v>
                      </c:pt>
                      <c:pt idx="13">
                        <c:v>16</c:v>
                      </c:pt>
                      <c:pt idx="14">
                        <c:v>16</c:v>
                      </c:pt>
                      <c:pt idx="15">
                        <c:v>16</c:v>
                      </c:pt>
                      <c:pt idx="16">
                        <c:v>16</c:v>
                      </c:pt>
                      <c:pt idx="17">
                        <c:v>16</c:v>
                      </c:pt>
                      <c:pt idx="18">
                        <c:v>16</c:v>
                      </c:pt>
                      <c:pt idx="19">
                        <c:v>16</c:v>
                      </c:pt>
                      <c:pt idx="20">
                        <c:v>16</c:v>
                      </c:pt>
                      <c:pt idx="21">
                        <c:v>16</c:v>
                      </c:pt>
                      <c:pt idx="22">
                        <c:v>16</c:v>
                      </c:pt>
                      <c:pt idx="23">
                        <c:v>16</c:v>
                      </c:pt>
                      <c:pt idx="24">
                        <c:v>16</c:v>
                      </c:pt>
                      <c:pt idx="25">
                        <c:v>16</c:v>
                      </c:pt>
                      <c:pt idx="26">
                        <c:v>16</c:v>
                      </c:pt>
                      <c:pt idx="27">
                        <c:v>16</c:v>
                      </c:pt>
                      <c:pt idx="28">
                        <c:v>16</c:v>
                      </c:pt>
                      <c:pt idx="29">
                        <c:v>16</c:v>
                      </c:pt>
                      <c:pt idx="30">
                        <c:v>16</c:v>
                      </c:pt>
                      <c:pt idx="31">
                        <c:v>16</c:v>
                      </c:pt>
                      <c:pt idx="32">
                        <c:v>16</c:v>
                      </c:pt>
                      <c:pt idx="33">
                        <c:v>16</c:v>
                      </c:pt>
                      <c:pt idx="34">
                        <c:v>16</c:v>
                      </c:pt>
                      <c:pt idx="35">
                        <c:v>16</c:v>
                      </c:pt>
                      <c:pt idx="36">
                        <c:v>16</c:v>
                      </c:pt>
                      <c:pt idx="37">
                        <c:v>16</c:v>
                      </c:pt>
                      <c:pt idx="38">
                        <c:v>16</c:v>
                      </c:pt>
                      <c:pt idx="39">
                        <c:v>16</c:v>
                      </c:pt>
                      <c:pt idx="40">
                        <c:v>16</c:v>
                      </c:pt>
                      <c:pt idx="41">
                        <c:v>16</c:v>
                      </c:pt>
                      <c:pt idx="42">
                        <c:v>16</c:v>
                      </c:pt>
                      <c:pt idx="43">
                        <c:v>16</c:v>
                      </c:pt>
                      <c:pt idx="44">
                        <c:v>16</c:v>
                      </c:pt>
                      <c:pt idx="45">
                        <c:v>16</c:v>
                      </c:pt>
                      <c:pt idx="46">
                        <c:v>16</c:v>
                      </c:pt>
                      <c:pt idx="47">
                        <c:v>16</c:v>
                      </c:pt>
                      <c:pt idx="48">
                        <c:v>16</c:v>
                      </c:pt>
                      <c:pt idx="49">
                        <c:v>16</c:v>
                      </c:pt>
                      <c:pt idx="50">
                        <c:v>16</c:v>
                      </c:pt>
                      <c:pt idx="51">
                        <c:v>16</c:v>
                      </c:pt>
                      <c:pt idx="52">
                        <c:v>16</c:v>
                      </c:pt>
                      <c:pt idx="53">
                        <c:v>16</c:v>
                      </c:pt>
                      <c:pt idx="54">
                        <c:v>16</c:v>
                      </c:pt>
                      <c:pt idx="55">
                        <c:v>16</c:v>
                      </c:pt>
                      <c:pt idx="56">
                        <c:v>16</c:v>
                      </c:pt>
                      <c:pt idx="57">
                        <c:v>16</c:v>
                      </c:pt>
                      <c:pt idx="58">
                        <c:v>16</c:v>
                      </c:pt>
                      <c:pt idx="59">
                        <c:v>16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16-9CE9-4FD0-A4D3-A7FEA34F7430}"/>
                  </c:ext>
                </c:extLst>
              </c15:ser>
            </c15:filteredBarSeries>
            <c15:filteredBa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'Downtime Packer'!$D$5</c15:sqref>
                        </c15:formulaRef>
                      </c:ext>
                    </c:extLst>
                    <c:strCache>
                      <c:ptCount val="1"/>
                      <c:pt idx="0">
                        <c:v>Lembur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'Downtime Packer'!$D$6:$D$67</c15:sqref>
                        </c15:formulaRef>
                      </c:ext>
                    </c:extLst>
                    <c:numCache>
                      <c:formatCode>General</c:formatCode>
                      <c:ptCount val="62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7-9CE9-4FD0-A4D3-A7FEA34F7430}"/>
                  </c:ext>
                </c:extLst>
              </c15:ser>
            </c15:filteredBarSeries>
          </c:ext>
        </c:extLst>
      </c:barChart>
      <c:catAx>
        <c:axId val="109034624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0342712"/>
        <c:crosses val="autoZero"/>
        <c:auto val="1"/>
        <c:lblAlgn val="ctr"/>
        <c:lblOffset val="100"/>
        <c:noMultiLvlLbl val="0"/>
      </c:catAx>
      <c:valAx>
        <c:axId val="1090342712"/>
        <c:scaling>
          <c:orientation val="minMax"/>
          <c:max val="16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en-US"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/>
                  <a:t>(Hours)</a:t>
                </a:r>
              </a:p>
            </c:rich>
          </c:tx>
          <c:layout>
            <c:manualLayout>
              <c:xMode val="edge"/>
              <c:yMode val="edge"/>
              <c:x val="1.5618900008204199E-2"/>
              <c:y val="0.38445879265091998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6350" cap="flat" cmpd="sng" algn="ctr">
            <a:noFill/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0346240"/>
        <c:crosses val="autoZero"/>
        <c:crossBetween val="between"/>
        <c:majorUnit val="2"/>
      </c:valAx>
      <c:spPr>
        <a:noFill/>
        <a:ln>
          <a:noFill/>
        </a:ln>
        <a:effectLst/>
      </c:spPr>
    </c:plotArea>
    <c:legend>
      <c:legendPos val="b"/>
      <c:legendEntry>
        <c:idx val="3"/>
        <c:delete val="1"/>
      </c:legendEntry>
      <c:legendEntry>
        <c:idx val="9"/>
        <c:delete val="1"/>
      </c:legendEntry>
      <c:legendEntry>
        <c:idx val="11"/>
        <c:delete val="1"/>
      </c:legendEntry>
      <c:legendEntry>
        <c:idx val="18"/>
        <c:delete val="1"/>
      </c:legendEntry>
      <c:legendEntry>
        <c:idx val="20"/>
        <c:delete val="1"/>
      </c:legendEntry>
      <c:layout>
        <c:manualLayout>
          <c:xMode val="edge"/>
          <c:yMode val="edge"/>
          <c:x val="3.2855492875726402E-3"/>
          <c:y val="0.87615062010899503"/>
          <c:w val="0.99292468602631301"/>
          <c:h val="0.12384937989100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07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9dd1e2cd-0b8d-45b5-bb7b-a0d2a80cb670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ustomStorage/customStorage.xml><?xml version="1.0" encoding="utf-8"?>
<customStorage xmlns="https://web.wps.cn/et/2018/main">
  <book/>
  <sheets/>
</customStorag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15875</xdr:colOff>
      <xdr:row>93</xdr:row>
      <xdr:rowOff>36079</xdr:rowOff>
    </xdr:from>
    <xdr:to>
      <xdr:col>24</xdr:col>
      <xdr:colOff>0</xdr:colOff>
      <xdr:row>123</xdr:row>
      <xdr:rowOff>142874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45720</xdr:colOff>
      <xdr:row>0</xdr:row>
      <xdr:rowOff>152400</xdr:rowOff>
    </xdr:from>
    <xdr:to>
      <xdr:col>12</xdr:col>
      <xdr:colOff>83819</xdr:colOff>
      <xdr:row>3</xdr:row>
      <xdr:rowOff>45720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SpPr txBox="1"/>
      </xdr:nvSpPr>
      <xdr:spPr>
        <a:xfrm>
          <a:off x="9304020" y="152400"/>
          <a:ext cx="2380615" cy="585470"/>
        </a:xfrm>
        <a:prstGeom prst="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ID" sz="4000">
              <a:solidFill>
                <a:srgbClr val="FF0000"/>
              </a:solidFill>
            </a:rPr>
            <a:t>CONTOH</a:t>
          </a:r>
          <a:endParaRPr lang="en-ID" sz="5400">
            <a:solidFill>
              <a:srgbClr val="FF0000"/>
            </a:solidFill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962024</xdr:colOff>
      <xdr:row>13</xdr:row>
      <xdr:rowOff>76201</xdr:rowOff>
    </xdr:from>
    <xdr:to>
      <xdr:col>7</xdr:col>
      <xdr:colOff>2066924</xdr:colOff>
      <xdr:row>24</xdr:row>
      <xdr:rowOff>19050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SpPr txBox="1"/>
      </xdr:nvSpPr>
      <xdr:spPr>
        <a:xfrm>
          <a:off x="6866890" y="2841625"/>
          <a:ext cx="3079750" cy="1057275"/>
        </a:xfrm>
        <a:prstGeom prst="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ID" sz="6000">
              <a:solidFill>
                <a:srgbClr val="FF0000"/>
              </a:solidFill>
            </a:rPr>
            <a:t>CONTOH</a:t>
          </a:r>
          <a:endParaRPr lang="en-ID" sz="5400">
            <a:solidFill>
              <a:srgbClr val="FF0000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35"/>
  <sheetViews>
    <sheetView zoomScale="110" zoomScaleNormal="110" workbookViewId="0">
      <pane ySplit="2" topLeftCell="A18" activePane="bottomLeft" state="frozen"/>
      <selection pane="bottomLeft" activeCell="I33" sqref="I33"/>
    </sheetView>
  </sheetViews>
  <sheetFormatPr defaultColWidth="14.125" defaultRowHeight="12.6"/>
  <cols>
    <col min="1" max="1" width="11.25" style="378" customWidth="1"/>
    <col min="2" max="5" width="11.25" style="378" hidden="1" customWidth="1"/>
    <col min="6" max="6" width="15.875" style="378" hidden="1" customWidth="1"/>
    <col min="7" max="10" width="14.125" style="378"/>
    <col min="11" max="11" width="16.25" style="378" customWidth="1"/>
    <col min="12" max="12" width="14.125" style="378"/>
    <col min="13" max="13" width="14.125" style="378" hidden="1" customWidth="1"/>
    <col min="14" max="16" width="14.125" style="378"/>
    <col min="17" max="17" width="9.75" style="378" customWidth="1"/>
    <col min="18" max="244" width="14.125" style="378"/>
    <col min="245" max="245" width="11.25" style="378" customWidth="1"/>
    <col min="246" max="246" width="13.25" style="378" customWidth="1"/>
    <col min="247" max="247" width="17.25" style="378" customWidth="1"/>
    <col min="248" max="248" width="8.875" style="378" customWidth="1"/>
    <col min="249" max="249" width="10.25" style="378" customWidth="1"/>
    <col min="250" max="250" width="12.5" style="378" customWidth="1"/>
    <col min="251" max="251" width="12.75" style="378" customWidth="1"/>
    <col min="252" max="252" width="6" style="378" customWidth="1"/>
    <col min="253" max="253" width="5" style="378" customWidth="1"/>
    <col min="254" max="254" width="13.875" style="378" customWidth="1"/>
    <col min="255" max="255" width="6" style="378" customWidth="1"/>
    <col min="256" max="256" width="5" style="378" customWidth="1"/>
    <col min="257" max="257" width="13.875" style="378" customWidth="1"/>
    <col min="258" max="258" width="6" style="378" customWidth="1"/>
    <col min="259" max="259" width="5" style="378" customWidth="1"/>
    <col min="260" max="260" width="13.875" style="378" customWidth="1"/>
    <col min="261" max="261" width="6" style="378" customWidth="1"/>
    <col min="262" max="262" width="5" style="378" customWidth="1"/>
    <col min="263" max="263" width="13.875" style="378" customWidth="1"/>
    <col min="264" max="264" width="14" style="378" customWidth="1"/>
    <col min="265" max="500" width="14.125" style="378"/>
    <col min="501" max="501" width="11.25" style="378" customWidth="1"/>
    <col min="502" max="502" width="13.25" style="378" customWidth="1"/>
    <col min="503" max="503" width="17.25" style="378" customWidth="1"/>
    <col min="504" max="504" width="8.875" style="378" customWidth="1"/>
    <col min="505" max="505" width="10.25" style="378" customWidth="1"/>
    <col min="506" max="506" width="12.5" style="378" customWidth="1"/>
    <col min="507" max="507" width="12.75" style="378" customWidth="1"/>
    <col min="508" max="508" width="6" style="378" customWidth="1"/>
    <col min="509" max="509" width="5" style="378" customWidth="1"/>
    <col min="510" max="510" width="13.875" style="378" customWidth="1"/>
    <col min="511" max="511" width="6" style="378" customWidth="1"/>
    <col min="512" max="512" width="5" style="378" customWidth="1"/>
    <col min="513" max="513" width="13.875" style="378" customWidth="1"/>
    <col min="514" max="514" width="6" style="378" customWidth="1"/>
    <col min="515" max="515" width="5" style="378" customWidth="1"/>
    <col min="516" max="516" width="13.875" style="378" customWidth="1"/>
    <col min="517" max="517" width="6" style="378" customWidth="1"/>
    <col min="518" max="518" width="5" style="378" customWidth="1"/>
    <col min="519" max="519" width="13.875" style="378" customWidth="1"/>
    <col min="520" max="520" width="14" style="378" customWidth="1"/>
    <col min="521" max="756" width="14.125" style="378"/>
    <col min="757" max="757" width="11.25" style="378" customWidth="1"/>
    <col min="758" max="758" width="13.25" style="378" customWidth="1"/>
    <col min="759" max="759" width="17.25" style="378" customWidth="1"/>
    <col min="760" max="760" width="8.875" style="378" customWidth="1"/>
    <col min="761" max="761" width="10.25" style="378" customWidth="1"/>
    <col min="762" max="762" width="12.5" style="378" customWidth="1"/>
    <col min="763" max="763" width="12.75" style="378" customWidth="1"/>
    <col min="764" max="764" width="6" style="378" customWidth="1"/>
    <col min="765" max="765" width="5" style="378" customWidth="1"/>
    <col min="766" max="766" width="13.875" style="378" customWidth="1"/>
    <col min="767" max="767" width="6" style="378" customWidth="1"/>
    <col min="768" max="768" width="5" style="378" customWidth="1"/>
    <col min="769" max="769" width="13.875" style="378" customWidth="1"/>
    <col min="770" max="770" width="6" style="378" customWidth="1"/>
    <col min="771" max="771" width="5" style="378" customWidth="1"/>
    <col min="772" max="772" width="13.875" style="378" customWidth="1"/>
    <col min="773" max="773" width="6" style="378" customWidth="1"/>
    <col min="774" max="774" width="5" style="378" customWidth="1"/>
    <col min="775" max="775" width="13.875" style="378" customWidth="1"/>
    <col min="776" max="776" width="14" style="378" customWidth="1"/>
    <col min="777" max="1012" width="14.125" style="378"/>
    <col min="1013" max="1013" width="11.25" style="378" customWidth="1"/>
    <col min="1014" max="1014" width="13.25" style="378" customWidth="1"/>
    <col min="1015" max="1015" width="17.25" style="378" customWidth="1"/>
    <col min="1016" max="1016" width="8.875" style="378" customWidth="1"/>
    <col min="1017" max="1017" width="10.25" style="378" customWidth="1"/>
    <col min="1018" max="1018" width="12.5" style="378" customWidth="1"/>
    <col min="1019" max="1019" width="12.75" style="378" customWidth="1"/>
    <col min="1020" max="1020" width="6" style="378" customWidth="1"/>
    <col min="1021" max="1021" width="5" style="378" customWidth="1"/>
    <col min="1022" max="1022" width="13.875" style="378" customWidth="1"/>
    <col min="1023" max="1023" width="6" style="378" customWidth="1"/>
    <col min="1024" max="1024" width="5" style="378" customWidth="1"/>
    <col min="1025" max="1025" width="13.875" style="378" customWidth="1"/>
    <col min="1026" max="1026" width="6" style="378" customWidth="1"/>
    <col min="1027" max="1027" width="5" style="378" customWidth="1"/>
    <col min="1028" max="1028" width="13.875" style="378" customWidth="1"/>
    <col min="1029" max="1029" width="6" style="378" customWidth="1"/>
    <col min="1030" max="1030" width="5" style="378" customWidth="1"/>
    <col min="1031" max="1031" width="13.875" style="378" customWidth="1"/>
    <col min="1032" max="1032" width="14" style="378" customWidth="1"/>
    <col min="1033" max="1268" width="14.125" style="378"/>
    <col min="1269" max="1269" width="11.25" style="378" customWidth="1"/>
    <col min="1270" max="1270" width="13.25" style="378" customWidth="1"/>
    <col min="1271" max="1271" width="17.25" style="378" customWidth="1"/>
    <col min="1272" max="1272" width="8.875" style="378" customWidth="1"/>
    <col min="1273" max="1273" width="10.25" style="378" customWidth="1"/>
    <col min="1274" max="1274" width="12.5" style="378" customWidth="1"/>
    <col min="1275" max="1275" width="12.75" style="378" customWidth="1"/>
    <col min="1276" max="1276" width="6" style="378" customWidth="1"/>
    <col min="1277" max="1277" width="5" style="378" customWidth="1"/>
    <col min="1278" max="1278" width="13.875" style="378" customWidth="1"/>
    <col min="1279" max="1279" width="6" style="378" customWidth="1"/>
    <col min="1280" max="1280" width="5" style="378" customWidth="1"/>
    <col min="1281" max="1281" width="13.875" style="378" customWidth="1"/>
    <col min="1282" max="1282" width="6" style="378" customWidth="1"/>
    <col min="1283" max="1283" width="5" style="378" customWidth="1"/>
    <col min="1284" max="1284" width="13.875" style="378" customWidth="1"/>
    <col min="1285" max="1285" width="6" style="378" customWidth="1"/>
    <col min="1286" max="1286" width="5" style="378" customWidth="1"/>
    <col min="1287" max="1287" width="13.875" style="378" customWidth="1"/>
    <col min="1288" max="1288" width="14" style="378" customWidth="1"/>
    <col min="1289" max="1524" width="14.125" style="378"/>
    <col min="1525" max="1525" width="11.25" style="378" customWidth="1"/>
    <col min="1526" max="1526" width="13.25" style="378" customWidth="1"/>
    <col min="1527" max="1527" width="17.25" style="378" customWidth="1"/>
    <col min="1528" max="1528" width="8.875" style="378" customWidth="1"/>
    <col min="1529" max="1529" width="10.25" style="378" customWidth="1"/>
    <col min="1530" max="1530" width="12.5" style="378" customWidth="1"/>
    <col min="1531" max="1531" width="12.75" style="378" customWidth="1"/>
    <col min="1532" max="1532" width="6" style="378" customWidth="1"/>
    <col min="1533" max="1533" width="5" style="378" customWidth="1"/>
    <col min="1534" max="1534" width="13.875" style="378" customWidth="1"/>
    <col min="1535" max="1535" width="6" style="378" customWidth="1"/>
    <col min="1536" max="1536" width="5" style="378" customWidth="1"/>
    <col min="1537" max="1537" width="13.875" style="378" customWidth="1"/>
    <col min="1538" max="1538" width="6" style="378" customWidth="1"/>
    <col min="1539" max="1539" width="5" style="378" customWidth="1"/>
    <col min="1540" max="1540" width="13.875" style="378" customWidth="1"/>
    <col min="1541" max="1541" width="6" style="378" customWidth="1"/>
    <col min="1542" max="1542" width="5" style="378" customWidth="1"/>
    <col min="1543" max="1543" width="13.875" style="378" customWidth="1"/>
    <col min="1544" max="1544" width="14" style="378" customWidth="1"/>
    <col min="1545" max="1780" width="14.125" style="378"/>
    <col min="1781" max="1781" width="11.25" style="378" customWidth="1"/>
    <col min="1782" max="1782" width="13.25" style="378" customWidth="1"/>
    <col min="1783" max="1783" width="17.25" style="378" customWidth="1"/>
    <col min="1784" max="1784" width="8.875" style="378" customWidth="1"/>
    <col min="1785" max="1785" width="10.25" style="378" customWidth="1"/>
    <col min="1786" max="1786" width="12.5" style="378" customWidth="1"/>
    <col min="1787" max="1787" width="12.75" style="378" customWidth="1"/>
    <col min="1788" max="1788" width="6" style="378" customWidth="1"/>
    <col min="1789" max="1789" width="5" style="378" customWidth="1"/>
    <col min="1790" max="1790" width="13.875" style="378" customWidth="1"/>
    <col min="1791" max="1791" width="6" style="378" customWidth="1"/>
    <col min="1792" max="1792" width="5" style="378" customWidth="1"/>
    <col min="1793" max="1793" width="13.875" style="378" customWidth="1"/>
    <col min="1794" max="1794" width="6" style="378" customWidth="1"/>
    <col min="1795" max="1795" width="5" style="378" customWidth="1"/>
    <col min="1796" max="1796" width="13.875" style="378" customWidth="1"/>
    <col min="1797" max="1797" width="6" style="378" customWidth="1"/>
    <col min="1798" max="1798" width="5" style="378" customWidth="1"/>
    <col min="1799" max="1799" width="13.875" style="378" customWidth="1"/>
    <col min="1800" max="1800" width="14" style="378" customWidth="1"/>
    <col min="1801" max="2036" width="14.125" style="378"/>
    <col min="2037" max="2037" width="11.25" style="378" customWidth="1"/>
    <col min="2038" max="2038" width="13.25" style="378" customWidth="1"/>
    <col min="2039" max="2039" width="17.25" style="378" customWidth="1"/>
    <col min="2040" max="2040" width="8.875" style="378" customWidth="1"/>
    <col min="2041" max="2041" width="10.25" style="378" customWidth="1"/>
    <col min="2042" max="2042" width="12.5" style="378" customWidth="1"/>
    <col min="2043" max="2043" width="12.75" style="378" customWidth="1"/>
    <col min="2044" max="2044" width="6" style="378" customWidth="1"/>
    <col min="2045" max="2045" width="5" style="378" customWidth="1"/>
    <col min="2046" max="2046" width="13.875" style="378" customWidth="1"/>
    <col min="2047" max="2047" width="6" style="378" customWidth="1"/>
    <col min="2048" max="2048" width="5" style="378" customWidth="1"/>
    <col min="2049" max="2049" width="13.875" style="378" customWidth="1"/>
    <col min="2050" max="2050" width="6" style="378" customWidth="1"/>
    <col min="2051" max="2051" width="5" style="378" customWidth="1"/>
    <col min="2052" max="2052" width="13.875" style="378" customWidth="1"/>
    <col min="2053" max="2053" width="6" style="378" customWidth="1"/>
    <col min="2054" max="2054" width="5" style="378" customWidth="1"/>
    <col min="2055" max="2055" width="13.875" style="378" customWidth="1"/>
    <col min="2056" max="2056" width="14" style="378" customWidth="1"/>
    <col min="2057" max="2292" width="14.125" style="378"/>
    <col min="2293" max="2293" width="11.25" style="378" customWidth="1"/>
    <col min="2294" max="2294" width="13.25" style="378" customWidth="1"/>
    <col min="2295" max="2295" width="17.25" style="378" customWidth="1"/>
    <col min="2296" max="2296" width="8.875" style="378" customWidth="1"/>
    <col min="2297" max="2297" width="10.25" style="378" customWidth="1"/>
    <col min="2298" max="2298" width="12.5" style="378" customWidth="1"/>
    <col min="2299" max="2299" width="12.75" style="378" customWidth="1"/>
    <col min="2300" max="2300" width="6" style="378" customWidth="1"/>
    <col min="2301" max="2301" width="5" style="378" customWidth="1"/>
    <col min="2302" max="2302" width="13.875" style="378" customWidth="1"/>
    <col min="2303" max="2303" width="6" style="378" customWidth="1"/>
    <col min="2304" max="2304" width="5" style="378" customWidth="1"/>
    <col min="2305" max="2305" width="13.875" style="378" customWidth="1"/>
    <col min="2306" max="2306" width="6" style="378" customWidth="1"/>
    <col min="2307" max="2307" width="5" style="378" customWidth="1"/>
    <col min="2308" max="2308" width="13.875" style="378" customWidth="1"/>
    <col min="2309" max="2309" width="6" style="378" customWidth="1"/>
    <col min="2310" max="2310" width="5" style="378" customWidth="1"/>
    <col min="2311" max="2311" width="13.875" style="378" customWidth="1"/>
    <col min="2312" max="2312" width="14" style="378" customWidth="1"/>
    <col min="2313" max="2548" width="14.125" style="378"/>
    <col min="2549" max="2549" width="11.25" style="378" customWidth="1"/>
    <col min="2550" max="2550" width="13.25" style="378" customWidth="1"/>
    <col min="2551" max="2551" width="17.25" style="378" customWidth="1"/>
    <col min="2552" max="2552" width="8.875" style="378" customWidth="1"/>
    <col min="2553" max="2553" width="10.25" style="378" customWidth="1"/>
    <col min="2554" max="2554" width="12.5" style="378" customWidth="1"/>
    <col min="2555" max="2555" width="12.75" style="378" customWidth="1"/>
    <col min="2556" max="2556" width="6" style="378" customWidth="1"/>
    <col min="2557" max="2557" width="5" style="378" customWidth="1"/>
    <col min="2558" max="2558" width="13.875" style="378" customWidth="1"/>
    <col min="2559" max="2559" width="6" style="378" customWidth="1"/>
    <col min="2560" max="2560" width="5" style="378" customWidth="1"/>
    <col min="2561" max="2561" width="13.875" style="378" customWidth="1"/>
    <col min="2562" max="2562" width="6" style="378" customWidth="1"/>
    <col min="2563" max="2563" width="5" style="378" customWidth="1"/>
    <col min="2564" max="2564" width="13.875" style="378" customWidth="1"/>
    <col min="2565" max="2565" width="6" style="378" customWidth="1"/>
    <col min="2566" max="2566" width="5" style="378" customWidth="1"/>
    <col min="2567" max="2567" width="13.875" style="378" customWidth="1"/>
    <col min="2568" max="2568" width="14" style="378" customWidth="1"/>
    <col min="2569" max="2804" width="14.125" style="378"/>
    <col min="2805" max="2805" width="11.25" style="378" customWidth="1"/>
    <col min="2806" max="2806" width="13.25" style="378" customWidth="1"/>
    <col min="2807" max="2807" width="17.25" style="378" customWidth="1"/>
    <col min="2808" max="2808" width="8.875" style="378" customWidth="1"/>
    <col min="2809" max="2809" width="10.25" style="378" customWidth="1"/>
    <col min="2810" max="2810" width="12.5" style="378" customWidth="1"/>
    <col min="2811" max="2811" width="12.75" style="378" customWidth="1"/>
    <col min="2812" max="2812" width="6" style="378" customWidth="1"/>
    <col min="2813" max="2813" width="5" style="378" customWidth="1"/>
    <col min="2814" max="2814" width="13.875" style="378" customWidth="1"/>
    <col min="2815" max="2815" width="6" style="378" customWidth="1"/>
    <col min="2816" max="2816" width="5" style="378" customWidth="1"/>
    <col min="2817" max="2817" width="13.875" style="378" customWidth="1"/>
    <col min="2818" max="2818" width="6" style="378" customWidth="1"/>
    <col min="2819" max="2819" width="5" style="378" customWidth="1"/>
    <col min="2820" max="2820" width="13.875" style="378" customWidth="1"/>
    <col min="2821" max="2821" width="6" style="378" customWidth="1"/>
    <col min="2822" max="2822" width="5" style="378" customWidth="1"/>
    <col min="2823" max="2823" width="13.875" style="378" customWidth="1"/>
    <col min="2824" max="2824" width="14" style="378" customWidth="1"/>
    <col min="2825" max="3060" width="14.125" style="378"/>
    <col min="3061" max="3061" width="11.25" style="378" customWidth="1"/>
    <col min="3062" max="3062" width="13.25" style="378" customWidth="1"/>
    <col min="3063" max="3063" width="17.25" style="378" customWidth="1"/>
    <col min="3064" max="3064" width="8.875" style="378" customWidth="1"/>
    <col min="3065" max="3065" width="10.25" style="378" customWidth="1"/>
    <col min="3066" max="3066" width="12.5" style="378" customWidth="1"/>
    <col min="3067" max="3067" width="12.75" style="378" customWidth="1"/>
    <col min="3068" max="3068" width="6" style="378" customWidth="1"/>
    <col min="3069" max="3069" width="5" style="378" customWidth="1"/>
    <col min="3070" max="3070" width="13.875" style="378" customWidth="1"/>
    <col min="3071" max="3071" width="6" style="378" customWidth="1"/>
    <col min="3072" max="3072" width="5" style="378" customWidth="1"/>
    <col min="3073" max="3073" width="13.875" style="378" customWidth="1"/>
    <col min="3074" max="3074" width="6" style="378" customWidth="1"/>
    <col min="3075" max="3075" width="5" style="378" customWidth="1"/>
    <col min="3076" max="3076" width="13.875" style="378" customWidth="1"/>
    <col min="3077" max="3077" width="6" style="378" customWidth="1"/>
    <col min="3078" max="3078" width="5" style="378" customWidth="1"/>
    <col min="3079" max="3079" width="13.875" style="378" customWidth="1"/>
    <col min="3080" max="3080" width="14" style="378" customWidth="1"/>
    <col min="3081" max="3316" width="14.125" style="378"/>
    <col min="3317" max="3317" width="11.25" style="378" customWidth="1"/>
    <col min="3318" max="3318" width="13.25" style="378" customWidth="1"/>
    <col min="3319" max="3319" width="17.25" style="378" customWidth="1"/>
    <col min="3320" max="3320" width="8.875" style="378" customWidth="1"/>
    <col min="3321" max="3321" width="10.25" style="378" customWidth="1"/>
    <col min="3322" max="3322" width="12.5" style="378" customWidth="1"/>
    <col min="3323" max="3323" width="12.75" style="378" customWidth="1"/>
    <col min="3324" max="3324" width="6" style="378" customWidth="1"/>
    <col min="3325" max="3325" width="5" style="378" customWidth="1"/>
    <col min="3326" max="3326" width="13.875" style="378" customWidth="1"/>
    <col min="3327" max="3327" width="6" style="378" customWidth="1"/>
    <col min="3328" max="3328" width="5" style="378" customWidth="1"/>
    <col min="3329" max="3329" width="13.875" style="378" customWidth="1"/>
    <col min="3330" max="3330" width="6" style="378" customWidth="1"/>
    <col min="3331" max="3331" width="5" style="378" customWidth="1"/>
    <col min="3332" max="3332" width="13.875" style="378" customWidth="1"/>
    <col min="3333" max="3333" width="6" style="378" customWidth="1"/>
    <col min="3334" max="3334" width="5" style="378" customWidth="1"/>
    <col min="3335" max="3335" width="13.875" style="378" customWidth="1"/>
    <col min="3336" max="3336" width="14" style="378" customWidth="1"/>
    <col min="3337" max="3572" width="14.125" style="378"/>
    <col min="3573" max="3573" width="11.25" style="378" customWidth="1"/>
    <col min="3574" max="3574" width="13.25" style="378" customWidth="1"/>
    <col min="3575" max="3575" width="17.25" style="378" customWidth="1"/>
    <col min="3576" max="3576" width="8.875" style="378" customWidth="1"/>
    <col min="3577" max="3577" width="10.25" style="378" customWidth="1"/>
    <col min="3578" max="3578" width="12.5" style="378" customWidth="1"/>
    <col min="3579" max="3579" width="12.75" style="378" customWidth="1"/>
    <col min="3580" max="3580" width="6" style="378" customWidth="1"/>
    <col min="3581" max="3581" width="5" style="378" customWidth="1"/>
    <col min="3582" max="3582" width="13.875" style="378" customWidth="1"/>
    <col min="3583" max="3583" width="6" style="378" customWidth="1"/>
    <col min="3584" max="3584" width="5" style="378" customWidth="1"/>
    <col min="3585" max="3585" width="13.875" style="378" customWidth="1"/>
    <col min="3586" max="3586" width="6" style="378" customWidth="1"/>
    <col min="3587" max="3587" width="5" style="378" customWidth="1"/>
    <col min="3588" max="3588" width="13.875" style="378" customWidth="1"/>
    <col min="3589" max="3589" width="6" style="378" customWidth="1"/>
    <col min="3590" max="3590" width="5" style="378" customWidth="1"/>
    <col min="3591" max="3591" width="13.875" style="378" customWidth="1"/>
    <col min="3592" max="3592" width="14" style="378" customWidth="1"/>
    <col min="3593" max="3828" width="14.125" style="378"/>
    <col min="3829" max="3829" width="11.25" style="378" customWidth="1"/>
    <col min="3830" max="3830" width="13.25" style="378" customWidth="1"/>
    <col min="3831" max="3831" width="17.25" style="378" customWidth="1"/>
    <col min="3832" max="3832" width="8.875" style="378" customWidth="1"/>
    <col min="3833" max="3833" width="10.25" style="378" customWidth="1"/>
    <col min="3834" max="3834" width="12.5" style="378" customWidth="1"/>
    <col min="3835" max="3835" width="12.75" style="378" customWidth="1"/>
    <col min="3836" max="3836" width="6" style="378" customWidth="1"/>
    <col min="3837" max="3837" width="5" style="378" customWidth="1"/>
    <col min="3838" max="3838" width="13.875" style="378" customWidth="1"/>
    <col min="3839" max="3839" width="6" style="378" customWidth="1"/>
    <col min="3840" max="3840" width="5" style="378" customWidth="1"/>
    <col min="3841" max="3841" width="13.875" style="378" customWidth="1"/>
    <col min="3842" max="3842" width="6" style="378" customWidth="1"/>
    <col min="3843" max="3843" width="5" style="378" customWidth="1"/>
    <col min="3844" max="3844" width="13.875" style="378" customWidth="1"/>
    <col min="3845" max="3845" width="6" style="378" customWidth="1"/>
    <col min="3846" max="3846" width="5" style="378" customWidth="1"/>
    <col min="3847" max="3847" width="13.875" style="378" customWidth="1"/>
    <col min="3848" max="3848" width="14" style="378" customWidth="1"/>
    <col min="3849" max="4084" width="14.125" style="378"/>
    <col min="4085" max="4085" width="11.25" style="378" customWidth="1"/>
    <col min="4086" max="4086" width="13.25" style="378" customWidth="1"/>
    <col min="4087" max="4087" width="17.25" style="378" customWidth="1"/>
    <col min="4088" max="4088" width="8.875" style="378" customWidth="1"/>
    <col min="4089" max="4089" width="10.25" style="378" customWidth="1"/>
    <col min="4090" max="4090" width="12.5" style="378" customWidth="1"/>
    <col min="4091" max="4091" width="12.75" style="378" customWidth="1"/>
    <col min="4092" max="4092" width="6" style="378" customWidth="1"/>
    <col min="4093" max="4093" width="5" style="378" customWidth="1"/>
    <col min="4094" max="4094" width="13.875" style="378" customWidth="1"/>
    <col min="4095" max="4095" width="6" style="378" customWidth="1"/>
    <col min="4096" max="4096" width="5" style="378" customWidth="1"/>
    <col min="4097" max="4097" width="13.875" style="378" customWidth="1"/>
    <col min="4098" max="4098" width="6" style="378" customWidth="1"/>
    <col min="4099" max="4099" width="5" style="378" customWidth="1"/>
    <col min="4100" max="4100" width="13.875" style="378" customWidth="1"/>
    <col min="4101" max="4101" width="6" style="378" customWidth="1"/>
    <col min="4102" max="4102" width="5" style="378" customWidth="1"/>
    <col min="4103" max="4103" width="13.875" style="378" customWidth="1"/>
    <col min="4104" max="4104" width="14" style="378" customWidth="1"/>
    <col min="4105" max="4340" width="14.125" style="378"/>
    <col min="4341" max="4341" width="11.25" style="378" customWidth="1"/>
    <col min="4342" max="4342" width="13.25" style="378" customWidth="1"/>
    <col min="4343" max="4343" width="17.25" style="378" customWidth="1"/>
    <col min="4344" max="4344" width="8.875" style="378" customWidth="1"/>
    <col min="4345" max="4345" width="10.25" style="378" customWidth="1"/>
    <col min="4346" max="4346" width="12.5" style="378" customWidth="1"/>
    <col min="4347" max="4347" width="12.75" style="378" customWidth="1"/>
    <col min="4348" max="4348" width="6" style="378" customWidth="1"/>
    <col min="4349" max="4349" width="5" style="378" customWidth="1"/>
    <col min="4350" max="4350" width="13.875" style="378" customWidth="1"/>
    <col min="4351" max="4351" width="6" style="378" customWidth="1"/>
    <col min="4352" max="4352" width="5" style="378" customWidth="1"/>
    <col min="4353" max="4353" width="13.875" style="378" customWidth="1"/>
    <col min="4354" max="4354" width="6" style="378" customWidth="1"/>
    <col min="4355" max="4355" width="5" style="378" customWidth="1"/>
    <col min="4356" max="4356" width="13.875" style="378" customWidth="1"/>
    <col min="4357" max="4357" width="6" style="378" customWidth="1"/>
    <col min="4358" max="4358" width="5" style="378" customWidth="1"/>
    <col min="4359" max="4359" width="13.875" style="378" customWidth="1"/>
    <col min="4360" max="4360" width="14" style="378" customWidth="1"/>
    <col min="4361" max="4596" width="14.125" style="378"/>
    <col min="4597" max="4597" width="11.25" style="378" customWidth="1"/>
    <col min="4598" max="4598" width="13.25" style="378" customWidth="1"/>
    <col min="4599" max="4599" width="17.25" style="378" customWidth="1"/>
    <col min="4600" max="4600" width="8.875" style="378" customWidth="1"/>
    <col min="4601" max="4601" width="10.25" style="378" customWidth="1"/>
    <col min="4602" max="4602" width="12.5" style="378" customWidth="1"/>
    <col min="4603" max="4603" width="12.75" style="378" customWidth="1"/>
    <col min="4604" max="4604" width="6" style="378" customWidth="1"/>
    <col min="4605" max="4605" width="5" style="378" customWidth="1"/>
    <col min="4606" max="4606" width="13.875" style="378" customWidth="1"/>
    <col min="4607" max="4607" width="6" style="378" customWidth="1"/>
    <col min="4608" max="4608" width="5" style="378" customWidth="1"/>
    <col min="4609" max="4609" width="13.875" style="378" customWidth="1"/>
    <col min="4610" max="4610" width="6" style="378" customWidth="1"/>
    <col min="4611" max="4611" width="5" style="378" customWidth="1"/>
    <col min="4612" max="4612" width="13.875" style="378" customWidth="1"/>
    <col min="4613" max="4613" width="6" style="378" customWidth="1"/>
    <col min="4614" max="4614" width="5" style="378" customWidth="1"/>
    <col min="4615" max="4615" width="13.875" style="378" customWidth="1"/>
    <col min="4616" max="4616" width="14" style="378" customWidth="1"/>
    <col min="4617" max="4852" width="14.125" style="378"/>
    <col min="4853" max="4853" width="11.25" style="378" customWidth="1"/>
    <col min="4854" max="4854" width="13.25" style="378" customWidth="1"/>
    <col min="4855" max="4855" width="17.25" style="378" customWidth="1"/>
    <col min="4856" max="4856" width="8.875" style="378" customWidth="1"/>
    <col min="4857" max="4857" width="10.25" style="378" customWidth="1"/>
    <col min="4858" max="4858" width="12.5" style="378" customWidth="1"/>
    <col min="4859" max="4859" width="12.75" style="378" customWidth="1"/>
    <col min="4860" max="4860" width="6" style="378" customWidth="1"/>
    <col min="4861" max="4861" width="5" style="378" customWidth="1"/>
    <col min="4862" max="4862" width="13.875" style="378" customWidth="1"/>
    <col min="4863" max="4863" width="6" style="378" customWidth="1"/>
    <col min="4864" max="4864" width="5" style="378" customWidth="1"/>
    <col min="4865" max="4865" width="13.875" style="378" customWidth="1"/>
    <col min="4866" max="4866" width="6" style="378" customWidth="1"/>
    <col min="4867" max="4867" width="5" style="378" customWidth="1"/>
    <col min="4868" max="4868" width="13.875" style="378" customWidth="1"/>
    <col min="4869" max="4869" width="6" style="378" customWidth="1"/>
    <col min="4870" max="4870" width="5" style="378" customWidth="1"/>
    <col min="4871" max="4871" width="13.875" style="378" customWidth="1"/>
    <col min="4872" max="4872" width="14" style="378" customWidth="1"/>
    <col min="4873" max="5108" width="14.125" style="378"/>
    <col min="5109" max="5109" width="11.25" style="378" customWidth="1"/>
    <col min="5110" max="5110" width="13.25" style="378" customWidth="1"/>
    <col min="5111" max="5111" width="17.25" style="378" customWidth="1"/>
    <col min="5112" max="5112" width="8.875" style="378" customWidth="1"/>
    <col min="5113" max="5113" width="10.25" style="378" customWidth="1"/>
    <col min="5114" max="5114" width="12.5" style="378" customWidth="1"/>
    <col min="5115" max="5115" width="12.75" style="378" customWidth="1"/>
    <col min="5116" max="5116" width="6" style="378" customWidth="1"/>
    <col min="5117" max="5117" width="5" style="378" customWidth="1"/>
    <col min="5118" max="5118" width="13.875" style="378" customWidth="1"/>
    <col min="5119" max="5119" width="6" style="378" customWidth="1"/>
    <col min="5120" max="5120" width="5" style="378" customWidth="1"/>
    <col min="5121" max="5121" width="13.875" style="378" customWidth="1"/>
    <col min="5122" max="5122" width="6" style="378" customWidth="1"/>
    <col min="5123" max="5123" width="5" style="378" customWidth="1"/>
    <col min="5124" max="5124" width="13.875" style="378" customWidth="1"/>
    <col min="5125" max="5125" width="6" style="378" customWidth="1"/>
    <col min="5126" max="5126" width="5" style="378" customWidth="1"/>
    <col min="5127" max="5127" width="13.875" style="378" customWidth="1"/>
    <col min="5128" max="5128" width="14" style="378" customWidth="1"/>
    <col min="5129" max="5364" width="14.125" style="378"/>
    <col min="5365" max="5365" width="11.25" style="378" customWidth="1"/>
    <col min="5366" max="5366" width="13.25" style="378" customWidth="1"/>
    <col min="5367" max="5367" width="17.25" style="378" customWidth="1"/>
    <col min="5368" max="5368" width="8.875" style="378" customWidth="1"/>
    <col min="5369" max="5369" width="10.25" style="378" customWidth="1"/>
    <col min="5370" max="5370" width="12.5" style="378" customWidth="1"/>
    <col min="5371" max="5371" width="12.75" style="378" customWidth="1"/>
    <col min="5372" max="5372" width="6" style="378" customWidth="1"/>
    <col min="5373" max="5373" width="5" style="378" customWidth="1"/>
    <col min="5374" max="5374" width="13.875" style="378" customWidth="1"/>
    <col min="5375" max="5375" width="6" style="378" customWidth="1"/>
    <col min="5376" max="5376" width="5" style="378" customWidth="1"/>
    <col min="5377" max="5377" width="13.875" style="378" customWidth="1"/>
    <col min="5378" max="5378" width="6" style="378" customWidth="1"/>
    <col min="5379" max="5379" width="5" style="378" customWidth="1"/>
    <col min="5380" max="5380" width="13.875" style="378" customWidth="1"/>
    <col min="5381" max="5381" width="6" style="378" customWidth="1"/>
    <col min="5382" max="5382" width="5" style="378" customWidth="1"/>
    <col min="5383" max="5383" width="13.875" style="378" customWidth="1"/>
    <col min="5384" max="5384" width="14" style="378" customWidth="1"/>
    <col min="5385" max="5620" width="14.125" style="378"/>
    <col min="5621" max="5621" width="11.25" style="378" customWidth="1"/>
    <col min="5622" max="5622" width="13.25" style="378" customWidth="1"/>
    <col min="5623" max="5623" width="17.25" style="378" customWidth="1"/>
    <col min="5624" max="5624" width="8.875" style="378" customWidth="1"/>
    <col min="5625" max="5625" width="10.25" style="378" customWidth="1"/>
    <col min="5626" max="5626" width="12.5" style="378" customWidth="1"/>
    <col min="5627" max="5627" width="12.75" style="378" customWidth="1"/>
    <col min="5628" max="5628" width="6" style="378" customWidth="1"/>
    <col min="5629" max="5629" width="5" style="378" customWidth="1"/>
    <col min="5630" max="5630" width="13.875" style="378" customWidth="1"/>
    <col min="5631" max="5631" width="6" style="378" customWidth="1"/>
    <col min="5632" max="5632" width="5" style="378" customWidth="1"/>
    <col min="5633" max="5633" width="13.875" style="378" customWidth="1"/>
    <col min="5634" max="5634" width="6" style="378" customWidth="1"/>
    <col min="5635" max="5635" width="5" style="378" customWidth="1"/>
    <col min="5636" max="5636" width="13.875" style="378" customWidth="1"/>
    <col min="5637" max="5637" width="6" style="378" customWidth="1"/>
    <col min="5638" max="5638" width="5" style="378" customWidth="1"/>
    <col min="5639" max="5639" width="13.875" style="378" customWidth="1"/>
    <col min="5640" max="5640" width="14" style="378" customWidth="1"/>
    <col min="5641" max="5876" width="14.125" style="378"/>
    <col min="5877" max="5877" width="11.25" style="378" customWidth="1"/>
    <col min="5878" max="5878" width="13.25" style="378" customWidth="1"/>
    <col min="5879" max="5879" width="17.25" style="378" customWidth="1"/>
    <col min="5880" max="5880" width="8.875" style="378" customWidth="1"/>
    <col min="5881" max="5881" width="10.25" style="378" customWidth="1"/>
    <col min="5882" max="5882" width="12.5" style="378" customWidth="1"/>
    <col min="5883" max="5883" width="12.75" style="378" customWidth="1"/>
    <col min="5884" max="5884" width="6" style="378" customWidth="1"/>
    <col min="5885" max="5885" width="5" style="378" customWidth="1"/>
    <col min="5886" max="5886" width="13.875" style="378" customWidth="1"/>
    <col min="5887" max="5887" width="6" style="378" customWidth="1"/>
    <col min="5888" max="5888" width="5" style="378" customWidth="1"/>
    <col min="5889" max="5889" width="13.875" style="378" customWidth="1"/>
    <col min="5890" max="5890" width="6" style="378" customWidth="1"/>
    <col min="5891" max="5891" width="5" style="378" customWidth="1"/>
    <col min="5892" max="5892" width="13.875" style="378" customWidth="1"/>
    <col min="5893" max="5893" width="6" style="378" customWidth="1"/>
    <col min="5894" max="5894" width="5" style="378" customWidth="1"/>
    <col min="5895" max="5895" width="13.875" style="378" customWidth="1"/>
    <col min="5896" max="5896" width="14" style="378" customWidth="1"/>
    <col min="5897" max="6132" width="14.125" style="378"/>
    <col min="6133" max="6133" width="11.25" style="378" customWidth="1"/>
    <col min="6134" max="6134" width="13.25" style="378" customWidth="1"/>
    <col min="6135" max="6135" width="17.25" style="378" customWidth="1"/>
    <col min="6136" max="6136" width="8.875" style="378" customWidth="1"/>
    <col min="6137" max="6137" width="10.25" style="378" customWidth="1"/>
    <col min="6138" max="6138" width="12.5" style="378" customWidth="1"/>
    <col min="6139" max="6139" width="12.75" style="378" customWidth="1"/>
    <col min="6140" max="6140" width="6" style="378" customWidth="1"/>
    <col min="6141" max="6141" width="5" style="378" customWidth="1"/>
    <col min="6142" max="6142" width="13.875" style="378" customWidth="1"/>
    <col min="6143" max="6143" width="6" style="378" customWidth="1"/>
    <col min="6144" max="6144" width="5" style="378" customWidth="1"/>
    <col min="6145" max="6145" width="13.875" style="378" customWidth="1"/>
    <col min="6146" max="6146" width="6" style="378" customWidth="1"/>
    <col min="6147" max="6147" width="5" style="378" customWidth="1"/>
    <col min="6148" max="6148" width="13.875" style="378" customWidth="1"/>
    <col min="6149" max="6149" width="6" style="378" customWidth="1"/>
    <col min="6150" max="6150" width="5" style="378" customWidth="1"/>
    <col min="6151" max="6151" width="13.875" style="378" customWidth="1"/>
    <col min="6152" max="6152" width="14" style="378" customWidth="1"/>
    <col min="6153" max="6388" width="14.125" style="378"/>
    <col min="6389" max="6389" width="11.25" style="378" customWidth="1"/>
    <col min="6390" max="6390" width="13.25" style="378" customWidth="1"/>
    <col min="6391" max="6391" width="17.25" style="378" customWidth="1"/>
    <col min="6392" max="6392" width="8.875" style="378" customWidth="1"/>
    <col min="6393" max="6393" width="10.25" style="378" customWidth="1"/>
    <col min="6394" max="6394" width="12.5" style="378" customWidth="1"/>
    <col min="6395" max="6395" width="12.75" style="378" customWidth="1"/>
    <col min="6396" max="6396" width="6" style="378" customWidth="1"/>
    <col min="6397" max="6397" width="5" style="378" customWidth="1"/>
    <col min="6398" max="6398" width="13.875" style="378" customWidth="1"/>
    <col min="6399" max="6399" width="6" style="378" customWidth="1"/>
    <col min="6400" max="6400" width="5" style="378" customWidth="1"/>
    <col min="6401" max="6401" width="13.875" style="378" customWidth="1"/>
    <col min="6402" max="6402" width="6" style="378" customWidth="1"/>
    <col min="6403" max="6403" width="5" style="378" customWidth="1"/>
    <col min="6404" max="6404" width="13.875" style="378" customWidth="1"/>
    <col min="6405" max="6405" width="6" style="378" customWidth="1"/>
    <col min="6406" max="6406" width="5" style="378" customWidth="1"/>
    <col min="6407" max="6407" width="13.875" style="378" customWidth="1"/>
    <col min="6408" max="6408" width="14" style="378" customWidth="1"/>
    <col min="6409" max="6644" width="14.125" style="378"/>
    <col min="6645" max="6645" width="11.25" style="378" customWidth="1"/>
    <col min="6646" max="6646" width="13.25" style="378" customWidth="1"/>
    <col min="6647" max="6647" width="17.25" style="378" customWidth="1"/>
    <col min="6648" max="6648" width="8.875" style="378" customWidth="1"/>
    <col min="6649" max="6649" width="10.25" style="378" customWidth="1"/>
    <col min="6650" max="6650" width="12.5" style="378" customWidth="1"/>
    <col min="6651" max="6651" width="12.75" style="378" customWidth="1"/>
    <col min="6652" max="6652" width="6" style="378" customWidth="1"/>
    <col min="6653" max="6653" width="5" style="378" customWidth="1"/>
    <col min="6654" max="6654" width="13.875" style="378" customWidth="1"/>
    <col min="6655" max="6655" width="6" style="378" customWidth="1"/>
    <col min="6656" max="6656" width="5" style="378" customWidth="1"/>
    <col min="6657" max="6657" width="13.875" style="378" customWidth="1"/>
    <col min="6658" max="6658" width="6" style="378" customWidth="1"/>
    <col min="6659" max="6659" width="5" style="378" customWidth="1"/>
    <col min="6660" max="6660" width="13.875" style="378" customWidth="1"/>
    <col min="6661" max="6661" width="6" style="378" customWidth="1"/>
    <col min="6662" max="6662" width="5" style="378" customWidth="1"/>
    <col min="6663" max="6663" width="13.875" style="378" customWidth="1"/>
    <col min="6664" max="6664" width="14" style="378" customWidth="1"/>
    <col min="6665" max="6900" width="14.125" style="378"/>
    <col min="6901" max="6901" width="11.25" style="378" customWidth="1"/>
    <col min="6902" max="6902" width="13.25" style="378" customWidth="1"/>
    <col min="6903" max="6903" width="17.25" style="378" customWidth="1"/>
    <col min="6904" max="6904" width="8.875" style="378" customWidth="1"/>
    <col min="6905" max="6905" width="10.25" style="378" customWidth="1"/>
    <col min="6906" max="6906" width="12.5" style="378" customWidth="1"/>
    <col min="6907" max="6907" width="12.75" style="378" customWidth="1"/>
    <col min="6908" max="6908" width="6" style="378" customWidth="1"/>
    <col min="6909" max="6909" width="5" style="378" customWidth="1"/>
    <col min="6910" max="6910" width="13.875" style="378" customWidth="1"/>
    <col min="6911" max="6911" width="6" style="378" customWidth="1"/>
    <col min="6912" max="6912" width="5" style="378" customWidth="1"/>
    <col min="6913" max="6913" width="13.875" style="378" customWidth="1"/>
    <col min="6914" max="6914" width="6" style="378" customWidth="1"/>
    <col min="6915" max="6915" width="5" style="378" customWidth="1"/>
    <col min="6916" max="6916" width="13.875" style="378" customWidth="1"/>
    <col min="6917" max="6917" width="6" style="378" customWidth="1"/>
    <col min="6918" max="6918" width="5" style="378" customWidth="1"/>
    <col min="6919" max="6919" width="13.875" style="378" customWidth="1"/>
    <col min="6920" max="6920" width="14" style="378" customWidth="1"/>
    <col min="6921" max="7156" width="14.125" style="378"/>
    <col min="7157" max="7157" width="11.25" style="378" customWidth="1"/>
    <col min="7158" max="7158" width="13.25" style="378" customWidth="1"/>
    <col min="7159" max="7159" width="17.25" style="378" customWidth="1"/>
    <col min="7160" max="7160" width="8.875" style="378" customWidth="1"/>
    <col min="7161" max="7161" width="10.25" style="378" customWidth="1"/>
    <col min="7162" max="7162" width="12.5" style="378" customWidth="1"/>
    <col min="7163" max="7163" width="12.75" style="378" customWidth="1"/>
    <col min="7164" max="7164" width="6" style="378" customWidth="1"/>
    <col min="7165" max="7165" width="5" style="378" customWidth="1"/>
    <col min="7166" max="7166" width="13.875" style="378" customWidth="1"/>
    <col min="7167" max="7167" width="6" style="378" customWidth="1"/>
    <col min="7168" max="7168" width="5" style="378" customWidth="1"/>
    <col min="7169" max="7169" width="13.875" style="378" customWidth="1"/>
    <col min="7170" max="7170" width="6" style="378" customWidth="1"/>
    <col min="7171" max="7171" width="5" style="378" customWidth="1"/>
    <col min="7172" max="7172" width="13.875" style="378" customWidth="1"/>
    <col min="7173" max="7173" width="6" style="378" customWidth="1"/>
    <col min="7174" max="7174" width="5" style="378" customWidth="1"/>
    <col min="7175" max="7175" width="13.875" style="378" customWidth="1"/>
    <col min="7176" max="7176" width="14" style="378" customWidth="1"/>
    <col min="7177" max="7412" width="14.125" style="378"/>
    <col min="7413" max="7413" width="11.25" style="378" customWidth="1"/>
    <col min="7414" max="7414" width="13.25" style="378" customWidth="1"/>
    <col min="7415" max="7415" width="17.25" style="378" customWidth="1"/>
    <col min="7416" max="7416" width="8.875" style="378" customWidth="1"/>
    <col min="7417" max="7417" width="10.25" style="378" customWidth="1"/>
    <col min="7418" max="7418" width="12.5" style="378" customWidth="1"/>
    <col min="7419" max="7419" width="12.75" style="378" customWidth="1"/>
    <col min="7420" max="7420" width="6" style="378" customWidth="1"/>
    <col min="7421" max="7421" width="5" style="378" customWidth="1"/>
    <col min="7422" max="7422" width="13.875" style="378" customWidth="1"/>
    <col min="7423" max="7423" width="6" style="378" customWidth="1"/>
    <col min="7424" max="7424" width="5" style="378" customWidth="1"/>
    <col min="7425" max="7425" width="13.875" style="378" customWidth="1"/>
    <col min="7426" max="7426" width="6" style="378" customWidth="1"/>
    <col min="7427" max="7427" width="5" style="378" customWidth="1"/>
    <col min="7428" max="7428" width="13.875" style="378" customWidth="1"/>
    <col min="7429" max="7429" width="6" style="378" customWidth="1"/>
    <col min="7430" max="7430" width="5" style="378" customWidth="1"/>
    <col min="7431" max="7431" width="13.875" style="378" customWidth="1"/>
    <col min="7432" max="7432" width="14" style="378" customWidth="1"/>
    <col min="7433" max="7668" width="14.125" style="378"/>
    <col min="7669" max="7669" width="11.25" style="378" customWidth="1"/>
    <col min="7670" max="7670" width="13.25" style="378" customWidth="1"/>
    <col min="7671" max="7671" width="17.25" style="378" customWidth="1"/>
    <col min="7672" max="7672" width="8.875" style="378" customWidth="1"/>
    <col min="7673" max="7673" width="10.25" style="378" customWidth="1"/>
    <col min="7674" max="7674" width="12.5" style="378" customWidth="1"/>
    <col min="7675" max="7675" width="12.75" style="378" customWidth="1"/>
    <col min="7676" max="7676" width="6" style="378" customWidth="1"/>
    <col min="7677" max="7677" width="5" style="378" customWidth="1"/>
    <col min="7678" max="7678" width="13.875" style="378" customWidth="1"/>
    <col min="7679" max="7679" width="6" style="378" customWidth="1"/>
    <col min="7680" max="7680" width="5" style="378" customWidth="1"/>
    <col min="7681" max="7681" width="13.875" style="378" customWidth="1"/>
    <col min="7682" max="7682" width="6" style="378" customWidth="1"/>
    <col min="7683" max="7683" width="5" style="378" customWidth="1"/>
    <col min="7684" max="7684" width="13.875" style="378" customWidth="1"/>
    <col min="7685" max="7685" width="6" style="378" customWidth="1"/>
    <col min="7686" max="7686" width="5" style="378" customWidth="1"/>
    <col min="7687" max="7687" width="13.875" style="378" customWidth="1"/>
    <col min="7688" max="7688" width="14" style="378" customWidth="1"/>
    <col min="7689" max="7924" width="14.125" style="378"/>
    <col min="7925" max="7925" width="11.25" style="378" customWidth="1"/>
    <col min="7926" max="7926" width="13.25" style="378" customWidth="1"/>
    <col min="7927" max="7927" width="17.25" style="378" customWidth="1"/>
    <col min="7928" max="7928" width="8.875" style="378" customWidth="1"/>
    <col min="7929" max="7929" width="10.25" style="378" customWidth="1"/>
    <col min="7930" max="7930" width="12.5" style="378" customWidth="1"/>
    <col min="7931" max="7931" width="12.75" style="378" customWidth="1"/>
    <col min="7932" max="7932" width="6" style="378" customWidth="1"/>
    <col min="7933" max="7933" width="5" style="378" customWidth="1"/>
    <col min="7934" max="7934" width="13.875" style="378" customWidth="1"/>
    <col min="7935" max="7935" width="6" style="378" customWidth="1"/>
    <col min="7936" max="7936" width="5" style="378" customWidth="1"/>
    <col min="7937" max="7937" width="13.875" style="378" customWidth="1"/>
    <col min="7938" max="7938" width="6" style="378" customWidth="1"/>
    <col min="7939" max="7939" width="5" style="378" customWidth="1"/>
    <col min="7940" max="7940" width="13.875" style="378" customWidth="1"/>
    <col min="7941" max="7941" width="6" style="378" customWidth="1"/>
    <col min="7942" max="7942" width="5" style="378" customWidth="1"/>
    <col min="7943" max="7943" width="13.875" style="378" customWidth="1"/>
    <col min="7944" max="7944" width="14" style="378" customWidth="1"/>
    <col min="7945" max="8180" width="14.125" style="378"/>
    <col min="8181" max="8181" width="11.25" style="378" customWidth="1"/>
    <col min="8182" max="8182" width="13.25" style="378" customWidth="1"/>
    <col min="8183" max="8183" width="17.25" style="378" customWidth="1"/>
    <col min="8184" max="8184" width="8.875" style="378" customWidth="1"/>
    <col min="8185" max="8185" width="10.25" style="378" customWidth="1"/>
    <col min="8186" max="8186" width="12.5" style="378" customWidth="1"/>
    <col min="8187" max="8187" width="12.75" style="378" customWidth="1"/>
    <col min="8188" max="8188" width="6" style="378" customWidth="1"/>
    <col min="8189" max="8189" width="5" style="378" customWidth="1"/>
    <col min="8190" max="8190" width="13.875" style="378" customWidth="1"/>
    <col min="8191" max="8191" width="6" style="378" customWidth="1"/>
    <col min="8192" max="8192" width="5" style="378" customWidth="1"/>
    <col min="8193" max="8193" width="13.875" style="378" customWidth="1"/>
    <col min="8194" max="8194" width="6" style="378" customWidth="1"/>
    <col min="8195" max="8195" width="5" style="378" customWidth="1"/>
    <col min="8196" max="8196" width="13.875" style="378" customWidth="1"/>
    <col min="8197" max="8197" width="6" style="378" customWidth="1"/>
    <col min="8198" max="8198" width="5" style="378" customWidth="1"/>
    <col min="8199" max="8199" width="13.875" style="378" customWidth="1"/>
    <col min="8200" max="8200" width="14" style="378" customWidth="1"/>
    <col min="8201" max="8436" width="14.125" style="378"/>
    <col min="8437" max="8437" width="11.25" style="378" customWidth="1"/>
    <col min="8438" max="8438" width="13.25" style="378" customWidth="1"/>
    <col min="8439" max="8439" width="17.25" style="378" customWidth="1"/>
    <col min="8440" max="8440" width="8.875" style="378" customWidth="1"/>
    <col min="8441" max="8441" width="10.25" style="378" customWidth="1"/>
    <col min="8442" max="8442" width="12.5" style="378" customWidth="1"/>
    <col min="8443" max="8443" width="12.75" style="378" customWidth="1"/>
    <col min="8444" max="8444" width="6" style="378" customWidth="1"/>
    <col min="8445" max="8445" width="5" style="378" customWidth="1"/>
    <col min="8446" max="8446" width="13.875" style="378" customWidth="1"/>
    <col min="8447" max="8447" width="6" style="378" customWidth="1"/>
    <col min="8448" max="8448" width="5" style="378" customWidth="1"/>
    <col min="8449" max="8449" width="13.875" style="378" customWidth="1"/>
    <col min="8450" max="8450" width="6" style="378" customWidth="1"/>
    <col min="8451" max="8451" width="5" style="378" customWidth="1"/>
    <col min="8452" max="8452" width="13.875" style="378" customWidth="1"/>
    <col min="8453" max="8453" width="6" style="378" customWidth="1"/>
    <col min="8454" max="8454" width="5" style="378" customWidth="1"/>
    <col min="8455" max="8455" width="13.875" style="378" customWidth="1"/>
    <col min="8456" max="8456" width="14" style="378" customWidth="1"/>
    <col min="8457" max="8692" width="14.125" style="378"/>
    <col min="8693" max="8693" width="11.25" style="378" customWidth="1"/>
    <col min="8694" max="8694" width="13.25" style="378" customWidth="1"/>
    <col min="8695" max="8695" width="17.25" style="378" customWidth="1"/>
    <col min="8696" max="8696" width="8.875" style="378" customWidth="1"/>
    <col min="8697" max="8697" width="10.25" style="378" customWidth="1"/>
    <col min="8698" max="8698" width="12.5" style="378" customWidth="1"/>
    <col min="8699" max="8699" width="12.75" style="378" customWidth="1"/>
    <col min="8700" max="8700" width="6" style="378" customWidth="1"/>
    <col min="8701" max="8701" width="5" style="378" customWidth="1"/>
    <col min="8702" max="8702" width="13.875" style="378" customWidth="1"/>
    <col min="8703" max="8703" width="6" style="378" customWidth="1"/>
    <col min="8704" max="8704" width="5" style="378" customWidth="1"/>
    <col min="8705" max="8705" width="13.875" style="378" customWidth="1"/>
    <col min="8706" max="8706" width="6" style="378" customWidth="1"/>
    <col min="8707" max="8707" width="5" style="378" customWidth="1"/>
    <col min="8708" max="8708" width="13.875" style="378" customWidth="1"/>
    <col min="8709" max="8709" width="6" style="378" customWidth="1"/>
    <col min="8710" max="8710" width="5" style="378" customWidth="1"/>
    <col min="8711" max="8711" width="13.875" style="378" customWidth="1"/>
    <col min="8712" max="8712" width="14" style="378" customWidth="1"/>
    <col min="8713" max="8948" width="14.125" style="378"/>
    <col min="8949" max="8949" width="11.25" style="378" customWidth="1"/>
    <col min="8950" max="8950" width="13.25" style="378" customWidth="1"/>
    <col min="8951" max="8951" width="17.25" style="378" customWidth="1"/>
    <col min="8952" max="8952" width="8.875" style="378" customWidth="1"/>
    <col min="8953" max="8953" width="10.25" style="378" customWidth="1"/>
    <col min="8954" max="8954" width="12.5" style="378" customWidth="1"/>
    <col min="8955" max="8955" width="12.75" style="378" customWidth="1"/>
    <col min="8956" max="8956" width="6" style="378" customWidth="1"/>
    <col min="8957" max="8957" width="5" style="378" customWidth="1"/>
    <col min="8958" max="8958" width="13.875" style="378" customWidth="1"/>
    <col min="8959" max="8959" width="6" style="378" customWidth="1"/>
    <col min="8960" max="8960" width="5" style="378" customWidth="1"/>
    <col min="8961" max="8961" width="13.875" style="378" customWidth="1"/>
    <col min="8962" max="8962" width="6" style="378" customWidth="1"/>
    <col min="8963" max="8963" width="5" style="378" customWidth="1"/>
    <col min="8964" max="8964" width="13.875" style="378" customWidth="1"/>
    <col min="8965" max="8965" width="6" style="378" customWidth="1"/>
    <col min="8966" max="8966" width="5" style="378" customWidth="1"/>
    <col min="8967" max="8967" width="13.875" style="378" customWidth="1"/>
    <col min="8968" max="8968" width="14" style="378" customWidth="1"/>
    <col min="8969" max="9204" width="14.125" style="378"/>
    <col min="9205" max="9205" width="11.25" style="378" customWidth="1"/>
    <col min="9206" max="9206" width="13.25" style="378" customWidth="1"/>
    <col min="9207" max="9207" width="17.25" style="378" customWidth="1"/>
    <col min="9208" max="9208" width="8.875" style="378" customWidth="1"/>
    <col min="9209" max="9209" width="10.25" style="378" customWidth="1"/>
    <col min="9210" max="9210" width="12.5" style="378" customWidth="1"/>
    <col min="9211" max="9211" width="12.75" style="378" customWidth="1"/>
    <col min="9212" max="9212" width="6" style="378" customWidth="1"/>
    <col min="9213" max="9213" width="5" style="378" customWidth="1"/>
    <col min="9214" max="9214" width="13.875" style="378" customWidth="1"/>
    <col min="9215" max="9215" width="6" style="378" customWidth="1"/>
    <col min="9216" max="9216" width="5" style="378" customWidth="1"/>
    <col min="9217" max="9217" width="13.875" style="378" customWidth="1"/>
    <col min="9218" max="9218" width="6" style="378" customWidth="1"/>
    <col min="9219" max="9219" width="5" style="378" customWidth="1"/>
    <col min="9220" max="9220" width="13.875" style="378" customWidth="1"/>
    <col min="9221" max="9221" width="6" style="378" customWidth="1"/>
    <col min="9222" max="9222" width="5" style="378" customWidth="1"/>
    <col min="9223" max="9223" width="13.875" style="378" customWidth="1"/>
    <col min="9224" max="9224" width="14" style="378" customWidth="1"/>
    <col min="9225" max="9460" width="14.125" style="378"/>
    <col min="9461" max="9461" width="11.25" style="378" customWidth="1"/>
    <col min="9462" max="9462" width="13.25" style="378" customWidth="1"/>
    <col min="9463" max="9463" width="17.25" style="378" customWidth="1"/>
    <col min="9464" max="9464" width="8.875" style="378" customWidth="1"/>
    <col min="9465" max="9465" width="10.25" style="378" customWidth="1"/>
    <col min="9466" max="9466" width="12.5" style="378" customWidth="1"/>
    <col min="9467" max="9467" width="12.75" style="378" customWidth="1"/>
    <col min="9468" max="9468" width="6" style="378" customWidth="1"/>
    <col min="9469" max="9469" width="5" style="378" customWidth="1"/>
    <col min="9470" max="9470" width="13.875" style="378" customWidth="1"/>
    <col min="9471" max="9471" width="6" style="378" customWidth="1"/>
    <col min="9472" max="9472" width="5" style="378" customWidth="1"/>
    <col min="9473" max="9473" width="13.875" style="378" customWidth="1"/>
    <col min="9474" max="9474" width="6" style="378" customWidth="1"/>
    <col min="9475" max="9475" width="5" style="378" customWidth="1"/>
    <col min="9476" max="9476" width="13.875" style="378" customWidth="1"/>
    <col min="9477" max="9477" width="6" style="378" customWidth="1"/>
    <col min="9478" max="9478" width="5" style="378" customWidth="1"/>
    <col min="9479" max="9479" width="13.875" style="378" customWidth="1"/>
    <col min="9480" max="9480" width="14" style="378" customWidth="1"/>
    <col min="9481" max="9716" width="14.125" style="378"/>
    <col min="9717" max="9717" width="11.25" style="378" customWidth="1"/>
    <col min="9718" max="9718" width="13.25" style="378" customWidth="1"/>
    <col min="9719" max="9719" width="17.25" style="378" customWidth="1"/>
    <col min="9720" max="9720" width="8.875" style="378" customWidth="1"/>
    <col min="9721" max="9721" width="10.25" style="378" customWidth="1"/>
    <col min="9722" max="9722" width="12.5" style="378" customWidth="1"/>
    <col min="9723" max="9723" width="12.75" style="378" customWidth="1"/>
    <col min="9724" max="9724" width="6" style="378" customWidth="1"/>
    <col min="9725" max="9725" width="5" style="378" customWidth="1"/>
    <col min="9726" max="9726" width="13.875" style="378" customWidth="1"/>
    <col min="9727" max="9727" width="6" style="378" customWidth="1"/>
    <col min="9728" max="9728" width="5" style="378" customWidth="1"/>
    <col min="9729" max="9729" width="13.875" style="378" customWidth="1"/>
    <col min="9730" max="9730" width="6" style="378" customWidth="1"/>
    <col min="9731" max="9731" width="5" style="378" customWidth="1"/>
    <col min="9732" max="9732" width="13.875" style="378" customWidth="1"/>
    <col min="9733" max="9733" width="6" style="378" customWidth="1"/>
    <col min="9734" max="9734" width="5" style="378" customWidth="1"/>
    <col min="9735" max="9735" width="13.875" style="378" customWidth="1"/>
    <col min="9736" max="9736" width="14" style="378" customWidth="1"/>
    <col min="9737" max="9972" width="14.125" style="378"/>
    <col min="9973" max="9973" width="11.25" style="378" customWidth="1"/>
    <col min="9974" max="9974" width="13.25" style="378" customWidth="1"/>
    <col min="9975" max="9975" width="17.25" style="378" customWidth="1"/>
    <col min="9976" max="9976" width="8.875" style="378" customWidth="1"/>
    <col min="9977" max="9977" width="10.25" style="378" customWidth="1"/>
    <col min="9978" max="9978" width="12.5" style="378" customWidth="1"/>
    <col min="9979" max="9979" width="12.75" style="378" customWidth="1"/>
    <col min="9980" max="9980" width="6" style="378" customWidth="1"/>
    <col min="9981" max="9981" width="5" style="378" customWidth="1"/>
    <col min="9982" max="9982" width="13.875" style="378" customWidth="1"/>
    <col min="9983" max="9983" width="6" style="378" customWidth="1"/>
    <col min="9984" max="9984" width="5" style="378" customWidth="1"/>
    <col min="9985" max="9985" width="13.875" style="378" customWidth="1"/>
    <col min="9986" max="9986" width="6" style="378" customWidth="1"/>
    <col min="9987" max="9987" width="5" style="378" customWidth="1"/>
    <col min="9988" max="9988" width="13.875" style="378" customWidth="1"/>
    <col min="9989" max="9989" width="6" style="378" customWidth="1"/>
    <col min="9990" max="9990" width="5" style="378" customWidth="1"/>
    <col min="9991" max="9991" width="13.875" style="378" customWidth="1"/>
    <col min="9992" max="9992" width="14" style="378" customWidth="1"/>
    <col min="9993" max="10228" width="14.125" style="378"/>
    <col min="10229" max="10229" width="11.25" style="378" customWidth="1"/>
    <col min="10230" max="10230" width="13.25" style="378" customWidth="1"/>
    <col min="10231" max="10231" width="17.25" style="378" customWidth="1"/>
    <col min="10232" max="10232" width="8.875" style="378" customWidth="1"/>
    <col min="10233" max="10233" width="10.25" style="378" customWidth="1"/>
    <col min="10234" max="10234" width="12.5" style="378" customWidth="1"/>
    <col min="10235" max="10235" width="12.75" style="378" customWidth="1"/>
    <col min="10236" max="10236" width="6" style="378" customWidth="1"/>
    <col min="10237" max="10237" width="5" style="378" customWidth="1"/>
    <col min="10238" max="10238" width="13.875" style="378" customWidth="1"/>
    <col min="10239" max="10239" width="6" style="378" customWidth="1"/>
    <col min="10240" max="10240" width="5" style="378" customWidth="1"/>
    <col min="10241" max="10241" width="13.875" style="378" customWidth="1"/>
    <col min="10242" max="10242" width="6" style="378" customWidth="1"/>
    <col min="10243" max="10243" width="5" style="378" customWidth="1"/>
    <col min="10244" max="10244" width="13.875" style="378" customWidth="1"/>
    <col min="10245" max="10245" width="6" style="378" customWidth="1"/>
    <col min="10246" max="10246" width="5" style="378" customWidth="1"/>
    <col min="10247" max="10247" width="13.875" style="378" customWidth="1"/>
    <col min="10248" max="10248" width="14" style="378" customWidth="1"/>
    <col min="10249" max="10484" width="14.125" style="378"/>
    <col min="10485" max="10485" width="11.25" style="378" customWidth="1"/>
    <col min="10486" max="10486" width="13.25" style="378" customWidth="1"/>
    <col min="10487" max="10487" width="17.25" style="378" customWidth="1"/>
    <col min="10488" max="10488" width="8.875" style="378" customWidth="1"/>
    <col min="10489" max="10489" width="10.25" style="378" customWidth="1"/>
    <col min="10490" max="10490" width="12.5" style="378" customWidth="1"/>
    <col min="10491" max="10491" width="12.75" style="378" customWidth="1"/>
    <col min="10492" max="10492" width="6" style="378" customWidth="1"/>
    <col min="10493" max="10493" width="5" style="378" customWidth="1"/>
    <col min="10494" max="10494" width="13.875" style="378" customWidth="1"/>
    <col min="10495" max="10495" width="6" style="378" customWidth="1"/>
    <col min="10496" max="10496" width="5" style="378" customWidth="1"/>
    <col min="10497" max="10497" width="13.875" style="378" customWidth="1"/>
    <col min="10498" max="10498" width="6" style="378" customWidth="1"/>
    <col min="10499" max="10499" width="5" style="378" customWidth="1"/>
    <col min="10500" max="10500" width="13.875" style="378" customWidth="1"/>
    <col min="10501" max="10501" width="6" style="378" customWidth="1"/>
    <col min="10502" max="10502" width="5" style="378" customWidth="1"/>
    <col min="10503" max="10503" width="13.875" style="378" customWidth="1"/>
    <col min="10504" max="10504" width="14" style="378" customWidth="1"/>
    <col min="10505" max="10740" width="14.125" style="378"/>
    <col min="10741" max="10741" width="11.25" style="378" customWidth="1"/>
    <col min="10742" max="10742" width="13.25" style="378" customWidth="1"/>
    <col min="10743" max="10743" width="17.25" style="378" customWidth="1"/>
    <col min="10744" max="10744" width="8.875" style="378" customWidth="1"/>
    <col min="10745" max="10745" width="10.25" style="378" customWidth="1"/>
    <col min="10746" max="10746" width="12.5" style="378" customWidth="1"/>
    <col min="10747" max="10747" width="12.75" style="378" customWidth="1"/>
    <col min="10748" max="10748" width="6" style="378" customWidth="1"/>
    <col min="10749" max="10749" width="5" style="378" customWidth="1"/>
    <col min="10750" max="10750" width="13.875" style="378" customWidth="1"/>
    <col min="10751" max="10751" width="6" style="378" customWidth="1"/>
    <col min="10752" max="10752" width="5" style="378" customWidth="1"/>
    <col min="10753" max="10753" width="13.875" style="378" customWidth="1"/>
    <col min="10754" max="10754" width="6" style="378" customWidth="1"/>
    <col min="10755" max="10755" width="5" style="378" customWidth="1"/>
    <col min="10756" max="10756" width="13.875" style="378" customWidth="1"/>
    <col min="10757" max="10757" width="6" style="378" customWidth="1"/>
    <col min="10758" max="10758" width="5" style="378" customWidth="1"/>
    <col min="10759" max="10759" width="13.875" style="378" customWidth="1"/>
    <col min="10760" max="10760" width="14" style="378" customWidth="1"/>
    <col min="10761" max="10996" width="14.125" style="378"/>
    <col min="10997" max="10997" width="11.25" style="378" customWidth="1"/>
    <col min="10998" max="10998" width="13.25" style="378" customWidth="1"/>
    <col min="10999" max="10999" width="17.25" style="378" customWidth="1"/>
    <col min="11000" max="11000" width="8.875" style="378" customWidth="1"/>
    <col min="11001" max="11001" width="10.25" style="378" customWidth="1"/>
    <col min="11002" max="11002" width="12.5" style="378" customWidth="1"/>
    <col min="11003" max="11003" width="12.75" style="378" customWidth="1"/>
    <col min="11004" max="11004" width="6" style="378" customWidth="1"/>
    <col min="11005" max="11005" width="5" style="378" customWidth="1"/>
    <col min="11006" max="11006" width="13.875" style="378" customWidth="1"/>
    <col min="11007" max="11007" width="6" style="378" customWidth="1"/>
    <col min="11008" max="11008" width="5" style="378" customWidth="1"/>
    <col min="11009" max="11009" width="13.875" style="378" customWidth="1"/>
    <col min="11010" max="11010" width="6" style="378" customWidth="1"/>
    <col min="11011" max="11011" width="5" style="378" customWidth="1"/>
    <col min="11012" max="11012" width="13.875" style="378" customWidth="1"/>
    <col min="11013" max="11013" width="6" style="378" customWidth="1"/>
    <col min="11014" max="11014" width="5" style="378" customWidth="1"/>
    <col min="11015" max="11015" width="13.875" style="378" customWidth="1"/>
    <col min="11016" max="11016" width="14" style="378" customWidth="1"/>
    <col min="11017" max="11252" width="14.125" style="378"/>
    <col min="11253" max="11253" width="11.25" style="378" customWidth="1"/>
    <col min="11254" max="11254" width="13.25" style="378" customWidth="1"/>
    <col min="11255" max="11255" width="17.25" style="378" customWidth="1"/>
    <col min="11256" max="11256" width="8.875" style="378" customWidth="1"/>
    <col min="11257" max="11257" width="10.25" style="378" customWidth="1"/>
    <col min="11258" max="11258" width="12.5" style="378" customWidth="1"/>
    <col min="11259" max="11259" width="12.75" style="378" customWidth="1"/>
    <col min="11260" max="11260" width="6" style="378" customWidth="1"/>
    <col min="11261" max="11261" width="5" style="378" customWidth="1"/>
    <col min="11262" max="11262" width="13.875" style="378" customWidth="1"/>
    <col min="11263" max="11263" width="6" style="378" customWidth="1"/>
    <col min="11264" max="11264" width="5" style="378" customWidth="1"/>
    <col min="11265" max="11265" width="13.875" style="378" customWidth="1"/>
    <col min="11266" max="11266" width="6" style="378" customWidth="1"/>
    <col min="11267" max="11267" width="5" style="378" customWidth="1"/>
    <col min="11268" max="11268" width="13.875" style="378" customWidth="1"/>
    <col min="11269" max="11269" width="6" style="378" customWidth="1"/>
    <col min="11270" max="11270" width="5" style="378" customWidth="1"/>
    <col min="11271" max="11271" width="13.875" style="378" customWidth="1"/>
    <col min="11272" max="11272" width="14" style="378" customWidth="1"/>
    <col min="11273" max="11508" width="14.125" style="378"/>
    <col min="11509" max="11509" width="11.25" style="378" customWidth="1"/>
    <col min="11510" max="11510" width="13.25" style="378" customWidth="1"/>
    <col min="11511" max="11511" width="17.25" style="378" customWidth="1"/>
    <col min="11512" max="11512" width="8.875" style="378" customWidth="1"/>
    <col min="11513" max="11513" width="10.25" style="378" customWidth="1"/>
    <col min="11514" max="11514" width="12.5" style="378" customWidth="1"/>
    <col min="11515" max="11515" width="12.75" style="378" customWidth="1"/>
    <col min="11516" max="11516" width="6" style="378" customWidth="1"/>
    <col min="11517" max="11517" width="5" style="378" customWidth="1"/>
    <col min="11518" max="11518" width="13.875" style="378" customWidth="1"/>
    <col min="11519" max="11519" width="6" style="378" customWidth="1"/>
    <col min="11520" max="11520" width="5" style="378" customWidth="1"/>
    <col min="11521" max="11521" width="13.875" style="378" customWidth="1"/>
    <col min="11522" max="11522" width="6" style="378" customWidth="1"/>
    <col min="11523" max="11523" width="5" style="378" customWidth="1"/>
    <col min="11524" max="11524" width="13.875" style="378" customWidth="1"/>
    <col min="11525" max="11525" width="6" style="378" customWidth="1"/>
    <col min="11526" max="11526" width="5" style="378" customWidth="1"/>
    <col min="11527" max="11527" width="13.875" style="378" customWidth="1"/>
    <col min="11528" max="11528" width="14" style="378" customWidth="1"/>
    <col min="11529" max="11764" width="14.125" style="378"/>
    <col min="11765" max="11765" width="11.25" style="378" customWidth="1"/>
    <col min="11766" max="11766" width="13.25" style="378" customWidth="1"/>
    <col min="11767" max="11767" width="17.25" style="378" customWidth="1"/>
    <col min="11768" max="11768" width="8.875" style="378" customWidth="1"/>
    <col min="11769" max="11769" width="10.25" style="378" customWidth="1"/>
    <col min="11770" max="11770" width="12.5" style="378" customWidth="1"/>
    <col min="11771" max="11771" width="12.75" style="378" customWidth="1"/>
    <col min="11772" max="11772" width="6" style="378" customWidth="1"/>
    <col min="11773" max="11773" width="5" style="378" customWidth="1"/>
    <col min="11774" max="11774" width="13.875" style="378" customWidth="1"/>
    <col min="11775" max="11775" width="6" style="378" customWidth="1"/>
    <col min="11776" max="11776" width="5" style="378" customWidth="1"/>
    <col min="11777" max="11777" width="13.875" style="378" customWidth="1"/>
    <col min="11778" max="11778" width="6" style="378" customWidth="1"/>
    <col min="11779" max="11779" width="5" style="378" customWidth="1"/>
    <col min="11780" max="11780" width="13.875" style="378" customWidth="1"/>
    <col min="11781" max="11781" width="6" style="378" customWidth="1"/>
    <col min="11782" max="11782" width="5" style="378" customWidth="1"/>
    <col min="11783" max="11783" width="13.875" style="378" customWidth="1"/>
    <col min="11784" max="11784" width="14" style="378" customWidth="1"/>
    <col min="11785" max="12020" width="14.125" style="378"/>
    <col min="12021" max="12021" width="11.25" style="378" customWidth="1"/>
    <col min="12022" max="12022" width="13.25" style="378" customWidth="1"/>
    <col min="12023" max="12023" width="17.25" style="378" customWidth="1"/>
    <col min="12024" max="12024" width="8.875" style="378" customWidth="1"/>
    <col min="12025" max="12025" width="10.25" style="378" customWidth="1"/>
    <col min="12026" max="12026" width="12.5" style="378" customWidth="1"/>
    <col min="12027" max="12027" width="12.75" style="378" customWidth="1"/>
    <col min="12028" max="12028" width="6" style="378" customWidth="1"/>
    <col min="12029" max="12029" width="5" style="378" customWidth="1"/>
    <col min="12030" max="12030" width="13.875" style="378" customWidth="1"/>
    <col min="12031" max="12031" width="6" style="378" customWidth="1"/>
    <col min="12032" max="12032" width="5" style="378" customWidth="1"/>
    <col min="12033" max="12033" width="13.875" style="378" customWidth="1"/>
    <col min="12034" max="12034" width="6" style="378" customWidth="1"/>
    <col min="12035" max="12035" width="5" style="378" customWidth="1"/>
    <col min="12036" max="12036" width="13.875" style="378" customWidth="1"/>
    <col min="12037" max="12037" width="6" style="378" customWidth="1"/>
    <col min="12038" max="12038" width="5" style="378" customWidth="1"/>
    <col min="12039" max="12039" width="13.875" style="378" customWidth="1"/>
    <col min="12040" max="12040" width="14" style="378" customWidth="1"/>
    <col min="12041" max="12276" width="14.125" style="378"/>
    <col min="12277" max="12277" width="11.25" style="378" customWidth="1"/>
    <col min="12278" max="12278" width="13.25" style="378" customWidth="1"/>
    <col min="12279" max="12279" width="17.25" style="378" customWidth="1"/>
    <col min="12280" max="12280" width="8.875" style="378" customWidth="1"/>
    <col min="12281" max="12281" width="10.25" style="378" customWidth="1"/>
    <col min="12282" max="12282" width="12.5" style="378" customWidth="1"/>
    <col min="12283" max="12283" width="12.75" style="378" customWidth="1"/>
    <col min="12284" max="12284" width="6" style="378" customWidth="1"/>
    <col min="12285" max="12285" width="5" style="378" customWidth="1"/>
    <col min="12286" max="12286" width="13.875" style="378" customWidth="1"/>
    <col min="12287" max="12287" width="6" style="378" customWidth="1"/>
    <col min="12288" max="12288" width="5" style="378" customWidth="1"/>
    <col min="12289" max="12289" width="13.875" style="378" customWidth="1"/>
    <col min="12290" max="12290" width="6" style="378" customWidth="1"/>
    <col min="12291" max="12291" width="5" style="378" customWidth="1"/>
    <col min="12292" max="12292" width="13.875" style="378" customWidth="1"/>
    <col min="12293" max="12293" width="6" style="378" customWidth="1"/>
    <col min="12294" max="12294" width="5" style="378" customWidth="1"/>
    <col min="12295" max="12295" width="13.875" style="378" customWidth="1"/>
    <col min="12296" max="12296" width="14" style="378" customWidth="1"/>
    <col min="12297" max="12532" width="14.125" style="378"/>
    <col min="12533" max="12533" width="11.25" style="378" customWidth="1"/>
    <col min="12534" max="12534" width="13.25" style="378" customWidth="1"/>
    <col min="12535" max="12535" width="17.25" style="378" customWidth="1"/>
    <col min="12536" max="12536" width="8.875" style="378" customWidth="1"/>
    <col min="12537" max="12537" width="10.25" style="378" customWidth="1"/>
    <col min="12538" max="12538" width="12.5" style="378" customWidth="1"/>
    <col min="12539" max="12539" width="12.75" style="378" customWidth="1"/>
    <col min="12540" max="12540" width="6" style="378" customWidth="1"/>
    <col min="12541" max="12541" width="5" style="378" customWidth="1"/>
    <col min="12542" max="12542" width="13.875" style="378" customWidth="1"/>
    <col min="12543" max="12543" width="6" style="378" customWidth="1"/>
    <col min="12544" max="12544" width="5" style="378" customWidth="1"/>
    <col min="12545" max="12545" width="13.875" style="378" customWidth="1"/>
    <col min="12546" max="12546" width="6" style="378" customWidth="1"/>
    <col min="12547" max="12547" width="5" style="378" customWidth="1"/>
    <col min="12548" max="12548" width="13.875" style="378" customWidth="1"/>
    <col min="12549" max="12549" width="6" style="378" customWidth="1"/>
    <col min="12550" max="12550" width="5" style="378" customWidth="1"/>
    <col min="12551" max="12551" width="13.875" style="378" customWidth="1"/>
    <col min="12552" max="12552" width="14" style="378" customWidth="1"/>
    <col min="12553" max="12788" width="14.125" style="378"/>
    <col min="12789" max="12789" width="11.25" style="378" customWidth="1"/>
    <col min="12790" max="12790" width="13.25" style="378" customWidth="1"/>
    <col min="12791" max="12791" width="17.25" style="378" customWidth="1"/>
    <col min="12792" max="12792" width="8.875" style="378" customWidth="1"/>
    <col min="12793" max="12793" width="10.25" style="378" customWidth="1"/>
    <col min="12794" max="12794" width="12.5" style="378" customWidth="1"/>
    <col min="12795" max="12795" width="12.75" style="378" customWidth="1"/>
    <col min="12796" max="12796" width="6" style="378" customWidth="1"/>
    <col min="12797" max="12797" width="5" style="378" customWidth="1"/>
    <col min="12798" max="12798" width="13.875" style="378" customWidth="1"/>
    <col min="12799" max="12799" width="6" style="378" customWidth="1"/>
    <col min="12800" max="12800" width="5" style="378" customWidth="1"/>
    <col min="12801" max="12801" width="13.875" style="378" customWidth="1"/>
    <col min="12802" max="12802" width="6" style="378" customWidth="1"/>
    <col min="12803" max="12803" width="5" style="378" customWidth="1"/>
    <col min="12804" max="12804" width="13.875" style="378" customWidth="1"/>
    <col min="12805" max="12805" width="6" style="378" customWidth="1"/>
    <col min="12806" max="12806" width="5" style="378" customWidth="1"/>
    <col min="12807" max="12807" width="13.875" style="378" customWidth="1"/>
    <col min="12808" max="12808" width="14" style="378" customWidth="1"/>
    <col min="12809" max="13044" width="14.125" style="378"/>
    <col min="13045" max="13045" width="11.25" style="378" customWidth="1"/>
    <col min="13046" max="13046" width="13.25" style="378" customWidth="1"/>
    <col min="13047" max="13047" width="17.25" style="378" customWidth="1"/>
    <col min="13048" max="13048" width="8.875" style="378" customWidth="1"/>
    <col min="13049" max="13049" width="10.25" style="378" customWidth="1"/>
    <col min="13050" max="13050" width="12.5" style="378" customWidth="1"/>
    <col min="13051" max="13051" width="12.75" style="378" customWidth="1"/>
    <col min="13052" max="13052" width="6" style="378" customWidth="1"/>
    <col min="13053" max="13053" width="5" style="378" customWidth="1"/>
    <col min="13054" max="13054" width="13.875" style="378" customWidth="1"/>
    <col min="13055" max="13055" width="6" style="378" customWidth="1"/>
    <col min="13056" max="13056" width="5" style="378" customWidth="1"/>
    <col min="13057" max="13057" width="13.875" style="378" customWidth="1"/>
    <col min="13058" max="13058" width="6" style="378" customWidth="1"/>
    <col min="13059" max="13059" width="5" style="378" customWidth="1"/>
    <col min="13060" max="13060" width="13.875" style="378" customWidth="1"/>
    <col min="13061" max="13061" width="6" style="378" customWidth="1"/>
    <col min="13062" max="13062" width="5" style="378" customWidth="1"/>
    <col min="13063" max="13063" width="13.875" style="378" customWidth="1"/>
    <col min="13064" max="13064" width="14" style="378" customWidth="1"/>
    <col min="13065" max="13300" width="14.125" style="378"/>
    <col min="13301" max="13301" width="11.25" style="378" customWidth="1"/>
    <col min="13302" max="13302" width="13.25" style="378" customWidth="1"/>
    <col min="13303" max="13303" width="17.25" style="378" customWidth="1"/>
    <col min="13304" max="13304" width="8.875" style="378" customWidth="1"/>
    <col min="13305" max="13305" width="10.25" style="378" customWidth="1"/>
    <col min="13306" max="13306" width="12.5" style="378" customWidth="1"/>
    <col min="13307" max="13307" width="12.75" style="378" customWidth="1"/>
    <col min="13308" max="13308" width="6" style="378" customWidth="1"/>
    <col min="13309" max="13309" width="5" style="378" customWidth="1"/>
    <col min="13310" max="13310" width="13.875" style="378" customWidth="1"/>
    <col min="13311" max="13311" width="6" style="378" customWidth="1"/>
    <col min="13312" max="13312" width="5" style="378" customWidth="1"/>
    <col min="13313" max="13313" width="13.875" style="378" customWidth="1"/>
    <col min="13314" max="13314" width="6" style="378" customWidth="1"/>
    <col min="13315" max="13315" width="5" style="378" customWidth="1"/>
    <col min="13316" max="13316" width="13.875" style="378" customWidth="1"/>
    <col min="13317" max="13317" width="6" style="378" customWidth="1"/>
    <col min="13318" max="13318" width="5" style="378" customWidth="1"/>
    <col min="13319" max="13319" width="13.875" style="378" customWidth="1"/>
    <col min="13320" max="13320" width="14" style="378" customWidth="1"/>
    <col min="13321" max="13556" width="14.125" style="378"/>
    <col min="13557" max="13557" width="11.25" style="378" customWidth="1"/>
    <col min="13558" max="13558" width="13.25" style="378" customWidth="1"/>
    <col min="13559" max="13559" width="17.25" style="378" customWidth="1"/>
    <col min="13560" max="13560" width="8.875" style="378" customWidth="1"/>
    <col min="13561" max="13561" width="10.25" style="378" customWidth="1"/>
    <col min="13562" max="13562" width="12.5" style="378" customWidth="1"/>
    <col min="13563" max="13563" width="12.75" style="378" customWidth="1"/>
    <col min="13564" max="13564" width="6" style="378" customWidth="1"/>
    <col min="13565" max="13565" width="5" style="378" customWidth="1"/>
    <col min="13566" max="13566" width="13.875" style="378" customWidth="1"/>
    <col min="13567" max="13567" width="6" style="378" customWidth="1"/>
    <col min="13568" max="13568" width="5" style="378" customWidth="1"/>
    <col min="13569" max="13569" width="13.875" style="378" customWidth="1"/>
    <col min="13570" max="13570" width="6" style="378" customWidth="1"/>
    <col min="13571" max="13571" width="5" style="378" customWidth="1"/>
    <col min="13572" max="13572" width="13.875" style="378" customWidth="1"/>
    <col min="13573" max="13573" width="6" style="378" customWidth="1"/>
    <col min="13574" max="13574" width="5" style="378" customWidth="1"/>
    <col min="13575" max="13575" width="13.875" style="378" customWidth="1"/>
    <col min="13576" max="13576" width="14" style="378" customWidth="1"/>
    <col min="13577" max="13812" width="14.125" style="378"/>
    <col min="13813" max="13813" width="11.25" style="378" customWidth="1"/>
    <col min="13814" max="13814" width="13.25" style="378" customWidth="1"/>
    <col min="13815" max="13815" width="17.25" style="378" customWidth="1"/>
    <col min="13816" max="13816" width="8.875" style="378" customWidth="1"/>
    <col min="13817" max="13817" width="10.25" style="378" customWidth="1"/>
    <col min="13818" max="13818" width="12.5" style="378" customWidth="1"/>
    <col min="13819" max="13819" width="12.75" style="378" customWidth="1"/>
    <col min="13820" max="13820" width="6" style="378" customWidth="1"/>
    <col min="13821" max="13821" width="5" style="378" customWidth="1"/>
    <col min="13822" max="13822" width="13.875" style="378" customWidth="1"/>
    <col min="13823" max="13823" width="6" style="378" customWidth="1"/>
    <col min="13824" max="13824" width="5" style="378" customWidth="1"/>
    <col min="13825" max="13825" width="13.875" style="378" customWidth="1"/>
    <col min="13826" max="13826" width="6" style="378" customWidth="1"/>
    <col min="13827" max="13827" width="5" style="378" customWidth="1"/>
    <col min="13828" max="13828" width="13.875" style="378" customWidth="1"/>
    <col min="13829" max="13829" width="6" style="378" customWidth="1"/>
    <col min="13830" max="13830" width="5" style="378" customWidth="1"/>
    <col min="13831" max="13831" width="13.875" style="378" customWidth="1"/>
    <col min="13832" max="13832" width="14" style="378" customWidth="1"/>
    <col min="13833" max="14068" width="14.125" style="378"/>
    <col min="14069" max="14069" width="11.25" style="378" customWidth="1"/>
    <col min="14070" max="14070" width="13.25" style="378" customWidth="1"/>
    <col min="14071" max="14071" width="17.25" style="378" customWidth="1"/>
    <col min="14072" max="14072" width="8.875" style="378" customWidth="1"/>
    <col min="14073" max="14073" width="10.25" style="378" customWidth="1"/>
    <col min="14074" max="14074" width="12.5" style="378" customWidth="1"/>
    <col min="14075" max="14075" width="12.75" style="378" customWidth="1"/>
    <col min="14076" max="14076" width="6" style="378" customWidth="1"/>
    <col min="14077" max="14077" width="5" style="378" customWidth="1"/>
    <col min="14078" max="14078" width="13.875" style="378" customWidth="1"/>
    <col min="14079" max="14079" width="6" style="378" customWidth="1"/>
    <col min="14080" max="14080" width="5" style="378" customWidth="1"/>
    <col min="14081" max="14081" width="13.875" style="378" customWidth="1"/>
    <col min="14082" max="14082" width="6" style="378" customWidth="1"/>
    <col min="14083" max="14083" width="5" style="378" customWidth="1"/>
    <col min="14084" max="14084" width="13.875" style="378" customWidth="1"/>
    <col min="14085" max="14085" width="6" style="378" customWidth="1"/>
    <col min="14086" max="14086" width="5" style="378" customWidth="1"/>
    <col min="14087" max="14087" width="13.875" style="378" customWidth="1"/>
    <col min="14088" max="14088" width="14" style="378" customWidth="1"/>
    <col min="14089" max="14324" width="14.125" style="378"/>
    <col min="14325" max="14325" width="11.25" style="378" customWidth="1"/>
    <col min="14326" max="14326" width="13.25" style="378" customWidth="1"/>
    <col min="14327" max="14327" width="17.25" style="378" customWidth="1"/>
    <col min="14328" max="14328" width="8.875" style="378" customWidth="1"/>
    <col min="14329" max="14329" width="10.25" style="378" customWidth="1"/>
    <col min="14330" max="14330" width="12.5" style="378" customWidth="1"/>
    <col min="14331" max="14331" width="12.75" style="378" customWidth="1"/>
    <col min="14332" max="14332" width="6" style="378" customWidth="1"/>
    <col min="14333" max="14333" width="5" style="378" customWidth="1"/>
    <col min="14334" max="14334" width="13.875" style="378" customWidth="1"/>
    <col min="14335" max="14335" width="6" style="378" customWidth="1"/>
    <col min="14336" max="14336" width="5" style="378" customWidth="1"/>
    <col min="14337" max="14337" width="13.875" style="378" customWidth="1"/>
    <col min="14338" max="14338" width="6" style="378" customWidth="1"/>
    <col min="14339" max="14339" width="5" style="378" customWidth="1"/>
    <col min="14340" max="14340" width="13.875" style="378" customWidth="1"/>
    <col min="14341" max="14341" width="6" style="378" customWidth="1"/>
    <col min="14342" max="14342" width="5" style="378" customWidth="1"/>
    <col min="14343" max="14343" width="13.875" style="378" customWidth="1"/>
    <col min="14344" max="14344" width="14" style="378" customWidth="1"/>
    <col min="14345" max="14580" width="14.125" style="378"/>
    <col min="14581" max="14581" width="11.25" style="378" customWidth="1"/>
    <col min="14582" max="14582" width="13.25" style="378" customWidth="1"/>
    <col min="14583" max="14583" width="17.25" style="378" customWidth="1"/>
    <col min="14584" max="14584" width="8.875" style="378" customWidth="1"/>
    <col min="14585" max="14585" width="10.25" style="378" customWidth="1"/>
    <col min="14586" max="14586" width="12.5" style="378" customWidth="1"/>
    <col min="14587" max="14587" width="12.75" style="378" customWidth="1"/>
    <col min="14588" max="14588" width="6" style="378" customWidth="1"/>
    <col min="14589" max="14589" width="5" style="378" customWidth="1"/>
    <col min="14590" max="14590" width="13.875" style="378" customWidth="1"/>
    <col min="14591" max="14591" width="6" style="378" customWidth="1"/>
    <col min="14592" max="14592" width="5" style="378" customWidth="1"/>
    <col min="14593" max="14593" width="13.875" style="378" customWidth="1"/>
    <col min="14594" max="14594" width="6" style="378" customWidth="1"/>
    <col min="14595" max="14595" width="5" style="378" customWidth="1"/>
    <col min="14596" max="14596" width="13.875" style="378" customWidth="1"/>
    <col min="14597" max="14597" width="6" style="378" customWidth="1"/>
    <col min="14598" max="14598" width="5" style="378" customWidth="1"/>
    <col min="14599" max="14599" width="13.875" style="378" customWidth="1"/>
    <col min="14600" max="14600" width="14" style="378" customWidth="1"/>
    <col min="14601" max="14836" width="14.125" style="378"/>
    <col min="14837" max="14837" width="11.25" style="378" customWidth="1"/>
    <col min="14838" max="14838" width="13.25" style="378" customWidth="1"/>
    <col min="14839" max="14839" width="17.25" style="378" customWidth="1"/>
    <col min="14840" max="14840" width="8.875" style="378" customWidth="1"/>
    <col min="14841" max="14841" width="10.25" style="378" customWidth="1"/>
    <col min="14842" max="14842" width="12.5" style="378" customWidth="1"/>
    <col min="14843" max="14843" width="12.75" style="378" customWidth="1"/>
    <col min="14844" max="14844" width="6" style="378" customWidth="1"/>
    <col min="14845" max="14845" width="5" style="378" customWidth="1"/>
    <col min="14846" max="14846" width="13.875" style="378" customWidth="1"/>
    <col min="14847" max="14847" width="6" style="378" customWidth="1"/>
    <col min="14848" max="14848" width="5" style="378" customWidth="1"/>
    <col min="14849" max="14849" width="13.875" style="378" customWidth="1"/>
    <col min="14850" max="14850" width="6" style="378" customWidth="1"/>
    <col min="14851" max="14851" width="5" style="378" customWidth="1"/>
    <col min="14852" max="14852" width="13.875" style="378" customWidth="1"/>
    <col min="14853" max="14853" width="6" style="378" customWidth="1"/>
    <col min="14854" max="14854" width="5" style="378" customWidth="1"/>
    <col min="14855" max="14855" width="13.875" style="378" customWidth="1"/>
    <col min="14856" max="14856" width="14" style="378" customWidth="1"/>
    <col min="14857" max="15092" width="14.125" style="378"/>
    <col min="15093" max="15093" width="11.25" style="378" customWidth="1"/>
    <col min="15094" max="15094" width="13.25" style="378" customWidth="1"/>
    <col min="15095" max="15095" width="17.25" style="378" customWidth="1"/>
    <col min="15096" max="15096" width="8.875" style="378" customWidth="1"/>
    <col min="15097" max="15097" width="10.25" style="378" customWidth="1"/>
    <col min="15098" max="15098" width="12.5" style="378" customWidth="1"/>
    <col min="15099" max="15099" width="12.75" style="378" customWidth="1"/>
    <col min="15100" max="15100" width="6" style="378" customWidth="1"/>
    <col min="15101" max="15101" width="5" style="378" customWidth="1"/>
    <col min="15102" max="15102" width="13.875" style="378" customWidth="1"/>
    <col min="15103" max="15103" width="6" style="378" customWidth="1"/>
    <col min="15104" max="15104" width="5" style="378" customWidth="1"/>
    <col min="15105" max="15105" width="13.875" style="378" customWidth="1"/>
    <col min="15106" max="15106" width="6" style="378" customWidth="1"/>
    <col min="15107" max="15107" width="5" style="378" customWidth="1"/>
    <col min="15108" max="15108" width="13.875" style="378" customWidth="1"/>
    <col min="15109" max="15109" width="6" style="378" customWidth="1"/>
    <col min="15110" max="15110" width="5" style="378" customWidth="1"/>
    <col min="15111" max="15111" width="13.875" style="378" customWidth="1"/>
    <col min="15112" max="15112" width="14" style="378" customWidth="1"/>
    <col min="15113" max="15348" width="14.125" style="378"/>
    <col min="15349" max="15349" width="11.25" style="378" customWidth="1"/>
    <col min="15350" max="15350" width="13.25" style="378" customWidth="1"/>
    <col min="15351" max="15351" width="17.25" style="378" customWidth="1"/>
    <col min="15352" max="15352" width="8.875" style="378" customWidth="1"/>
    <col min="15353" max="15353" width="10.25" style="378" customWidth="1"/>
    <col min="15354" max="15354" width="12.5" style="378" customWidth="1"/>
    <col min="15355" max="15355" width="12.75" style="378" customWidth="1"/>
    <col min="15356" max="15356" width="6" style="378" customWidth="1"/>
    <col min="15357" max="15357" width="5" style="378" customWidth="1"/>
    <col min="15358" max="15358" width="13.875" style="378" customWidth="1"/>
    <col min="15359" max="15359" width="6" style="378" customWidth="1"/>
    <col min="15360" max="15360" width="5" style="378" customWidth="1"/>
    <col min="15361" max="15361" width="13.875" style="378" customWidth="1"/>
    <col min="15362" max="15362" width="6" style="378" customWidth="1"/>
    <col min="15363" max="15363" width="5" style="378" customWidth="1"/>
    <col min="15364" max="15364" width="13.875" style="378" customWidth="1"/>
    <col min="15365" max="15365" width="6" style="378" customWidth="1"/>
    <col min="15366" max="15366" width="5" style="378" customWidth="1"/>
    <col min="15367" max="15367" width="13.875" style="378" customWidth="1"/>
    <col min="15368" max="15368" width="14" style="378" customWidth="1"/>
    <col min="15369" max="15604" width="14.125" style="378"/>
    <col min="15605" max="15605" width="11.25" style="378" customWidth="1"/>
    <col min="15606" max="15606" width="13.25" style="378" customWidth="1"/>
    <col min="15607" max="15607" width="17.25" style="378" customWidth="1"/>
    <col min="15608" max="15608" width="8.875" style="378" customWidth="1"/>
    <col min="15609" max="15609" width="10.25" style="378" customWidth="1"/>
    <col min="15610" max="15610" width="12.5" style="378" customWidth="1"/>
    <col min="15611" max="15611" width="12.75" style="378" customWidth="1"/>
    <col min="15612" max="15612" width="6" style="378" customWidth="1"/>
    <col min="15613" max="15613" width="5" style="378" customWidth="1"/>
    <col min="15614" max="15614" width="13.875" style="378" customWidth="1"/>
    <col min="15615" max="15615" width="6" style="378" customWidth="1"/>
    <col min="15616" max="15616" width="5" style="378" customWidth="1"/>
    <col min="15617" max="15617" width="13.875" style="378" customWidth="1"/>
    <col min="15618" max="15618" width="6" style="378" customWidth="1"/>
    <col min="15619" max="15619" width="5" style="378" customWidth="1"/>
    <col min="15620" max="15620" width="13.875" style="378" customWidth="1"/>
    <col min="15621" max="15621" width="6" style="378" customWidth="1"/>
    <col min="15622" max="15622" width="5" style="378" customWidth="1"/>
    <col min="15623" max="15623" width="13.875" style="378" customWidth="1"/>
    <col min="15624" max="15624" width="14" style="378" customWidth="1"/>
    <col min="15625" max="15860" width="14.125" style="378"/>
    <col min="15861" max="15861" width="11.25" style="378" customWidth="1"/>
    <col min="15862" max="15862" width="13.25" style="378" customWidth="1"/>
    <col min="15863" max="15863" width="17.25" style="378" customWidth="1"/>
    <col min="15864" max="15864" width="8.875" style="378" customWidth="1"/>
    <col min="15865" max="15865" width="10.25" style="378" customWidth="1"/>
    <col min="15866" max="15866" width="12.5" style="378" customWidth="1"/>
    <col min="15867" max="15867" width="12.75" style="378" customWidth="1"/>
    <col min="15868" max="15868" width="6" style="378" customWidth="1"/>
    <col min="15869" max="15869" width="5" style="378" customWidth="1"/>
    <col min="15870" max="15870" width="13.875" style="378" customWidth="1"/>
    <col min="15871" max="15871" width="6" style="378" customWidth="1"/>
    <col min="15872" max="15872" width="5" style="378" customWidth="1"/>
    <col min="15873" max="15873" width="13.875" style="378" customWidth="1"/>
    <col min="15874" max="15874" width="6" style="378" customWidth="1"/>
    <col min="15875" max="15875" width="5" style="378" customWidth="1"/>
    <col min="15876" max="15876" width="13.875" style="378" customWidth="1"/>
    <col min="15877" max="15877" width="6" style="378" customWidth="1"/>
    <col min="15878" max="15878" width="5" style="378" customWidth="1"/>
    <col min="15879" max="15879" width="13.875" style="378" customWidth="1"/>
    <col min="15880" max="15880" width="14" style="378" customWidth="1"/>
    <col min="15881" max="16116" width="14.125" style="378"/>
    <col min="16117" max="16117" width="11.25" style="378" customWidth="1"/>
    <col min="16118" max="16118" width="13.25" style="378" customWidth="1"/>
    <col min="16119" max="16119" width="17.25" style="378" customWidth="1"/>
    <col min="16120" max="16120" width="8.875" style="378" customWidth="1"/>
    <col min="16121" max="16121" width="10.25" style="378" customWidth="1"/>
    <col min="16122" max="16122" width="12.5" style="378" customWidth="1"/>
    <col min="16123" max="16123" width="12.75" style="378" customWidth="1"/>
    <col min="16124" max="16124" width="6" style="378" customWidth="1"/>
    <col min="16125" max="16125" width="5" style="378" customWidth="1"/>
    <col min="16126" max="16126" width="13.875" style="378" customWidth="1"/>
    <col min="16127" max="16127" width="6" style="378" customWidth="1"/>
    <col min="16128" max="16128" width="5" style="378" customWidth="1"/>
    <col min="16129" max="16129" width="13.875" style="378" customWidth="1"/>
    <col min="16130" max="16130" width="6" style="378" customWidth="1"/>
    <col min="16131" max="16131" width="5" style="378" customWidth="1"/>
    <col min="16132" max="16132" width="13.875" style="378" customWidth="1"/>
    <col min="16133" max="16133" width="6" style="378" customWidth="1"/>
    <col min="16134" max="16134" width="5" style="378" customWidth="1"/>
    <col min="16135" max="16135" width="13.875" style="378" customWidth="1"/>
    <col min="16136" max="16136" width="14" style="378" customWidth="1"/>
    <col min="16137" max="16384" width="14.125" style="378"/>
  </cols>
  <sheetData>
    <row r="1" spans="1:20" ht="27" customHeight="1">
      <c r="A1" s="794" t="s">
        <v>0</v>
      </c>
      <c r="B1" s="802" t="s">
        <v>1</v>
      </c>
      <c r="C1" s="803"/>
      <c r="D1" s="803"/>
      <c r="E1" s="803"/>
      <c r="F1" s="796" t="s">
        <v>2</v>
      </c>
      <c r="G1" s="804" t="s">
        <v>3</v>
      </c>
      <c r="H1" s="804"/>
      <c r="I1" s="804"/>
      <c r="J1" s="804"/>
      <c r="K1" s="798" t="s">
        <v>4</v>
      </c>
      <c r="L1" s="758" t="s">
        <v>5</v>
      </c>
      <c r="M1" s="759" t="s">
        <v>6</v>
      </c>
      <c r="N1" s="800" t="s">
        <v>7</v>
      </c>
      <c r="O1" s="800" t="s">
        <v>8</v>
      </c>
      <c r="P1" s="800" t="s">
        <v>9</v>
      </c>
    </row>
    <row r="2" spans="1:20" ht="13.7">
      <c r="A2" s="795"/>
      <c r="B2" s="724" t="s">
        <v>10</v>
      </c>
      <c r="C2" s="722" t="s">
        <v>11</v>
      </c>
      <c r="D2" s="724" t="s">
        <v>12</v>
      </c>
      <c r="E2" s="723" t="s">
        <v>13</v>
      </c>
      <c r="F2" s="797"/>
      <c r="G2" s="725" t="s">
        <v>10</v>
      </c>
      <c r="H2" s="726" t="s">
        <v>11</v>
      </c>
      <c r="I2" s="725" t="s">
        <v>12</v>
      </c>
      <c r="J2" s="726" t="s">
        <v>14</v>
      </c>
      <c r="K2" s="799"/>
      <c r="L2" s="760" t="s">
        <v>10</v>
      </c>
      <c r="M2" s="761" t="s">
        <v>10</v>
      </c>
      <c r="N2" s="801"/>
      <c r="O2" s="801"/>
      <c r="P2" s="801"/>
    </row>
    <row r="3" spans="1:20">
      <c r="A3" s="727">
        <v>45809</v>
      </c>
      <c r="B3" s="728">
        <v>0</v>
      </c>
      <c r="C3" s="729">
        <v>0</v>
      </c>
      <c r="D3" s="728">
        <v>0</v>
      </c>
      <c r="E3" s="729">
        <v>0</v>
      </c>
      <c r="F3" s="730">
        <f>SUM(B3:E3)</f>
        <v>0</v>
      </c>
      <c r="G3" s="731">
        <v>0</v>
      </c>
      <c r="H3" s="732">
        <v>0</v>
      </c>
      <c r="I3" s="732">
        <v>0</v>
      </c>
      <c r="J3" s="731">
        <v>0</v>
      </c>
      <c r="K3" s="762">
        <f t="shared" ref="K3:K30" si="0">SUM(G3:J3)</f>
        <v>0</v>
      </c>
      <c r="L3" s="763">
        <v>0</v>
      </c>
      <c r="M3" s="764">
        <v>0</v>
      </c>
      <c r="N3" s="765">
        <f>L3+M3</f>
        <v>0</v>
      </c>
      <c r="O3" s="763">
        <f>F3+K3</f>
        <v>0</v>
      </c>
      <c r="P3" s="766">
        <f>F3+K3+N3</f>
        <v>0</v>
      </c>
      <c r="Q3" s="789">
        <f>P3</f>
        <v>0</v>
      </c>
    </row>
    <row r="4" spans="1:20">
      <c r="A4" s="733">
        <v>45810</v>
      </c>
      <c r="B4" s="734"/>
      <c r="C4" s="735"/>
      <c r="D4" s="734"/>
      <c r="E4" s="735"/>
      <c r="F4" s="736">
        <f t="shared" ref="F4:F30" si="1">SUM(B4:E4)</f>
        <v>0</v>
      </c>
      <c r="G4" s="737">
        <v>0</v>
      </c>
      <c r="H4" s="738">
        <v>0</v>
      </c>
      <c r="I4" s="738">
        <v>0</v>
      </c>
      <c r="J4" s="737">
        <v>0</v>
      </c>
      <c r="K4" s="767">
        <f t="shared" si="0"/>
        <v>0</v>
      </c>
      <c r="L4" s="768">
        <v>0</v>
      </c>
      <c r="M4" s="769">
        <v>0</v>
      </c>
      <c r="N4" s="770">
        <f>L4+M4</f>
        <v>0</v>
      </c>
      <c r="O4" s="768">
        <f>F4+K4</f>
        <v>0</v>
      </c>
      <c r="P4" s="771">
        <f>F4+K4+N4</f>
        <v>0</v>
      </c>
      <c r="Q4" s="790">
        <f>P4+Q3</f>
        <v>0</v>
      </c>
    </row>
    <row r="5" spans="1:20">
      <c r="A5" s="733">
        <v>45811</v>
      </c>
      <c r="B5" s="734"/>
      <c r="C5" s="735"/>
      <c r="D5" s="734"/>
      <c r="E5" s="735"/>
      <c r="F5" s="736">
        <f t="shared" si="1"/>
        <v>0</v>
      </c>
      <c r="G5" s="737">
        <v>0</v>
      </c>
      <c r="H5" s="738">
        <v>0</v>
      </c>
      <c r="I5" s="738">
        <v>655</v>
      </c>
      <c r="J5" s="737">
        <v>0</v>
      </c>
      <c r="K5" s="767">
        <f t="shared" si="0"/>
        <v>655</v>
      </c>
      <c r="L5" s="768">
        <v>0</v>
      </c>
      <c r="M5" s="769"/>
      <c r="N5" s="770">
        <f t="shared" ref="N5:N32" si="2">L5+M5</f>
        <v>0</v>
      </c>
      <c r="O5" s="768">
        <f t="shared" ref="O5:O33" si="3">F5+K5</f>
        <v>655</v>
      </c>
      <c r="P5" s="772">
        <f t="shared" ref="P5:P33" si="4">F5+K5+N5</f>
        <v>655</v>
      </c>
      <c r="Q5" s="790">
        <f t="shared" ref="Q5:Q33" si="5">P5+Q4</f>
        <v>655</v>
      </c>
    </row>
    <row r="6" spans="1:20">
      <c r="A6" s="733">
        <v>45812</v>
      </c>
      <c r="B6" s="739"/>
      <c r="C6" s="740"/>
      <c r="D6" s="739"/>
      <c r="E6" s="740"/>
      <c r="F6" s="741">
        <f t="shared" si="1"/>
        <v>0</v>
      </c>
      <c r="G6" s="737">
        <v>0</v>
      </c>
      <c r="H6" s="738">
        <v>0</v>
      </c>
      <c r="I6" s="738">
        <v>664.8</v>
      </c>
      <c r="J6" s="737">
        <v>0</v>
      </c>
      <c r="K6" s="767">
        <f t="shared" si="0"/>
        <v>664.8</v>
      </c>
      <c r="L6" s="768">
        <v>0</v>
      </c>
      <c r="M6" s="769"/>
      <c r="N6" s="770">
        <f t="shared" si="2"/>
        <v>0</v>
      </c>
      <c r="O6" s="768">
        <f t="shared" si="3"/>
        <v>664.8</v>
      </c>
      <c r="P6" s="771">
        <f t="shared" si="4"/>
        <v>664.8</v>
      </c>
      <c r="Q6" s="790">
        <f t="shared" si="5"/>
        <v>1319.8</v>
      </c>
      <c r="T6" s="522"/>
    </row>
    <row r="7" spans="1:20">
      <c r="A7" s="733">
        <v>45813</v>
      </c>
      <c r="B7" s="734"/>
      <c r="C7" s="735"/>
      <c r="D7" s="734"/>
      <c r="E7" s="735"/>
      <c r="F7" s="736">
        <f t="shared" si="1"/>
        <v>0</v>
      </c>
      <c r="G7" s="737">
        <v>0</v>
      </c>
      <c r="H7" s="738">
        <v>0</v>
      </c>
      <c r="I7" s="738">
        <v>395</v>
      </c>
      <c r="J7" s="737">
        <v>0</v>
      </c>
      <c r="K7" s="767">
        <f t="shared" si="0"/>
        <v>395</v>
      </c>
      <c r="L7" s="768">
        <v>0</v>
      </c>
      <c r="M7" s="769"/>
      <c r="N7" s="770">
        <f t="shared" si="2"/>
        <v>0</v>
      </c>
      <c r="O7" s="768">
        <f t="shared" si="3"/>
        <v>395</v>
      </c>
      <c r="P7" s="771">
        <f t="shared" si="4"/>
        <v>395</v>
      </c>
      <c r="Q7" s="790">
        <f t="shared" si="5"/>
        <v>1714.8</v>
      </c>
      <c r="T7" s="791"/>
    </row>
    <row r="8" spans="1:20">
      <c r="A8" s="733">
        <v>45814</v>
      </c>
      <c r="B8" s="734"/>
      <c r="C8" s="735"/>
      <c r="D8" s="734"/>
      <c r="E8" s="735"/>
      <c r="F8" s="736">
        <f t="shared" si="1"/>
        <v>0</v>
      </c>
      <c r="G8" s="737">
        <v>0</v>
      </c>
      <c r="H8" s="738">
        <v>0</v>
      </c>
      <c r="I8" s="738">
        <v>0</v>
      </c>
      <c r="J8" s="737">
        <v>0</v>
      </c>
      <c r="K8" s="767">
        <f t="shared" si="0"/>
        <v>0</v>
      </c>
      <c r="L8" s="768">
        <v>0</v>
      </c>
      <c r="M8" s="769"/>
      <c r="N8" s="770">
        <f t="shared" si="2"/>
        <v>0</v>
      </c>
      <c r="O8" s="768">
        <f t="shared" si="3"/>
        <v>0</v>
      </c>
      <c r="P8" s="771">
        <f t="shared" si="4"/>
        <v>0</v>
      </c>
      <c r="Q8" s="790">
        <f t="shared" si="5"/>
        <v>1714.8</v>
      </c>
    </row>
    <row r="9" spans="1:20">
      <c r="A9" s="733">
        <v>45815</v>
      </c>
      <c r="B9" s="739"/>
      <c r="C9" s="740"/>
      <c r="D9" s="739"/>
      <c r="E9" s="740"/>
      <c r="F9" s="741">
        <f t="shared" si="1"/>
        <v>0</v>
      </c>
      <c r="G9" s="737">
        <v>0</v>
      </c>
      <c r="H9" s="738">
        <v>625</v>
      </c>
      <c r="I9" s="738">
        <v>410</v>
      </c>
      <c r="J9" s="737">
        <v>0</v>
      </c>
      <c r="K9" s="773">
        <f t="shared" si="0"/>
        <v>1035</v>
      </c>
      <c r="L9" s="774">
        <v>0</v>
      </c>
      <c r="M9" s="775"/>
      <c r="N9" s="776">
        <f t="shared" si="2"/>
        <v>0</v>
      </c>
      <c r="O9" s="774">
        <f t="shared" si="3"/>
        <v>1035</v>
      </c>
      <c r="P9" s="777">
        <f t="shared" si="4"/>
        <v>1035</v>
      </c>
      <c r="Q9" s="792">
        <f t="shared" si="5"/>
        <v>2749.8</v>
      </c>
    </row>
    <row r="10" spans="1:20">
      <c r="A10" s="733">
        <v>45816</v>
      </c>
      <c r="B10" s="742"/>
      <c r="C10" s="743"/>
      <c r="D10" s="742"/>
      <c r="E10" s="743"/>
      <c r="F10" s="744">
        <f t="shared" si="1"/>
        <v>0</v>
      </c>
      <c r="G10" s="737">
        <v>0</v>
      </c>
      <c r="H10" s="738">
        <v>0</v>
      </c>
      <c r="I10" s="738">
        <v>602</v>
      </c>
      <c r="J10" s="737">
        <v>0</v>
      </c>
      <c r="K10" s="767">
        <f t="shared" si="0"/>
        <v>602</v>
      </c>
      <c r="L10" s="768">
        <v>0</v>
      </c>
      <c r="M10" s="769"/>
      <c r="N10" s="770">
        <f t="shared" si="2"/>
        <v>0</v>
      </c>
      <c r="O10" s="768">
        <f t="shared" si="3"/>
        <v>602</v>
      </c>
      <c r="P10" s="771">
        <f t="shared" si="4"/>
        <v>602</v>
      </c>
      <c r="Q10" s="790">
        <f t="shared" si="5"/>
        <v>3351.8</v>
      </c>
    </row>
    <row r="11" spans="1:20">
      <c r="A11" s="733">
        <v>45817</v>
      </c>
      <c r="B11" s="745"/>
      <c r="C11" s="746"/>
      <c r="D11" s="745"/>
      <c r="E11" s="746"/>
      <c r="F11" s="747">
        <f t="shared" si="1"/>
        <v>0</v>
      </c>
      <c r="G11" s="748">
        <v>0</v>
      </c>
      <c r="H11" s="749">
        <v>0</v>
      </c>
      <c r="I11" s="749">
        <v>663</v>
      </c>
      <c r="J11" s="748">
        <v>0</v>
      </c>
      <c r="K11" s="778">
        <f t="shared" si="0"/>
        <v>663</v>
      </c>
      <c r="L11" s="779">
        <v>0</v>
      </c>
      <c r="M11" s="780"/>
      <c r="N11" s="781">
        <f t="shared" si="2"/>
        <v>0</v>
      </c>
      <c r="O11" s="779">
        <f t="shared" si="3"/>
        <v>663</v>
      </c>
      <c r="P11" s="772">
        <f t="shared" si="4"/>
        <v>663</v>
      </c>
      <c r="Q11" s="790">
        <f t="shared" si="5"/>
        <v>4014.8</v>
      </c>
    </row>
    <row r="12" spans="1:20">
      <c r="A12" s="733">
        <v>45818</v>
      </c>
      <c r="B12" s="739"/>
      <c r="C12" s="740"/>
      <c r="D12" s="739"/>
      <c r="E12" s="740"/>
      <c r="F12" s="741">
        <f t="shared" si="1"/>
        <v>0</v>
      </c>
      <c r="G12" s="737">
        <v>0</v>
      </c>
      <c r="H12" s="738">
        <v>0</v>
      </c>
      <c r="I12" s="738">
        <v>574</v>
      </c>
      <c r="J12" s="737">
        <v>0</v>
      </c>
      <c r="K12" s="767">
        <f t="shared" si="0"/>
        <v>574</v>
      </c>
      <c r="L12" s="768">
        <v>0</v>
      </c>
      <c r="M12" s="769"/>
      <c r="N12" s="770">
        <f t="shared" si="2"/>
        <v>0</v>
      </c>
      <c r="O12" s="768">
        <f t="shared" si="3"/>
        <v>574</v>
      </c>
      <c r="P12" s="771">
        <f t="shared" si="4"/>
        <v>574</v>
      </c>
      <c r="Q12" s="790">
        <f t="shared" si="5"/>
        <v>4588.8</v>
      </c>
    </row>
    <row r="13" spans="1:20">
      <c r="A13" s="733">
        <v>45819</v>
      </c>
      <c r="B13" s="739"/>
      <c r="C13" s="740"/>
      <c r="D13" s="739"/>
      <c r="E13" s="740"/>
      <c r="F13" s="741">
        <f t="shared" si="1"/>
        <v>0</v>
      </c>
      <c r="G13" s="737">
        <v>0</v>
      </c>
      <c r="H13" s="738">
        <v>0</v>
      </c>
      <c r="I13" s="738">
        <v>672.5</v>
      </c>
      <c r="J13" s="737">
        <v>0</v>
      </c>
      <c r="K13" s="767">
        <f t="shared" si="0"/>
        <v>672.5</v>
      </c>
      <c r="L13" s="768">
        <v>0</v>
      </c>
      <c r="M13" s="769"/>
      <c r="N13" s="770">
        <f t="shared" si="2"/>
        <v>0</v>
      </c>
      <c r="O13" s="768">
        <f t="shared" si="3"/>
        <v>672.5</v>
      </c>
      <c r="P13" s="771">
        <f t="shared" si="4"/>
        <v>672.5</v>
      </c>
      <c r="Q13" s="790">
        <f t="shared" si="5"/>
        <v>5261.3</v>
      </c>
    </row>
    <row r="14" spans="1:20">
      <c r="A14" s="733">
        <v>45820</v>
      </c>
      <c r="B14" s="734"/>
      <c r="C14" s="735"/>
      <c r="D14" s="734"/>
      <c r="E14" s="735"/>
      <c r="F14" s="736">
        <f t="shared" si="1"/>
        <v>0</v>
      </c>
      <c r="G14" s="737">
        <v>0</v>
      </c>
      <c r="H14" s="738">
        <v>650</v>
      </c>
      <c r="I14" s="738">
        <v>0</v>
      </c>
      <c r="J14" s="737">
        <v>0</v>
      </c>
      <c r="K14" s="767">
        <f t="shared" si="0"/>
        <v>650</v>
      </c>
      <c r="L14" s="768">
        <v>0</v>
      </c>
      <c r="M14" s="769"/>
      <c r="N14" s="770">
        <f t="shared" si="2"/>
        <v>0</v>
      </c>
      <c r="O14" s="768">
        <f t="shared" si="3"/>
        <v>650</v>
      </c>
      <c r="P14" s="771">
        <f t="shared" si="4"/>
        <v>650</v>
      </c>
      <c r="Q14" s="790">
        <f t="shared" si="5"/>
        <v>5911.3</v>
      </c>
    </row>
    <row r="15" spans="1:20">
      <c r="A15" s="733">
        <v>45821</v>
      </c>
      <c r="B15" s="734"/>
      <c r="C15" s="735"/>
      <c r="D15" s="734"/>
      <c r="E15" s="735"/>
      <c r="F15" s="736">
        <f t="shared" si="1"/>
        <v>0</v>
      </c>
      <c r="G15" s="737">
        <v>0</v>
      </c>
      <c r="H15" s="738">
        <v>575</v>
      </c>
      <c r="I15" s="738">
        <v>355</v>
      </c>
      <c r="J15" s="737">
        <v>0</v>
      </c>
      <c r="K15" s="767">
        <f t="shared" si="0"/>
        <v>930</v>
      </c>
      <c r="L15" s="768">
        <v>0</v>
      </c>
      <c r="M15" s="769"/>
      <c r="N15" s="770">
        <f t="shared" si="2"/>
        <v>0</v>
      </c>
      <c r="O15" s="768">
        <f t="shared" si="3"/>
        <v>930</v>
      </c>
      <c r="P15" s="771">
        <f t="shared" si="4"/>
        <v>930</v>
      </c>
      <c r="Q15" s="790">
        <f t="shared" si="5"/>
        <v>6841.3</v>
      </c>
    </row>
    <row r="16" spans="1:20">
      <c r="A16" s="733">
        <v>45822</v>
      </c>
      <c r="B16" s="734"/>
      <c r="C16" s="735"/>
      <c r="D16" s="734"/>
      <c r="E16" s="735"/>
      <c r="F16" s="736">
        <f t="shared" si="1"/>
        <v>0</v>
      </c>
      <c r="G16" s="737">
        <v>0</v>
      </c>
      <c r="H16" s="738">
        <v>550</v>
      </c>
      <c r="I16" s="738">
        <v>330</v>
      </c>
      <c r="J16" s="737">
        <v>0</v>
      </c>
      <c r="K16" s="767">
        <f t="shared" si="0"/>
        <v>880</v>
      </c>
      <c r="L16" s="768">
        <v>0</v>
      </c>
      <c r="M16" s="769"/>
      <c r="N16" s="770">
        <f t="shared" si="2"/>
        <v>0</v>
      </c>
      <c r="O16" s="768">
        <f t="shared" si="3"/>
        <v>880</v>
      </c>
      <c r="P16" s="771">
        <f t="shared" si="4"/>
        <v>880</v>
      </c>
      <c r="Q16" s="790">
        <f t="shared" si="5"/>
        <v>7721.3</v>
      </c>
    </row>
    <row r="17" spans="1:17">
      <c r="A17" s="733">
        <v>45823</v>
      </c>
      <c r="B17" s="734"/>
      <c r="C17" s="735"/>
      <c r="D17" s="734"/>
      <c r="E17" s="735"/>
      <c r="F17" s="736">
        <f t="shared" si="1"/>
        <v>0</v>
      </c>
      <c r="G17" s="737">
        <v>0</v>
      </c>
      <c r="H17" s="738">
        <v>50</v>
      </c>
      <c r="I17" s="738">
        <v>501.5</v>
      </c>
      <c r="J17" s="737">
        <v>0</v>
      </c>
      <c r="K17" s="767">
        <f t="shared" si="0"/>
        <v>551.5</v>
      </c>
      <c r="L17" s="768">
        <v>0</v>
      </c>
      <c r="M17" s="769"/>
      <c r="N17" s="770">
        <f t="shared" si="2"/>
        <v>0</v>
      </c>
      <c r="O17" s="768">
        <f t="shared" si="3"/>
        <v>551.5</v>
      </c>
      <c r="P17" s="771">
        <f t="shared" si="4"/>
        <v>551.5</v>
      </c>
      <c r="Q17" s="790">
        <f t="shared" si="5"/>
        <v>8272.7999999999993</v>
      </c>
    </row>
    <row r="18" spans="1:17">
      <c r="A18" s="733">
        <v>45824</v>
      </c>
      <c r="B18" s="734"/>
      <c r="C18" s="735"/>
      <c r="D18" s="734"/>
      <c r="E18" s="735"/>
      <c r="F18" s="736">
        <f t="shared" si="1"/>
        <v>0</v>
      </c>
      <c r="G18" s="737">
        <v>0</v>
      </c>
      <c r="H18" s="738">
        <v>0</v>
      </c>
      <c r="I18" s="738">
        <v>747.5</v>
      </c>
      <c r="J18" s="737">
        <v>0</v>
      </c>
      <c r="K18" s="767">
        <f t="shared" si="0"/>
        <v>747.5</v>
      </c>
      <c r="L18" s="768">
        <v>0</v>
      </c>
      <c r="M18" s="769"/>
      <c r="N18" s="770">
        <f t="shared" si="2"/>
        <v>0</v>
      </c>
      <c r="O18" s="768">
        <f t="shared" si="3"/>
        <v>747.5</v>
      </c>
      <c r="P18" s="771">
        <f t="shared" si="4"/>
        <v>747.5</v>
      </c>
      <c r="Q18" s="790">
        <f t="shared" si="5"/>
        <v>9020.2999999999993</v>
      </c>
    </row>
    <row r="19" spans="1:17">
      <c r="A19" s="733">
        <v>45825</v>
      </c>
      <c r="B19" s="739"/>
      <c r="C19" s="740"/>
      <c r="D19" s="739"/>
      <c r="E19" s="740"/>
      <c r="F19" s="741">
        <f t="shared" si="1"/>
        <v>0</v>
      </c>
      <c r="G19" s="737">
        <v>0</v>
      </c>
      <c r="H19" s="738">
        <v>250</v>
      </c>
      <c r="I19" s="738">
        <v>376</v>
      </c>
      <c r="J19" s="737">
        <v>0</v>
      </c>
      <c r="K19" s="767">
        <f t="shared" si="0"/>
        <v>626</v>
      </c>
      <c r="L19" s="768">
        <v>0</v>
      </c>
      <c r="M19" s="769"/>
      <c r="N19" s="770">
        <f t="shared" si="2"/>
        <v>0</v>
      </c>
      <c r="O19" s="768">
        <f t="shared" si="3"/>
        <v>626</v>
      </c>
      <c r="P19" s="771">
        <f t="shared" si="4"/>
        <v>626</v>
      </c>
      <c r="Q19" s="790">
        <f t="shared" si="5"/>
        <v>9646.2999999999993</v>
      </c>
    </row>
    <row r="20" spans="1:17">
      <c r="A20" s="733">
        <v>45826</v>
      </c>
      <c r="B20" s="739"/>
      <c r="C20" s="740"/>
      <c r="D20" s="739"/>
      <c r="E20" s="740"/>
      <c r="F20" s="741">
        <f t="shared" si="1"/>
        <v>0</v>
      </c>
      <c r="G20" s="737">
        <v>0</v>
      </c>
      <c r="H20" s="738">
        <v>0</v>
      </c>
      <c r="I20" s="738">
        <v>100</v>
      </c>
      <c r="J20" s="737">
        <v>0</v>
      </c>
      <c r="K20" s="767">
        <f t="shared" si="0"/>
        <v>100</v>
      </c>
      <c r="L20" s="768">
        <v>0</v>
      </c>
      <c r="M20" s="769"/>
      <c r="N20" s="770">
        <f t="shared" si="2"/>
        <v>0</v>
      </c>
      <c r="O20" s="768">
        <f t="shared" si="3"/>
        <v>100</v>
      </c>
      <c r="P20" s="771">
        <f t="shared" si="4"/>
        <v>100</v>
      </c>
      <c r="Q20" s="790">
        <f t="shared" si="5"/>
        <v>9746.2999999999993</v>
      </c>
    </row>
    <row r="21" spans="1:17">
      <c r="A21" s="750">
        <v>45827</v>
      </c>
      <c r="B21" s="739"/>
      <c r="C21" s="740"/>
      <c r="D21" s="739"/>
      <c r="E21" s="740"/>
      <c r="F21" s="741">
        <f t="shared" si="1"/>
        <v>0</v>
      </c>
      <c r="G21" s="751">
        <v>0</v>
      </c>
      <c r="H21" s="752">
        <v>0</v>
      </c>
      <c r="I21" s="752">
        <v>0</v>
      </c>
      <c r="J21" s="751">
        <v>0</v>
      </c>
      <c r="K21" s="782">
        <f t="shared" si="0"/>
        <v>0</v>
      </c>
      <c r="L21" s="783">
        <v>0</v>
      </c>
      <c r="M21" s="784"/>
      <c r="N21" s="785">
        <f t="shared" si="2"/>
        <v>0</v>
      </c>
      <c r="O21" s="783">
        <f t="shared" si="3"/>
        <v>0</v>
      </c>
      <c r="P21" s="786">
        <f t="shared" si="4"/>
        <v>0</v>
      </c>
      <c r="Q21" s="793">
        <f t="shared" si="5"/>
        <v>9746.2999999999993</v>
      </c>
    </row>
    <row r="22" spans="1:17">
      <c r="A22" s="733">
        <v>45828</v>
      </c>
      <c r="B22" s="739"/>
      <c r="C22" s="740"/>
      <c r="D22" s="739"/>
      <c r="E22" s="740"/>
      <c r="F22" s="741">
        <f t="shared" si="1"/>
        <v>0</v>
      </c>
      <c r="G22" s="737">
        <v>0</v>
      </c>
      <c r="H22" s="738">
        <v>0</v>
      </c>
      <c r="I22" s="738">
        <v>275</v>
      </c>
      <c r="J22" s="737">
        <v>0</v>
      </c>
      <c r="K22" s="767">
        <f t="shared" si="0"/>
        <v>275</v>
      </c>
      <c r="L22" s="768">
        <v>0</v>
      </c>
      <c r="M22" s="769"/>
      <c r="N22" s="770">
        <f t="shared" si="2"/>
        <v>0</v>
      </c>
      <c r="O22" s="768">
        <f t="shared" si="3"/>
        <v>275</v>
      </c>
      <c r="P22" s="771">
        <f t="shared" si="4"/>
        <v>275</v>
      </c>
      <c r="Q22" s="790">
        <f t="shared" si="5"/>
        <v>10021.299999999999</v>
      </c>
    </row>
    <row r="23" spans="1:17">
      <c r="A23" s="733">
        <v>45829</v>
      </c>
      <c r="B23" s="739"/>
      <c r="C23" s="740"/>
      <c r="D23" s="739"/>
      <c r="E23" s="740"/>
      <c r="F23" s="741">
        <f t="shared" si="1"/>
        <v>0</v>
      </c>
      <c r="G23" s="737">
        <v>0</v>
      </c>
      <c r="H23" s="738">
        <v>0</v>
      </c>
      <c r="I23" s="738">
        <v>500</v>
      </c>
      <c r="J23" s="737">
        <v>0</v>
      </c>
      <c r="K23" s="767">
        <f t="shared" si="0"/>
        <v>500</v>
      </c>
      <c r="L23" s="768">
        <v>0</v>
      </c>
      <c r="M23" s="769"/>
      <c r="N23" s="770">
        <f t="shared" si="2"/>
        <v>0</v>
      </c>
      <c r="O23" s="768">
        <f t="shared" si="3"/>
        <v>500</v>
      </c>
      <c r="P23" s="771">
        <f t="shared" si="4"/>
        <v>500</v>
      </c>
      <c r="Q23" s="790">
        <f t="shared" si="5"/>
        <v>10521.3</v>
      </c>
    </row>
    <row r="24" spans="1:17">
      <c r="A24" s="750">
        <v>45830</v>
      </c>
      <c r="B24" s="739"/>
      <c r="C24" s="740"/>
      <c r="D24" s="739"/>
      <c r="E24" s="740"/>
      <c r="F24" s="741">
        <f t="shared" si="1"/>
        <v>0</v>
      </c>
      <c r="G24" s="751">
        <v>0</v>
      </c>
      <c r="H24" s="752">
        <v>0</v>
      </c>
      <c r="I24" s="752">
        <v>0</v>
      </c>
      <c r="J24" s="751">
        <v>0</v>
      </c>
      <c r="K24" s="782">
        <f t="shared" si="0"/>
        <v>0</v>
      </c>
      <c r="L24" s="783">
        <v>0</v>
      </c>
      <c r="M24" s="784"/>
      <c r="N24" s="785">
        <f t="shared" si="2"/>
        <v>0</v>
      </c>
      <c r="O24" s="783">
        <f t="shared" si="3"/>
        <v>0</v>
      </c>
      <c r="P24" s="786">
        <f t="shared" si="4"/>
        <v>0</v>
      </c>
      <c r="Q24" s="793">
        <f t="shared" si="5"/>
        <v>10521.3</v>
      </c>
    </row>
    <row r="25" spans="1:17" s="399" customFormat="1">
      <c r="A25" s="733">
        <v>45831</v>
      </c>
      <c r="B25" s="739"/>
      <c r="C25" s="740"/>
      <c r="D25" s="739"/>
      <c r="E25" s="740"/>
      <c r="F25" s="741">
        <f t="shared" si="1"/>
        <v>0</v>
      </c>
      <c r="G25" s="737">
        <v>0</v>
      </c>
      <c r="H25" s="738">
        <v>0</v>
      </c>
      <c r="I25" s="738">
        <v>525</v>
      </c>
      <c r="J25" s="737">
        <v>0</v>
      </c>
      <c r="K25" s="767">
        <f t="shared" si="0"/>
        <v>525</v>
      </c>
      <c r="L25" s="768">
        <v>0</v>
      </c>
      <c r="M25" s="769"/>
      <c r="N25" s="770">
        <f t="shared" si="2"/>
        <v>0</v>
      </c>
      <c r="O25" s="768">
        <f t="shared" si="3"/>
        <v>525</v>
      </c>
      <c r="P25" s="771">
        <f t="shared" si="4"/>
        <v>525</v>
      </c>
      <c r="Q25" s="790">
        <f t="shared" si="5"/>
        <v>11046.3</v>
      </c>
    </row>
    <row r="26" spans="1:17">
      <c r="A26" s="733">
        <v>45832</v>
      </c>
      <c r="B26" s="734"/>
      <c r="C26" s="735"/>
      <c r="D26" s="734"/>
      <c r="E26" s="735"/>
      <c r="F26" s="736">
        <f t="shared" si="1"/>
        <v>0</v>
      </c>
      <c r="G26" s="737">
        <v>0</v>
      </c>
      <c r="H26" s="738">
        <v>500</v>
      </c>
      <c r="I26" s="738">
        <v>360</v>
      </c>
      <c r="J26" s="737">
        <v>0</v>
      </c>
      <c r="K26" s="767">
        <f t="shared" si="0"/>
        <v>860</v>
      </c>
      <c r="L26" s="768">
        <v>0</v>
      </c>
      <c r="M26" s="769"/>
      <c r="N26" s="770">
        <f t="shared" si="2"/>
        <v>0</v>
      </c>
      <c r="O26" s="768">
        <f t="shared" si="3"/>
        <v>860</v>
      </c>
      <c r="P26" s="771">
        <f t="shared" si="4"/>
        <v>860</v>
      </c>
      <c r="Q26" s="790">
        <f t="shared" si="5"/>
        <v>11906.3</v>
      </c>
    </row>
    <row r="27" spans="1:17">
      <c r="A27" s="733">
        <v>45833</v>
      </c>
      <c r="B27" s="734"/>
      <c r="C27" s="735"/>
      <c r="D27" s="734"/>
      <c r="E27" s="735"/>
      <c r="F27" s="736">
        <f t="shared" si="1"/>
        <v>0</v>
      </c>
      <c r="G27" s="737">
        <v>0</v>
      </c>
      <c r="H27" s="738">
        <v>525</v>
      </c>
      <c r="I27" s="738">
        <v>175</v>
      </c>
      <c r="J27" s="737">
        <v>0</v>
      </c>
      <c r="K27" s="767">
        <f t="shared" si="0"/>
        <v>700</v>
      </c>
      <c r="L27" s="768">
        <v>0</v>
      </c>
      <c r="M27" s="769"/>
      <c r="N27" s="770">
        <f t="shared" si="2"/>
        <v>0</v>
      </c>
      <c r="O27" s="768">
        <f t="shared" si="3"/>
        <v>700</v>
      </c>
      <c r="P27" s="771">
        <f t="shared" si="4"/>
        <v>700</v>
      </c>
      <c r="Q27" s="790">
        <f t="shared" si="5"/>
        <v>12606.3</v>
      </c>
    </row>
    <row r="28" spans="1:17">
      <c r="A28" s="733">
        <v>45834</v>
      </c>
      <c r="B28" s="734"/>
      <c r="C28" s="735"/>
      <c r="D28" s="734"/>
      <c r="E28" s="735"/>
      <c r="F28" s="736">
        <f t="shared" si="1"/>
        <v>0</v>
      </c>
      <c r="G28" s="737">
        <v>0</v>
      </c>
      <c r="H28" s="738">
        <v>525</v>
      </c>
      <c r="I28" s="738">
        <v>340</v>
      </c>
      <c r="J28" s="737">
        <v>0</v>
      </c>
      <c r="K28" s="767">
        <f t="shared" si="0"/>
        <v>865</v>
      </c>
      <c r="L28" s="768">
        <v>0</v>
      </c>
      <c r="M28" s="769"/>
      <c r="N28" s="770">
        <f t="shared" si="2"/>
        <v>0</v>
      </c>
      <c r="O28" s="768">
        <f t="shared" si="3"/>
        <v>865</v>
      </c>
      <c r="P28" s="771">
        <f t="shared" si="4"/>
        <v>865</v>
      </c>
      <c r="Q28" s="790">
        <f t="shared" si="5"/>
        <v>13471.3</v>
      </c>
    </row>
    <row r="29" spans="1:17">
      <c r="A29" s="733">
        <v>45835</v>
      </c>
      <c r="B29" s="734"/>
      <c r="C29" s="735"/>
      <c r="D29" s="734"/>
      <c r="E29" s="735"/>
      <c r="F29" s="736">
        <f t="shared" si="1"/>
        <v>0</v>
      </c>
      <c r="G29" s="737">
        <v>0</v>
      </c>
      <c r="H29" s="738">
        <v>0</v>
      </c>
      <c r="I29" s="738">
        <v>555</v>
      </c>
      <c r="J29" s="737">
        <v>0</v>
      </c>
      <c r="K29" s="767">
        <f t="shared" si="0"/>
        <v>555</v>
      </c>
      <c r="L29" s="768">
        <v>0</v>
      </c>
      <c r="M29" s="769"/>
      <c r="N29" s="770">
        <f t="shared" si="2"/>
        <v>0</v>
      </c>
      <c r="O29" s="768">
        <f t="shared" si="3"/>
        <v>555</v>
      </c>
      <c r="P29" s="771">
        <f t="shared" si="4"/>
        <v>555</v>
      </c>
      <c r="Q29" s="790">
        <f t="shared" si="5"/>
        <v>14026.3</v>
      </c>
    </row>
    <row r="30" spans="1:17">
      <c r="A30" s="733">
        <v>45836</v>
      </c>
      <c r="B30" s="734"/>
      <c r="C30" s="735"/>
      <c r="D30" s="734"/>
      <c r="E30" s="735"/>
      <c r="F30" s="736">
        <f t="shared" si="1"/>
        <v>0</v>
      </c>
      <c r="G30" s="737">
        <v>0</v>
      </c>
      <c r="H30" s="738">
        <v>0</v>
      </c>
      <c r="I30" s="738">
        <v>901</v>
      </c>
      <c r="J30" s="737">
        <v>0</v>
      </c>
      <c r="K30" s="767">
        <f t="shared" si="0"/>
        <v>901</v>
      </c>
      <c r="L30" s="768">
        <v>0</v>
      </c>
      <c r="M30" s="769"/>
      <c r="N30" s="770">
        <f t="shared" si="2"/>
        <v>0</v>
      </c>
      <c r="O30" s="768">
        <f t="shared" si="3"/>
        <v>901</v>
      </c>
      <c r="P30" s="771">
        <f t="shared" si="4"/>
        <v>901</v>
      </c>
      <c r="Q30" s="790">
        <f t="shared" si="5"/>
        <v>14927.3</v>
      </c>
    </row>
    <row r="31" spans="1:17">
      <c r="A31" s="733">
        <v>45837</v>
      </c>
      <c r="B31" s="734"/>
      <c r="C31" s="735"/>
      <c r="D31" s="734"/>
      <c r="E31" s="735"/>
      <c r="F31" s="736"/>
      <c r="G31" s="737">
        <v>0</v>
      </c>
      <c r="H31" s="738">
        <v>0</v>
      </c>
      <c r="I31" s="738">
        <v>772.5</v>
      </c>
      <c r="J31" s="737">
        <v>0</v>
      </c>
      <c r="K31" s="767">
        <f t="shared" ref="K31:K33" si="6">SUM(G31:J31)</f>
        <v>772.5</v>
      </c>
      <c r="L31" s="768">
        <v>0</v>
      </c>
      <c r="M31" s="769"/>
      <c r="N31" s="770">
        <f t="shared" si="2"/>
        <v>0</v>
      </c>
      <c r="O31" s="768">
        <f t="shared" si="3"/>
        <v>772.5</v>
      </c>
      <c r="P31" s="771">
        <f t="shared" si="4"/>
        <v>772.5</v>
      </c>
      <c r="Q31" s="790">
        <f t="shared" si="5"/>
        <v>15699.8</v>
      </c>
    </row>
    <row r="32" spans="1:17">
      <c r="A32" s="733">
        <v>45838</v>
      </c>
      <c r="B32" s="753"/>
      <c r="C32" s="754"/>
      <c r="D32" s="753"/>
      <c r="E32" s="754"/>
      <c r="F32" s="755"/>
      <c r="G32" s="737">
        <v>0</v>
      </c>
      <c r="H32" s="738">
        <v>0</v>
      </c>
      <c r="I32" s="738">
        <v>766.5</v>
      </c>
      <c r="J32" s="737">
        <v>0</v>
      </c>
      <c r="K32" s="767">
        <f t="shared" si="6"/>
        <v>766.5</v>
      </c>
      <c r="L32" s="768">
        <v>0</v>
      </c>
      <c r="M32" s="787"/>
      <c r="N32" s="770">
        <f t="shared" si="2"/>
        <v>0</v>
      </c>
      <c r="O32" s="768">
        <f t="shared" si="3"/>
        <v>766.5</v>
      </c>
      <c r="P32" s="771">
        <f t="shared" si="4"/>
        <v>766.5</v>
      </c>
      <c r="Q32" s="790">
        <f t="shared" si="5"/>
        <v>16466.3</v>
      </c>
    </row>
    <row r="33" spans="1:17" ht="13.35">
      <c r="A33" s="733"/>
      <c r="B33" s="753"/>
      <c r="C33" s="754"/>
      <c r="D33" s="753"/>
      <c r="E33" s="754"/>
      <c r="F33" s="755"/>
      <c r="G33" s="737"/>
      <c r="H33" s="738"/>
      <c r="I33" s="738"/>
      <c r="J33" s="737"/>
      <c r="K33" s="767">
        <f t="shared" si="6"/>
        <v>0</v>
      </c>
      <c r="L33" s="768">
        <v>0</v>
      </c>
      <c r="M33" s="787"/>
      <c r="N33" s="770">
        <v>0</v>
      </c>
      <c r="O33" s="768">
        <f t="shared" si="3"/>
        <v>0</v>
      </c>
      <c r="P33" s="771">
        <f t="shared" si="4"/>
        <v>0</v>
      </c>
      <c r="Q33" s="790">
        <f t="shared" si="5"/>
        <v>16466.3</v>
      </c>
    </row>
    <row r="34" spans="1:17" ht="13.7">
      <c r="A34" s="756"/>
      <c r="B34" s="756"/>
      <c r="C34" s="756"/>
      <c r="D34" s="756"/>
      <c r="E34" s="756"/>
      <c r="F34" s="756"/>
      <c r="G34" s="756"/>
      <c r="H34" s="757">
        <f>SUM(H3:H33)</f>
        <v>4250</v>
      </c>
      <c r="I34" s="788">
        <f>SUM(I3:I33)</f>
        <v>12216.3</v>
      </c>
      <c r="J34" s="757">
        <f t="shared" ref="J34:P34" si="7">SUM(J3:J33)</f>
        <v>0</v>
      </c>
      <c r="K34" s="788">
        <f t="shared" si="7"/>
        <v>16466.3</v>
      </c>
      <c r="L34" s="757">
        <f t="shared" si="7"/>
        <v>0</v>
      </c>
      <c r="M34" s="788">
        <f t="shared" si="7"/>
        <v>0</v>
      </c>
      <c r="N34" s="788">
        <f t="shared" si="7"/>
        <v>0</v>
      </c>
      <c r="O34" s="757">
        <f t="shared" si="7"/>
        <v>16466.3</v>
      </c>
      <c r="P34" s="757">
        <f t="shared" si="7"/>
        <v>16466.3</v>
      </c>
    </row>
    <row r="35" spans="1:17">
      <c r="H35" s="378">
        <v>500</v>
      </c>
      <c r="I35" s="378">
        <v>360</v>
      </c>
    </row>
  </sheetData>
  <mergeCells count="8">
    <mergeCell ref="P1:P2"/>
    <mergeCell ref="B1:E1"/>
    <mergeCell ref="G1:J1"/>
    <mergeCell ref="A1:A2"/>
    <mergeCell ref="F1:F2"/>
    <mergeCell ref="K1:K2"/>
    <mergeCell ref="N1:N2"/>
    <mergeCell ref="O1:O2"/>
  </mergeCells>
  <pageMargins left="0.7" right="0.7" top="0.75" bottom="0.75" header="0.3" footer="0.3"/>
  <pageSetup orientation="portrait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RH143"/>
  <sheetViews>
    <sheetView tabSelected="1" zoomScale="50" zoomScaleNormal="50" workbookViewId="0">
      <pane xSplit="2" ySplit="5" topLeftCell="C43" activePane="bottomRight" state="frozen"/>
      <selection pane="bottomRight" activeCell="V59" sqref="V59"/>
      <selection pane="bottomLeft"/>
      <selection pane="topRight"/>
    </sheetView>
  </sheetViews>
  <sheetFormatPr defaultColWidth="9.25" defaultRowHeight="12.95"/>
  <cols>
    <col min="1" max="1" width="2" style="530" customWidth="1"/>
    <col min="2" max="2" width="15" style="531" customWidth="1"/>
    <col min="3" max="4" width="11.5" style="530" customWidth="1"/>
    <col min="5" max="5" width="12.5" style="530" customWidth="1"/>
    <col min="6" max="6" width="14.5" style="530" customWidth="1"/>
    <col min="7" max="7" width="13.75" style="530" customWidth="1"/>
    <col min="8" max="8" width="11.25" style="530" customWidth="1"/>
    <col min="9" max="9" width="10.875" style="530" customWidth="1"/>
    <col min="10" max="10" width="9.25" style="530" customWidth="1"/>
    <col min="11" max="11" width="10.75" style="530" customWidth="1"/>
    <col min="12" max="13" width="12.5" style="530" customWidth="1"/>
    <col min="14" max="14" width="9" style="530" customWidth="1"/>
    <col min="15" max="15" width="15.75" style="530" customWidth="1"/>
    <col min="16" max="16" width="9.75" style="530" customWidth="1"/>
    <col min="17" max="17" width="10" style="530" customWidth="1"/>
    <col min="18" max="18" width="10.5" style="530" customWidth="1"/>
    <col min="19" max="19" width="8.75" style="530" customWidth="1"/>
    <col min="20" max="20" width="10.5" style="530" customWidth="1"/>
    <col min="21" max="21" width="10" style="530" customWidth="1"/>
    <col min="22" max="22" width="11.25" style="530" customWidth="1"/>
    <col min="23" max="23" width="11.5" style="532" customWidth="1"/>
    <col min="24" max="24" width="14.75" style="530" customWidth="1"/>
    <col min="25" max="25" width="9.5" style="530" customWidth="1"/>
    <col min="26" max="26" width="11.25" style="530" customWidth="1"/>
    <col min="27" max="27" width="11" style="530" customWidth="1"/>
    <col min="28" max="28" width="14.25" style="530" customWidth="1"/>
    <col min="29" max="29" width="71.5" style="530" customWidth="1"/>
    <col min="30" max="16384" width="9.25" style="530"/>
  </cols>
  <sheetData>
    <row r="1" spans="2:476" ht="14.45">
      <c r="C1" s="533"/>
      <c r="D1" s="534"/>
    </row>
    <row r="2" spans="2:476" ht="23.25" customHeight="1">
      <c r="B2" s="805" t="s">
        <v>15</v>
      </c>
      <c r="C2" s="805"/>
      <c r="D2" s="805"/>
      <c r="E2" s="805"/>
      <c r="F2" s="805"/>
      <c r="G2" s="805"/>
      <c r="H2" s="805"/>
      <c r="I2" s="805"/>
      <c r="J2" s="805"/>
      <c r="K2" s="805"/>
      <c r="L2" s="805"/>
      <c r="M2" s="805"/>
      <c r="N2" s="805"/>
      <c r="O2" s="805"/>
      <c r="P2" s="805"/>
      <c r="Q2" s="805"/>
      <c r="R2" s="805"/>
      <c r="S2" s="805"/>
      <c r="T2" s="805"/>
      <c r="U2" s="805"/>
      <c r="V2" s="805"/>
      <c r="W2" s="805"/>
    </row>
    <row r="3" spans="2:476" ht="27.75" customHeight="1">
      <c r="B3" s="806" t="s">
        <v>16</v>
      </c>
      <c r="C3" s="806"/>
      <c r="D3" s="806"/>
      <c r="E3" s="806"/>
      <c r="F3" s="806"/>
      <c r="G3" s="806"/>
      <c r="H3" s="806"/>
      <c r="I3" s="806"/>
      <c r="J3" s="806"/>
      <c r="K3" s="806"/>
      <c r="L3" s="806"/>
      <c r="M3" s="806"/>
      <c r="N3" s="806"/>
      <c r="O3" s="806"/>
      <c r="P3" s="806"/>
      <c r="Q3" s="806"/>
      <c r="R3" s="806"/>
      <c r="S3" s="806"/>
      <c r="T3" s="806"/>
      <c r="U3" s="806"/>
      <c r="V3" s="806"/>
      <c r="W3" s="806"/>
    </row>
    <row r="4" spans="2:476" ht="36" customHeight="1">
      <c r="B4" s="817" t="s">
        <v>17</v>
      </c>
      <c r="C4" s="807" t="s">
        <v>18</v>
      </c>
      <c r="D4" s="808"/>
      <c r="E4" s="808"/>
      <c r="F4" s="809"/>
      <c r="G4" s="810" t="s">
        <v>19</v>
      </c>
      <c r="H4" s="810"/>
      <c r="I4" s="810"/>
      <c r="J4" s="811" t="s">
        <v>20</v>
      </c>
      <c r="K4" s="812"/>
      <c r="L4" s="812"/>
      <c r="M4" s="812"/>
      <c r="N4" s="812"/>
      <c r="O4" s="812"/>
      <c r="P4" s="813"/>
      <c r="Q4" s="814" t="s">
        <v>21</v>
      </c>
      <c r="R4" s="815"/>
      <c r="S4" s="815"/>
      <c r="T4" s="815"/>
      <c r="U4" s="815"/>
      <c r="V4" s="815"/>
      <c r="W4" s="815"/>
      <c r="X4" s="816"/>
      <c r="Y4" s="833" t="s">
        <v>22</v>
      </c>
      <c r="Z4" s="835" t="s">
        <v>23</v>
      </c>
      <c r="AA4" s="835" t="s">
        <v>24</v>
      </c>
      <c r="AB4" s="835" t="s">
        <v>25</v>
      </c>
      <c r="AC4" s="837" t="s">
        <v>26</v>
      </c>
      <c r="AD4" s="605"/>
      <c r="AE4" s="605"/>
      <c r="AF4" s="605"/>
      <c r="AG4" s="605"/>
      <c r="AH4" s="605"/>
      <c r="AI4" s="605"/>
      <c r="AJ4" s="605"/>
      <c r="AK4" s="605"/>
      <c r="AL4" s="605"/>
      <c r="AM4" s="605"/>
      <c r="AN4" s="605"/>
      <c r="AO4" s="605"/>
      <c r="AP4" s="605"/>
      <c r="AQ4" s="605"/>
      <c r="AR4" s="605"/>
      <c r="AS4" s="605"/>
      <c r="AT4" s="605"/>
      <c r="AU4" s="605"/>
      <c r="AV4" s="605"/>
      <c r="AW4" s="605"/>
      <c r="AX4" s="605"/>
      <c r="AY4" s="605"/>
      <c r="AZ4" s="605"/>
      <c r="BA4" s="605"/>
      <c r="BB4" s="605"/>
      <c r="BC4" s="605"/>
      <c r="BD4" s="605"/>
      <c r="BE4" s="605"/>
      <c r="BF4" s="605"/>
      <c r="BG4" s="605"/>
      <c r="BH4" s="605"/>
      <c r="BI4" s="605"/>
      <c r="BJ4" s="605"/>
      <c r="BK4" s="605"/>
      <c r="BL4" s="605"/>
      <c r="BM4" s="605"/>
      <c r="BN4" s="605"/>
      <c r="BO4" s="605"/>
      <c r="BP4" s="605"/>
      <c r="BQ4" s="605"/>
      <c r="BR4" s="605"/>
      <c r="BS4" s="605"/>
      <c r="BT4" s="605"/>
      <c r="BU4" s="605"/>
      <c r="BV4" s="605"/>
      <c r="BW4" s="605"/>
      <c r="BX4" s="605"/>
      <c r="BY4" s="605"/>
      <c r="BZ4" s="605"/>
      <c r="CA4" s="605"/>
      <c r="CB4" s="605"/>
      <c r="CC4" s="605"/>
      <c r="CD4" s="605"/>
      <c r="CE4" s="605"/>
      <c r="CF4" s="605"/>
      <c r="CG4" s="605"/>
      <c r="CH4" s="605"/>
      <c r="CI4" s="605"/>
      <c r="CJ4" s="605"/>
      <c r="CK4" s="605"/>
      <c r="CL4" s="605"/>
      <c r="CM4" s="605"/>
      <c r="CN4" s="605"/>
      <c r="CO4" s="605"/>
      <c r="CP4" s="605"/>
      <c r="CQ4" s="605"/>
      <c r="CR4" s="605"/>
      <c r="CS4" s="605"/>
      <c r="CT4" s="605"/>
      <c r="CU4" s="605"/>
      <c r="CV4" s="605"/>
      <c r="CW4" s="605"/>
      <c r="CX4" s="605"/>
      <c r="CY4" s="605"/>
      <c r="CZ4" s="605"/>
      <c r="DA4" s="605"/>
      <c r="DB4" s="605"/>
      <c r="DC4" s="605"/>
      <c r="DD4" s="605"/>
      <c r="DE4" s="605"/>
      <c r="DF4" s="605"/>
      <c r="DG4" s="605"/>
      <c r="DH4" s="605"/>
      <c r="DI4" s="605"/>
      <c r="DJ4" s="605"/>
      <c r="DK4" s="605"/>
      <c r="DL4" s="605"/>
      <c r="DM4" s="605"/>
      <c r="DN4" s="605"/>
      <c r="DO4" s="605"/>
      <c r="DP4" s="605"/>
      <c r="DQ4" s="605"/>
      <c r="DR4" s="605"/>
      <c r="DS4" s="605"/>
      <c r="DT4" s="605"/>
      <c r="DU4" s="605"/>
      <c r="DV4" s="605"/>
      <c r="DW4" s="605"/>
      <c r="DX4" s="605"/>
      <c r="DY4" s="605"/>
      <c r="DZ4" s="605"/>
      <c r="EA4" s="605"/>
      <c r="EB4" s="605"/>
      <c r="EC4" s="605"/>
      <c r="ED4" s="605"/>
      <c r="EE4" s="605"/>
      <c r="EF4" s="605"/>
      <c r="EG4" s="605"/>
      <c r="EH4" s="605"/>
      <c r="EI4" s="605"/>
      <c r="EJ4" s="605"/>
      <c r="EK4" s="605"/>
      <c r="EL4" s="605"/>
      <c r="EM4" s="605"/>
      <c r="EN4" s="605"/>
      <c r="EO4" s="605"/>
      <c r="EP4" s="605"/>
      <c r="EQ4" s="605"/>
      <c r="ER4" s="605"/>
      <c r="ES4" s="605"/>
      <c r="ET4" s="605"/>
      <c r="EU4" s="605"/>
      <c r="EV4" s="605"/>
      <c r="EW4" s="605"/>
      <c r="EX4" s="605"/>
      <c r="EY4" s="605"/>
      <c r="EZ4" s="605"/>
      <c r="FA4" s="605"/>
      <c r="FB4" s="605"/>
      <c r="FC4" s="605"/>
      <c r="FD4" s="605"/>
      <c r="FE4" s="605"/>
      <c r="FF4" s="605"/>
      <c r="FG4" s="605"/>
      <c r="FH4" s="605"/>
      <c r="FI4" s="605"/>
      <c r="FJ4" s="605"/>
      <c r="FK4" s="605"/>
      <c r="FL4" s="605"/>
      <c r="FM4" s="605"/>
      <c r="FN4" s="605"/>
      <c r="FO4" s="605"/>
      <c r="FP4" s="605"/>
      <c r="FQ4" s="605"/>
      <c r="FR4" s="605"/>
      <c r="FS4" s="605"/>
      <c r="FT4" s="605"/>
      <c r="FU4" s="605"/>
      <c r="FV4" s="605"/>
      <c r="FW4" s="605"/>
      <c r="FX4" s="605"/>
      <c r="FY4" s="605"/>
      <c r="FZ4" s="605"/>
      <c r="GA4" s="605"/>
      <c r="GB4" s="605"/>
      <c r="GC4" s="605"/>
      <c r="GD4" s="605"/>
      <c r="GE4" s="605"/>
      <c r="GF4" s="605"/>
      <c r="GG4" s="605"/>
      <c r="GH4" s="605"/>
      <c r="GI4" s="605"/>
      <c r="GJ4" s="605"/>
      <c r="GK4" s="605"/>
      <c r="GL4" s="605"/>
      <c r="GM4" s="605"/>
      <c r="GN4" s="605"/>
      <c r="GO4" s="605"/>
      <c r="GP4" s="605"/>
      <c r="GQ4" s="605"/>
      <c r="GR4" s="605"/>
      <c r="GS4" s="605"/>
      <c r="GT4" s="605"/>
      <c r="GU4" s="605"/>
      <c r="GV4" s="605"/>
      <c r="GW4" s="605"/>
      <c r="GX4" s="605"/>
      <c r="GY4" s="605"/>
      <c r="GZ4" s="605"/>
      <c r="HA4" s="605"/>
      <c r="HB4" s="605"/>
      <c r="HC4" s="605"/>
      <c r="HD4" s="605"/>
      <c r="HE4" s="605"/>
      <c r="HF4" s="605"/>
      <c r="HG4" s="605"/>
      <c r="HH4" s="605"/>
      <c r="HI4" s="605"/>
      <c r="HJ4" s="605"/>
      <c r="HK4" s="605"/>
      <c r="HL4" s="605"/>
      <c r="HM4" s="605"/>
      <c r="HN4" s="605"/>
      <c r="HO4" s="605"/>
      <c r="HP4" s="605"/>
      <c r="HQ4" s="605"/>
      <c r="HR4" s="605"/>
      <c r="HS4" s="605"/>
      <c r="HT4" s="605"/>
      <c r="HU4" s="605"/>
      <c r="HV4" s="605"/>
      <c r="HW4" s="605"/>
      <c r="HX4" s="605"/>
      <c r="HY4" s="605"/>
      <c r="HZ4" s="605"/>
      <c r="IA4" s="605"/>
      <c r="IB4" s="605"/>
      <c r="IC4" s="605"/>
      <c r="ID4" s="605"/>
      <c r="IE4" s="605"/>
      <c r="IF4" s="605"/>
      <c r="IG4" s="605"/>
      <c r="IH4" s="605"/>
      <c r="II4" s="605"/>
      <c r="IJ4" s="605"/>
      <c r="IK4" s="605"/>
      <c r="IL4" s="605"/>
      <c r="IM4" s="605"/>
      <c r="IN4" s="605"/>
      <c r="IO4" s="605"/>
      <c r="IP4" s="605"/>
      <c r="IQ4" s="605"/>
      <c r="IR4" s="605"/>
      <c r="IS4" s="605"/>
      <c r="IT4" s="605"/>
      <c r="IU4" s="605"/>
      <c r="IV4" s="605"/>
      <c r="IW4" s="605"/>
      <c r="IX4" s="605"/>
      <c r="IY4" s="605"/>
      <c r="IZ4" s="605"/>
      <c r="JA4" s="605"/>
      <c r="JB4" s="605"/>
      <c r="JC4" s="605"/>
      <c r="JD4" s="605"/>
      <c r="JE4" s="605"/>
      <c r="JF4" s="605"/>
      <c r="JG4" s="605"/>
      <c r="JH4" s="605"/>
      <c r="JI4" s="605"/>
      <c r="JJ4" s="605"/>
      <c r="JK4" s="605"/>
      <c r="JL4" s="605"/>
      <c r="JM4" s="605"/>
      <c r="JN4" s="605"/>
      <c r="JO4" s="605"/>
      <c r="JP4" s="605"/>
      <c r="JQ4" s="605"/>
      <c r="JR4" s="605"/>
      <c r="JS4" s="605"/>
      <c r="JT4" s="605"/>
      <c r="JU4" s="605"/>
      <c r="JV4" s="605"/>
      <c r="JW4" s="605"/>
      <c r="JX4" s="605"/>
      <c r="JY4" s="605"/>
      <c r="JZ4" s="605"/>
      <c r="KA4" s="605"/>
      <c r="KB4" s="605"/>
      <c r="KC4" s="605"/>
      <c r="KD4" s="605"/>
      <c r="KE4" s="605"/>
      <c r="KF4" s="605"/>
      <c r="KG4" s="605"/>
      <c r="KH4" s="605"/>
      <c r="KI4" s="605"/>
      <c r="KJ4" s="605"/>
      <c r="KK4" s="605"/>
      <c r="KL4" s="605"/>
      <c r="KM4" s="605"/>
      <c r="KN4" s="605"/>
      <c r="KO4" s="605"/>
      <c r="KP4" s="605"/>
      <c r="KQ4" s="605"/>
      <c r="KR4" s="605"/>
      <c r="KS4" s="605"/>
      <c r="KT4" s="605"/>
      <c r="KU4" s="605"/>
      <c r="KV4" s="605"/>
      <c r="KW4" s="605"/>
      <c r="KX4" s="605"/>
      <c r="KY4" s="605"/>
      <c r="KZ4" s="605"/>
      <c r="LA4" s="605"/>
      <c r="LB4" s="605"/>
      <c r="LC4" s="605"/>
      <c r="LD4" s="605"/>
      <c r="LE4" s="605"/>
      <c r="LF4" s="605"/>
      <c r="LG4" s="605"/>
      <c r="LH4" s="605"/>
      <c r="LI4" s="605"/>
      <c r="LJ4" s="605"/>
      <c r="LK4" s="605"/>
      <c r="LL4" s="605"/>
      <c r="LM4" s="605"/>
      <c r="LN4" s="605"/>
      <c r="LO4" s="605"/>
      <c r="LP4" s="605"/>
      <c r="LQ4" s="605"/>
      <c r="LR4" s="605"/>
      <c r="LS4" s="605"/>
      <c r="LT4" s="605"/>
      <c r="LU4" s="605"/>
      <c r="LV4" s="605"/>
      <c r="LW4" s="605"/>
      <c r="LX4" s="605"/>
      <c r="LY4" s="605"/>
      <c r="LZ4" s="605"/>
      <c r="MA4" s="605"/>
      <c r="MB4" s="605"/>
      <c r="MC4" s="605"/>
      <c r="MD4" s="605"/>
      <c r="ME4" s="605"/>
      <c r="MF4" s="605"/>
      <c r="MG4" s="605"/>
      <c r="MH4" s="605"/>
      <c r="MI4" s="605"/>
      <c r="MJ4" s="605"/>
      <c r="MK4" s="605"/>
      <c r="ML4" s="605"/>
      <c r="MM4" s="605"/>
      <c r="MN4" s="605"/>
      <c r="MO4" s="605"/>
      <c r="MP4" s="605"/>
      <c r="MQ4" s="605"/>
      <c r="MR4" s="605"/>
      <c r="MS4" s="605"/>
      <c r="MT4" s="605"/>
      <c r="MU4" s="605"/>
      <c r="MV4" s="605"/>
      <c r="MW4" s="605"/>
      <c r="MX4" s="605"/>
      <c r="MY4" s="605"/>
      <c r="MZ4" s="605"/>
      <c r="NA4" s="605"/>
      <c r="NB4" s="605"/>
      <c r="NC4" s="605"/>
      <c r="ND4" s="605"/>
      <c r="NE4" s="605"/>
      <c r="NF4" s="605"/>
      <c r="NG4" s="605"/>
      <c r="NH4" s="605"/>
      <c r="NI4" s="605"/>
      <c r="NJ4" s="605"/>
      <c r="NK4" s="605"/>
      <c r="NL4" s="605"/>
      <c r="NM4" s="605"/>
      <c r="NN4" s="605"/>
      <c r="NO4" s="605"/>
      <c r="NP4" s="605"/>
      <c r="NQ4" s="605"/>
      <c r="NR4" s="605"/>
      <c r="NS4" s="605"/>
      <c r="NT4" s="605"/>
      <c r="NU4" s="605"/>
      <c r="NV4" s="605"/>
      <c r="NW4" s="605"/>
      <c r="NX4" s="605"/>
      <c r="NY4" s="605"/>
      <c r="NZ4" s="605"/>
      <c r="OA4" s="605"/>
      <c r="OB4" s="605"/>
      <c r="OC4" s="605"/>
      <c r="OD4" s="605"/>
      <c r="OE4" s="605"/>
      <c r="OF4" s="605"/>
      <c r="OG4" s="605"/>
      <c r="OH4" s="605"/>
      <c r="OI4" s="605"/>
      <c r="OJ4" s="605"/>
      <c r="OK4" s="605"/>
      <c r="OL4" s="605"/>
      <c r="OM4" s="605"/>
      <c r="ON4" s="605"/>
      <c r="OO4" s="605"/>
      <c r="OP4" s="605"/>
      <c r="OQ4" s="605"/>
      <c r="OR4" s="605"/>
      <c r="OS4" s="605"/>
      <c r="OT4" s="605"/>
      <c r="OU4" s="605"/>
      <c r="OV4" s="605"/>
      <c r="OW4" s="605"/>
      <c r="OX4" s="605"/>
      <c r="OY4" s="605"/>
      <c r="OZ4" s="605"/>
      <c r="PA4" s="605"/>
      <c r="PB4" s="605"/>
      <c r="PC4" s="605"/>
      <c r="PD4" s="605"/>
      <c r="PE4" s="605"/>
      <c r="PF4" s="605"/>
      <c r="PG4" s="605"/>
      <c r="PH4" s="605"/>
      <c r="PI4" s="605"/>
      <c r="PJ4" s="605"/>
      <c r="PK4" s="605"/>
      <c r="PL4" s="605"/>
      <c r="PM4" s="605"/>
      <c r="PN4" s="605"/>
      <c r="PO4" s="605"/>
      <c r="PP4" s="605"/>
      <c r="PQ4" s="605"/>
      <c r="PR4" s="605"/>
      <c r="PS4" s="605"/>
      <c r="PT4" s="605"/>
      <c r="PU4" s="605"/>
      <c r="PV4" s="605"/>
      <c r="PW4" s="605"/>
      <c r="PX4" s="605"/>
      <c r="PY4" s="605"/>
      <c r="PZ4" s="605"/>
      <c r="QA4" s="605"/>
      <c r="QB4" s="605"/>
      <c r="QC4" s="605"/>
      <c r="QD4" s="605"/>
      <c r="QE4" s="605"/>
      <c r="QF4" s="605"/>
      <c r="QG4" s="605"/>
      <c r="QH4" s="605"/>
      <c r="QI4" s="605"/>
      <c r="QJ4" s="605"/>
      <c r="QK4" s="605"/>
      <c r="QL4" s="605"/>
      <c r="QM4" s="605"/>
      <c r="QN4" s="605"/>
      <c r="QO4" s="605"/>
      <c r="QP4" s="605"/>
      <c r="QQ4" s="605"/>
      <c r="QR4" s="605"/>
      <c r="QS4" s="605"/>
      <c r="QT4" s="605"/>
      <c r="QU4" s="605"/>
      <c r="QV4" s="605"/>
      <c r="QW4" s="605"/>
      <c r="QX4" s="605"/>
      <c r="QY4" s="605"/>
      <c r="QZ4" s="605"/>
      <c r="RA4" s="605"/>
      <c r="RB4" s="605"/>
      <c r="RC4" s="605"/>
      <c r="RD4" s="605"/>
      <c r="RE4" s="605"/>
      <c r="RF4" s="605"/>
      <c r="RG4" s="605"/>
      <c r="RH4" s="605"/>
    </row>
    <row r="5" spans="2:476" ht="42" customHeight="1">
      <c r="B5" s="818"/>
      <c r="C5" s="535" t="s">
        <v>27</v>
      </c>
      <c r="D5" s="536" t="s">
        <v>28</v>
      </c>
      <c r="E5" s="537" t="s">
        <v>29</v>
      </c>
      <c r="F5" s="536" t="s">
        <v>30</v>
      </c>
      <c r="G5" s="538" t="s">
        <v>31</v>
      </c>
      <c r="H5" s="539" t="s">
        <v>32</v>
      </c>
      <c r="I5" s="539" t="s">
        <v>33</v>
      </c>
      <c r="J5" s="581" t="s">
        <v>34</v>
      </c>
      <c r="K5" s="582" t="s">
        <v>35</v>
      </c>
      <c r="L5" s="582" t="s">
        <v>36</v>
      </c>
      <c r="M5" s="583" t="s">
        <v>37</v>
      </c>
      <c r="N5" s="582" t="s">
        <v>38</v>
      </c>
      <c r="O5" s="583" t="s">
        <v>39</v>
      </c>
      <c r="P5" s="582" t="s">
        <v>40</v>
      </c>
      <c r="Q5" s="600" t="s">
        <v>41</v>
      </c>
      <c r="R5" s="601" t="s">
        <v>42</v>
      </c>
      <c r="S5" s="602" t="s">
        <v>43</v>
      </c>
      <c r="T5" s="601" t="s">
        <v>44</v>
      </c>
      <c r="U5" s="601" t="s">
        <v>45</v>
      </c>
      <c r="V5" s="602" t="s">
        <v>46</v>
      </c>
      <c r="W5" s="601" t="s">
        <v>47</v>
      </c>
      <c r="X5" s="603" t="s">
        <v>48</v>
      </c>
      <c r="Y5" s="834"/>
      <c r="Z5" s="836"/>
      <c r="AA5" s="836"/>
      <c r="AB5" s="836"/>
      <c r="AC5" s="838"/>
      <c r="AD5" s="605"/>
      <c r="AE5" s="605"/>
      <c r="AF5" s="605"/>
      <c r="AG5" s="605"/>
      <c r="AH5" s="605"/>
      <c r="AI5" s="605"/>
      <c r="AJ5" s="605"/>
      <c r="AK5" s="605"/>
      <c r="AL5" s="605"/>
      <c r="AM5" s="605"/>
      <c r="AN5" s="605"/>
      <c r="AO5" s="605"/>
      <c r="AP5" s="605"/>
      <c r="AQ5" s="605"/>
      <c r="AR5" s="605"/>
      <c r="AS5" s="605"/>
      <c r="AT5" s="605"/>
      <c r="AU5" s="605"/>
      <c r="AV5" s="605"/>
      <c r="AW5" s="605"/>
      <c r="AX5" s="605"/>
      <c r="AY5" s="605"/>
      <c r="AZ5" s="605"/>
      <c r="BA5" s="605"/>
      <c r="BB5" s="605"/>
      <c r="BC5" s="605"/>
      <c r="BD5" s="605"/>
      <c r="BE5" s="605"/>
      <c r="BF5" s="605"/>
      <c r="BG5" s="605"/>
      <c r="BH5" s="605"/>
      <c r="BI5" s="605"/>
      <c r="BJ5" s="605"/>
      <c r="BK5" s="605"/>
      <c r="BL5" s="605"/>
      <c r="BM5" s="605"/>
      <c r="BN5" s="605"/>
      <c r="BO5" s="605"/>
      <c r="BP5" s="605"/>
      <c r="BQ5" s="605"/>
      <c r="BR5" s="605"/>
      <c r="BS5" s="605"/>
      <c r="BT5" s="605"/>
      <c r="BU5" s="605"/>
      <c r="BV5" s="605"/>
      <c r="BW5" s="605"/>
      <c r="BX5" s="605"/>
      <c r="BY5" s="605"/>
      <c r="BZ5" s="605"/>
      <c r="CA5" s="605"/>
      <c r="CB5" s="605"/>
      <c r="CC5" s="605"/>
      <c r="CD5" s="605"/>
      <c r="CE5" s="605"/>
      <c r="CF5" s="605"/>
      <c r="CG5" s="605"/>
      <c r="CH5" s="605"/>
      <c r="CI5" s="605"/>
      <c r="CJ5" s="605"/>
      <c r="CK5" s="605"/>
      <c r="CL5" s="605"/>
      <c r="CM5" s="605"/>
      <c r="CN5" s="605"/>
      <c r="CO5" s="605"/>
      <c r="CP5" s="605"/>
      <c r="CQ5" s="605"/>
      <c r="CR5" s="605"/>
      <c r="CS5" s="605"/>
      <c r="CT5" s="605"/>
      <c r="CU5" s="605"/>
      <c r="CV5" s="605"/>
      <c r="CW5" s="605"/>
      <c r="CX5" s="605"/>
      <c r="CY5" s="605"/>
      <c r="CZ5" s="605"/>
      <c r="DA5" s="605"/>
      <c r="DB5" s="605"/>
      <c r="DC5" s="605"/>
      <c r="DD5" s="605"/>
      <c r="DE5" s="605"/>
      <c r="DF5" s="605"/>
      <c r="DG5" s="605"/>
      <c r="DH5" s="605"/>
      <c r="DI5" s="605"/>
      <c r="DJ5" s="605"/>
      <c r="DK5" s="605"/>
      <c r="DL5" s="605"/>
      <c r="DM5" s="605"/>
      <c r="DN5" s="605"/>
      <c r="DO5" s="605"/>
      <c r="DP5" s="605"/>
      <c r="DQ5" s="605"/>
      <c r="DR5" s="605"/>
      <c r="DS5" s="605"/>
      <c r="DT5" s="605"/>
      <c r="DU5" s="605"/>
      <c r="DV5" s="605"/>
      <c r="DW5" s="605"/>
      <c r="DX5" s="605"/>
      <c r="DY5" s="605"/>
      <c r="DZ5" s="605"/>
      <c r="EA5" s="605"/>
      <c r="EB5" s="605"/>
      <c r="EC5" s="605"/>
      <c r="ED5" s="605"/>
      <c r="EE5" s="605"/>
      <c r="EF5" s="605"/>
      <c r="EG5" s="605"/>
      <c r="EH5" s="605"/>
      <c r="EI5" s="605"/>
      <c r="EJ5" s="605"/>
      <c r="EK5" s="605"/>
      <c r="EL5" s="605"/>
      <c r="EM5" s="605"/>
      <c r="EN5" s="605"/>
      <c r="EO5" s="605"/>
      <c r="EP5" s="605"/>
      <c r="EQ5" s="605"/>
      <c r="ER5" s="605"/>
      <c r="ES5" s="605"/>
      <c r="ET5" s="605"/>
      <c r="EU5" s="605"/>
      <c r="EV5" s="605"/>
      <c r="EW5" s="605"/>
      <c r="EX5" s="605"/>
      <c r="EY5" s="605"/>
      <c r="EZ5" s="605"/>
      <c r="FA5" s="605"/>
      <c r="FB5" s="605"/>
      <c r="FC5" s="605"/>
      <c r="FD5" s="605"/>
      <c r="FE5" s="605"/>
      <c r="FF5" s="605"/>
      <c r="FG5" s="605"/>
      <c r="FH5" s="605"/>
      <c r="FI5" s="605"/>
      <c r="FJ5" s="605"/>
      <c r="FK5" s="605"/>
      <c r="FL5" s="605"/>
      <c r="FM5" s="605"/>
      <c r="FN5" s="605"/>
      <c r="FO5" s="605"/>
      <c r="FP5" s="605"/>
      <c r="FQ5" s="605"/>
      <c r="FR5" s="605"/>
      <c r="FS5" s="605"/>
      <c r="FT5" s="605"/>
      <c r="FU5" s="605"/>
      <c r="FV5" s="605"/>
      <c r="FW5" s="605"/>
      <c r="FX5" s="605"/>
      <c r="FY5" s="605"/>
      <c r="FZ5" s="605"/>
      <c r="GA5" s="605"/>
      <c r="GB5" s="605"/>
      <c r="GC5" s="605"/>
      <c r="GD5" s="605"/>
      <c r="GE5" s="605"/>
      <c r="GF5" s="605"/>
      <c r="GG5" s="605"/>
      <c r="GH5" s="605"/>
      <c r="GI5" s="605"/>
      <c r="GJ5" s="605"/>
      <c r="GK5" s="605"/>
      <c r="GL5" s="605"/>
      <c r="GM5" s="605"/>
      <c r="GN5" s="605"/>
      <c r="GO5" s="605"/>
      <c r="GP5" s="605"/>
      <c r="GQ5" s="605"/>
      <c r="GR5" s="605"/>
      <c r="GS5" s="605"/>
      <c r="GT5" s="605"/>
      <c r="GU5" s="605"/>
      <c r="GV5" s="605"/>
      <c r="GW5" s="605"/>
      <c r="GX5" s="605"/>
      <c r="GY5" s="605"/>
      <c r="GZ5" s="605"/>
      <c r="HA5" s="605"/>
      <c r="HB5" s="605"/>
      <c r="HC5" s="605"/>
      <c r="HD5" s="605"/>
      <c r="HE5" s="605"/>
      <c r="HF5" s="605"/>
      <c r="HG5" s="605"/>
      <c r="HH5" s="605"/>
      <c r="HI5" s="605"/>
      <c r="HJ5" s="605"/>
      <c r="HK5" s="605"/>
      <c r="HL5" s="605"/>
      <c r="HM5" s="605"/>
      <c r="HN5" s="605"/>
      <c r="HO5" s="605"/>
      <c r="HP5" s="605"/>
      <c r="HQ5" s="605"/>
      <c r="HR5" s="605"/>
      <c r="HS5" s="605"/>
      <c r="HT5" s="605"/>
      <c r="HU5" s="605"/>
      <c r="HV5" s="605"/>
      <c r="HW5" s="605"/>
      <c r="HX5" s="605"/>
      <c r="HY5" s="605"/>
      <c r="HZ5" s="605"/>
      <c r="IA5" s="605"/>
      <c r="IB5" s="605"/>
      <c r="IC5" s="605"/>
      <c r="ID5" s="605"/>
      <c r="IE5" s="605"/>
      <c r="IF5" s="605"/>
      <c r="IG5" s="605"/>
      <c r="IH5" s="605"/>
      <c r="II5" s="605"/>
      <c r="IJ5" s="605"/>
      <c r="IK5" s="605"/>
      <c r="IL5" s="605"/>
      <c r="IM5" s="605"/>
      <c r="IN5" s="605"/>
      <c r="IO5" s="605"/>
      <c r="IP5" s="605"/>
      <c r="IQ5" s="605"/>
      <c r="IR5" s="605"/>
      <c r="IS5" s="605"/>
      <c r="IT5" s="605"/>
      <c r="IU5" s="605"/>
      <c r="IV5" s="605"/>
      <c r="IW5" s="605"/>
      <c r="IX5" s="605"/>
      <c r="IY5" s="605"/>
      <c r="IZ5" s="605"/>
      <c r="JA5" s="605"/>
      <c r="JB5" s="605"/>
      <c r="JC5" s="605"/>
      <c r="JD5" s="605"/>
      <c r="JE5" s="605"/>
      <c r="JF5" s="605"/>
      <c r="JG5" s="605"/>
      <c r="JH5" s="605"/>
      <c r="JI5" s="605"/>
      <c r="JJ5" s="605"/>
      <c r="JK5" s="605"/>
      <c r="JL5" s="605"/>
      <c r="JM5" s="605"/>
      <c r="JN5" s="605"/>
      <c r="JO5" s="605"/>
      <c r="JP5" s="605"/>
      <c r="JQ5" s="605"/>
      <c r="JR5" s="605"/>
      <c r="JS5" s="605"/>
      <c r="JT5" s="605"/>
      <c r="JU5" s="605"/>
      <c r="JV5" s="605"/>
      <c r="JW5" s="605"/>
      <c r="JX5" s="605"/>
      <c r="JY5" s="605"/>
      <c r="JZ5" s="605"/>
      <c r="KA5" s="605"/>
      <c r="KB5" s="605"/>
      <c r="KC5" s="605"/>
      <c r="KD5" s="605"/>
      <c r="KE5" s="605"/>
      <c r="KF5" s="605"/>
      <c r="KG5" s="605"/>
      <c r="KH5" s="605"/>
      <c r="KI5" s="605"/>
      <c r="KJ5" s="605"/>
      <c r="KK5" s="605"/>
      <c r="KL5" s="605"/>
      <c r="KM5" s="605"/>
      <c r="KN5" s="605"/>
      <c r="KO5" s="605"/>
      <c r="KP5" s="605"/>
      <c r="KQ5" s="605"/>
      <c r="KR5" s="605"/>
      <c r="KS5" s="605"/>
      <c r="KT5" s="605"/>
      <c r="KU5" s="605"/>
      <c r="KV5" s="605"/>
      <c r="KW5" s="605"/>
      <c r="KX5" s="605"/>
      <c r="KY5" s="605"/>
      <c r="KZ5" s="605"/>
      <c r="LA5" s="605"/>
      <c r="LB5" s="605"/>
      <c r="LC5" s="605"/>
      <c r="LD5" s="605"/>
      <c r="LE5" s="605"/>
      <c r="LF5" s="605"/>
      <c r="LG5" s="605"/>
      <c r="LH5" s="605"/>
      <c r="LI5" s="605"/>
      <c r="LJ5" s="605"/>
      <c r="LK5" s="605"/>
      <c r="LL5" s="605"/>
      <c r="LM5" s="605"/>
      <c r="LN5" s="605"/>
      <c r="LO5" s="605"/>
      <c r="LP5" s="605"/>
      <c r="LQ5" s="605"/>
      <c r="LR5" s="605"/>
      <c r="LS5" s="605"/>
      <c r="LT5" s="605"/>
      <c r="LU5" s="605"/>
      <c r="LV5" s="605"/>
      <c r="LW5" s="605"/>
      <c r="LX5" s="605"/>
      <c r="LY5" s="605"/>
      <c r="LZ5" s="605"/>
      <c r="MA5" s="605"/>
      <c r="MB5" s="605"/>
      <c r="MC5" s="605"/>
      <c r="MD5" s="605"/>
      <c r="ME5" s="605"/>
      <c r="MF5" s="605"/>
      <c r="MG5" s="605"/>
      <c r="MH5" s="605"/>
      <c r="MI5" s="605"/>
      <c r="MJ5" s="605"/>
      <c r="MK5" s="605"/>
      <c r="ML5" s="605"/>
      <c r="MM5" s="605"/>
      <c r="MN5" s="605"/>
      <c r="MO5" s="605"/>
      <c r="MP5" s="605"/>
      <c r="MQ5" s="605"/>
      <c r="MR5" s="605"/>
      <c r="MS5" s="605"/>
      <c r="MT5" s="605"/>
      <c r="MU5" s="605"/>
      <c r="MV5" s="605"/>
      <c r="MW5" s="605"/>
      <c r="MX5" s="605"/>
      <c r="MY5" s="605"/>
      <c r="MZ5" s="605"/>
      <c r="NA5" s="605"/>
      <c r="NB5" s="605"/>
      <c r="NC5" s="605"/>
      <c r="ND5" s="605"/>
      <c r="NE5" s="605"/>
      <c r="NF5" s="605"/>
      <c r="NG5" s="605"/>
      <c r="NH5" s="605"/>
      <c r="NI5" s="605"/>
      <c r="NJ5" s="605"/>
      <c r="NK5" s="605"/>
      <c r="NL5" s="605"/>
      <c r="NM5" s="605"/>
      <c r="NN5" s="605"/>
      <c r="NO5" s="605"/>
      <c r="NP5" s="605"/>
      <c r="NQ5" s="605"/>
      <c r="NR5" s="605"/>
      <c r="NS5" s="605"/>
      <c r="NT5" s="605"/>
      <c r="NU5" s="605"/>
      <c r="NV5" s="605"/>
      <c r="NW5" s="605"/>
      <c r="NX5" s="605"/>
      <c r="NY5" s="605"/>
      <c r="NZ5" s="605"/>
      <c r="OA5" s="605"/>
      <c r="OB5" s="605"/>
      <c r="OC5" s="605"/>
      <c r="OD5" s="605"/>
      <c r="OE5" s="605"/>
      <c r="OF5" s="605"/>
      <c r="OG5" s="605"/>
      <c r="OH5" s="605"/>
      <c r="OI5" s="605"/>
      <c r="OJ5" s="605"/>
      <c r="OK5" s="605"/>
      <c r="OL5" s="605"/>
      <c r="OM5" s="605"/>
      <c r="ON5" s="605"/>
      <c r="OO5" s="605"/>
      <c r="OP5" s="605"/>
      <c r="OQ5" s="605"/>
      <c r="OR5" s="605"/>
      <c r="OS5" s="605"/>
      <c r="OT5" s="605"/>
      <c r="OU5" s="605"/>
      <c r="OV5" s="605"/>
      <c r="OW5" s="605"/>
      <c r="OX5" s="605"/>
      <c r="OY5" s="605"/>
      <c r="OZ5" s="605"/>
      <c r="PA5" s="605"/>
      <c r="PB5" s="605"/>
      <c r="PC5" s="605"/>
      <c r="PD5" s="605"/>
      <c r="PE5" s="605"/>
      <c r="PF5" s="605"/>
      <c r="PG5" s="605"/>
      <c r="PH5" s="605"/>
      <c r="PI5" s="605"/>
      <c r="PJ5" s="605"/>
      <c r="PK5" s="605"/>
      <c r="PL5" s="605"/>
      <c r="PM5" s="605"/>
      <c r="PN5" s="605"/>
      <c r="PO5" s="605"/>
      <c r="PP5" s="605"/>
      <c r="PQ5" s="605"/>
      <c r="PR5" s="605"/>
      <c r="PS5" s="605"/>
      <c r="PT5" s="605"/>
      <c r="PU5" s="605"/>
      <c r="PV5" s="605"/>
      <c r="PW5" s="605"/>
      <c r="PX5" s="605"/>
      <c r="PY5" s="605"/>
      <c r="PZ5" s="605"/>
      <c r="QA5" s="605"/>
      <c r="QB5" s="605"/>
      <c r="QC5" s="605"/>
      <c r="QD5" s="605"/>
      <c r="QE5" s="605"/>
      <c r="QF5" s="605"/>
      <c r="QG5" s="605"/>
      <c r="QH5" s="605"/>
      <c r="QI5" s="605"/>
      <c r="QJ5" s="605"/>
      <c r="QK5" s="605"/>
      <c r="QL5" s="605"/>
      <c r="QM5" s="605"/>
      <c r="QN5" s="605"/>
      <c r="QO5" s="605"/>
      <c r="QP5" s="605"/>
      <c r="QQ5" s="605"/>
      <c r="QR5" s="605"/>
      <c r="QS5" s="605"/>
      <c r="QT5" s="605"/>
      <c r="QU5" s="605"/>
      <c r="QV5" s="605"/>
      <c r="QW5" s="605"/>
      <c r="QX5" s="605"/>
      <c r="QY5" s="605"/>
      <c r="QZ5" s="605"/>
      <c r="RA5" s="605"/>
      <c r="RB5" s="605"/>
      <c r="RC5" s="605"/>
      <c r="RD5" s="605"/>
      <c r="RE5" s="605"/>
      <c r="RF5" s="605"/>
      <c r="RG5" s="605"/>
      <c r="RH5" s="605"/>
    </row>
    <row r="6" spans="2:476" s="525" customFormat="1" ht="20.100000000000001" customHeight="1">
      <c r="B6" s="540">
        <v>45809</v>
      </c>
      <c r="C6" s="541">
        <v>16</v>
      </c>
      <c r="D6" s="542">
        <v>0</v>
      </c>
      <c r="E6" s="542">
        <v>2</v>
      </c>
      <c r="F6" s="543">
        <f t="shared" ref="F6:F37" si="0">C6+D6-E6-Z6-AA6</f>
        <v>0</v>
      </c>
      <c r="G6" s="544"/>
      <c r="H6" s="545"/>
      <c r="I6" s="545"/>
      <c r="J6" s="584">
        <v>14</v>
      </c>
      <c r="K6" s="584"/>
      <c r="L6" s="545"/>
      <c r="M6" s="545"/>
      <c r="N6" s="584"/>
      <c r="O6" s="584"/>
      <c r="P6" s="545"/>
      <c r="Q6" s="604"/>
      <c r="R6" s="545"/>
      <c r="S6" s="545"/>
      <c r="T6" s="545"/>
      <c r="U6" s="545"/>
      <c r="V6" s="545"/>
      <c r="W6" s="545"/>
      <c r="X6" s="584"/>
      <c r="Y6" s="606">
        <v>1</v>
      </c>
      <c r="Z6" s="607">
        <f t="shared" ref="Z6:Z37" si="1">SUM(G6:I6)</f>
        <v>0</v>
      </c>
      <c r="AA6" s="607">
        <f t="shared" ref="AA6:AA37" si="2">SUM(J6:X6)</f>
        <v>14</v>
      </c>
      <c r="AB6" s="608">
        <f t="shared" ref="AB6:AB37" si="3">((C6+D6)-(Z6+AA6))/((C6+D6)-AA6)</f>
        <v>1</v>
      </c>
      <c r="AC6" s="609" t="s">
        <v>49</v>
      </c>
      <c r="AD6" s="610"/>
      <c r="AE6" s="610"/>
      <c r="AF6" s="610"/>
      <c r="AG6" s="610"/>
      <c r="AH6" s="610"/>
      <c r="AI6" s="610"/>
      <c r="AJ6" s="610"/>
      <c r="AK6" s="610"/>
      <c r="AL6" s="610"/>
      <c r="AM6" s="610"/>
      <c r="AN6" s="610"/>
      <c r="AO6" s="610"/>
      <c r="AP6" s="610"/>
      <c r="AQ6" s="610"/>
      <c r="AR6" s="610"/>
      <c r="AS6" s="610"/>
      <c r="AT6" s="610"/>
      <c r="AU6" s="610"/>
      <c r="AV6" s="610"/>
      <c r="AW6" s="610"/>
      <c r="AX6" s="610"/>
      <c r="AY6" s="610"/>
      <c r="AZ6" s="610"/>
      <c r="BA6" s="610"/>
      <c r="BB6" s="610"/>
      <c r="BC6" s="610"/>
      <c r="BD6" s="610"/>
      <c r="BE6" s="610"/>
      <c r="BF6" s="610"/>
      <c r="BG6" s="610"/>
      <c r="BH6" s="610"/>
      <c r="BI6" s="610"/>
      <c r="BJ6" s="610"/>
      <c r="BK6" s="610"/>
      <c r="BL6" s="610"/>
      <c r="BM6" s="610"/>
      <c r="BN6" s="610"/>
      <c r="BO6" s="610"/>
      <c r="BP6" s="610"/>
      <c r="BQ6" s="610"/>
      <c r="BR6" s="610"/>
      <c r="BS6" s="610"/>
      <c r="BT6" s="610"/>
      <c r="BU6" s="610"/>
      <c r="BV6" s="610"/>
      <c r="BW6" s="610"/>
      <c r="BX6" s="610"/>
      <c r="BY6" s="610"/>
      <c r="BZ6" s="610"/>
      <c r="CA6" s="610"/>
      <c r="CB6" s="610"/>
      <c r="CC6" s="610"/>
      <c r="CD6" s="610"/>
      <c r="CE6" s="610"/>
      <c r="CF6" s="610"/>
      <c r="CG6" s="610"/>
      <c r="CH6" s="610"/>
      <c r="CI6" s="610"/>
      <c r="CJ6" s="610"/>
      <c r="CK6" s="610"/>
      <c r="CL6" s="610"/>
      <c r="CM6" s="610"/>
      <c r="CN6" s="610"/>
      <c r="CO6" s="610"/>
      <c r="CP6" s="610"/>
      <c r="CQ6" s="610"/>
      <c r="CR6" s="610"/>
      <c r="CS6" s="610"/>
      <c r="CT6" s="610"/>
      <c r="CU6" s="610"/>
      <c r="CV6" s="610"/>
      <c r="CW6" s="610"/>
      <c r="CX6" s="610"/>
      <c r="CY6" s="610"/>
      <c r="CZ6" s="610"/>
      <c r="DA6" s="610"/>
      <c r="DB6" s="610"/>
      <c r="DC6" s="610"/>
      <c r="DD6" s="610"/>
      <c r="DE6" s="610"/>
      <c r="DF6" s="610"/>
      <c r="DG6" s="610"/>
      <c r="DH6" s="610"/>
      <c r="DI6" s="610"/>
      <c r="DJ6" s="610"/>
      <c r="DK6" s="610"/>
      <c r="DL6" s="610"/>
      <c r="DM6" s="610"/>
      <c r="DN6" s="610"/>
      <c r="DO6" s="610"/>
      <c r="DP6" s="610"/>
      <c r="DQ6" s="610"/>
      <c r="DR6" s="610"/>
      <c r="DS6" s="610"/>
      <c r="DT6" s="610"/>
      <c r="DU6" s="610"/>
      <c r="DV6" s="610"/>
      <c r="DW6" s="610"/>
      <c r="DX6" s="610"/>
      <c r="DY6" s="610"/>
      <c r="DZ6" s="610"/>
      <c r="EA6" s="610"/>
      <c r="EB6" s="610"/>
      <c r="EC6" s="610"/>
      <c r="ED6" s="610"/>
      <c r="EE6" s="610"/>
      <c r="EF6" s="610"/>
      <c r="EG6" s="610"/>
      <c r="EH6" s="610"/>
      <c r="EI6" s="610"/>
      <c r="EJ6" s="610"/>
      <c r="EK6" s="610"/>
      <c r="EL6" s="610"/>
      <c r="EM6" s="610"/>
      <c r="EN6" s="610"/>
      <c r="EO6" s="610"/>
      <c r="EP6" s="610"/>
      <c r="EQ6" s="610"/>
      <c r="ER6" s="610"/>
      <c r="ES6" s="610"/>
      <c r="ET6" s="610"/>
      <c r="EU6" s="610"/>
      <c r="EV6" s="610"/>
      <c r="EW6" s="610"/>
      <c r="EX6" s="610"/>
      <c r="EY6" s="610"/>
      <c r="EZ6" s="610"/>
      <c r="FA6" s="610"/>
      <c r="FB6" s="610"/>
      <c r="FC6" s="610"/>
      <c r="FD6" s="610"/>
      <c r="FE6" s="610"/>
      <c r="FF6" s="610"/>
      <c r="FG6" s="610"/>
      <c r="FH6" s="610"/>
      <c r="FI6" s="610"/>
      <c r="FJ6" s="610"/>
      <c r="FK6" s="610"/>
      <c r="FL6" s="610"/>
      <c r="FM6" s="610"/>
      <c r="FN6" s="610"/>
      <c r="FO6" s="610"/>
      <c r="FP6" s="610"/>
      <c r="FQ6" s="610"/>
      <c r="FR6" s="610"/>
      <c r="FS6" s="610"/>
      <c r="FT6" s="610"/>
      <c r="FU6" s="610"/>
      <c r="FV6" s="610"/>
      <c r="FW6" s="610"/>
      <c r="FX6" s="610"/>
      <c r="FY6" s="610"/>
      <c r="FZ6" s="610"/>
      <c r="GA6" s="610"/>
      <c r="GB6" s="610"/>
      <c r="GC6" s="610"/>
      <c r="GD6" s="610"/>
      <c r="GE6" s="610"/>
      <c r="GF6" s="610"/>
      <c r="GG6" s="610"/>
      <c r="GH6" s="610"/>
      <c r="GI6" s="610"/>
      <c r="GJ6" s="610"/>
      <c r="GK6" s="610"/>
      <c r="GL6" s="610"/>
      <c r="GM6" s="610"/>
      <c r="GN6" s="610"/>
      <c r="GO6" s="610"/>
      <c r="GP6" s="610"/>
      <c r="GQ6" s="610"/>
      <c r="GR6" s="610"/>
      <c r="GS6" s="610"/>
      <c r="GT6" s="610"/>
      <c r="GU6" s="610"/>
      <c r="GV6" s="610"/>
      <c r="GW6" s="610"/>
      <c r="GX6" s="610"/>
      <c r="GY6" s="610"/>
      <c r="GZ6" s="610"/>
      <c r="HA6" s="610"/>
      <c r="HB6" s="610"/>
      <c r="HC6" s="610"/>
      <c r="HD6" s="610"/>
      <c r="HE6" s="610"/>
      <c r="HF6" s="610"/>
      <c r="HG6" s="610"/>
      <c r="HH6" s="610"/>
      <c r="HI6" s="610"/>
      <c r="HJ6" s="610"/>
      <c r="HK6" s="610"/>
      <c r="HL6" s="610"/>
      <c r="HM6" s="610"/>
      <c r="HN6" s="610"/>
      <c r="HO6" s="610"/>
      <c r="HP6" s="610"/>
      <c r="HQ6" s="610"/>
      <c r="HR6" s="610"/>
      <c r="HS6" s="610"/>
      <c r="HT6" s="610"/>
      <c r="HU6" s="610"/>
      <c r="HV6" s="610"/>
      <c r="HW6" s="610"/>
      <c r="HX6" s="610"/>
      <c r="HY6" s="610"/>
      <c r="HZ6" s="610"/>
      <c r="IA6" s="610"/>
      <c r="IB6" s="610"/>
      <c r="IC6" s="610"/>
      <c r="ID6" s="610"/>
      <c r="IE6" s="610"/>
      <c r="IF6" s="610"/>
      <c r="IG6" s="610"/>
      <c r="IH6" s="610"/>
      <c r="II6" s="610"/>
      <c r="IJ6" s="610"/>
      <c r="IK6" s="610"/>
      <c r="IL6" s="610"/>
      <c r="IM6" s="610"/>
      <c r="IN6" s="610"/>
      <c r="IO6" s="610"/>
      <c r="IP6" s="610"/>
      <c r="IQ6" s="610"/>
      <c r="IR6" s="610"/>
      <c r="IS6" s="610"/>
      <c r="IT6" s="610"/>
      <c r="IU6" s="610"/>
      <c r="IV6" s="610"/>
      <c r="IW6" s="610"/>
      <c r="IX6" s="610"/>
      <c r="IY6" s="610"/>
      <c r="IZ6" s="610"/>
      <c r="JA6" s="610"/>
      <c r="JB6" s="610"/>
      <c r="JC6" s="610"/>
      <c r="JD6" s="610"/>
      <c r="JE6" s="610"/>
      <c r="JF6" s="610"/>
      <c r="JG6" s="610"/>
      <c r="JH6" s="610"/>
      <c r="JI6" s="610"/>
      <c r="JJ6" s="610"/>
      <c r="JK6" s="610"/>
      <c r="JL6" s="610"/>
      <c r="JM6" s="610"/>
      <c r="JN6" s="610"/>
      <c r="JO6" s="610"/>
      <c r="JP6" s="610"/>
      <c r="JQ6" s="610"/>
      <c r="JR6" s="610"/>
      <c r="JS6" s="610"/>
      <c r="JT6" s="610"/>
      <c r="JU6" s="610"/>
      <c r="JV6" s="610"/>
      <c r="JW6" s="610"/>
      <c r="JX6" s="610"/>
      <c r="JY6" s="610"/>
      <c r="JZ6" s="610"/>
      <c r="KA6" s="610"/>
      <c r="KB6" s="610"/>
      <c r="KC6" s="610"/>
      <c r="KD6" s="610"/>
      <c r="KE6" s="610"/>
      <c r="KF6" s="610"/>
      <c r="KG6" s="610"/>
      <c r="KH6" s="610"/>
      <c r="KI6" s="610"/>
      <c r="KJ6" s="610"/>
      <c r="KK6" s="610"/>
      <c r="KL6" s="610"/>
      <c r="KM6" s="610"/>
      <c r="KN6" s="610"/>
      <c r="KO6" s="610"/>
      <c r="KP6" s="610"/>
      <c r="KQ6" s="610"/>
      <c r="KR6" s="610"/>
      <c r="KS6" s="610"/>
      <c r="KT6" s="610"/>
      <c r="KU6" s="610"/>
      <c r="KV6" s="610"/>
      <c r="KW6" s="610"/>
      <c r="KX6" s="610"/>
      <c r="KY6" s="610"/>
      <c r="KZ6" s="610"/>
      <c r="LA6" s="610"/>
      <c r="LB6" s="610"/>
      <c r="LC6" s="610"/>
      <c r="LD6" s="610"/>
      <c r="LE6" s="610"/>
      <c r="LF6" s="610"/>
      <c r="LG6" s="610"/>
      <c r="LH6" s="610"/>
      <c r="LI6" s="610"/>
      <c r="LJ6" s="610"/>
      <c r="LK6" s="610"/>
      <c r="LL6" s="610"/>
      <c r="LM6" s="610"/>
      <c r="LN6" s="610"/>
      <c r="LO6" s="610"/>
      <c r="LP6" s="610"/>
      <c r="LQ6" s="610"/>
      <c r="LR6" s="610"/>
      <c r="LS6" s="610"/>
      <c r="LT6" s="610"/>
      <c r="LU6" s="610"/>
      <c r="LV6" s="610"/>
      <c r="LW6" s="610"/>
      <c r="LX6" s="610"/>
      <c r="LY6" s="610"/>
      <c r="LZ6" s="610"/>
      <c r="MA6" s="610"/>
      <c r="MB6" s="610"/>
      <c r="MC6" s="610"/>
      <c r="MD6" s="610"/>
      <c r="ME6" s="610"/>
      <c r="MF6" s="610"/>
      <c r="MG6" s="610"/>
      <c r="MH6" s="610"/>
      <c r="MI6" s="610"/>
      <c r="MJ6" s="610"/>
      <c r="MK6" s="610"/>
      <c r="ML6" s="610"/>
      <c r="MM6" s="610"/>
      <c r="MN6" s="610"/>
      <c r="MO6" s="610"/>
      <c r="MP6" s="610"/>
      <c r="MQ6" s="610"/>
      <c r="MR6" s="610"/>
      <c r="MS6" s="610"/>
      <c r="MT6" s="610"/>
      <c r="MU6" s="610"/>
      <c r="MV6" s="610"/>
      <c r="MW6" s="610"/>
      <c r="MX6" s="610"/>
      <c r="MY6" s="610"/>
      <c r="MZ6" s="610"/>
      <c r="NA6" s="610"/>
      <c r="NB6" s="610"/>
      <c r="NC6" s="610"/>
      <c r="ND6" s="610"/>
      <c r="NE6" s="610"/>
      <c r="NF6" s="610"/>
      <c r="NG6" s="610"/>
      <c r="NH6" s="610"/>
      <c r="NI6" s="610"/>
      <c r="NJ6" s="610"/>
      <c r="NK6" s="610"/>
      <c r="NL6" s="610"/>
      <c r="NM6" s="610"/>
      <c r="NN6" s="610"/>
      <c r="NO6" s="610"/>
      <c r="NP6" s="610"/>
      <c r="NQ6" s="610"/>
      <c r="NR6" s="610"/>
      <c r="NS6" s="610"/>
      <c r="NT6" s="610"/>
      <c r="NU6" s="610"/>
      <c r="NV6" s="610"/>
      <c r="NW6" s="610"/>
      <c r="NX6" s="610"/>
      <c r="NY6" s="610"/>
      <c r="NZ6" s="610"/>
      <c r="OA6" s="610"/>
      <c r="OB6" s="610"/>
      <c r="OC6" s="610"/>
      <c r="OD6" s="610"/>
      <c r="OE6" s="610"/>
      <c r="OF6" s="610"/>
      <c r="OG6" s="610"/>
      <c r="OH6" s="610"/>
      <c r="OI6" s="610"/>
      <c r="OJ6" s="610"/>
      <c r="OK6" s="610"/>
      <c r="OL6" s="610"/>
      <c r="OM6" s="610"/>
      <c r="ON6" s="610"/>
      <c r="OO6" s="610"/>
      <c r="OP6" s="610"/>
      <c r="OQ6" s="610"/>
      <c r="OR6" s="610"/>
      <c r="OS6" s="610"/>
      <c r="OT6" s="610"/>
      <c r="OU6" s="610"/>
      <c r="OV6" s="610"/>
      <c r="OW6" s="610"/>
      <c r="OX6" s="610"/>
      <c r="OY6" s="610"/>
      <c r="OZ6" s="610"/>
      <c r="PA6" s="610"/>
      <c r="PB6" s="610"/>
      <c r="PC6" s="610"/>
      <c r="PD6" s="610"/>
      <c r="PE6" s="610"/>
      <c r="PF6" s="610"/>
      <c r="PG6" s="610"/>
      <c r="PH6" s="610"/>
      <c r="PI6" s="610"/>
      <c r="PJ6" s="610"/>
      <c r="PK6" s="610"/>
      <c r="PL6" s="610"/>
      <c r="PM6" s="610"/>
      <c r="PN6" s="610"/>
      <c r="PO6" s="610"/>
      <c r="PP6" s="610"/>
      <c r="PQ6" s="610"/>
      <c r="PR6" s="610"/>
      <c r="PS6" s="610"/>
      <c r="PT6" s="610"/>
      <c r="PU6" s="610"/>
      <c r="PV6" s="610"/>
      <c r="PW6" s="610"/>
      <c r="PX6" s="610"/>
      <c r="PY6" s="610"/>
      <c r="PZ6" s="610"/>
      <c r="QA6" s="610"/>
      <c r="QB6" s="610"/>
      <c r="QC6" s="610"/>
      <c r="QD6" s="610"/>
      <c r="QE6" s="610"/>
      <c r="QF6" s="610"/>
      <c r="QG6" s="610"/>
      <c r="QH6" s="610"/>
      <c r="QI6" s="610"/>
      <c r="QJ6" s="610"/>
      <c r="QK6" s="610"/>
      <c r="QL6" s="610"/>
      <c r="QM6" s="610"/>
      <c r="QN6" s="610"/>
      <c r="QO6" s="610"/>
      <c r="QP6" s="610"/>
      <c r="QQ6" s="610"/>
      <c r="QR6" s="610"/>
      <c r="QS6" s="610"/>
      <c r="QT6" s="610"/>
      <c r="QU6" s="610"/>
      <c r="QV6" s="610"/>
      <c r="QW6" s="610"/>
      <c r="QX6" s="610"/>
      <c r="QY6" s="610"/>
      <c r="QZ6" s="610"/>
      <c r="RA6" s="610"/>
      <c r="RB6" s="610"/>
      <c r="RC6" s="610"/>
      <c r="RD6" s="610"/>
      <c r="RE6" s="610"/>
      <c r="RF6" s="610"/>
      <c r="RG6" s="610"/>
      <c r="RH6" s="610"/>
    </row>
    <row r="7" spans="2:476" s="525" customFormat="1" ht="20.100000000000001" customHeight="1">
      <c r="B7" s="546"/>
      <c r="C7" s="547">
        <v>16</v>
      </c>
      <c r="D7" s="548">
        <v>0</v>
      </c>
      <c r="E7" s="548">
        <v>2</v>
      </c>
      <c r="F7" s="549">
        <f t="shared" si="0"/>
        <v>0</v>
      </c>
      <c r="G7" s="550"/>
      <c r="H7" s="551"/>
      <c r="I7" s="551"/>
      <c r="J7" s="569">
        <v>14</v>
      </c>
      <c r="K7" s="569"/>
      <c r="L7" s="572"/>
      <c r="M7" s="572"/>
      <c r="N7" s="572"/>
      <c r="O7" s="572"/>
      <c r="P7" s="572"/>
      <c r="Q7" s="572"/>
      <c r="R7" s="572"/>
      <c r="S7" s="572"/>
      <c r="T7" s="572"/>
      <c r="U7" s="572"/>
      <c r="V7" s="572"/>
      <c r="W7" s="572"/>
      <c r="X7" s="572"/>
      <c r="Y7" s="611">
        <v>2</v>
      </c>
      <c r="Z7" s="607">
        <f t="shared" si="1"/>
        <v>0</v>
      </c>
      <c r="AA7" s="607">
        <f t="shared" si="2"/>
        <v>14</v>
      </c>
      <c r="AB7" s="608">
        <f t="shared" si="3"/>
        <v>1</v>
      </c>
      <c r="AC7" s="612" t="s">
        <v>49</v>
      </c>
      <c r="AD7" s="610"/>
      <c r="AE7" s="610"/>
      <c r="AF7" s="610"/>
      <c r="AG7" s="610"/>
      <c r="AH7" s="610"/>
      <c r="AI7" s="610"/>
      <c r="AJ7" s="610"/>
      <c r="AK7" s="610"/>
      <c r="AL7" s="610"/>
      <c r="AM7" s="610"/>
      <c r="AN7" s="610"/>
      <c r="AO7" s="610"/>
      <c r="AP7" s="610"/>
      <c r="AQ7" s="610"/>
      <c r="AR7" s="610"/>
      <c r="AS7" s="610"/>
      <c r="AT7" s="610"/>
      <c r="AU7" s="610"/>
      <c r="AV7" s="610"/>
      <c r="AW7" s="610"/>
      <c r="AX7" s="610"/>
      <c r="AY7" s="610"/>
      <c r="AZ7" s="610"/>
      <c r="BA7" s="610"/>
      <c r="BB7" s="610"/>
      <c r="BC7" s="610"/>
      <c r="BD7" s="610"/>
      <c r="BE7" s="610"/>
      <c r="BF7" s="610"/>
      <c r="BG7" s="610"/>
      <c r="BH7" s="610"/>
      <c r="BI7" s="610"/>
      <c r="BJ7" s="610"/>
      <c r="BK7" s="610"/>
      <c r="BL7" s="610"/>
      <c r="BM7" s="610"/>
      <c r="BN7" s="610"/>
      <c r="BO7" s="610"/>
      <c r="BP7" s="610"/>
      <c r="BQ7" s="610"/>
      <c r="BR7" s="610"/>
      <c r="BS7" s="610"/>
      <c r="BT7" s="610"/>
      <c r="BU7" s="610"/>
      <c r="BV7" s="610"/>
      <c r="BW7" s="610"/>
      <c r="BX7" s="610"/>
      <c r="BY7" s="610"/>
      <c r="BZ7" s="610"/>
      <c r="CA7" s="610"/>
      <c r="CB7" s="610"/>
      <c r="CC7" s="610"/>
      <c r="CD7" s="610"/>
      <c r="CE7" s="610"/>
      <c r="CF7" s="610"/>
      <c r="CG7" s="610"/>
      <c r="CH7" s="610"/>
      <c r="CI7" s="610"/>
      <c r="CJ7" s="610"/>
      <c r="CK7" s="610"/>
      <c r="CL7" s="610"/>
      <c r="CM7" s="610"/>
      <c r="CN7" s="610"/>
      <c r="CO7" s="610"/>
      <c r="CP7" s="610"/>
      <c r="CQ7" s="610"/>
      <c r="CR7" s="610"/>
      <c r="CS7" s="610"/>
      <c r="CT7" s="610"/>
      <c r="CU7" s="610"/>
      <c r="CV7" s="610"/>
      <c r="CW7" s="610"/>
      <c r="CX7" s="610"/>
      <c r="CY7" s="610"/>
      <c r="CZ7" s="610"/>
      <c r="DA7" s="610"/>
      <c r="DB7" s="610"/>
      <c r="DC7" s="610"/>
      <c r="DD7" s="610"/>
      <c r="DE7" s="610"/>
      <c r="DF7" s="610"/>
      <c r="DG7" s="610"/>
      <c r="DH7" s="610"/>
      <c r="DI7" s="610"/>
      <c r="DJ7" s="610"/>
      <c r="DK7" s="610"/>
      <c r="DL7" s="610"/>
      <c r="DM7" s="610"/>
      <c r="DN7" s="610"/>
      <c r="DO7" s="610"/>
      <c r="DP7" s="610"/>
      <c r="DQ7" s="610"/>
      <c r="DR7" s="610"/>
      <c r="DS7" s="610"/>
      <c r="DT7" s="610"/>
      <c r="DU7" s="610"/>
      <c r="DV7" s="610"/>
      <c r="DW7" s="610"/>
      <c r="DX7" s="610"/>
      <c r="DY7" s="610"/>
      <c r="DZ7" s="610"/>
      <c r="EA7" s="610"/>
      <c r="EB7" s="610"/>
      <c r="EC7" s="610"/>
      <c r="ED7" s="610"/>
      <c r="EE7" s="610"/>
      <c r="EF7" s="610"/>
      <c r="EG7" s="610"/>
      <c r="EH7" s="610"/>
      <c r="EI7" s="610"/>
      <c r="EJ7" s="610"/>
      <c r="EK7" s="610"/>
      <c r="EL7" s="610"/>
      <c r="EM7" s="610"/>
      <c r="EN7" s="610"/>
      <c r="EO7" s="610"/>
      <c r="EP7" s="610"/>
      <c r="EQ7" s="610"/>
      <c r="ER7" s="610"/>
      <c r="ES7" s="610"/>
      <c r="ET7" s="610"/>
      <c r="EU7" s="610"/>
      <c r="EV7" s="610"/>
      <c r="EW7" s="610"/>
      <c r="EX7" s="610"/>
      <c r="EY7" s="610"/>
      <c r="EZ7" s="610"/>
      <c r="FA7" s="610"/>
      <c r="FB7" s="610"/>
      <c r="FC7" s="610"/>
      <c r="FD7" s="610"/>
      <c r="FE7" s="610"/>
      <c r="FF7" s="610"/>
      <c r="FG7" s="610"/>
      <c r="FH7" s="610"/>
      <c r="FI7" s="610"/>
      <c r="FJ7" s="610"/>
      <c r="FK7" s="610"/>
      <c r="FL7" s="610"/>
      <c r="FM7" s="610"/>
      <c r="FN7" s="610"/>
      <c r="FO7" s="610"/>
      <c r="FP7" s="610"/>
      <c r="FQ7" s="610"/>
      <c r="FR7" s="610"/>
      <c r="FS7" s="610"/>
      <c r="FT7" s="610"/>
      <c r="FU7" s="610"/>
      <c r="FV7" s="610"/>
      <c r="FW7" s="610"/>
      <c r="FX7" s="610"/>
      <c r="FY7" s="610"/>
      <c r="FZ7" s="610"/>
      <c r="GA7" s="610"/>
      <c r="GB7" s="610"/>
      <c r="GC7" s="610"/>
      <c r="GD7" s="610"/>
      <c r="GE7" s="610"/>
      <c r="GF7" s="610"/>
      <c r="GG7" s="610"/>
      <c r="GH7" s="610"/>
      <c r="GI7" s="610"/>
      <c r="GJ7" s="610"/>
      <c r="GK7" s="610"/>
      <c r="GL7" s="610"/>
      <c r="GM7" s="610"/>
      <c r="GN7" s="610"/>
      <c r="GO7" s="610"/>
      <c r="GP7" s="610"/>
      <c r="GQ7" s="610"/>
      <c r="GR7" s="610"/>
      <c r="GS7" s="610"/>
      <c r="GT7" s="610"/>
      <c r="GU7" s="610"/>
      <c r="GV7" s="610"/>
      <c r="GW7" s="610"/>
      <c r="GX7" s="610"/>
      <c r="GY7" s="610"/>
      <c r="GZ7" s="610"/>
      <c r="HA7" s="610"/>
      <c r="HB7" s="610"/>
      <c r="HC7" s="610"/>
      <c r="HD7" s="610"/>
      <c r="HE7" s="610"/>
      <c r="HF7" s="610"/>
      <c r="HG7" s="610"/>
      <c r="HH7" s="610"/>
      <c r="HI7" s="610"/>
      <c r="HJ7" s="610"/>
      <c r="HK7" s="610"/>
      <c r="HL7" s="610"/>
      <c r="HM7" s="610"/>
      <c r="HN7" s="610"/>
      <c r="HO7" s="610"/>
      <c r="HP7" s="610"/>
      <c r="HQ7" s="610"/>
      <c r="HR7" s="610"/>
      <c r="HS7" s="610"/>
      <c r="HT7" s="610"/>
      <c r="HU7" s="610"/>
      <c r="HV7" s="610"/>
      <c r="HW7" s="610"/>
      <c r="HX7" s="610"/>
      <c r="HY7" s="610"/>
      <c r="HZ7" s="610"/>
      <c r="IA7" s="610"/>
      <c r="IB7" s="610"/>
      <c r="IC7" s="610"/>
      <c r="ID7" s="610"/>
      <c r="IE7" s="610"/>
      <c r="IF7" s="610"/>
      <c r="IG7" s="610"/>
      <c r="IH7" s="610"/>
      <c r="II7" s="610"/>
      <c r="IJ7" s="610"/>
      <c r="IK7" s="610"/>
      <c r="IL7" s="610"/>
      <c r="IM7" s="610"/>
      <c r="IN7" s="610"/>
      <c r="IO7" s="610"/>
      <c r="IP7" s="610"/>
      <c r="IQ7" s="610"/>
      <c r="IR7" s="610"/>
      <c r="IS7" s="610"/>
      <c r="IT7" s="610"/>
      <c r="IU7" s="610"/>
      <c r="IV7" s="610"/>
      <c r="IW7" s="610"/>
      <c r="IX7" s="610"/>
      <c r="IY7" s="610"/>
      <c r="IZ7" s="610"/>
      <c r="JA7" s="610"/>
      <c r="JB7" s="610"/>
      <c r="JC7" s="610"/>
      <c r="JD7" s="610"/>
      <c r="JE7" s="610"/>
      <c r="JF7" s="610"/>
      <c r="JG7" s="610"/>
      <c r="JH7" s="610"/>
      <c r="JI7" s="610"/>
      <c r="JJ7" s="610"/>
      <c r="JK7" s="610"/>
      <c r="JL7" s="610"/>
      <c r="JM7" s="610"/>
      <c r="JN7" s="610"/>
      <c r="JO7" s="610"/>
      <c r="JP7" s="610"/>
      <c r="JQ7" s="610"/>
      <c r="JR7" s="610"/>
      <c r="JS7" s="610"/>
      <c r="JT7" s="610"/>
      <c r="JU7" s="610"/>
      <c r="JV7" s="610"/>
      <c r="JW7" s="610"/>
      <c r="JX7" s="610"/>
      <c r="JY7" s="610"/>
      <c r="JZ7" s="610"/>
      <c r="KA7" s="610"/>
      <c r="KB7" s="610"/>
      <c r="KC7" s="610"/>
      <c r="KD7" s="610"/>
      <c r="KE7" s="610"/>
      <c r="KF7" s="610"/>
      <c r="KG7" s="610"/>
      <c r="KH7" s="610"/>
      <c r="KI7" s="610"/>
      <c r="KJ7" s="610"/>
      <c r="KK7" s="610"/>
      <c r="KL7" s="610"/>
      <c r="KM7" s="610"/>
      <c r="KN7" s="610"/>
      <c r="KO7" s="610"/>
      <c r="KP7" s="610"/>
      <c r="KQ7" s="610"/>
      <c r="KR7" s="610"/>
      <c r="KS7" s="610"/>
      <c r="KT7" s="610"/>
      <c r="KU7" s="610"/>
      <c r="KV7" s="610"/>
      <c r="KW7" s="610"/>
      <c r="KX7" s="610"/>
      <c r="KY7" s="610"/>
      <c r="KZ7" s="610"/>
      <c r="LA7" s="610"/>
      <c r="LB7" s="610"/>
      <c r="LC7" s="610"/>
      <c r="LD7" s="610"/>
      <c r="LE7" s="610"/>
      <c r="LF7" s="610"/>
      <c r="LG7" s="610"/>
      <c r="LH7" s="610"/>
      <c r="LI7" s="610"/>
      <c r="LJ7" s="610"/>
      <c r="LK7" s="610"/>
      <c r="LL7" s="610"/>
      <c r="LM7" s="610"/>
      <c r="LN7" s="610"/>
      <c r="LO7" s="610"/>
      <c r="LP7" s="610"/>
      <c r="LQ7" s="610"/>
      <c r="LR7" s="610"/>
      <c r="LS7" s="610"/>
      <c r="LT7" s="610"/>
      <c r="LU7" s="610"/>
      <c r="LV7" s="610"/>
      <c r="LW7" s="610"/>
      <c r="LX7" s="610"/>
      <c r="LY7" s="610"/>
      <c r="LZ7" s="610"/>
      <c r="MA7" s="610"/>
      <c r="MB7" s="610"/>
      <c r="MC7" s="610"/>
      <c r="MD7" s="610"/>
      <c r="ME7" s="610"/>
      <c r="MF7" s="610"/>
      <c r="MG7" s="610"/>
      <c r="MH7" s="610"/>
      <c r="MI7" s="610"/>
      <c r="MJ7" s="610"/>
      <c r="MK7" s="610"/>
      <c r="ML7" s="610"/>
      <c r="MM7" s="610"/>
      <c r="MN7" s="610"/>
      <c r="MO7" s="610"/>
      <c r="MP7" s="610"/>
      <c r="MQ7" s="610"/>
      <c r="MR7" s="610"/>
      <c r="MS7" s="610"/>
      <c r="MT7" s="610"/>
      <c r="MU7" s="610"/>
      <c r="MV7" s="610"/>
      <c r="MW7" s="610"/>
      <c r="MX7" s="610"/>
      <c r="MY7" s="610"/>
      <c r="MZ7" s="610"/>
      <c r="NA7" s="610"/>
      <c r="NB7" s="610"/>
      <c r="NC7" s="610"/>
      <c r="ND7" s="610"/>
      <c r="NE7" s="610"/>
      <c r="NF7" s="610"/>
      <c r="NG7" s="610"/>
      <c r="NH7" s="610"/>
      <c r="NI7" s="610"/>
      <c r="NJ7" s="610"/>
      <c r="NK7" s="610"/>
      <c r="NL7" s="610"/>
      <c r="NM7" s="610"/>
      <c r="NN7" s="610"/>
      <c r="NO7" s="610"/>
      <c r="NP7" s="610"/>
      <c r="NQ7" s="610"/>
      <c r="NR7" s="610"/>
      <c r="NS7" s="610"/>
      <c r="NT7" s="610"/>
      <c r="NU7" s="610"/>
      <c r="NV7" s="610"/>
      <c r="NW7" s="610"/>
      <c r="NX7" s="610"/>
      <c r="NY7" s="610"/>
      <c r="NZ7" s="610"/>
      <c r="OA7" s="610"/>
      <c r="OB7" s="610"/>
      <c r="OC7" s="610"/>
      <c r="OD7" s="610"/>
      <c r="OE7" s="610"/>
      <c r="OF7" s="610"/>
      <c r="OG7" s="610"/>
      <c r="OH7" s="610"/>
      <c r="OI7" s="610"/>
      <c r="OJ7" s="610"/>
      <c r="OK7" s="610"/>
      <c r="OL7" s="610"/>
      <c r="OM7" s="610"/>
      <c r="ON7" s="610"/>
      <c r="OO7" s="610"/>
      <c r="OP7" s="610"/>
      <c r="OQ7" s="610"/>
      <c r="OR7" s="610"/>
      <c r="OS7" s="610"/>
      <c r="OT7" s="610"/>
      <c r="OU7" s="610"/>
      <c r="OV7" s="610"/>
      <c r="OW7" s="610"/>
      <c r="OX7" s="610"/>
      <c r="OY7" s="610"/>
      <c r="OZ7" s="610"/>
      <c r="PA7" s="610"/>
      <c r="PB7" s="610"/>
      <c r="PC7" s="610"/>
      <c r="PD7" s="610"/>
      <c r="PE7" s="610"/>
      <c r="PF7" s="610"/>
      <c r="PG7" s="610"/>
      <c r="PH7" s="610"/>
      <c r="PI7" s="610"/>
      <c r="PJ7" s="610"/>
      <c r="PK7" s="610"/>
      <c r="PL7" s="610"/>
      <c r="PM7" s="610"/>
      <c r="PN7" s="610"/>
      <c r="PO7" s="610"/>
      <c r="PP7" s="610"/>
      <c r="PQ7" s="610"/>
      <c r="PR7" s="610"/>
      <c r="PS7" s="610"/>
      <c r="PT7" s="610"/>
      <c r="PU7" s="610"/>
      <c r="PV7" s="610"/>
      <c r="PW7" s="610"/>
      <c r="PX7" s="610"/>
      <c r="PY7" s="610"/>
      <c r="PZ7" s="610"/>
      <c r="QA7" s="610"/>
      <c r="QB7" s="610"/>
      <c r="QC7" s="610"/>
      <c r="QD7" s="610"/>
      <c r="QE7" s="610"/>
      <c r="QF7" s="610"/>
      <c r="QG7" s="610"/>
      <c r="QH7" s="610"/>
      <c r="QI7" s="610"/>
      <c r="QJ7" s="610"/>
      <c r="QK7" s="610"/>
      <c r="QL7" s="610"/>
      <c r="QM7" s="610"/>
      <c r="QN7" s="610"/>
      <c r="QO7" s="610"/>
      <c r="QP7" s="610"/>
      <c r="QQ7" s="610"/>
      <c r="QR7" s="610"/>
      <c r="QS7" s="610"/>
      <c r="QT7" s="610"/>
      <c r="QU7" s="610"/>
      <c r="QV7" s="610"/>
      <c r="QW7" s="610"/>
      <c r="QX7" s="610"/>
      <c r="QY7" s="610"/>
      <c r="QZ7" s="610"/>
      <c r="RA7" s="610"/>
      <c r="RB7" s="610"/>
      <c r="RC7" s="610"/>
      <c r="RD7" s="610"/>
      <c r="RE7" s="610"/>
      <c r="RF7" s="610"/>
      <c r="RG7" s="610"/>
      <c r="RH7" s="610"/>
    </row>
    <row r="8" spans="2:476" ht="19.5" customHeight="1">
      <c r="B8" s="552">
        <v>45810</v>
      </c>
      <c r="C8" s="553">
        <v>16</v>
      </c>
      <c r="D8" s="554">
        <v>0</v>
      </c>
      <c r="E8" s="554">
        <v>2</v>
      </c>
      <c r="F8" s="555">
        <f t="shared" si="0"/>
        <v>0</v>
      </c>
      <c r="G8" s="556"/>
      <c r="H8" s="557"/>
      <c r="I8" s="557"/>
      <c r="J8" s="576">
        <v>14</v>
      </c>
      <c r="K8" s="585"/>
      <c r="L8" s="560"/>
      <c r="M8" s="557"/>
      <c r="N8" s="576"/>
      <c r="O8" s="560"/>
      <c r="P8" s="557"/>
      <c r="Q8" s="557"/>
      <c r="R8" s="557"/>
      <c r="S8" s="557"/>
      <c r="T8" s="557"/>
      <c r="U8" s="557"/>
      <c r="V8" s="557"/>
      <c r="W8" s="557"/>
      <c r="X8" s="576"/>
      <c r="Y8" s="613">
        <v>1</v>
      </c>
      <c r="Z8" s="607">
        <f t="shared" si="1"/>
        <v>0</v>
      </c>
      <c r="AA8" s="607">
        <f t="shared" si="2"/>
        <v>14</v>
      </c>
      <c r="AB8" s="608">
        <f t="shared" si="3"/>
        <v>1</v>
      </c>
      <c r="AC8" s="612" t="s">
        <v>49</v>
      </c>
      <c r="AD8" s="605"/>
      <c r="AE8" s="605"/>
      <c r="AF8" s="605"/>
      <c r="AG8" s="605"/>
      <c r="AH8" s="605"/>
      <c r="AI8" s="605"/>
      <c r="AJ8" s="605"/>
      <c r="AK8" s="605"/>
      <c r="AL8" s="605"/>
      <c r="AM8" s="605"/>
      <c r="AN8" s="605"/>
      <c r="AO8" s="605"/>
      <c r="AP8" s="605"/>
      <c r="AQ8" s="605"/>
      <c r="AR8" s="605"/>
      <c r="AS8" s="605"/>
      <c r="AT8" s="605"/>
      <c r="AU8" s="605"/>
      <c r="AV8" s="605"/>
      <c r="AW8" s="605"/>
      <c r="AX8" s="605"/>
      <c r="AY8" s="605"/>
      <c r="AZ8" s="605"/>
      <c r="BA8" s="605"/>
      <c r="BB8" s="605"/>
      <c r="BC8" s="605"/>
      <c r="BD8" s="605"/>
      <c r="BE8" s="605"/>
      <c r="BF8" s="605"/>
      <c r="BG8" s="605"/>
      <c r="BH8" s="605"/>
      <c r="BI8" s="605"/>
      <c r="BJ8" s="605"/>
      <c r="BK8" s="605"/>
      <c r="BL8" s="605"/>
      <c r="BM8" s="605"/>
      <c r="BN8" s="605"/>
      <c r="BO8" s="605"/>
      <c r="BP8" s="605"/>
      <c r="BQ8" s="605"/>
      <c r="BR8" s="605"/>
      <c r="BS8" s="605"/>
      <c r="BT8" s="605"/>
      <c r="BU8" s="605"/>
      <c r="BV8" s="605"/>
      <c r="BW8" s="605"/>
      <c r="BX8" s="605"/>
      <c r="BY8" s="605"/>
      <c r="BZ8" s="605"/>
      <c r="CA8" s="605"/>
      <c r="CB8" s="605"/>
      <c r="CC8" s="605"/>
      <c r="CD8" s="605"/>
      <c r="CE8" s="605"/>
      <c r="CF8" s="605"/>
      <c r="CG8" s="605"/>
      <c r="CH8" s="605"/>
      <c r="CI8" s="605"/>
      <c r="CJ8" s="605"/>
      <c r="CK8" s="605"/>
      <c r="CL8" s="605"/>
      <c r="CM8" s="605"/>
      <c r="CN8" s="605"/>
      <c r="CO8" s="605"/>
      <c r="CP8" s="605"/>
      <c r="CQ8" s="605"/>
      <c r="CR8" s="605"/>
      <c r="CS8" s="605"/>
      <c r="CT8" s="605"/>
      <c r="CU8" s="605"/>
      <c r="CV8" s="605"/>
      <c r="CW8" s="605"/>
      <c r="CX8" s="605"/>
      <c r="CY8" s="605"/>
      <c r="CZ8" s="605"/>
      <c r="DA8" s="605"/>
      <c r="DB8" s="605"/>
      <c r="DC8" s="605"/>
      <c r="DD8" s="605"/>
      <c r="DE8" s="605"/>
      <c r="DF8" s="605"/>
      <c r="DG8" s="605"/>
      <c r="DH8" s="605"/>
      <c r="DI8" s="605"/>
      <c r="DJ8" s="605"/>
      <c r="DK8" s="605"/>
      <c r="DL8" s="605"/>
      <c r="DM8" s="605"/>
      <c r="DN8" s="605"/>
      <c r="DO8" s="605"/>
      <c r="DP8" s="605"/>
      <c r="DQ8" s="605"/>
      <c r="DR8" s="605"/>
      <c r="DS8" s="605"/>
      <c r="DT8" s="605"/>
      <c r="DU8" s="605"/>
      <c r="DV8" s="605"/>
      <c r="DW8" s="605"/>
      <c r="DX8" s="605"/>
      <c r="DY8" s="605"/>
      <c r="DZ8" s="605"/>
      <c r="EA8" s="605"/>
      <c r="EB8" s="605"/>
      <c r="EC8" s="605"/>
      <c r="ED8" s="605"/>
      <c r="EE8" s="605"/>
      <c r="EF8" s="605"/>
      <c r="EG8" s="605"/>
      <c r="EH8" s="605"/>
      <c r="EI8" s="605"/>
      <c r="EJ8" s="605"/>
      <c r="EK8" s="605"/>
      <c r="EL8" s="605"/>
      <c r="EM8" s="605"/>
      <c r="EN8" s="605"/>
      <c r="EO8" s="605"/>
      <c r="EP8" s="605"/>
      <c r="EQ8" s="605"/>
      <c r="ER8" s="605"/>
      <c r="ES8" s="605"/>
      <c r="ET8" s="605"/>
      <c r="EU8" s="605"/>
      <c r="EV8" s="605"/>
      <c r="EW8" s="605"/>
      <c r="EX8" s="605"/>
      <c r="EY8" s="605"/>
      <c r="EZ8" s="605"/>
      <c r="FA8" s="605"/>
      <c r="FB8" s="605"/>
      <c r="FC8" s="605"/>
      <c r="FD8" s="605"/>
      <c r="FE8" s="605"/>
      <c r="FF8" s="605"/>
      <c r="FG8" s="605"/>
      <c r="FH8" s="605"/>
      <c r="FI8" s="605"/>
      <c r="FJ8" s="605"/>
      <c r="FK8" s="605"/>
      <c r="FL8" s="605"/>
      <c r="FM8" s="605"/>
      <c r="FN8" s="605"/>
      <c r="FO8" s="605"/>
      <c r="FP8" s="605"/>
      <c r="FQ8" s="605"/>
      <c r="FR8" s="605"/>
      <c r="FS8" s="605"/>
      <c r="FT8" s="605"/>
      <c r="FU8" s="605"/>
      <c r="FV8" s="605"/>
      <c r="FW8" s="605"/>
      <c r="FX8" s="605"/>
      <c r="FY8" s="605"/>
      <c r="FZ8" s="605"/>
      <c r="GA8" s="605"/>
      <c r="GB8" s="605"/>
      <c r="GC8" s="605"/>
      <c r="GD8" s="605"/>
      <c r="GE8" s="605"/>
      <c r="GF8" s="605"/>
      <c r="GG8" s="605"/>
      <c r="GH8" s="605"/>
      <c r="GI8" s="605"/>
      <c r="GJ8" s="605"/>
      <c r="GK8" s="605"/>
      <c r="GL8" s="605"/>
      <c r="GM8" s="605"/>
      <c r="GN8" s="605"/>
      <c r="GO8" s="605"/>
      <c r="GP8" s="605"/>
      <c r="GQ8" s="605"/>
      <c r="GR8" s="605"/>
      <c r="GS8" s="605"/>
      <c r="GT8" s="605"/>
      <c r="GU8" s="605"/>
      <c r="GV8" s="605"/>
      <c r="GW8" s="605"/>
      <c r="GX8" s="605"/>
      <c r="GY8" s="605"/>
      <c r="GZ8" s="605"/>
      <c r="HA8" s="605"/>
      <c r="HB8" s="605"/>
      <c r="HC8" s="605"/>
      <c r="HD8" s="605"/>
      <c r="HE8" s="605"/>
      <c r="HF8" s="605"/>
      <c r="HG8" s="605"/>
      <c r="HH8" s="605"/>
      <c r="HI8" s="605"/>
      <c r="HJ8" s="605"/>
      <c r="HK8" s="605"/>
      <c r="HL8" s="605"/>
      <c r="HM8" s="605"/>
      <c r="HN8" s="605"/>
      <c r="HO8" s="605"/>
      <c r="HP8" s="605"/>
      <c r="HQ8" s="605"/>
      <c r="HR8" s="605"/>
      <c r="HS8" s="605"/>
      <c r="HT8" s="605"/>
      <c r="HU8" s="605"/>
      <c r="HV8" s="605"/>
      <c r="HW8" s="605"/>
      <c r="HX8" s="605"/>
      <c r="HY8" s="605"/>
      <c r="HZ8" s="605"/>
      <c r="IA8" s="605"/>
      <c r="IB8" s="605"/>
      <c r="IC8" s="605"/>
      <c r="ID8" s="605"/>
      <c r="IE8" s="605"/>
      <c r="IF8" s="605"/>
      <c r="IG8" s="605"/>
      <c r="IH8" s="605"/>
      <c r="II8" s="605"/>
      <c r="IJ8" s="605"/>
      <c r="IK8" s="605"/>
      <c r="IL8" s="605"/>
      <c r="IM8" s="605"/>
      <c r="IN8" s="605"/>
      <c r="IO8" s="605"/>
      <c r="IP8" s="605"/>
      <c r="IQ8" s="605"/>
      <c r="IR8" s="605"/>
      <c r="IS8" s="605"/>
      <c r="IT8" s="605"/>
      <c r="IU8" s="605"/>
      <c r="IV8" s="605"/>
      <c r="IW8" s="605"/>
      <c r="IX8" s="605"/>
      <c r="IY8" s="605"/>
      <c r="IZ8" s="605"/>
      <c r="JA8" s="605"/>
      <c r="JB8" s="605"/>
      <c r="JC8" s="605"/>
      <c r="JD8" s="605"/>
      <c r="JE8" s="605"/>
      <c r="JF8" s="605"/>
      <c r="JG8" s="605"/>
      <c r="JH8" s="605"/>
      <c r="JI8" s="605"/>
      <c r="JJ8" s="605"/>
      <c r="JK8" s="605"/>
      <c r="JL8" s="605"/>
      <c r="JM8" s="605"/>
      <c r="JN8" s="605"/>
      <c r="JO8" s="605"/>
      <c r="JP8" s="605"/>
      <c r="JQ8" s="605"/>
      <c r="JR8" s="605"/>
      <c r="JS8" s="605"/>
      <c r="JT8" s="605"/>
      <c r="JU8" s="605"/>
      <c r="JV8" s="605"/>
      <c r="JW8" s="605"/>
      <c r="JX8" s="605"/>
      <c r="JY8" s="605"/>
      <c r="JZ8" s="605"/>
      <c r="KA8" s="605"/>
      <c r="KB8" s="605"/>
      <c r="KC8" s="605"/>
      <c r="KD8" s="605"/>
      <c r="KE8" s="605"/>
      <c r="KF8" s="605"/>
      <c r="KG8" s="605"/>
      <c r="KH8" s="605"/>
      <c r="KI8" s="605"/>
      <c r="KJ8" s="605"/>
      <c r="KK8" s="605"/>
      <c r="KL8" s="605"/>
      <c r="KM8" s="605"/>
      <c r="KN8" s="605"/>
      <c r="KO8" s="605"/>
      <c r="KP8" s="605"/>
      <c r="KQ8" s="605"/>
      <c r="KR8" s="605"/>
      <c r="KS8" s="605"/>
      <c r="KT8" s="605"/>
      <c r="KU8" s="605"/>
      <c r="KV8" s="605"/>
      <c r="KW8" s="605"/>
      <c r="KX8" s="605"/>
      <c r="KY8" s="605"/>
      <c r="KZ8" s="605"/>
      <c r="LA8" s="605"/>
      <c r="LB8" s="605"/>
      <c r="LC8" s="605"/>
      <c r="LD8" s="605"/>
      <c r="LE8" s="605"/>
      <c r="LF8" s="605"/>
      <c r="LG8" s="605"/>
      <c r="LH8" s="605"/>
      <c r="LI8" s="605"/>
      <c r="LJ8" s="605"/>
      <c r="LK8" s="605"/>
      <c r="LL8" s="605"/>
      <c r="LM8" s="605"/>
      <c r="LN8" s="605"/>
      <c r="LO8" s="605"/>
      <c r="LP8" s="605"/>
      <c r="LQ8" s="605"/>
      <c r="LR8" s="605"/>
      <c r="LS8" s="605"/>
      <c r="LT8" s="605"/>
      <c r="LU8" s="605"/>
      <c r="LV8" s="605"/>
      <c r="LW8" s="605"/>
      <c r="LX8" s="605"/>
      <c r="LY8" s="605"/>
      <c r="LZ8" s="605"/>
      <c r="MA8" s="605"/>
      <c r="MB8" s="605"/>
      <c r="MC8" s="605"/>
      <c r="MD8" s="605"/>
      <c r="ME8" s="605"/>
      <c r="MF8" s="605"/>
      <c r="MG8" s="605"/>
      <c r="MH8" s="605"/>
      <c r="MI8" s="605"/>
      <c r="MJ8" s="605"/>
      <c r="MK8" s="605"/>
      <c r="ML8" s="605"/>
      <c r="MM8" s="605"/>
      <c r="MN8" s="605"/>
      <c r="MO8" s="605"/>
      <c r="MP8" s="605"/>
      <c r="MQ8" s="605"/>
      <c r="MR8" s="605"/>
      <c r="MS8" s="605"/>
      <c r="MT8" s="605"/>
      <c r="MU8" s="605"/>
      <c r="MV8" s="605"/>
      <c r="MW8" s="605"/>
      <c r="MX8" s="605"/>
      <c r="MY8" s="605"/>
      <c r="MZ8" s="605"/>
      <c r="NA8" s="605"/>
      <c r="NB8" s="605"/>
      <c r="NC8" s="605"/>
      <c r="ND8" s="605"/>
      <c r="NE8" s="605"/>
      <c r="NF8" s="605"/>
      <c r="NG8" s="605"/>
      <c r="NH8" s="605"/>
      <c r="NI8" s="605"/>
      <c r="NJ8" s="605"/>
      <c r="NK8" s="605"/>
      <c r="NL8" s="605"/>
      <c r="NM8" s="605"/>
      <c r="NN8" s="605"/>
      <c r="NO8" s="605"/>
      <c r="NP8" s="605"/>
      <c r="NQ8" s="605"/>
      <c r="NR8" s="605"/>
      <c r="NS8" s="605"/>
      <c r="NT8" s="605"/>
      <c r="NU8" s="605"/>
      <c r="NV8" s="605"/>
      <c r="NW8" s="605"/>
      <c r="NX8" s="605"/>
      <c r="NY8" s="605"/>
      <c r="NZ8" s="605"/>
      <c r="OA8" s="605"/>
      <c r="OB8" s="605"/>
      <c r="OC8" s="605"/>
      <c r="OD8" s="605"/>
      <c r="OE8" s="605"/>
      <c r="OF8" s="605"/>
      <c r="OG8" s="605"/>
      <c r="OH8" s="605"/>
      <c r="OI8" s="605"/>
      <c r="OJ8" s="605"/>
      <c r="OK8" s="605"/>
      <c r="OL8" s="605"/>
      <c r="OM8" s="605"/>
      <c r="ON8" s="605"/>
      <c r="OO8" s="605"/>
      <c r="OP8" s="605"/>
      <c r="OQ8" s="605"/>
      <c r="OR8" s="605"/>
      <c r="OS8" s="605"/>
      <c r="OT8" s="605"/>
      <c r="OU8" s="605"/>
      <c r="OV8" s="605"/>
      <c r="OW8" s="605"/>
      <c r="OX8" s="605"/>
      <c r="OY8" s="605"/>
      <c r="OZ8" s="605"/>
      <c r="PA8" s="605"/>
      <c r="PB8" s="605"/>
      <c r="PC8" s="605"/>
      <c r="PD8" s="605"/>
      <c r="PE8" s="605"/>
      <c r="PF8" s="605"/>
      <c r="PG8" s="605"/>
      <c r="PH8" s="605"/>
      <c r="PI8" s="605"/>
      <c r="PJ8" s="605"/>
      <c r="PK8" s="605"/>
      <c r="PL8" s="605"/>
      <c r="PM8" s="605"/>
      <c r="PN8" s="605"/>
      <c r="PO8" s="605"/>
      <c r="PP8" s="605"/>
      <c r="PQ8" s="605"/>
      <c r="PR8" s="605"/>
      <c r="PS8" s="605"/>
      <c r="PT8" s="605"/>
      <c r="PU8" s="605"/>
      <c r="PV8" s="605"/>
      <c r="PW8" s="605"/>
      <c r="PX8" s="605"/>
      <c r="PY8" s="605"/>
      <c r="PZ8" s="605"/>
      <c r="QA8" s="605"/>
      <c r="QB8" s="605"/>
      <c r="QC8" s="605"/>
      <c r="QD8" s="605"/>
      <c r="QE8" s="605"/>
      <c r="QF8" s="605"/>
      <c r="QG8" s="605"/>
      <c r="QH8" s="605"/>
      <c r="QI8" s="605"/>
      <c r="QJ8" s="605"/>
      <c r="QK8" s="605"/>
      <c r="QL8" s="605"/>
      <c r="QM8" s="605"/>
      <c r="QN8" s="605"/>
      <c r="QO8" s="605"/>
      <c r="QP8" s="605"/>
      <c r="QQ8" s="605"/>
      <c r="QR8" s="605"/>
      <c r="QS8" s="605"/>
      <c r="QT8" s="605"/>
      <c r="QU8" s="605"/>
      <c r="QV8" s="605"/>
      <c r="QW8" s="605"/>
      <c r="QX8" s="605"/>
      <c r="QY8" s="605"/>
      <c r="QZ8" s="605"/>
      <c r="RA8" s="605"/>
      <c r="RB8" s="605"/>
      <c r="RC8" s="605"/>
      <c r="RD8" s="605"/>
      <c r="RE8" s="605"/>
      <c r="RF8" s="605"/>
      <c r="RG8" s="605"/>
      <c r="RH8" s="605"/>
    </row>
    <row r="9" spans="2:476" ht="19.5" customHeight="1">
      <c r="B9" s="552"/>
      <c r="C9" s="553">
        <v>16</v>
      </c>
      <c r="D9" s="554">
        <v>0</v>
      </c>
      <c r="E9" s="554">
        <v>2</v>
      </c>
      <c r="F9" s="555">
        <f t="shared" si="0"/>
        <v>0</v>
      </c>
      <c r="G9" s="556"/>
      <c r="H9" s="557"/>
      <c r="I9" s="557"/>
      <c r="J9" s="576">
        <v>14</v>
      </c>
      <c r="K9" s="576"/>
      <c r="L9" s="557"/>
      <c r="M9" s="557"/>
      <c r="N9" s="576"/>
      <c r="O9" s="560"/>
      <c r="P9" s="560"/>
      <c r="Q9" s="557"/>
      <c r="R9" s="557"/>
      <c r="S9" s="557"/>
      <c r="T9" s="557"/>
      <c r="U9" s="557"/>
      <c r="V9" s="557"/>
      <c r="W9" s="557"/>
      <c r="X9" s="576"/>
      <c r="Y9" s="613">
        <v>2</v>
      </c>
      <c r="Z9" s="607">
        <f t="shared" si="1"/>
        <v>0</v>
      </c>
      <c r="AA9" s="607">
        <f t="shared" si="2"/>
        <v>14</v>
      </c>
      <c r="AB9" s="608">
        <f t="shared" si="3"/>
        <v>1</v>
      </c>
      <c r="AC9" s="612" t="s">
        <v>49</v>
      </c>
      <c r="AD9" s="605"/>
      <c r="AE9" s="605"/>
      <c r="AF9" s="605"/>
      <c r="AG9" s="605"/>
      <c r="AH9" s="605"/>
      <c r="AI9" s="605"/>
      <c r="AJ9" s="605"/>
      <c r="AK9" s="605"/>
      <c r="AL9" s="605"/>
      <c r="AM9" s="605"/>
      <c r="AN9" s="605"/>
      <c r="AO9" s="605"/>
      <c r="AP9" s="605"/>
      <c r="AQ9" s="605"/>
      <c r="AR9" s="605"/>
      <c r="AS9" s="605"/>
      <c r="AT9" s="605"/>
      <c r="AU9" s="605"/>
      <c r="AV9" s="605"/>
      <c r="AW9" s="605"/>
      <c r="AX9" s="605"/>
      <c r="AY9" s="605"/>
      <c r="AZ9" s="605"/>
      <c r="BA9" s="605"/>
      <c r="BB9" s="605"/>
      <c r="BC9" s="605"/>
      <c r="BD9" s="605"/>
      <c r="BE9" s="605"/>
      <c r="BF9" s="605"/>
      <c r="BG9" s="605"/>
      <c r="BH9" s="605"/>
      <c r="BI9" s="605"/>
      <c r="BJ9" s="605"/>
      <c r="BK9" s="605"/>
      <c r="BL9" s="605"/>
      <c r="BM9" s="605"/>
      <c r="BN9" s="605"/>
      <c r="BO9" s="605"/>
      <c r="BP9" s="605"/>
      <c r="BQ9" s="605"/>
      <c r="BR9" s="605"/>
      <c r="BS9" s="605"/>
      <c r="BT9" s="605"/>
      <c r="BU9" s="605"/>
      <c r="BV9" s="605"/>
      <c r="BW9" s="605"/>
      <c r="BX9" s="605"/>
      <c r="BY9" s="605"/>
      <c r="BZ9" s="605"/>
      <c r="CA9" s="605"/>
      <c r="CB9" s="605"/>
      <c r="CC9" s="605"/>
      <c r="CD9" s="605"/>
      <c r="CE9" s="605"/>
      <c r="CF9" s="605"/>
      <c r="CG9" s="605"/>
      <c r="CH9" s="605"/>
      <c r="CI9" s="605"/>
      <c r="CJ9" s="605"/>
      <c r="CK9" s="605"/>
      <c r="CL9" s="605"/>
      <c r="CM9" s="605"/>
      <c r="CN9" s="605"/>
      <c r="CO9" s="605"/>
      <c r="CP9" s="605"/>
      <c r="CQ9" s="605"/>
      <c r="CR9" s="605"/>
      <c r="CS9" s="605"/>
      <c r="CT9" s="605"/>
      <c r="CU9" s="605"/>
      <c r="CV9" s="605"/>
      <c r="CW9" s="605"/>
      <c r="CX9" s="605"/>
      <c r="CY9" s="605"/>
      <c r="CZ9" s="605"/>
      <c r="DA9" s="605"/>
      <c r="DB9" s="605"/>
      <c r="DC9" s="605"/>
      <c r="DD9" s="605"/>
      <c r="DE9" s="605"/>
      <c r="DF9" s="605"/>
      <c r="DG9" s="605"/>
      <c r="DH9" s="605"/>
      <c r="DI9" s="605"/>
      <c r="DJ9" s="605"/>
      <c r="DK9" s="605"/>
      <c r="DL9" s="605"/>
      <c r="DM9" s="605"/>
      <c r="DN9" s="605"/>
      <c r="DO9" s="605"/>
      <c r="DP9" s="605"/>
      <c r="DQ9" s="605"/>
      <c r="DR9" s="605"/>
      <c r="DS9" s="605"/>
      <c r="DT9" s="605"/>
      <c r="DU9" s="605"/>
      <c r="DV9" s="605"/>
      <c r="DW9" s="605"/>
      <c r="DX9" s="605"/>
      <c r="DY9" s="605"/>
      <c r="DZ9" s="605"/>
      <c r="EA9" s="605"/>
      <c r="EB9" s="605"/>
      <c r="EC9" s="605"/>
      <c r="ED9" s="605"/>
      <c r="EE9" s="605"/>
      <c r="EF9" s="605"/>
      <c r="EG9" s="605"/>
      <c r="EH9" s="605"/>
      <c r="EI9" s="605"/>
      <c r="EJ9" s="605"/>
      <c r="EK9" s="605"/>
      <c r="EL9" s="605"/>
      <c r="EM9" s="605"/>
      <c r="EN9" s="605"/>
      <c r="EO9" s="605"/>
      <c r="EP9" s="605"/>
      <c r="EQ9" s="605"/>
      <c r="ER9" s="605"/>
      <c r="ES9" s="605"/>
      <c r="ET9" s="605"/>
      <c r="EU9" s="605"/>
      <c r="EV9" s="605"/>
      <c r="EW9" s="605"/>
      <c r="EX9" s="605"/>
      <c r="EY9" s="605"/>
      <c r="EZ9" s="605"/>
      <c r="FA9" s="605"/>
      <c r="FB9" s="605"/>
      <c r="FC9" s="605"/>
      <c r="FD9" s="605"/>
      <c r="FE9" s="605"/>
      <c r="FF9" s="605"/>
      <c r="FG9" s="605"/>
      <c r="FH9" s="605"/>
      <c r="FI9" s="605"/>
      <c r="FJ9" s="605"/>
      <c r="FK9" s="605"/>
      <c r="FL9" s="605"/>
      <c r="FM9" s="605"/>
      <c r="FN9" s="605"/>
      <c r="FO9" s="605"/>
      <c r="FP9" s="605"/>
      <c r="FQ9" s="605"/>
      <c r="FR9" s="605"/>
      <c r="FS9" s="605"/>
      <c r="FT9" s="605"/>
      <c r="FU9" s="605"/>
      <c r="FV9" s="605"/>
      <c r="FW9" s="605"/>
      <c r="FX9" s="605"/>
      <c r="FY9" s="605"/>
      <c r="FZ9" s="605"/>
      <c r="GA9" s="605"/>
      <c r="GB9" s="605"/>
      <c r="GC9" s="605"/>
      <c r="GD9" s="605"/>
      <c r="GE9" s="605"/>
      <c r="GF9" s="605"/>
      <c r="GG9" s="605"/>
      <c r="GH9" s="605"/>
      <c r="GI9" s="605"/>
      <c r="GJ9" s="605"/>
      <c r="GK9" s="605"/>
      <c r="GL9" s="605"/>
      <c r="GM9" s="605"/>
      <c r="GN9" s="605"/>
      <c r="GO9" s="605"/>
      <c r="GP9" s="605"/>
      <c r="GQ9" s="605"/>
      <c r="GR9" s="605"/>
      <c r="GS9" s="605"/>
      <c r="GT9" s="605"/>
      <c r="GU9" s="605"/>
      <c r="GV9" s="605"/>
      <c r="GW9" s="605"/>
      <c r="GX9" s="605"/>
      <c r="GY9" s="605"/>
      <c r="GZ9" s="605"/>
      <c r="HA9" s="605"/>
      <c r="HB9" s="605"/>
      <c r="HC9" s="605"/>
      <c r="HD9" s="605"/>
      <c r="HE9" s="605"/>
      <c r="HF9" s="605"/>
      <c r="HG9" s="605"/>
      <c r="HH9" s="605"/>
      <c r="HI9" s="605"/>
      <c r="HJ9" s="605"/>
      <c r="HK9" s="605"/>
      <c r="HL9" s="605"/>
      <c r="HM9" s="605"/>
      <c r="HN9" s="605"/>
      <c r="HO9" s="605"/>
      <c r="HP9" s="605"/>
      <c r="HQ9" s="605"/>
      <c r="HR9" s="605"/>
      <c r="HS9" s="605"/>
      <c r="HT9" s="605"/>
      <c r="HU9" s="605"/>
      <c r="HV9" s="605"/>
      <c r="HW9" s="605"/>
      <c r="HX9" s="605"/>
      <c r="HY9" s="605"/>
      <c r="HZ9" s="605"/>
      <c r="IA9" s="605"/>
      <c r="IB9" s="605"/>
      <c r="IC9" s="605"/>
      <c r="ID9" s="605"/>
      <c r="IE9" s="605"/>
      <c r="IF9" s="605"/>
      <c r="IG9" s="605"/>
      <c r="IH9" s="605"/>
      <c r="II9" s="605"/>
      <c r="IJ9" s="605"/>
      <c r="IK9" s="605"/>
      <c r="IL9" s="605"/>
      <c r="IM9" s="605"/>
      <c r="IN9" s="605"/>
      <c r="IO9" s="605"/>
      <c r="IP9" s="605"/>
      <c r="IQ9" s="605"/>
      <c r="IR9" s="605"/>
      <c r="IS9" s="605"/>
      <c r="IT9" s="605"/>
      <c r="IU9" s="605"/>
      <c r="IV9" s="605"/>
      <c r="IW9" s="605"/>
      <c r="IX9" s="605"/>
      <c r="IY9" s="605"/>
      <c r="IZ9" s="605"/>
      <c r="JA9" s="605"/>
      <c r="JB9" s="605"/>
      <c r="JC9" s="605"/>
      <c r="JD9" s="605"/>
      <c r="JE9" s="605"/>
      <c r="JF9" s="605"/>
      <c r="JG9" s="605"/>
      <c r="JH9" s="605"/>
      <c r="JI9" s="605"/>
      <c r="JJ9" s="605"/>
      <c r="JK9" s="605"/>
      <c r="JL9" s="605"/>
      <c r="JM9" s="605"/>
      <c r="JN9" s="605"/>
      <c r="JO9" s="605"/>
      <c r="JP9" s="605"/>
      <c r="JQ9" s="605"/>
      <c r="JR9" s="605"/>
      <c r="JS9" s="605"/>
      <c r="JT9" s="605"/>
      <c r="JU9" s="605"/>
      <c r="JV9" s="605"/>
      <c r="JW9" s="605"/>
      <c r="JX9" s="605"/>
      <c r="JY9" s="605"/>
      <c r="JZ9" s="605"/>
      <c r="KA9" s="605"/>
      <c r="KB9" s="605"/>
      <c r="KC9" s="605"/>
      <c r="KD9" s="605"/>
      <c r="KE9" s="605"/>
      <c r="KF9" s="605"/>
      <c r="KG9" s="605"/>
      <c r="KH9" s="605"/>
      <c r="KI9" s="605"/>
      <c r="KJ9" s="605"/>
      <c r="KK9" s="605"/>
      <c r="KL9" s="605"/>
      <c r="KM9" s="605"/>
      <c r="KN9" s="605"/>
      <c r="KO9" s="605"/>
      <c r="KP9" s="605"/>
      <c r="KQ9" s="605"/>
      <c r="KR9" s="605"/>
      <c r="KS9" s="605"/>
      <c r="KT9" s="605"/>
      <c r="KU9" s="605"/>
      <c r="KV9" s="605"/>
      <c r="KW9" s="605"/>
      <c r="KX9" s="605"/>
      <c r="KY9" s="605"/>
      <c r="KZ9" s="605"/>
      <c r="LA9" s="605"/>
      <c r="LB9" s="605"/>
      <c r="LC9" s="605"/>
      <c r="LD9" s="605"/>
      <c r="LE9" s="605"/>
      <c r="LF9" s="605"/>
      <c r="LG9" s="605"/>
      <c r="LH9" s="605"/>
      <c r="LI9" s="605"/>
      <c r="LJ9" s="605"/>
      <c r="LK9" s="605"/>
      <c r="LL9" s="605"/>
      <c r="LM9" s="605"/>
      <c r="LN9" s="605"/>
      <c r="LO9" s="605"/>
      <c r="LP9" s="605"/>
      <c r="LQ9" s="605"/>
      <c r="LR9" s="605"/>
      <c r="LS9" s="605"/>
      <c r="LT9" s="605"/>
      <c r="LU9" s="605"/>
      <c r="LV9" s="605"/>
      <c r="LW9" s="605"/>
      <c r="LX9" s="605"/>
      <c r="LY9" s="605"/>
      <c r="LZ9" s="605"/>
      <c r="MA9" s="605"/>
      <c r="MB9" s="605"/>
      <c r="MC9" s="605"/>
      <c r="MD9" s="605"/>
      <c r="ME9" s="605"/>
      <c r="MF9" s="605"/>
      <c r="MG9" s="605"/>
      <c r="MH9" s="605"/>
      <c r="MI9" s="605"/>
      <c r="MJ9" s="605"/>
      <c r="MK9" s="605"/>
      <c r="ML9" s="605"/>
      <c r="MM9" s="605"/>
      <c r="MN9" s="605"/>
      <c r="MO9" s="605"/>
      <c r="MP9" s="605"/>
      <c r="MQ9" s="605"/>
      <c r="MR9" s="605"/>
      <c r="MS9" s="605"/>
      <c r="MT9" s="605"/>
      <c r="MU9" s="605"/>
      <c r="MV9" s="605"/>
      <c r="MW9" s="605"/>
      <c r="MX9" s="605"/>
      <c r="MY9" s="605"/>
      <c r="MZ9" s="605"/>
      <c r="NA9" s="605"/>
      <c r="NB9" s="605"/>
      <c r="NC9" s="605"/>
      <c r="ND9" s="605"/>
      <c r="NE9" s="605"/>
      <c r="NF9" s="605"/>
      <c r="NG9" s="605"/>
      <c r="NH9" s="605"/>
      <c r="NI9" s="605"/>
      <c r="NJ9" s="605"/>
      <c r="NK9" s="605"/>
      <c r="NL9" s="605"/>
      <c r="NM9" s="605"/>
      <c r="NN9" s="605"/>
      <c r="NO9" s="605"/>
      <c r="NP9" s="605"/>
      <c r="NQ9" s="605"/>
      <c r="NR9" s="605"/>
      <c r="NS9" s="605"/>
      <c r="NT9" s="605"/>
      <c r="NU9" s="605"/>
      <c r="NV9" s="605"/>
      <c r="NW9" s="605"/>
      <c r="NX9" s="605"/>
      <c r="NY9" s="605"/>
      <c r="NZ9" s="605"/>
      <c r="OA9" s="605"/>
      <c r="OB9" s="605"/>
      <c r="OC9" s="605"/>
      <c r="OD9" s="605"/>
      <c r="OE9" s="605"/>
      <c r="OF9" s="605"/>
      <c r="OG9" s="605"/>
      <c r="OH9" s="605"/>
      <c r="OI9" s="605"/>
      <c r="OJ9" s="605"/>
      <c r="OK9" s="605"/>
      <c r="OL9" s="605"/>
      <c r="OM9" s="605"/>
      <c r="ON9" s="605"/>
      <c r="OO9" s="605"/>
      <c r="OP9" s="605"/>
      <c r="OQ9" s="605"/>
      <c r="OR9" s="605"/>
      <c r="OS9" s="605"/>
      <c r="OT9" s="605"/>
      <c r="OU9" s="605"/>
      <c r="OV9" s="605"/>
      <c r="OW9" s="605"/>
      <c r="OX9" s="605"/>
      <c r="OY9" s="605"/>
      <c r="OZ9" s="605"/>
      <c r="PA9" s="605"/>
      <c r="PB9" s="605"/>
      <c r="PC9" s="605"/>
      <c r="PD9" s="605"/>
      <c r="PE9" s="605"/>
      <c r="PF9" s="605"/>
      <c r="PG9" s="605"/>
      <c r="PH9" s="605"/>
      <c r="PI9" s="605"/>
      <c r="PJ9" s="605"/>
      <c r="PK9" s="605"/>
      <c r="PL9" s="605"/>
      <c r="PM9" s="605"/>
      <c r="PN9" s="605"/>
      <c r="PO9" s="605"/>
      <c r="PP9" s="605"/>
      <c r="PQ9" s="605"/>
      <c r="PR9" s="605"/>
      <c r="PS9" s="605"/>
      <c r="PT9" s="605"/>
      <c r="PU9" s="605"/>
      <c r="PV9" s="605"/>
      <c r="PW9" s="605"/>
      <c r="PX9" s="605"/>
      <c r="PY9" s="605"/>
      <c r="PZ9" s="605"/>
      <c r="QA9" s="605"/>
      <c r="QB9" s="605"/>
      <c r="QC9" s="605"/>
      <c r="QD9" s="605"/>
      <c r="QE9" s="605"/>
      <c r="QF9" s="605"/>
      <c r="QG9" s="605"/>
      <c r="QH9" s="605"/>
      <c r="QI9" s="605"/>
      <c r="QJ9" s="605"/>
      <c r="QK9" s="605"/>
      <c r="QL9" s="605"/>
      <c r="QM9" s="605"/>
      <c r="QN9" s="605"/>
      <c r="QO9" s="605"/>
      <c r="QP9" s="605"/>
      <c r="QQ9" s="605"/>
      <c r="QR9" s="605"/>
      <c r="QS9" s="605"/>
      <c r="QT9" s="605"/>
      <c r="QU9" s="605"/>
      <c r="QV9" s="605"/>
      <c r="QW9" s="605"/>
      <c r="QX9" s="605"/>
      <c r="QY9" s="605"/>
      <c r="QZ9" s="605"/>
      <c r="RA9" s="605"/>
      <c r="RB9" s="605"/>
      <c r="RC9" s="605"/>
      <c r="RD9" s="605"/>
      <c r="RE9" s="605"/>
      <c r="RF9" s="605"/>
      <c r="RG9" s="605"/>
      <c r="RH9" s="605"/>
    </row>
    <row r="10" spans="2:476" s="526" customFormat="1" ht="20.100000000000001" customHeight="1">
      <c r="B10" s="558">
        <v>45811</v>
      </c>
      <c r="C10" s="547">
        <v>16</v>
      </c>
      <c r="D10" s="548">
        <v>0</v>
      </c>
      <c r="E10" s="548">
        <v>2</v>
      </c>
      <c r="F10" s="549">
        <f t="shared" si="0"/>
        <v>0</v>
      </c>
      <c r="G10" s="559"/>
      <c r="H10" s="551"/>
      <c r="I10" s="551"/>
      <c r="J10" s="569">
        <v>14</v>
      </c>
      <c r="K10" s="572"/>
      <c r="L10" s="551"/>
      <c r="M10" s="569"/>
      <c r="N10" s="572"/>
      <c r="O10" s="572"/>
      <c r="P10" s="551"/>
      <c r="Q10" s="551"/>
      <c r="R10" s="551"/>
      <c r="S10" s="551"/>
      <c r="T10" s="551"/>
      <c r="U10" s="551"/>
      <c r="V10" s="551"/>
      <c r="W10" s="572"/>
      <c r="X10" s="569"/>
      <c r="Y10" s="614">
        <v>1</v>
      </c>
      <c r="Z10" s="607">
        <f t="shared" si="1"/>
        <v>0</v>
      </c>
      <c r="AA10" s="607">
        <f t="shared" si="2"/>
        <v>14</v>
      </c>
      <c r="AB10" s="608">
        <f t="shared" si="3"/>
        <v>1</v>
      </c>
      <c r="AC10" s="615"/>
      <c r="AD10" s="605"/>
      <c r="AE10" s="605"/>
      <c r="AF10" s="605"/>
      <c r="AG10" s="605"/>
      <c r="AH10" s="605"/>
      <c r="AI10" s="605"/>
      <c r="AJ10" s="605"/>
      <c r="AK10" s="605"/>
      <c r="AL10" s="605"/>
      <c r="AM10" s="605"/>
      <c r="AN10" s="605"/>
      <c r="AO10" s="605"/>
      <c r="AP10" s="605"/>
      <c r="AQ10" s="605"/>
      <c r="AR10" s="605"/>
      <c r="AS10" s="605"/>
      <c r="AT10" s="605"/>
      <c r="AU10" s="605"/>
      <c r="AV10" s="605"/>
      <c r="AW10" s="605"/>
      <c r="AX10" s="605"/>
      <c r="AY10" s="605"/>
      <c r="AZ10" s="605"/>
      <c r="BA10" s="605"/>
      <c r="BB10" s="605"/>
      <c r="BC10" s="605"/>
      <c r="BD10" s="605"/>
      <c r="BE10" s="605"/>
      <c r="BF10" s="605"/>
      <c r="BG10" s="605"/>
      <c r="BH10" s="605"/>
      <c r="BI10" s="605"/>
      <c r="BJ10" s="605"/>
      <c r="BK10" s="605"/>
      <c r="BL10" s="605"/>
      <c r="BM10" s="605"/>
      <c r="BN10" s="605"/>
      <c r="BO10" s="605"/>
      <c r="BP10" s="605"/>
      <c r="BQ10" s="605"/>
      <c r="BR10" s="605"/>
      <c r="BS10" s="605"/>
      <c r="BT10" s="605"/>
      <c r="BU10" s="605"/>
      <c r="BV10" s="605"/>
      <c r="BW10" s="605"/>
      <c r="BX10" s="605"/>
      <c r="BY10" s="605"/>
      <c r="BZ10" s="605"/>
      <c r="CA10" s="605"/>
      <c r="CB10" s="605"/>
      <c r="CC10" s="605"/>
      <c r="CD10" s="605"/>
      <c r="CE10" s="605"/>
      <c r="CF10" s="605"/>
      <c r="CG10" s="605"/>
      <c r="CH10" s="605"/>
      <c r="CI10" s="605"/>
      <c r="CJ10" s="605"/>
      <c r="CK10" s="605"/>
      <c r="CL10" s="605"/>
      <c r="CM10" s="605"/>
      <c r="CN10" s="605"/>
      <c r="CO10" s="605"/>
      <c r="CP10" s="605"/>
      <c r="CQ10" s="605"/>
      <c r="CR10" s="605"/>
      <c r="CS10" s="605"/>
      <c r="CT10" s="605"/>
      <c r="CU10" s="605"/>
      <c r="CV10" s="605"/>
      <c r="CW10" s="605"/>
      <c r="CX10" s="605"/>
      <c r="CY10" s="605"/>
      <c r="CZ10" s="605"/>
      <c r="DA10" s="605"/>
      <c r="DB10" s="605"/>
      <c r="DC10" s="605"/>
      <c r="DD10" s="605"/>
      <c r="DE10" s="605"/>
      <c r="DF10" s="605"/>
      <c r="DG10" s="605"/>
      <c r="DH10" s="605"/>
      <c r="DI10" s="605"/>
      <c r="DJ10" s="605"/>
      <c r="DK10" s="605"/>
      <c r="DL10" s="605"/>
      <c r="DM10" s="605"/>
      <c r="DN10" s="605"/>
      <c r="DO10" s="605"/>
      <c r="DP10" s="605"/>
      <c r="DQ10" s="605"/>
      <c r="DR10" s="605"/>
      <c r="DS10" s="605"/>
      <c r="DT10" s="605"/>
      <c r="DU10" s="605"/>
      <c r="DV10" s="605"/>
      <c r="DW10" s="605"/>
      <c r="DX10" s="605"/>
      <c r="DY10" s="605"/>
      <c r="DZ10" s="605"/>
      <c r="EA10" s="605"/>
      <c r="EB10" s="605"/>
      <c r="EC10" s="605"/>
      <c r="ED10" s="605"/>
      <c r="EE10" s="605"/>
      <c r="EF10" s="605"/>
      <c r="EG10" s="605"/>
      <c r="EH10" s="605"/>
      <c r="EI10" s="605"/>
      <c r="EJ10" s="605"/>
      <c r="EK10" s="605"/>
      <c r="EL10" s="605"/>
      <c r="EM10" s="605"/>
      <c r="EN10" s="605"/>
      <c r="EO10" s="605"/>
      <c r="EP10" s="605"/>
      <c r="EQ10" s="605"/>
      <c r="ER10" s="605"/>
      <c r="ES10" s="605"/>
      <c r="ET10" s="605"/>
      <c r="EU10" s="605"/>
      <c r="EV10" s="605"/>
      <c r="EW10" s="605"/>
      <c r="EX10" s="605"/>
      <c r="EY10" s="605"/>
      <c r="EZ10" s="605"/>
      <c r="FA10" s="605"/>
      <c r="FB10" s="605"/>
      <c r="FC10" s="605"/>
      <c r="FD10" s="605"/>
      <c r="FE10" s="605"/>
      <c r="FF10" s="605"/>
      <c r="FG10" s="605"/>
      <c r="FH10" s="605"/>
      <c r="FI10" s="605"/>
      <c r="FJ10" s="605"/>
      <c r="FK10" s="605"/>
      <c r="FL10" s="605"/>
      <c r="FM10" s="605"/>
      <c r="FN10" s="605"/>
      <c r="FO10" s="605"/>
      <c r="FP10" s="605"/>
      <c r="FQ10" s="605"/>
      <c r="FR10" s="605"/>
      <c r="FS10" s="605"/>
      <c r="FT10" s="605"/>
      <c r="FU10" s="605"/>
      <c r="FV10" s="605"/>
      <c r="FW10" s="605"/>
      <c r="FX10" s="605"/>
      <c r="FY10" s="605"/>
      <c r="FZ10" s="605"/>
      <c r="GA10" s="605"/>
      <c r="GB10" s="605"/>
      <c r="GC10" s="605"/>
      <c r="GD10" s="605"/>
      <c r="GE10" s="605"/>
      <c r="GF10" s="605"/>
      <c r="GG10" s="605"/>
      <c r="GH10" s="605"/>
      <c r="GI10" s="605"/>
      <c r="GJ10" s="605"/>
      <c r="GK10" s="605"/>
      <c r="GL10" s="605"/>
      <c r="GM10" s="605"/>
      <c r="GN10" s="605"/>
      <c r="GO10" s="605"/>
      <c r="GP10" s="605"/>
      <c r="GQ10" s="605"/>
      <c r="GR10" s="605"/>
      <c r="GS10" s="605"/>
      <c r="GT10" s="605"/>
      <c r="GU10" s="605"/>
      <c r="GV10" s="605"/>
      <c r="GW10" s="605"/>
      <c r="GX10" s="605"/>
      <c r="GY10" s="605"/>
      <c r="GZ10" s="605"/>
      <c r="HA10" s="605"/>
      <c r="HB10" s="605"/>
      <c r="HC10" s="605"/>
      <c r="HD10" s="605"/>
      <c r="HE10" s="605"/>
      <c r="HF10" s="605"/>
      <c r="HG10" s="605"/>
      <c r="HH10" s="605"/>
      <c r="HI10" s="605"/>
      <c r="HJ10" s="605"/>
      <c r="HK10" s="605"/>
      <c r="HL10" s="605"/>
      <c r="HM10" s="605"/>
      <c r="HN10" s="605"/>
      <c r="HO10" s="605"/>
      <c r="HP10" s="605"/>
      <c r="HQ10" s="605"/>
      <c r="HR10" s="605"/>
      <c r="HS10" s="605"/>
      <c r="HT10" s="605"/>
      <c r="HU10" s="605"/>
      <c r="HV10" s="605"/>
      <c r="HW10" s="605"/>
      <c r="HX10" s="605"/>
      <c r="HY10" s="605"/>
      <c r="HZ10" s="605"/>
      <c r="IA10" s="605"/>
      <c r="IB10" s="605"/>
      <c r="IC10" s="605"/>
      <c r="ID10" s="605"/>
      <c r="IE10" s="605"/>
      <c r="IF10" s="605"/>
      <c r="IG10" s="605"/>
      <c r="IH10" s="605"/>
      <c r="II10" s="605"/>
      <c r="IJ10" s="605"/>
      <c r="IK10" s="605"/>
      <c r="IL10" s="605"/>
      <c r="IM10" s="605"/>
      <c r="IN10" s="605"/>
      <c r="IO10" s="605"/>
      <c r="IP10" s="605"/>
      <c r="IQ10" s="605"/>
      <c r="IR10" s="605"/>
      <c r="IS10" s="605"/>
      <c r="IT10" s="605"/>
      <c r="IU10" s="605"/>
      <c r="IV10" s="605"/>
      <c r="IW10" s="605"/>
      <c r="IX10" s="605"/>
      <c r="IY10" s="605"/>
      <c r="IZ10" s="605"/>
      <c r="JA10" s="605"/>
      <c r="JB10" s="605"/>
      <c r="JC10" s="605"/>
      <c r="JD10" s="605"/>
      <c r="JE10" s="605"/>
      <c r="JF10" s="605"/>
      <c r="JG10" s="605"/>
      <c r="JH10" s="605"/>
      <c r="JI10" s="605"/>
      <c r="JJ10" s="605"/>
      <c r="JK10" s="605"/>
      <c r="JL10" s="605"/>
      <c r="JM10" s="605"/>
      <c r="JN10" s="605"/>
      <c r="JO10" s="605"/>
      <c r="JP10" s="605"/>
      <c r="JQ10" s="605"/>
      <c r="JR10" s="605"/>
      <c r="JS10" s="605"/>
      <c r="JT10" s="605"/>
      <c r="JU10" s="605"/>
      <c r="JV10" s="605"/>
      <c r="JW10" s="605"/>
      <c r="JX10" s="605"/>
      <c r="JY10" s="605"/>
      <c r="JZ10" s="605"/>
      <c r="KA10" s="605"/>
      <c r="KB10" s="605"/>
      <c r="KC10" s="605"/>
      <c r="KD10" s="605"/>
      <c r="KE10" s="605"/>
      <c r="KF10" s="605"/>
      <c r="KG10" s="605"/>
      <c r="KH10" s="605"/>
      <c r="KI10" s="605"/>
      <c r="KJ10" s="605"/>
      <c r="KK10" s="605"/>
      <c r="KL10" s="605"/>
      <c r="KM10" s="605"/>
      <c r="KN10" s="605"/>
      <c r="KO10" s="605"/>
      <c r="KP10" s="605"/>
      <c r="KQ10" s="605"/>
      <c r="KR10" s="605"/>
      <c r="KS10" s="605"/>
      <c r="KT10" s="605"/>
      <c r="KU10" s="605"/>
      <c r="KV10" s="605"/>
      <c r="KW10" s="605"/>
      <c r="KX10" s="605"/>
      <c r="KY10" s="605"/>
      <c r="KZ10" s="605"/>
      <c r="LA10" s="605"/>
      <c r="LB10" s="605"/>
      <c r="LC10" s="605"/>
      <c r="LD10" s="605"/>
      <c r="LE10" s="605"/>
      <c r="LF10" s="605"/>
      <c r="LG10" s="605"/>
      <c r="LH10" s="605"/>
      <c r="LI10" s="605"/>
      <c r="LJ10" s="605"/>
      <c r="LK10" s="605"/>
      <c r="LL10" s="605"/>
      <c r="LM10" s="605"/>
      <c r="LN10" s="605"/>
      <c r="LO10" s="605"/>
      <c r="LP10" s="605"/>
      <c r="LQ10" s="605"/>
      <c r="LR10" s="605"/>
      <c r="LS10" s="605"/>
      <c r="LT10" s="605"/>
      <c r="LU10" s="605"/>
      <c r="LV10" s="605"/>
      <c r="LW10" s="605"/>
      <c r="LX10" s="605"/>
      <c r="LY10" s="605"/>
      <c r="LZ10" s="605"/>
      <c r="MA10" s="605"/>
      <c r="MB10" s="605"/>
      <c r="MC10" s="605"/>
      <c r="MD10" s="605"/>
      <c r="ME10" s="605"/>
      <c r="MF10" s="605"/>
      <c r="MG10" s="605"/>
      <c r="MH10" s="605"/>
      <c r="MI10" s="605"/>
      <c r="MJ10" s="605"/>
      <c r="MK10" s="605"/>
      <c r="ML10" s="605"/>
      <c r="MM10" s="605"/>
      <c r="MN10" s="605"/>
      <c r="MO10" s="605"/>
      <c r="MP10" s="605"/>
      <c r="MQ10" s="605"/>
      <c r="MR10" s="605"/>
      <c r="MS10" s="605"/>
      <c r="MT10" s="605"/>
      <c r="MU10" s="605"/>
      <c r="MV10" s="605"/>
      <c r="MW10" s="605"/>
      <c r="MX10" s="605"/>
      <c r="MY10" s="605"/>
      <c r="MZ10" s="605"/>
      <c r="NA10" s="605"/>
      <c r="NB10" s="605"/>
      <c r="NC10" s="605"/>
      <c r="ND10" s="605"/>
      <c r="NE10" s="605"/>
      <c r="NF10" s="605"/>
      <c r="NG10" s="605"/>
      <c r="NH10" s="605"/>
      <c r="NI10" s="605"/>
      <c r="NJ10" s="605"/>
      <c r="NK10" s="605"/>
      <c r="NL10" s="605"/>
      <c r="NM10" s="605"/>
      <c r="NN10" s="605"/>
      <c r="NO10" s="605"/>
      <c r="NP10" s="605"/>
      <c r="NQ10" s="605"/>
      <c r="NR10" s="605"/>
      <c r="NS10" s="605"/>
      <c r="NT10" s="605"/>
      <c r="NU10" s="605"/>
      <c r="NV10" s="605"/>
      <c r="NW10" s="605"/>
      <c r="NX10" s="605"/>
      <c r="NY10" s="605"/>
      <c r="NZ10" s="605"/>
      <c r="OA10" s="605"/>
      <c r="OB10" s="605"/>
      <c r="OC10" s="605"/>
      <c r="OD10" s="605"/>
      <c r="OE10" s="605"/>
      <c r="OF10" s="605"/>
      <c r="OG10" s="605"/>
      <c r="OH10" s="605"/>
      <c r="OI10" s="605"/>
      <c r="OJ10" s="605"/>
      <c r="OK10" s="605"/>
      <c r="OL10" s="605"/>
      <c r="OM10" s="605"/>
      <c r="ON10" s="605"/>
      <c r="OO10" s="605"/>
      <c r="OP10" s="605"/>
      <c r="OQ10" s="605"/>
      <c r="OR10" s="605"/>
      <c r="OS10" s="605"/>
      <c r="OT10" s="605"/>
      <c r="OU10" s="605"/>
      <c r="OV10" s="605"/>
      <c r="OW10" s="605"/>
      <c r="OX10" s="605"/>
      <c r="OY10" s="605"/>
      <c r="OZ10" s="605"/>
      <c r="PA10" s="605"/>
      <c r="PB10" s="605"/>
      <c r="PC10" s="605"/>
      <c r="PD10" s="605"/>
      <c r="PE10" s="605"/>
      <c r="PF10" s="605"/>
      <c r="PG10" s="605"/>
      <c r="PH10" s="605"/>
      <c r="PI10" s="605"/>
      <c r="PJ10" s="605"/>
      <c r="PK10" s="605"/>
      <c r="PL10" s="605"/>
      <c r="PM10" s="605"/>
      <c r="PN10" s="605"/>
      <c r="PO10" s="605"/>
      <c r="PP10" s="605"/>
      <c r="PQ10" s="605"/>
      <c r="PR10" s="605"/>
      <c r="PS10" s="605"/>
      <c r="PT10" s="605"/>
      <c r="PU10" s="605"/>
      <c r="PV10" s="605"/>
      <c r="PW10" s="605"/>
      <c r="PX10" s="605"/>
      <c r="PY10" s="605"/>
      <c r="PZ10" s="605"/>
      <c r="QA10" s="605"/>
      <c r="QB10" s="605"/>
      <c r="QC10" s="605"/>
      <c r="QD10" s="605"/>
      <c r="QE10" s="605"/>
      <c r="QF10" s="605"/>
      <c r="QG10" s="605"/>
      <c r="QH10" s="605"/>
      <c r="QI10" s="605"/>
      <c r="QJ10" s="605"/>
      <c r="QK10" s="605"/>
      <c r="QL10" s="605"/>
      <c r="QM10" s="605"/>
      <c r="QN10" s="605"/>
      <c r="QO10" s="605"/>
      <c r="QP10" s="605"/>
      <c r="QQ10" s="605"/>
      <c r="QR10" s="605"/>
      <c r="QS10" s="605"/>
      <c r="QT10" s="605"/>
      <c r="QU10" s="605"/>
      <c r="QV10" s="605"/>
      <c r="QW10" s="605"/>
      <c r="QX10" s="605"/>
      <c r="QY10" s="605"/>
      <c r="QZ10" s="605"/>
      <c r="RA10" s="605"/>
      <c r="RB10" s="605"/>
      <c r="RC10" s="605"/>
      <c r="RD10" s="605"/>
      <c r="RE10" s="605"/>
      <c r="RF10" s="605"/>
      <c r="RG10" s="605"/>
      <c r="RH10" s="605"/>
    </row>
    <row r="11" spans="2:476" s="526" customFormat="1" ht="19.5" customHeight="1">
      <c r="B11" s="558"/>
      <c r="C11" s="547">
        <v>16</v>
      </c>
      <c r="D11" s="548">
        <v>0</v>
      </c>
      <c r="E11" s="548">
        <v>2</v>
      </c>
      <c r="F11" s="549">
        <f t="shared" si="0"/>
        <v>12.750000000116399</v>
      </c>
      <c r="G11" s="550"/>
      <c r="H11" s="551"/>
      <c r="I11" s="572"/>
      <c r="J11" s="572"/>
      <c r="K11" s="572"/>
      <c r="L11" s="569"/>
      <c r="M11" s="569"/>
      <c r="N11" s="572">
        <v>0.24999999906867701</v>
      </c>
      <c r="O11" s="572">
        <v>1.0000000008149099</v>
      </c>
      <c r="P11" s="551"/>
      <c r="Q11" s="551"/>
      <c r="R11" s="551"/>
      <c r="S11" s="551"/>
      <c r="T11" s="551"/>
      <c r="U11" s="551"/>
      <c r="V11" s="551"/>
      <c r="W11" s="551"/>
      <c r="X11" s="569"/>
      <c r="Y11" s="614">
        <v>2</v>
      </c>
      <c r="Z11" s="607">
        <f t="shared" si="1"/>
        <v>0</v>
      </c>
      <c r="AA11" s="607">
        <f t="shared" si="2"/>
        <v>1.24999999988359</v>
      </c>
      <c r="AB11" s="608">
        <f t="shared" si="3"/>
        <v>1</v>
      </c>
      <c r="AC11" s="615"/>
      <c r="AD11" s="605"/>
      <c r="AE11" s="605"/>
      <c r="AF11" s="605"/>
      <c r="AG11" s="605"/>
      <c r="AH11" s="605"/>
      <c r="AI11" s="605"/>
      <c r="AJ11" s="605"/>
      <c r="AK11" s="605"/>
      <c r="AL11" s="605"/>
      <c r="AM11" s="605"/>
      <c r="AN11" s="605"/>
      <c r="AO11" s="605"/>
      <c r="AP11" s="605"/>
      <c r="AQ11" s="605"/>
      <c r="AR11" s="605"/>
      <c r="AS11" s="605"/>
      <c r="AT11" s="605"/>
      <c r="AU11" s="605"/>
      <c r="AV11" s="605"/>
      <c r="AW11" s="605"/>
      <c r="AX11" s="605"/>
      <c r="AY11" s="605"/>
      <c r="AZ11" s="605"/>
      <c r="BA11" s="605"/>
      <c r="BB11" s="605"/>
      <c r="BC11" s="605"/>
      <c r="BD11" s="605"/>
      <c r="BE11" s="605"/>
      <c r="BF11" s="605"/>
      <c r="BG11" s="605"/>
      <c r="BH11" s="605"/>
      <c r="BI11" s="605"/>
      <c r="BJ11" s="605"/>
      <c r="BK11" s="605"/>
      <c r="BL11" s="605"/>
      <c r="BM11" s="605"/>
      <c r="BN11" s="605"/>
      <c r="BO11" s="605"/>
      <c r="BP11" s="605"/>
      <c r="BQ11" s="605"/>
      <c r="BR11" s="605"/>
      <c r="BS11" s="605"/>
      <c r="BT11" s="605"/>
      <c r="BU11" s="605"/>
      <c r="BV11" s="605"/>
      <c r="BW11" s="605"/>
      <c r="BX11" s="605"/>
      <c r="BY11" s="605"/>
      <c r="BZ11" s="605"/>
      <c r="CA11" s="605"/>
      <c r="CB11" s="605"/>
      <c r="CC11" s="605"/>
      <c r="CD11" s="605"/>
      <c r="CE11" s="605"/>
      <c r="CF11" s="605"/>
      <c r="CG11" s="605"/>
      <c r="CH11" s="605"/>
      <c r="CI11" s="605"/>
      <c r="CJ11" s="605"/>
      <c r="CK11" s="605"/>
      <c r="CL11" s="605"/>
      <c r="CM11" s="605"/>
      <c r="CN11" s="605"/>
      <c r="CO11" s="605"/>
      <c r="CP11" s="605"/>
      <c r="CQ11" s="605"/>
      <c r="CR11" s="605"/>
      <c r="CS11" s="605"/>
      <c r="CT11" s="605"/>
      <c r="CU11" s="605"/>
      <c r="CV11" s="605"/>
      <c r="CW11" s="605"/>
      <c r="CX11" s="605"/>
      <c r="CY11" s="605"/>
      <c r="CZ11" s="605"/>
      <c r="DA11" s="605"/>
      <c r="DB11" s="605"/>
      <c r="DC11" s="605"/>
      <c r="DD11" s="605"/>
      <c r="DE11" s="605"/>
      <c r="DF11" s="605"/>
      <c r="DG11" s="605"/>
      <c r="DH11" s="605"/>
      <c r="DI11" s="605"/>
      <c r="DJ11" s="605"/>
      <c r="DK11" s="605"/>
      <c r="DL11" s="605"/>
      <c r="DM11" s="605"/>
      <c r="DN11" s="605"/>
      <c r="DO11" s="605"/>
      <c r="DP11" s="605"/>
      <c r="DQ11" s="605"/>
      <c r="DR11" s="605"/>
      <c r="DS11" s="605"/>
      <c r="DT11" s="605"/>
      <c r="DU11" s="605"/>
      <c r="DV11" s="605"/>
      <c r="DW11" s="605"/>
      <c r="DX11" s="605"/>
      <c r="DY11" s="605"/>
      <c r="DZ11" s="605"/>
      <c r="EA11" s="605"/>
      <c r="EB11" s="605"/>
      <c r="EC11" s="605"/>
      <c r="ED11" s="605"/>
      <c r="EE11" s="605"/>
      <c r="EF11" s="605"/>
      <c r="EG11" s="605"/>
      <c r="EH11" s="605"/>
      <c r="EI11" s="605"/>
      <c r="EJ11" s="605"/>
      <c r="EK11" s="605"/>
      <c r="EL11" s="605"/>
      <c r="EM11" s="605"/>
      <c r="EN11" s="605"/>
      <c r="EO11" s="605"/>
      <c r="EP11" s="605"/>
      <c r="EQ11" s="605"/>
      <c r="ER11" s="605"/>
      <c r="ES11" s="605"/>
      <c r="ET11" s="605"/>
      <c r="EU11" s="605"/>
      <c r="EV11" s="605"/>
      <c r="EW11" s="605"/>
      <c r="EX11" s="605"/>
      <c r="EY11" s="605"/>
      <c r="EZ11" s="605"/>
      <c r="FA11" s="605"/>
      <c r="FB11" s="605"/>
      <c r="FC11" s="605"/>
      <c r="FD11" s="605"/>
      <c r="FE11" s="605"/>
      <c r="FF11" s="605"/>
      <c r="FG11" s="605"/>
      <c r="FH11" s="605"/>
      <c r="FI11" s="605"/>
      <c r="FJ11" s="605"/>
      <c r="FK11" s="605"/>
      <c r="FL11" s="605"/>
      <c r="FM11" s="605"/>
      <c r="FN11" s="605"/>
      <c r="FO11" s="605"/>
      <c r="FP11" s="605"/>
      <c r="FQ11" s="605"/>
      <c r="FR11" s="605"/>
      <c r="FS11" s="605"/>
      <c r="FT11" s="605"/>
      <c r="FU11" s="605"/>
      <c r="FV11" s="605"/>
      <c r="FW11" s="605"/>
      <c r="FX11" s="605"/>
      <c r="FY11" s="605"/>
      <c r="FZ11" s="605"/>
      <c r="GA11" s="605"/>
      <c r="GB11" s="605"/>
      <c r="GC11" s="605"/>
      <c r="GD11" s="605"/>
      <c r="GE11" s="605"/>
      <c r="GF11" s="605"/>
      <c r="GG11" s="605"/>
      <c r="GH11" s="605"/>
      <c r="GI11" s="605"/>
      <c r="GJ11" s="605"/>
      <c r="GK11" s="605"/>
      <c r="GL11" s="605"/>
      <c r="GM11" s="605"/>
      <c r="GN11" s="605"/>
      <c r="GO11" s="605"/>
      <c r="GP11" s="605"/>
      <c r="GQ11" s="605"/>
      <c r="GR11" s="605"/>
      <c r="GS11" s="605"/>
      <c r="GT11" s="605"/>
      <c r="GU11" s="605"/>
      <c r="GV11" s="605"/>
      <c r="GW11" s="605"/>
      <c r="GX11" s="605"/>
      <c r="GY11" s="605"/>
      <c r="GZ11" s="605"/>
      <c r="HA11" s="605"/>
      <c r="HB11" s="605"/>
      <c r="HC11" s="605"/>
      <c r="HD11" s="605"/>
      <c r="HE11" s="605"/>
      <c r="HF11" s="605"/>
      <c r="HG11" s="605"/>
      <c r="HH11" s="605"/>
      <c r="HI11" s="605"/>
      <c r="HJ11" s="605"/>
      <c r="HK11" s="605"/>
      <c r="HL11" s="605"/>
      <c r="HM11" s="605"/>
      <c r="HN11" s="605"/>
      <c r="HO11" s="605"/>
      <c r="HP11" s="605"/>
      <c r="HQ11" s="605"/>
      <c r="HR11" s="605"/>
      <c r="HS11" s="605"/>
      <c r="HT11" s="605"/>
      <c r="HU11" s="605"/>
      <c r="HV11" s="605"/>
      <c r="HW11" s="605"/>
      <c r="HX11" s="605"/>
      <c r="HY11" s="605"/>
      <c r="HZ11" s="605"/>
      <c r="IA11" s="605"/>
      <c r="IB11" s="605"/>
      <c r="IC11" s="605"/>
      <c r="ID11" s="605"/>
      <c r="IE11" s="605"/>
      <c r="IF11" s="605"/>
      <c r="IG11" s="605"/>
      <c r="IH11" s="605"/>
      <c r="II11" s="605"/>
      <c r="IJ11" s="605"/>
      <c r="IK11" s="605"/>
      <c r="IL11" s="605"/>
      <c r="IM11" s="605"/>
      <c r="IN11" s="605"/>
      <c r="IO11" s="605"/>
      <c r="IP11" s="605"/>
      <c r="IQ11" s="605"/>
      <c r="IR11" s="605"/>
      <c r="IS11" s="605"/>
      <c r="IT11" s="605"/>
      <c r="IU11" s="605"/>
      <c r="IV11" s="605"/>
      <c r="IW11" s="605"/>
      <c r="IX11" s="605"/>
      <c r="IY11" s="605"/>
      <c r="IZ11" s="605"/>
      <c r="JA11" s="605"/>
      <c r="JB11" s="605"/>
      <c r="JC11" s="605"/>
      <c r="JD11" s="605"/>
      <c r="JE11" s="605"/>
      <c r="JF11" s="605"/>
      <c r="JG11" s="605"/>
      <c r="JH11" s="605"/>
      <c r="JI11" s="605"/>
      <c r="JJ11" s="605"/>
      <c r="JK11" s="605"/>
      <c r="JL11" s="605"/>
      <c r="JM11" s="605"/>
      <c r="JN11" s="605"/>
      <c r="JO11" s="605"/>
      <c r="JP11" s="605"/>
      <c r="JQ11" s="605"/>
      <c r="JR11" s="605"/>
      <c r="JS11" s="605"/>
      <c r="JT11" s="605"/>
      <c r="JU11" s="605"/>
      <c r="JV11" s="605"/>
      <c r="JW11" s="605"/>
      <c r="JX11" s="605"/>
      <c r="JY11" s="605"/>
      <c r="JZ11" s="605"/>
      <c r="KA11" s="605"/>
      <c r="KB11" s="605"/>
      <c r="KC11" s="605"/>
      <c r="KD11" s="605"/>
      <c r="KE11" s="605"/>
      <c r="KF11" s="605"/>
      <c r="KG11" s="605"/>
      <c r="KH11" s="605"/>
      <c r="KI11" s="605"/>
      <c r="KJ11" s="605"/>
      <c r="KK11" s="605"/>
      <c r="KL11" s="605"/>
      <c r="KM11" s="605"/>
      <c r="KN11" s="605"/>
      <c r="KO11" s="605"/>
      <c r="KP11" s="605"/>
      <c r="KQ11" s="605"/>
      <c r="KR11" s="605"/>
      <c r="KS11" s="605"/>
      <c r="KT11" s="605"/>
      <c r="KU11" s="605"/>
      <c r="KV11" s="605"/>
      <c r="KW11" s="605"/>
      <c r="KX11" s="605"/>
      <c r="KY11" s="605"/>
      <c r="KZ11" s="605"/>
      <c r="LA11" s="605"/>
      <c r="LB11" s="605"/>
      <c r="LC11" s="605"/>
      <c r="LD11" s="605"/>
      <c r="LE11" s="605"/>
      <c r="LF11" s="605"/>
      <c r="LG11" s="605"/>
      <c r="LH11" s="605"/>
      <c r="LI11" s="605"/>
      <c r="LJ11" s="605"/>
      <c r="LK11" s="605"/>
      <c r="LL11" s="605"/>
      <c r="LM11" s="605"/>
      <c r="LN11" s="605"/>
      <c r="LO11" s="605"/>
      <c r="LP11" s="605"/>
      <c r="LQ11" s="605"/>
      <c r="LR11" s="605"/>
      <c r="LS11" s="605"/>
      <c r="LT11" s="605"/>
      <c r="LU11" s="605"/>
      <c r="LV11" s="605"/>
      <c r="LW11" s="605"/>
      <c r="LX11" s="605"/>
      <c r="LY11" s="605"/>
      <c r="LZ11" s="605"/>
      <c r="MA11" s="605"/>
      <c r="MB11" s="605"/>
      <c r="MC11" s="605"/>
      <c r="MD11" s="605"/>
      <c r="ME11" s="605"/>
      <c r="MF11" s="605"/>
      <c r="MG11" s="605"/>
      <c r="MH11" s="605"/>
      <c r="MI11" s="605"/>
      <c r="MJ11" s="605"/>
      <c r="MK11" s="605"/>
      <c r="ML11" s="605"/>
      <c r="MM11" s="605"/>
      <c r="MN11" s="605"/>
      <c r="MO11" s="605"/>
      <c r="MP11" s="605"/>
      <c r="MQ11" s="605"/>
      <c r="MR11" s="605"/>
      <c r="MS11" s="605"/>
      <c r="MT11" s="605"/>
      <c r="MU11" s="605"/>
      <c r="MV11" s="605"/>
      <c r="MW11" s="605"/>
      <c r="MX11" s="605"/>
      <c r="MY11" s="605"/>
      <c r="MZ11" s="605"/>
      <c r="NA11" s="605"/>
      <c r="NB11" s="605"/>
      <c r="NC11" s="605"/>
      <c r="ND11" s="605"/>
      <c r="NE11" s="605"/>
      <c r="NF11" s="605"/>
      <c r="NG11" s="605"/>
      <c r="NH11" s="605"/>
      <c r="NI11" s="605"/>
      <c r="NJ11" s="605"/>
      <c r="NK11" s="605"/>
      <c r="NL11" s="605"/>
      <c r="NM11" s="605"/>
      <c r="NN11" s="605"/>
      <c r="NO11" s="605"/>
      <c r="NP11" s="605"/>
      <c r="NQ11" s="605"/>
      <c r="NR11" s="605"/>
      <c r="NS11" s="605"/>
      <c r="NT11" s="605"/>
      <c r="NU11" s="605"/>
      <c r="NV11" s="605"/>
      <c r="NW11" s="605"/>
      <c r="NX11" s="605"/>
      <c r="NY11" s="605"/>
      <c r="NZ11" s="605"/>
      <c r="OA11" s="605"/>
      <c r="OB11" s="605"/>
      <c r="OC11" s="605"/>
      <c r="OD11" s="605"/>
      <c r="OE11" s="605"/>
      <c r="OF11" s="605"/>
      <c r="OG11" s="605"/>
      <c r="OH11" s="605"/>
      <c r="OI11" s="605"/>
      <c r="OJ11" s="605"/>
      <c r="OK11" s="605"/>
      <c r="OL11" s="605"/>
      <c r="OM11" s="605"/>
      <c r="ON11" s="605"/>
      <c r="OO11" s="605"/>
      <c r="OP11" s="605"/>
      <c r="OQ11" s="605"/>
      <c r="OR11" s="605"/>
      <c r="OS11" s="605"/>
      <c r="OT11" s="605"/>
      <c r="OU11" s="605"/>
      <c r="OV11" s="605"/>
      <c r="OW11" s="605"/>
      <c r="OX11" s="605"/>
      <c r="OY11" s="605"/>
      <c r="OZ11" s="605"/>
      <c r="PA11" s="605"/>
      <c r="PB11" s="605"/>
      <c r="PC11" s="605"/>
      <c r="PD11" s="605"/>
      <c r="PE11" s="605"/>
      <c r="PF11" s="605"/>
      <c r="PG11" s="605"/>
      <c r="PH11" s="605"/>
      <c r="PI11" s="605"/>
      <c r="PJ11" s="605"/>
      <c r="PK11" s="605"/>
      <c r="PL11" s="605"/>
      <c r="PM11" s="605"/>
      <c r="PN11" s="605"/>
      <c r="PO11" s="605"/>
      <c r="PP11" s="605"/>
      <c r="PQ11" s="605"/>
      <c r="PR11" s="605"/>
      <c r="PS11" s="605"/>
      <c r="PT11" s="605"/>
      <c r="PU11" s="605"/>
      <c r="PV11" s="605"/>
      <c r="PW11" s="605"/>
      <c r="PX11" s="605"/>
      <c r="PY11" s="605"/>
      <c r="PZ11" s="605"/>
      <c r="QA11" s="605"/>
      <c r="QB11" s="605"/>
      <c r="QC11" s="605"/>
      <c r="QD11" s="605"/>
      <c r="QE11" s="605"/>
      <c r="QF11" s="605"/>
      <c r="QG11" s="605"/>
      <c r="QH11" s="605"/>
      <c r="QI11" s="605"/>
      <c r="QJ11" s="605"/>
      <c r="QK11" s="605"/>
      <c r="QL11" s="605"/>
      <c r="QM11" s="605"/>
      <c r="QN11" s="605"/>
      <c r="QO11" s="605"/>
      <c r="QP11" s="605"/>
      <c r="QQ11" s="605"/>
      <c r="QR11" s="605"/>
      <c r="QS11" s="605"/>
      <c r="QT11" s="605"/>
      <c r="QU11" s="605"/>
      <c r="QV11" s="605"/>
      <c r="QW11" s="605"/>
      <c r="QX11" s="605"/>
      <c r="QY11" s="605"/>
      <c r="QZ11" s="605"/>
      <c r="RA11" s="605"/>
      <c r="RB11" s="605"/>
      <c r="RC11" s="605"/>
      <c r="RD11" s="605"/>
      <c r="RE11" s="605"/>
      <c r="RF11" s="605"/>
      <c r="RG11" s="605"/>
      <c r="RH11" s="605"/>
    </row>
    <row r="12" spans="2:476" ht="20.100000000000001" customHeight="1">
      <c r="B12" s="552">
        <v>45812</v>
      </c>
      <c r="C12" s="553">
        <v>16</v>
      </c>
      <c r="D12" s="554">
        <v>0</v>
      </c>
      <c r="E12" s="554">
        <v>2</v>
      </c>
      <c r="F12" s="555">
        <f t="shared" si="0"/>
        <v>-5.8211213627146195E-11</v>
      </c>
      <c r="G12" s="556"/>
      <c r="H12" s="560"/>
      <c r="I12" s="560"/>
      <c r="J12" s="576">
        <v>4.0000000008149099</v>
      </c>
      <c r="K12" s="573"/>
      <c r="L12" s="560"/>
      <c r="M12" s="560"/>
      <c r="N12" s="560"/>
      <c r="O12" s="560">
        <v>9.9999999992433004</v>
      </c>
      <c r="P12" s="576"/>
      <c r="Q12" s="557"/>
      <c r="R12" s="557"/>
      <c r="S12" s="560"/>
      <c r="T12" s="557"/>
      <c r="U12" s="557"/>
      <c r="V12" s="557"/>
      <c r="W12" s="560"/>
      <c r="X12" s="576"/>
      <c r="Y12" s="613">
        <v>1</v>
      </c>
      <c r="Z12" s="607">
        <f t="shared" si="1"/>
        <v>0</v>
      </c>
      <c r="AA12" s="607">
        <f t="shared" si="2"/>
        <v>14.000000000058201</v>
      </c>
      <c r="AB12" s="608">
        <f t="shared" si="3"/>
        <v>1</v>
      </c>
      <c r="AC12" s="615" t="s">
        <v>50</v>
      </c>
      <c r="AD12" s="605"/>
      <c r="AE12" s="605"/>
      <c r="AF12" s="605"/>
      <c r="AG12" s="605"/>
      <c r="AH12" s="605"/>
      <c r="AI12" s="605"/>
      <c r="AJ12" s="605"/>
      <c r="AK12" s="605"/>
      <c r="AL12" s="605"/>
      <c r="AM12" s="605"/>
      <c r="AN12" s="605"/>
      <c r="AO12" s="605"/>
      <c r="AP12" s="605"/>
      <c r="AQ12" s="605"/>
      <c r="AR12" s="605"/>
      <c r="AS12" s="605"/>
      <c r="AT12" s="605"/>
      <c r="AU12" s="605"/>
      <c r="AV12" s="605"/>
      <c r="AW12" s="605"/>
      <c r="AX12" s="605"/>
      <c r="AY12" s="605"/>
      <c r="AZ12" s="605"/>
      <c r="BA12" s="605"/>
      <c r="BB12" s="605"/>
      <c r="BC12" s="605"/>
      <c r="BD12" s="605"/>
      <c r="BE12" s="605"/>
      <c r="BF12" s="605"/>
      <c r="BG12" s="605"/>
      <c r="BH12" s="605"/>
      <c r="BI12" s="605"/>
      <c r="BJ12" s="605"/>
      <c r="BK12" s="605"/>
      <c r="BL12" s="605"/>
      <c r="BM12" s="605"/>
      <c r="BN12" s="605"/>
      <c r="BO12" s="605"/>
      <c r="BP12" s="605"/>
      <c r="BQ12" s="605"/>
      <c r="BR12" s="605"/>
      <c r="BS12" s="605"/>
      <c r="BT12" s="605"/>
      <c r="BU12" s="605"/>
      <c r="BV12" s="605"/>
      <c r="BW12" s="605"/>
      <c r="BX12" s="605"/>
      <c r="BY12" s="605"/>
      <c r="BZ12" s="605"/>
      <c r="CA12" s="605"/>
      <c r="CB12" s="605"/>
      <c r="CC12" s="605"/>
      <c r="CD12" s="605"/>
      <c r="CE12" s="605"/>
      <c r="CF12" s="605"/>
      <c r="CG12" s="605"/>
      <c r="CH12" s="605"/>
      <c r="CI12" s="605"/>
      <c r="CJ12" s="605"/>
      <c r="CK12" s="605"/>
      <c r="CL12" s="605"/>
      <c r="CM12" s="605"/>
      <c r="CN12" s="605"/>
      <c r="CO12" s="605"/>
      <c r="CP12" s="605"/>
      <c r="CQ12" s="605"/>
      <c r="CR12" s="605"/>
      <c r="CS12" s="605"/>
      <c r="CT12" s="605"/>
      <c r="CU12" s="605"/>
      <c r="CV12" s="605"/>
      <c r="CW12" s="605"/>
      <c r="CX12" s="605"/>
      <c r="CY12" s="605"/>
      <c r="CZ12" s="605"/>
      <c r="DA12" s="605"/>
      <c r="DB12" s="605"/>
      <c r="DC12" s="605"/>
      <c r="DD12" s="605"/>
      <c r="DE12" s="605"/>
      <c r="DF12" s="605"/>
      <c r="DG12" s="605"/>
      <c r="DH12" s="605"/>
      <c r="DI12" s="605"/>
      <c r="DJ12" s="605"/>
      <c r="DK12" s="605"/>
      <c r="DL12" s="605"/>
      <c r="DM12" s="605"/>
      <c r="DN12" s="605"/>
      <c r="DO12" s="605"/>
      <c r="DP12" s="605"/>
      <c r="DQ12" s="605"/>
      <c r="DR12" s="605"/>
      <c r="DS12" s="605"/>
      <c r="DT12" s="605"/>
      <c r="DU12" s="605"/>
      <c r="DV12" s="605"/>
      <c r="DW12" s="605"/>
      <c r="DX12" s="605"/>
      <c r="DY12" s="605"/>
      <c r="DZ12" s="605"/>
      <c r="EA12" s="605"/>
      <c r="EB12" s="605"/>
      <c r="EC12" s="605"/>
      <c r="ED12" s="605"/>
      <c r="EE12" s="605"/>
      <c r="EF12" s="605"/>
      <c r="EG12" s="605"/>
      <c r="EH12" s="605"/>
      <c r="EI12" s="605"/>
      <c r="EJ12" s="605"/>
      <c r="EK12" s="605"/>
      <c r="EL12" s="605"/>
      <c r="EM12" s="605"/>
      <c r="EN12" s="605"/>
      <c r="EO12" s="605"/>
      <c r="EP12" s="605"/>
      <c r="EQ12" s="605"/>
      <c r="ER12" s="605"/>
      <c r="ES12" s="605"/>
      <c r="ET12" s="605"/>
      <c r="EU12" s="605"/>
      <c r="EV12" s="605"/>
      <c r="EW12" s="605"/>
      <c r="EX12" s="605"/>
      <c r="EY12" s="605"/>
      <c r="EZ12" s="605"/>
      <c r="FA12" s="605"/>
      <c r="FB12" s="605"/>
      <c r="FC12" s="605"/>
      <c r="FD12" s="605"/>
      <c r="FE12" s="605"/>
      <c r="FF12" s="605"/>
      <c r="FG12" s="605"/>
      <c r="FH12" s="605"/>
      <c r="FI12" s="605"/>
      <c r="FJ12" s="605"/>
      <c r="FK12" s="605"/>
      <c r="FL12" s="605"/>
      <c r="FM12" s="605"/>
      <c r="FN12" s="605"/>
      <c r="FO12" s="605"/>
      <c r="FP12" s="605"/>
      <c r="FQ12" s="605"/>
      <c r="FR12" s="605"/>
      <c r="FS12" s="605"/>
      <c r="FT12" s="605"/>
      <c r="FU12" s="605"/>
      <c r="FV12" s="605"/>
      <c r="FW12" s="605"/>
      <c r="FX12" s="605"/>
      <c r="FY12" s="605"/>
      <c r="FZ12" s="605"/>
      <c r="GA12" s="605"/>
      <c r="GB12" s="605"/>
      <c r="GC12" s="605"/>
      <c r="GD12" s="605"/>
      <c r="GE12" s="605"/>
      <c r="GF12" s="605"/>
      <c r="GG12" s="605"/>
      <c r="GH12" s="605"/>
      <c r="GI12" s="605"/>
      <c r="GJ12" s="605"/>
      <c r="GK12" s="605"/>
      <c r="GL12" s="605"/>
      <c r="GM12" s="605"/>
      <c r="GN12" s="605"/>
      <c r="GO12" s="605"/>
      <c r="GP12" s="605"/>
      <c r="GQ12" s="605"/>
      <c r="GR12" s="605"/>
      <c r="GS12" s="605"/>
      <c r="GT12" s="605"/>
      <c r="GU12" s="605"/>
      <c r="GV12" s="605"/>
      <c r="GW12" s="605"/>
      <c r="GX12" s="605"/>
      <c r="GY12" s="605"/>
      <c r="GZ12" s="605"/>
      <c r="HA12" s="605"/>
      <c r="HB12" s="605"/>
      <c r="HC12" s="605"/>
      <c r="HD12" s="605"/>
      <c r="HE12" s="605"/>
      <c r="HF12" s="605"/>
      <c r="HG12" s="605"/>
      <c r="HH12" s="605"/>
      <c r="HI12" s="605"/>
      <c r="HJ12" s="605"/>
      <c r="HK12" s="605"/>
      <c r="HL12" s="605"/>
      <c r="HM12" s="605"/>
      <c r="HN12" s="605"/>
      <c r="HO12" s="605"/>
      <c r="HP12" s="605"/>
      <c r="HQ12" s="605"/>
      <c r="HR12" s="605"/>
      <c r="HS12" s="605"/>
      <c r="HT12" s="605"/>
      <c r="HU12" s="605"/>
      <c r="HV12" s="605"/>
      <c r="HW12" s="605"/>
      <c r="HX12" s="605"/>
      <c r="HY12" s="605"/>
      <c r="HZ12" s="605"/>
      <c r="IA12" s="605"/>
      <c r="IB12" s="605"/>
      <c r="IC12" s="605"/>
      <c r="ID12" s="605"/>
      <c r="IE12" s="605"/>
      <c r="IF12" s="605"/>
      <c r="IG12" s="605"/>
      <c r="IH12" s="605"/>
      <c r="II12" s="605"/>
      <c r="IJ12" s="605"/>
      <c r="IK12" s="605"/>
      <c r="IL12" s="605"/>
      <c r="IM12" s="605"/>
      <c r="IN12" s="605"/>
      <c r="IO12" s="605"/>
      <c r="IP12" s="605"/>
      <c r="IQ12" s="605"/>
      <c r="IR12" s="605"/>
      <c r="IS12" s="605"/>
      <c r="IT12" s="605"/>
      <c r="IU12" s="605"/>
      <c r="IV12" s="605"/>
      <c r="IW12" s="605"/>
      <c r="IX12" s="605"/>
      <c r="IY12" s="605"/>
      <c r="IZ12" s="605"/>
      <c r="JA12" s="605"/>
      <c r="JB12" s="605"/>
      <c r="JC12" s="605"/>
      <c r="JD12" s="605"/>
      <c r="JE12" s="605"/>
      <c r="JF12" s="605"/>
      <c r="JG12" s="605"/>
      <c r="JH12" s="605"/>
      <c r="JI12" s="605"/>
      <c r="JJ12" s="605"/>
      <c r="JK12" s="605"/>
      <c r="JL12" s="605"/>
      <c r="JM12" s="605"/>
      <c r="JN12" s="605"/>
      <c r="JO12" s="605"/>
      <c r="JP12" s="605"/>
      <c r="JQ12" s="605"/>
      <c r="JR12" s="605"/>
      <c r="JS12" s="605"/>
      <c r="JT12" s="605"/>
      <c r="JU12" s="605"/>
      <c r="JV12" s="605"/>
      <c r="JW12" s="605"/>
      <c r="JX12" s="605"/>
      <c r="JY12" s="605"/>
      <c r="JZ12" s="605"/>
      <c r="KA12" s="605"/>
      <c r="KB12" s="605"/>
      <c r="KC12" s="605"/>
      <c r="KD12" s="605"/>
      <c r="KE12" s="605"/>
      <c r="KF12" s="605"/>
      <c r="KG12" s="605"/>
      <c r="KH12" s="605"/>
      <c r="KI12" s="605"/>
      <c r="KJ12" s="605"/>
      <c r="KK12" s="605"/>
      <c r="KL12" s="605"/>
      <c r="KM12" s="605"/>
      <c r="KN12" s="605"/>
      <c r="KO12" s="605"/>
      <c r="KP12" s="605"/>
      <c r="KQ12" s="605"/>
      <c r="KR12" s="605"/>
      <c r="KS12" s="605"/>
      <c r="KT12" s="605"/>
      <c r="KU12" s="605"/>
      <c r="KV12" s="605"/>
      <c r="KW12" s="605"/>
      <c r="KX12" s="605"/>
      <c r="KY12" s="605"/>
      <c r="KZ12" s="605"/>
      <c r="LA12" s="605"/>
      <c r="LB12" s="605"/>
      <c r="LC12" s="605"/>
      <c r="LD12" s="605"/>
      <c r="LE12" s="605"/>
      <c r="LF12" s="605"/>
      <c r="LG12" s="605"/>
      <c r="LH12" s="605"/>
      <c r="LI12" s="605"/>
      <c r="LJ12" s="605"/>
      <c r="LK12" s="605"/>
      <c r="LL12" s="605"/>
      <c r="LM12" s="605"/>
      <c r="LN12" s="605"/>
      <c r="LO12" s="605"/>
      <c r="LP12" s="605"/>
      <c r="LQ12" s="605"/>
      <c r="LR12" s="605"/>
      <c r="LS12" s="605"/>
      <c r="LT12" s="605"/>
      <c r="LU12" s="605"/>
      <c r="LV12" s="605"/>
      <c r="LW12" s="605"/>
      <c r="LX12" s="605"/>
      <c r="LY12" s="605"/>
      <c r="LZ12" s="605"/>
      <c r="MA12" s="605"/>
      <c r="MB12" s="605"/>
      <c r="MC12" s="605"/>
      <c r="MD12" s="605"/>
      <c r="ME12" s="605"/>
      <c r="MF12" s="605"/>
      <c r="MG12" s="605"/>
      <c r="MH12" s="605"/>
      <c r="MI12" s="605"/>
      <c r="MJ12" s="605"/>
      <c r="MK12" s="605"/>
      <c r="ML12" s="605"/>
      <c r="MM12" s="605"/>
      <c r="MN12" s="605"/>
      <c r="MO12" s="605"/>
      <c r="MP12" s="605"/>
      <c r="MQ12" s="605"/>
      <c r="MR12" s="605"/>
      <c r="MS12" s="605"/>
      <c r="MT12" s="605"/>
      <c r="MU12" s="605"/>
      <c r="MV12" s="605"/>
      <c r="MW12" s="605"/>
      <c r="MX12" s="605"/>
      <c r="MY12" s="605"/>
      <c r="MZ12" s="605"/>
      <c r="NA12" s="605"/>
      <c r="NB12" s="605"/>
      <c r="NC12" s="605"/>
      <c r="ND12" s="605"/>
      <c r="NE12" s="605"/>
      <c r="NF12" s="605"/>
      <c r="NG12" s="605"/>
      <c r="NH12" s="605"/>
      <c r="NI12" s="605"/>
      <c r="NJ12" s="605"/>
      <c r="NK12" s="605"/>
      <c r="NL12" s="605"/>
      <c r="NM12" s="605"/>
      <c r="NN12" s="605"/>
      <c r="NO12" s="605"/>
      <c r="NP12" s="605"/>
      <c r="NQ12" s="605"/>
      <c r="NR12" s="605"/>
      <c r="NS12" s="605"/>
      <c r="NT12" s="605"/>
      <c r="NU12" s="605"/>
      <c r="NV12" s="605"/>
      <c r="NW12" s="605"/>
      <c r="NX12" s="605"/>
      <c r="NY12" s="605"/>
      <c r="NZ12" s="605"/>
      <c r="OA12" s="605"/>
      <c r="OB12" s="605"/>
      <c r="OC12" s="605"/>
      <c r="OD12" s="605"/>
      <c r="OE12" s="605"/>
      <c r="OF12" s="605"/>
      <c r="OG12" s="605"/>
      <c r="OH12" s="605"/>
      <c r="OI12" s="605"/>
      <c r="OJ12" s="605"/>
      <c r="OK12" s="605"/>
      <c r="OL12" s="605"/>
      <c r="OM12" s="605"/>
      <c r="ON12" s="605"/>
      <c r="OO12" s="605"/>
      <c r="OP12" s="605"/>
      <c r="OQ12" s="605"/>
      <c r="OR12" s="605"/>
      <c r="OS12" s="605"/>
      <c r="OT12" s="605"/>
      <c r="OU12" s="605"/>
      <c r="OV12" s="605"/>
      <c r="OW12" s="605"/>
      <c r="OX12" s="605"/>
      <c r="OY12" s="605"/>
      <c r="OZ12" s="605"/>
      <c r="PA12" s="605"/>
      <c r="PB12" s="605"/>
      <c r="PC12" s="605"/>
      <c r="PD12" s="605"/>
      <c r="PE12" s="605"/>
      <c r="PF12" s="605"/>
      <c r="PG12" s="605"/>
      <c r="PH12" s="605"/>
      <c r="PI12" s="605"/>
      <c r="PJ12" s="605"/>
      <c r="PK12" s="605"/>
      <c r="PL12" s="605"/>
      <c r="PM12" s="605"/>
      <c r="PN12" s="605"/>
      <c r="PO12" s="605"/>
      <c r="PP12" s="605"/>
      <c r="PQ12" s="605"/>
      <c r="PR12" s="605"/>
      <c r="PS12" s="605"/>
      <c r="PT12" s="605"/>
      <c r="PU12" s="605"/>
      <c r="PV12" s="605"/>
      <c r="PW12" s="605"/>
      <c r="PX12" s="605"/>
      <c r="PY12" s="605"/>
      <c r="PZ12" s="605"/>
      <c r="QA12" s="605"/>
      <c r="QB12" s="605"/>
      <c r="QC12" s="605"/>
      <c r="QD12" s="605"/>
      <c r="QE12" s="605"/>
      <c r="QF12" s="605"/>
      <c r="QG12" s="605"/>
      <c r="QH12" s="605"/>
      <c r="QI12" s="605"/>
      <c r="QJ12" s="605"/>
      <c r="QK12" s="605"/>
      <c r="QL12" s="605"/>
      <c r="QM12" s="605"/>
      <c r="QN12" s="605"/>
      <c r="QO12" s="605"/>
      <c r="QP12" s="605"/>
      <c r="QQ12" s="605"/>
      <c r="QR12" s="605"/>
      <c r="QS12" s="605"/>
      <c r="QT12" s="605"/>
      <c r="QU12" s="605"/>
      <c r="QV12" s="605"/>
      <c r="QW12" s="605"/>
      <c r="QX12" s="605"/>
      <c r="QY12" s="605"/>
      <c r="QZ12" s="605"/>
      <c r="RA12" s="605"/>
      <c r="RB12" s="605"/>
      <c r="RC12" s="605"/>
      <c r="RD12" s="605"/>
      <c r="RE12" s="605"/>
      <c r="RF12" s="605"/>
      <c r="RG12" s="605"/>
      <c r="RH12" s="605"/>
    </row>
    <row r="13" spans="2:476" ht="20.100000000000001" customHeight="1">
      <c r="B13" s="552"/>
      <c r="C13" s="553">
        <v>16</v>
      </c>
      <c r="D13" s="554">
        <v>0</v>
      </c>
      <c r="E13" s="554">
        <v>2</v>
      </c>
      <c r="F13" s="555">
        <f t="shared" si="0"/>
        <v>12.583333332557199</v>
      </c>
      <c r="G13" s="556"/>
      <c r="H13" s="557"/>
      <c r="I13" s="576"/>
      <c r="J13" s="576">
        <v>0</v>
      </c>
      <c r="K13" s="585"/>
      <c r="L13" s="585"/>
      <c r="M13" s="585"/>
      <c r="N13" s="585">
        <v>0.24999999994179201</v>
      </c>
      <c r="O13" s="585">
        <v>1.16666666750098</v>
      </c>
      <c r="P13" s="585"/>
      <c r="Q13" s="557"/>
      <c r="R13" s="557"/>
      <c r="S13" s="557"/>
      <c r="T13" s="557"/>
      <c r="U13" s="557"/>
      <c r="V13" s="557"/>
      <c r="W13" s="557"/>
      <c r="X13" s="560"/>
      <c r="Y13" s="613">
        <v>2</v>
      </c>
      <c r="Z13" s="607">
        <f t="shared" si="1"/>
        <v>0</v>
      </c>
      <c r="AA13" s="607">
        <f t="shared" si="2"/>
        <v>1.4166666674427699</v>
      </c>
      <c r="AB13" s="608">
        <f t="shared" si="3"/>
        <v>1</v>
      </c>
      <c r="AC13" s="616"/>
      <c r="AD13" s="605"/>
      <c r="AE13" s="605"/>
      <c r="AF13" s="605"/>
      <c r="AG13" s="605"/>
      <c r="AH13" s="605"/>
      <c r="AI13" s="605"/>
      <c r="AJ13" s="605"/>
      <c r="AK13" s="605"/>
      <c r="AL13" s="605"/>
      <c r="AM13" s="605"/>
      <c r="AN13" s="605"/>
      <c r="AO13" s="605"/>
      <c r="AP13" s="605"/>
      <c r="AQ13" s="605"/>
      <c r="AR13" s="605"/>
      <c r="AS13" s="605"/>
      <c r="AT13" s="605"/>
      <c r="AU13" s="605"/>
      <c r="AV13" s="605"/>
      <c r="AW13" s="605"/>
      <c r="AX13" s="605"/>
      <c r="AY13" s="605"/>
      <c r="AZ13" s="605"/>
      <c r="BA13" s="605"/>
      <c r="BB13" s="605"/>
      <c r="BC13" s="605"/>
      <c r="BD13" s="605"/>
      <c r="BE13" s="605"/>
      <c r="BF13" s="605"/>
      <c r="BG13" s="605"/>
      <c r="BH13" s="605"/>
      <c r="BI13" s="605"/>
      <c r="BJ13" s="605"/>
      <c r="BK13" s="605"/>
      <c r="BL13" s="605"/>
      <c r="BM13" s="605"/>
      <c r="BN13" s="605"/>
      <c r="BO13" s="605"/>
      <c r="BP13" s="605"/>
      <c r="BQ13" s="605"/>
      <c r="BR13" s="605"/>
      <c r="BS13" s="605"/>
      <c r="BT13" s="605"/>
      <c r="BU13" s="605"/>
      <c r="BV13" s="605"/>
      <c r="BW13" s="605"/>
      <c r="BX13" s="605"/>
      <c r="BY13" s="605"/>
      <c r="BZ13" s="605"/>
      <c r="CA13" s="605"/>
      <c r="CB13" s="605"/>
      <c r="CC13" s="605"/>
      <c r="CD13" s="605"/>
      <c r="CE13" s="605"/>
      <c r="CF13" s="605"/>
      <c r="CG13" s="605"/>
      <c r="CH13" s="605"/>
      <c r="CI13" s="605"/>
      <c r="CJ13" s="605"/>
      <c r="CK13" s="605"/>
      <c r="CL13" s="605"/>
      <c r="CM13" s="605"/>
      <c r="CN13" s="605"/>
      <c r="CO13" s="605"/>
      <c r="CP13" s="605"/>
      <c r="CQ13" s="605"/>
      <c r="CR13" s="605"/>
      <c r="CS13" s="605"/>
      <c r="CT13" s="605"/>
      <c r="CU13" s="605"/>
      <c r="CV13" s="605"/>
      <c r="CW13" s="605"/>
      <c r="CX13" s="605"/>
      <c r="CY13" s="605"/>
      <c r="CZ13" s="605"/>
      <c r="DA13" s="605"/>
      <c r="DB13" s="605"/>
      <c r="DC13" s="605"/>
      <c r="DD13" s="605"/>
      <c r="DE13" s="605"/>
      <c r="DF13" s="605"/>
      <c r="DG13" s="605"/>
      <c r="DH13" s="605"/>
      <c r="DI13" s="605"/>
      <c r="DJ13" s="605"/>
      <c r="DK13" s="605"/>
      <c r="DL13" s="605"/>
      <c r="DM13" s="605"/>
      <c r="DN13" s="605"/>
      <c r="DO13" s="605"/>
      <c r="DP13" s="605"/>
      <c r="DQ13" s="605"/>
      <c r="DR13" s="605"/>
      <c r="DS13" s="605"/>
      <c r="DT13" s="605"/>
      <c r="DU13" s="605"/>
      <c r="DV13" s="605"/>
      <c r="DW13" s="605"/>
      <c r="DX13" s="605"/>
      <c r="DY13" s="605"/>
      <c r="DZ13" s="605"/>
      <c r="EA13" s="605"/>
      <c r="EB13" s="605"/>
      <c r="EC13" s="605"/>
      <c r="ED13" s="605"/>
      <c r="EE13" s="605"/>
      <c r="EF13" s="605"/>
      <c r="EG13" s="605"/>
      <c r="EH13" s="605"/>
      <c r="EI13" s="605"/>
      <c r="EJ13" s="605"/>
      <c r="EK13" s="605"/>
      <c r="EL13" s="605"/>
      <c r="EM13" s="605"/>
      <c r="EN13" s="605"/>
      <c r="EO13" s="605"/>
      <c r="EP13" s="605"/>
      <c r="EQ13" s="605"/>
      <c r="ER13" s="605"/>
      <c r="ES13" s="605"/>
      <c r="ET13" s="605"/>
      <c r="EU13" s="605"/>
      <c r="EV13" s="605"/>
      <c r="EW13" s="605"/>
      <c r="EX13" s="605"/>
      <c r="EY13" s="605"/>
      <c r="EZ13" s="605"/>
      <c r="FA13" s="605"/>
      <c r="FB13" s="605"/>
      <c r="FC13" s="605"/>
      <c r="FD13" s="605"/>
      <c r="FE13" s="605"/>
      <c r="FF13" s="605"/>
      <c r="FG13" s="605"/>
      <c r="FH13" s="605"/>
      <c r="FI13" s="605"/>
      <c r="FJ13" s="605"/>
      <c r="FK13" s="605"/>
      <c r="FL13" s="605"/>
      <c r="FM13" s="605"/>
      <c r="FN13" s="605"/>
      <c r="FO13" s="605"/>
      <c r="FP13" s="605"/>
      <c r="FQ13" s="605"/>
      <c r="FR13" s="605"/>
      <c r="FS13" s="605"/>
      <c r="FT13" s="605"/>
      <c r="FU13" s="605"/>
      <c r="FV13" s="605"/>
      <c r="FW13" s="605"/>
      <c r="FX13" s="605"/>
      <c r="FY13" s="605"/>
      <c r="FZ13" s="605"/>
      <c r="GA13" s="605"/>
      <c r="GB13" s="605"/>
      <c r="GC13" s="605"/>
      <c r="GD13" s="605"/>
      <c r="GE13" s="605"/>
      <c r="GF13" s="605"/>
      <c r="GG13" s="605"/>
      <c r="GH13" s="605"/>
      <c r="GI13" s="605"/>
      <c r="GJ13" s="605"/>
      <c r="GK13" s="605"/>
      <c r="GL13" s="605"/>
      <c r="GM13" s="605"/>
      <c r="GN13" s="605"/>
      <c r="GO13" s="605"/>
      <c r="GP13" s="605"/>
      <c r="GQ13" s="605"/>
      <c r="GR13" s="605"/>
      <c r="GS13" s="605"/>
      <c r="GT13" s="605"/>
      <c r="GU13" s="605"/>
      <c r="GV13" s="605"/>
      <c r="GW13" s="605"/>
      <c r="GX13" s="605"/>
      <c r="GY13" s="605"/>
      <c r="GZ13" s="605"/>
      <c r="HA13" s="605"/>
      <c r="HB13" s="605"/>
      <c r="HC13" s="605"/>
      <c r="HD13" s="605"/>
      <c r="HE13" s="605"/>
      <c r="HF13" s="605"/>
      <c r="HG13" s="605"/>
      <c r="HH13" s="605"/>
      <c r="HI13" s="605"/>
      <c r="HJ13" s="605"/>
      <c r="HK13" s="605"/>
      <c r="HL13" s="605"/>
      <c r="HM13" s="605"/>
      <c r="HN13" s="605"/>
      <c r="HO13" s="605"/>
      <c r="HP13" s="605"/>
      <c r="HQ13" s="605"/>
      <c r="HR13" s="605"/>
      <c r="HS13" s="605"/>
      <c r="HT13" s="605"/>
      <c r="HU13" s="605"/>
      <c r="HV13" s="605"/>
      <c r="HW13" s="605"/>
      <c r="HX13" s="605"/>
      <c r="HY13" s="605"/>
      <c r="HZ13" s="605"/>
      <c r="IA13" s="605"/>
      <c r="IB13" s="605"/>
      <c r="IC13" s="605"/>
      <c r="ID13" s="605"/>
      <c r="IE13" s="605"/>
      <c r="IF13" s="605"/>
      <c r="IG13" s="605"/>
      <c r="IH13" s="605"/>
      <c r="II13" s="605"/>
      <c r="IJ13" s="605"/>
      <c r="IK13" s="605"/>
      <c r="IL13" s="605"/>
      <c r="IM13" s="605"/>
      <c r="IN13" s="605"/>
      <c r="IO13" s="605"/>
      <c r="IP13" s="605"/>
      <c r="IQ13" s="605"/>
      <c r="IR13" s="605"/>
      <c r="IS13" s="605"/>
      <c r="IT13" s="605"/>
      <c r="IU13" s="605"/>
      <c r="IV13" s="605"/>
      <c r="IW13" s="605"/>
      <c r="IX13" s="605"/>
      <c r="IY13" s="605"/>
      <c r="IZ13" s="605"/>
      <c r="JA13" s="605"/>
      <c r="JB13" s="605"/>
      <c r="JC13" s="605"/>
      <c r="JD13" s="605"/>
      <c r="JE13" s="605"/>
      <c r="JF13" s="605"/>
      <c r="JG13" s="605"/>
      <c r="JH13" s="605"/>
      <c r="JI13" s="605"/>
      <c r="JJ13" s="605"/>
      <c r="JK13" s="605"/>
      <c r="JL13" s="605"/>
      <c r="JM13" s="605"/>
      <c r="JN13" s="605"/>
      <c r="JO13" s="605"/>
      <c r="JP13" s="605"/>
      <c r="JQ13" s="605"/>
      <c r="JR13" s="605"/>
      <c r="JS13" s="605"/>
      <c r="JT13" s="605"/>
      <c r="JU13" s="605"/>
      <c r="JV13" s="605"/>
      <c r="JW13" s="605"/>
      <c r="JX13" s="605"/>
      <c r="JY13" s="605"/>
      <c r="JZ13" s="605"/>
      <c r="KA13" s="605"/>
      <c r="KB13" s="605"/>
      <c r="KC13" s="605"/>
      <c r="KD13" s="605"/>
      <c r="KE13" s="605"/>
      <c r="KF13" s="605"/>
      <c r="KG13" s="605"/>
      <c r="KH13" s="605"/>
      <c r="KI13" s="605"/>
      <c r="KJ13" s="605"/>
      <c r="KK13" s="605"/>
      <c r="KL13" s="605"/>
      <c r="KM13" s="605"/>
      <c r="KN13" s="605"/>
      <c r="KO13" s="605"/>
      <c r="KP13" s="605"/>
      <c r="KQ13" s="605"/>
      <c r="KR13" s="605"/>
      <c r="KS13" s="605"/>
      <c r="KT13" s="605"/>
      <c r="KU13" s="605"/>
      <c r="KV13" s="605"/>
      <c r="KW13" s="605"/>
      <c r="KX13" s="605"/>
      <c r="KY13" s="605"/>
      <c r="KZ13" s="605"/>
      <c r="LA13" s="605"/>
      <c r="LB13" s="605"/>
      <c r="LC13" s="605"/>
      <c r="LD13" s="605"/>
      <c r="LE13" s="605"/>
      <c r="LF13" s="605"/>
      <c r="LG13" s="605"/>
      <c r="LH13" s="605"/>
      <c r="LI13" s="605"/>
      <c r="LJ13" s="605"/>
      <c r="LK13" s="605"/>
      <c r="LL13" s="605"/>
      <c r="LM13" s="605"/>
      <c r="LN13" s="605"/>
      <c r="LO13" s="605"/>
      <c r="LP13" s="605"/>
      <c r="LQ13" s="605"/>
      <c r="LR13" s="605"/>
      <c r="LS13" s="605"/>
      <c r="LT13" s="605"/>
      <c r="LU13" s="605"/>
      <c r="LV13" s="605"/>
      <c r="LW13" s="605"/>
      <c r="LX13" s="605"/>
      <c r="LY13" s="605"/>
      <c r="LZ13" s="605"/>
      <c r="MA13" s="605"/>
      <c r="MB13" s="605"/>
      <c r="MC13" s="605"/>
      <c r="MD13" s="605"/>
      <c r="ME13" s="605"/>
      <c r="MF13" s="605"/>
      <c r="MG13" s="605"/>
      <c r="MH13" s="605"/>
      <c r="MI13" s="605"/>
      <c r="MJ13" s="605"/>
      <c r="MK13" s="605"/>
      <c r="ML13" s="605"/>
      <c r="MM13" s="605"/>
      <c r="MN13" s="605"/>
      <c r="MO13" s="605"/>
      <c r="MP13" s="605"/>
      <c r="MQ13" s="605"/>
      <c r="MR13" s="605"/>
      <c r="MS13" s="605"/>
      <c r="MT13" s="605"/>
      <c r="MU13" s="605"/>
      <c r="MV13" s="605"/>
      <c r="MW13" s="605"/>
      <c r="MX13" s="605"/>
      <c r="MY13" s="605"/>
      <c r="MZ13" s="605"/>
      <c r="NA13" s="605"/>
      <c r="NB13" s="605"/>
      <c r="NC13" s="605"/>
      <c r="ND13" s="605"/>
      <c r="NE13" s="605"/>
      <c r="NF13" s="605"/>
      <c r="NG13" s="605"/>
      <c r="NH13" s="605"/>
      <c r="NI13" s="605"/>
      <c r="NJ13" s="605"/>
      <c r="NK13" s="605"/>
      <c r="NL13" s="605"/>
      <c r="NM13" s="605"/>
      <c r="NN13" s="605"/>
      <c r="NO13" s="605"/>
      <c r="NP13" s="605"/>
      <c r="NQ13" s="605"/>
      <c r="NR13" s="605"/>
      <c r="NS13" s="605"/>
      <c r="NT13" s="605"/>
      <c r="NU13" s="605"/>
      <c r="NV13" s="605"/>
      <c r="NW13" s="605"/>
      <c r="NX13" s="605"/>
      <c r="NY13" s="605"/>
      <c r="NZ13" s="605"/>
      <c r="OA13" s="605"/>
      <c r="OB13" s="605"/>
      <c r="OC13" s="605"/>
      <c r="OD13" s="605"/>
      <c r="OE13" s="605"/>
      <c r="OF13" s="605"/>
      <c r="OG13" s="605"/>
      <c r="OH13" s="605"/>
      <c r="OI13" s="605"/>
      <c r="OJ13" s="605"/>
      <c r="OK13" s="605"/>
      <c r="OL13" s="605"/>
      <c r="OM13" s="605"/>
      <c r="ON13" s="605"/>
      <c r="OO13" s="605"/>
      <c r="OP13" s="605"/>
      <c r="OQ13" s="605"/>
      <c r="OR13" s="605"/>
      <c r="OS13" s="605"/>
      <c r="OT13" s="605"/>
      <c r="OU13" s="605"/>
      <c r="OV13" s="605"/>
      <c r="OW13" s="605"/>
      <c r="OX13" s="605"/>
      <c r="OY13" s="605"/>
      <c r="OZ13" s="605"/>
      <c r="PA13" s="605"/>
      <c r="PB13" s="605"/>
      <c r="PC13" s="605"/>
      <c r="PD13" s="605"/>
      <c r="PE13" s="605"/>
      <c r="PF13" s="605"/>
      <c r="PG13" s="605"/>
      <c r="PH13" s="605"/>
      <c r="PI13" s="605"/>
      <c r="PJ13" s="605"/>
      <c r="PK13" s="605"/>
      <c r="PL13" s="605"/>
      <c r="PM13" s="605"/>
      <c r="PN13" s="605"/>
      <c r="PO13" s="605"/>
      <c r="PP13" s="605"/>
      <c r="PQ13" s="605"/>
      <c r="PR13" s="605"/>
      <c r="PS13" s="605"/>
      <c r="PT13" s="605"/>
      <c r="PU13" s="605"/>
      <c r="PV13" s="605"/>
      <c r="PW13" s="605"/>
      <c r="PX13" s="605"/>
      <c r="PY13" s="605"/>
      <c r="PZ13" s="605"/>
      <c r="QA13" s="605"/>
      <c r="QB13" s="605"/>
      <c r="QC13" s="605"/>
      <c r="QD13" s="605"/>
      <c r="QE13" s="605"/>
      <c r="QF13" s="605"/>
      <c r="QG13" s="605"/>
      <c r="QH13" s="605"/>
      <c r="QI13" s="605"/>
      <c r="QJ13" s="605"/>
      <c r="QK13" s="605"/>
      <c r="QL13" s="605"/>
      <c r="QM13" s="605"/>
      <c r="QN13" s="605"/>
      <c r="QO13" s="605"/>
      <c r="QP13" s="605"/>
      <c r="QQ13" s="605"/>
      <c r="QR13" s="605"/>
      <c r="QS13" s="605"/>
      <c r="QT13" s="605"/>
      <c r="QU13" s="605"/>
      <c r="QV13" s="605"/>
      <c r="QW13" s="605"/>
      <c r="QX13" s="605"/>
      <c r="QY13" s="605"/>
      <c r="QZ13" s="605"/>
      <c r="RA13" s="605"/>
      <c r="RB13" s="605"/>
      <c r="RC13" s="605"/>
      <c r="RD13" s="605"/>
      <c r="RE13" s="605"/>
      <c r="RF13" s="605"/>
      <c r="RG13" s="605"/>
      <c r="RH13" s="605"/>
    </row>
    <row r="14" spans="2:476" s="527" customFormat="1" ht="20.100000000000001" customHeight="1">
      <c r="B14" s="558">
        <v>45813</v>
      </c>
      <c r="C14" s="547">
        <v>16</v>
      </c>
      <c r="D14" s="548">
        <v>0</v>
      </c>
      <c r="E14" s="548">
        <v>2</v>
      </c>
      <c r="F14" s="549">
        <f t="shared" si="0"/>
        <v>5.58333333593328</v>
      </c>
      <c r="G14" s="550"/>
      <c r="H14" s="551"/>
      <c r="I14" s="551"/>
      <c r="J14" s="569"/>
      <c r="K14" s="586"/>
      <c r="L14" s="587"/>
      <c r="M14" s="551"/>
      <c r="N14" s="572">
        <v>0.24999999819556301</v>
      </c>
      <c r="O14" s="572">
        <v>8.1666666658711602</v>
      </c>
      <c r="P14" s="551"/>
      <c r="Q14" s="551"/>
      <c r="R14" s="551"/>
      <c r="S14" s="551"/>
      <c r="T14" s="551"/>
      <c r="U14" s="551"/>
      <c r="V14" s="551"/>
      <c r="W14" s="551"/>
      <c r="X14" s="569"/>
      <c r="Y14" s="614">
        <v>1</v>
      </c>
      <c r="Z14" s="607">
        <f t="shared" si="1"/>
        <v>0</v>
      </c>
      <c r="AA14" s="607">
        <f t="shared" si="2"/>
        <v>8.4166666640667192</v>
      </c>
      <c r="AB14" s="608">
        <f t="shared" si="3"/>
        <v>1</v>
      </c>
      <c r="AC14" s="617" t="s">
        <v>51</v>
      </c>
      <c r="AD14" s="610"/>
      <c r="AE14" s="610"/>
      <c r="AF14" s="610"/>
      <c r="AG14" s="610"/>
      <c r="AH14" s="610"/>
      <c r="AI14" s="610"/>
      <c r="AJ14" s="610"/>
      <c r="AK14" s="610"/>
      <c r="AL14" s="610"/>
      <c r="AM14" s="610"/>
      <c r="AN14" s="610"/>
      <c r="AO14" s="610"/>
      <c r="AP14" s="610"/>
      <c r="AQ14" s="610"/>
      <c r="AR14" s="610"/>
      <c r="AS14" s="610"/>
      <c r="AT14" s="610"/>
      <c r="AU14" s="610"/>
      <c r="AV14" s="610"/>
      <c r="AW14" s="610"/>
      <c r="AX14" s="610"/>
      <c r="AY14" s="610"/>
      <c r="AZ14" s="610"/>
      <c r="BA14" s="610"/>
      <c r="BB14" s="610"/>
      <c r="BC14" s="610"/>
      <c r="BD14" s="610"/>
      <c r="BE14" s="610"/>
      <c r="BF14" s="610"/>
      <c r="BG14" s="610"/>
      <c r="BH14" s="610"/>
      <c r="BI14" s="610"/>
      <c r="BJ14" s="610"/>
      <c r="BK14" s="610"/>
      <c r="BL14" s="610"/>
      <c r="BM14" s="610"/>
      <c r="BN14" s="610"/>
      <c r="BO14" s="610"/>
      <c r="BP14" s="610"/>
      <c r="BQ14" s="610"/>
      <c r="BR14" s="610"/>
      <c r="BS14" s="610"/>
      <c r="BT14" s="610"/>
      <c r="BU14" s="610"/>
      <c r="BV14" s="610"/>
      <c r="BW14" s="610"/>
      <c r="BX14" s="610"/>
      <c r="BY14" s="610"/>
      <c r="BZ14" s="610"/>
      <c r="CA14" s="610"/>
      <c r="CB14" s="610"/>
      <c r="CC14" s="610"/>
      <c r="CD14" s="610"/>
      <c r="CE14" s="610"/>
      <c r="CF14" s="610"/>
      <c r="CG14" s="610"/>
      <c r="CH14" s="610"/>
      <c r="CI14" s="610"/>
      <c r="CJ14" s="610"/>
      <c r="CK14" s="610"/>
      <c r="CL14" s="610"/>
      <c r="CM14" s="610"/>
      <c r="CN14" s="610"/>
      <c r="CO14" s="610"/>
      <c r="CP14" s="610"/>
      <c r="CQ14" s="610"/>
      <c r="CR14" s="610"/>
      <c r="CS14" s="610"/>
      <c r="CT14" s="610"/>
      <c r="CU14" s="610"/>
      <c r="CV14" s="610"/>
      <c r="CW14" s="610"/>
      <c r="CX14" s="610"/>
      <c r="CY14" s="610"/>
      <c r="CZ14" s="610"/>
      <c r="DA14" s="610"/>
      <c r="DB14" s="610"/>
      <c r="DC14" s="610"/>
      <c r="DD14" s="610"/>
      <c r="DE14" s="610"/>
      <c r="DF14" s="610"/>
      <c r="DG14" s="610"/>
      <c r="DH14" s="610"/>
      <c r="DI14" s="610"/>
      <c r="DJ14" s="610"/>
      <c r="DK14" s="610"/>
      <c r="DL14" s="610"/>
      <c r="DM14" s="610"/>
      <c r="DN14" s="610"/>
      <c r="DO14" s="610"/>
      <c r="DP14" s="610"/>
      <c r="DQ14" s="610"/>
      <c r="DR14" s="610"/>
      <c r="DS14" s="610"/>
      <c r="DT14" s="610"/>
      <c r="DU14" s="610"/>
      <c r="DV14" s="610"/>
      <c r="DW14" s="610"/>
      <c r="DX14" s="610"/>
      <c r="DY14" s="610"/>
      <c r="DZ14" s="610"/>
      <c r="EA14" s="610"/>
      <c r="EB14" s="610"/>
      <c r="EC14" s="610"/>
      <c r="ED14" s="610"/>
      <c r="EE14" s="610"/>
      <c r="EF14" s="610"/>
      <c r="EG14" s="610"/>
      <c r="EH14" s="610"/>
      <c r="EI14" s="610"/>
      <c r="EJ14" s="610"/>
      <c r="EK14" s="610"/>
      <c r="EL14" s="610"/>
      <c r="EM14" s="610"/>
      <c r="EN14" s="610"/>
      <c r="EO14" s="610"/>
      <c r="EP14" s="610"/>
      <c r="EQ14" s="610"/>
      <c r="ER14" s="610"/>
      <c r="ES14" s="610"/>
      <c r="ET14" s="610"/>
      <c r="EU14" s="610"/>
      <c r="EV14" s="610"/>
      <c r="EW14" s="610"/>
      <c r="EX14" s="610"/>
      <c r="EY14" s="610"/>
      <c r="EZ14" s="610"/>
      <c r="FA14" s="610"/>
      <c r="FB14" s="610"/>
      <c r="FC14" s="610"/>
      <c r="FD14" s="610"/>
      <c r="FE14" s="610"/>
      <c r="FF14" s="610"/>
      <c r="FG14" s="610"/>
      <c r="FH14" s="610"/>
      <c r="FI14" s="610"/>
      <c r="FJ14" s="610"/>
      <c r="FK14" s="610"/>
      <c r="FL14" s="610"/>
      <c r="FM14" s="610"/>
      <c r="FN14" s="610"/>
      <c r="FO14" s="610"/>
      <c r="FP14" s="610"/>
      <c r="FQ14" s="610"/>
      <c r="FR14" s="610"/>
      <c r="FS14" s="610"/>
      <c r="FT14" s="610"/>
      <c r="FU14" s="610"/>
      <c r="FV14" s="610"/>
      <c r="FW14" s="610"/>
      <c r="FX14" s="610"/>
      <c r="FY14" s="610"/>
      <c r="FZ14" s="610"/>
      <c r="GA14" s="610"/>
      <c r="GB14" s="610"/>
      <c r="GC14" s="610"/>
      <c r="GD14" s="610"/>
      <c r="GE14" s="610"/>
      <c r="GF14" s="610"/>
      <c r="GG14" s="610"/>
      <c r="GH14" s="610"/>
      <c r="GI14" s="610"/>
      <c r="GJ14" s="610"/>
      <c r="GK14" s="610"/>
      <c r="GL14" s="610"/>
      <c r="GM14" s="610"/>
      <c r="GN14" s="610"/>
      <c r="GO14" s="610"/>
      <c r="GP14" s="610"/>
      <c r="GQ14" s="610"/>
      <c r="GR14" s="610"/>
      <c r="GS14" s="610"/>
      <c r="GT14" s="610"/>
      <c r="GU14" s="610"/>
      <c r="GV14" s="610"/>
      <c r="GW14" s="610"/>
      <c r="GX14" s="610"/>
      <c r="GY14" s="610"/>
      <c r="GZ14" s="610"/>
      <c r="HA14" s="610"/>
      <c r="HB14" s="610"/>
      <c r="HC14" s="610"/>
      <c r="HD14" s="610"/>
      <c r="HE14" s="610"/>
      <c r="HF14" s="610"/>
      <c r="HG14" s="610"/>
      <c r="HH14" s="610"/>
      <c r="HI14" s="610"/>
      <c r="HJ14" s="610"/>
      <c r="HK14" s="610"/>
      <c r="HL14" s="610"/>
      <c r="HM14" s="610"/>
      <c r="HN14" s="610"/>
      <c r="HO14" s="610"/>
      <c r="HP14" s="610"/>
      <c r="HQ14" s="610"/>
      <c r="HR14" s="610"/>
      <c r="HS14" s="610"/>
      <c r="HT14" s="610"/>
      <c r="HU14" s="610"/>
      <c r="HV14" s="610"/>
      <c r="HW14" s="610"/>
      <c r="HX14" s="610"/>
      <c r="HY14" s="610"/>
      <c r="HZ14" s="610"/>
      <c r="IA14" s="610"/>
      <c r="IB14" s="610"/>
      <c r="IC14" s="610"/>
      <c r="ID14" s="610"/>
      <c r="IE14" s="610"/>
      <c r="IF14" s="610"/>
      <c r="IG14" s="610"/>
      <c r="IH14" s="610"/>
      <c r="II14" s="610"/>
      <c r="IJ14" s="610"/>
      <c r="IK14" s="610"/>
      <c r="IL14" s="610"/>
      <c r="IM14" s="610"/>
      <c r="IN14" s="610"/>
      <c r="IO14" s="610"/>
      <c r="IP14" s="610"/>
      <c r="IQ14" s="610"/>
      <c r="IR14" s="610"/>
      <c r="IS14" s="610"/>
      <c r="IT14" s="610"/>
      <c r="IU14" s="610"/>
      <c r="IV14" s="610"/>
      <c r="IW14" s="610"/>
      <c r="IX14" s="610"/>
      <c r="IY14" s="610"/>
      <c r="IZ14" s="610"/>
      <c r="JA14" s="610"/>
      <c r="JB14" s="610"/>
      <c r="JC14" s="610"/>
      <c r="JD14" s="610"/>
      <c r="JE14" s="610"/>
      <c r="JF14" s="610"/>
      <c r="JG14" s="610"/>
      <c r="JH14" s="610"/>
      <c r="JI14" s="610"/>
      <c r="JJ14" s="610"/>
      <c r="JK14" s="610"/>
      <c r="JL14" s="610"/>
      <c r="JM14" s="610"/>
      <c r="JN14" s="610"/>
      <c r="JO14" s="610"/>
      <c r="JP14" s="610"/>
      <c r="JQ14" s="610"/>
      <c r="JR14" s="610"/>
      <c r="JS14" s="610"/>
      <c r="JT14" s="610"/>
      <c r="JU14" s="610"/>
      <c r="JV14" s="610"/>
      <c r="JW14" s="610"/>
      <c r="JX14" s="610"/>
      <c r="JY14" s="610"/>
      <c r="JZ14" s="610"/>
      <c r="KA14" s="610"/>
      <c r="KB14" s="610"/>
      <c r="KC14" s="610"/>
      <c r="KD14" s="610"/>
      <c r="KE14" s="610"/>
      <c r="KF14" s="610"/>
      <c r="KG14" s="610"/>
      <c r="KH14" s="610"/>
      <c r="KI14" s="610"/>
      <c r="KJ14" s="610"/>
      <c r="KK14" s="610"/>
      <c r="KL14" s="610"/>
      <c r="KM14" s="610"/>
      <c r="KN14" s="610"/>
      <c r="KO14" s="610"/>
      <c r="KP14" s="610"/>
      <c r="KQ14" s="610"/>
      <c r="KR14" s="610"/>
      <c r="KS14" s="610"/>
      <c r="KT14" s="610"/>
      <c r="KU14" s="610"/>
      <c r="KV14" s="610"/>
      <c r="KW14" s="610"/>
      <c r="KX14" s="610"/>
      <c r="KY14" s="610"/>
      <c r="KZ14" s="610"/>
      <c r="LA14" s="610"/>
      <c r="LB14" s="610"/>
      <c r="LC14" s="610"/>
      <c r="LD14" s="610"/>
      <c r="LE14" s="610"/>
      <c r="LF14" s="610"/>
      <c r="LG14" s="610"/>
      <c r="LH14" s="610"/>
      <c r="LI14" s="610"/>
      <c r="LJ14" s="610"/>
      <c r="LK14" s="610"/>
      <c r="LL14" s="610"/>
      <c r="LM14" s="610"/>
      <c r="LN14" s="610"/>
      <c r="LO14" s="610"/>
      <c r="LP14" s="610"/>
      <c r="LQ14" s="610"/>
      <c r="LR14" s="610"/>
      <c r="LS14" s="610"/>
      <c r="LT14" s="610"/>
      <c r="LU14" s="610"/>
      <c r="LV14" s="610"/>
      <c r="LW14" s="610"/>
      <c r="LX14" s="610"/>
      <c r="LY14" s="610"/>
      <c r="LZ14" s="610"/>
      <c r="MA14" s="610"/>
      <c r="MB14" s="610"/>
      <c r="MC14" s="610"/>
      <c r="MD14" s="610"/>
      <c r="ME14" s="610"/>
      <c r="MF14" s="610"/>
      <c r="MG14" s="610"/>
      <c r="MH14" s="610"/>
      <c r="MI14" s="610"/>
      <c r="MJ14" s="610"/>
      <c r="MK14" s="610"/>
      <c r="ML14" s="610"/>
      <c r="MM14" s="610"/>
      <c r="MN14" s="610"/>
      <c r="MO14" s="610"/>
      <c r="MP14" s="610"/>
      <c r="MQ14" s="610"/>
      <c r="MR14" s="610"/>
      <c r="MS14" s="610"/>
      <c r="MT14" s="610"/>
      <c r="MU14" s="610"/>
      <c r="MV14" s="610"/>
      <c r="MW14" s="610"/>
      <c r="MX14" s="610"/>
      <c r="MY14" s="610"/>
      <c r="MZ14" s="610"/>
      <c r="NA14" s="610"/>
      <c r="NB14" s="610"/>
      <c r="NC14" s="610"/>
      <c r="ND14" s="610"/>
      <c r="NE14" s="610"/>
      <c r="NF14" s="610"/>
      <c r="NG14" s="610"/>
      <c r="NH14" s="610"/>
      <c r="NI14" s="610"/>
      <c r="NJ14" s="610"/>
      <c r="NK14" s="610"/>
      <c r="NL14" s="610"/>
      <c r="NM14" s="610"/>
      <c r="NN14" s="610"/>
      <c r="NO14" s="610"/>
      <c r="NP14" s="610"/>
      <c r="NQ14" s="610"/>
      <c r="NR14" s="610"/>
      <c r="NS14" s="610"/>
      <c r="NT14" s="610"/>
      <c r="NU14" s="610"/>
      <c r="NV14" s="610"/>
      <c r="NW14" s="610"/>
      <c r="NX14" s="610"/>
      <c r="NY14" s="610"/>
      <c r="NZ14" s="610"/>
      <c r="OA14" s="610"/>
      <c r="OB14" s="610"/>
      <c r="OC14" s="610"/>
      <c r="OD14" s="610"/>
      <c r="OE14" s="610"/>
      <c r="OF14" s="610"/>
      <c r="OG14" s="610"/>
      <c r="OH14" s="610"/>
      <c r="OI14" s="610"/>
      <c r="OJ14" s="610"/>
      <c r="OK14" s="610"/>
      <c r="OL14" s="610"/>
      <c r="OM14" s="610"/>
      <c r="ON14" s="610"/>
      <c r="OO14" s="610"/>
      <c r="OP14" s="610"/>
      <c r="OQ14" s="610"/>
      <c r="OR14" s="610"/>
      <c r="OS14" s="610"/>
      <c r="OT14" s="610"/>
      <c r="OU14" s="610"/>
      <c r="OV14" s="610"/>
      <c r="OW14" s="610"/>
      <c r="OX14" s="610"/>
      <c r="OY14" s="610"/>
      <c r="OZ14" s="610"/>
      <c r="PA14" s="610"/>
      <c r="PB14" s="610"/>
      <c r="PC14" s="610"/>
      <c r="PD14" s="610"/>
      <c r="PE14" s="610"/>
      <c r="PF14" s="610"/>
      <c r="PG14" s="610"/>
      <c r="PH14" s="610"/>
      <c r="PI14" s="610"/>
      <c r="PJ14" s="610"/>
      <c r="PK14" s="610"/>
      <c r="PL14" s="610"/>
      <c r="PM14" s="610"/>
      <c r="PN14" s="610"/>
      <c r="PO14" s="610"/>
      <c r="PP14" s="610"/>
      <c r="PQ14" s="610"/>
      <c r="PR14" s="610"/>
      <c r="PS14" s="610"/>
      <c r="PT14" s="610"/>
      <c r="PU14" s="610"/>
      <c r="PV14" s="610"/>
      <c r="PW14" s="610"/>
      <c r="PX14" s="610"/>
      <c r="PY14" s="610"/>
      <c r="PZ14" s="610"/>
      <c r="QA14" s="610"/>
      <c r="QB14" s="610"/>
      <c r="QC14" s="610"/>
      <c r="QD14" s="610"/>
      <c r="QE14" s="610"/>
      <c r="QF14" s="610"/>
      <c r="QG14" s="610"/>
      <c r="QH14" s="610"/>
      <c r="QI14" s="610"/>
      <c r="QJ14" s="610"/>
      <c r="QK14" s="610"/>
      <c r="QL14" s="610"/>
      <c r="QM14" s="610"/>
      <c r="QN14" s="610"/>
      <c r="QO14" s="610"/>
      <c r="QP14" s="610"/>
      <c r="QQ14" s="610"/>
      <c r="QR14" s="610"/>
      <c r="QS14" s="610"/>
      <c r="QT14" s="610"/>
      <c r="QU14" s="610"/>
      <c r="QV14" s="610"/>
      <c r="QW14" s="610"/>
      <c r="QX14" s="610"/>
      <c r="QY14" s="610"/>
      <c r="QZ14" s="610"/>
      <c r="RA14" s="610"/>
      <c r="RB14" s="610"/>
      <c r="RC14" s="610"/>
      <c r="RD14" s="610"/>
      <c r="RE14" s="610"/>
      <c r="RF14" s="610"/>
      <c r="RG14" s="610"/>
      <c r="RH14" s="610"/>
    </row>
    <row r="15" spans="2:476" s="527" customFormat="1" ht="20.100000000000001" customHeight="1">
      <c r="B15" s="558"/>
      <c r="C15" s="547">
        <v>16</v>
      </c>
      <c r="D15" s="548">
        <v>0</v>
      </c>
      <c r="E15" s="548">
        <v>2</v>
      </c>
      <c r="F15" s="549">
        <f t="shared" si="0"/>
        <v>5.9166666675591797</v>
      </c>
      <c r="G15" s="550"/>
      <c r="H15" s="551"/>
      <c r="I15" s="569"/>
      <c r="J15" s="572"/>
      <c r="K15" s="551"/>
      <c r="L15" s="551"/>
      <c r="M15" s="551"/>
      <c r="N15" s="569">
        <v>0.16666666651144599</v>
      </c>
      <c r="O15" s="572">
        <v>7.9166666659293696</v>
      </c>
      <c r="P15" s="551"/>
      <c r="Q15" s="551"/>
      <c r="R15" s="551"/>
      <c r="S15" s="551"/>
      <c r="T15" s="551"/>
      <c r="U15" s="551"/>
      <c r="V15" s="551"/>
      <c r="W15" s="551"/>
      <c r="X15" s="572"/>
      <c r="Y15" s="614">
        <v>2</v>
      </c>
      <c r="Z15" s="607">
        <f t="shared" si="1"/>
        <v>0</v>
      </c>
      <c r="AA15" s="607">
        <f t="shared" si="2"/>
        <v>8.0833333324408194</v>
      </c>
      <c r="AB15" s="608">
        <f t="shared" si="3"/>
        <v>1</v>
      </c>
      <c r="AC15" s="617" t="s">
        <v>51</v>
      </c>
      <c r="AD15" s="610"/>
      <c r="AE15" s="610"/>
      <c r="AF15" s="610"/>
      <c r="AG15" s="610"/>
      <c r="AH15" s="610"/>
      <c r="AI15" s="610"/>
      <c r="AJ15" s="610"/>
      <c r="AK15" s="610"/>
      <c r="AL15" s="610"/>
      <c r="AM15" s="610"/>
      <c r="AN15" s="610"/>
      <c r="AO15" s="610"/>
      <c r="AP15" s="610"/>
      <c r="AQ15" s="610"/>
      <c r="AR15" s="610"/>
      <c r="AS15" s="610"/>
      <c r="AT15" s="610"/>
      <c r="AU15" s="610"/>
      <c r="AV15" s="610"/>
      <c r="AW15" s="610"/>
      <c r="AX15" s="610"/>
      <c r="AY15" s="610"/>
      <c r="AZ15" s="610"/>
      <c r="BA15" s="610"/>
      <c r="BB15" s="610"/>
      <c r="BC15" s="610"/>
      <c r="BD15" s="610"/>
      <c r="BE15" s="610"/>
      <c r="BF15" s="610"/>
      <c r="BG15" s="610"/>
      <c r="BH15" s="610"/>
      <c r="BI15" s="610"/>
      <c r="BJ15" s="610"/>
      <c r="BK15" s="610"/>
      <c r="BL15" s="610"/>
      <c r="BM15" s="610"/>
      <c r="BN15" s="610"/>
      <c r="BO15" s="610"/>
      <c r="BP15" s="610"/>
      <c r="BQ15" s="610"/>
      <c r="BR15" s="610"/>
      <c r="BS15" s="610"/>
      <c r="BT15" s="610"/>
      <c r="BU15" s="610"/>
      <c r="BV15" s="610"/>
      <c r="BW15" s="610"/>
      <c r="BX15" s="610"/>
      <c r="BY15" s="610"/>
      <c r="BZ15" s="610"/>
      <c r="CA15" s="610"/>
      <c r="CB15" s="610"/>
      <c r="CC15" s="610"/>
      <c r="CD15" s="610"/>
      <c r="CE15" s="610"/>
      <c r="CF15" s="610"/>
      <c r="CG15" s="610"/>
      <c r="CH15" s="610"/>
      <c r="CI15" s="610"/>
      <c r="CJ15" s="610"/>
      <c r="CK15" s="610"/>
      <c r="CL15" s="610"/>
      <c r="CM15" s="610"/>
      <c r="CN15" s="610"/>
      <c r="CO15" s="610"/>
      <c r="CP15" s="610"/>
      <c r="CQ15" s="610"/>
      <c r="CR15" s="610"/>
      <c r="CS15" s="610"/>
      <c r="CT15" s="610"/>
      <c r="CU15" s="610"/>
      <c r="CV15" s="610"/>
      <c r="CW15" s="610"/>
      <c r="CX15" s="610"/>
      <c r="CY15" s="610"/>
      <c r="CZ15" s="610"/>
      <c r="DA15" s="610"/>
      <c r="DB15" s="610"/>
      <c r="DC15" s="610"/>
      <c r="DD15" s="610"/>
      <c r="DE15" s="610"/>
      <c r="DF15" s="610"/>
      <c r="DG15" s="610"/>
      <c r="DH15" s="610"/>
      <c r="DI15" s="610"/>
      <c r="DJ15" s="610"/>
      <c r="DK15" s="610"/>
      <c r="DL15" s="610"/>
      <c r="DM15" s="610"/>
      <c r="DN15" s="610"/>
      <c r="DO15" s="610"/>
      <c r="DP15" s="610"/>
      <c r="DQ15" s="610"/>
      <c r="DR15" s="610"/>
      <c r="DS15" s="610"/>
      <c r="DT15" s="610"/>
      <c r="DU15" s="610"/>
      <c r="DV15" s="610"/>
      <c r="DW15" s="610"/>
      <c r="DX15" s="610"/>
      <c r="DY15" s="610"/>
      <c r="DZ15" s="610"/>
      <c r="EA15" s="610"/>
      <c r="EB15" s="610"/>
      <c r="EC15" s="610"/>
      <c r="ED15" s="610"/>
      <c r="EE15" s="610"/>
      <c r="EF15" s="610"/>
      <c r="EG15" s="610"/>
      <c r="EH15" s="610"/>
      <c r="EI15" s="610"/>
      <c r="EJ15" s="610"/>
      <c r="EK15" s="610"/>
      <c r="EL15" s="610"/>
      <c r="EM15" s="610"/>
      <c r="EN15" s="610"/>
      <c r="EO15" s="610"/>
      <c r="EP15" s="610"/>
      <c r="EQ15" s="610"/>
      <c r="ER15" s="610"/>
      <c r="ES15" s="610"/>
      <c r="ET15" s="610"/>
      <c r="EU15" s="610"/>
      <c r="EV15" s="610"/>
      <c r="EW15" s="610"/>
      <c r="EX15" s="610"/>
      <c r="EY15" s="610"/>
      <c r="EZ15" s="610"/>
      <c r="FA15" s="610"/>
      <c r="FB15" s="610"/>
      <c r="FC15" s="610"/>
      <c r="FD15" s="610"/>
      <c r="FE15" s="610"/>
      <c r="FF15" s="610"/>
      <c r="FG15" s="610"/>
      <c r="FH15" s="610"/>
      <c r="FI15" s="610"/>
      <c r="FJ15" s="610"/>
      <c r="FK15" s="610"/>
      <c r="FL15" s="610"/>
      <c r="FM15" s="610"/>
      <c r="FN15" s="610"/>
      <c r="FO15" s="610"/>
      <c r="FP15" s="610"/>
      <c r="FQ15" s="610"/>
      <c r="FR15" s="610"/>
      <c r="FS15" s="610"/>
      <c r="FT15" s="610"/>
      <c r="FU15" s="610"/>
      <c r="FV15" s="610"/>
      <c r="FW15" s="610"/>
      <c r="FX15" s="610"/>
      <c r="FY15" s="610"/>
      <c r="FZ15" s="610"/>
      <c r="GA15" s="610"/>
      <c r="GB15" s="610"/>
      <c r="GC15" s="610"/>
      <c r="GD15" s="610"/>
      <c r="GE15" s="610"/>
      <c r="GF15" s="610"/>
      <c r="GG15" s="610"/>
      <c r="GH15" s="610"/>
      <c r="GI15" s="610"/>
      <c r="GJ15" s="610"/>
      <c r="GK15" s="610"/>
      <c r="GL15" s="610"/>
      <c r="GM15" s="610"/>
      <c r="GN15" s="610"/>
      <c r="GO15" s="610"/>
      <c r="GP15" s="610"/>
      <c r="GQ15" s="610"/>
      <c r="GR15" s="610"/>
      <c r="GS15" s="610"/>
      <c r="GT15" s="610"/>
      <c r="GU15" s="610"/>
      <c r="GV15" s="610"/>
      <c r="GW15" s="610"/>
      <c r="GX15" s="610"/>
      <c r="GY15" s="610"/>
      <c r="GZ15" s="610"/>
      <c r="HA15" s="610"/>
      <c r="HB15" s="610"/>
      <c r="HC15" s="610"/>
      <c r="HD15" s="610"/>
      <c r="HE15" s="610"/>
      <c r="HF15" s="610"/>
      <c r="HG15" s="610"/>
      <c r="HH15" s="610"/>
      <c r="HI15" s="610"/>
      <c r="HJ15" s="610"/>
      <c r="HK15" s="610"/>
      <c r="HL15" s="610"/>
      <c r="HM15" s="610"/>
      <c r="HN15" s="610"/>
      <c r="HO15" s="610"/>
      <c r="HP15" s="610"/>
      <c r="HQ15" s="610"/>
      <c r="HR15" s="610"/>
      <c r="HS15" s="610"/>
      <c r="HT15" s="610"/>
      <c r="HU15" s="610"/>
      <c r="HV15" s="610"/>
      <c r="HW15" s="610"/>
      <c r="HX15" s="610"/>
      <c r="HY15" s="610"/>
      <c r="HZ15" s="610"/>
      <c r="IA15" s="610"/>
      <c r="IB15" s="610"/>
      <c r="IC15" s="610"/>
      <c r="ID15" s="610"/>
      <c r="IE15" s="610"/>
      <c r="IF15" s="610"/>
      <c r="IG15" s="610"/>
      <c r="IH15" s="610"/>
      <c r="II15" s="610"/>
      <c r="IJ15" s="610"/>
      <c r="IK15" s="610"/>
      <c r="IL15" s="610"/>
      <c r="IM15" s="610"/>
      <c r="IN15" s="610"/>
      <c r="IO15" s="610"/>
      <c r="IP15" s="610"/>
      <c r="IQ15" s="610"/>
      <c r="IR15" s="610"/>
      <c r="IS15" s="610"/>
      <c r="IT15" s="610"/>
      <c r="IU15" s="610"/>
      <c r="IV15" s="610"/>
      <c r="IW15" s="610"/>
      <c r="IX15" s="610"/>
      <c r="IY15" s="610"/>
      <c r="IZ15" s="610"/>
      <c r="JA15" s="610"/>
      <c r="JB15" s="610"/>
      <c r="JC15" s="610"/>
      <c r="JD15" s="610"/>
      <c r="JE15" s="610"/>
      <c r="JF15" s="610"/>
      <c r="JG15" s="610"/>
      <c r="JH15" s="610"/>
      <c r="JI15" s="610"/>
      <c r="JJ15" s="610"/>
      <c r="JK15" s="610"/>
      <c r="JL15" s="610"/>
      <c r="JM15" s="610"/>
      <c r="JN15" s="610"/>
      <c r="JO15" s="610"/>
      <c r="JP15" s="610"/>
      <c r="JQ15" s="610"/>
      <c r="JR15" s="610"/>
      <c r="JS15" s="610"/>
      <c r="JT15" s="610"/>
      <c r="JU15" s="610"/>
      <c r="JV15" s="610"/>
      <c r="JW15" s="610"/>
      <c r="JX15" s="610"/>
      <c r="JY15" s="610"/>
      <c r="JZ15" s="610"/>
      <c r="KA15" s="610"/>
      <c r="KB15" s="610"/>
      <c r="KC15" s="610"/>
      <c r="KD15" s="610"/>
      <c r="KE15" s="610"/>
      <c r="KF15" s="610"/>
      <c r="KG15" s="610"/>
      <c r="KH15" s="610"/>
      <c r="KI15" s="610"/>
      <c r="KJ15" s="610"/>
      <c r="KK15" s="610"/>
      <c r="KL15" s="610"/>
      <c r="KM15" s="610"/>
      <c r="KN15" s="610"/>
      <c r="KO15" s="610"/>
      <c r="KP15" s="610"/>
      <c r="KQ15" s="610"/>
      <c r="KR15" s="610"/>
      <c r="KS15" s="610"/>
      <c r="KT15" s="610"/>
      <c r="KU15" s="610"/>
      <c r="KV15" s="610"/>
      <c r="KW15" s="610"/>
      <c r="KX15" s="610"/>
      <c r="KY15" s="610"/>
      <c r="KZ15" s="610"/>
      <c r="LA15" s="610"/>
      <c r="LB15" s="610"/>
      <c r="LC15" s="610"/>
      <c r="LD15" s="610"/>
      <c r="LE15" s="610"/>
      <c r="LF15" s="610"/>
      <c r="LG15" s="610"/>
      <c r="LH15" s="610"/>
      <c r="LI15" s="610"/>
      <c r="LJ15" s="610"/>
      <c r="LK15" s="610"/>
      <c r="LL15" s="610"/>
      <c r="LM15" s="610"/>
      <c r="LN15" s="610"/>
      <c r="LO15" s="610"/>
      <c r="LP15" s="610"/>
      <c r="LQ15" s="610"/>
      <c r="LR15" s="610"/>
      <c r="LS15" s="610"/>
      <c r="LT15" s="610"/>
      <c r="LU15" s="610"/>
      <c r="LV15" s="610"/>
      <c r="LW15" s="610"/>
      <c r="LX15" s="610"/>
      <c r="LY15" s="610"/>
      <c r="LZ15" s="610"/>
      <c r="MA15" s="610"/>
      <c r="MB15" s="610"/>
      <c r="MC15" s="610"/>
      <c r="MD15" s="610"/>
      <c r="ME15" s="610"/>
      <c r="MF15" s="610"/>
      <c r="MG15" s="610"/>
      <c r="MH15" s="610"/>
      <c r="MI15" s="610"/>
      <c r="MJ15" s="610"/>
      <c r="MK15" s="610"/>
      <c r="ML15" s="610"/>
      <c r="MM15" s="610"/>
      <c r="MN15" s="610"/>
      <c r="MO15" s="610"/>
      <c r="MP15" s="610"/>
      <c r="MQ15" s="610"/>
      <c r="MR15" s="610"/>
      <c r="MS15" s="610"/>
      <c r="MT15" s="610"/>
      <c r="MU15" s="610"/>
      <c r="MV15" s="610"/>
      <c r="MW15" s="610"/>
      <c r="MX15" s="610"/>
      <c r="MY15" s="610"/>
      <c r="MZ15" s="610"/>
      <c r="NA15" s="610"/>
      <c r="NB15" s="610"/>
      <c r="NC15" s="610"/>
      <c r="ND15" s="610"/>
      <c r="NE15" s="610"/>
      <c r="NF15" s="610"/>
      <c r="NG15" s="610"/>
      <c r="NH15" s="610"/>
      <c r="NI15" s="610"/>
      <c r="NJ15" s="610"/>
      <c r="NK15" s="610"/>
      <c r="NL15" s="610"/>
      <c r="NM15" s="610"/>
      <c r="NN15" s="610"/>
      <c r="NO15" s="610"/>
      <c r="NP15" s="610"/>
      <c r="NQ15" s="610"/>
      <c r="NR15" s="610"/>
      <c r="NS15" s="610"/>
      <c r="NT15" s="610"/>
      <c r="NU15" s="610"/>
      <c r="NV15" s="610"/>
      <c r="NW15" s="610"/>
      <c r="NX15" s="610"/>
      <c r="NY15" s="610"/>
      <c r="NZ15" s="610"/>
      <c r="OA15" s="610"/>
      <c r="OB15" s="610"/>
      <c r="OC15" s="610"/>
      <c r="OD15" s="610"/>
      <c r="OE15" s="610"/>
      <c r="OF15" s="610"/>
      <c r="OG15" s="610"/>
      <c r="OH15" s="610"/>
      <c r="OI15" s="610"/>
      <c r="OJ15" s="610"/>
      <c r="OK15" s="610"/>
      <c r="OL15" s="610"/>
      <c r="OM15" s="610"/>
      <c r="ON15" s="610"/>
      <c r="OO15" s="610"/>
      <c r="OP15" s="610"/>
      <c r="OQ15" s="610"/>
      <c r="OR15" s="610"/>
      <c r="OS15" s="610"/>
      <c r="OT15" s="610"/>
      <c r="OU15" s="610"/>
      <c r="OV15" s="610"/>
      <c r="OW15" s="610"/>
      <c r="OX15" s="610"/>
      <c r="OY15" s="610"/>
      <c r="OZ15" s="610"/>
      <c r="PA15" s="610"/>
      <c r="PB15" s="610"/>
      <c r="PC15" s="610"/>
      <c r="PD15" s="610"/>
      <c r="PE15" s="610"/>
      <c r="PF15" s="610"/>
      <c r="PG15" s="610"/>
      <c r="PH15" s="610"/>
      <c r="PI15" s="610"/>
      <c r="PJ15" s="610"/>
      <c r="PK15" s="610"/>
      <c r="PL15" s="610"/>
      <c r="PM15" s="610"/>
      <c r="PN15" s="610"/>
      <c r="PO15" s="610"/>
      <c r="PP15" s="610"/>
      <c r="PQ15" s="610"/>
      <c r="PR15" s="610"/>
      <c r="PS15" s="610"/>
      <c r="PT15" s="610"/>
      <c r="PU15" s="610"/>
      <c r="PV15" s="610"/>
      <c r="PW15" s="610"/>
      <c r="PX15" s="610"/>
      <c r="PY15" s="610"/>
      <c r="PZ15" s="610"/>
      <c r="QA15" s="610"/>
      <c r="QB15" s="610"/>
      <c r="QC15" s="610"/>
      <c r="QD15" s="610"/>
      <c r="QE15" s="610"/>
      <c r="QF15" s="610"/>
      <c r="QG15" s="610"/>
      <c r="QH15" s="610"/>
      <c r="QI15" s="610"/>
      <c r="QJ15" s="610"/>
      <c r="QK15" s="610"/>
      <c r="QL15" s="610"/>
      <c r="QM15" s="610"/>
      <c r="QN15" s="610"/>
      <c r="QO15" s="610"/>
      <c r="QP15" s="610"/>
      <c r="QQ15" s="610"/>
      <c r="QR15" s="610"/>
      <c r="QS15" s="610"/>
      <c r="QT15" s="610"/>
      <c r="QU15" s="610"/>
      <c r="QV15" s="610"/>
      <c r="QW15" s="610"/>
      <c r="QX15" s="610"/>
      <c r="QY15" s="610"/>
      <c r="QZ15" s="610"/>
      <c r="RA15" s="610"/>
      <c r="RB15" s="610"/>
      <c r="RC15" s="610"/>
      <c r="RD15" s="610"/>
      <c r="RE15" s="610"/>
      <c r="RF15" s="610"/>
      <c r="RG15" s="610"/>
      <c r="RH15" s="610"/>
    </row>
    <row r="16" spans="2:476" ht="20.100000000000001" customHeight="1">
      <c r="B16" s="552">
        <v>45814</v>
      </c>
      <c r="C16" s="553">
        <v>16</v>
      </c>
      <c r="D16" s="554">
        <v>0</v>
      </c>
      <c r="E16" s="554">
        <v>2</v>
      </c>
      <c r="F16" s="555">
        <f t="shared" si="0"/>
        <v>8.14900147361186E-10</v>
      </c>
      <c r="G16" s="556"/>
      <c r="H16" s="557"/>
      <c r="I16" s="560"/>
      <c r="J16" s="576"/>
      <c r="K16" s="557"/>
      <c r="L16" s="557"/>
      <c r="M16" s="557"/>
      <c r="N16" s="560"/>
      <c r="O16" s="576">
        <v>13.9999999991851</v>
      </c>
      <c r="P16" s="560"/>
      <c r="Q16" s="557"/>
      <c r="R16" s="557"/>
      <c r="S16" s="557"/>
      <c r="T16" s="576"/>
      <c r="U16" s="557"/>
      <c r="V16" s="557"/>
      <c r="W16" s="557"/>
      <c r="X16" s="576"/>
      <c r="Y16" s="613">
        <v>1</v>
      </c>
      <c r="Z16" s="607">
        <f t="shared" si="1"/>
        <v>0</v>
      </c>
      <c r="AA16" s="607">
        <f t="shared" si="2"/>
        <v>13.9999999991851</v>
      </c>
      <c r="AB16" s="608">
        <f t="shared" si="3"/>
        <v>1</v>
      </c>
      <c r="AC16" s="615" t="s">
        <v>52</v>
      </c>
      <c r="AD16" s="605"/>
      <c r="AE16" s="605"/>
      <c r="AF16" s="605"/>
      <c r="AG16" s="605"/>
      <c r="AH16" s="605"/>
      <c r="AI16" s="605"/>
      <c r="AJ16" s="605"/>
      <c r="AK16" s="605"/>
      <c r="AL16" s="605"/>
      <c r="AM16" s="605"/>
      <c r="AN16" s="605"/>
      <c r="AO16" s="605"/>
      <c r="AP16" s="605"/>
      <c r="AQ16" s="605"/>
      <c r="AR16" s="605"/>
      <c r="AS16" s="605"/>
      <c r="AT16" s="605"/>
      <c r="AU16" s="605"/>
      <c r="AV16" s="605"/>
      <c r="AW16" s="605"/>
      <c r="AX16" s="605"/>
      <c r="AY16" s="605"/>
      <c r="AZ16" s="605"/>
      <c r="BA16" s="605"/>
      <c r="BB16" s="605"/>
      <c r="BC16" s="605"/>
      <c r="BD16" s="605"/>
      <c r="BE16" s="605"/>
      <c r="BF16" s="605"/>
      <c r="BG16" s="605"/>
      <c r="BH16" s="605"/>
      <c r="BI16" s="605"/>
      <c r="BJ16" s="605"/>
      <c r="BK16" s="605"/>
      <c r="BL16" s="605"/>
      <c r="BM16" s="605"/>
      <c r="BN16" s="605"/>
      <c r="BO16" s="605"/>
      <c r="BP16" s="605"/>
      <c r="BQ16" s="605"/>
      <c r="BR16" s="605"/>
      <c r="BS16" s="605"/>
      <c r="BT16" s="605"/>
      <c r="BU16" s="605"/>
      <c r="BV16" s="605"/>
      <c r="BW16" s="605"/>
      <c r="BX16" s="605"/>
      <c r="BY16" s="605"/>
      <c r="BZ16" s="605"/>
      <c r="CA16" s="605"/>
      <c r="CB16" s="605"/>
      <c r="CC16" s="605"/>
      <c r="CD16" s="605"/>
      <c r="CE16" s="605"/>
      <c r="CF16" s="605"/>
      <c r="CG16" s="605"/>
      <c r="CH16" s="605"/>
      <c r="CI16" s="605"/>
      <c r="CJ16" s="605"/>
      <c r="CK16" s="605"/>
      <c r="CL16" s="605"/>
      <c r="CM16" s="605"/>
      <c r="CN16" s="605"/>
      <c r="CO16" s="605"/>
      <c r="CP16" s="605"/>
      <c r="CQ16" s="605"/>
      <c r="CR16" s="605"/>
      <c r="CS16" s="605"/>
      <c r="CT16" s="605"/>
      <c r="CU16" s="605"/>
      <c r="CV16" s="605"/>
      <c r="CW16" s="605"/>
      <c r="CX16" s="605"/>
      <c r="CY16" s="605"/>
      <c r="CZ16" s="605"/>
      <c r="DA16" s="605"/>
      <c r="DB16" s="605"/>
      <c r="DC16" s="605"/>
      <c r="DD16" s="605"/>
      <c r="DE16" s="605"/>
      <c r="DF16" s="605"/>
      <c r="DG16" s="605"/>
      <c r="DH16" s="605"/>
      <c r="DI16" s="605"/>
      <c r="DJ16" s="605"/>
      <c r="DK16" s="605"/>
      <c r="DL16" s="605"/>
      <c r="DM16" s="605"/>
      <c r="DN16" s="605"/>
      <c r="DO16" s="605"/>
      <c r="DP16" s="605"/>
      <c r="DQ16" s="605"/>
      <c r="DR16" s="605"/>
      <c r="DS16" s="605"/>
      <c r="DT16" s="605"/>
      <c r="DU16" s="605"/>
      <c r="DV16" s="605"/>
      <c r="DW16" s="605"/>
      <c r="DX16" s="605"/>
      <c r="DY16" s="605"/>
      <c r="DZ16" s="605"/>
      <c r="EA16" s="605"/>
      <c r="EB16" s="605"/>
      <c r="EC16" s="605"/>
      <c r="ED16" s="605"/>
      <c r="EE16" s="605"/>
      <c r="EF16" s="605"/>
      <c r="EG16" s="605"/>
      <c r="EH16" s="605"/>
      <c r="EI16" s="605"/>
      <c r="EJ16" s="605"/>
      <c r="EK16" s="605"/>
      <c r="EL16" s="605"/>
      <c r="EM16" s="605"/>
      <c r="EN16" s="605"/>
      <c r="EO16" s="605"/>
      <c r="EP16" s="605"/>
      <c r="EQ16" s="605"/>
      <c r="ER16" s="605"/>
      <c r="ES16" s="605"/>
      <c r="ET16" s="605"/>
      <c r="EU16" s="605"/>
      <c r="EV16" s="605"/>
      <c r="EW16" s="605"/>
      <c r="EX16" s="605"/>
      <c r="EY16" s="605"/>
      <c r="EZ16" s="605"/>
      <c r="FA16" s="605"/>
      <c r="FB16" s="605"/>
      <c r="FC16" s="605"/>
      <c r="FD16" s="605"/>
      <c r="FE16" s="605"/>
      <c r="FF16" s="605"/>
      <c r="FG16" s="605"/>
      <c r="FH16" s="605"/>
      <c r="FI16" s="605"/>
      <c r="FJ16" s="605"/>
      <c r="FK16" s="605"/>
      <c r="FL16" s="605"/>
      <c r="FM16" s="605"/>
      <c r="FN16" s="605"/>
      <c r="FO16" s="605"/>
      <c r="FP16" s="605"/>
      <c r="FQ16" s="605"/>
      <c r="FR16" s="605"/>
      <c r="FS16" s="605"/>
      <c r="FT16" s="605"/>
      <c r="FU16" s="605"/>
      <c r="FV16" s="605"/>
      <c r="FW16" s="605"/>
      <c r="FX16" s="605"/>
      <c r="FY16" s="605"/>
      <c r="FZ16" s="605"/>
      <c r="GA16" s="605"/>
      <c r="GB16" s="605"/>
      <c r="GC16" s="605"/>
      <c r="GD16" s="605"/>
      <c r="GE16" s="605"/>
      <c r="GF16" s="605"/>
      <c r="GG16" s="605"/>
      <c r="GH16" s="605"/>
      <c r="GI16" s="605"/>
      <c r="GJ16" s="605"/>
      <c r="GK16" s="605"/>
      <c r="GL16" s="605"/>
      <c r="GM16" s="605"/>
      <c r="GN16" s="605"/>
      <c r="GO16" s="605"/>
      <c r="GP16" s="605"/>
      <c r="GQ16" s="605"/>
      <c r="GR16" s="605"/>
      <c r="GS16" s="605"/>
      <c r="GT16" s="605"/>
      <c r="GU16" s="605"/>
      <c r="GV16" s="605"/>
      <c r="GW16" s="605"/>
      <c r="GX16" s="605"/>
      <c r="GY16" s="605"/>
      <c r="GZ16" s="605"/>
      <c r="HA16" s="605"/>
      <c r="HB16" s="605"/>
      <c r="HC16" s="605"/>
      <c r="HD16" s="605"/>
      <c r="HE16" s="605"/>
      <c r="HF16" s="605"/>
      <c r="HG16" s="605"/>
      <c r="HH16" s="605"/>
      <c r="HI16" s="605"/>
      <c r="HJ16" s="605"/>
      <c r="HK16" s="605"/>
      <c r="HL16" s="605"/>
      <c r="HM16" s="605"/>
      <c r="HN16" s="605"/>
      <c r="HO16" s="605"/>
      <c r="HP16" s="605"/>
      <c r="HQ16" s="605"/>
      <c r="HR16" s="605"/>
      <c r="HS16" s="605"/>
      <c r="HT16" s="605"/>
      <c r="HU16" s="605"/>
      <c r="HV16" s="605"/>
      <c r="HW16" s="605"/>
      <c r="HX16" s="605"/>
      <c r="HY16" s="605"/>
      <c r="HZ16" s="605"/>
      <c r="IA16" s="605"/>
      <c r="IB16" s="605"/>
      <c r="IC16" s="605"/>
      <c r="ID16" s="605"/>
      <c r="IE16" s="605"/>
      <c r="IF16" s="605"/>
      <c r="IG16" s="605"/>
      <c r="IH16" s="605"/>
      <c r="II16" s="605"/>
      <c r="IJ16" s="605"/>
      <c r="IK16" s="605"/>
      <c r="IL16" s="605"/>
      <c r="IM16" s="605"/>
      <c r="IN16" s="605"/>
      <c r="IO16" s="605"/>
      <c r="IP16" s="605"/>
      <c r="IQ16" s="605"/>
      <c r="IR16" s="605"/>
      <c r="IS16" s="605"/>
      <c r="IT16" s="605"/>
      <c r="IU16" s="605"/>
      <c r="IV16" s="605"/>
      <c r="IW16" s="605"/>
      <c r="IX16" s="605"/>
      <c r="IY16" s="605"/>
      <c r="IZ16" s="605"/>
      <c r="JA16" s="605"/>
      <c r="JB16" s="605"/>
      <c r="JC16" s="605"/>
      <c r="JD16" s="605"/>
      <c r="JE16" s="605"/>
      <c r="JF16" s="605"/>
      <c r="JG16" s="605"/>
      <c r="JH16" s="605"/>
      <c r="JI16" s="605"/>
      <c r="JJ16" s="605"/>
      <c r="JK16" s="605"/>
      <c r="JL16" s="605"/>
      <c r="JM16" s="605"/>
      <c r="JN16" s="605"/>
      <c r="JO16" s="605"/>
      <c r="JP16" s="605"/>
      <c r="JQ16" s="605"/>
      <c r="JR16" s="605"/>
      <c r="JS16" s="605"/>
      <c r="JT16" s="605"/>
      <c r="JU16" s="605"/>
      <c r="JV16" s="605"/>
      <c r="JW16" s="605"/>
      <c r="JX16" s="605"/>
      <c r="JY16" s="605"/>
      <c r="JZ16" s="605"/>
      <c r="KA16" s="605"/>
      <c r="KB16" s="605"/>
      <c r="KC16" s="605"/>
      <c r="KD16" s="605"/>
      <c r="KE16" s="605"/>
      <c r="KF16" s="605"/>
      <c r="KG16" s="605"/>
      <c r="KH16" s="605"/>
      <c r="KI16" s="605"/>
      <c r="KJ16" s="605"/>
      <c r="KK16" s="605"/>
      <c r="KL16" s="605"/>
      <c r="KM16" s="605"/>
      <c r="KN16" s="605"/>
      <c r="KO16" s="605"/>
      <c r="KP16" s="605"/>
      <c r="KQ16" s="605"/>
      <c r="KR16" s="605"/>
      <c r="KS16" s="605"/>
      <c r="KT16" s="605"/>
      <c r="KU16" s="605"/>
      <c r="KV16" s="605"/>
      <c r="KW16" s="605"/>
      <c r="KX16" s="605"/>
      <c r="KY16" s="605"/>
      <c r="KZ16" s="605"/>
      <c r="LA16" s="605"/>
      <c r="LB16" s="605"/>
      <c r="LC16" s="605"/>
      <c r="LD16" s="605"/>
      <c r="LE16" s="605"/>
      <c r="LF16" s="605"/>
      <c r="LG16" s="605"/>
      <c r="LH16" s="605"/>
      <c r="LI16" s="605"/>
      <c r="LJ16" s="605"/>
      <c r="LK16" s="605"/>
      <c r="LL16" s="605"/>
      <c r="LM16" s="605"/>
      <c r="LN16" s="605"/>
      <c r="LO16" s="605"/>
      <c r="LP16" s="605"/>
      <c r="LQ16" s="605"/>
      <c r="LR16" s="605"/>
      <c r="LS16" s="605"/>
      <c r="LT16" s="605"/>
      <c r="LU16" s="605"/>
      <c r="LV16" s="605"/>
      <c r="LW16" s="605"/>
      <c r="LX16" s="605"/>
      <c r="LY16" s="605"/>
      <c r="LZ16" s="605"/>
      <c r="MA16" s="605"/>
      <c r="MB16" s="605"/>
      <c r="MC16" s="605"/>
      <c r="MD16" s="605"/>
      <c r="ME16" s="605"/>
      <c r="MF16" s="605"/>
      <c r="MG16" s="605"/>
      <c r="MH16" s="605"/>
      <c r="MI16" s="605"/>
      <c r="MJ16" s="605"/>
      <c r="MK16" s="605"/>
      <c r="ML16" s="605"/>
      <c r="MM16" s="605"/>
      <c r="MN16" s="605"/>
      <c r="MO16" s="605"/>
      <c r="MP16" s="605"/>
      <c r="MQ16" s="605"/>
      <c r="MR16" s="605"/>
      <c r="MS16" s="605"/>
      <c r="MT16" s="605"/>
      <c r="MU16" s="605"/>
      <c r="MV16" s="605"/>
      <c r="MW16" s="605"/>
      <c r="MX16" s="605"/>
      <c r="MY16" s="605"/>
      <c r="MZ16" s="605"/>
      <c r="NA16" s="605"/>
      <c r="NB16" s="605"/>
      <c r="NC16" s="605"/>
      <c r="ND16" s="605"/>
      <c r="NE16" s="605"/>
      <c r="NF16" s="605"/>
      <c r="NG16" s="605"/>
      <c r="NH16" s="605"/>
      <c r="NI16" s="605"/>
      <c r="NJ16" s="605"/>
      <c r="NK16" s="605"/>
      <c r="NL16" s="605"/>
      <c r="NM16" s="605"/>
      <c r="NN16" s="605"/>
      <c r="NO16" s="605"/>
      <c r="NP16" s="605"/>
      <c r="NQ16" s="605"/>
      <c r="NR16" s="605"/>
      <c r="NS16" s="605"/>
      <c r="NT16" s="605"/>
      <c r="NU16" s="605"/>
      <c r="NV16" s="605"/>
      <c r="NW16" s="605"/>
      <c r="NX16" s="605"/>
      <c r="NY16" s="605"/>
      <c r="NZ16" s="605"/>
      <c r="OA16" s="605"/>
      <c r="OB16" s="605"/>
      <c r="OC16" s="605"/>
      <c r="OD16" s="605"/>
      <c r="OE16" s="605"/>
      <c r="OF16" s="605"/>
      <c r="OG16" s="605"/>
      <c r="OH16" s="605"/>
      <c r="OI16" s="605"/>
      <c r="OJ16" s="605"/>
      <c r="OK16" s="605"/>
      <c r="OL16" s="605"/>
      <c r="OM16" s="605"/>
      <c r="ON16" s="605"/>
      <c r="OO16" s="605"/>
      <c r="OP16" s="605"/>
      <c r="OQ16" s="605"/>
      <c r="OR16" s="605"/>
      <c r="OS16" s="605"/>
      <c r="OT16" s="605"/>
      <c r="OU16" s="605"/>
      <c r="OV16" s="605"/>
      <c r="OW16" s="605"/>
      <c r="OX16" s="605"/>
      <c r="OY16" s="605"/>
      <c r="OZ16" s="605"/>
      <c r="PA16" s="605"/>
      <c r="PB16" s="605"/>
      <c r="PC16" s="605"/>
      <c r="PD16" s="605"/>
      <c r="PE16" s="605"/>
      <c r="PF16" s="605"/>
      <c r="PG16" s="605"/>
      <c r="PH16" s="605"/>
      <c r="PI16" s="605"/>
      <c r="PJ16" s="605"/>
      <c r="PK16" s="605"/>
      <c r="PL16" s="605"/>
      <c r="PM16" s="605"/>
      <c r="PN16" s="605"/>
      <c r="PO16" s="605"/>
      <c r="PP16" s="605"/>
      <c r="PQ16" s="605"/>
      <c r="PR16" s="605"/>
      <c r="PS16" s="605"/>
      <c r="PT16" s="605"/>
      <c r="PU16" s="605"/>
      <c r="PV16" s="605"/>
      <c r="PW16" s="605"/>
      <c r="PX16" s="605"/>
      <c r="PY16" s="605"/>
      <c r="PZ16" s="605"/>
      <c r="QA16" s="605"/>
      <c r="QB16" s="605"/>
      <c r="QC16" s="605"/>
      <c r="QD16" s="605"/>
      <c r="QE16" s="605"/>
      <c r="QF16" s="605"/>
      <c r="QG16" s="605"/>
      <c r="QH16" s="605"/>
      <c r="QI16" s="605"/>
      <c r="QJ16" s="605"/>
      <c r="QK16" s="605"/>
      <c r="QL16" s="605"/>
      <c r="QM16" s="605"/>
      <c r="QN16" s="605"/>
      <c r="QO16" s="605"/>
      <c r="QP16" s="605"/>
      <c r="QQ16" s="605"/>
      <c r="QR16" s="605"/>
      <c r="QS16" s="605"/>
      <c r="QT16" s="605"/>
      <c r="QU16" s="605"/>
      <c r="QV16" s="605"/>
      <c r="QW16" s="605"/>
      <c r="QX16" s="605"/>
      <c r="QY16" s="605"/>
      <c r="QZ16" s="605"/>
      <c r="RA16" s="605"/>
      <c r="RB16" s="605"/>
      <c r="RC16" s="605"/>
      <c r="RD16" s="605"/>
      <c r="RE16" s="605"/>
      <c r="RF16" s="605"/>
      <c r="RG16" s="605"/>
      <c r="RH16" s="605"/>
    </row>
    <row r="17" spans="2:476" ht="19.5" customHeight="1">
      <c r="B17" s="552"/>
      <c r="C17" s="553">
        <v>16</v>
      </c>
      <c r="D17" s="554">
        <v>0</v>
      </c>
      <c r="E17" s="554">
        <v>2</v>
      </c>
      <c r="F17" s="555">
        <f t="shared" si="0"/>
        <v>8.14900147361186E-10</v>
      </c>
      <c r="G17" s="556"/>
      <c r="H17" s="557"/>
      <c r="I17" s="560"/>
      <c r="J17" s="560"/>
      <c r="K17" s="557"/>
      <c r="L17" s="557"/>
      <c r="M17" s="557"/>
      <c r="N17" s="560"/>
      <c r="O17" s="560">
        <v>13.9999999991851</v>
      </c>
      <c r="P17" s="560"/>
      <c r="Q17" s="557"/>
      <c r="R17" s="557"/>
      <c r="S17" s="557"/>
      <c r="T17" s="557"/>
      <c r="U17" s="557"/>
      <c r="V17" s="557"/>
      <c r="W17" s="557"/>
      <c r="X17" s="576"/>
      <c r="Y17" s="613">
        <v>2</v>
      </c>
      <c r="Z17" s="607">
        <f t="shared" si="1"/>
        <v>0</v>
      </c>
      <c r="AA17" s="607">
        <f t="shared" si="2"/>
        <v>13.9999999991851</v>
      </c>
      <c r="AB17" s="608">
        <f t="shared" si="3"/>
        <v>1</v>
      </c>
      <c r="AC17" s="615" t="s">
        <v>52</v>
      </c>
      <c r="AD17" s="605"/>
      <c r="AE17" s="605"/>
      <c r="AF17" s="605"/>
      <c r="AG17" s="605"/>
      <c r="AH17" s="605"/>
      <c r="AI17" s="605"/>
      <c r="AJ17" s="605"/>
      <c r="AK17" s="605"/>
      <c r="AL17" s="605"/>
      <c r="AM17" s="605"/>
      <c r="AN17" s="605"/>
      <c r="AO17" s="605"/>
      <c r="AP17" s="605"/>
      <c r="AQ17" s="605"/>
      <c r="AR17" s="605"/>
      <c r="AS17" s="605"/>
      <c r="AT17" s="605"/>
      <c r="AU17" s="605"/>
      <c r="AV17" s="605"/>
      <c r="AW17" s="605"/>
      <c r="AX17" s="605"/>
      <c r="AY17" s="605"/>
      <c r="AZ17" s="605"/>
      <c r="BA17" s="605"/>
      <c r="BB17" s="605"/>
      <c r="BC17" s="605"/>
      <c r="BD17" s="605"/>
      <c r="BE17" s="605"/>
      <c r="BF17" s="605"/>
      <c r="BG17" s="605"/>
      <c r="BH17" s="605"/>
      <c r="BI17" s="605"/>
      <c r="BJ17" s="605"/>
      <c r="BK17" s="605"/>
      <c r="BL17" s="605"/>
      <c r="BM17" s="605"/>
      <c r="BN17" s="605"/>
      <c r="BO17" s="605"/>
      <c r="BP17" s="605"/>
      <c r="BQ17" s="605"/>
      <c r="BR17" s="605"/>
      <c r="BS17" s="605"/>
      <c r="BT17" s="605"/>
      <c r="BU17" s="605"/>
      <c r="BV17" s="605"/>
      <c r="BW17" s="605"/>
      <c r="BX17" s="605"/>
      <c r="BY17" s="605"/>
      <c r="BZ17" s="605"/>
      <c r="CA17" s="605"/>
      <c r="CB17" s="605"/>
      <c r="CC17" s="605"/>
      <c r="CD17" s="605"/>
      <c r="CE17" s="605"/>
      <c r="CF17" s="605"/>
      <c r="CG17" s="605"/>
      <c r="CH17" s="605"/>
      <c r="CI17" s="605"/>
      <c r="CJ17" s="605"/>
      <c r="CK17" s="605"/>
      <c r="CL17" s="605"/>
      <c r="CM17" s="605"/>
      <c r="CN17" s="605"/>
      <c r="CO17" s="605"/>
      <c r="CP17" s="605"/>
      <c r="CQ17" s="605"/>
      <c r="CR17" s="605"/>
      <c r="CS17" s="605"/>
      <c r="CT17" s="605"/>
      <c r="CU17" s="605"/>
      <c r="CV17" s="605"/>
      <c r="CW17" s="605"/>
      <c r="CX17" s="605"/>
      <c r="CY17" s="605"/>
      <c r="CZ17" s="605"/>
      <c r="DA17" s="605"/>
      <c r="DB17" s="605"/>
      <c r="DC17" s="605"/>
      <c r="DD17" s="605"/>
      <c r="DE17" s="605"/>
      <c r="DF17" s="605"/>
      <c r="DG17" s="605"/>
      <c r="DH17" s="605"/>
      <c r="DI17" s="605"/>
      <c r="DJ17" s="605"/>
      <c r="DK17" s="605"/>
      <c r="DL17" s="605"/>
      <c r="DM17" s="605"/>
      <c r="DN17" s="605"/>
      <c r="DO17" s="605"/>
      <c r="DP17" s="605"/>
      <c r="DQ17" s="605"/>
      <c r="DR17" s="605"/>
      <c r="DS17" s="605"/>
      <c r="DT17" s="605"/>
      <c r="DU17" s="605"/>
      <c r="DV17" s="605"/>
      <c r="DW17" s="605"/>
      <c r="DX17" s="605"/>
      <c r="DY17" s="605"/>
      <c r="DZ17" s="605"/>
      <c r="EA17" s="605"/>
      <c r="EB17" s="605"/>
      <c r="EC17" s="605"/>
      <c r="ED17" s="605"/>
      <c r="EE17" s="605"/>
      <c r="EF17" s="605"/>
      <c r="EG17" s="605"/>
      <c r="EH17" s="605"/>
      <c r="EI17" s="605"/>
      <c r="EJ17" s="605"/>
      <c r="EK17" s="605"/>
      <c r="EL17" s="605"/>
      <c r="EM17" s="605"/>
      <c r="EN17" s="605"/>
      <c r="EO17" s="605"/>
      <c r="EP17" s="605"/>
      <c r="EQ17" s="605"/>
      <c r="ER17" s="605"/>
      <c r="ES17" s="605"/>
      <c r="ET17" s="605"/>
      <c r="EU17" s="605"/>
      <c r="EV17" s="605"/>
      <c r="EW17" s="605"/>
      <c r="EX17" s="605"/>
      <c r="EY17" s="605"/>
      <c r="EZ17" s="605"/>
      <c r="FA17" s="605"/>
      <c r="FB17" s="605"/>
      <c r="FC17" s="605"/>
      <c r="FD17" s="605"/>
      <c r="FE17" s="605"/>
      <c r="FF17" s="605"/>
      <c r="FG17" s="605"/>
      <c r="FH17" s="605"/>
      <c r="FI17" s="605"/>
      <c r="FJ17" s="605"/>
      <c r="FK17" s="605"/>
      <c r="FL17" s="605"/>
      <c r="FM17" s="605"/>
      <c r="FN17" s="605"/>
      <c r="FO17" s="605"/>
      <c r="FP17" s="605"/>
      <c r="FQ17" s="605"/>
      <c r="FR17" s="605"/>
      <c r="FS17" s="605"/>
      <c r="FT17" s="605"/>
      <c r="FU17" s="605"/>
      <c r="FV17" s="605"/>
      <c r="FW17" s="605"/>
      <c r="FX17" s="605"/>
      <c r="FY17" s="605"/>
      <c r="FZ17" s="605"/>
      <c r="GA17" s="605"/>
      <c r="GB17" s="605"/>
      <c r="GC17" s="605"/>
      <c r="GD17" s="605"/>
      <c r="GE17" s="605"/>
      <c r="GF17" s="605"/>
      <c r="GG17" s="605"/>
      <c r="GH17" s="605"/>
      <c r="GI17" s="605"/>
      <c r="GJ17" s="605"/>
      <c r="GK17" s="605"/>
      <c r="GL17" s="605"/>
      <c r="GM17" s="605"/>
      <c r="GN17" s="605"/>
      <c r="GO17" s="605"/>
      <c r="GP17" s="605"/>
      <c r="GQ17" s="605"/>
      <c r="GR17" s="605"/>
      <c r="GS17" s="605"/>
      <c r="GT17" s="605"/>
      <c r="GU17" s="605"/>
      <c r="GV17" s="605"/>
      <c r="GW17" s="605"/>
      <c r="GX17" s="605"/>
      <c r="GY17" s="605"/>
      <c r="GZ17" s="605"/>
      <c r="HA17" s="605"/>
      <c r="HB17" s="605"/>
      <c r="HC17" s="605"/>
      <c r="HD17" s="605"/>
      <c r="HE17" s="605"/>
      <c r="HF17" s="605"/>
      <c r="HG17" s="605"/>
      <c r="HH17" s="605"/>
      <c r="HI17" s="605"/>
      <c r="HJ17" s="605"/>
      <c r="HK17" s="605"/>
      <c r="HL17" s="605"/>
      <c r="HM17" s="605"/>
      <c r="HN17" s="605"/>
      <c r="HO17" s="605"/>
      <c r="HP17" s="605"/>
      <c r="HQ17" s="605"/>
      <c r="HR17" s="605"/>
      <c r="HS17" s="605"/>
      <c r="HT17" s="605"/>
      <c r="HU17" s="605"/>
      <c r="HV17" s="605"/>
      <c r="HW17" s="605"/>
      <c r="HX17" s="605"/>
      <c r="HY17" s="605"/>
      <c r="HZ17" s="605"/>
      <c r="IA17" s="605"/>
      <c r="IB17" s="605"/>
      <c r="IC17" s="605"/>
      <c r="ID17" s="605"/>
      <c r="IE17" s="605"/>
      <c r="IF17" s="605"/>
      <c r="IG17" s="605"/>
      <c r="IH17" s="605"/>
      <c r="II17" s="605"/>
      <c r="IJ17" s="605"/>
      <c r="IK17" s="605"/>
      <c r="IL17" s="605"/>
      <c r="IM17" s="605"/>
      <c r="IN17" s="605"/>
      <c r="IO17" s="605"/>
      <c r="IP17" s="605"/>
      <c r="IQ17" s="605"/>
      <c r="IR17" s="605"/>
      <c r="IS17" s="605"/>
      <c r="IT17" s="605"/>
      <c r="IU17" s="605"/>
      <c r="IV17" s="605"/>
      <c r="IW17" s="605"/>
      <c r="IX17" s="605"/>
      <c r="IY17" s="605"/>
      <c r="IZ17" s="605"/>
      <c r="JA17" s="605"/>
      <c r="JB17" s="605"/>
      <c r="JC17" s="605"/>
      <c r="JD17" s="605"/>
      <c r="JE17" s="605"/>
      <c r="JF17" s="605"/>
      <c r="JG17" s="605"/>
      <c r="JH17" s="605"/>
      <c r="JI17" s="605"/>
      <c r="JJ17" s="605"/>
      <c r="JK17" s="605"/>
      <c r="JL17" s="605"/>
      <c r="JM17" s="605"/>
      <c r="JN17" s="605"/>
      <c r="JO17" s="605"/>
      <c r="JP17" s="605"/>
      <c r="JQ17" s="605"/>
      <c r="JR17" s="605"/>
      <c r="JS17" s="605"/>
      <c r="JT17" s="605"/>
      <c r="JU17" s="605"/>
      <c r="JV17" s="605"/>
      <c r="JW17" s="605"/>
      <c r="JX17" s="605"/>
      <c r="JY17" s="605"/>
      <c r="JZ17" s="605"/>
      <c r="KA17" s="605"/>
      <c r="KB17" s="605"/>
      <c r="KC17" s="605"/>
      <c r="KD17" s="605"/>
      <c r="KE17" s="605"/>
      <c r="KF17" s="605"/>
      <c r="KG17" s="605"/>
      <c r="KH17" s="605"/>
      <c r="KI17" s="605"/>
      <c r="KJ17" s="605"/>
      <c r="KK17" s="605"/>
      <c r="KL17" s="605"/>
      <c r="KM17" s="605"/>
      <c r="KN17" s="605"/>
      <c r="KO17" s="605"/>
      <c r="KP17" s="605"/>
      <c r="KQ17" s="605"/>
      <c r="KR17" s="605"/>
      <c r="KS17" s="605"/>
      <c r="KT17" s="605"/>
      <c r="KU17" s="605"/>
      <c r="KV17" s="605"/>
      <c r="KW17" s="605"/>
      <c r="KX17" s="605"/>
      <c r="KY17" s="605"/>
      <c r="KZ17" s="605"/>
      <c r="LA17" s="605"/>
      <c r="LB17" s="605"/>
      <c r="LC17" s="605"/>
      <c r="LD17" s="605"/>
      <c r="LE17" s="605"/>
      <c r="LF17" s="605"/>
      <c r="LG17" s="605"/>
      <c r="LH17" s="605"/>
      <c r="LI17" s="605"/>
      <c r="LJ17" s="605"/>
      <c r="LK17" s="605"/>
      <c r="LL17" s="605"/>
      <c r="LM17" s="605"/>
      <c r="LN17" s="605"/>
      <c r="LO17" s="605"/>
      <c r="LP17" s="605"/>
      <c r="LQ17" s="605"/>
      <c r="LR17" s="605"/>
      <c r="LS17" s="605"/>
      <c r="LT17" s="605"/>
      <c r="LU17" s="605"/>
      <c r="LV17" s="605"/>
      <c r="LW17" s="605"/>
      <c r="LX17" s="605"/>
      <c r="LY17" s="605"/>
      <c r="LZ17" s="605"/>
      <c r="MA17" s="605"/>
      <c r="MB17" s="605"/>
      <c r="MC17" s="605"/>
      <c r="MD17" s="605"/>
      <c r="ME17" s="605"/>
      <c r="MF17" s="605"/>
      <c r="MG17" s="605"/>
      <c r="MH17" s="605"/>
      <c r="MI17" s="605"/>
      <c r="MJ17" s="605"/>
      <c r="MK17" s="605"/>
      <c r="ML17" s="605"/>
      <c r="MM17" s="605"/>
      <c r="MN17" s="605"/>
      <c r="MO17" s="605"/>
      <c r="MP17" s="605"/>
      <c r="MQ17" s="605"/>
      <c r="MR17" s="605"/>
      <c r="MS17" s="605"/>
      <c r="MT17" s="605"/>
      <c r="MU17" s="605"/>
      <c r="MV17" s="605"/>
      <c r="MW17" s="605"/>
      <c r="MX17" s="605"/>
      <c r="MY17" s="605"/>
      <c r="MZ17" s="605"/>
      <c r="NA17" s="605"/>
      <c r="NB17" s="605"/>
      <c r="NC17" s="605"/>
      <c r="ND17" s="605"/>
      <c r="NE17" s="605"/>
      <c r="NF17" s="605"/>
      <c r="NG17" s="605"/>
      <c r="NH17" s="605"/>
      <c r="NI17" s="605"/>
      <c r="NJ17" s="605"/>
      <c r="NK17" s="605"/>
      <c r="NL17" s="605"/>
      <c r="NM17" s="605"/>
      <c r="NN17" s="605"/>
      <c r="NO17" s="605"/>
      <c r="NP17" s="605"/>
      <c r="NQ17" s="605"/>
      <c r="NR17" s="605"/>
      <c r="NS17" s="605"/>
      <c r="NT17" s="605"/>
      <c r="NU17" s="605"/>
      <c r="NV17" s="605"/>
      <c r="NW17" s="605"/>
      <c r="NX17" s="605"/>
      <c r="NY17" s="605"/>
      <c r="NZ17" s="605"/>
      <c r="OA17" s="605"/>
      <c r="OB17" s="605"/>
      <c r="OC17" s="605"/>
      <c r="OD17" s="605"/>
      <c r="OE17" s="605"/>
      <c r="OF17" s="605"/>
      <c r="OG17" s="605"/>
      <c r="OH17" s="605"/>
      <c r="OI17" s="605"/>
      <c r="OJ17" s="605"/>
      <c r="OK17" s="605"/>
      <c r="OL17" s="605"/>
      <c r="OM17" s="605"/>
      <c r="ON17" s="605"/>
      <c r="OO17" s="605"/>
      <c r="OP17" s="605"/>
      <c r="OQ17" s="605"/>
      <c r="OR17" s="605"/>
      <c r="OS17" s="605"/>
      <c r="OT17" s="605"/>
      <c r="OU17" s="605"/>
      <c r="OV17" s="605"/>
      <c r="OW17" s="605"/>
      <c r="OX17" s="605"/>
      <c r="OY17" s="605"/>
      <c r="OZ17" s="605"/>
      <c r="PA17" s="605"/>
      <c r="PB17" s="605"/>
      <c r="PC17" s="605"/>
      <c r="PD17" s="605"/>
      <c r="PE17" s="605"/>
      <c r="PF17" s="605"/>
      <c r="PG17" s="605"/>
      <c r="PH17" s="605"/>
      <c r="PI17" s="605"/>
      <c r="PJ17" s="605"/>
      <c r="PK17" s="605"/>
      <c r="PL17" s="605"/>
      <c r="PM17" s="605"/>
      <c r="PN17" s="605"/>
      <c r="PO17" s="605"/>
      <c r="PP17" s="605"/>
      <c r="PQ17" s="605"/>
      <c r="PR17" s="605"/>
      <c r="PS17" s="605"/>
      <c r="PT17" s="605"/>
      <c r="PU17" s="605"/>
      <c r="PV17" s="605"/>
      <c r="PW17" s="605"/>
      <c r="PX17" s="605"/>
      <c r="PY17" s="605"/>
      <c r="PZ17" s="605"/>
      <c r="QA17" s="605"/>
      <c r="QB17" s="605"/>
      <c r="QC17" s="605"/>
      <c r="QD17" s="605"/>
      <c r="QE17" s="605"/>
      <c r="QF17" s="605"/>
      <c r="QG17" s="605"/>
      <c r="QH17" s="605"/>
      <c r="QI17" s="605"/>
      <c r="QJ17" s="605"/>
      <c r="QK17" s="605"/>
      <c r="QL17" s="605"/>
      <c r="QM17" s="605"/>
      <c r="QN17" s="605"/>
      <c r="QO17" s="605"/>
      <c r="QP17" s="605"/>
      <c r="QQ17" s="605"/>
      <c r="QR17" s="605"/>
      <c r="QS17" s="605"/>
      <c r="QT17" s="605"/>
      <c r="QU17" s="605"/>
      <c r="QV17" s="605"/>
      <c r="QW17" s="605"/>
      <c r="QX17" s="605"/>
      <c r="QY17" s="605"/>
      <c r="QZ17" s="605"/>
      <c r="RA17" s="605"/>
      <c r="RB17" s="605"/>
      <c r="RC17" s="605"/>
      <c r="RD17" s="605"/>
      <c r="RE17" s="605"/>
      <c r="RF17" s="605"/>
      <c r="RG17" s="605"/>
      <c r="RH17" s="605"/>
    </row>
    <row r="18" spans="2:476" ht="20.25" customHeight="1">
      <c r="B18" s="561">
        <v>45815</v>
      </c>
      <c r="C18" s="562">
        <v>16</v>
      </c>
      <c r="D18" s="563">
        <v>0</v>
      </c>
      <c r="E18" s="563">
        <v>2</v>
      </c>
      <c r="F18" s="564">
        <f t="shared" si="0"/>
        <v>12.1666666671517</v>
      </c>
      <c r="G18" s="565"/>
      <c r="H18" s="566"/>
      <c r="I18" s="566"/>
      <c r="J18" s="588"/>
      <c r="K18" s="566"/>
      <c r="L18" s="589"/>
      <c r="M18" s="589"/>
      <c r="N18" s="589">
        <v>0.33333333197515502</v>
      </c>
      <c r="O18" s="589">
        <v>1.50000000087311</v>
      </c>
      <c r="P18" s="566"/>
      <c r="Q18" s="566"/>
      <c r="R18" s="566"/>
      <c r="S18" s="566"/>
      <c r="T18" s="589"/>
      <c r="U18" s="566"/>
      <c r="V18" s="566"/>
      <c r="W18" s="566"/>
      <c r="X18" s="589"/>
      <c r="Y18" s="618">
        <v>1</v>
      </c>
      <c r="Z18" s="607">
        <f t="shared" si="1"/>
        <v>0</v>
      </c>
      <c r="AA18" s="607">
        <f t="shared" si="2"/>
        <v>1.8333333328482699</v>
      </c>
      <c r="AB18" s="608">
        <f t="shared" si="3"/>
        <v>1</v>
      </c>
      <c r="AC18" s="617"/>
      <c r="AD18" s="605"/>
      <c r="AE18" s="605"/>
      <c r="AF18" s="605"/>
      <c r="AG18" s="605"/>
      <c r="AH18" s="605"/>
      <c r="AI18" s="605"/>
      <c r="AJ18" s="605"/>
      <c r="AK18" s="605"/>
      <c r="AL18" s="605"/>
      <c r="AM18" s="605"/>
      <c r="AN18" s="605"/>
      <c r="AO18" s="605"/>
      <c r="AP18" s="605"/>
      <c r="AQ18" s="605"/>
      <c r="AR18" s="605"/>
      <c r="AS18" s="605"/>
      <c r="AT18" s="605"/>
      <c r="AU18" s="605"/>
      <c r="AV18" s="605"/>
      <c r="AW18" s="605"/>
      <c r="AX18" s="605"/>
      <c r="AY18" s="605"/>
      <c r="AZ18" s="605"/>
      <c r="BA18" s="605"/>
      <c r="BB18" s="605"/>
      <c r="BC18" s="605"/>
      <c r="BD18" s="605"/>
      <c r="BE18" s="605"/>
      <c r="BF18" s="605"/>
      <c r="BG18" s="605"/>
      <c r="BH18" s="605"/>
      <c r="BI18" s="605"/>
      <c r="BJ18" s="605"/>
      <c r="BK18" s="605"/>
      <c r="BL18" s="605"/>
      <c r="BM18" s="605"/>
      <c r="BN18" s="605"/>
      <c r="BO18" s="605"/>
      <c r="BP18" s="605"/>
      <c r="BQ18" s="605"/>
      <c r="BR18" s="605"/>
      <c r="BS18" s="605"/>
      <c r="BT18" s="605"/>
      <c r="BU18" s="605"/>
      <c r="BV18" s="605"/>
      <c r="BW18" s="605"/>
      <c r="BX18" s="605"/>
      <c r="BY18" s="605"/>
      <c r="BZ18" s="605"/>
      <c r="CA18" s="605"/>
      <c r="CB18" s="605"/>
      <c r="CC18" s="605"/>
      <c r="CD18" s="605"/>
      <c r="CE18" s="605"/>
      <c r="CF18" s="605"/>
      <c r="CG18" s="605"/>
      <c r="CH18" s="605"/>
      <c r="CI18" s="605"/>
      <c r="CJ18" s="605"/>
      <c r="CK18" s="605"/>
      <c r="CL18" s="605"/>
      <c r="CM18" s="605"/>
      <c r="CN18" s="605"/>
      <c r="CO18" s="605"/>
      <c r="CP18" s="605"/>
      <c r="CQ18" s="605"/>
      <c r="CR18" s="605"/>
      <c r="CS18" s="605"/>
      <c r="CT18" s="605"/>
      <c r="CU18" s="605"/>
      <c r="CV18" s="605"/>
      <c r="CW18" s="605"/>
      <c r="CX18" s="605"/>
      <c r="CY18" s="605"/>
      <c r="CZ18" s="605"/>
      <c r="DA18" s="605"/>
      <c r="DB18" s="605"/>
      <c r="DC18" s="605"/>
      <c r="DD18" s="605"/>
      <c r="DE18" s="605"/>
      <c r="DF18" s="605"/>
      <c r="DG18" s="605"/>
      <c r="DH18" s="605"/>
      <c r="DI18" s="605"/>
      <c r="DJ18" s="605"/>
      <c r="DK18" s="605"/>
      <c r="DL18" s="605"/>
      <c r="DM18" s="605"/>
      <c r="DN18" s="605"/>
      <c r="DO18" s="605"/>
      <c r="DP18" s="605"/>
      <c r="DQ18" s="605"/>
      <c r="DR18" s="605"/>
      <c r="DS18" s="605"/>
      <c r="DT18" s="605"/>
      <c r="DU18" s="605"/>
      <c r="DV18" s="605"/>
      <c r="DW18" s="605"/>
      <c r="DX18" s="605"/>
      <c r="DY18" s="605"/>
      <c r="DZ18" s="605"/>
      <c r="EA18" s="605"/>
      <c r="EB18" s="605"/>
      <c r="EC18" s="605"/>
      <c r="ED18" s="605"/>
      <c r="EE18" s="605"/>
      <c r="EF18" s="605"/>
      <c r="EG18" s="605"/>
      <c r="EH18" s="605"/>
      <c r="EI18" s="605"/>
      <c r="EJ18" s="605"/>
      <c r="EK18" s="605"/>
      <c r="EL18" s="605"/>
      <c r="EM18" s="605"/>
      <c r="EN18" s="605"/>
      <c r="EO18" s="605"/>
      <c r="EP18" s="605"/>
      <c r="EQ18" s="605"/>
      <c r="ER18" s="605"/>
      <c r="ES18" s="605"/>
      <c r="ET18" s="605"/>
      <c r="EU18" s="605"/>
      <c r="EV18" s="605"/>
      <c r="EW18" s="605"/>
      <c r="EX18" s="605"/>
      <c r="EY18" s="605"/>
      <c r="EZ18" s="605"/>
      <c r="FA18" s="605"/>
      <c r="FB18" s="605"/>
      <c r="FC18" s="605"/>
      <c r="FD18" s="605"/>
      <c r="FE18" s="605"/>
      <c r="FF18" s="605"/>
      <c r="FG18" s="605"/>
      <c r="FH18" s="605"/>
      <c r="FI18" s="605"/>
      <c r="FJ18" s="605"/>
      <c r="FK18" s="605"/>
      <c r="FL18" s="605"/>
      <c r="FM18" s="605"/>
      <c r="FN18" s="605"/>
      <c r="FO18" s="605"/>
      <c r="FP18" s="605"/>
      <c r="FQ18" s="605"/>
      <c r="FR18" s="605"/>
      <c r="FS18" s="605"/>
      <c r="FT18" s="605"/>
      <c r="FU18" s="605"/>
      <c r="FV18" s="605"/>
      <c r="FW18" s="605"/>
      <c r="FX18" s="605"/>
      <c r="FY18" s="605"/>
      <c r="FZ18" s="605"/>
      <c r="GA18" s="605"/>
      <c r="GB18" s="605"/>
      <c r="GC18" s="605"/>
      <c r="GD18" s="605"/>
      <c r="GE18" s="605"/>
      <c r="GF18" s="605"/>
      <c r="GG18" s="605"/>
      <c r="GH18" s="605"/>
      <c r="GI18" s="605"/>
      <c r="GJ18" s="605"/>
      <c r="GK18" s="605"/>
      <c r="GL18" s="605"/>
      <c r="GM18" s="605"/>
      <c r="GN18" s="605"/>
      <c r="GO18" s="605"/>
      <c r="GP18" s="605"/>
      <c r="GQ18" s="605"/>
      <c r="GR18" s="605"/>
      <c r="GS18" s="605"/>
      <c r="GT18" s="605"/>
      <c r="GU18" s="605"/>
      <c r="GV18" s="605"/>
      <c r="GW18" s="605"/>
      <c r="GX18" s="605"/>
      <c r="GY18" s="605"/>
      <c r="GZ18" s="605"/>
      <c r="HA18" s="605"/>
      <c r="HB18" s="605"/>
      <c r="HC18" s="605"/>
      <c r="HD18" s="605"/>
      <c r="HE18" s="605"/>
      <c r="HF18" s="605"/>
      <c r="HG18" s="605"/>
      <c r="HH18" s="605"/>
      <c r="HI18" s="605"/>
      <c r="HJ18" s="605"/>
      <c r="HK18" s="605"/>
      <c r="HL18" s="605"/>
      <c r="HM18" s="605"/>
      <c r="HN18" s="605"/>
      <c r="HO18" s="605"/>
      <c r="HP18" s="605"/>
      <c r="HQ18" s="605"/>
      <c r="HR18" s="605"/>
      <c r="HS18" s="605"/>
      <c r="HT18" s="605"/>
      <c r="HU18" s="605"/>
      <c r="HV18" s="605"/>
      <c r="HW18" s="605"/>
      <c r="HX18" s="605"/>
      <c r="HY18" s="605"/>
      <c r="HZ18" s="605"/>
      <c r="IA18" s="605"/>
      <c r="IB18" s="605"/>
      <c r="IC18" s="605"/>
      <c r="ID18" s="605"/>
      <c r="IE18" s="605"/>
      <c r="IF18" s="605"/>
      <c r="IG18" s="605"/>
      <c r="IH18" s="605"/>
      <c r="II18" s="605"/>
      <c r="IJ18" s="605"/>
      <c r="IK18" s="605"/>
      <c r="IL18" s="605"/>
      <c r="IM18" s="605"/>
      <c r="IN18" s="605"/>
      <c r="IO18" s="605"/>
      <c r="IP18" s="605"/>
      <c r="IQ18" s="605"/>
      <c r="IR18" s="605"/>
      <c r="IS18" s="605"/>
      <c r="IT18" s="605"/>
      <c r="IU18" s="605"/>
      <c r="IV18" s="605"/>
      <c r="IW18" s="605"/>
      <c r="IX18" s="605"/>
      <c r="IY18" s="605"/>
      <c r="IZ18" s="605"/>
      <c r="JA18" s="605"/>
      <c r="JB18" s="605"/>
      <c r="JC18" s="605"/>
      <c r="JD18" s="605"/>
      <c r="JE18" s="605"/>
      <c r="JF18" s="605"/>
      <c r="JG18" s="605"/>
      <c r="JH18" s="605"/>
      <c r="JI18" s="605"/>
      <c r="JJ18" s="605"/>
      <c r="JK18" s="605"/>
      <c r="JL18" s="605"/>
      <c r="JM18" s="605"/>
      <c r="JN18" s="605"/>
      <c r="JO18" s="605"/>
      <c r="JP18" s="605"/>
      <c r="JQ18" s="605"/>
      <c r="JR18" s="605"/>
      <c r="JS18" s="605"/>
      <c r="JT18" s="605"/>
      <c r="JU18" s="605"/>
      <c r="JV18" s="605"/>
      <c r="JW18" s="605"/>
      <c r="JX18" s="605"/>
      <c r="JY18" s="605"/>
      <c r="JZ18" s="605"/>
      <c r="KA18" s="605"/>
      <c r="KB18" s="605"/>
      <c r="KC18" s="605"/>
      <c r="KD18" s="605"/>
      <c r="KE18" s="605"/>
      <c r="KF18" s="605"/>
      <c r="KG18" s="605"/>
      <c r="KH18" s="605"/>
      <c r="KI18" s="605"/>
      <c r="KJ18" s="605"/>
      <c r="KK18" s="605"/>
      <c r="KL18" s="605"/>
      <c r="KM18" s="605"/>
      <c r="KN18" s="605"/>
      <c r="KO18" s="605"/>
      <c r="KP18" s="605"/>
      <c r="KQ18" s="605"/>
      <c r="KR18" s="605"/>
      <c r="KS18" s="605"/>
      <c r="KT18" s="605"/>
      <c r="KU18" s="605"/>
      <c r="KV18" s="605"/>
      <c r="KW18" s="605"/>
      <c r="KX18" s="605"/>
      <c r="KY18" s="605"/>
      <c r="KZ18" s="605"/>
      <c r="LA18" s="605"/>
      <c r="LB18" s="605"/>
      <c r="LC18" s="605"/>
      <c r="LD18" s="605"/>
      <c r="LE18" s="605"/>
      <c r="LF18" s="605"/>
      <c r="LG18" s="605"/>
      <c r="LH18" s="605"/>
      <c r="LI18" s="605"/>
      <c r="LJ18" s="605"/>
      <c r="LK18" s="605"/>
      <c r="LL18" s="605"/>
      <c r="LM18" s="605"/>
      <c r="LN18" s="605"/>
      <c r="LO18" s="605"/>
      <c r="LP18" s="605"/>
      <c r="LQ18" s="605"/>
      <c r="LR18" s="605"/>
      <c r="LS18" s="605"/>
      <c r="LT18" s="605"/>
      <c r="LU18" s="605"/>
      <c r="LV18" s="605"/>
      <c r="LW18" s="605"/>
      <c r="LX18" s="605"/>
      <c r="LY18" s="605"/>
      <c r="LZ18" s="605"/>
      <c r="MA18" s="605"/>
      <c r="MB18" s="605"/>
      <c r="MC18" s="605"/>
      <c r="MD18" s="605"/>
      <c r="ME18" s="605"/>
      <c r="MF18" s="605"/>
      <c r="MG18" s="605"/>
      <c r="MH18" s="605"/>
      <c r="MI18" s="605"/>
      <c r="MJ18" s="605"/>
      <c r="MK18" s="605"/>
      <c r="ML18" s="605"/>
      <c r="MM18" s="605"/>
      <c r="MN18" s="605"/>
      <c r="MO18" s="605"/>
      <c r="MP18" s="605"/>
      <c r="MQ18" s="605"/>
      <c r="MR18" s="605"/>
      <c r="MS18" s="605"/>
      <c r="MT18" s="605"/>
      <c r="MU18" s="605"/>
      <c r="MV18" s="605"/>
      <c r="MW18" s="605"/>
      <c r="MX18" s="605"/>
      <c r="MY18" s="605"/>
      <c r="MZ18" s="605"/>
      <c r="NA18" s="605"/>
      <c r="NB18" s="605"/>
      <c r="NC18" s="605"/>
      <c r="ND18" s="605"/>
      <c r="NE18" s="605"/>
      <c r="NF18" s="605"/>
      <c r="NG18" s="605"/>
      <c r="NH18" s="605"/>
      <c r="NI18" s="605"/>
      <c r="NJ18" s="605"/>
      <c r="NK18" s="605"/>
      <c r="NL18" s="605"/>
      <c r="NM18" s="605"/>
      <c r="NN18" s="605"/>
      <c r="NO18" s="605"/>
      <c r="NP18" s="605"/>
      <c r="NQ18" s="605"/>
      <c r="NR18" s="605"/>
      <c r="NS18" s="605"/>
      <c r="NT18" s="605"/>
      <c r="NU18" s="605"/>
      <c r="NV18" s="605"/>
      <c r="NW18" s="605"/>
      <c r="NX18" s="605"/>
      <c r="NY18" s="605"/>
      <c r="NZ18" s="605"/>
      <c r="OA18" s="605"/>
      <c r="OB18" s="605"/>
      <c r="OC18" s="605"/>
      <c r="OD18" s="605"/>
      <c r="OE18" s="605"/>
      <c r="OF18" s="605"/>
      <c r="OG18" s="605"/>
      <c r="OH18" s="605"/>
      <c r="OI18" s="605"/>
      <c r="OJ18" s="605"/>
      <c r="OK18" s="605"/>
      <c r="OL18" s="605"/>
      <c r="OM18" s="605"/>
      <c r="ON18" s="605"/>
      <c r="OO18" s="605"/>
      <c r="OP18" s="605"/>
      <c r="OQ18" s="605"/>
      <c r="OR18" s="605"/>
      <c r="OS18" s="605"/>
      <c r="OT18" s="605"/>
      <c r="OU18" s="605"/>
      <c r="OV18" s="605"/>
      <c r="OW18" s="605"/>
      <c r="OX18" s="605"/>
      <c r="OY18" s="605"/>
      <c r="OZ18" s="605"/>
      <c r="PA18" s="605"/>
      <c r="PB18" s="605"/>
      <c r="PC18" s="605"/>
      <c r="PD18" s="605"/>
      <c r="PE18" s="605"/>
      <c r="PF18" s="605"/>
      <c r="PG18" s="605"/>
      <c r="PH18" s="605"/>
      <c r="PI18" s="605"/>
      <c r="PJ18" s="605"/>
      <c r="PK18" s="605"/>
      <c r="PL18" s="605"/>
      <c r="PM18" s="605"/>
      <c r="PN18" s="605"/>
      <c r="PO18" s="605"/>
      <c r="PP18" s="605"/>
      <c r="PQ18" s="605"/>
      <c r="PR18" s="605"/>
      <c r="PS18" s="605"/>
      <c r="PT18" s="605"/>
      <c r="PU18" s="605"/>
      <c r="PV18" s="605"/>
      <c r="PW18" s="605"/>
      <c r="PX18" s="605"/>
      <c r="PY18" s="605"/>
      <c r="PZ18" s="605"/>
      <c r="QA18" s="605"/>
      <c r="QB18" s="605"/>
      <c r="QC18" s="605"/>
      <c r="QD18" s="605"/>
      <c r="QE18" s="605"/>
      <c r="QF18" s="605"/>
      <c r="QG18" s="605"/>
      <c r="QH18" s="605"/>
      <c r="QI18" s="605"/>
      <c r="QJ18" s="605"/>
      <c r="QK18" s="605"/>
      <c r="QL18" s="605"/>
      <c r="QM18" s="605"/>
      <c r="QN18" s="605"/>
      <c r="QO18" s="605"/>
      <c r="QP18" s="605"/>
      <c r="QQ18" s="605"/>
      <c r="QR18" s="605"/>
      <c r="QS18" s="605"/>
      <c r="QT18" s="605"/>
      <c r="QU18" s="605"/>
      <c r="QV18" s="605"/>
      <c r="QW18" s="605"/>
      <c r="QX18" s="605"/>
      <c r="QY18" s="605"/>
      <c r="QZ18" s="605"/>
      <c r="RA18" s="605"/>
      <c r="RB18" s="605"/>
      <c r="RC18" s="605"/>
      <c r="RD18" s="605"/>
      <c r="RE18" s="605"/>
      <c r="RF18" s="605"/>
      <c r="RG18" s="605"/>
      <c r="RH18" s="605"/>
    </row>
    <row r="19" spans="2:476" ht="20.25" customHeight="1">
      <c r="B19" s="561"/>
      <c r="C19" s="562">
        <v>16</v>
      </c>
      <c r="D19" s="563">
        <v>0</v>
      </c>
      <c r="E19" s="563">
        <v>2</v>
      </c>
      <c r="F19" s="564">
        <f t="shared" si="0"/>
        <v>12.999999999883601</v>
      </c>
      <c r="G19" s="567"/>
      <c r="H19" s="566"/>
      <c r="I19" s="589"/>
      <c r="J19" s="589"/>
      <c r="K19" s="566"/>
      <c r="L19" s="566"/>
      <c r="M19" s="566"/>
      <c r="N19" s="590">
        <v>0.24999999924329999</v>
      </c>
      <c r="O19" s="589">
        <v>0.75000000087311502</v>
      </c>
      <c r="P19" s="566"/>
      <c r="Q19" s="566"/>
      <c r="R19" s="566"/>
      <c r="S19" s="566"/>
      <c r="T19" s="566"/>
      <c r="U19" s="566"/>
      <c r="V19" s="566"/>
      <c r="W19" s="589"/>
      <c r="X19" s="590"/>
      <c r="Y19" s="618">
        <v>2</v>
      </c>
      <c r="Z19" s="607">
        <f t="shared" si="1"/>
        <v>0</v>
      </c>
      <c r="AA19" s="607">
        <f t="shared" si="2"/>
        <v>1.00000000011642</v>
      </c>
      <c r="AB19" s="608">
        <f t="shared" si="3"/>
        <v>1</v>
      </c>
      <c r="AC19" s="619"/>
      <c r="AD19" s="605"/>
      <c r="AE19" s="605"/>
      <c r="AF19" s="605"/>
      <c r="AG19" s="605"/>
      <c r="AH19" s="605"/>
      <c r="AI19" s="605"/>
      <c r="AJ19" s="605"/>
      <c r="AK19" s="605"/>
      <c r="AL19" s="605"/>
      <c r="AM19" s="605"/>
      <c r="AN19" s="605"/>
      <c r="AO19" s="605"/>
      <c r="AP19" s="605"/>
      <c r="AQ19" s="605"/>
      <c r="AR19" s="605"/>
      <c r="AS19" s="605"/>
      <c r="AT19" s="605"/>
      <c r="AU19" s="605"/>
      <c r="AV19" s="605"/>
      <c r="AW19" s="605"/>
      <c r="AX19" s="605"/>
      <c r="AY19" s="605"/>
      <c r="AZ19" s="605"/>
      <c r="BA19" s="605"/>
      <c r="BB19" s="605"/>
      <c r="BC19" s="605"/>
      <c r="BD19" s="605"/>
      <c r="BE19" s="605"/>
      <c r="BF19" s="605"/>
      <c r="BG19" s="605"/>
      <c r="BH19" s="605"/>
      <c r="BI19" s="605"/>
      <c r="BJ19" s="605"/>
      <c r="BK19" s="605"/>
      <c r="BL19" s="605"/>
      <c r="BM19" s="605"/>
      <c r="BN19" s="605"/>
      <c r="BO19" s="605"/>
      <c r="BP19" s="605"/>
      <c r="BQ19" s="605"/>
      <c r="BR19" s="605"/>
      <c r="BS19" s="605"/>
      <c r="BT19" s="605"/>
      <c r="BU19" s="605"/>
      <c r="BV19" s="605"/>
      <c r="BW19" s="605"/>
      <c r="BX19" s="605"/>
      <c r="BY19" s="605"/>
      <c r="BZ19" s="605"/>
      <c r="CA19" s="605"/>
      <c r="CB19" s="605"/>
      <c r="CC19" s="605"/>
      <c r="CD19" s="605"/>
      <c r="CE19" s="605"/>
      <c r="CF19" s="605"/>
      <c r="CG19" s="605"/>
      <c r="CH19" s="605"/>
      <c r="CI19" s="605"/>
      <c r="CJ19" s="605"/>
      <c r="CK19" s="605"/>
      <c r="CL19" s="605"/>
      <c r="CM19" s="605"/>
      <c r="CN19" s="605"/>
      <c r="CO19" s="605"/>
      <c r="CP19" s="605"/>
      <c r="CQ19" s="605"/>
      <c r="CR19" s="605"/>
      <c r="CS19" s="605"/>
      <c r="CT19" s="605"/>
      <c r="CU19" s="605"/>
      <c r="CV19" s="605"/>
      <c r="CW19" s="605"/>
      <c r="CX19" s="605"/>
      <c r="CY19" s="605"/>
      <c r="CZ19" s="605"/>
      <c r="DA19" s="605"/>
      <c r="DB19" s="605"/>
      <c r="DC19" s="605"/>
      <c r="DD19" s="605"/>
      <c r="DE19" s="605"/>
      <c r="DF19" s="605"/>
      <c r="DG19" s="605"/>
      <c r="DH19" s="605"/>
      <c r="DI19" s="605"/>
      <c r="DJ19" s="605"/>
      <c r="DK19" s="605"/>
      <c r="DL19" s="605"/>
      <c r="DM19" s="605"/>
      <c r="DN19" s="605"/>
      <c r="DO19" s="605"/>
      <c r="DP19" s="605"/>
      <c r="DQ19" s="605"/>
      <c r="DR19" s="605"/>
      <c r="DS19" s="605"/>
      <c r="DT19" s="605"/>
      <c r="DU19" s="605"/>
      <c r="DV19" s="605"/>
      <c r="DW19" s="605"/>
      <c r="DX19" s="605"/>
      <c r="DY19" s="605"/>
      <c r="DZ19" s="605"/>
      <c r="EA19" s="605"/>
      <c r="EB19" s="605"/>
      <c r="EC19" s="605"/>
      <c r="ED19" s="605"/>
      <c r="EE19" s="605"/>
      <c r="EF19" s="605"/>
      <c r="EG19" s="605"/>
      <c r="EH19" s="605"/>
      <c r="EI19" s="605"/>
      <c r="EJ19" s="605"/>
      <c r="EK19" s="605"/>
      <c r="EL19" s="605"/>
      <c r="EM19" s="605"/>
      <c r="EN19" s="605"/>
      <c r="EO19" s="605"/>
      <c r="EP19" s="605"/>
      <c r="EQ19" s="605"/>
      <c r="ER19" s="605"/>
      <c r="ES19" s="605"/>
      <c r="ET19" s="605"/>
      <c r="EU19" s="605"/>
      <c r="EV19" s="605"/>
      <c r="EW19" s="605"/>
      <c r="EX19" s="605"/>
      <c r="EY19" s="605"/>
      <c r="EZ19" s="605"/>
      <c r="FA19" s="605"/>
      <c r="FB19" s="605"/>
      <c r="FC19" s="605"/>
      <c r="FD19" s="605"/>
      <c r="FE19" s="605"/>
      <c r="FF19" s="605"/>
      <c r="FG19" s="605"/>
      <c r="FH19" s="605"/>
      <c r="FI19" s="605"/>
      <c r="FJ19" s="605"/>
      <c r="FK19" s="605"/>
      <c r="FL19" s="605"/>
      <c r="FM19" s="605"/>
      <c r="FN19" s="605"/>
      <c r="FO19" s="605"/>
      <c r="FP19" s="605"/>
      <c r="FQ19" s="605"/>
      <c r="FR19" s="605"/>
      <c r="FS19" s="605"/>
      <c r="FT19" s="605"/>
      <c r="FU19" s="605"/>
      <c r="FV19" s="605"/>
      <c r="FW19" s="605"/>
      <c r="FX19" s="605"/>
      <c r="FY19" s="605"/>
      <c r="FZ19" s="605"/>
      <c r="GA19" s="605"/>
      <c r="GB19" s="605"/>
      <c r="GC19" s="605"/>
      <c r="GD19" s="605"/>
      <c r="GE19" s="605"/>
      <c r="GF19" s="605"/>
      <c r="GG19" s="605"/>
      <c r="GH19" s="605"/>
      <c r="GI19" s="605"/>
      <c r="GJ19" s="605"/>
      <c r="GK19" s="605"/>
      <c r="GL19" s="605"/>
      <c r="GM19" s="605"/>
      <c r="GN19" s="605"/>
      <c r="GO19" s="605"/>
      <c r="GP19" s="605"/>
      <c r="GQ19" s="605"/>
      <c r="GR19" s="605"/>
      <c r="GS19" s="605"/>
      <c r="GT19" s="605"/>
      <c r="GU19" s="605"/>
      <c r="GV19" s="605"/>
      <c r="GW19" s="605"/>
      <c r="GX19" s="605"/>
      <c r="GY19" s="605"/>
      <c r="GZ19" s="605"/>
      <c r="HA19" s="605"/>
      <c r="HB19" s="605"/>
      <c r="HC19" s="605"/>
      <c r="HD19" s="605"/>
      <c r="HE19" s="605"/>
      <c r="HF19" s="605"/>
      <c r="HG19" s="605"/>
      <c r="HH19" s="605"/>
      <c r="HI19" s="605"/>
      <c r="HJ19" s="605"/>
      <c r="HK19" s="605"/>
      <c r="HL19" s="605"/>
      <c r="HM19" s="605"/>
      <c r="HN19" s="605"/>
      <c r="HO19" s="605"/>
      <c r="HP19" s="605"/>
      <c r="HQ19" s="605"/>
      <c r="HR19" s="605"/>
      <c r="HS19" s="605"/>
      <c r="HT19" s="605"/>
      <c r="HU19" s="605"/>
      <c r="HV19" s="605"/>
      <c r="HW19" s="605"/>
      <c r="HX19" s="605"/>
      <c r="HY19" s="605"/>
      <c r="HZ19" s="605"/>
      <c r="IA19" s="605"/>
      <c r="IB19" s="605"/>
      <c r="IC19" s="605"/>
      <c r="ID19" s="605"/>
      <c r="IE19" s="605"/>
      <c r="IF19" s="605"/>
      <c r="IG19" s="605"/>
      <c r="IH19" s="605"/>
      <c r="II19" s="605"/>
      <c r="IJ19" s="605"/>
      <c r="IK19" s="605"/>
      <c r="IL19" s="605"/>
      <c r="IM19" s="605"/>
      <c r="IN19" s="605"/>
      <c r="IO19" s="605"/>
      <c r="IP19" s="605"/>
      <c r="IQ19" s="605"/>
      <c r="IR19" s="605"/>
      <c r="IS19" s="605"/>
      <c r="IT19" s="605"/>
      <c r="IU19" s="605"/>
      <c r="IV19" s="605"/>
      <c r="IW19" s="605"/>
      <c r="IX19" s="605"/>
      <c r="IY19" s="605"/>
      <c r="IZ19" s="605"/>
      <c r="JA19" s="605"/>
      <c r="JB19" s="605"/>
      <c r="JC19" s="605"/>
      <c r="JD19" s="605"/>
      <c r="JE19" s="605"/>
      <c r="JF19" s="605"/>
      <c r="JG19" s="605"/>
      <c r="JH19" s="605"/>
      <c r="JI19" s="605"/>
      <c r="JJ19" s="605"/>
      <c r="JK19" s="605"/>
      <c r="JL19" s="605"/>
      <c r="JM19" s="605"/>
      <c r="JN19" s="605"/>
      <c r="JO19" s="605"/>
      <c r="JP19" s="605"/>
      <c r="JQ19" s="605"/>
      <c r="JR19" s="605"/>
      <c r="JS19" s="605"/>
      <c r="JT19" s="605"/>
      <c r="JU19" s="605"/>
      <c r="JV19" s="605"/>
      <c r="JW19" s="605"/>
      <c r="JX19" s="605"/>
      <c r="JY19" s="605"/>
      <c r="JZ19" s="605"/>
      <c r="KA19" s="605"/>
      <c r="KB19" s="605"/>
      <c r="KC19" s="605"/>
      <c r="KD19" s="605"/>
      <c r="KE19" s="605"/>
      <c r="KF19" s="605"/>
      <c r="KG19" s="605"/>
      <c r="KH19" s="605"/>
      <c r="KI19" s="605"/>
      <c r="KJ19" s="605"/>
      <c r="KK19" s="605"/>
      <c r="KL19" s="605"/>
      <c r="KM19" s="605"/>
      <c r="KN19" s="605"/>
      <c r="KO19" s="605"/>
      <c r="KP19" s="605"/>
      <c r="KQ19" s="605"/>
      <c r="KR19" s="605"/>
      <c r="KS19" s="605"/>
      <c r="KT19" s="605"/>
      <c r="KU19" s="605"/>
      <c r="KV19" s="605"/>
      <c r="KW19" s="605"/>
      <c r="KX19" s="605"/>
      <c r="KY19" s="605"/>
      <c r="KZ19" s="605"/>
      <c r="LA19" s="605"/>
      <c r="LB19" s="605"/>
      <c r="LC19" s="605"/>
      <c r="LD19" s="605"/>
      <c r="LE19" s="605"/>
      <c r="LF19" s="605"/>
      <c r="LG19" s="605"/>
      <c r="LH19" s="605"/>
      <c r="LI19" s="605"/>
      <c r="LJ19" s="605"/>
      <c r="LK19" s="605"/>
      <c r="LL19" s="605"/>
      <c r="LM19" s="605"/>
      <c r="LN19" s="605"/>
      <c r="LO19" s="605"/>
      <c r="LP19" s="605"/>
      <c r="LQ19" s="605"/>
      <c r="LR19" s="605"/>
      <c r="LS19" s="605"/>
      <c r="LT19" s="605"/>
      <c r="LU19" s="605"/>
      <c r="LV19" s="605"/>
      <c r="LW19" s="605"/>
      <c r="LX19" s="605"/>
      <c r="LY19" s="605"/>
      <c r="LZ19" s="605"/>
      <c r="MA19" s="605"/>
      <c r="MB19" s="605"/>
      <c r="MC19" s="605"/>
      <c r="MD19" s="605"/>
      <c r="ME19" s="605"/>
      <c r="MF19" s="605"/>
      <c r="MG19" s="605"/>
      <c r="MH19" s="605"/>
      <c r="MI19" s="605"/>
      <c r="MJ19" s="605"/>
      <c r="MK19" s="605"/>
      <c r="ML19" s="605"/>
      <c r="MM19" s="605"/>
      <c r="MN19" s="605"/>
      <c r="MO19" s="605"/>
      <c r="MP19" s="605"/>
      <c r="MQ19" s="605"/>
      <c r="MR19" s="605"/>
      <c r="MS19" s="605"/>
      <c r="MT19" s="605"/>
      <c r="MU19" s="605"/>
      <c r="MV19" s="605"/>
      <c r="MW19" s="605"/>
      <c r="MX19" s="605"/>
      <c r="MY19" s="605"/>
      <c r="MZ19" s="605"/>
      <c r="NA19" s="605"/>
      <c r="NB19" s="605"/>
      <c r="NC19" s="605"/>
      <c r="ND19" s="605"/>
      <c r="NE19" s="605"/>
      <c r="NF19" s="605"/>
      <c r="NG19" s="605"/>
      <c r="NH19" s="605"/>
      <c r="NI19" s="605"/>
      <c r="NJ19" s="605"/>
      <c r="NK19" s="605"/>
      <c r="NL19" s="605"/>
      <c r="NM19" s="605"/>
      <c r="NN19" s="605"/>
      <c r="NO19" s="605"/>
      <c r="NP19" s="605"/>
      <c r="NQ19" s="605"/>
      <c r="NR19" s="605"/>
      <c r="NS19" s="605"/>
      <c r="NT19" s="605"/>
      <c r="NU19" s="605"/>
      <c r="NV19" s="605"/>
      <c r="NW19" s="605"/>
      <c r="NX19" s="605"/>
      <c r="NY19" s="605"/>
      <c r="NZ19" s="605"/>
      <c r="OA19" s="605"/>
      <c r="OB19" s="605"/>
      <c r="OC19" s="605"/>
      <c r="OD19" s="605"/>
      <c r="OE19" s="605"/>
      <c r="OF19" s="605"/>
      <c r="OG19" s="605"/>
      <c r="OH19" s="605"/>
      <c r="OI19" s="605"/>
      <c r="OJ19" s="605"/>
      <c r="OK19" s="605"/>
      <c r="OL19" s="605"/>
      <c r="OM19" s="605"/>
      <c r="ON19" s="605"/>
      <c r="OO19" s="605"/>
      <c r="OP19" s="605"/>
      <c r="OQ19" s="605"/>
      <c r="OR19" s="605"/>
      <c r="OS19" s="605"/>
      <c r="OT19" s="605"/>
      <c r="OU19" s="605"/>
      <c r="OV19" s="605"/>
      <c r="OW19" s="605"/>
      <c r="OX19" s="605"/>
      <c r="OY19" s="605"/>
      <c r="OZ19" s="605"/>
      <c r="PA19" s="605"/>
      <c r="PB19" s="605"/>
      <c r="PC19" s="605"/>
      <c r="PD19" s="605"/>
      <c r="PE19" s="605"/>
      <c r="PF19" s="605"/>
      <c r="PG19" s="605"/>
      <c r="PH19" s="605"/>
      <c r="PI19" s="605"/>
      <c r="PJ19" s="605"/>
      <c r="PK19" s="605"/>
      <c r="PL19" s="605"/>
      <c r="PM19" s="605"/>
      <c r="PN19" s="605"/>
      <c r="PO19" s="605"/>
      <c r="PP19" s="605"/>
      <c r="PQ19" s="605"/>
      <c r="PR19" s="605"/>
      <c r="PS19" s="605"/>
      <c r="PT19" s="605"/>
      <c r="PU19" s="605"/>
      <c r="PV19" s="605"/>
      <c r="PW19" s="605"/>
      <c r="PX19" s="605"/>
      <c r="PY19" s="605"/>
      <c r="PZ19" s="605"/>
      <c r="QA19" s="605"/>
      <c r="QB19" s="605"/>
      <c r="QC19" s="605"/>
      <c r="QD19" s="605"/>
      <c r="QE19" s="605"/>
      <c r="QF19" s="605"/>
      <c r="QG19" s="605"/>
      <c r="QH19" s="605"/>
      <c r="QI19" s="605"/>
      <c r="QJ19" s="605"/>
      <c r="QK19" s="605"/>
      <c r="QL19" s="605"/>
      <c r="QM19" s="605"/>
      <c r="QN19" s="605"/>
      <c r="QO19" s="605"/>
      <c r="QP19" s="605"/>
      <c r="QQ19" s="605"/>
      <c r="QR19" s="605"/>
      <c r="QS19" s="605"/>
      <c r="QT19" s="605"/>
      <c r="QU19" s="605"/>
      <c r="QV19" s="605"/>
      <c r="QW19" s="605"/>
      <c r="QX19" s="605"/>
      <c r="QY19" s="605"/>
      <c r="QZ19" s="605"/>
      <c r="RA19" s="605"/>
      <c r="RB19" s="605"/>
      <c r="RC19" s="605"/>
      <c r="RD19" s="605"/>
      <c r="RE19" s="605"/>
      <c r="RF19" s="605"/>
      <c r="RG19" s="605"/>
      <c r="RH19" s="605"/>
    </row>
    <row r="20" spans="2:476" s="528" customFormat="1" ht="20.100000000000001" customHeight="1">
      <c r="B20" s="552">
        <v>45816</v>
      </c>
      <c r="C20" s="553">
        <v>16</v>
      </c>
      <c r="D20" s="554">
        <v>0</v>
      </c>
      <c r="E20" s="554">
        <v>2</v>
      </c>
      <c r="F20" s="555">
        <f t="shared" si="0"/>
        <v>8.14900147361186E-10</v>
      </c>
      <c r="G20" s="556"/>
      <c r="H20" s="557"/>
      <c r="I20" s="557"/>
      <c r="J20" s="560">
        <v>13.9999999991851</v>
      </c>
      <c r="K20" s="560"/>
      <c r="L20" s="591"/>
      <c r="M20" s="591"/>
      <c r="N20" s="576"/>
      <c r="O20" s="560"/>
      <c r="P20" s="557"/>
      <c r="Q20" s="557"/>
      <c r="R20" s="573"/>
      <c r="S20" s="557"/>
      <c r="T20" s="557"/>
      <c r="U20" s="557"/>
      <c r="V20" s="557"/>
      <c r="W20" s="560"/>
      <c r="X20" s="560"/>
      <c r="Y20" s="613">
        <v>1</v>
      </c>
      <c r="Z20" s="607">
        <f t="shared" si="1"/>
        <v>0</v>
      </c>
      <c r="AA20" s="607">
        <f t="shared" si="2"/>
        <v>13.9999999991851</v>
      </c>
      <c r="AB20" s="608">
        <f t="shared" si="3"/>
        <v>1</v>
      </c>
      <c r="AC20" s="612" t="s">
        <v>53</v>
      </c>
      <c r="AD20" s="620"/>
      <c r="AE20" s="620"/>
      <c r="AF20" s="620"/>
      <c r="AG20" s="620"/>
      <c r="AH20" s="620"/>
      <c r="AI20" s="620"/>
      <c r="AJ20" s="620"/>
      <c r="AK20" s="620"/>
      <c r="AL20" s="620"/>
      <c r="AM20" s="620"/>
      <c r="AN20" s="620"/>
      <c r="AO20" s="620"/>
      <c r="AP20" s="620"/>
      <c r="AQ20" s="620"/>
      <c r="AR20" s="620"/>
      <c r="AS20" s="620"/>
      <c r="AT20" s="620"/>
      <c r="AU20" s="620"/>
      <c r="AV20" s="620"/>
      <c r="AW20" s="620"/>
      <c r="AX20" s="620"/>
      <c r="AY20" s="620"/>
      <c r="AZ20" s="620"/>
      <c r="BA20" s="620"/>
      <c r="BB20" s="620"/>
      <c r="BC20" s="620"/>
      <c r="BD20" s="620"/>
      <c r="BE20" s="620"/>
      <c r="BF20" s="620"/>
      <c r="BG20" s="620"/>
      <c r="BH20" s="620"/>
      <c r="BI20" s="620"/>
      <c r="BJ20" s="620"/>
      <c r="BK20" s="620"/>
      <c r="BL20" s="620"/>
      <c r="BM20" s="620"/>
      <c r="BN20" s="620"/>
      <c r="BO20" s="620"/>
      <c r="BP20" s="620"/>
      <c r="BQ20" s="620"/>
      <c r="BR20" s="620"/>
      <c r="BS20" s="620"/>
      <c r="BT20" s="620"/>
      <c r="BU20" s="620"/>
      <c r="BV20" s="620"/>
      <c r="BW20" s="620"/>
      <c r="BX20" s="620"/>
      <c r="BY20" s="620"/>
      <c r="BZ20" s="620"/>
      <c r="CA20" s="620"/>
      <c r="CB20" s="620"/>
      <c r="CC20" s="620"/>
      <c r="CD20" s="620"/>
      <c r="CE20" s="620"/>
      <c r="CF20" s="620"/>
      <c r="CG20" s="620"/>
      <c r="CH20" s="620"/>
      <c r="CI20" s="620"/>
      <c r="CJ20" s="620"/>
      <c r="CK20" s="620"/>
      <c r="CL20" s="620"/>
      <c r="CM20" s="620"/>
      <c r="CN20" s="620"/>
      <c r="CO20" s="620"/>
      <c r="CP20" s="620"/>
      <c r="CQ20" s="620"/>
      <c r="CR20" s="620"/>
      <c r="CS20" s="620"/>
      <c r="CT20" s="620"/>
      <c r="CU20" s="620"/>
      <c r="CV20" s="620"/>
      <c r="CW20" s="620"/>
      <c r="CX20" s="620"/>
      <c r="CY20" s="620"/>
      <c r="CZ20" s="620"/>
      <c r="DA20" s="620"/>
      <c r="DB20" s="620"/>
      <c r="DC20" s="620"/>
      <c r="DD20" s="620"/>
      <c r="DE20" s="620"/>
      <c r="DF20" s="620"/>
      <c r="DG20" s="620"/>
      <c r="DH20" s="620"/>
      <c r="DI20" s="620"/>
      <c r="DJ20" s="620"/>
      <c r="DK20" s="620"/>
      <c r="DL20" s="620"/>
      <c r="DM20" s="620"/>
      <c r="DN20" s="620"/>
      <c r="DO20" s="620"/>
      <c r="DP20" s="620"/>
      <c r="DQ20" s="620"/>
      <c r="DR20" s="620"/>
      <c r="DS20" s="620"/>
      <c r="DT20" s="620"/>
      <c r="DU20" s="620"/>
      <c r="DV20" s="620"/>
      <c r="DW20" s="620"/>
      <c r="DX20" s="620"/>
      <c r="DY20" s="620"/>
      <c r="DZ20" s="620"/>
      <c r="EA20" s="620"/>
      <c r="EB20" s="620"/>
      <c r="EC20" s="620"/>
      <c r="ED20" s="620"/>
      <c r="EE20" s="620"/>
      <c r="EF20" s="620"/>
      <c r="EG20" s="620"/>
      <c r="EH20" s="620"/>
      <c r="EI20" s="620"/>
      <c r="EJ20" s="620"/>
      <c r="EK20" s="620"/>
      <c r="EL20" s="620"/>
      <c r="EM20" s="620"/>
      <c r="EN20" s="620"/>
      <c r="EO20" s="620"/>
      <c r="EP20" s="620"/>
      <c r="EQ20" s="620"/>
      <c r="ER20" s="620"/>
      <c r="ES20" s="620"/>
      <c r="ET20" s="620"/>
      <c r="EU20" s="620"/>
      <c r="EV20" s="620"/>
      <c r="EW20" s="620"/>
      <c r="EX20" s="620"/>
      <c r="EY20" s="620"/>
      <c r="EZ20" s="620"/>
      <c r="FA20" s="620"/>
      <c r="FB20" s="620"/>
      <c r="FC20" s="620"/>
      <c r="FD20" s="620"/>
      <c r="FE20" s="620"/>
      <c r="FF20" s="620"/>
      <c r="FG20" s="620"/>
      <c r="FH20" s="620"/>
      <c r="FI20" s="620"/>
      <c r="FJ20" s="620"/>
      <c r="FK20" s="620"/>
      <c r="FL20" s="620"/>
      <c r="FM20" s="620"/>
      <c r="FN20" s="620"/>
      <c r="FO20" s="620"/>
      <c r="FP20" s="620"/>
      <c r="FQ20" s="620"/>
      <c r="FR20" s="620"/>
      <c r="FS20" s="620"/>
      <c r="FT20" s="620"/>
      <c r="FU20" s="620"/>
      <c r="FV20" s="620"/>
      <c r="FW20" s="620"/>
      <c r="FX20" s="620"/>
      <c r="FY20" s="620"/>
      <c r="FZ20" s="620"/>
      <c r="GA20" s="620"/>
      <c r="GB20" s="620"/>
      <c r="GC20" s="620"/>
      <c r="GD20" s="620"/>
      <c r="GE20" s="620"/>
      <c r="GF20" s="620"/>
      <c r="GG20" s="620"/>
      <c r="GH20" s="620"/>
      <c r="GI20" s="620"/>
      <c r="GJ20" s="620"/>
      <c r="GK20" s="620"/>
      <c r="GL20" s="620"/>
      <c r="GM20" s="620"/>
      <c r="GN20" s="620"/>
      <c r="GO20" s="620"/>
      <c r="GP20" s="620"/>
      <c r="GQ20" s="620"/>
      <c r="GR20" s="620"/>
      <c r="GS20" s="620"/>
      <c r="GT20" s="620"/>
      <c r="GU20" s="620"/>
      <c r="GV20" s="620"/>
      <c r="GW20" s="620"/>
      <c r="GX20" s="620"/>
      <c r="GY20" s="620"/>
      <c r="GZ20" s="620"/>
      <c r="HA20" s="620"/>
      <c r="HB20" s="620"/>
      <c r="HC20" s="620"/>
      <c r="HD20" s="620"/>
      <c r="HE20" s="620"/>
      <c r="HF20" s="620"/>
      <c r="HG20" s="620"/>
      <c r="HH20" s="620"/>
      <c r="HI20" s="620"/>
      <c r="HJ20" s="620"/>
      <c r="HK20" s="620"/>
      <c r="HL20" s="620"/>
      <c r="HM20" s="620"/>
      <c r="HN20" s="620"/>
      <c r="HO20" s="620"/>
      <c r="HP20" s="620"/>
      <c r="HQ20" s="620"/>
      <c r="HR20" s="620"/>
      <c r="HS20" s="620"/>
      <c r="HT20" s="620"/>
      <c r="HU20" s="620"/>
      <c r="HV20" s="620"/>
      <c r="HW20" s="620"/>
      <c r="HX20" s="620"/>
      <c r="HY20" s="620"/>
      <c r="HZ20" s="620"/>
      <c r="IA20" s="620"/>
      <c r="IB20" s="620"/>
      <c r="IC20" s="620"/>
      <c r="ID20" s="620"/>
      <c r="IE20" s="620"/>
      <c r="IF20" s="620"/>
      <c r="IG20" s="620"/>
      <c r="IH20" s="620"/>
      <c r="II20" s="620"/>
      <c r="IJ20" s="620"/>
      <c r="IK20" s="620"/>
      <c r="IL20" s="620"/>
      <c r="IM20" s="620"/>
      <c r="IN20" s="620"/>
      <c r="IO20" s="620"/>
      <c r="IP20" s="620"/>
      <c r="IQ20" s="620"/>
      <c r="IR20" s="620"/>
      <c r="IS20" s="620"/>
      <c r="IT20" s="620"/>
      <c r="IU20" s="620"/>
      <c r="IV20" s="620"/>
      <c r="IW20" s="620"/>
      <c r="IX20" s="620"/>
      <c r="IY20" s="620"/>
      <c r="IZ20" s="620"/>
      <c r="JA20" s="620"/>
      <c r="JB20" s="620"/>
      <c r="JC20" s="620"/>
      <c r="JD20" s="620"/>
      <c r="JE20" s="620"/>
      <c r="JF20" s="620"/>
      <c r="JG20" s="620"/>
      <c r="JH20" s="620"/>
      <c r="JI20" s="620"/>
      <c r="JJ20" s="620"/>
      <c r="JK20" s="620"/>
      <c r="JL20" s="620"/>
      <c r="JM20" s="620"/>
      <c r="JN20" s="620"/>
      <c r="JO20" s="620"/>
      <c r="JP20" s="620"/>
      <c r="JQ20" s="620"/>
      <c r="JR20" s="620"/>
      <c r="JS20" s="620"/>
      <c r="JT20" s="620"/>
      <c r="JU20" s="620"/>
      <c r="JV20" s="620"/>
      <c r="JW20" s="620"/>
      <c r="JX20" s="620"/>
      <c r="JY20" s="620"/>
      <c r="JZ20" s="620"/>
      <c r="KA20" s="620"/>
      <c r="KB20" s="620"/>
      <c r="KC20" s="620"/>
      <c r="KD20" s="620"/>
      <c r="KE20" s="620"/>
      <c r="KF20" s="620"/>
      <c r="KG20" s="620"/>
      <c r="KH20" s="620"/>
      <c r="KI20" s="620"/>
      <c r="KJ20" s="620"/>
      <c r="KK20" s="620"/>
      <c r="KL20" s="620"/>
      <c r="KM20" s="620"/>
      <c r="KN20" s="620"/>
      <c r="KO20" s="620"/>
      <c r="KP20" s="620"/>
      <c r="KQ20" s="620"/>
      <c r="KR20" s="620"/>
      <c r="KS20" s="620"/>
      <c r="KT20" s="620"/>
      <c r="KU20" s="620"/>
      <c r="KV20" s="620"/>
      <c r="KW20" s="620"/>
      <c r="KX20" s="620"/>
      <c r="KY20" s="620"/>
      <c r="KZ20" s="620"/>
      <c r="LA20" s="620"/>
      <c r="LB20" s="620"/>
      <c r="LC20" s="620"/>
      <c r="LD20" s="620"/>
      <c r="LE20" s="620"/>
      <c r="LF20" s="620"/>
      <c r="LG20" s="620"/>
      <c r="LH20" s="620"/>
      <c r="LI20" s="620"/>
      <c r="LJ20" s="620"/>
      <c r="LK20" s="620"/>
      <c r="LL20" s="620"/>
      <c r="LM20" s="620"/>
      <c r="LN20" s="620"/>
      <c r="LO20" s="620"/>
      <c r="LP20" s="620"/>
      <c r="LQ20" s="620"/>
      <c r="LR20" s="620"/>
      <c r="LS20" s="620"/>
      <c r="LT20" s="620"/>
      <c r="LU20" s="620"/>
      <c r="LV20" s="620"/>
      <c r="LW20" s="620"/>
      <c r="LX20" s="620"/>
      <c r="LY20" s="620"/>
      <c r="LZ20" s="620"/>
      <c r="MA20" s="620"/>
      <c r="MB20" s="620"/>
      <c r="MC20" s="620"/>
      <c r="MD20" s="620"/>
      <c r="ME20" s="620"/>
      <c r="MF20" s="620"/>
      <c r="MG20" s="620"/>
      <c r="MH20" s="620"/>
      <c r="MI20" s="620"/>
      <c r="MJ20" s="620"/>
      <c r="MK20" s="620"/>
      <c r="ML20" s="620"/>
      <c r="MM20" s="620"/>
      <c r="MN20" s="620"/>
      <c r="MO20" s="620"/>
      <c r="MP20" s="620"/>
      <c r="MQ20" s="620"/>
      <c r="MR20" s="620"/>
      <c r="MS20" s="620"/>
      <c r="MT20" s="620"/>
      <c r="MU20" s="620"/>
      <c r="MV20" s="620"/>
      <c r="MW20" s="620"/>
      <c r="MX20" s="620"/>
      <c r="MY20" s="620"/>
      <c r="MZ20" s="620"/>
      <c r="NA20" s="620"/>
      <c r="NB20" s="620"/>
      <c r="NC20" s="620"/>
      <c r="ND20" s="620"/>
      <c r="NE20" s="620"/>
      <c r="NF20" s="620"/>
      <c r="NG20" s="620"/>
      <c r="NH20" s="620"/>
      <c r="NI20" s="620"/>
      <c r="NJ20" s="620"/>
      <c r="NK20" s="620"/>
      <c r="NL20" s="620"/>
      <c r="NM20" s="620"/>
      <c r="NN20" s="620"/>
      <c r="NO20" s="620"/>
      <c r="NP20" s="620"/>
      <c r="NQ20" s="620"/>
      <c r="NR20" s="620"/>
      <c r="NS20" s="620"/>
      <c r="NT20" s="620"/>
      <c r="NU20" s="620"/>
      <c r="NV20" s="620"/>
      <c r="NW20" s="620"/>
      <c r="NX20" s="620"/>
      <c r="NY20" s="620"/>
      <c r="NZ20" s="620"/>
      <c r="OA20" s="620"/>
      <c r="OB20" s="620"/>
      <c r="OC20" s="620"/>
      <c r="OD20" s="620"/>
      <c r="OE20" s="620"/>
      <c r="OF20" s="620"/>
      <c r="OG20" s="620"/>
      <c r="OH20" s="620"/>
      <c r="OI20" s="620"/>
      <c r="OJ20" s="620"/>
      <c r="OK20" s="620"/>
      <c r="OL20" s="620"/>
      <c r="OM20" s="620"/>
      <c r="ON20" s="620"/>
      <c r="OO20" s="620"/>
      <c r="OP20" s="620"/>
      <c r="OQ20" s="620"/>
      <c r="OR20" s="620"/>
      <c r="OS20" s="620"/>
      <c r="OT20" s="620"/>
      <c r="OU20" s="620"/>
      <c r="OV20" s="620"/>
      <c r="OW20" s="620"/>
      <c r="OX20" s="620"/>
      <c r="OY20" s="620"/>
      <c r="OZ20" s="620"/>
      <c r="PA20" s="620"/>
      <c r="PB20" s="620"/>
      <c r="PC20" s="620"/>
      <c r="PD20" s="620"/>
      <c r="PE20" s="620"/>
      <c r="PF20" s="620"/>
      <c r="PG20" s="620"/>
      <c r="PH20" s="620"/>
      <c r="PI20" s="620"/>
      <c r="PJ20" s="620"/>
      <c r="PK20" s="620"/>
      <c r="PL20" s="620"/>
      <c r="PM20" s="620"/>
      <c r="PN20" s="620"/>
      <c r="PO20" s="620"/>
      <c r="PP20" s="620"/>
      <c r="PQ20" s="620"/>
      <c r="PR20" s="620"/>
      <c r="PS20" s="620"/>
      <c r="PT20" s="620"/>
      <c r="PU20" s="620"/>
      <c r="PV20" s="620"/>
      <c r="PW20" s="620"/>
      <c r="PX20" s="620"/>
      <c r="PY20" s="620"/>
      <c r="PZ20" s="620"/>
      <c r="QA20" s="620"/>
      <c r="QB20" s="620"/>
      <c r="QC20" s="620"/>
      <c r="QD20" s="620"/>
      <c r="QE20" s="620"/>
      <c r="QF20" s="620"/>
      <c r="QG20" s="620"/>
      <c r="QH20" s="620"/>
      <c r="QI20" s="620"/>
      <c r="QJ20" s="620"/>
      <c r="QK20" s="620"/>
      <c r="QL20" s="620"/>
      <c r="QM20" s="620"/>
      <c r="QN20" s="620"/>
      <c r="QO20" s="620"/>
      <c r="QP20" s="620"/>
      <c r="QQ20" s="620"/>
      <c r="QR20" s="620"/>
      <c r="QS20" s="620"/>
      <c r="QT20" s="620"/>
      <c r="QU20" s="620"/>
      <c r="QV20" s="620"/>
      <c r="QW20" s="620"/>
      <c r="QX20" s="620"/>
      <c r="QY20" s="620"/>
      <c r="QZ20" s="620"/>
      <c r="RA20" s="620"/>
      <c r="RB20" s="620"/>
      <c r="RC20" s="620"/>
      <c r="RD20" s="620"/>
      <c r="RE20" s="620"/>
      <c r="RF20" s="620"/>
      <c r="RG20" s="620"/>
      <c r="RH20" s="620"/>
    </row>
    <row r="21" spans="2:476" s="528" customFormat="1" ht="20.100000000000001" customHeight="1">
      <c r="B21" s="552"/>
      <c r="C21" s="553">
        <v>16</v>
      </c>
      <c r="D21" s="554">
        <v>0</v>
      </c>
      <c r="E21" s="554">
        <v>2</v>
      </c>
      <c r="F21" s="555">
        <f t="shared" si="0"/>
        <v>12.9166666662786</v>
      </c>
      <c r="G21" s="568"/>
      <c r="H21" s="557"/>
      <c r="I21" s="557"/>
      <c r="J21" s="560"/>
      <c r="K21" s="585"/>
      <c r="L21" s="557"/>
      <c r="M21" s="557"/>
      <c r="N21" s="576">
        <v>0.24999999959254601</v>
      </c>
      <c r="O21" s="560">
        <v>0.83333333412883803</v>
      </c>
      <c r="P21" s="557"/>
      <c r="Q21" s="557"/>
      <c r="R21" s="573"/>
      <c r="S21" s="557"/>
      <c r="T21" s="557"/>
      <c r="U21" s="557"/>
      <c r="V21" s="557"/>
      <c r="W21" s="560"/>
      <c r="X21" s="576"/>
      <c r="Y21" s="613">
        <v>2</v>
      </c>
      <c r="Z21" s="607">
        <f t="shared" si="1"/>
        <v>0</v>
      </c>
      <c r="AA21" s="607">
        <f t="shared" si="2"/>
        <v>1.08333333372138</v>
      </c>
      <c r="AB21" s="608">
        <f t="shared" si="3"/>
        <v>1</v>
      </c>
      <c r="AC21" s="621"/>
      <c r="AD21" s="620"/>
      <c r="AE21" s="620"/>
      <c r="AF21" s="620"/>
      <c r="AG21" s="620"/>
      <c r="AH21" s="620"/>
      <c r="AI21" s="620"/>
      <c r="AJ21" s="620"/>
      <c r="AK21" s="620"/>
      <c r="AL21" s="620"/>
      <c r="AM21" s="620"/>
      <c r="AN21" s="620"/>
      <c r="AO21" s="620"/>
      <c r="AP21" s="620"/>
      <c r="AQ21" s="620"/>
      <c r="AR21" s="620"/>
      <c r="AS21" s="620"/>
      <c r="AT21" s="620"/>
      <c r="AU21" s="620"/>
      <c r="AV21" s="620"/>
      <c r="AW21" s="620"/>
      <c r="AX21" s="620"/>
      <c r="AY21" s="620"/>
      <c r="AZ21" s="620"/>
      <c r="BA21" s="620"/>
      <c r="BB21" s="620"/>
      <c r="BC21" s="620"/>
      <c r="BD21" s="620"/>
      <c r="BE21" s="620"/>
      <c r="BF21" s="620"/>
      <c r="BG21" s="620"/>
      <c r="BH21" s="620"/>
      <c r="BI21" s="620"/>
      <c r="BJ21" s="620"/>
      <c r="BK21" s="620"/>
      <c r="BL21" s="620"/>
      <c r="BM21" s="620"/>
      <c r="BN21" s="620"/>
      <c r="BO21" s="620"/>
      <c r="BP21" s="620"/>
      <c r="BQ21" s="620"/>
      <c r="BR21" s="620"/>
      <c r="BS21" s="620"/>
      <c r="BT21" s="620"/>
      <c r="BU21" s="620"/>
      <c r="BV21" s="620"/>
      <c r="BW21" s="620"/>
      <c r="BX21" s="620"/>
      <c r="BY21" s="620"/>
      <c r="BZ21" s="620"/>
      <c r="CA21" s="620"/>
      <c r="CB21" s="620"/>
      <c r="CC21" s="620"/>
      <c r="CD21" s="620"/>
      <c r="CE21" s="620"/>
      <c r="CF21" s="620"/>
      <c r="CG21" s="620"/>
      <c r="CH21" s="620"/>
      <c r="CI21" s="620"/>
      <c r="CJ21" s="620"/>
      <c r="CK21" s="620"/>
      <c r="CL21" s="620"/>
      <c r="CM21" s="620"/>
      <c r="CN21" s="620"/>
      <c r="CO21" s="620"/>
      <c r="CP21" s="620"/>
      <c r="CQ21" s="620"/>
      <c r="CR21" s="620"/>
      <c r="CS21" s="620"/>
      <c r="CT21" s="620"/>
      <c r="CU21" s="620"/>
      <c r="CV21" s="620"/>
      <c r="CW21" s="620"/>
      <c r="CX21" s="620"/>
      <c r="CY21" s="620"/>
      <c r="CZ21" s="620"/>
      <c r="DA21" s="620"/>
      <c r="DB21" s="620"/>
      <c r="DC21" s="620"/>
      <c r="DD21" s="620"/>
      <c r="DE21" s="620"/>
      <c r="DF21" s="620"/>
      <c r="DG21" s="620"/>
      <c r="DH21" s="620"/>
      <c r="DI21" s="620"/>
      <c r="DJ21" s="620"/>
      <c r="DK21" s="620"/>
      <c r="DL21" s="620"/>
      <c r="DM21" s="620"/>
      <c r="DN21" s="620"/>
      <c r="DO21" s="620"/>
      <c r="DP21" s="620"/>
      <c r="DQ21" s="620"/>
      <c r="DR21" s="620"/>
      <c r="DS21" s="620"/>
      <c r="DT21" s="620"/>
      <c r="DU21" s="620"/>
      <c r="DV21" s="620"/>
      <c r="DW21" s="620"/>
      <c r="DX21" s="620"/>
      <c r="DY21" s="620"/>
      <c r="DZ21" s="620"/>
      <c r="EA21" s="620"/>
      <c r="EB21" s="620"/>
      <c r="EC21" s="620"/>
      <c r="ED21" s="620"/>
      <c r="EE21" s="620"/>
      <c r="EF21" s="620"/>
      <c r="EG21" s="620"/>
      <c r="EH21" s="620"/>
      <c r="EI21" s="620"/>
      <c r="EJ21" s="620"/>
      <c r="EK21" s="620"/>
      <c r="EL21" s="620"/>
      <c r="EM21" s="620"/>
      <c r="EN21" s="620"/>
      <c r="EO21" s="620"/>
      <c r="EP21" s="620"/>
      <c r="EQ21" s="620"/>
      <c r="ER21" s="620"/>
      <c r="ES21" s="620"/>
      <c r="ET21" s="620"/>
      <c r="EU21" s="620"/>
      <c r="EV21" s="620"/>
      <c r="EW21" s="620"/>
      <c r="EX21" s="620"/>
      <c r="EY21" s="620"/>
      <c r="EZ21" s="620"/>
      <c r="FA21" s="620"/>
      <c r="FB21" s="620"/>
      <c r="FC21" s="620"/>
      <c r="FD21" s="620"/>
      <c r="FE21" s="620"/>
      <c r="FF21" s="620"/>
      <c r="FG21" s="620"/>
      <c r="FH21" s="620"/>
      <c r="FI21" s="620"/>
      <c r="FJ21" s="620"/>
      <c r="FK21" s="620"/>
      <c r="FL21" s="620"/>
      <c r="FM21" s="620"/>
      <c r="FN21" s="620"/>
      <c r="FO21" s="620"/>
      <c r="FP21" s="620"/>
      <c r="FQ21" s="620"/>
      <c r="FR21" s="620"/>
      <c r="FS21" s="620"/>
      <c r="FT21" s="620"/>
      <c r="FU21" s="620"/>
      <c r="FV21" s="620"/>
      <c r="FW21" s="620"/>
      <c r="FX21" s="620"/>
      <c r="FY21" s="620"/>
      <c r="FZ21" s="620"/>
      <c r="GA21" s="620"/>
      <c r="GB21" s="620"/>
      <c r="GC21" s="620"/>
      <c r="GD21" s="620"/>
      <c r="GE21" s="620"/>
      <c r="GF21" s="620"/>
      <c r="GG21" s="620"/>
      <c r="GH21" s="620"/>
      <c r="GI21" s="620"/>
      <c r="GJ21" s="620"/>
      <c r="GK21" s="620"/>
      <c r="GL21" s="620"/>
      <c r="GM21" s="620"/>
      <c r="GN21" s="620"/>
      <c r="GO21" s="620"/>
      <c r="GP21" s="620"/>
      <c r="GQ21" s="620"/>
      <c r="GR21" s="620"/>
      <c r="GS21" s="620"/>
      <c r="GT21" s="620"/>
      <c r="GU21" s="620"/>
      <c r="GV21" s="620"/>
      <c r="GW21" s="620"/>
      <c r="GX21" s="620"/>
      <c r="GY21" s="620"/>
      <c r="GZ21" s="620"/>
      <c r="HA21" s="620"/>
      <c r="HB21" s="620"/>
      <c r="HC21" s="620"/>
      <c r="HD21" s="620"/>
      <c r="HE21" s="620"/>
      <c r="HF21" s="620"/>
      <c r="HG21" s="620"/>
      <c r="HH21" s="620"/>
      <c r="HI21" s="620"/>
      <c r="HJ21" s="620"/>
      <c r="HK21" s="620"/>
      <c r="HL21" s="620"/>
      <c r="HM21" s="620"/>
      <c r="HN21" s="620"/>
      <c r="HO21" s="620"/>
      <c r="HP21" s="620"/>
      <c r="HQ21" s="620"/>
      <c r="HR21" s="620"/>
      <c r="HS21" s="620"/>
      <c r="HT21" s="620"/>
      <c r="HU21" s="620"/>
      <c r="HV21" s="620"/>
      <c r="HW21" s="620"/>
      <c r="HX21" s="620"/>
      <c r="HY21" s="620"/>
      <c r="HZ21" s="620"/>
      <c r="IA21" s="620"/>
      <c r="IB21" s="620"/>
      <c r="IC21" s="620"/>
      <c r="ID21" s="620"/>
      <c r="IE21" s="620"/>
      <c r="IF21" s="620"/>
      <c r="IG21" s="620"/>
      <c r="IH21" s="620"/>
      <c r="II21" s="620"/>
      <c r="IJ21" s="620"/>
      <c r="IK21" s="620"/>
      <c r="IL21" s="620"/>
      <c r="IM21" s="620"/>
      <c r="IN21" s="620"/>
      <c r="IO21" s="620"/>
      <c r="IP21" s="620"/>
      <c r="IQ21" s="620"/>
      <c r="IR21" s="620"/>
      <c r="IS21" s="620"/>
      <c r="IT21" s="620"/>
      <c r="IU21" s="620"/>
      <c r="IV21" s="620"/>
      <c r="IW21" s="620"/>
      <c r="IX21" s="620"/>
      <c r="IY21" s="620"/>
      <c r="IZ21" s="620"/>
      <c r="JA21" s="620"/>
      <c r="JB21" s="620"/>
      <c r="JC21" s="620"/>
      <c r="JD21" s="620"/>
      <c r="JE21" s="620"/>
      <c r="JF21" s="620"/>
      <c r="JG21" s="620"/>
      <c r="JH21" s="620"/>
      <c r="JI21" s="620"/>
      <c r="JJ21" s="620"/>
      <c r="JK21" s="620"/>
      <c r="JL21" s="620"/>
      <c r="JM21" s="620"/>
      <c r="JN21" s="620"/>
      <c r="JO21" s="620"/>
      <c r="JP21" s="620"/>
      <c r="JQ21" s="620"/>
      <c r="JR21" s="620"/>
      <c r="JS21" s="620"/>
      <c r="JT21" s="620"/>
      <c r="JU21" s="620"/>
      <c r="JV21" s="620"/>
      <c r="JW21" s="620"/>
      <c r="JX21" s="620"/>
      <c r="JY21" s="620"/>
      <c r="JZ21" s="620"/>
      <c r="KA21" s="620"/>
      <c r="KB21" s="620"/>
      <c r="KC21" s="620"/>
      <c r="KD21" s="620"/>
      <c r="KE21" s="620"/>
      <c r="KF21" s="620"/>
      <c r="KG21" s="620"/>
      <c r="KH21" s="620"/>
      <c r="KI21" s="620"/>
      <c r="KJ21" s="620"/>
      <c r="KK21" s="620"/>
      <c r="KL21" s="620"/>
      <c r="KM21" s="620"/>
      <c r="KN21" s="620"/>
      <c r="KO21" s="620"/>
      <c r="KP21" s="620"/>
      <c r="KQ21" s="620"/>
      <c r="KR21" s="620"/>
      <c r="KS21" s="620"/>
      <c r="KT21" s="620"/>
      <c r="KU21" s="620"/>
      <c r="KV21" s="620"/>
      <c r="KW21" s="620"/>
      <c r="KX21" s="620"/>
      <c r="KY21" s="620"/>
      <c r="KZ21" s="620"/>
      <c r="LA21" s="620"/>
      <c r="LB21" s="620"/>
      <c r="LC21" s="620"/>
      <c r="LD21" s="620"/>
      <c r="LE21" s="620"/>
      <c r="LF21" s="620"/>
      <c r="LG21" s="620"/>
      <c r="LH21" s="620"/>
      <c r="LI21" s="620"/>
      <c r="LJ21" s="620"/>
      <c r="LK21" s="620"/>
      <c r="LL21" s="620"/>
      <c r="LM21" s="620"/>
      <c r="LN21" s="620"/>
      <c r="LO21" s="620"/>
      <c r="LP21" s="620"/>
      <c r="LQ21" s="620"/>
      <c r="LR21" s="620"/>
      <c r="LS21" s="620"/>
      <c r="LT21" s="620"/>
      <c r="LU21" s="620"/>
      <c r="LV21" s="620"/>
      <c r="LW21" s="620"/>
      <c r="LX21" s="620"/>
      <c r="LY21" s="620"/>
      <c r="LZ21" s="620"/>
      <c r="MA21" s="620"/>
      <c r="MB21" s="620"/>
      <c r="MC21" s="620"/>
      <c r="MD21" s="620"/>
      <c r="ME21" s="620"/>
      <c r="MF21" s="620"/>
      <c r="MG21" s="620"/>
      <c r="MH21" s="620"/>
      <c r="MI21" s="620"/>
      <c r="MJ21" s="620"/>
      <c r="MK21" s="620"/>
      <c r="ML21" s="620"/>
      <c r="MM21" s="620"/>
      <c r="MN21" s="620"/>
      <c r="MO21" s="620"/>
      <c r="MP21" s="620"/>
      <c r="MQ21" s="620"/>
      <c r="MR21" s="620"/>
      <c r="MS21" s="620"/>
      <c r="MT21" s="620"/>
      <c r="MU21" s="620"/>
      <c r="MV21" s="620"/>
      <c r="MW21" s="620"/>
      <c r="MX21" s="620"/>
      <c r="MY21" s="620"/>
      <c r="MZ21" s="620"/>
      <c r="NA21" s="620"/>
      <c r="NB21" s="620"/>
      <c r="NC21" s="620"/>
      <c r="ND21" s="620"/>
      <c r="NE21" s="620"/>
      <c r="NF21" s="620"/>
      <c r="NG21" s="620"/>
      <c r="NH21" s="620"/>
      <c r="NI21" s="620"/>
      <c r="NJ21" s="620"/>
      <c r="NK21" s="620"/>
      <c r="NL21" s="620"/>
      <c r="NM21" s="620"/>
      <c r="NN21" s="620"/>
      <c r="NO21" s="620"/>
      <c r="NP21" s="620"/>
      <c r="NQ21" s="620"/>
      <c r="NR21" s="620"/>
      <c r="NS21" s="620"/>
      <c r="NT21" s="620"/>
      <c r="NU21" s="620"/>
      <c r="NV21" s="620"/>
      <c r="NW21" s="620"/>
      <c r="NX21" s="620"/>
      <c r="NY21" s="620"/>
      <c r="NZ21" s="620"/>
      <c r="OA21" s="620"/>
      <c r="OB21" s="620"/>
      <c r="OC21" s="620"/>
      <c r="OD21" s="620"/>
      <c r="OE21" s="620"/>
      <c r="OF21" s="620"/>
      <c r="OG21" s="620"/>
      <c r="OH21" s="620"/>
      <c r="OI21" s="620"/>
      <c r="OJ21" s="620"/>
      <c r="OK21" s="620"/>
      <c r="OL21" s="620"/>
      <c r="OM21" s="620"/>
      <c r="ON21" s="620"/>
      <c r="OO21" s="620"/>
      <c r="OP21" s="620"/>
      <c r="OQ21" s="620"/>
      <c r="OR21" s="620"/>
      <c r="OS21" s="620"/>
      <c r="OT21" s="620"/>
      <c r="OU21" s="620"/>
      <c r="OV21" s="620"/>
      <c r="OW21" s="620"/>
      <c r="OX21" s="620"/>
      <c r="OY21" s="620"/>
      <c r="OZ21" s="620"/>
      <c r="PA21" s="620"/>
      <c r="PB21" s="620"/>
      <c r="PC21" s="620"/>
      <c r="PD21" s="620"/>
      <c r="PE21" s="620"/>
      <c r="PF21" s="620"/>
      <c r="PG21" s="620"/>
      <c r="PH21" s="620"/>
      <c r="PI21" s="620"/>
      <c r="PJ21" s="620"/>
      <c r="PK21" s="620"/>
      <c r="PL21" s="620"/>
      <c r="PM21" s="620"/>
      <c r="PN21" s="620"/>
      <c r="PO21" s="620"/>
      <c r="PP21" s="620"/>
      <c r="PQ21" s="620"/>
      <c r="PR21" s="620"/>
      <c r="PS21" s="620"/>
      <c r="PT21" s="620"/>
      <c r="PU21" s="620"/>
      <c r="PV21" s="620"/>
      <c r="PW21" s="620"/>
      <c r="PX21" s="620"/>
      <c r="PY21" s="620"/>
      <c r="PZ21" s="620"/>
      <c r="QA21" s="620"/>
      <c r="QB21" s="620"/>
      <c r="QC21" s="620"/>
      <c r="QD21" s="620"/>
      <c r="QE21" s="620"/>
      <c r="QF21" s="620"/>
      <c r="QG21" s="620"/>
      <c r="QH21" s="620"/>
      <c r="QI21" s="620"/>
      <c r="QJ21" s="620"/>
      <c r="QK21" s="620"/>
      <c r="QL21" s="620"/>
      <c r="QM21" s="620"/>
      <c r="QN21" s="620"/>
      <c r="QO21" s="620"/>
      <c r="QP21" s="620"/>
      <c r="QQ21" s="620"/>
      <c r="QR21" s="620"/>
      <c r="QS21" s="620"/>
      <c r="QT21" s="620"/>
      <c r="QU21" s="620"/>
      <c r="QV21" s="620"/>
      <c r="QW21" s="620"/>
      <c r="QX21" s="620"/>
      <c r="QY21" s="620"/>
      <c r="QZ21" s="620"/>
      <c r="RA21" s="620"/>
      <c r="RB21" s="620"/>
      <c r="RC21" s="620"/>
      <c r="RD21" s="620"/>
      <c r="RE21" s="620"/>
      <c r="RF21" s="620"/>
      <c r="RG21" s="620"/>
      <c r="RH21" s="620"/>
    </row>
    <row r="22" spans="2:476" s="526" customFormat="1" ht="20.100000000000001" customHeight="1">
      <c r="B22" s="558">
        <v>45817</v>
      </c>
      <c r="C22" s="547">
        <v>16</v>
      </c>
      <c r="D22" s="548">
        <v>0</v>
      </c>
      <c r="E22" s="548">
        <v>2</v>
      </c>
      <c r="F22" s="549">
        <f t="shared" si="0"/>
        <v>-5.82005554861098E-11</v>
      </c>
      <c r="G22" s="550"/>
      <c r="H22" s="569"/>
      <c r="I22" s="592"/>
      <c r="J22" s="592">
        <v>14.000000000058201</v>
      </c>
      <c r="K22" s="587"/>
      <c r="L22" s="572"/>
      <c r="M22" s="572"/>
      <c r="N22" s="592"/>
      <c r="O22" s="572"/>
      <c r="P22" s="551"/>
      <c r="Q22" s="551"/>
      <c r="R22" s="551"/>
      <c r="S22" s="551"/>
      <c r="T22" s="551"/>
      <c r="U22" s="551"/>
      <c r="V22" s="551"/>
      <c r="W22" s="551"/>
      <c r="X22" s="569"/>
      <c r="Y22" s="614">
        <v>1</v>
      </c>
      <c r="Z22" s="607">
        <f t="shared" si="1"/>
        <v>0</v>
      </c>
      <c r="AA22" s="607">
        <f t="shared" si="2"/>
        <v>14.000000000058201</v>
      </c>
      <c r="AB22" s="608">
        <f t="shared" si="3"/>
        <v>1</v>
      </c>
      <c r="AC22" s="612" t="s">
        <v>53</v>
      </c>
      <c r="AD22" s="605"/>
      <c r="AE22" s="605"/>
      <c r="AF22" s="605"/>
      <c r="AG22" s="605"/>
      <c r="AH22" s="605"/>
      <c r="AI22" s="605"/>
      <c r="AJ22" s="605"/>
      <c r="AK22" s="605"/>
      <c r="AL22" s="605"/>
      <c r="AM22" s="605"/>
      <c r="AN22" s="605"/>
      <c r="AO22" s="605"/>
      <c r="AP22" s="605"/>
      <c r="AQ22" s="605"/>
      <c r="AR22" s="605"/>
      <c r="AS22" s="605"/>
      <c r="AT22" s="605"/>
      <c r="AU22" s="605"/>
      <c r="AV22" s="605"/>
      <c r="AW22" s="605"/>
      <c r="AX22" s="605"/>
      <c r="AY22" s="605"/>
      <c r="AZ22" s="605"/>
      <c r="BA22" s="605"/>
      <c r="BB22" s="605"/>
      <c r="BC22" s="605"/>
      <c r="BD22" s="605"/>
      <c r="BE22" s="605"/>
      <c r="BF22" s="605"/>
      <c r="BG22" s="605"/>
      <c r="BH22" s="605"/>
      <c r="BI22" s="605"/>
      <c r="BJ22" s="605"/>
      <c r="BK22" s="605"/>
      <c r="BL22" s="605"/>
      <c r="BM22" s="605"/>
      <c r="BN22" s="605"/>
      <c r="BO22" s="605"/>
      <c r="BP22" s="605"/>
      <c r="BQ22" s="605"/>
      <c r="BR22" s="605"/>
      <c r="BS22" s="605"/>
      <c r="BT22" s="605"/>
      <c r="BU22" s="605"/>
      <c r="BV22" s="605"/>
      <c r="BW22" s="605"/>
      <c r="BX22" s="605"/>
      <c r="BY22" s="605"/>
      <c r="BZ22" s="605"/>
      <c r="CA22" s="605"/>
      <c r="CB22" s="605"/>
      <c r="CC22" s="605"/>
      <c r="CD22" s="605"/>
      <c r="CE22" s="605"/>
      <c r="CF22" s="605"/>
      <c r="CG22" s="605"/>
      <c r="CH22" s="605"/>
      <c r="CI22" s="605"/>
      <c r="CJ22" s="605"/>
      <c r="CK22" s="605"/>
      <c r="CL22" s="605"/>
      <c r="CM22" s="605"/>
      <c r="CN22" s="605"/>
      <c r="CO22" s="605"/>
      <c r="CP22" s="605"/>
      <c r="CQ22" s="605"/>
      <c r="CR22" s="605"/>
      <c r="CS22" s="605"/>
      <c r="CT22" s="605"/>
      <c r="CU22" s="605"/>
      <c r="CV22" s="605"/>
      <c r="CW22" s="605"/>
      <c r="CX22" s="605"/>
      <c r="CY22" s="605"/>
      <c r="CZ22" s="605"/>
      <c r="DA22" s="605"/>
      <c r="DB22" s="605"/>
      <c r="DC22" s="605"/>
      <c r="DD22" s="605"/>
      <c r="DE22" s="605"/>
      <c r="DF22" s="605"/>
      <c r="DG22" s="605"/>
      <c r="DH22" s="605"/>
      <c r="DI22" s="605"/>
      <c r="DJ22" s="605"/>
      <c r="DK22" s="605"/>
      <c r="DL22" s="605"/>
      <c r="DM22" s="605"/>
      <c r="DN22" s="605"/>
      <c r="DO22" s="605"/>
      <c r="DP22" s="605"/>
      <c r="DQ22" s="605"/>
      <c r="DR22" s="605"/>
      <c r="DS22" s="605"/>
      <c r="DT22" s="605"/>
      <c r="DU22" s="605"/>
      <c r="DV22" s="605"/>
      <c r="DW22" s="605"/>
      <c r="DX22" s="605"/>
      <c r="DY22" s="605"/>
      <c r="DZ22" s="605"/>
      <c r="EA22" s="605"/>
      <c r="EB22" s="605"/>
      <c r="EC22" s="605"/>
      <c r="ED22" s="605"/>
      <c r="EE22" s="605"/>
      <c r="EF22" s="605"/>
      <c r="EG22" s="605"/>
      <c r="EH22" s="605"/>
      <c r="EI22" s="605"/>
      <c r="EJ22" s="605"/>
      <c r="EK22" s="605"/>
      <c r="EL22" s="605"/>
      <c r="EM22" s="605"/>
      <c r="EN22" s="605"/>
      <c r="EO22" s="605"/>
      <c r="EP22" s="605"/>
      <c r="EQ22" s="605"/>
      <c r="ER22" s="605"/>
      <c r="ES22" s="605"/>
      <c r="ET22" s="605"/>
      <c r="EU22" s="605"/>
      <c r="EV22" s="605"/>
      <c r="EW22" s="605"/>
      <c r="EX22" s="605"/>
      <c r="EY22" s="605"/>
      <c r="EZ22" s="605"/>
      <c r="FA22" s="605"/>
      <c r="FB22" s="605"/>
      <c r="FC22" s="605"/>
      <c r="FD22" s="605"/>
      <c r="FE22" s="605"/>
      <c r="FF22" s="605"/>
      <c r="FG22" s="605"/>
      <c r="FH22" s="605"/>
      <c r="FI22" s="605"/>
      <c r="FJ22" s="605"/>
      <c r="FK22" s="605"/>
      <c r="FL22" s="605"/>
      <c r="FM22" s="605"/>
      <c r="FN22" s="605"/>
      <c r="FO22" s="605"/>
      <c r="FP22" s="605"/>
      <c r="FQ22" s="605"/>
      <c r="FR22" s="605"/>
      <c r="FS22" s="605"/>
      <c r="FT22" s="605"/>
      <c r="FU22" s="605"/>
      <c r="FV22" s="605"/>
      <c r="FW22" s="605"/>
      <c r="FX22" s="605"/>
      <c r="FY22" s="605"/>
      <c r="FZ22" s="605"/>
      <c r="GA22" s="605"/>
      <c r="GB22" s="605"/>
      <c r="GC22" s="605"/>
      <c r="GD22" s="605"/>
      <c r="GE22" s="605"/>
      <c r="GF22" s="605"/>
      <c r="GG22" s="605"/>
      <c r="GH22" s="605"/>
      <c r="GI22" s="605"/>
      <c r="GJ22" s="605"/>
      <c r="GK22" s="605"/>
      <c r="GL22" s="605"/>
      <c r="GM22" s="605"/>
      <c r="GN22" s="605"/>
      <c r="GO22" s="605"/>
      <c r="GP22" s="605"/>
      <c r="GQ22" s="605"/>
      <c r="GR22" s="605"/>
      <c r="GS22" s="605"/>
      <c r="GT22" s="605"/>
      <c r="GU22" s="605"/>
      <c r="GV22" s="605"/>
      <c r="GW22" s="605"/>
      <c r="GX22" s="605"/>
      <c r="GY22" s="605"/>
      <c r="GZ22" s="605"/>
      <c r="HA22" s="605"/>
      <c r="HB22" s="605"/>
      <c r="HC22" s="605"/>
      <c r="HD22" s="605"/>
      <c r="HE22" s="605"/>
      <c r="HF22" s="605"/>
      <c r="HG22" s="605"/>
      <c r="HH22" s="605"/>
      <c r="HI22" s="605"/>
      <c r="HJ22" s="605"/>
      <c r="HK22" s="605"/>
      <c r="HL22" s="605"/>
      <c r="HM22" s="605"/>
      <c r="HN22" s="605"/>
      <c r="HO22" s="605"/>
      <c r="HP22" s="605"/>
      <c r="HQ22" s="605"/>
      <c r="HR22" s="605"/>
      <c r="HS22" s="605"/>
      <c r="HT22" s="605"/>
      <c r="HU22" s="605"/>
      <c r="HV22" s="605"/>
      <c r="HW22" s="605"/>
      <c r="HX22" s="605"/>
      <c r="HY22" s="605"/>
      <c r="HZ22" s="605"/>
      <c r="IA22" s="605"/>
      <c r="IB22" s="605"/>
      <c r="IC22" s="605"/>
      <c r="ID22" s="605"/>
      <c r="IE22" s="605"/>
      <c r="IF22" s="605"/>
      <c r="IG22" s="605"/>
      <c r="IH22" s="605"/>
      <c r="II22" s="605"/>
      <c r="IJ22" s="605"/>
      <c r="IK22" s="605"/>
      <c r="IL22" s="605"/>
      <c r="IM22" s="605"/>
      <c r="IN22" s="605"/>
      <c r="IO22" s="605"/>
      <c r="IP22" s="605"/>
      <c r="IQ22" s="605"/>
      <c r="IR22" s="605"/>
      <c r="IS22" s="605"/>
      <c r="IT22" s="605"/>
      <c r="IU22" s="605"/>
      <c r="IV22" s="605"/>
      <c r="IW22" s="605"/>
      <c r="IX22" s="605"/>
      <c r="IY22" s="605"/>
      <c r="IZ22" s="605"/>
      <c r="JA22" s="605"/>
      <c r="JB22" s="605"/>
      <c r="JC22" s="605"/>
      <c r="JD22" s="605"/>
      <c r="JE22" s="605"/>
      <c r="JF22" s="605"/>
      <c r="JG22" s="605"/>
      <c r="JH22" s="605"/>
      <c r="JI22" s="605"/>
      <c r="JJ22" s="605"/>
      <c r="JK22" s="605"/>
      <c r="JL22" s="605"/>
      <c r="JM22" s="605"/>
      <c r="JN22" s="605"/>
      <c r="JO22" s="605"/>
      <c r="JP22" s="605"/>
      <c r="JQ22" s="605"/>
      <c r="JR22" s="605"/>
      <c r="JS22" s="605"/>
      <c r="JT22" s="605"/>
      <c r="JU22" s="605"/>
      <c r="JV22" s="605"/>
      <c r="JW22" s="605"/>
      <c r="JX22" s="605"/>
      <c r="JY22" s="605"/>
      <c r="JZ22" s="605"/>
      <c r="KA22" s="605"/>
      <c r="KB22" s="605"/>
      <c r="KC22" s="605"/>
      <c r="KD22" s="605"/>
      <c r="KE22" s="605"/>
      <c r="KF22" s="605"/>
      <c r="KG22" s="605"/>
      <c r="KH22" s="605"/>
      <c r="KI22" s="605"/>
      <c r="KJ22" s="605"/>
      <c r="KK22" s="605"/>
      <c r="KL22" s="605"/>
      <c r="KM22" s="605"/>
      <c r="KN22" s="605"/>
      <c r="KO22" s="605"/>
      <c r="KP22" s="605"/>
      <c r="KQ22" s="605"/>
      <c r="KR22" s="605"/>
      <c r="KS22" s="605"/>
      <c r="KT22" s="605"/>
      <c r="KU22" s="605"/>
      <c r="KV22" s="605"/>
      <c r="KW22" s="605"/>
      <c r="KX22" s="605"/>
      <c r="KY22" s="605"/>
      <c r="KZ22" s="605"/>
      <c r="LA22" s="605"/>
      <c r="LB22" s="605"/>
      <c r="LC22" s="605"/>
      <c r="LD22" s="605"/>
      <c r="LE22" s="605"/>
      <c r="LF22" s="605"/>
      <c r="LG22" s="605"/>
      <c r="LH22" s="605"/>
      <c r="LI22" s="605"/>
      <c r="LJ22" s="605"/>
      <c r="LK22" s="605"/>
      <c r="LL22" s="605"/>
      <c r="LM22" s="605"/>
      <c r="LN22" s="605"/>
      <c r="LO22" s="605"/>
      <c r="LP22" s="605"/>
      <c r="LQ22" s="605"/>
      <c r="LR22" s="605"/>
      <c r="LS22" s="605"/>
      <c r="LT22" s="605"/>
      <c r="LU22" s="605"/>
      <c r="LV22" s="605"/>
      <c r="LW22" s="605"/>
      <c r="LX22" s="605"/>
      <c r="LY22" s="605"/>
      <c r="LZ22" s="605"/>
      <c r="MA22" s="605"/>
      <c r="MB22" s="605"/>
      <c r="MC22" s="605"/>
      <c r="MD22" s="605"/>
      <c r="ME22" s="605"/>
      <c r="MF22" s="605"/>
      <c r="MG22" s="605"/>
      <c r="MH22" s="605"/>
      <c r="MI22" s="605"/>
      <c r="MJ22" s="605"/>
      <c r="MK22" s="605"/>
      <c r="ML22" s="605"/>
      <c r="MM22" s="605"/>
      <c r="MN22" s="605"/>
      <c r="MO22" s="605"/>
      <c r="MP22" s="605"/>
      <c r="MQ22" s="605"/>
      <c r="MR22" s="605"/>
      <c r="MS22" s="605"/>
      <c r="MT22" s="605"/>
      <c r="MU22" s="605"/>
      <c r="MV22" s="605"/>
      <c r="MW22" s="605"/>
      <c r="MX22" s="605"/>
      <c r="MY22" s="605"/>
      <c r="MZ22" s="605"/>
      <c r="NA22" s="605"/>
      <c r="NB22" s="605"/>
      <c r="NC22" s="605"/>
      <c r="ND22" s="605"/>
      <c r="NE22" s="605"/>
      <c r="NF22" s="605"/>
      <c r="NG22" s="605"/>
      <c r="NH22" s="605"/>
      <c r="NI22" s="605"/>
      <c r="NJ22" s="605"/>
      <c r="NK22" s="605"/>
      <c r="NL22" s="605"/>
      <c r="NM22" s="605"/>
      <c r="NN22" s="605"/>
      <c r="NO22" s="605"/>
      <c r="NP22" s="605"/>
      <c r="NQ22" s="605"/>
      <c r="NR22" s="605"/>
      <c r="NS22" s="605"/>
      <c r="NT22" s="605"/>
      <c r="NU22" s="605"/>
      <c r="NV22" s="605"/>
      <c r="NW22" s="605"/>
      <c r="NX22" s="605"/>
      <c r="NY22" s="605"/>
      <c r="NZ22" s="605"/>
      <c r="OA22" s="605"/>
      <c r="OB22" s="605"/>
      <c r="OC22" s="605"/>
      <c r="OD22" s="605"/>
      <c r="OE22" s="605"/>
      <c r="OF22" s="605"/>
      <c r="OG22" s="605"/>
      <c r="OH22" s="605"/>
      <c r="OI22" s="605"/>
      <c r="OJ22" s="605"/>
      <c r="OK22" s="605"/>
      <c r="OL22" s="605"/>
      <c r="OM22" s="605"/>
      <c r="ON22" s="605"/>
      <c r="OO22" s="605"/>
      <c r="OP22" s="605"/>
      <c r="OQ22" s="605"/>
      <c r="OR22" s="605"/>
      <c r="OS22" s="605"/>
      <c r="OT22" s="605"/>
      <c r="OU22" s="605"/>
      <c r="OV22" s="605"/>
      <c r="OW22" s="605"/>
      <c r="OX22" s="605"/>
      <c r="OY22" s="605"/>
      <c r="OZ22" s="605"/>
      <c r="PA22" s="605"/>
      <c r="PB22" s="605"/>
      <c r="PC22" s="605"/>
      <c r="PD22" s="605"/>
      <c r="PE22" s="605"/>
      <c r="PF22" s="605"/>
      <c r="PG22" s="605"/>
      <c r="PH22" s="605"/>
      <c r="PI22" s="605"/>
      <c r="PJ22" s="605"/>
      <c r="PK22" s="605"/>
      <c r="PL22" s="605"/>
      <c r="PM22" s="605"/>
      <c r="PN22" s="605"/>
      <c r="PO22" s="605"/>
      <c r="PP22" s="605"/>
      <c r="PQ22" s="605"/>
      <c r="PR22" s="605"/>
      <c r="PS22" s="605"/>
      <c r="PT22" s="605"/>
      <c r="PU22" s="605"/>
      <c r="PV22" s="605"/>
      <c r="PW22" s="605"/>
      <c r="PX22" s="605"/>
      <c r="PY22" s="605"/>
      <c r="PZ22" s="605"/>
      <c r="QA22" s="605"/>
      <c r="QB22" s="605"/>
      <c r="QC22" s="605"/>
      <c r="QD22" s="605"/>
      <c r="QE22" s="605"/>
      <c r="QF22" s="605"/>
      <c r="QG22" s="605"/>
      <c r="QH22" s="605"/>
      <c r="QI22" s="605"/>
      <c r="QJ22" s="605"/>
      <c r="QK22" s="605"/>
      <c r="QL22" s="605"/>
      <c r="QM22" s="605"/>
      <c r="QN22" s="605"/>
      <c r="QO22" s="605"/>
      <c r="QP22" s="605"/>
      <c r="QQ22" s="605"/>
      <c r="QR22" s="605"/>
      <c r="QS22" s="605"/>
      <c r="QT22" s="605"/>
      <c r="QU22" s="605"/>
      <c r="QV22" s="605"/>
      <c r="QW22" s="605"/>
      <c r="QX22" s="605"/>
      <c r="QY22" s="605"/>
      <c r="QZ22" s="605"/>
      <c r="RA22" s="605"/>
      <c r="RB22" s="605"/>
      <c r="RC22" s="605"/>
      <c r="RD22" s="605"/>
      <c r="RE22" s="605"/>
      <c r="RF22" s="605"/>
      <c r="RG22" s="605"/>
      <c r="RH22" s="605"/>
    </row>
    <row r="23" spans="2:476" s="526" customFormat="1" ht="20.100000000000001" customHeight="1">
      <c r="B23" s="558"/>
      <c r="C23" s="547">
        <v>16</v>
      </c>
      <c r="D23" s="548">
        <v>0</v>
      </c>
      <c r="E23" s="548">
        <v>2</v>
      </c>
      <c r="F23" s="549">
        <f t="shared" si="0"/>
        <v>13.0833333306946</v>
      </c>
      <c r="G23" s="570"/>
      <c r="H23" s="551"/>
      <c r="I23" s="551"/>
      <c r="J23" s="569"/>
      <c r="K23" s="587"/>
      <c r="L23" s="593"/>
      <c r="M23" s="593"/>
      <c r="N23" s="569">
        <v>0.25000000186264498</v>
      </c>
      <c r="O23" s="572">
        <v>0.66666666744276903</v>
      </c>
      <c r="P23" s="551"/>
      <c r="Q23" s="551"/>
      <c r="R23" s="551"/>
      <c r="S23" s="551"/>
      <c r="T23" s="551"/>
      <c r="U23" s="551"/>
      <c r="V23" s="551"/>
      <c r="W23" s="572"/>
      <c r="X23" s="569"/>
      <c r="Y23" s="614">
        <v>2</v>
      </c>
      <c r="Z23" s="607">
        <f t="shared" si="1"/>
        <v>0</v>
      </c>
      <c r="AA23" s="607">
        <f t="shared" si="2"/>
        <v>0.91666666930541396</v>
      </c>
      <c r="AB23" s="608">
        <f t="shared" si="3"/>
        <v>1</v>
      </c>
      <c r="AC23" s="621"/>
      <c r="AD23" s="605"/>
      <c r="AE23" s="605"/>
      <c r="AF23" s="605"/>
      <c r="AG23" s="605"/>
      <c r="AH23" s="605"/>
      <c r="AI23" s="605"/>
      <c r="AJ23" s="605"/>
      <c r="AK23" s="605"/>
      <c r="AL23" s="605"/>
      <c r="AM23" s="605"/>
      <c r="AN23" s="605"/>
      <c r="AO23" s="605"/>
      <c r="AP23" s="605"/>
      <c r="AQ23" s="605"/>
      <c r="AR23" s="605"/>
      <c r="AS23" s="605"/>
      <c r="AT23" s="605"/>
      <c r="AU23" s="605"/>
      <c r="AV23" s="605"/>
      <c r="AW23" s="605"/>
      <c r="AX23" s="605"/>
      <c r="AY23" s="605"/>
      <c r="AZ23" s="605"/>
      <c r="BA23" s="605"/>
      <c r="BB23" s="605"/>
      <c r="BC23" s="605"/>
      <c r="BD23" s="605"/>
      <c r="BE23" s="605"/>
      <c r="BF23" s="605"/>
      <c r="BG23" s="605"/>
      <c r="BH23" s="605"/>
      <c r="BI23" s="605"/>
      <c r="BJ23" s="605"/>
      <c r="BK23" s="605"/>
      <c r="BL23" s="605"/>
      <c r="BM23" s="605"/>
      <c r="BN23" s="605"/>
      <c r="BO23" s="605"/>
      <c r="BP23" s="605"/>
      <c r="BQ23" s="605"/>
      <c r="BR23" s="605"/>
      <c r="BS23" s="605"/>
      <c r="BT23" s="605"/>
      <c r="BU23" s="605"/>
      <c r="BV23" s="605"/>
      <c r="BW23" s="605"/>
      <c r="BX23" s="605"/>
      <c r="BY23" s="605"/>
      <c r="BZ23" s="605"/>
      <c r="CA23" s="605"/>
      <c r="CB23" s="605"/>
      <c r="CC23" s="605"/>
      <c r="CD23" s="605"/>
      <c r="CE23" s="605"/>
      <c r="CF23" s="605"/>
      <c r="CG23" s="605"/>
      <c r="CH23" s="605"/>
      <c r="CI23" s="605"/>
      <c r="CJ23" s="605"/>
      <c r="CK23" s="605"/>
      <c r="CL23" s="605"/>
      <c r="CM23" s="605"/>
      <c r="CN23" s="605"/>
      <c r="CO23" s="605"/>
      <c r="CP23" s="605"/>
      <c r="CQ23" s="605"/>
      <c r="CR23" s="605"/>
      <c r="CS23" s="605"/>
      <c r="CT23" s="605"/>
      <c r="CU23" s="605"/>
      <c r="CV23" s="605"/>
      <c r="CW23" s="605"/>
      <c r="CX23" s="605"/>
      <c r="CY23" s="605"/>
      <c r="CZ23" s="605"/>
      <c r="DA23" s="605"/>
      <c r="DB23" s="605"/>
      <c r="DC23" s="605"/>
      <c r="DD23" s="605"/>
      <c r="DE23" s="605"/>
      <c r="DF23" s="605"/>
      <c r="DG23" s="605"/>
      <c r="DH23" s="605"/>
      <c r="DI23" s="605"/>
      <c r="DJ23" s="605"/>
      <c r="DK23" s="605"/>
      <c r="DL23" s="605"/>
      <c r="DM23" s="605"/>
      <c r="DN23" s="605"/>
      <c r="DO23" s="605"/>
      <c r="DP23" s="605"/>
      <c r="DQ23" s="605"/>
      <c r="DR23" s="605"/>
      <c r="DS23" s="605"/>
      <c r="DT23" s="605"/>
      <c r="DU23" s="605"/>
      <c r="DV23" s="605"/>
      <c r="DW23" s="605"/>
      <c r="DX23" s="605"/>
      <c r="DY23" s="605"/>
      <c r="DZ23" s="605"/>
      <c r="EA23" s="605"/>
      <c r="EB23" s="605"/>
      <c r="EC23" s="605"/>
      <c r="ED23" s="605"/>
      <c r="EE23" s="605"/>
      <c r="EF23" s="605"/>
      <c r="EG23" s="605"/>
      <c r="EH23" s="605"/>
      <c r="EI23" s="605"/>
      <c r="EJ23" s="605"/>
      <c r="EK23" s="605"/>
      <c r="EL23" s="605"/>
      <c r="EM23" s="605"/>
      <c r="EN23" s="605"/>
      <c r="EO23" s="605"/>
      <c r="EP23" s="605"/>
      <c r="EQ23" s="605"/>
      <c r="ER23" s="605"/>
      <c r="ES23" s="605"/>
      <c r="ET23" s="605"/>
      <c r="EU23" s="605"/>
      <c r="EV23" s="605"/>
      <c r="EW23" s="605"/>
      <c r="EX23" s="605"/>
      <c r="EY23" s="605"/>
      <c r="EZ23" s="605"/>
      <c r="FA23" s="605"/>
      <c r="FB23" s="605"/>
      <c r="FC23" s="605"/>
      <c r="FD23" s="605"/>
      <c r="FE23" s="605"/>
      <c r="FF23" s="605"/>
      <c r="FG23" s="605"/>
      <c r="FH23" s="605"/>
      <c r="FI23" s="605"/>
      <c r="FJ23" s="605"/>
      <c r="FK23" s="605"/>
      <c r="FL23" s="605"/>
      <c r="FM23" s="605"/>
      <c r="FN23" s="605"/>
      <c r="FO23" s="605"/>
      <c r="FP23" s="605"/>
      <c r="FQ23" s="605"/>
      <c r="FR23" s="605"/>
      <c r="FS23" s="605"/>
      <c r="FT23" s="605"/>
      <c r="FU23" s="605"/>
      <c r="FV23" s="605"/>
      <c r="FW23" s="605"/>
      <c r="FX23" s="605"/>
      <c r="FY23" s="605"/>
      <c r="FZ23" s="605"/>
      <c r="GA23" s="605"/>
      <c r="GB23" s="605"/>
      <c r="GC23" s="605"/>
      <c r="GD23" s="605"/>
      <c r="GE23" s="605"/>
      <c r="GF23" s="605"/>
      <c r="GG23" s="605"/>
      <c r="GH23" s="605"/>
      <c r="GI23" s="605"/>
      <c r="GJ23" s="605"/>
      <c r="GK23" s="605"/>
      <c r="GL23" s="605"/>
      <c r="GM23" s="605"/>
      <c r="GN23" s="605"/>
      <c r="GO23" s="605"/>
      <c r="GP23" s="605"/>
      <c r="GQ23" s="605"/>
      <c r="GR23" s="605"/>
      <c r="GS23" s="605"/>
      <c r="GT23" s="605"/>
      <c r="GU23" s="605"/>
      <c r="GV23" s="605"/>
      <c r="GW23" s="605"/>
      <c r="GX23" s="605"/>
      <c r="GY23" s="605"/>
      <c r="GZ23" s="605"/>
      <c r="HA23" s="605"/>
      <c r="HB23" s="605"/>
      <c r="HC23" s="605"/>
      <c r="HD23" s="605"/>
      <c r="HE23" s="605"/>
      <c r="HF23" s="605"/>
      <c r="HG23" s="605"/>
      <c r="HH23" s="605"/>
      <c r="HI23" s="605"/>
      <c r="HJ23" s="605"/>
      <c r="HK23" s="605"/>
      <c r="HL23" s="605"/>
      <c r="HM23" s="605"/>
      <c r="HN23" s="605"/>
      <c r="HO23" s="605"/>
      <c r="HP23" s="605"/>
      <c r="HQ23" s="605"/>
      <c r="HR23" s="605"/>
      <c r="HS23" s="605"/>
      <c r="HT23" s="605"/>
      <c r="HU23" s="605"/>
      <c r="HV23" s="605"/>
      <c r="HW23" s="605"/>
      <c r="HX23" s="605"/>
      <c r="HY23" s="605"/>
      <c r="HZ23" s="605"/>
      <c r="IA23" s="605"/>
      <c r="IB23" s="605"/>
      <c r="IC23" s="605"/>
      <c r="ID23" s="605"/>
      <c r="IE23" s="605"/>
      <c r="IF23" s="605"/>
      <c r="IG23" s="605"/>
      <c r="IH23" s="605"/>
      <c r="II23" s="605"/>
      <c r="IJ23" s="605"/>
      <c r="IK23" s="605"/>
      <c r="IL23" s="605"/>
      <c r="IM23" s="605"/>
      <c r="IN23" s="605"/>
      <c r="IO23" s="605"/>
      <c r="IP23" s="605"/>
      <c r="IQ23" s="605"/>
      <c r="IR23" s="605"/>
      <c r="IS23" s="605"/>
      <c r="IT23" s="605"/>
      <c r="IU23" s="605"/>
      <c r="IV23" s="605"/>
      <c r="IW23" s="605"/>
      <c r="IX23" s="605"/>
      <c r="IY23" s="605"/>
      <c r="IZ23" s="605"/>
      <c r="JA23" s="605"/>
      <c r="JB23" s="605"/>
      <c r="JC23" s="605"/>
      <c r="JD23" s="605"/>
      <c r="JE23" s="605"/>
      <c r="JF23" s="605"/>
      <c r="JG23" s="605"/>
      <c r="JH23" s="605"/>
      <c r="JI23" s="605"/>
      <c r="JJ23" s="605"/>
      <c r="JK23" s="605"/>
      <c r="JL23" s="605"/>
      <c r="JM23" s="605"/>
      <c r="JN23" s="605"/>
      <c r="JO23" s="605"/>
      <c r="JP23" s="605"/>
      <c r="JQ23" s="605"/>
      <c r="JR23" s="605"/>
      <c r="JS23" s="605"/>
      <c r="JT23" s="605"/>
      <c r="JU23" s="605"/>
      <c r="JV23" s="605"/>
      <c r="JW23" s="605"/>
      <c r="JX23" s="605"/>
      <c r="JY23" s="605"/>
      <c r="JZ23" s="605"/>
      <c r="KA23" s="605"/>
      <c r="KB23" s="605"/>
      <c r="KC23" s="605"/>
      <c r="KD23" s="605"/>
      <c r="KE23" s="605"/>
      <c r="KF23" s="605"/>
      <c r="KG23" s="605"/>
      <c r="KH23" s="605"/>
      <c r="KI23" s="605"/>
      <c r="KJ23" s="605"/>
      <c r="KK23" s="605"/>
      <c r="KL23" s="605"/>
      <c r="KM23" s="605"/>
      <c r="KN23" s="605"/>
      <c r="KO23" s="605"/>
      <c r="KP23" s="605"/>
      <c r="KQ23" s="605"/>
      <c r="KR23" s="605"/>
      <c r="KS23" s="605"/>
      <c r="KT23" s="605"/>
      <c r="KU23" s="605"/>
      <c r="KV23" s="605"/>
      <c r="KW23" s="605"/>
      <c r="KX23" s="605"/>
      <c r="KY23" s="605"/>
      <c r="KZ23" s="605"/>
      <c r="LA23" s="605"/>
      <c r="LB23" s="605"/>
      <c r="LC23" s="605"/>
      <c r="LD23" s="605"/>
      <c r="LE23" s="605"/>
      <c r="LF23" s="605"/>
      <c r="LG23" s="605"/>
      <c r="LH23" s="605"/>
      <c r="LI23" s="605"/>
      <c r="LJ23" s="605"/>
      <c r="LK23" s="605"/>
      <c r="LL23" s="605"/>
      <c r="LM23" s="605"/>
      <c r="LN23" s="605"/>
      <c r="LO23" s="605"/>
      <c r="LP23" s="605"/>
      <c r="LQ23" s="605"/>
      <c r="LR23" s="605"/>
      <c r="LS23" s="605"/>
      <c r="LT23" s="605"/>
      <c r="LU23" s="605"/>
      <c r="LV23" s="605"/>
      <c r="LW23" s="605"/>
      <c r="LX23" s="605"/>
      <c r="LY23" s="605"/>
      <c r="LZ23" s="605"/>
      <c r="MA23" s="605"/>
      <c r="MB23" s="605"/>
      <c r="MC23" s="605"/>
      <c r="MD23" s="605"/>
      <c r="ME23" s="605"/>
      <c r="MF23" s="605"/>
      <c r="MG23" s="605"/>
      <c r="MH23" s="605"/>
      <c r="MI23" s="605"/>
      <c r="MJ23" s="605"/>
      <c r="MK23" s="605"/>
      <c r="ML23" s="605"/>
      <c r="MM23" s="605"/>
      <c r="MN23" s="605"/>
      <c r="MO23" s="605"/>
      <c r="MP23" s="605"/>
      <c r="MQ23" s="605"/>
      <c r="MR23" s="605"/>
      <c r="MS23" s="605"/>
      <c r="MT23" s="605"/>
      <c r="MU23" s="605"/>
      <c r="MV23" s="605"/>
      <c r="MW23" s="605"/>
      <c r="MX23" s="605"/>
      <c r="MY23" s="605"/>
      <c r="MZ23" s="605"/>
      <c r="NA23" s="605"/>
      <c r="NB23" s="605"/>
      <c r="NC23" s="605"/>
      <c r="ND23" s="605"/>
      <c r="NE23" s="605"/>
      <c r="NF23" s="605"/>
      <c r="NG23" s="605"/>
      <c r="NH23" s="605"/>
      <c r="NI23" s="605"/>
      <c r="NJ23" s="605"/>
      <c r="NK23" s="605"/>
      <c r="NL23" s="605"/>
      <c r="NM23" s="605"/>
      <c r="NN23" s="605"/>
      <c r="NO23" s="605"/>
      <c r="NP23" s="605"/>
      <c r="NQ23" s="605"/>
      <c r="NR23" s="605"/>
      <c r="NS23" s="605"/>
      <c r="NT23" s="605"/>
      <c r="NU23" s="605"/>
      <c r="NV23" s="605"/>
      <c r="NW23" s="605"/>
      <c r="NX23" s="605"/>
      <c r="NY23" s="605"/>
      <c r="NZ23" s="605"/>
      <c r="OA23" s="605"/>
      <c r="OB23" s="605"/>
      <c r="OC23" s="605"/>
      <c r="OD23" s="605"/>
      <c r="OE23" s="605"/>
      <c r="OF23" s="605"/>
      <c r="OG23" s="605"/>
      <c r="OH23" s="605"/>
      <c r="OI23" s="605"/>
      <c r="OJ23" s="605"/>
      <c r="OK23" s="605"/>
      <c r="OL23" s="605"/>
      <c r="OM23" s="605"/>
      <c r="ON23" s="605"/>
      <c r="OO23" s="605"/>
      <c r="OP23" s="605"/>
      <c r="OQ23" s="605"/>
      <c r="OR23" s="605"/>
      <c r="OS23" s="605"/>
      <c r="OT23" s="605"/>
      <c r="OU23" s="605"/>
      <c r="OV23" s="605"/>
      <c r="OW23" s="605"/>
      <c r="OX23" s="605"/>
      <c r="OY23" s="605"/>
      <c r="OZ23" s="605"/>
      <c r="PA23" s="605"/>
      <c r="PB23" s="605"/>
      <c r="PC23" s="605"/>
      <c r="PD23" s="605"/>
      <c r="PE23" s="605"/>
      <c r="PF23" s="605"/>
      <c r="PG23" s="605"/>
      <c r="PH23" s="605"/>
      <c r="PI23" s="605"/>
      <c r="PJ23" s="605"/>
      <c r="PK23" s="605"/>
      <c r="PL23" s="605"/>
      <c r="PM23" s="605"/>
      <c r="PN23" s="605"/>
      <c r="PO23" s="605"/>
      <c r="PP23" s="605"/>
      <c r="PQ23" s="605"/>
      <c r="PR23" s="605"/>
      <c r="PS23" s="605"/>
      <c r="PT23" s="605"/>
      <c r="PU23" s="605"/>
      <c r="PV23" s="605"/>
      <c r="PW23" s="605"/>
      <c r="PX23" s="605"/>
      <c r="PY23" s="605"/>
      <c r="PZ23" s="605"/>
      <c r="QA23" s="605"/>
      <c r="QB23" s="605"/>
      <c r="QC23" s="605"/>
      <c r="QD23" s="605"/>
      <c r="QE23" s="605"/>
      <c r="QF23" s="605"/>
      <c r="QG23" s="605"/>
      <c r="QH23" s="605"/>
      <c r="QI23" s="605"/>
      <c r="QJ23" s="605"/>
      <c r="QK23" s="605"/>
      <c r="QL23" s="605"/>
      <c r="QM23" s="605"/>
      <c r="QN23" s="605"/>
      <c r="QO23" s="605"/>
      <c r="QP23" s="605"/>
      <c r="QQ23" s="605"/>
      <c r="QR23" s="605"/>
      <c r="QS23" s="605"/>
      <c r="QT23" s="605"/>
      <c r="QU23" s="605"/>
      <c r="QV23" s="605"/>
      <c r="QW23" s="605"/>
      <c r="QX23" s="605"/>
      <c r="QY23" s="605"/>
      <c r="QZ23" s="605"/>
      <c r="RA23" s="605"/>
      <c r="RB23" s="605"/>
      <c r="RC23" s="605"/>
      <c r="RD23" s="605"/>
      <c r="RE23" s="605"/>
      <c r="RF23" s="605"/>
      <c r="RG23" s="605"/>
      <c r="RH23" s="605"/>
    </row>
    <row r="24" spans="2:476" s="526" customFormat="1" ht="19.5" customHeight="1">
      <c r="B24" s="552">
        <v>45818</v>
      </c>
      <c r="C24" s="553">
        <v>16</v>
      </c>
      <c r="D24" s="554">
        <v>0</v>
      </c>
      <c r="E24" s="554">
        <v>2</v>
      </c>
      <c r="F24" s="555">
        <f t="shared" si="0"/>
        <v>8.0833333351765795</v>
      </c>
      <c r="G24" s="556"/>
      <c r="H24" s="557"/>
      <c r="I24" s="560"/>
      <c r="J24" s="576">
        <v>4.9999999991850901</v>
      </c>
      <c r="K24" s="576"/>
      <c r="L24" s="594"/>
      <c r="M24" s="594"/>
      <c r="N24" s="576">
        <v>0.24999999819556301</v>
      </c>
      <c r="O24" s="560">
        <v>0.66666666744276903</v>
      </c>
      <c r="P24" s="557"/>
      <c r="Q24" s="557"/>
      <c r="R24" s="557"/>
      <c r="S24" s="557"/>
      <c r="T24" s="557"/>
      <c r="U24" s="557"/>
      <c r="V24" s="557"/>
      <c r="W24" s="557"/>
      <c r="X24" s="576"/>
      <c r="Y24" s="622">
        <v>1</v>
      </c>
      <c r="Z24" s="607">
        <f t="shared" si="1"/>
        <v>0</v>
      </c>
      <c r="AA24" s="607">
        <f t="shared" si="2"/>
        <v>5.9166666648234196</v>
      </c>
      <c r="AB24" s="608">
        <f t="shared" si="3"/>
        <v>1</v>
      </c>
      <c r="AC24" s="621"/>
      <c r="AD24" s="605"/>
      <c r="AE24" s="605"/>
      <c r="AF24" s="605"/>
      <c r="AG24" s="605"/>
      <c r="AH24" s="605"/>
      <c r="AI24" s="605"/>
      <c r="AJ24" s="605"/>
      <c r="AK24" s="605"/>
      <c r="AL24" s="605"/>
      <c r="AM24" s="605"/>
      <c r="AN24" s="605"/>
      <c r="AO24" s="605"/>
      <c r="AP24" s="605"/>
      <c r="AQ24" s="605"/>
      <c r="AR24" s="605"/>
      <c r="AS24" s="605"/>
      <c r="AT24" s="605"/>
      <c r="AU24" s="605"/>
      <c r="AV24" s="605"/>
      <c r="AW24" s="605"/>
      <c r="AX24" s="605"/>
      <c r="AY24" s="605"/>
      <c r="AZ24" s="605"/>
      <c r="BA24" s="605"/>
      <c r="BB24" s="605"/>
      <c r="BC24" s="605"/>
      <c r="BD24" s="605"/>
      <c r="BE24" s="605"/>
      <c r="BF24" s="605"/>
      <c r="BG24" s="605"/>
      <c r="BH24" s="605"/>
      <c r="BI24" s="605"/>
      <c r="BJ24" s="605"/>
      <c r="BK24" s="605"/>
      <c r="BL24" s="605"/>
      <c r="BM24" s="605"/>
      <c r="BN24" s="605"/>
      <c r="BO24" s="605"/>
      <c r="BP24" s="605"/>
      <c r="BQ24" s="605"/>
      <c r="BR24" s="605"/>
      <c r="BS24" s="605"/>
      <c r="BT24" s="605"/>
      <c r="BU24" s="605"/>
      <c r="BV24" s="605"/>
      <c r="BW24" s="605"/>
      <c r="BX24" s="605"/>
      <c r="BY24" s="605"/>
      <c r="BZ24" s="605"/>
      <c r="CA24" s="605"/>
      <c r="CB24" s="605"/>
      <c r="CC24" s="605"/>
      <c r="CD24" s="605"/>
      <c r="CE24" s="605"/>
      <c r="CF24" s="605"/>
      <c r="CG24" s="605"/>
      <c r="CH24" s="605"/>
      <c r="CI24" s="605"/>
      <c r="CJ24" s="605"/>
      <c r="CK24" s="605"/>
      <c r="CL24" s="605"/>
      <c r="CM24" s="605"/>
      <c r="CN24" s="605"/>
      <c r="CO24" s="605"/>
      <c r="CP24" s="605"/>
      <c r="CQ24" s="605"/>
      <c r="CR24" s="605"/>
      <c r="CS24" s="605"/>
      <c r="CT24" s="605"/>
      <c r="CU24" s="605"/>
      <c r="CV24" s="605"/>
      <c r="CW24" s="605"/>
      <c r="CX24" s="605"/>
      <c r="CY24" s="605"/>
      <c r="CZ24" s="605"/>
      <c r="DA24" s="605"/>
      <c r="DB24" s="605"/>
      <c r="DC24" s="605"/>
      <c r="DD24" s="605"/>
      <c r="DE24" s="605"/>
      <c r="DF24" s="605"/>
      <c r="DG24" s="605"/>
      <c r="DH24" s="605"/>
      <c r="DI24" s="605"/>
      <c r="DJ24" s="605"/>
      <c r="DK24" s="605"/>
      <c r="DL24" s="605"/>
      <c r="DM24" s="605"/>
      <c r="DN24" s="605"/>
      <c r="DO24" s="605"/>
      <c r="DP24" s="605"/>
      <c r="DQ24" s="605"/>
      <c r="DR24" s="605"/>
      <c r="DS24" s="605"/>
      <c r="DT24" s="605"/>
      <c r="DU24" s="605"/>
      <c r="DV24" s="605"/>
      <c r="DW24" s="605"/>
      <c r="DX24" s="605"/>
      <c r="DY24" s="605"/>
      <c r="DZ24" s="605"/>
      <c r="EA24" s="605"/>
      <c r="EB24" s="605"/>
      <c r="EC24" s="605"/>
      <c r="ED24" s="605"/>
      <c r="EE24" s="605"/>
      <c r="EF24" s="605"/>
      <c r="EG24" s="605"/>
      <c r="EH24" s="605"/>
      <c r="EI24" s="605"/>
      <c r="EJ24" s="605"/>
      <c r="EK24" s="605"/>
      <c r="EL24" s="605"/>
      <c r="EM24" s="605"/>
      <c r="EN24" s="605"/>
      <c r="EO24" s="605"/>
      <c r="EP24" s="605"/>
      <c r="EQ24" s="605"/>
      <c r="ER24" s="605"/>
      <c r="ES24" s="605"/>
      <c r="ET24" s="605"/>
      <c r="EU24" s="605"/>
      <c r="EV24" s="605"/>
      <c r="EW24" s="605"/>
      <c r="EX24" s="605"/>
      <c r="EY24" s="605"/>
      <c r="EZ24" s="605"/>
      <c r="FA24" s="605"/>
      <c r="FB24" s="605"/>
      <c r="FC24" s="605"/>
      <c r="FD24" s="605"/>
      <c r="FE24" s="605"/>
      <c r="FF24" s="605"/>
      <c r="FG24" s="605"/>
      <c r="FH24" s="605"/>
      <c r="FI24" s="605"/>
      <c r="FJ24" s="605"/>
      <c r="FK24" s="605"/>
      <c r="FL24" s="605"/>
      <c r="FM24" s="605"/>
      <c r="FN24" s="605"/>
      <c r="FO24" s="605"/>
      <c r="FP24" s="605"/>
      <c r="FQ24" s="605"/>
      <c r="FR24" s="605"/>
      <c r="FS24" s="605"/>
      <c r="FT24" s="605"/>
      <c r="FU24" s="605"/>
      <c r="FV24" s="605"/>
      <c r="FW24" s="605"/>
      <c r="FX24" s="605"/>
      <c r="FY24" s="605"/>
      <c r="FZ24" s="605"/>
      <c r="GA24" s="605"/>
      <c r="GB24" s="605"/>
      <c r="GC24" s="605"/>
      <c r="GD24" s="605"/>
      <c r="GE24" s="605"/>
      <c r="GF24" s="605"/>
      <c r="GG24" s="605"/>
      <c r="GH24" s="605"/>
      <c r="GI24" s="605"/>
      <c r="GJ24" s="605"/>
      <c r="GK24" s="605"/>
      <c r="GL24" s="605"/>
      <c r="GM24" s="605"/>
      <c r="GN24" s="605"/>
      <c r="GO24" s="605"/>
      <c r="GP24" s="605"/>
      <c r="GQ24" s="605"/>
      <c r="GR24" s="605"/>
      <c r="GS24" s="605"/>
      <c r="GT24" s="605"/>
      <c r="GU24" s="605"/>
      <c r="GV24" s="605"/>
      <c r="GW24" s="605"/>
      <c r="GX24" s="605"/>
      <c r="GY24" s="605"/>
      <c r="GZ24" s="605"/>
      <c r="HA24" s="605"/>
      <c r="HB24" s="605"/>
      <c r="HC24" s="605"/>
      <c r="HD24" s="605"/>
      <c r="HE24" s="605"/>
      <c r="HF24" s="605"/>
      <c r="HG24" s="605"/>
      <c r="HH24" s="605"/>
      <c r="HI24" s="605"/>
      <c r="HJ24" s="605"/>
      <c r="HK24" s="605"/>
      <c r="HL24" s="605"/>
      <c r="HM24" s="605"/>
      <c r="HN24" s="605"/>
      <c r="HO24" s="605"/>
      <c r="HP24" s="605"/>
      <c r="HQ24" s="605"/>
      <c r="HR24" s="605"/>
      <c r="HS24" s="605"/>
      <c r="HT24" s="605"/>
      <c r="HU24" s="605"/>
      <c r="HV24" s="605"/>
      <c r="HW24" s="605"/>
      <c r="HX24" s="605"/>
      <c r="HY24" s="605"/>
      <c r="HZ24" s="605"/>
      <c r="IA24" s="605"/>
      <c r="IB24" s="605"/>
      <c r="IC24" s="605"/>
      <c r="ID24" s="605"/>
      <c r="IE24" s="605"/>
      <c r="IF24" s="605"/>
      <c r="IG24" s="605"/>
      <c r="IH24" s="605"/>
      <c r="II24" s="605"/>
      <c r="IJ24" s="605"/>
      <c r="IK24" s="605"/>
      <c r="IL24" s="605"/>
      <c r="IM24" s="605"/>
      <c r="IN24" s="605"/>
      <c r="IO24" s="605"/>
      <c r="IP24" s="605"/>
      <c r="IQ24" s="605"/>
      <c r="IR24" s="605"/>
      <c r="IS24" s="605"/>
      <c r="IT24" s="605"/>
      <c r="IU24" s="605"/>
      <c r="IV24" s="605"/>
      <c r="IW24" s="605"/>
      <c r="IX24" s="605"/>
      <c r="IY24" s="605"/>
      <c r="IZ24" s="605"/>
      <c r="JA24" s="605"/>
      <c r="JB24" s="605"/>
      <c r="JC24" s="605"/>
      <c r="JD24" s="605"/>
      <c r="JE24" s="605"/>
      <c r="JF24" s="605"/>
      <c r="JG24" s="605"/>
      <c r="JH24" s="605"/>
      <c r="JI24" s="605"/>
      <c r="JJ24" s="605"/>
      <c r="JK24" s="605"/>
      <c r="JL24" s="605"/>
      <c r="JM24" s="605"/>
      <c r="JN24" s="605"/>
      <c r="JO24" s="605"/>
      <c r="JP24" s="605"/>
      <c r="JQ24" s="605"/>
      <c r="JR24" s="605"/>
      <c r="JS24" s="605"/>
      <c r="JT24" s="605"/>
      <c r="JU24" s="605"/>
      <c r="JV24" s="605"/>
      <c r="JW24" s="605"/>
      <c r="JX24" s="605"/>
      <c r="JY24" s="605"/>
      <c r="JZ24" s="605"/>
      <c r="KA24" s="605"/>
      <c r="KB24" s="605"/>
      <c r="KC24" s="605"/>
      <c r="KD24" s="605"/>
      <c r="KE24" s="605"/>
      <c r="KF24" s="605"/>
      <c r="KG24" s="605"/>
      <c r="KH24" s="605"/>
      <c r="KI24" s="605"/>
      <c r="KJ24" s="605"/>
      <c r="KK24" s="605"/>
      <c r="KL24" s="605"/>
      <c r="KM24" s="605"/>
      <c r="KN24" s="605"/>
      <c r="KO24" s="605"/>
      <c r="KP24" s="605"/>
      <c r="KQ24" s="605"/>
      <c r="KR24" s="605"/>
      <c r="KS24" s="605"/>
      <c r="KT24" s="605"/>
      <c r="KU24" s="605"/>
      <c r="KV24" s="605"/>
      <c r="KW24" s="605"/>
      <c r="KX24" s="605"/>
      <c r="KY24" s="605"/>
      <c r="KZ24" s="605"/>
      <c r="LA24" s="605"/>
      <c r="LB24" s="605"/>
      <c r="LC24" s="605"/>
      <c r="LD24" s="605"/>
      <c r="LE24" s="605"/>
      <c r="LF24" s="605"/>
      <c r="LG24" s="605"/>
      <c r="LH24" s="605"/>
      <c r="LI24" s="605"/>
      <c r="LJ24" s="605"/>
      <c r="LK24" s="605"/>
      <c r="LL24" s="605"/>
      <c r="LM24" s="605"/>
      <c r="LN24" s="605"/>
      <c r="LO24" s="605"/>
      <c r="LP24" s="605"/>
      <c r="LQ24" s="605"/>
      <c r="LR24" s="605"/>
      <c r="LS24" s="605"/>
      <c r="LT24" s="605"/>
      <c r="LU24" s="605"/>
      <c r="LV24" s="605"/>
      <c r="LW24" s="605"/>
      <c r="LX24" s="605"/>
      <c r="LY24" s="605"/>
      <c r="LZ24" s="605"/>
      <c r="MA24" s="605"/>
      <c r="MB24" s="605"/>
      <c r="MC24" s="605"/>
      <c r="MD24" s="605"/>
      <c r="ME24" s="605"/>
      <c r="MF24" s="605"/>
      <c r="MG24" s="605"/>
      <c r="MH24" s="605"/>
      <c r="MI24" s="605"/>
      <c r="MJ24" s="605"/>
      <c r="MK24" s="605"/>
      <c r="ML24" s="605"/>
      <c r="MM24" s="605"/>
      <c r="MN24" s="605"/>
      <c r="MO24" s="605"/>
      <c r="MP24" s="605"/>
      <c r="MQ24" s="605"/>
      <c r="MR24" s="605"/>
      <c r="MS24" s="605"/>
      <c r="MT24" s="605"/>
      <c r="MU24" s="605"/>
      <c r="MV24" s="605"/>
      <c r="MW24" s="605"/>
      <c r="MX24" s="605"/>
      <c r="MY24" s="605"/>
      <c r="MZ24" s="605"/>
      <c r="NA24" s="605"/>
      <c r="NB24" s="605"/>
      <c r="NC24" s="605"/>
      <c r="ND24" s="605"/>
      <c r="NE24" s="605"/>
      <c r="NF24" s="605"/>
      <c r="NG24" s="605"/>
      <c r="NH24" s="605"/>
      <c r="NI24" s="605"/>
      <c r="NJ24" s="605"/>
      <c r="NK24" s="605"/>
      <c r="NL24" s="605"/>
      <c r="NM24" s="605"/>
      <c r="NN24" s="605"/>
      <c r="NO24" s="605"/>
      <c r="NP24" s="605"/>
      <c r="NQ24" s="605"/>
      <c r="NR24" s="605"/>
      <c r="NS24" s="605"/>
      <c r="NT24" s="605"/>
      <c r="NU24" s="605"/>
      <c r="NV24" s="605"/>
      <c r="NW24" s="605"/>
      <c r="NX24" s="605"/>
      <c r="NY24" s="605"/>
      <c r="NZ24" s="605"/>
      <c r="OA24" s="605"/>
      <c r="OB24" s="605"/>
      <c r="OC24" s="605"/>
      <c r="OD24" s="605"/>
      <c r="OE24" s="605"/>
      <c r="OF24" s="605"/>
      <c r="OG24" s="605"/>
      <c r="OH24" s="605"/>
      <c r="OI24" s="605"/>
      <c r="OJ24" s="605"/>
      <c r="OK24" s="605"/>
      <c r="OL24" s="605"/>
      <c r="OM24" s="605"/>
      <c r="ON24" s="605"/>
      <c r="OO24" s="605"/>
      <c r="OP24" s="605"/>
      <c r="OQ24" s="605"/>
      <c r="OR24" s="605"/>
      <c r="OS24" s="605"/>
      <c r="OT24" s="605"/>
      <c r="OU24" s="605"/>
      <c r="OV24" s="605"/>
      <c r="OW24" s="605"/>
      <c r="OX24" s="605"/>
      <c r="OY24" s="605"/>
      <c r="OZ24" s="605"/>
      <c r="PA24" s="605"/>
      <c r="PB24" s="605"/>
      <c r="PC24" s="605"/>
      <c r="PD24" s="605"/>
      <c r="PE24" s="605"/>
      <c r="PF24" s="605"/>
      <c r="PG24" s="605"/>
      <c r="PH24" s="605"/>
      <c r="PI24" s="605"/>
      <c r="PJ24" s="605"/>
      <c r="PK24" s="605"/>
      <c r="PL24" s="605"/>
      <c r="PM24" s="605"/>
      <c r="PN24" s="605"/>
      <c r="PO24" s="605"/>
      <c r="PP24" s="605"/>
      <c r="PQ24" s="605"/>
      <c r="PR24" s="605"/>
      <c r="PS24" s="605"/>
      <c r="PT24" s="605"/>
      <c r="PU24" s="605"/>
      <c r="PV24" s="605"/>
      <c r="PW24" s="605"/>
      <c r="PX24" s="605"/>
      <c r="PY24" s="605"/>
      <c r="PZ24" s="605"/>
      <c r="QA24" s="605"/>
      <c r="QB24" s="605"/>
      <c r="QC24" s="605"/>
      <c r="QD24" s="605"/>
      <c r="QE24" s="605"/>
      <c r="QF24" s="605"/>
      <c r="QG24" s="605"/>
      <c r="QH24" s="605"/>
      <c r="QI24" s="605"/>
      <c r="QJ24" s="605"/>
      <c r="QK24" s="605"/>
      <c r="QL24" s="605"/>
      <c r="QM24" s="605"/>
      <c r="QN24" s="605"/>
      <c r="QO24" s="605"/>
      <c r="QP24" s="605"/>
      <c r="QQ24" s="605"/>
      <c r="QR24" s="605"/>
      <c r="QS24" s="605"/>
      <c r="QT24" s="605"/>
      <c r="QU24" s="605"/>
      <c r="QV24" s="605"/>
      <c r="QW24" s="605"/>
      <c r="QX24" s="605"/>
      <c r="QY24" s="605"/>
      <c r="QZ24" s="605"/>
      <c r="RA24" s="605"/>
      <c r="RB24" s="605"/>
      <c r="RC24" s="605"/>
      <c r="RD24" s="605"/>
      <c r="RE24" s="605"/>
      <c r="RF24" s="605"/>
      <c r="RG24" s="605"/>
      <c r="RH24" s="605"/>
    </row>
    <row r="25" spans="2:476" s="526" customFormat="1" ht="20.100000000000001" customHeight="1">
      <c r="B25" s="552"/>
      <c r="C25" s="553">
        <v>16</v>
      </c>
      <c r="D25" s="554">
        <v>0</v>
      </c>
      <c r="E25" s="554">
        <v>2</v>
      </c>
      <c r="F25" s="555">
        <f t="shared" si="0"/>
        <v>6.9166666666278598</v>
      </c>
      <c r="G25" s="571"/>
      <c r="H25" s="557"/>
      <c r="I25" s="560"/>
      <c r="J25" s="576">
        <v>7.0000000008149099</v>
      </c>
      <c r="K25" s="595"/>
      <c r="L25" s="595"/>
      <c r="M25" s="595"/>
      <c r="N25" s="576">
        <v>8.3333332557231202E-2</v>
      </c>
      <c r="O25" s="560">
        <v>0</v>
      </c>
      <c r="P25" s="557"/>
      <c r="Q25" s="557"/>
      <c r="R25" s="557"/>
      <c r="S25" s="557"/>
      <c r="T25" s="557"/>
      <c r="U25" s="557"/>
      <c r="V25" s="557"/>
      <c r="W25" s="557"/>
      <c r="X25" s="557"/>
      <c r="Y25" s="622">
        <v>2</v>
      </c>
      <c r="Z25" s="607">
        <f t="shared" si="1"/>
        <v>0</v>
      </c>
      <c r="AA25" s="607">
        <f t="shared" si="2"/>
        <v>7.0833333333721402</v>
      </c>
      <c r="AB25" s="608">
        <f t="shared" si="3"/>
        <v>1</v>
      </c>
      <c r="AC25" s="623"/>
      <c r="AD25" s="605"/>
      <c r="AE25" s="605"/>
      <c r="AF25" s="605"/>
      <c r="AG25" s="605"/>
      <c r="AH25" s="605"/>
      <c r="AI25" s="605"/>
      <c r="AJ25" s="605"/>
      <c r="AK25" s="605"/>
      <c r="AL25" s="605"/>
      <c r="AM25" s="605"/>
      <c r="AN25" s="605"/>
      <c r="AO25" s="605"/>
      <c r="AP25" s="605"/>
      <c r="AQ25" s="605"/>
      <c r="AR25" s="605"/>
      <c r="AS25" s="605"/>
      <c r="AT25" s="605"/>
      <c r="AU25" s="605"/>
      <c r="AV25" s="605"/>
      <c r="AW25" s="605"/>
      <c r="AX25" s="605"/>
      <c r="AY25" s="605"/>
      <c r="AZ25" s="605"/>
      <c r="BA25" s="605"/>
      <c r="BB25" s="605"/>
      <c r="BC25" s="605"/>
      <c r="BD25" s="605"/>
      <c r="BE25" s="605"/>
      <c r="BF25" s="605"/>
      <c r="BG25" s="605"/>
      <c r="BH25" s="605"/>
      <c r="BI25" s="605"/>
      <c r="BJ25" s="605"/>
      <c r="BK25" s="605"/>
      <c r="BL25" s="605"/>
      <c r="BM25" s="605"/>
      <c r="BN25" s="605"/>
      <c r="BO25" s="605"/>
      <c r="BP25" s="605"/>
      <c r="BQ25" s="605"/>
      <c r="BR25" s="605"/>
      <c r="BS25" s="605"/>
      <c r="BT25" s="605"/>
      <c r="BU25" s="605"/>
      <c r="BV25" s="605"/>
      <c r="BW25" s="605"/>
      <c r="BX25" s="605"/>
      <c r="BY25" s="605"/>
      <c r="BZ25" s="605"/>
      <c r="CA25" s="605"/>
      <c r="CB25" s="605"/>
      <c r="CC25" s="605"/>
      <c r="CD25" s="605"/>
      <c r="CE25" s="605"/>
      <c r="CF25" s="605"/>
      <c r="CG25" s="605"/>
      <c r="CH25" s="605"/>
      <c r="CI25" s="605"/>
      <c r="CJ25" s="605"/>
      <c r="CK25" s="605"/>
      <c r="CL25" s="605"/>
      <c r="CM25" s="605"/>
      <c r="CN25" s="605"/>
      <c r="CO25" s="605"/>
      <c r="CP25" s="605"/>
      <c r="CQ25" s="605"/>
      <c r="CR25" s="605"/>
      <c r="CS25" s="605"/>
      <c r="CT25" s="605"/>
      <c r="CU25" s="605"/>
      <c r="CV25" s="605"/>
      <c r="CW25" s="605"/>
      <c r="CX25" s="605"/>
      <c r="CY25" s="605"/>
      <c r="CZ25" s="605"/>
      <c r="DA25" s="605"/>
      <c r="DB25" s="605"/>
      <c r="DC25" s="605"/>
      <c r="DD25" s="605"/>
      <c r="DE25" s="605"/>
      <c r="DF25" s="605"/>
      <c r="DG25" s="605"/>
      <c r="DH25" s="605"/>
      <c r="DI25" s="605"/>
      <c r="DJ25" s="605"/>
      <c r="DK25" s="605"/>
      <c r="DL25" s="605"/>
      <c r="DM25" s="605"/>
      <c r="DN25" s="605"/>
      <c r="DO25" s="605"/>
      <c r="DP25" s="605"/>
      <c r="DQ25" s="605"/>
      <c r="DR25" s="605"/>
      <c r="DS25" s="605"/>
      <c r="DT25" s="605"/>
      <c r="DU25" s="605"/>
      <c r="DV25" s="605"/>
      <c r="DW25" s="605"/>
      <c r="DX25" s="605"/>
      <c r="DY25" s="605"/>
      <c r="DZ25" s="605"/>
      <c r="EA25" s="605"/>
      <c r="EB25" s="605"/>
      <c r="EC25" s="605"/>
      <c r="ED25" s="605"/>
      <c r="EE25" s="605"/>
      <c r="EF25" s="605"/>
      <c r="EG25" s="605"/>
      <c r="EH25" s="605"/>
      <c r="EI25" s="605"/>
      <c r="EJ25" s="605"/>
      <c r="EK25" s="605"/>
      <c r="EL25" s="605"/>
      <c r="EM25" s="605"/>
      <c r="EN25" s="605"/>
      <c r="EO25" s="605"/>
      <c r="EP25" s="605"/>
      <c r="EQ25" s="605"/>
      <c r="ER25" s="605"/>
      <c r="ES25" s="605"/>
      <c r="ET25" s="605"/>
      <c r="EU25" s="605"/>
      <c r="EV25" s="605"/>
      <c r="EW25" s="605"/>
      <c r="EX25" s="605"/>
      <c r="EY25" s="605"/>
      <c r="EZ25" s="605"/>
      <c r="FA25" s="605"/>
      <c r="FB25" s="605"/>
      <c r="FC25" s="605"/>
      <c r="FD25" s="605"/>
      <c r="FE25" s="605"/>
      <c r="FF25" s="605"/>
      <c r="FG25" s="605"/>
      <c r="FH25" s="605"/>
      <c r="FI25" s="605"/>
      <c r="FJ25" s="605"/>
      <c r="FK25" s="605"/>
      <c r="FL25" s="605"/>
      <c r="FM25" s="605"/>
      <c r="FN25" s="605"/>
      <c r="FO25" s="605"/>
      <c r="FP25" s="605"/>
      <c r="FQ25" s="605"/>
      <c r="FR25" s="605"/>
      <c r="FS25" s="605"/>
      <c r="FT25" s="605"/>
      <c r="FU25" s="605"/>
      <c r="FV25" s="605"/>
      <c r="FW25" s="605"/>
      <c r="FX25" s="605"/>
      <c r="FY25" s="605"/>
      <c r="FZ25" s="605"/>
      <c r="GA25" s="605"/>
      <c r="GB25" s="605"/>
      <c r="GC25" s="605"/>
      <c r="GD25" s="605"/>
      <c r="GE25" s="605"/>
      <c r="GF25" s="605"/>
      <c r="GG25" s="605"/>
      <c r="GH25" s="605"/>
      <c r="GI25" s="605"/>
      <c r="GJ25" s="605"/>
      <c r="GK25" s="605"/>
      <c r="GL25" s="605"/>
      <c r="GM25" s="605"/>
      <c r="GN25" s="605"/>
      <c r="GO25" s="605"/>
      <c r="GP25" s="605"/>
      <c r="GQ25" s="605"/>
      <c r="GR25" s="605"/>
      <c r="GS25" s="605"/>
      <c r="GT25" s="605"/>
      <c r="GU25" s="605"/>
      <c r="GV25" s="605"/>
      <c r="GW25" s="605"/>
      <c r="GX25" s="605"/>
      <c r="GY25" s="605"/>
      <c r="GZ25" s="605"/>
      <c r="HA25" s="605"/>
      <c r="HB25" s="605"/>
      <c r="HC25" s="605"/>
      <c r="HD25" s="605"/>
      <c r="HE25" s="605"/>
      <c r="HF25" s="605"/>
      <c r="HG25" s="605"/>
      <c r="HH25" s="605"/>
      <c r="HI25" s="605"/>
      <c r="HJ25" s="605"/>
      <c r="HK25" s="605"/>
      <c r="HL25" s="605"/>
      <c r="HM25" s="605"/>
      <c r="HN25" s="605"/>
      <c r="HO25" s="605"/>
      <c r="HP25" s="605"/>
      <c r="HQ25" s="605"/>
      <c r="HR25" s="605"/>
      <c r="HS25" s="605"/>
      <c r="HT25" s="605"/>
      <c r="HU25" s="605"/>
      <c r="HV25" s="605"/>
      <c r="HW25" s="605"/>
      <c r="HX25" s="605"/>
      <c r="HY25" s="605"/>
      <c r="HZ25" s="605"/>
      <c r="IA25" s="605"/>
      <c r="IB25" s="605"/>
      <c r="IC25" s="605"/>
      <c r="ID25" s="605"/>
      <c r="IE25" s="605"/>
      <c r="IF25" s="605"/>
      <c r="IG25" s="605"/>
      <c r="IH25" s="605"/>
      <c r="II25" s="605"/>
      <c r="IJ25" s="605"/>
      <c r="IK25" s="605"/>
      <c r="IL25" s="605"/>
      <c r="IM25" s="605"/>
      <c r="IN25" s="605"/>
      <c r="IO25" s="605"/>
      <c r="IP25" s="605"/>
      <c r="IQ25" s="605"/>
      <c r="IR25" s="605"/>
      <c r="IS25" s="605"/>
      <c r="IT25" s="605"/>
      <c r="IU25" s="605"/>
      <c r="IV25" s="605"/>
      <c r="IW25" s="605"/>
      <c r="IX25" s="605"/>
      <c r="IY25" s="605"/>
      <c r="IZ25" s="605"/>
      <c r="JA25" s="605"/>
      <c r="JB25" s="605"/>
      <c r="JC25" s="605"/>
      <c r="JD25" s="605"/>
      <c r="JE25" s="605"/>
      <c r="JF25" s="605"/>
      <c r="JG25" s="605"/>
      <c r="JH25" s="605"/>
      <c r="JI25" s="605"/>
      <c r="JJ25" s="605"/>
      <c r="JK25" s="605"/>
      <c r="JL25" s="605"/>
      <c r="JM25" s="605"/>
      <c r="JN25" s="605"/>
      <c r="JO25" s="605"/>
      <c r="JP25" s="605"/>
      <c r="JQ25" s="605"/>
      <c r="JR25" s="605"/>
      <c r="JS25" s="605"/>
      <c r="JT25" s="605"/>
      <c r="JU25" s="605"/>
      <c r="JV25" s="605"/>
      <c r="JW25" s="605"/>
      <c r="JX25" s="605"/>
      <c r="JY25" s="605"/>
      <c r="JZ25" s="605"/>
      <c r="KA25" s="605"/>
      <c r="KB25" s="605"/>
      <c r="KC25" s="605"/>
      <c r="KD25" s="605"/>
      <c r="KE25" s="605"/>
      <c r="KF25" s="605"/>
      <c r="KG25" s="605"/>
      <c r="KH25" s="605"/>
      <c r="KI25" s="605"/>
      <c r="KJ25" s="605"/>
      <c r="KK25" s="605"/>
      <c r="KL25" s="605"/>
      <c r="KM25" s="605"/>
      <c r="KN25" s="605"/>
      <c r="KO25" s="605"/>
      <c r="KP25" s="605"/>
      <c r="KQ25" s="605"/>
      <c r="KR25" s="605"/>
      <c r="KS25" s="605"/>
      <c r="KT25" s="605"/>
      <c r="KU25" s="605"/>
      <c r="KV25" s="605"/>
      <c r="KW25" s="605"/>
      <c r="KX25" s="605"/>
      <c r="KY25" s="605"/>
      <c r="KZ25" s="605"/>
      <c r="LA25" s="605"/>
      <c r="LB25" s="605"/>
      <c r="LC25" s="605"/>
      <c r="LD25" s="605"/>
      <c r="LE25" s="605"/>
      <c r="LF25" s="605"/>
      <c r="LG25" s="605"/>
      <c r="LH25" s="605"/>
      <c r="LI25" s="605"/>
      <c r="LJ25" s="605"/>
      <c r="LK25" s="605"/>
      <c r="LL25" s="605"/>
      <c r="LM25" s="605"/>
      <c r="LN25" s="605"/>
      <c r="LO25" s="605"/>
      <c r="LP25" s="605"/>
      <c r="LQ25" s="605"/>
      <c r="LR25" s="605"/>
      <c r="LS25" s="605"/>
      <c r="LT25" s="605"/>
      <c r="LU25" s="605"/>
      <c r="LV25" s="605"/>
      <c r="LW25" s="605"/>
      <c r="LX25" s="605"/>
      <c r="LY25" s="605"/>
      <c r="LZ25" s="605"/>
      <c r="MA25" s="605"/>
      <c r="MB25" s="605"/>
      <c r="MC25" s="605"/>
      <c r="MD25" s="605"/>
      <c r="ME25" s="605"/>
      <c r="MF25" s="605"/>
      <c r="MG25" s="605"/>
      <c r="MH25" s="605"/>
      <c r="MI25" s="605"/>
      <c r="MJ25" s="605"/>
      <c r="MK25" s="605"/>
      <c r="ML25" s="605"/>
      <c r="MM25" s="605"/>
      <c r="MN25" s="605"/>
      <c r="MO25" s="605"/>
      <c r="MP25" s="605"/>
      <c r="MQ25" s="605"/>
      <c r="MR25" s="605"/>
      <c r="MS25" s="605"/>
      <c r="MT25" s="605"/>
      <c r="MU25" s="605"/>
      <c r="MV25" s="605"/>
      <c r="MW25" s="605"/>
      <c r="MX25" s="605"/>
      <c r="MY25" s="605"/>
      <c r="MZ25" s="605"/>
      <c r="NA25" s="605"/>
      <c r="NB25" s="605"/>
      <c r="NC25" s="605"/>
      <c r="ND25" s="605"/>
      <c r="NE25" s="605"/>
      <c r="NF25" s="605"/>
      <c r="NG25" s="605"/>
      <c r="NH25" s="605"/>
      <c r="NI25" s="605"/>
      <c r="NJ25" s="605"/>
      <c r="NK25" s="605"/>
      <c r="NL25" s="605"/>
      <c r="NM25" s="605"/>
      <c r="NN25" s="605"/>
      <c r="NO25" s="605"/>
      <c r="NP25" s="605"/>
      <c r="NQ25" s="605"/>
      <c r="NR25" s="605"/>
      <c r="NS25" s="605"/>
      <c r="NT25" s="605"/>
      <c r="NU25" s="605"/>
      <c r="NV25" s="605"/>
      <c r="NW25" s="605"/>
      <c r="NX25" s="605"/>
      <c r="NY25" s="605"/>
      <c r="NZ25" s="605"/>
      <c r="OA25" s="605"/>
      <c r="OB25" s="605"/>
      <c r="OC25" s="605"/>
      <c r="OD25" s="605"/>
      <c r="OE25" s="605"/>
      <c r="OF25" s="605"/>
      <c r="OG25" s="605"/>
      <c r="OH25" s="605"/>
      <c r="OI25" s="605"/>
      <c r="OJ25" s="605"/>
      <c r="OK25" s="605"/>
      <c r="OL25" s="605"/>
      <c r="OM25" s="605"/>
      <c r="ON25" s="605"/>
      <c r="OO25" s="605"/>
      <c r="OP25" s="605"/>
      <c r="OQ25" s="605"/>
      <c r="OR25" s="605"/>
      <c r="OS25" s="605"/>
      <c r="OT25" s="605"/>
      <c r="OU25" s="605"/>
      <c r="OV25" s="605"/>
      <c r="OW25" s="605"/>
      <c r="OX25" s="605"/>
      <c r="OY25" s="605"/>
      <c r="OZ25" s="605"/>
      <c r="PA25" s="605"/>
      <c r="PB25" s="605"/>
      <c r="PC25" s="605"/>
      <c r="PD25" s="605"/>
      <c r="PE25" s="605"/>
      <c r="PF25" s="605"/>
      <c r="PG25" s="605"/>
      <c r="PH25" s="605"/>
      <c r="PI25" s="605"/>
      <c r="PJ25" s="605"/>
      <c r="PK25" s="605"/>
      <c r="PL25" s="605"/>
      <c r="PM25" s="605"/>
      <c r="PN25" s="605"/>
      <c r="PO25" s="605"/>
      <c r="PP25" s="605"/>
      <c r="PQ25" s="605"/>
      <c r="PR25" s="605"/>
      <c r="PS25" s="605"/>
      <c r="PT25" s="605"/>
      <c r="PU25" s="605"/>
      <c r="PV25" s="605"/>
      <c r="PW25" s="605"/>
      <c r="PX25" s="605"/>
      <c r="PY25" s="605"/>
      <c r="PZ25" s="605"/>
      <c r="QA25" s="605"/>
      <c r="QB25" s="605"/>
      <c r="QC25" s="605"/>
      <c r="QD25" s="605"/>
      <c r="QE25" s="605"/>
      <c r="QF25" s="605"/>
      <c r="QG25" s="605"/>
      <c r="QH25" s="605"/>
      <c r="QI25" s="605"/>
      <c r="QJ25" s="605"/>
      <c r="QK25" s="605"/>
      <c r="QL25" s="605"/>
      <c r="QM25" s="605"/>
      <c r="QN25" s="605"/>
      <c r="QO25" s="605"/>
      <c r="QP25" s="605"/>
      <c r="QQ25" s="605"/>
      <c r="QR25" s="605"/>
      <c r="QS25" s="605"/>
      <c r="QT25" s="605"/>
      <c r="QU25" s="605"/>
      <c r="QV25" s="605"/>
      <c r="QW25" s="605"/>
      <c r="QX25" s="605"/>
      <c r="QY25" s="605"/>
      <c r="QZ25" s="605"/>
      <c r="RA25" s="605"/>
      <c r="RB25" s="605"/>
      <c r="RC25" s="605"/>
      <c r="RD25" s="605"/>
      <c r="RE25" s="605"/>
      <c r="RF25" s="605"/>
      <c r="RG25" s="605"/>
      <c r="RH25" s="605"/>
    </row>
    <row r="26" spans="2:476" ht="20.100000000000001" customHeight="1">
      <c r="B26" s="558">
        <v>45819</v>
      </c>
      <c r="C26" s="547">
        <v>16</v>
      </c>
      <c r="D26" s="548">
        <v>0</v>
      </c>
      <c r="E26" s="548">
        <v>2</v>
      </c>
      <c r="F26" s="549">
        <f t="shared" si="0"/>
        <v>9.8333333326736394</v>
      </c>
      <c r="G26" s="550"/>
      <c r="H26" s="551"/>
      <c r="I26" s="592"/>
      <c r="J26" s="592">
        <v>2.6666666666278598</v>
      </c>
      <c r="K26" s="586"/>
      <c r="L26" s="586"/>
      <c r="M26" s="586"/>
      <c r="N26" s="586">
        <v>0.33333333319751501</v>
      </c>
      <c r="O26" s="572">
        <v>1.16666666750098</v>
      </c>
      <c r="P26" s="551"/>
      <c r="Q26" s="551"/>
      <c r="R26" s="551"/>
      <c r="S26" s="551"/>
      <c r="T26" s="551"/>
      <c r="U26" s="551"/>
      <c r="V26" s="551"/>
      <c r="W26" s="551"/>
      <c r="X26" s="572"/>
      <c r="Y26" s="624">
        <v>1</v>
      </c>
      <c r="Z26" s="607">
        <f t="shared" si="1"/>
        <v>0</v>
      </c>
      <c r="AA26" s="607">
        <f t="shared" si="2"/>
        <v>4.1666666673263597</v>
      </c>
      <c r="AB26" s="608">
        <f t="shared" si="3"/>
        <v>1</v>
      </c>
      <c r="AC26" s="621"/>
      <c r="AD26" s="605"/>
      <c r="AE26" s="605"/>
      <c r="AF26" s="605"/>
      <c r="AG26" s="605"/>
      <c r="AH26" s="605"/>
      <c r="AI26" s="605"/>
      <c r="AJ26" s="605"/>
      <c r="AK26" s="605"/>
      <c r="AL26" s="605"/>
      <c r="AM26" s="605"/>
      <c r="AN26" s="605"/>
      <c r="AO26" s="605"/>
      <c r="AP26" s="605"/>
      <c r="AQ26" s="605"/>
      <c r="AR26" s="605"/>
      <c r="AS26" s="605"/>
      <c r="AT26" s="605"/>
      <c r="AU26" s="605"/>
      <c r="AV26" s="605"/>
      <c r="AW26" s="605"/>
      <c r="AX26" s="605"/>
      <c r="AY26" s="605"/>
      <c r="AZ26" s="605"/>
      <c r="BA26" s="605"/>
      <c r="BB26" s="605"/>
      <c r="BC26" s="605"/>
      <c r="BD26" s="605"/>
      <c r="BE26" s="605"/>
      <c r="BF26" s="605"/>
      <c r="BG26" s="605"/>
      <c r="BH26" s="605"/>
      <c r="BI26" s="605"/>
      <c r="BJ26" s="605"/>
      <c r="BK26" s="605"/>
      <c r="BL26" s="605"/>
      <c r="BM26" s="605"/>
      <c r="BN26" s="605"/>
      <c r="BO26" s="605"/>
      <c r="BP26" s="605"/>
      <c r="BQ26" s="605"/>
      <c r="BR26" s="605"/>
      <c r="BS26" s="605"/>
      <c r="BT26" s="605"/>
      <c r="BU26" s="605"/>
      <c r="BV26" s="605"/>
      <c r="BW26" s="605"/>
      <c r="BX26" s="605"/>
      <c r="BY26" s="605"/>
      <c r="BZ26" s="605"/>
      <c r="CA26" s="605"/>
      <c r="CB26" s="605"/>
      <c r="CC26" s="605"/>
      <c r="CD26" s="605"/>
      <c r="CE26" s="605"/>
      <c r="CF26" s="605"/>
      <c r="CG26" s="605"/>
      <c r="CH26" s="605"/>
      <c r="CI26" s="605"/>
      <c r="CJ26" s="605"/>
      <c r="CK26" s="605"/>
      <c r="CL26" s="605"/>
      <c r="CM26" s="605"/>
      <c r="CN26" s="605"/>
      <c r="CO26" s="605"/>
      <c r="CP26" s="605"/>
      <c r="CQ26" s="605"/>
      <c r="CR26" s="605"/>
      <c r="CS26" s="605"/>
      <c r="CT26" s="605"/>
      <c r="CU26" s="605"/>
      <c r="CV26" s="605"/>
      <c r="CW26" s="605"/>
      <c r="CX26" s="605"/>
      <c r="CY26" s="605"/>
      <c r="CZ26" s="605"/>
      <c r="DA26" s="605"/>
      <c r="DB26" s="605"/>
      <c r="DC26" s="605"/>
      <c r="DD26" s="605"/>
      <c r="DE26" s="605"/>
      <c r="DF26" s="605"/>
      <c r="DG26" s="605"/>
      <c r="DH26" s="605"/>
      <c r="DI26" s="605"/>
      <c r="DJ26" s="605"/>
      <c r="DK26" s="605"/>
      <c r="DL26" s="605"/>
      <c r="DM26" s="605"/>
      <c r="DN26" s="605"/>
      <c r="DO26" s="605"/>
      <c r="DP26" s="605"/>
      <c r="DQ26" s="605"/>
      <c r="DR26" s="605"/>
      <c r="DS26" s="605"/>
      <c r="DT26" s="605"/>
      <c r="DU26" s="605"/>
      <c r="DV26" s="605"/>
      <c r="DW26" s="605"/>
      <c r="DX26" s="605"/>
      <c r="DY26" s="605"/>
      <c r="DZ26" s="605"/>
      <c r="EA26" s="605"/>
      <c r="EB26" s="605"/>
      <c r="EC26" s="605"/>
      <c r="ED26" s="605"/>
      <c r="EE26" s="605"/>
      <c r="EF26" s="605"/>
      <c r="EG26" s="605"/>
      <c r="EH26" s="605"/>
      <c r="EI26" s="605"/>
      <c r="EJ26" s="605"/>
      <c r="EK26" s="605"/>
      <c r="EL26" s="605"/>
      <c r="EM26" s="605"/>
      <c r="EN26" s="605"/>
      <c r="EO26" s="605"/>
      <c r="EP26" s="605"/>
      <c r="EQ26" s="605"/>
      <c r="ER26" s="605"/>
      <c r="ES26" s="605"/>
      <c r="ET26" s="605"/>
      <c r="EU26" s="605"/>
      <c r="EV26" s="605"/>
      <c r="EW26" s="605"/>
      <c r="EX26" s="605"/>
      <c r="EY26" s="605"/>
      <c r="EZ26" s="605"/>
      <c r="FA26" s="605"/>
      <c r="FB26" s="605"/>
      <c r="FC26" s="605"/>
      <c r="FD26" s="605"/>
      <c r="FE26" s="605"/>
      <c r="FF26" s="605"/>
      <c r="FG26" s="605"/>
      <c r="FH26" s="605"/>
      <c r="FI26" s="605"/>
      <c r="FJ26" s="605"/>
      <c r="FK26" s="605"/>
      <c r="FL26" s="605"/>
      <c r="FM26" s="605"/>
      <c r="FN26" s="605"/>
      <c r="FO26" s="605"/>
      <c r="FP26" s="605"/>
      <c r="FQ26" s="605"/>
      <c r="FR26" s="605"/>
      <c r="FS26" s="605"/>
      <c r="FT26" s="605"/>
      <c r="FU26" s="605"/>
      <c r="FV26" s="605"/>
      <c r="FW26" s="605"/>
      <c r="FX26" s="605"/>
      <c r="FY26" s="605"/>
      <c r="FZ26" s="605"/>
      <c r="GA26" s="605"/>
      <c r="GB26" s="605"/>
      <c r="GC26" s="605"/>
      <c r="GD26" s="605"/>
      <c r="GE26" s="605"/>
      <c r="GF26" s="605"/>
      <c r="GG26" s="605"/>
      <c r="GH26" s="605"/>
      <c r="GI26" s="605"/>
      <c r="GJ26" s="605"/>
      <c r="GK26" s="605"/>
      <c r="GL26" s="605"/>
      <c r="GM26" s="605"/>
      <c r="GN26" s="605"/>
      <c r="GO26" s="605"/>
      <c r="GP26" s="605"/>
      <c r="GQ26" s="605"/>
      <c r="GR26" s="605"/>
      <c r="GS26" s="605"/>
      <c r="GT26" s="605"/>
      <c r="GU26" s="605"/>
      <c r="GV26" s="605"/>
      <c r="GW26" s="605"/>
      <c r="GX26" s="605"/>
      <c r="GY26" s="605"/>
      <c r="GZ26" s="605"/>
      <c r="HA26" s="605"/>
      <c r="HB26" s="605"/>
      <c r="HC26" s="605"/>
      <c r="HD26" s="605"/>
      <c r="HE26" s="605"/>
      <c r="HF26" s="605"/>
      <c r="HG26" s="605"/>
      <c r="HH26" s="605"/>
      <c r="HI26" s="605"/>
      <c r="HJ26" s="605"/>
      <c r="HK26" s="605"/>
      <c r="HL26" s="605"/>
      <c r="HM26" s="605"/>
      <c r="HN26" s="605"/>
      <c r="HO26" s="605"/>
      <c r="HP26" s="605"/>
      <c r="HQ26" s="605"/>
      <c r="HR26" s="605"/>
      <c r="HS26" s="605"/>
      <c r="HT26" s="605"/>
      <c r="HU26" s="605"/>
      <c r="HV26" s="605"/>
      <c r="HW26" s="605"/>
      <c r="HX26" s="605"/>
      <c r="HY26" s="605"/>
      <c r="HZ26" s="605"/>
      <c r="IA26" s="605"/>
      <c r="IB26" s="605"/>
      <c r="IC26" s="605"/>
      <c r="ID26" s="605"/>
      <c r="IE26" s="605"/>
      <c r="IF26" s="605"/>
      <c r="IG26" s="605"/>
      <c r="IH26" s="605"/>
      <c r="II26" s="605"/>
      <c r="IJ26" s="605"/>
      <c r="IK26" s="605"/>
      <c r="IL26" s="605"/>
      <c r="IM26" s="605"/>
      <c r="IN26" s="605"/>
      <c r="IO26" s="605"/>
      <c r="IP26" s="605"/>
      <c r="IQ26" s="605"/>
      <c r="IR26" s="605"/>
      <c r="IS26" s="605"/>
      <c r="IT26" s="605"/>
      <c r="IU26" s="605"/>
      <c r="IV26" s="605"/>
      <c r="IW26" s="605"/>
      <c r="IX26" s="605"/>
      <c r="IY26" s="605"/>
      <c r="IZ26" s="605"/>
      <c r="JA26" s="605"/>
      <c r="JB26" s="605"/>
      <c r="JC26" s="605"/>
      <c r="JD26" s="605"/>
      <c r="JE26" s="605"/>
      <c r="JF26" s="605"/>
      <c r="JG26" s="605"/>
      <c r="JH26" s="605"/>
      <c r="JI26" s="605"/>
      <c r="JJ26" s="605"/>
      <c r="JK26" s="605"/>
      <c r="JL26" s="605"/>
      <c r="JM26" s="605"/>
      <c r="JN26" s="605"/>
      <c r="JO26" s="605"/>
      <c r="JP26" s="605"/>
      <c r="JQ26" s="605"/>
      <c r="JR26" s="605"/>
      <c r="JS26" s="605"/>
      <c r="JT26" s="605"/>
      <c r="JU26" s="605"/>
      <c r="JV26" s="605"/>
      <c r="JW26" s="605"/>
      <c r="JX26" s="605"/>
      <c r="JY26" s="605"/>
      <c r="JZ26" s="605"/>
      <c r="KA26" s="605"/>
      <c r="KB26" s="605"/>
      <c r="KC26" s="605"/>
      <c r="KD26" s="605"/>
      <c r="KE26" s="605"/>
      <c r="KF26" s="605"/>
      <c r="KG26" s="605"/>
      <c r="KH26" s="605"/>
      <c r="KI26" s="605"/>
      <c r="KJ26" s="605"/>
      <c r="KK26" s="605"/>
      <c r="KL26" s="605"/>
      <c r="KM26" s="605"/>
      <c r="KN26" s="605"/>
      <c r="KO26" s="605"/>
      <c r="KP26" s="605"/>
      <c r="KQ26" s="605"/>
      <c r="KR26" s="605"/>
      <c r="KS26" s="605"/>
      <c r="KT26" s="605"/>
      <c r="KU26" s="605"/>
      <c r="KV26" s="605"/>
      <c r="KW26" s="605"/>
      <c r="KX26" s="605"/>
      <c r="KY26" s="605"/>
      <c r="KZ26" s="605"/>
      <c r="LA26" s="605"/>
      <c r="LB26" s="605"/>
      <c r="LC26" s="605"/>
      <c r="LD26" s="605"/>
      <c r="LE26" s="605"/>
      <c r="LF26" s="605"/>
      <c r="LG26" s="605"/>
      <c r="LH26" s="605"/>
      <c r="LI26" s="605"/>
      <c r="LJ26" s="605"/>
      <c r="LK26" s="605"/>
      <c r="LL26" s="605"/>
      <c r="LM26" s="605"/>
      <c r="LN26" s="605"/>
      <c r="LO26" s="605"/>
      <c r="LP26" s="605"/>
      <c r="LQ26" s="605"/>
      <c r="LR26" s="605"/>
      <c r="LS26" s="605"/>
      <c r="LT26" s="605"/>
      <c r="LU26" s="605"/>
      <c r="LV26" s="605"/>
      <c r="LW26" s="605"/>
      <c r="LX26" s="605"/>
      <c r="LY26" s="605"/>
      <c r="LZ26" s="605"/>
      <c r="MA26" s="605"/>
      <c r="MB26" s="605"/>
      <c r="MC26" s="605"/>
      <c r="MD26" s="605"/>
      <c r="ME26" s="605"/>
      <c r="MF26" s="605"/>
      <c r="MG26" s="605"/>
      <c r="MH26" s="605"/>
      <c r="MI26" s="605"/>
      <c r="MJ26" s="605"/>
      <c r="MK26" s="605"/>
      <c r="ML26" s="605"/>
      <c r="MM26" s="605"/>
      <c r="MN26" s="605"/>
      <c r="MO26" s="605"/>
      <c r="MP26" s="605"/>
      <c r="MQ26" s="605"/>
      <c r="MR26" s="605"/>
      <c r="MS26" s="605"/>
      <c r="MT26" s="605"/>
      <c r="MU26" s="605"/>
      <c r="MV26" s="605"/>
      <c r="MW26" s="605"/>
      <c r="MX26" s="605"/>
      <c r="MY26" s="605"/>
      <c r="MZ26" s="605"/>
      <c r="NA26" s="605"/>
      <c r="NB26" s="605"/>
      <c r="NC26" s="605"/>
      <c r="ND26" s="605"/>
      <c r="NE26" s="605"/>
      <c r="NF26" s="605"/>
      <c r="NG26" s="605"/>
      <c r="NH26" s="605"/>
      <c r="NI26" s="605"/>
      <c r="NJ26" s="605"/>
      <c r="NK26" s="605"/>
      <c r="NL26" s="605"/>
      <c r="NM26" s="605"/>
      <c r="NN26" s="605"/>
      <c r="NO26" s="605"/>
      <c r="NP26" s="605"/>
      <c r="NQ26" s="605"/>
      <c r="NR26" s="605"/>
      <c r="NS26" s="605"/>
      <c r="NT26" s="605"/>
      <c r="NU26" s="605"/>
      <c r="NV26" s="605"/>
      <c r="NW26" s="605"/>
      <c r="NX26" s="605"/>
      <c r="NY26" s="605"/>
      <c r="NZ26" s="605"/>
      <c r="OA26" s="605"/>
      <c r="OB26" s="605"/>
      <c r="OC26" s="605"/>
      <c r="OD26" s="605"/>
      <c r="OE26" s="605"/>
      <c r="OF26" s="605"/>
      <c r="OG26" s="605"/>
      <c r="OH26" s="605"/>
      <c r="OI26" s="605"/>
      <c r="OJ26" s="605"/>
      <c r="OK26" s="605"/>
      <c r="OL26" s="605"/>
      <c r="OM26" s="605"/>
      <c r="ON26" s="605"/>
      <c r="OO26" s="605"/>
      <c r="OP26" s="605"/>
      <c r="OQ26" s="605"/>
      <c r="OR26" s="605"/>
      <c r="OS26" s="605"/>
      <c r="OT26" s="605"/>
      <c r="OU26" s="605"/>
      <c r="OV26" s="605"/>
      <c r="OW26" s="605"/>
      <c r="OX26" s="605"/>
      <c r="OY26" s="605"/>
      <c r="OZ26" s="605"/>
      <c r="PA26" s="605"/>
      <c r="PB26" s="605"/>
      <c r="PC26" s="605"/>
      <c r="PD26" s="605"/>
      <c r="PE26" s="605"/>
      <c r="PF26" s="605"/>
      <c r="PG26" s="605"/>
      <c r="PH26" s="605"/>
      <c r="PI26" s="605"/>
      <c r="PJ26" s="605"/>
      <c r="PK26" s="605"/>
      <c r="PL26" s="605"/>
      <c r="PM26" s="605"/>
      <c r="PN26" s="605"/>
      <c r="PO26" s="605"/>
      <c r="PP26" s="605"/>
      <c r="PQ26" s="605"/>
      <c r="PR26" s="605"/>
      <c r="PS26" s="605"/>
      <c r="PT26" s="605"/>
      <c r="PU26" s="605"/>
      <c r="PV26" s="605"/>
      <c r="PW26" s="605"/>
      <c r="PX26" s="605"/>
      <c r="PY26" s="605"/>
      <c r="PZ26" s="605"/>
      <c r="QA26" s="605"/>
      <c r="QB26" s="605"/>
      <c r="QC26" s="605"/>
      <c r="QD26" s="605"/>
      <c r="QE26" s="605"/>
      <c r="QF26" s="605"/>
      <c r="QG26" s="605"/>
      <c r="QH26" s="605"/>
      <c r="QI26" s="605"/>
      <c r="QJ26" s="605"/>
      <c r="QK26" s="605"/>
      <c r="QL26" s="605"/>
      <c r="QM26" s="605"/>
      <c r="QN26" s="605"/>
      <c r="QO26" s="605"/>
      <c r="QP26" s="605"/>
      <c r="QQ26" s="605"/>
      <c r="QR26" s="605"/>
      <c r="QS26" s="605"/>
      <c r="QT26" s="605"/>
      <c r="QU26" s="605"/>
      <c r="QV26" s="605"/>
      <c r="QW26" s="605"/>
      <c r="QX26" s="605"/>
      <c r="QY26" s="605"/>
      <c r="QZ26" s="605"/>
      <c r="RA26" s="605"/>
      <c r="RB26" s="605"/>
      <c r="RC26" s="605"/>
      <c r="RD26" s="605"/>
      <c r="RE26" s="605"/>
      <c r="RF26" s="605"/>
      <c r="RG26" s="605"/>
      <c r="RH26" s="605"/>
    </row>
    <row r="27" spans="2:476" ht="20.100000000000001" customHeight="1">
      <c r="B27" s="558"/>
      <c r="C27" s="547">
        <v>16</v>
      </c>
      <c r="D27" s="548">
        <v>0</v>
      </c>
      <c r="E27" s="548">
        <v>2</v>
      </c>
      <c r="F27" s="549">
        <f t="shared" si="0"/>
        <v>11.0000000017462</v>
      </c>
      <c r="G27" s="570"/>
      <c r="H27" s="551"/>
      <c r="I27" s="551"/>
      <c r="J27" s="569">
        <v>2.6666666666278598</v>
      </c>
      <c r="K27" s="551"/>
      <c r="L27" s="551"/>
      <c r="M27" s="551"/>
      <c r="N27" s="586">
        <v>0.24999999837018499</v>
      </c>
      <c r="O27" s="586">
        <v>8.3333333255723105E-2</v>
      </c>
      <c r="P27" s="551"/>
      <c r="Q27" s="551"/>
      <c r="R27" s="551"/>
      <c r="S27" s="551"/>
      <c r="T27" s="551"/>
      <c r="U27" s="551"/>
      <c r="V27" s="551"/>
      <c r="W27" s="572"/>
      <c r="X27" s="572"/>
      <c r="Y27" s="624">
        <v>2</v>
      </c>
      <c r="Z27" s="607">
        <f t="shared" si="1"/>
        <v>0</v>
      </c>
      <c r="AA27" s="607">
        <f t="shared" si="2"/>
        <v>2.9999999982537702</v>
      </c>
      <c r="AB27" s="608">
        <f t="shared" si="3"/>
        <v>1</v>
      </c>
      <c r="AC27" s="623"/>
      <c r="AD27" s="605"/>
      <c r="AE27" s="605"/>
      <c r="AF27" s="605"/>
      <c r="AG27" s="605"/>
      <c r="AH27" s="605"/>
      <c r="AI27" s="605"/>
      <c r="AJ27" s="605"/>
      <c r="AK27" s="605"/>
      <c r="AL27" s="605"/>
      <c r="AM27" s="605"/>
      <c r="AN27" s="605"/>
      <c r="AO27" s="605"/>
      <c r="AP27" s="605"/>
      <c r="AQ27" s="605"/>
      <c r="AR27" s="605"/>
      <c r="AS27" s="605"/>
      <c r="AT27" s="605"/>
      <c r="AU27" s="605"/>
      <c r="AV27" s="605"/>
      <c r="AW27" s="605"/>
      <c r="AX27" s="605"/>
      <c r="AY27" s="605"/>
      <c r="AZ27" s="605"/>
      <c r="BA27" s="605"/>
      <c r="BB27" s="605"/>
      <c r="BC27" s="605"/>
      <c r="BD27" s="605"/>
      <c r="BE27" s="605"/>
      <c r="BF27" s="605"/>
      <c r="BG27" s="605"/>
      <c r="BH27" s="605"/>
      <c r="BI27" s="605"/>
      <c r="BJ27" s="605"/>
      <c r="BK27" s="605"/>
      <c r="BL27" s="605"/>
      <c r="BM27" s="605"/>
      <c r="BN27" s="605"/>
      <c r="BO27" s="605"/>
      <c r="BP27" s="605"/>
      <c r="BQ27" s="605"/>
      <c r="BR27" s="605"/>
      <c r="BS27" s="605"/>
      <c r="BT27" s="605"/>
      <c r="BU27" s="605"/>
      <c r="BV27" s="605"/>
      <c r="BW27" s="605"/>
      <c r="BX27" s="605"/>
      <c r="BY27" s="605"/>
      <c r="BZ27" s="605"/>
      <c r="CA27" s="605"/>
      <c r="CB27" s="605"/>
      <c r="CC27" s="605"/>
      <c r="CD27" s="605"/>
      <c r="CE27" s="605"/>
      <c r="CF27" s="605"/>
      <c r="CG27" s="605"/>
      <c r="CH27" s="605"/>
      <c r="CI27" s="605"/>
      <c r="CJ27" s="605"/>
      <c r="CK27" s="605"/>
      <c r="CL27" s="605"/>
      <c r="CM27" s="605"/>
      <c r="CN27" s="605"/>
      <c r="CO27" s="605"/>
      <c r="CP27" s="605"/>
      <c r="CQ27" s="605"/>
      <c r="CR27" s="605"/>
      <c r="CS27" s="605"/>
      <c r="CT27" s="605"/>
      <c r="CU27" s="605"/>
      <c r="CV27" s="605"/>
      <c r="CW27" s="605"/>
      <c r="CX27" s="605"/>
      <c r="CY27" s="605"/>
      <c r="CZ27" s="605"/>
      <c r="DA27" s="605"/>
      <c r="DB27" s="605"/>
      <c r="DC27" s="605"/>
      <c r="DD27" s="605"/>
      <c r="DE27" s="605"/>
      <c r="DF27" s="605"/>
      <c r="DG27" s="605"/>
      <c r="DH27" s="605"/>
      <c r="DI27" s="605"/>
      <c r="DJ27" s="605"/>
      <c r="DK27" s="605"/>
      <c r="DL27" s="605"/>
      <c r="DM27" s="605"/>
      <c r="DN27" s="605"/>
      <c r="DO27" s="605"/>
      <c r="DP27" s="605"/>
      <c r="DQ27" s="605"/>
      <c r="DR27" s="605"/>
      <c r="DS27" s="605"/>
      <c r="DT27" s="605"/>
      <c r="DU27" s="605"/>
      <c r="DV27" s="605"/>
      <c r="DW27" s="605"/>
      <c r="DX27" s="605"/>
      <c r="DY27" s="605"/>
      <c r="DZ27" s="605"/>
      <c r="EA27" s="605"/>
      <c r="EB27" s="605"/>
      <c r="EC27" s="605"/>
      <c r="ED27" s="605"/>
      <c r="EE27" s="605"/>
      <c r="EF27" s="605"/>
      <c r="EG27" s="605"/>
      <c r="EH27" s="605"/>
      <c r="EI27" s="605"/>
      <c r="EJ27" s="605"/>
      <c r="EK27" s="605"/>
      <c r="EL27" s="605"/>
      <c r="EM27" s="605"/>
      <c r="EN27" s="605"/>
      <c r="EO27" s="605"/>
      <c r="EP27" s="605"/>
      <c r="EQ27" s="605"/>
      <c r="ER27" s="605"/>
      <c r="ES27" s="605"/>
      <c r="ET27" s="605"/>
      <c r="EU27" s="605"/>
      <c r="EV27" s="605"/>
      <c r="EW27" s="605"/>
      <c r="EX27" s="605"/>
      <c r="EY27" s="605"/>
      <c r="EZ27" s="605"/>
      <c r="FA27" s="605"/>
      <c r="FB27" s="605"/>
      <c r="FC27" s="605"/>
      <c r="FD27" s="605"/>
      <c r="FE27" s="605"/>
      <c r="FF27" s="605"/>
      <c r="FG27" s="605"/>
      <c r="FH27" s="605"/>
      <c r="FI27" s="605"/>
      <c r="FJ27" s="605"/>
      <c r="FK27" s="605"/>
      <c r="FL27" s="605"/>
      <c r="FM27" s="605"/>
      <c r="FN27" s="605"/>
      <c r="FO27" s="605"/>
      <c r="FP27" s="605"/>
      <c r="FQ27" s="605"/>
      <c r="FR27" s="605"/>
      <c r="FS27" s="605"/>
      <c r="FT27" s="605"/>
      <c r="FU27" s="605"/>
      <c r="FV27" s="605"/>
      <c r="FW27" s="605"/>
      <c r="FX27" s="605"/>
      <c r="FY27" s="605"/>
      <c r="FZ27" s="605"/>
      <c r="GA27" s="605"/>
      <c r="GB27" s="605"/>
      <c r="GC27" s="605"/>
      <c r="GD27" s="605"/>
      <c r="GE27" s="605"/>
      <c r="GF27" s="605"/>
      <c r="GG27" s="605"/>
      <c r="GH27" s="605"/>
      <c r="GI27" s="605"/>
      <c r="GJ27" s="605"/>
      <c r="GK27" s="605"/>
      <c r="GL27" s="605"/>
      <c r="GM27" s="605"/>
      <c r="GN27" s="605"/>
      <c r="GO27" s="605"/>
      <c r="GP27" s="605"/>
      <c r="GQ27" s="605"/>
      <c r="GR27" s="605"/>
      <c r="GS27" s="605"/>
      <c r="GT27" s="605"/>
      <c r="GU27" s="605"/>
      <c r="GV27" s="605"/>
      <c r="GW27" s="605"/>
      <c r="GX27" s="605"/>
      <c r="GY27" s="605"/>
      <c r="GZ27" s="605"/>
      <c r="HA27" s="605"/>
      <c r="HB27" s="605"/>
      <c r="HC27" s="605"/>
      <c r="HD27" s="605"/>
      <c r="HE27" s="605"/>
      <c r="HF27" s="605"/>
      <c r="HG27" s="605"/>
      <c r="HH27" s="605"/>
      <c r="HI27" s="605"/>
      <c r="HJ27" s="605"/>
      <c r="HK27" s="605"/>
      <c r="HL27" s="605"/>
      <c r="HM27" s="605"/>
      <c r="HN27" s="605"/>
      <c r="HO27" s="605"/>
      <c r="HP27" s="605"/>
      <c r="HQ27" s="605"/>
      <c r="HR27" s="605"/>
      <c r="HS27" s="605"/>
      <c r="HT27" s="605"/>
      <c r="HU27" s="605"/>
      <c r="HV27" s="605"/>
      <c r="HW27" s="605"/>
      <c r="HX27" s="605"/>
      <c r="HY27" s="605"/>
      <c r="HZ27" s="605"/>
      <c r="IA27" s="605"/>
      <c r="IB27" s="605"/>
      <c r="IC27" s="605"/>
      <c r="ID27" s="605"/>
      <c r="IE27" s="605"/>
      <c r="IF27" s="605"/>
      <c r="IG27" s="605"/>
      <c r="IH27" s="605"/>
      <c r="II27" s="605"/>
      <c r="IJ27" s="605"/>
      <c r="IK27" s="605"/>
      <c r="IL27" s="605"/>
      <c r="IM27" s="605"/>
      <c r="IN27" s="605"/>
      <c r="IO27" s="605"/>
      <c r="IP27" s="605"/>
      <c r="IQ27" s="605"/>
      <c r="IR27" s="605"/>
      <c r="IS27" s="605"/>
      <c r="IT27" s="605"/>
      <c r="IU27" s="605"/>
      <c r="IV27" s="605"/>
      <c r="IW27" s="605"/>
      <c r="IX27" s="605"/>
      <c r="IY27" s="605"/>
      <c r="IZ27" s="605"/>
      <c r="JA27" s="605"/>
      <c r="JB27" s="605"/>
      <c r="JC27" s="605"/>
      <c r="JD27" s="605"/>
      <c r="JE27" s="605"/>
      <c r="JF27" s="605"/>
      <c r="JG27" s="605"/>
      <c r="JH27" s="605"/>
      <c r="JI27" s="605"/>
      <c r="JJ27" s="605"/>
      <c r="JK27" s="605"/>
      <c r="JL27" s="605"/>
      <c r="JM27" s="605"/>
      <c r="JN27" s="605"/>
      <c r="JO27" s="605"/>
      <c r="JP27" s="605"/>
      <c r="JQ27" s="605"/>
      <c r="JR27" s="605"/>
      <c r="JS27" s="605"/>
      <c r="JT27" s="605"/>
      <c r="JU27" s="605"/>
      <c r="JV27" s="605"/>
      <c r="JW27" s="605"/>
      <c r="JX27" s="605"/>
      <c r="JY27" s="605"/>
      <c r="JZ27" s="605"/>
      <c r="KA27" s="605"/>
      <c r="KB27" s="605"/>
      <c r="KC27" s="605"/>
      <c r="KD27" s="605"/>
      <c r="KE27" s="605"/>
      <c r="KF27" s="605"/>
      <c r="KG27" s="605"/>
      <c r="KH27" s="605"/>
      <c r="KI27" s="605"/>
      <c r="KJ27" s="605"/>
      <c r="KK27" s="605"/>
      <c r="KL27" s="605"/>
      <c r="KM27" s="605"/>
      <c r="KN27" s="605"/>
      <c r="KO27" s="605"/>
      <c r="KP27" s="605"/>
      <c r="KQ27" s="605"/>
      <c r="KR27" s="605"/>
      <c r="KS27" s="605"/>
      <c r="KT27" s="605"/>
      <c r="KU27" s="605"/>
      <c r="KV27" s="605"/>
      <c r="KW27" s="605"/>
      <c r="KX27" s="605"/>
      <c r="KY27" s="605"/>
      <c r="KZ27" s="605"/>
      <c r="LA27" s="605"/>
      <c r="LB27" s="605"/>
      <c r="LC27" s="605"/>
      <c r="LD27" s="605"/>
      <c r="LE27" s="605"/>
      <c r="LF27" s="605"/>
      <c r="LG27" s="605"/>
      <c r="LH27" s="605"/>
      <c r="LI27" s="605"/>
      <c r="LJ27" s="605"/>
      <c r="LK27" s="605"/>
      <c r="LL27" s="605"/>
      <c r="LM27" s="605"/>
      <c r="LN27" s="605"/>
      <c r="LO27" s="605"/>
      <c r="LP27" s="605"/>
      <c r="LQ27" s="605"/>
      <c r="LR27" s="605"/>
      <c r="LS27" s="605"/>
      <c r="LT27" s="605"/>
      <c r="LU27" s="605"/>
      <c r="LV27" s="605"/>
      <c r="LW27" s="605"/>
      <c r="LX27" s="605"/>
      <c r="LY27" s="605"/>
      <c r="LZ27" s="605"/>
      <c r="MA27" s="605"/>
      <c r="MB27" s="605"/>
      <c r="MC27" s="605"/>
      <c r="MD27" s="605"/>
      <c r="ME27" s="605"/>
      <c r="MF27" s="605"/>
      <c r="MG27" s="605"/>
      <c r="MH27" s="605"/>
      <c r="MI27" s="605"/>
      <c r="MJ27" s="605"/>
      <c r="MK27" s="605"/>
      <c r="ML27" s="605"/>
      <c r="MM27" s="605"/>
      <c r="MN27" s="605"/>
      <c r="MO27" s="605"/>
      <c r="MP27" s="605"/>
      <c r="MQ27" s="605"/>
      <c r="MR27" s="605"/>
      <c r="MS27" s="605"/>
      <c r="MT27" s="605"/>
      <c r="MU27" s="605"/>
      <c r="MV27" s="605"/>
      <c r="MW27" s="605"/>
      <c r="MX27" s="605"/>
      <c r="MY27" s="605"/>
      <c r="MZ27" s="605"/>
      <c r="NA27" s="605"/>
      <c r="NB27" s="605"/>
      <c r="NC27" s="605"/>
      <c r="ND27" s="605"/>
      <c r="NE27" s="605"/>
      <c r="NF27" s="605"/>
      <c r="NG27" s="605"/>
      <c r="NH27" s="605"/>
      <c r="NI27" s="605"/>
      <c r="NJ27" s="605"/>
      <c r="NK27" s="605"/>
      <c r="NL27" s="605"/>
      <c r="NM27" s="605"/>
      <c r="NN27" s="605"/>
      <c r="NO27" s="605"/>
      <c r="NP27" s="605"/>
      <c r="NQ27" s="605"/>
      <c r="NR27" s="605"/>
      <c r="NS27" s="605"/>
      <c r="NT27" s="605"/>
      <c r="NU27" s="605"/>
      <c r="NV27" s="605"/>
      <c r="NW27" s="605"/>
      <c r="NX27" s="605"/>
      <c r="NY27" s="605"/>
      <c r="NZ27" s="605"/>
      <c r="OA27" s="605"/>
      <c r="OB27" s="605"/>
      <c r="OC27" s="605"/>
      <c r="OD27" s="605"/>
      <c r="OE27" s="605"/>
      <c r="OF27" s="605"/>
      <c r="OG27" s="605"/>
      <c r="OH27" s="605"/>
      <c r="OI27" s="605"/>
      <c r="OJ27" s="605"/>
      <c r="OK27" s="605"/>
      <c r="OL27" s="605"/>
      <c r="OM27" s="605"/>
      <c r="ON27" s="605"/>
      <c r="OO27" s="605"/>
      <c r="OP27" s="605"/>
      <c r="OQ27" s="605"/>
      <c r="OR27" s="605"/>
      <c r="OS27" s="605"/>
      <c r="OT27" s="605"/>
      <c r="OU27" s="605"/>
      <c r="OV27" s="605"/>
      <c r="OW27" s="605"/>
      <c r="OX27" s="605"/>
      <c r="OY27" s="605"/>
      <c r="OZ27" s="605"/>
      <c r="PA27" s="605"/>
      <c r="PB27" s="605"/>
      <c r="PC27" s="605"/>
      <c r="PD27" s="605"/>
      <c r="PE27" s="605"/>
      <c r="PF27" s="605"/>
      <c r="PG27" s="605"/>
      <c r="PH27" s="605"/>
      <c r="PI27" s="605"/>
      <c r="PJ27" s="605"/>
      <c r="PK27" s="605"/>
      <c r="PL27" s="605"/>
      <c r="PM27" s="605"/>
      <c r="PN27" s="605"/>
      <c r="PO27" s="605"/>
      <c r="PP27" s="605"/>
      <c r="PQ27" s="605"/>
      <c r="PR27" s="605"/>
      <c r="PS27" s="605"/>
      <c r="PT27" s="605"/>
      <c r="PU27" s="605"/>
      <c r="PV27" s="605"/>
      <c r="PW27" s="605"/>
      <c r="PX27" s="605"/>
      <c r="PY27" s="605"/>
      <c r="PZ27" s="605"/>
      <c r="QA27" s="605"/>
      <c r="QB27" s="605"/>
      <c r="QC27" s="605"/>
      <c r="QD27" s="605"/>
      <c r="QE27" s="605"/>
      <c r="QF27" s="605"/>
      <c r="QG27" s="605"/>
      <c r="QH27" s="605"/>
      <c r="QI27" s="605"/>
      <c r="QJ27" s="605"/>
      <c r="QK27" s="605"/>
      <c r="QL27" s="605"/>
      <c r="QM27" s="605"/>
      <c r="QN27" s="605"/>
      <c r="QO27" s="605"/>
      <c r="QP27" s="605"/>
      <c r="QQ27" s="605"/>
      <c r="QR27" s="605"/>
      <c r="QS27" s="605"/>
      <c r="QT27" s="605"/>
      <c r="QU27" s="605"/>
      <c r="QV27" s="605"/>
      <c r="QW27" s="605"/>
      <c r="QX27" s="605"/>
      <c r="QY27" s="605"/>
      <c r="QZ27" s="605"/>
      <c r="RA27" s="605"/>
      <c r="RB27" s="605"/>
      <c r="RC27" s="605"/>
      <c r="RD27" s="605"/>
      <c r="RE27" s="605"/>
      <c r="RF27" s="605"/>
      <c r="RG27" s="605"/>
      <c r="RH27" s="605"/>
    </row>
    <row r="28" spans="2:476" s="527" customFormat="1" ht="20.100000000000001" customHeight="1">
      <c r="B28" s="552">
        <v>45820</v>
      </c>
      <c r="C28" s="553">
        <v>16</v>
      </c>
      <c r="D28" s="554">
        <v>0</v>
      </c>
      <c r="E28" s="554">
        <v>2</v>
      </c>
      <c r="F28" s="555">
        <f t="shared" si="0"/>
        <v>8.1490725278854401E-10</v>
      </c>
      <c r="G28" s="556"/>
      <c r="H28" s="557"/>
      <c r="I28" s="591"/>
      <c r="J28" s="576">
        <v>6</v>
      </c>
      <c r="K28" s="576"/>
      <c r="L28" s="595"/>
      <c r="M28" s="595"/>
      <c r="N28" s="576"/>
      <c r="O28" s="560">
        <v>7.9999999991850901</v>
      </c>
      <c r="P28" s="557"/>
      <c r="Q28" s="557"/>
      <c r="R28" s="557"/>
      <c r="S28" s="557"/>
      <c r="T28" s="557"/>
      <c r="U28" s="557"/>
      <c r="V28" s="557"/>
      <c r="W28" s="557"/>
      <c r="X28" s="576"/>
      <c r="Y28" s="622">
        <v>1</v>
      </c>
      <c r="Z28" s="607">
        <f t="shared" si="1"/>
        <v>0</v>
      </c>
      <c r="AA28" s="607">
        <f t="shared" si="2"/>
        <v>13.9999999991851</v>
      </c>
      <c r="AB28" s="608">
        <f t="shared" si="3"/>
        <v>1</v>
      </c>
      <c r="AC28" s="621"/>
      <c r="AD28" s="610"/>
      <c r="AE28" s="610"/>
      <c r="AF28" s="610"/>
      <c r="AG28" s="610"/>
      <c r="AH28" s="610"/>
      <c r="AI28" s="610"/>
      <c r="AJ28" s="610"/>
      <c r="AK28" s="610"/>
      <c r="AL28" s="610"/>
      <c r="AM28" s="610"/>
      <c r="AN28" s="610"/>
      <c r="AO28" s="610"/>
      <c r="AP28" s="610"/>
      <c r="AQ28" s="610"/>
      <c r="AR28" s="610"/>
      <c r="AS28" s="610"/>
      <c r="AT28" s="610"/>
      <c r="AU28" s="610"/>
      <c r="AV28" s="610"/>
      <c r="AW28" s="610"/>
      <c r="AX28" s="610"/>
      <c r="AY28" s="610"/>
      <c r="AZ28" s="610"/>
      <c r="BA28" s="610"/>
      <c r="BB28" s="610"/>
      <c r="BC28" s="610"/>
      <c r="BD28" s="610"/>
      <c r="BE28" s="610"/>
      <c r="BF28" s="610"/>
      <c r="BG28" s="610"/>
      <c r="BH28" s="610"/>
      <c r="BI28" s="610"/>
      <c r="BJ28" s="610"/>
      <c r="BK28" s="610"/>
      <c r="BL28" s="610"/>
      <c r="BM28" s="610"/>
      <c r="BN28" s="610"/>
      <c r="BO28" s="610"/>
      <c r="BP28" s="610"/>
      <c r="BQ28" s="610"/>
      <c r="BR28" s="610"/>
      <c r="BS28" s="610"/>
      <c r="BT28" s="610"/>
      <c r="BU28" s="610"/>
      <c r="BV28" s="610"/>
      <c r="BW28" s="610"/>
      <c r="BX28" s="610"/>
      <c r="BY28" s="610"/>
      <c r="BZ28" s="610"/>
      <c r="CA28" s="610"/>
      <c r="CB28" s="610"/>
      <c r="CC28" s="610"/>
      <c r="CD28" s="610"/>
      <c r="CE28" s="610"/>
      <c r="CF28" s="610"/>
      <c r="CG28" s="610"/>
      <c r="CH28" s="610"/>
      <c r="CI28" s="610"/>
      <c r="CJ28" s="610"/>
      <c r="CK28" s="610"/>
      <c r="CL28" s="610"/>
      <c r="CM28" s="610"/>
      <c r="CN28" s="610"/>
      <c r="CO28" s="610"/>
      <c r="CP28" s="610"/>
      <c r="CQ28" s="610"/>
      <c r="CR28" s="610"/>
      <c r="CS28" s="610"/>
      <c r="CT28" s="610"/>
      <c r="CU28" s="610"/>
      <c r="CV28" s="610"/>
      <c r="CW28" s="610"/>
      <c r="CX28" s="610"/>
      <c r="CY28" s="610"/>
      <c r="CZ28" s="610"/>
      <c r="DA28" s="610"/>
      <c r="DB28" s="610"/>
      <c r="DC28" s="610"/>
      <c r="DD28" s="610"/>
      <c r="DE28" s="610"/>
      <c r="DF28" s="610"/>
      <c r="DG28" s="610"/>
      <c r="DH28" s="610"/>
      <c r="DI28" s="610"/>
      <c r="DJ28" s="610"/>
      <c r="DK28" s="610"/>
      <c r="DL28" s="610"/>
      <c r="DM28" s="610"/>
      <c r="DN28" s="610"/>
      <c r="DO28" s="610"/>
      <c r="DP28" s="610"/>
      <c r="DQ28" s="610"/>
      <c r="DR28" s="610"/>
      <c r="DS28" s="610"/>
      <c r="DT28" s="610"/>
      <c r="DU28" s="610"/>
      <c r="DV28" s="610"/>
      <c r="DW28" s="610"/>
      <c r="DX28" s="610"/>
      <c r="DY28" s="610"/>
      <c r="DZ28" s="610"/>
      <c r="EA28" s="610"/>
      <c r="EB28" s="610"/>
      <c r="EC28" s="610"/>
      <c r="ED28" s="610"/>
      <c r="EE28" s="610"/>
      <c r="EF28" s="610"/>
      <c r="EG28" s="610"/>
      <c r="EH28" s="610"/>
      <c r="EI28" s="610"/>
      <c r="EJ28" s="610"/>
      <c r="EK28" s="610"/>
      <c r="EL28" s="610"/>
      <c r="EM28" s="610"/>
      <c r="EN28" s="610"/>
      <c r="EO28" s="610"/>
      <c r="EP28" s="610"/>
      <c r="EQ28" s="610"/>
      <c r="ER28" s="610"/>
      <c r="ES28" s="610"/>
      <c r="ET28" s="610"/>
      <c r="EU28" s="610"/>
      <c r="EV28" s="610"/>
      <c r="EW28" s="610"/>
      <c r="EX28" s="610"/>
      <c r="EY28" s="610"/>
      <c r="EZ28" s="610"/>
      <c r="FA28" s="610"/>
      <c r="FB28" s="610"/>
      <c r="FC28" s="610"/>
      <c r="FD28" s="610"/>
      <c r="FE28" s="610"/>
      <c r="FF28" s="610"/>
      <c r="FG28" s="610"/>
      <c r="FH28" s="610"/>
      <c r="FI28" s="610"/>
      <c r="FJ28" s="610"/>
      <c r="FK28" s="610"/>
      <c r="FL28" s="610"/>
      <c r="FM28" s="610"/>
      <c r="FN28" s="610"/>
      <c r="FO28" s="610"/>
      <c r="FP28" s="610"/>
      <c r="FQ28" s="610"/>
      <c r="FR28" s="610"/>
      <c r="FS28" s="610"/>
      <c r="FT28" s="610"/>
      <c r="FU28" s="610"/>
      <c r="FV28" s="610"/>
      <c r="FW28" s="610"/>
      <c r="FX28" s="610"/>
      <c r="FY28" s="610"/>
      <c r="FZ28" s="610"/>
      <c r="GA28" s="610"/>
      <c r="GB28" s="610"/>
      <c r="GC28" s="610"/>
      <c r="GD28" s="610"/>
      <c r="GE28" s="610"/>
      <c r="GF28" s="610"/>
      <c r="GG28" s="610"/>
      <c r="GH28" s="610"/>
      <c r="GI28" s="610"/>
      <c r="GJ28" s="610"/>
      <c r="GK28" s="610"/>
      <c r="GL28" s="610"/>
      <c r="GM28" s="610"/>
      <c r="GN28" s="610"/>
      <c r="GO28" s="610"/>
      <c r="GP28" s="610"/>
      <c r="GQ28" s="610"/>
      <c r="GR28" s="610"/>
      <c r="GS28" s="610"/>
      <c r="GT28" s="610"/>
      <c r="GU28" s="610"/>
      <c r="GV28" s="610"/>
      <c r="GW28" s="610"/>
      <c r="GX28" s="610"/>
      <c r="GY28" s="610"/>
      <c r="GZ28" s="610"/>
      <c r="HA28" s="610"/>
      <c r="HB28" s="610"/>
      <c r="HC28" s="610"/>
      <c r="HD28" s="610"/>
      <c r="HE28" s="610"/>
      <c r="HF28" s="610"/>
      <c r="HG28" s="610"/>
      <c r="HH28" s="610"/>
      <c r="HI28" s="610"/>
      <c r="HJ28" s="610"/>
      <c r="HK28" s="610"/>
      <c r="HL28" s="610"/>
      <c r="HM28" s="610"/>
      <c r="HN28" s="610"/>
      <c r="HO28" s="610"/>
      <c r="HP28" s="610"/>
      <c r="HQ28" s="610"/>
      <c r="HR28" s="610"/>
      <c r="HS28" s="610"/>
      <c r="HT28" s="610"/>
      <c r="HU28" s="610"/>
      <c r="HV28" s="610"/>
      <c r="HW28" s="610"/>
      <c r="HX28" s="610"/>
      <c r="HY28" s="610"/>
      <c r="HZ28" s="610"/>
      <c r="IA28" s="610"/>
      <c r="IB28" s="610"/>
      <c r="IC28" s="610"/>
      <c r="ID28" s="610"/>
      <c r="IE28" s="610"/>
      <c r="IF28" s="610"/>
      <c r="IG28" s="610"/>
      <c r="IH28" s="610"/>
      <c r="II28" s="610"/>
      <c r="IJ28" s="610"/>
      <c r="IK28" s="610"/>
      <c r="IL28" s="610"/>
      <c r="IM28" s="610"/>
      <c r="IN28" s="610"/>
      <c r="IO28" s="610"/>
      <c r="IP28" s="610"/>
      <c r="IQ28" s="610"/>
      <c r="IR28" s="610"/>
      <c r="IS28" s="610"/>
      <c r="IT28" s="610"/>
      <c r="IU28" s="610"/>
      <c r="IV28" s="610"/>
      <c r="IW28" s="610"/>
      <c r="IX28" s="610"/>
      <c r="IY28" s="610"/>
      <c r="IZ28" s="610"/>
      <c r="JA28" s="610"/>
      <c r="JB28" s="610"/>
      <c r="JC28" s="610"/>
      <c r="JD28" s="610"/>
      <c r="JE28" s="610"/>
      <c r="JF28" s="610"/>
      <c r="JG28" s="610"/>
      <c r="JH28" s="610"/>
      <c r="JI28" s="610"/>
      <c r="JJ28" s="610"/>
      <c r="JK28" s="610"/>
      <c r="JL28" s="610"/>
      <c r="JM28" s="610"/>
      <c r="JN28" s="610"/>
      <c r="JO28" s="610"/>
      <c r="JP28" s="610"/>
      <c r="JQ28" s="610"/>
      <c r="JR28" s="610"/>
      <c r="JS28" s="610"/>
      <c r="JT28" s="610"/>
      <c r="JU28" s="610"/>
      <c r="JV28" s="610"/>
      <c r="JW28" s="610"/>
      <c r="JX28" s="610"/>
      <c r="JY28" s="610"/>
      <c r="JZ28" s="610"/>
      <c r="KA28" s="610"/>
      <c r="KB28" s="610"/>
      <c r="KC28" s="610"/>
      <c r="KD28" s="610"/>
      <c r="KE28" s="610"/>
      <c r="KF28" s="610"/>
      <c r="KG28" s="610"/>
      <c r="KH28" s="610"/>
      <c r="KI28" s="610"/>
      <c r="KJ28" s="610"/>
      <c r="KK28" s="610"/>
      <c r="KL28" s="610"/>
      <c r="KM28" s="610"/>
      <c r="KN28" s="610"/>
      <c r="KO28" s="610"/>
      <c r="KP28" s="610"/>
      <c r="KQ28" s="610"/>
      <c r="KR28" s="610"/>
      <c r="KS28" s="610"/>
      <c r="KT28" s="610"/>
      <c r="KU28" s="610"/>
      <c r="KV28" s="610"/>
      <c r="KW28" s="610"/>
      <c r="KX28" s="610"/>
      <c r="KY28" s="610"/>
      <c r="KZ28" s="610"/>
      <c r="LA28" s="610"/>
      <c r="LB28" s="610"/>
      <c r="LC28" s="610"/>
      <c r="LD28" s="610"/>
      <c r="LE28" s="610"/>
      <c r="LF28" s="610"/>
      <c r="LG28" s="610"/>
      <c r="LH28" s="610"/>
      <c r="LI28" s="610"/>
      <c r="LJ28" s="610"/>
      <c r="LK28" s="610"/>
      <c r="LL28" s="610"/>
      <c r="LM28" s="610"/>
      <c r="LN28" s="610"/>
      <c r="LO28" s="610"/>
      <c r="LP28" s="610"/>
      <c r="LQ28" s="610"/>
      <c r="LR28" s="610"/>
      <c r="LS28" s="610"/>
      <c r="LT28" s="610"/>
      <c r="LU28" s="610"/>
      <c r="LV28" s="610"/>
      <c r="LW28" s="610"/>
      <c r="LX28" s="610"/>
      <c r="LY28" s="610"/>
      <c r="LZ28" s="610"/>
      <c r="MA28" s="610"/>
      <c r="MB28" s="610"/>
      <c r="MC28" s="610"/>
      <c r="MD28" s="610"/>
      <c r="ME28" s="610"/>
      <c r="MF28" s="610"/>
      <c r="MG28" s="610"/>
      <c r="MH28" s="610"/>
      <c r="MI28" s="610"/>
      <c r="MJ28" s="610"/>
      <c r="MK28" s="610"/>
      <c r="ML28" s="610"/>
      <c r="MM28" s="610"/>
      <c r="MN28" s="610"/>
      <c r="MO28" s="610"/>
      <c r="MP28" s="610"/>
      <c r="MQ28" s="610"/>
      <c r="MR28" s="610"/>
      <c r="MS28" s="610"/>
      <c r="MT28" s="610"/>
      <c r="MU28" s="610"/>
      <c r="MV28" s="610"/>
      <c r="MW28" s="610"/>
      <c r="MX28" s="610"/>
      <c r="MY28" s="610"/>
      <c r="MZ28" s="610"/>
      <c r="NA28" s="610"/>
      <c r="NB28" s="610"/>
      <c r="NC28" s="610"/>
      <c r="ND28" s="610"/>
      <c r="NE28" s="610"/>
      <c r="NF28" s="610"/>
      <c r="NG28" s="610"/>
      <c r="NH28" s="610"/>
      <c r="NI28" s="610"/>
      <c r="NJ28" s="610"/>
      <c r="NK28" s="610"/>
      <c r="NL28" s="610"/>
      <c r="NM28" s="610"/>
      <c r="NN28" s="610"/>
      <c r="NO28" s="610"/>
      <c r="NP28" s="610"/>
      <c r="NQ28" s="610"/>
      <c r="NR28" s="610"/>
      <c r="NS28" s="610"/>
      <c r="NT28" s="610"/>
      <c r="NU28" s="610"/>
      <c r="NV28" s="610"/>
      <c r="NW28" s="610"/>
      <c r="NX28" s="610"/>
      <c r="NY28" s="610"/>
      <c r="NZ28" s="610"/>
      <c r="OA28" s="610"/>
      <c r="OB28" s="610"/>
      <c r="OC28" s="610"/>
      <c r="OD28" s="610"/>
      <c r="OE28" s="610"/>
      <c r="OF28" s="610"/>
      <c r="OG28" s="610"/>
      <c r="OH28" s="610"/>
      <c r="OI28" s="610"/>
      <c r="OJ28" s="610"/>
      <c r="OK28" s="610"/>
      <c r="OL28" s="610"/>
      <c r="OM28" s="610"/>
      <c r="ON28" s="610"/>
      <c r="OO28" s="610"/>
      <c r="OP28" s="610"/>
      <c r="OQ28" s="610"/>
      <c r="OR28" s="610"/>
      <c r="OS28" s="610"/>
      <c r="OT28" s="610"/>
      <c r="OU28" s="610"/>
      <c r="OV28" s="610"/>
      <c r="OW28" s="610"/>
      <c r="OX28" s="610"/>
      <c r="OY28" s="610"/>
      <c r="OZ28" s="610"/>
      <c r="PA28" s="610"/>
      <c r="PB28" s="610"/>
      <c r="PC28" s="610"/>
      <c r="PD28" s="610"/>
      <c r="PE28" s="610"/>
      <c r="PF28" s="610"/>
      <c r="PG28" s="610"/>
      <c r="PH28" s="610"/>
      <c r="PI28" s="610"/>
      <c r="PJ28" s="610"/>
      <c r="PK28" s="610"/>
      <c r="PL28" s="610"/>
      <c r="PM28" s="610"/>
      <c r="PN28" s="610"/>
      <c r="PO28" s="610"/>
      <c r="PP28" s="610"/>
      <c r="PQ28" s="610"/>
      <c r="PR28" s="610"/>
      <c r="PS28" s="610"/>
      <c r="PT28" s="610"/>
      <c r="PU28" s="610"/>
      <c r="PV28" s="610"/>
      <c r="PW28" s="610"/>
      <c r="PX28" s="610"/>
      <c r="PY28" s="610"/>
      <c r="PZ28" s="610"/>
      <c r="QA28" s="610"/>
      <c r="QB28" s="610"/>
      <c r="QC28" s="610"/>
      <c r="QD28" s="610"/>
      <c r="QE28" s="610"/>
      <c r="QF28" s="610"/>
      <c r="QG28" s="610"/>
      <c r="QH28" s="610"/>
      <c r="QI28" s="610"/>
      <c r="QJ28" s="610"/>
      <c r="QK28" s="610"/>
      <c r="QL28" s="610"/>
      <c r="QM28" s="610"/>
      <c r="QN28" s="610"/>
      <c r="QO28" s="610"/>
      <c r="QP28" s="610"/>
      <c r="QQ28" s="610"/>
      <c r="QR28" s="610"/>
      <c r="QS28" s="610"/>
      <c r="QT28" s="610"/>
      <c r="QU28" s="610"/>
      <c r="QV28" s="610"/>
      <c r="QW28" s="610"/>
      <c r="QX28" s="610"/>
      <c r="QY28" s="610"/>
      <c r="QZ28" s="610"/>
      <c r="RA28" s="610"/>
      <c r="RB28" s="610"/>
      <c r="RC28" s="610"/>
      <c r="RD28" s="610"/>
      <c r="RE28" s="610"/>
      <c r="RF28" s="610"/>
      <c r="RG28" s="610"/>
      <c r="RH28" s="610"/>
    </row>
    <row r="29" spans="2:476" s="527" customFormat="1" ht="20.100000000000001" customHeight="1">
      <c r="B29" s="552"/>
      <c r="C29" s="553">
        <v>16</v>
      </c>
      <c r="D29" s="554">
        <v>0</v>
      </c>
      <c r="E29" s="554">
        <v>2</v>
      </c>
      <c r="F29" s="555">
        <f t="shared" si="0"/>
        <v>12.749999999068701</v>
      </c>
      <c r="G29" s="568"/>
      <c r="H29" s="557"/>
      <c r="I29" s="557"/>
      <c r="J29" s="576"/>
      <c r="K29" s="576"/>
      <c r="L29" s="557"/>
      <c r="M29" s="557"/>
      <c r="N29" s="576">
        <v>0.25000000011641499</v>
      </c>
      <c r="O29" s="560">
        <v>1.0000000008149099</v>
      </c>
      <c r="P29" s="557"/>
      <c r="Q29" s="557"/>
      <c r="R29" s="557"/>
      <c r="S29" s="557"/>
      <c r="T29" s="557"/>
      <c r="U29" s="557"/>
      <c r="V29" s="557"/>
      <c r="W29" s="557"/>
      <c r="X29" s="557"/>
      <c r="Y29" s="622">
        <v>2</v>
      </c>
      <c r="Z29" s="607">
        <f t="shared" si="1"/>
        <v>0</v>
      </c>
      <c r="AA29" s="607">
        <f t="shared" si="2"/>
        <v>1.2500000009313199</v>
      </c>
      <c r="AB29" s="608">
        <f t="shared" si="3"/>
        <v>1</v>
      </c>
      <c r="AC29" s="623"/>
      <c r="AD29" s="610"/>
      <c r="AE29" s="610"/>
      <c r="AF29" s="610"/>
      <c r="AG29" s="610"/>
      <c r="AH29" s="610"/>
      <c r="AI29" s="610"/>
      <c r="AJ29" s="610"/>
      <c r="AK29" s="610"/>
      <c r="AL29" s="610"/>
      <c r="AM29" s="610"/>
      <c r="AN29" s="610"/>
      <c r="AO29" s="610"/>
      <c r="AP29" s="610"/>
      <c r="AQ29" s="610"/>
      <c r="AR29" s="610"/>
      <c r="AS29" s="610"/>
      <c r="AT29" s="610"/>
      <c r="AU29" s="610"/>
      <c r="AV29" s="610"/>
      <c r="AW29" s="610"/>
      <c r="AX29" s="610"/>
      <c r="AY29" s="610"/>
      <c r="AZ29" s="610"/>
      <c r="BA29" s="610"/>
      <c r="BB29" s="610"/>
      <c r="BC29" s="610"/>
      <c r="BD29" s="610"/>
      <c r="BE29" s="610"/>
      <c r="BF29" s="610"/>
      <c r="BG29" s="610"/>
      <c r="BH29" s="610"/>
      <c r="BI29" s="610"/>
      <c r="BJ29" s="610"/>
      <c r="BK29" s="610"/>
      <c r="BL29" s="610"/>
      <c r="BM29" s="610"/>
      <c r="BN29" s="610"/>
      <c r="BO29" s="610"/>
      <c r="BP29" s="610"/>
      <c r="BQ29" s="610"/>
      <c r="BR29" s="610"/>
      <c r="BS29" s="610"/>
      <c r="BT29" s="610"/>
      <c r="BU29" s="610"/>
      <c r="BV29" s="610"/>
      <c r="BW29" s="610"/>
      <c r="BX29" s="610"/>
      <c r="BY29" s="610"/>
      <c r="BZ29" s="610"/>
      <c r="CA29" s="610"/>
      <c r="CB29" s="610"/>
      <c r="CC29" s="610"/>
      <c r="CD29" s="610"/>
      <c r="CE29" s="610"/>
      <c r="CF29" s="610"/>
      <c r="CG29" s="610"/>
      <c r="CH29" s="610"/>
      <c r="CI29" s="610"/>
      <c r="CJ29" s="610"/>
      <c r="CK29" s="610"/>
      <c r="CL29" s="610"/>
      <c r="CM29" s="610"/>
      <c r="CN29" s="610"/>
      <c r="CO29" s="610"/>
      <c r="CP29" s="610"/>
      <c r="CQ29" s="610"/>
      <c r="CR29" s="610"/>
      <c r="CS29" s="610"/>
      <c r="CT29" s="610"/>
      <c r="CU29" s="610"/>
      <c r="CV29" s="610"/>
      <c r="CW29" s="610"/>
      <c r="CX29" s="610"/>
      <c r="CY29" s="610"/>
      <c r="CZ29" s="610"/>
      <c r="DA29" s="610"/>
      <c r="DB29" s="610"/>
      <c r="DC29" s="610"/>
      <c r="DD29" s="610"/>
      <c r="DE29" s="610"/>
      <c r="DF29" s="610"/>
      <c r="DG29" s="610"/>
      <c r="DH29" s="610"/>
      <c r="DI29" s="610"/>
      <c r="DJ29" s="610"/>
      <c r="DK29" s="610"/>
      <c r="DL29" s="610"/>
      <c r="DM29" s="610"/>
      <c r="DN29" s="610"/>
      <c r="DO29" s="610"/>
      <c r="DP29" s="610"/>
      <c r="DQ29" s="610"/>
      <c r="DR29" s="610"/>
      <c r="DS29" s="610"/>
      <c r="DT29" s="610"/>
      <c r="DU29" s="610"/>
      <c r="DV29" s="610"/>
      <c r="DW29" s="610"/>
      <c r="DX29" s="610"/>
      <c r="DY29" s="610"/>
      <c r="DZ29" s="610"/>
      <c r="EA29" s="610"/>
      <c r="EB29" s="610"/>
      <c r="EC29" s="610"/>
      <c r="ED29" s="610"/>
      <c r="EE29" s="610"/>
      <c r="EF29" s="610"/>
      <c r="EG29" s="610"/>
      <c r="EH29" s="610"/>
      <c r="EI29" s="610"/>
      <c r="EJ29" s="610"/>
      <c r="EK29" s="610"/>
      <c r="EL29" s="610"/>
      <c r="EM29" s="610"/>
      <c r="EN29" s="610"/>
      <c r="EO29" s="610"/>
      <c r="EP29" s="610"/>
      <c r="EQ29" s="610"/>
      <c r="ER29" s="610"/>
      <c r="ES29" s="610"/>
      <c r="ET29" s="610"/>
      <c r="EU29" s="610"/>
      <c r="EV29" s="610"/>
      <c r="EW29" s="610"/>
      <c r="EX29" s="610"/>
      <c r="EY29" s="610"/>
      <c r="EZ29" s="610"/>
      <c r="FA29" s="610"/>
      <c r="FB29" s="610"/>
      <c r="FC29" s="610"/>
      <c r="FD29" s="610"/>
      <c r="FE29" s="610"/>
      <c r="FF29" s="610"/>
      <c r="FG29" s="610"/>
      <c r="FH29" s="610"/>
      <c r="FI29" s="610"/>
      <c r="FJ29" s="610"/>
      <c r="FK29" s="610"/>
      <c r="FL29" s="610"/>
      <c r="FM29" s="610"/>
      <c r="FN29" s="610"/>
      <c r="FO29" s="610"/>
      <c r="FP29" s="610"/>
      <c r="FQ29" s="610"/>
      <c r="FR29" s="610"/>
      <c r="FS29" s="610"/>
      <c r="FT29" s="610"/>
      <c r="FU29" s="610"/>
      <c r="FV29" s="610"/>
      <c r="FW29" s="610"/>
      <c r="FX29" s="610"/>
      <c r="FY29" s="610"/>
      <c r="FZ29" s="610"/>
      <c r="GA29" s="610"/>
      <c r="GB29" s="610"/>
      <c r="GC29" s="610"/>
      <c r="GD29" s="610"/>
      <c r="GE29" s="610"/>
      <c r="GF29" s="610"/>
      <c r="GG29" s="610"/>
      <c r="GH29" s="610"/>
      <c r="GI29" s="610"/>
      <c r="GJ29" s="610"/>
      <c r="GK29" s="610"/>
      <c r="GL29" s="610"/>
      <c r="GM29" s="610"/>
      <c r="GN29" s="610"/>
      <c r="GO29" s="610"/>
      <c r="GP29" s="610"/>
      <c r="GQ29" s="610"/>
      <c r="GR29" s="610"/>
      <c r="GS29" s="610"/>
      <c r="GT29" s="610"/>
      <c r="GU29" s="610"/>
      <c r="GV29" s="610"/>
      <c r="GW29" s="610"/>
      <c r="GX29" s="610"/>
      <c r="GY29" s="610"/>
      <c r="GZ29" s="610"/>
      <c r="HA29" s="610"/>
      <c r="HB29" s="610"/>
      <c r="HC29" s="610"/>
      <c r="HD29" s="610"/>
      <c r="HE29" s="610"/>
      <c r="HF29" s="610"/>
      <c r="HG29" s="610"/>
      <c r="HH29" s="610"/>
      <c r="HI29" s="610"/>
      <c r="HJ29" s="610"/>
      <c r="HK29" s="610"/>
      <c r="HL29" s="610"/>
      <c r="HM29" s="610"/>
      <c r="HN29" s="610"/>
      <c r="HO29" s="610"/>
      <c r="HP29" s="610"/>
      <c r="HQ29" s="610"/>
      <c r="HR29" s="610"/>
      <c r="HS29" s="610"/>
      <c r="HT29" s="610"/>
      <c r="HU29" s="610"/>
      <c r="HV29" s="610"/>
      <c r="HW29" s="610"/>
      <c r="HX29" s="610"/>
      <c r="HY29" s="610"/>
      <c r="HZ29" s="610"/>
      <c r="IA29" s="610"/>
      <c r="IB29" s="610"/>
      <c r="IC29" s="610"/>
      <c r="ID29" s="610"/>
      <c r="IE29" s="610"/>
      <c r="IF29" s="610"/>
      <c r="IG29" s="610"/>
      <c r="IH29" s="610"/>
      <c r="II29" s="610"/>
      <c r="IJ29" s="610"/>
      <c r="IK29" s="610"/>
      <c r="IL29" s="610"/>
      <c r="IM29" s="610"/>
      <c r="IN29" s="610"/>
      <c r="IO29" s="610"/>
      <c r="IP29" s="610"/>
      <c r="IQ29" s="610"/>
      <c r="IR29" s="610"/>
      <c r="IS29" s="610"/>
      <c r="IT29" s="610"/>
      <c r="IU29" s="610"/>
      <c r="IV29" s="610"/>
      <c r="IW29" s="610"/>
      <c r="IX29" s="610"/>
      <c r="IY29" s="610"/>
      <c r="IZ29" s="610"/>
      <c r="JA29" s="610"/>
      <c r="JB29" s="610"/>
      <c r="JC29" s="610"/>
      <c r="JD29" s="610"/>
      <c r="JE29" s="610"/>
      <c r="JF29" s="610"/>
      <c r="JG29" s="610"/>
      <c r="JH29" s="610"/>
      <c r="JI29" s="610"/>
      <c r="JJ29" s="610"/>
      <c r="JK29" s="610"/>
      <c r="JL29" s="610"/>
      <c r="JM29" s="610"/>
      <c r="JN29" s="610"/>
      <c r="JO29" s="610"/>
      <c r="JP29" s="610"/>
      <c r="JQ29" s="610"/>
      <c r="JR29" s="610"/>
      <c r="JS29" s="610"/>
      <c r="JT29" s="610"/>
      <c r="JU29" s="610"/>
      <c r="JV29" s="610"/>
      <c r="JW29" s="610"/>
      <c r="JX29" s="610"/>
      <c r="JY29" s="610"/>
      <c r="JZ29" s="610"/>
      <c r="KA29" s="610"/>
      <c r="KB29" s="610"/>
      <c r="KC29" s="610"/>
      <c r="KD29" s="610"/>
      <c r="KE29" s="610"/>
      <c r="KF29" s="610"/>
      <c r="KG29" s="610"/>
      <c r="KH29" s="610"/>
      <c r="KI29" s="610"/>
      <c r="KJ29" s="610"/>
      <c r="KK29" s="610"/>
      <c r="KL29" s="610"/>
      <c r="KM29" s="610"/>
      <c r="KN29" s="610"/>
      <c r="KO29" s="610"/>
      <c r="KP29" s="610"/>
      <c r="KQ29" s="610"/>
      <c r="KR29" s="610"/>
      <c r="KS29" s="610"/>
      <c r="KT29" s="610"/>
      <c r="KU29" s="610"/>
      <c r="KV29" s="610"/>
      <c r="KW29" s="610"/>
      <c r="KX29" s="610"/>
      <c r="KY29" s="610"/>
      <c r="KZ29" s="610"/>
      <c r="LA29" s="610"/>
      <c r="LB29" s="610"/>
      <c r="LC29" s="610"/>
      <c r="LD29" s="610"/>
      <c r="LE29" s="610"/>
      <c r="LF29" s="610"/>
      <c r="LG29" s="610"/>
      <c r="LH29" s="610"/>
      <c r="LI29" s="610"/>
      <c r="LJ29" s="610"/>
      <c r="LK29" s="610"/>
      <c r="LL29" s="610"/>
      <c r="LM29" s="610"/>
      <c r="LN29" s="610"/>
      <c r="LO29" s="610"/>
      <c r="LP29" s="610"/>
      <c r="LQ29" s="610"/>
      <c r="LR29" s="610"/>
      <c r="LS29" s="610"/>
      <c r="LT29" s="610"/>
      <c r="LU29" s="610"/>
      <c r="LV29" s="610"/>
      <c r="LW29" s="610"/>
      <c r="LX29" s="610"/>
      <c r="LY29" s="610"/>
      <c r="LZ29" s="610"/>
      <c r="MA29" s="610"/>
      <c r="MB29" s="610"/>
      <c r="MC29" s="610"/>
      <c r="MD29" s="610"/>
      <c r="ME29" s="610"/>
      <c r="MF29" s="610"/>
      <c r="MG29" s="610"/>
      <c r="MH29" s="610"/>
      <c r="MI29" s="610"/>
      <c r="MJ29" s="610"/>
      <c r="MK29" s="610"/>
      <c r="ML29" s="610"/>
      <c r="MM29" s="610"/>
      <c r="MN29" s="610"/>
      <c r="MO29" s="610"/>
      <c r="MP29" s="610"/>
      <c r="MQ29" s="610"/>
      <c r="MR29" s="610"/>
      <c r="MS29" s="610"/>
      <c r="MT29" s="610"/>
      <c r="MU29" s="610"/>
      <c r="MV29" s="610"/>
      <c r="MW29" s="610"/>
      <c r="MX29" s="610"/>
      <c r="MY29" s="610"/>
      <c r="MZ29" s="610"/>
      <c r="NA29" s="610"/>
      <c r="NB29" s="610"/>
      <c r="NC29" s="610"/>
      <c r="ND29" s="610"/>
      <c r="NE29" s="610"/>
      <c r="NF29" s="610"/>
      <c r="NG29" s="610"/>
      <c r="NH29" s="610"/>
      <c r="NI29" s="610"/>
      <c r="NJ29" s="610"/>
      <c r="NK29" s="610"/>
      <c r="NL29" s="610"/>
      <c r="NM29" s="610"/>
      <c r="NN29" s="610"/>
      <c r="NO29" s="610"/>
      <c r="NP29" s="610"/>
      <c r="NQ29" s="610"/>
      <c r="NR29" s="610"/>
      <c r="NS29" s="610"/>
      <c r="NT29" s="610"/>
      <c r="NU29" s="610"/>
      <c r="NV29" s="610"/>
      <c r="NW29" s="610"/>
      <c r="NX29" s="610"/>
      <c r="NY29" s="610"/>
      <c r="NZ29" s="610"/>
      <c r="OA29" s="610"/>
      <c r="OB29" s="610"/>
      <c r="OC29" s="610"/>
      <c r="OD29" s="610"/>
      <c r="OE29" s="610"/>
      <c r="OF29" s="610"/>
      <c r="OG29" s="610"/>
      <c r="OH29" s="610"/>
      <c r="OI29" s="610"/>
      <c r="OJ29" s="610"/>
      <c r="OK29" s="610"/>
      <c r="OL29" s="610"/>
      <c r="OM29" s="610"/>
      <c r="ON29" s="610"/>
      <c r="OO29" s="610"/>
      <c r="OP29" s="610"/>
      <c r="OQ29" s="610"/>
      <c r="OR29" s="610"/>
      <c r="OS29" s="610"/>
      <c r="OT29" s="610"/>
      <c r="OU29" s="610"/>
      <c r="OV29" s="610"/>
      <c r="OW29" s="610"/>
      <c r="OX29" s="610"/>
      <c r="OY29" s="610"/>
      <c r="OZ29" s="610"/>
      <c r="PA29" s="610"/>
      <c r="PB29" s="610"/>
      <c r="PC29" s="610"/>
      <c r="PD29" s="610"/>
      <c r="PE29" s="610"/>
      <c r="PF29" s="610"/>
      <c r="PG29" s="610"/>
      <c r="PH29" s="610"/>
      <c r="PI29" s="610"/>
      <c r="PJ29" s="610"/>
      <c r="PK29" s="610"/>
      <c r="PL29" s="610"/>
      <c r="PM29" s="610"/>
      <c r="PN29" s="610"/>
      <c r="PO29" s="610"/>
      <c r="PP29" s="610"/>
      <c r="PQ29" s="610"/>
      <c r="PR29" s="610"/>
      <c r="PS29" s="610"/>
      <c r="PT29" s="610"/>
      <c r="PU29" s="610"/>
      <c r="PV29" s="610"/>
      <c r="PW29" s="610"/>
      <c r="PX29" s="610"/>
      <c r="PY29" s="610"/>
      <c r="PZ29" s="610"/>
      <c r="QA29" s="610"/>
      <c r="QB29" s="610"/>
      <c r="QC29" s="610"/>
      <c r="QD29" s="610"/>
      <c r="QE29" s="610"/>
      <c r="QF29" s="610"/>
      <c r="QG29" s="610"/>
      <c r="QH29" s="610"/>
      <c r="QI29" s="610"/>
      <c r="QJ29" s="610"/>
      <c r="QK29" s="610"/>
      <c r="QL29" s="610"/>
      <c r="QM29" s="610"/>
      <c r="QN29" s="610"/>
      <c r="QO29" s="610"/>
      <c r="QP29" s="610"/>
      <c r="QQ29" s="610"/>
      <c r="QR29" s="610"/>
      <c r="QS29" s="610"/>
      <c r="QT29" s="610"/>
      <c r="QU29" s="610"/>
      <c r="QV29" s="610"/>
      <c r="QW29" s="610"/>
      <c r="QX29" s="610"/>
      <c r="QY29" s="610"/>
      <c r="QZ29" s="610"/>
      <c r="RA29" s="610"/>
      <c r="RB29" s="610"/>
      <c r="RC29" s="610"/>
      <c r="RD29" s="610"/>
      <c r="RE29" s="610"/>
      <c r="RF29" s="610"/>
      <c r="RG29" s="610"/>
      <c r="RH29" s="610"/>
    </row>
    <row r="30" spans="2:476" ht="20.100000000000001" customHeight="1">
      <c r="B30" s="558">
        <v>45821</v>
      </c>
      <c r="C30" s="547">
        <v>16</v>
      </c>
      <c r="D30" s="548">
        <v>0</v>
      </c>
      <c r="E30" s="548">
        <v>2</v>
      </c>
      <c r="F30" s="549">
        <f t="shared" si="0"/>
        <v>12.166666666627901</v>
      </c>
      <c r="G30" s="550"/>
      <c r="H30" s="572"/>
      <c r="I30" s="572"/>
      <c r="J30" s="569">
        <v>0</v>
      </c>
      <c r="K30" s="587"/>
      <c r="L30" s="551"/>
      <c r="M30" s="551"/>
      <c r="N30" s="572">
        <v>0.33333333249902403</v>
      </c>
      <c r="O30" s="572">
        <v>1.50000000087311</v>
      </c>
      <c r="P30" s="551"/>
      <c r="Q30" s="551"/>
      <c r="R30" s="551"/>
      <c r="S30" s="551"/>
      <c r="T30" s="551"/>
      <c r="U30" s="551"/>
      <c r="V30" s="551"/>
      <c r="W30" s="572"/>
      <c r="X30" s="572"/>
      <c r="Y30" s="624">
        <v>1</v>
      </c>
      <c r="Z30" s="607">
        <f t="shared" si="1"/>
        <v>0</v>
      </c>
      <c r="AA30" s="607">
        <f t="shared" si="2"/>
        <v>1.83333333337214</v>
      </c>
      <c r="AB30" s="608">
        <f t="shared" si="3"/>
        <v>1</v>
      </c>
      <c r="AC30" s="621"/>
      <c r="AD30" s="605"/>
      <c r="AE30" s="605"/>
      <c r="AF30" s="605"/>
      <c r="AG30" s="605"/>
      <c r="AH30" s="605"/>
      <c r="AI30" s="605"/>
      <c r="AJ30" s="605"/>
      <c r="AK30" s="605"/>
      <c r="AL30" s="605"/>
      <c r="AM30" s="605"/>
      <c r="AN30" s="605"/>
      <c r="AO30" s="605"/>
      <c r="AP30" s="605"/>
      <c r="AQ30" s="605"/>
      <c r="AR30" s="605"/>
      <c r="AS30" s="605"/>
      <c r="AT30" s="605"/>
      <c r="AU30" s="605"/>
      <c r="AV30" s="605"/>
      <c r="AW30" s="605"/>
      <c r="AX30" s="605"/>
      <c r="AY30" s="605"/>
      <c r="AZ30" s="605"/>
      <c r="BA30" s="605"/>
      <c r="BB30" s="605"/>
      <c r="BC30" s="605"/>
      <c r="BD30" s="605"/>
      <c r="BE30" s="605"/>
      <c r="BF30" s="605"/>
      <c r="BG30" s="605"/>
      <c r="BH30" s="605"/>
      <c r="BI30" s="605"/>
      <c r="BJ30" s="605"/>
      <c r="BK30" s="605"/>
      <c r="BL30" s="605"/>
      <c r="BM30" s="605"/>
      <c r="BN30" s="605"/>
      <c r="BO30" s="605"/>
      <c r="BP30" s="605"/>
      <c r="BQ30" s="605"/>
      <c r="BR30" s="605"/>
      <c r="BS30" s="605"/>
      <c r="BT30" s="605"/>
      <c r="BU30" s="605"/>
      <c r="BV30" s="605"/>
      <c r="BW30" s="605"/>
      <c r="BX30" s="605"/>
      <c r="BY30" s="605"/>
      <c r="BZ30" s="605"/>
      <c r="CA30" s="605"/>
      <c r="CB30" s="605"/>
      <c r="CC30" s="605"/>
      <c r="CD30" s="605"/>
      <c r="CE30" s="605"/>
      <c r="CF30" s="605"/>
      <c r="CG30" s="605"/>
      <c r="CH30" s="605"/>
      <c r="CI30" s="605"/>
      <c r="CJ30" s="605"/>
      <c r="CK30" s="605"/>
      <c r="CL30" s="605"/>
      <c r="CM30" s="605"/>
      <c r="CN30" s="605"/>
      <c r="CO30" s="605"/>
      <c r="CP30" s="605"/>
      <c r="CQ30" s="605"/>
      <c r="CR30" s="605"/>
      <c r="CS30" s="605"/>
      <c r="CT30" s="605"/>
      <c r="CU30" s="605"/>
      <c r="CV30" s="605"/>
      <c r="CW30" s="605"/>
      <c r="CX30" s="605"/>
      <c r="CY30" s="605"/>
      <c r="CZ30" s="605"/>
      <c r="DA30" s="605"/>
      <c r="DB30" s="605"/>
      <c r="DC30" s="605"/>
      <c r="DD30" s="605"/>
      <c r="DE30" s="605"/>
      <c r="DF30" s="605"/>
      <c r="DG30" s="605"/>
      <c r="DH30" s="605"/>
      <c r="DI30" s="605"/>
      <c r="DJ30" s="605"/>
      <c r="DK30" s="605"/>
      <c r="DL30" s="605"/>
      <c r="DM30" s="605"/>
      <c r="DN30" s="605"/>
      <c r="DO30" s="605"/>
      <c r="DP30" s="605"/>
      <c r="DQ30" s="605"/>
      <c r="DR30" s="605"/>
      <c r="DS30" s="605"/>
      <c r="DT30" s="605"/>
      <c r="DU30" s="605"/>
      <c r="DV30" s="605"/>
      <c r="DW30" s="605"/>
      <c r="DX30" s="605"/>
      <c r="DY30" s="605"/>
      <c r="DZ30" s="605"/>
      <c r="EA30" s="605"/>
      <c r="EB30" s="605"/>
      <c r="EC30" s="605"/>
      <c r="ED30" s="605"/>
      <c r="EE30" s="605"/>
      <c r="EF30" s="605"/>
      <c r="EG30" s="605"/>
      <c r="EH30" s="605"/>
      <c r="EI30" s="605"/>
      <c r="EJ30" s="605"/>
      <c r="EK30" s="605"/>
      <c r="EL30" s="605"/>
      <c r="EM30" s="605"/>
      <c r="EN30" s="605"/>
      <c r="EO30" s="605"/>
      <c r="EP30" s="605"/>
      <c r="EQ30" s="605"/>
      <c r="ER30" s="605"/>
      <c r="ES30" s="605"/>
      <c r="ET30" s="605"/>
      <c r="EU30" s="605"/>
      <c r="EV30" s="605"/>
      <c r="EW30" s="605"/>
      <c r="EX30" s="605"/>
      <c r="EY30" s="605"/>
      <c r="EZ30" s="605"/>
      <c r="FA30" s="605"/>
      <c r="FB30" s="605"/>
      <c r="FC30" s="605"/>
      <c r="FD30" s="605"/>
      <c r="FE30" s="605"/>
      <c r="FF30" s="605"/>
      <c r="FG30" s="605"/>
      <c r="FH30" s="605"/>
      <c r="FI30" s="605"/>
      <c r="FJ30" s="605"/>
      <c r="FK30" s="605"/>
      <c r="FL30" s="605"/>
      <c r="FM30" s="605"/>
      <c r="FN30" s="605"/>
      <c r="FO30" s="605"/>
      <c r="FP30" s="605"/>
      <c r="FQ30" s="605"/>
      <c r="FR30" s="605"/>
      <c r="FS30" s="605"/>
      <c r="FT30" s="605"/>
      <c r="FU30" s="605"/>
      <c r="FV30" s="605"/>
      <c r="FW30" s="605"/>
      <c r="FX30" s="605"/>
      <c r="FY30" s="605"/>
      <c r="FZ30" s="605"/>
      <c r="GA30" s="605"/>
      <c r="GB30" s="605"/>
      <c r="GC30" s="605"/>
      <c r="GD30" s="605"/>
      <c r="GE30" s="605"/>
      <c r="GF30" s="605"/>
      <c r="GG30" s="605"/>
      <c r="GH30" s="605"/>
      <c r="GI30" s="605"/>
      <c r="GJ30" s="605"/>
      <c r="GK30" s="605"/>
      <c r="GL30" s="605"/>
      <c r="GM30" s="605"/>
      <c r="GN30" s="605"/>
      <c r="GO30" s="605"/>
      <c r="GP30" s="605"/>
      <c r="GQ30" s="605"/>
      <c r="GR30" s="605"/>
      <c r="GS30" s="605"/>
      <c r="GT30" s="605"/>
      <c r="GU30" s="605"/>
      <c r="GV30" s="605"/>
      <c r="GW30" s="605"/>
      <c r="GX30" s="605"/>
      <c r="GY30" s="605"/>
      <c r="GZ30" s="605"/>
      <c r="HA30" s="605"/>
      <c r="HB30" s="605"/>
      <c r="HC30" s="605"/>
      <c r="HD30" s="605"/>
      <c r="HE30" s="605"/>
      <c r="HF30" s="605"/>
      <c r="HG30" s="605"/>
      <c r="HH30" s="605"/>
      <c r="HI30" s="605"/>
      <c r="HJ30" s="605"/>
      <c r="HK30" s="605"/>
      <c r="HL30" s="605"/>
      <c r="HM30" s="605"/>
      <c r="HN30" s="605"/>
      <c r="HO30" s="605"/>
      <c r="HP30" s="605"/>
      <c r="HQ30" s="605"/>
      <c r="HR30" s="605"/>
      <c r="HS30" s="605"/>
      <c r="HT30" s="605"/>
      <c r="HU30" s="605"/>
      <c r="HV30" s="605"/>
      <c r="HW30" s="605"/>
      <c r="HX30" s="605"/>
      <c r="HY30" s="605"/>
      <c r="HZ30" s="605"/>
      <c r="IA30" s="605"/>
      <c r="IB30" s="605"/>
      <c r="IC30" s="605"/>
      <c r="ID30" s="605"/>
      <c r="IE30" s="605"/>
      <c r="IF30" s="605"/>
      <c r="IG30" s="605"/>
      <c r="IH30" s="605"/>
      <c r="II30" s="605"/>
      <c r="IJ30" s="605"/>
      <c r="IK30" s="605"/>
      <c r="IL30" s="605"/>
      <c r="IM30" s="605"/>
      <c r="IN30" s="605"/>
      <c r="IO30" s="605"/>
      <c r="IP30" s="605"/>
      <c r="IQ30" s="605"/>
      <c r="IR30" s="605"/>
      <c r="IS30" s="605"/>
      <c r="IT30" s="605"/>
      <c r="IU30" s="605"/>
      <c r="IV30" s="605"/>
      <c r="IW30" s="605"/>
      <c r="IX30" s="605"/>
      <c r="IY30" s="605"/>
      <c r="IZ30" s="605"/>
      <c r="JA30" s="605"/>
      <c r="JB30" s="605"/>
      <c r="JC30" s="605"/>
      <c r="JD30" s="605"/>
      <c r="JE30" s="605"/>
      <c r="JF30" s="605"/>
      <c r="JG30" s="605"/>
      <c r="JH30" s="605"/>
      <c r="JI30" s="605"/>
      <c r="JJ30" s="605"/>
      <c r="JK30" s="605"/>
      <c r="JL30" s="605"/>
      <c r="JM30" s="605"/>
      <c r="JN30" s="605"/>
      <c r="JO30" s="605"/>
      <c r="JP30" s="605"/>
      <c r="JQ30" s="605"/>
      <c r="JR30" s="605"/>
      <c r="JS30" s="605"/>
      <c r="JT30" s="605"/>
      <c r="JU30" s="605"/>
      <c r="JV30" s="605"/>
      <c r="JW30" s="605"/>
      <c r="JX30" s="605"/>
      <c r="JY30" s="605"/>
      <c r="JZ30" s="605"/>
      <c r="KA30" s="605"/>
      <c r="KB30" s="605"/>
      <c r="KC30" s="605"/>
      <c r="KD30" s="605"/>
      <c r="KE30" s="605"/>
      <c r="KF30" s="605"/>
      <c r="KG30" s="605"/>
      <c r="KH30" s="605"/>
      <c r="KI30" s="605"/>
      <c r="KJ30" s="605"/>
      <c r="KK30" s="605"/>
      <c r="KL30" s="605"/>
      <c r="KM30" s="605"/>
      <c r="KN30" s="605"/>
      <c r="KO30" s="605"/>
      <c r="KP30" s="605"/>
      <c r="KQ30" s="605"/>
      <c r="KR30" s="605"/>
      <c r="KS30" s="605"/>
      <c r="KT30" s="605"/>
      <c r="KU30" s="605"/>
      <c r="KV30" s="605"/>
      <c r="KW30" s="605"/>
      <c r="KX30" s="605"/>
      <c r="KY30" s="605"/>
      <c r="KZ30" s="605"/>
      <c r="LA30" s="605"/>
      <c r="LB30" s="605"/>
      <c r="LC30" s="605"/>
      <c r="LD30" s="605"/>
      <c r="LE30" s="605"/>
      <c r="LF30" s="605"/>
      <c r="LG30" s="605"/>
      <c r="LH30" s="605"/>
      <c r="LI30" s="605"/>
      <c r="LJ30" s="605"/>
      <c r="LK30" s="605"/>
      <c r="LL30" s="605"/>
      <c r="LM30" s="605"/>
      <c r="LN30" s="605"/>
      <c r="LO30" s="605"/>
      <c r="LP30" s="605"/>
      <c r="LQ30" s="605"/>
      <c r="LR30" s="605"/>
      <c r="LS30" s="605"/>
      <c r="LT30" s="605"/>
      <c r="LU30" s="605"/>
      <c r="LV30" s="605"/>
      <c r="LW30" s="605"/>
      <c r="LX30" s="605"/>
      <c r="LY30" s="605"/>
      <c r="LZ30" s="605"/>
      <c r="MA30" s="605"/>
      <c r="MB30" s="605"/>
      <c r="MC30" s="605"/>
      <c r="MD30" s="605"/>
      <c r="ME30" s="605"/>
      <c r="MF30" s="605"/>
      <c r="MG30" s="605"/>
      <c r="MH30" s="605"/>
      <c r="MI30" s="605"/>
      <c r="MJ30" s="605"/>
      <c r="MK30" s="605"/>
      <c r="ML30" s="605"/>
      <c r="MM30" s="605"/>
      <c r="MN30" s="605"/>
      <c r="MO30" s="605"/>
      <c r="MP30" s="605"/>
      <c r="MQ30" s="605"/>
      <c r="MR30" s="605"/>
      <c r="MS30" s="605"/>
      <c r="MT30" s="605"/>
      <c r="MU30" s="605"/>
      <c r="MV30" s="605"/>
      <c r="MW30" s="605"/>
      <c r="MX30" s="605"/>
      <c r="MY30" s="605"/>
      <c r="MZ30" s="605"/>
      <c r="NA30" s="605"/>
      <c r="NB30" s="605"/>
      <c r="NC30" s="605"/>
      <c r="ND30" s="605"/>
      <c r="NE30" s="605"/>
      <c r="NF30" s="605"/>
      <c r="NG30" s="605"/>
      <c r="NH30" s="605"/>
      <c r="NI30" s="605"/>
      <c r="NJ30" s="605"/>
      <c r="NK30" s="605"/>
      <c r="NL30" s="605"/>
      <c r="NM30" s="605"/>
      <c r="NN30" s="605"/>
      <c r="NO30" s="605"/>
      <c r="NP30" s="605"/>
      <c r="NQ30" s="605"/>
      <c r="NR30" s="605"/>
      <c r="NS30" s="605"/>
      <c r="NT30" s="605"/>
      <c r="NU30" s="605"/>
      <c r="NV30" s="605"/>
      <c r="NW30" s="605"/>
      <c r="NX30" s="605"/>
      <c r="NY30" s="605"/>
      <c r="NZ30" s="605"/>
      <c r="OA30" s="605"/>
      <c r="OB30" s="605"/>
      <c r="OC30" s="605"/>
      <c r="OD30" s="605"/>
      <c r="OE30" s="605"/>
      <c r="OF30" s="605"/>
      <c r="OG30" s="605"/>
      <c r="OH30" s="605"/>
      <c r="OI30" s="605"/>
      <c r="OJ30" s="605"/>
      <c r="OK30" s="605"/>
      <c r="OL30" s="605"/>
      <c r="OM30" s="605"/>
      <c r="ON30" s="605"/>
      <c r="OO30" s="605"/>
      <c r="OP30" s="605"/>
      <c r="OQ30" s="605"/>
      <c r="OR30" s="605"/>
      <c r="OS30" s="605"/>
      <c r="OT30" s="605"/>
      <c r="OU30" s="605"/>
      <c r="OV30" s="605"/>
      <c r="OW30" s="605"/>
      <c r="OX30" s="605"/>
      <c r="OY30" s="605"/>
      <c r="OZ30" s="605"/>
      <c r="PA30" s="605"/>
      <c r="PB30" s="605"/>
      <c r="PC30" s="605"/>
      <c r="PD30" s="605"/>
      <c r="PE30" s="605"/>
      <c r="PF30" s="605"/>
      <c r="PG30" s="605"/>
      <c r="PH30" s="605"/>
      <c r="PI30" s="605"/>
      <c r="PJ30" s="605"/>
      <c r="PK30" s="605"/>
      <c r="PL30" s="605"/>
      <c r="PM30" s="605"/>
      <c r="PN30" s="605"/>
      <c r="PO30" s="605"/>
      <c r="PP30" s="605"/>
      <c r="PQ30" s="605"/>
      <c r="PR30" s="605"/>
      <c r="PS30" s="605"/>
      <c r="PT30" s="605"/>
      <c r="PU30" s="605"/>
      <c r="PV30" s="605"/>
      <c r="PW30" s="605"/>
      <c r="PX30" s="605"/>
      <c r="PY30" s="605"/>
      <c r="PZ30" s="605"/>
      <c r="QA30" s="605"/>
      <c r="QB30" s="605"/>
      <c r="QC30" s="605"/>
      <c r="QD30" s="605"/>
      <c r="QE30" s="605"/>
      <c r="QF30" s="605"/>
      <c r="QG30" s="605"/>
      <c r="QH30" s="605"/>
      <c r="QI30" s="605"/>
      <c r="QJ30" s="605"/>
      <c r="QK30" s="605"/>
      <c r="QL30" s="605"/>
      <c r="QM30" s="605"/>
      <c r="QN30" s="605"/>
      <c r="QO30" s="605"/>
      <c r="QP30" s="605"/>
      <c r="QQ30" s="605"/>
      <c r="QR30" s="605"/>
      <c r="QS30" s="605"/>
      <c r="QT30" s="605"/>
      <c r="QU30" s="605"/>
      <c r="QV30" s="605"/>
      <c r="QW30" s="605"/>
      <c r="QX30" s="605"/>
      <c r="QY30" s="605"/>
      <c r="QZ30" s="605"/>
      <c r="RA30" s="605"/>
      <c r="RB30" s="605"/>
      <c r="RC30" s="605"/>
      <c r="RD30" s="605"/>
      <c r="RE30" s="605"/>
      <c r="RF30" s="605"/>
      <c r="RG30" s="605"/>
      <c r="RH30" s="605"/>
    </row>
    <row r="31" spans="2:476" ht="20.100000000000001" customHeight="1">
      <c r="B31" s="558"/>
      <c r="C31" s="547">
        <v>16</v>
      </c>
      <c r="D31" s="548">
        <v>0</v>
      </c>
      <c r="E31" s="548">
        <v>2</v>
      </c>
      <c r="F31" s="549">
        <f t="shared" si="0"/>
        <v>12.249999998835801</v>
      </c>
      <c r="G31" s="570"/>
      <c r="H31" s="551"/>
      <c r="I31" s="551"/>
      <c r="J31" s="572">
        <v>0</v>
      </c>
      <c r="K31" s="587"/>
      <c r="L31" s="551"/>
      <c r="M31" s="551"/>
      <c r="N31" s="569">
        <v>0.250000001164153</v>
      </c>
      <c r="O31" s="572">
        <v>1.5</v>
      </c>
      <c r="P31" s="551"/>
      <c r="Q31" s="551"/>
      <c r="R31" s="551"/>
      <c r="S31" s="551"/>
      <c r="T31" s="551"/>
      <c r="U31" s="551"/>
      <c r="V31" s="551"/>
      <c r="W31" s="572"/>
      <c r="X31" s="551"/>
      <c r="Y31" s="624">
        <v>2</v>
      </c>
      <c r="Z31" s="607">
        <f t="shared" si="1"/>
        <v>0</v>
      </c>
      <c r="AA31" s="607">
        <f t="shared" si="2"/>
        <v>1.7500000011641501</v>
      </c>
      <c r="AB31" s="608">
        <f t="shared" si="3"/>
        <v>1</v>
      </c>
      <c r="AC31" s="617"/>
      <c r="AD31" s="605"/>
      <c r="AE31" s="605"/>
      <c r="AF31" s="605"/>
      <c r="AG31" s="605"/>
      <c r="AH31" s="605"/>
      <c r="AI31" s="605"/>
      <c r="AJ31" s="605"/>
      <c r="AK31" s="605"/>
      <c r="AL31" s="605"/>
      <c r="AM31" s="605"/>
      <c r="AN31" s="605"/>
      <c r="AO31" s="605"/>
      <c r="AP31" s="605"/>
      <c r="AQ31" s="605"/>
      <c r="AR31" s="605"/>
      <c r="AS31" s="605"/>
      <c r="AT31" s="605"/>
      <c r="AU31" s="605"/>
      <c r="AV31" s="605"/>
      <c r="AW31" s="605"/>
      <c r="AX31" s="605"/>
      <c r="AY31" s="605"/>
      <c r="AZ31" s="605"/>
      <c r="BA31" s="605"/>
      <c r="BB31" s="605"/>
      <c r="BC31" s="605"/>
      <c r="BD31" s="605"/>
      <c r="BE31" s="605"/>
      <c r="BF31" s="605"/>
      <c r="BG31" s="605"/>
      <c r="BH31" s="605"/>
      <c r="BI31" s="605"/>
      <c r="BJ31" s="605"/>
      <c r="BK31" s="605"/>
      <c r="BL31" s="605"/>
      <c r="BM31" s="605"/>
      <c r="BN31" s="605"/>
      <c r="BO31" s="605"/>
      <c r="BP31" s="605"/>
      <c r="BQ31" s="605"/>
      <c r="BR31" s="605"/>
      <c r="BS31" s="605"/>
      <c r="BT31" s="605"/>
      <c r="BU31" s="605"/>
      <c r="BV31" s="605"/>
      <c r="BW31" s="605"/>
      <c r="BX31" s="605"/>
      <c r="BY31" s="605"/>
      <c r="BZ31" s="605"/>
      <c r="CA31" s="605"/>
      <c r="CB31" s="605"/>
      <c r="CC31" s="605"/>
      <c r="CD31" s="605"/>
      <c r="CE31" s="605"/>
      <c r="CF31" s="605"/>
      <c r="CG31" s="605"/>
      <c r="CH31" s="605"/>
      <c r="CI31" s="605"/>
      <c r="CJ31" s="605"/>
      <c r="CK31" s="605"/>
      <c r="CL31" s="605"/>
      <c r="CM31" s="605"/>
      <c r="CN31" s="605"/>
      <c r="CO31" s="605"/>
      <c r="CP31" s="605"/>
      <c r="CQ31" s="605"/>
      <c r="CR31" s="605"/>
      <c r="CS31" s="605"/>
      <c r="CT31" s="605"/>
      <c r="CU31" s="605"/>
      <c r="CV31" s="605"/>
      <c r="CW31" s="605"/>
      <c r="CX31" s="605"/>
      <c r="CY31" s="605"/>
      <c r="CZ31" s="605"/>
      <c r="DA31" s="605"/>
      <c r="DB31" s="605"/>
      <c r="DC31" s="605"/>
      <c r="DD31" s="605"/>
      <c r="DE31" s="605"/>
      <c r="DF31" s="605"/>
      <c r="DG31" s="605"/>
      <c r="DH31" s="605"/>
      <c r="DI31" s="605"/>
      <c r="DJ31" s="605"/>
      <c r="DK31" s="605"/>
      <c r="DL31" s="605"/>
      <c r="DM31" s="605"/>
      <c r="DN31" s="605"/>
      <c r="DO31" s="605"/>
      <c r="DP31" s="605"/>
      <c r="DQ31" s="605"/>
      <c r="DR31" s="605"/>
      <c r="DS31" s="605"/>
      <c r="DT31" s="605"/>
      <c r="DU31" s="605"/>
      <c r="DV31" s="605"/>
      <c r="DW31" s="605"/>
      <c r="DX31" s="605"/>
      <c r="DY31" s="605"/>
      <c r="DZ31" s="605"/>
      <c r="EA31" s="605"/>
      <c r="EB31" s="605"/>
      <c r="EC31" s="605"/>
      <c r="ED31" s="605"/>
      <c r="EE31" s="605"/>
      <c r="EF31" s="605"/>
      <c r="EG31" s="605"/>
      <c r="EH31" s="605"/>
      <c r="EI31" s="605"/>
      <c r="EJ31" s="605"/>
      <c r="EK31" s="605"/>
      <c r="EL31" s="605"/>
      <c r="EM31" s="605"/>
      <c r="EN31" s="605"/>
      <c r="EO31" s="605"/>
      <c r="EP31" s="605"/>
      <c r="EQ31" s="605"/>
      <c r="ER31" s="605"/>
      <c r="ES31" s="605"/>
      <c r="ET31" s="605"/>
      <c r="EU31" s="605"/>
      <c r="EV31" s="605"/>
      <c r="EW31" s="605"/>
      <c r="EX31" s="605"/>
      <c r="EY31" s="605"/>
      <c r="EZ31" s="605"/>
      <c r="FA31" s="605"/>
      <c r="FB31" s="605"/>
      <c r="FC31" s="605"/>
      <c r="FD31" s="605"/>
      <c r="FE31" s="605"/>
      <c r="FF31" s="605"/>
      <c r="FG31" s="605"/>
      <c r="FH31" s="605"/>
      <c r="FI31" s="605"/>
      <c r="FJ31" s="605"/>
      <c r="FK31" s="605"/>
      <c r="FL31" s="605"/>
      <c r="FM31" s="605"/>
      <c r="FN31" s="605"/>
      <c r="FO31" s="605"/>
      <c r="FP31" s="605"/>
      <c r="FQ31" s="605"/>
      <c r="FR31" s="605"/>
      <c r="FS31" s="605"/>
      <c r="FT31" s="605"/>
      <c r="FU31" s="605"/>
      <c r="FV31" s="605"/>
      <c r="FW31" s="605"/>
      <c r="FX31" s="605"/>
      <c r="FY31" s="605"/>
      <c r="FZ31" s="605"/>
      <c r="GA31" s="605"/>
      <c r="GB31" s="605"/>
      <c r="GC31" s="605"/>
      <c r="GD31" s="605"/>
      <c r="GE31" s="605"/>
      <c r="GF31" s="605"/>
      <c r="GG31" s="605"/>
      <c r="GH31" s="605"/>
      <c r="GI31" s="605"/>
      <c r="GJ31" s="605"/>
      <c r="GK31" s="605"/>
      <c r="GL31" s="605"/>
      <c r="GM31" s="605"/>
      <c r="GN31" s="605"/>
      <c r="GO31" s="605"/>
      <c r="GP31" s="605"/>
      <c r="GQ31" s="605"/>
      <c r="GR31" s="605"/>
      <c r="GS31" s="605"/>
      <c r="GT31" s="605"/>
      <c r="GU31" s="605"/>
      <c r="GV31" s="605"/>
      <c r="GW31" s="605"/>
      <c r="GX31" s="605"/>
      <c r="GY31" s="605"/>
      <c r="GZ31" s="605"/>
      <c r="HA31" s="605"/>
      <c r="HB31" s="605"/>
      <c r="HC31" s="605"/>
      <c r="HD31" s="605"/>
      <c r="HE31" s="605"/>
      <c r="HF31" s="605"/>
      <c r="HG31" s="605"/>
      <c r="HH31" s="605"/>
      <c r="HI31" s="605"/>
      <c r="HJ31" s="605"/>
      <c r="HK31" s="605"/>
      <c r="HL31" s="605"/>
      <c r="HM31" s="605"/>
      <c r="HN31" s="605"/>
      <c r="HO31" s="605"/>
      <c r="HP31" s="605"/>
      <c r="HQ31" s="605"/>
      <c r="HR31" s="605"/>
      <c r="HS31" s="605"/>
      <c r="HT31" s="605"/>
      <c r="HU31" s="605"/>
      <c r="HV31" s="605"/>
      <c r="HW31" s="605"/>
      <c r="HX31" s="605"/>
      <c r="HY31" s="605"/>
      <c r="HZ31" s="605"/>
      <c r="IA31" s="605"/>
      <c r="IB31" s="605"/>
      <c r="IC31" s="605"/>
      <c r="ID31" s="605"/>
      <c r="IE31" s="605"/>
      <c r="IF31" s="605"/>
      <c r="IG31" s="605"/>
      <c r="IH31" s="605"/>
      <c r="II31" s="605"/>
      <c r="IJ31" s="605"/>
      <c r="IK31" s="605"/>
      <c r="IL31" s="605"/>
      <c r="IM31" s="605"/>
      <c r="IN31" s="605"/>
      <c r="IO31" s="605"/>
      <c r="IP31" s="605"/>
      <c r="IQ31" s="605"/>
      <c r="IR31" s="605"/>
      <c r="IS31" s="605"/>
      <c r="IT31" s="605"/>
      <c r="IU31" s="605"/>
      <c r="IV31" s="605"/>
      <c r="IW31" s="605"/>
      <c r="IX31" s="605"/>
      <c r="IY31" s="605"/>
      <c r="IZ31" s="605"/>
      <c r="JA31" s="605"/>
      <c r="JB31" s="605"/>
      <c r="JC31" s="605"/>
      <c r="JD31" s="605"/>
      <c r="JE31" s="605"/>
      <c r="JF31" s="605"/>
      <c r="JG31" s="605"/>
      <c r="JH31" s="605"/>
      <c r="JI31" s="605"/>
      <c r="JJ31" s="605"/>
      <c r="JK31" s="605"/>
      <c r="JL31" s="605"/>
      <c r="JM31" s="605"/>
      <c r="JN31" s="605"/>
      <c r="JO31" s="605"/>
      <c r="JP31" s="605"/>
      <c r="JQ31" s="605"/>
      <c r="JR31" s="605"/>
      <c r="JS31" s="605"/>
      <c r="JT31" s="605"/>
      <c r="JU31" s="605"/>
      <c r="JV31" s="605"/>
      <c r="JW31" s="605"/>
      <c r="JX31" s="605"/>
      <c r="JY31" s="605"/>
      <c r="JZ31" s="605"/>
      <c r="KA31" s="605"/>
      <c r="KB31" s="605"/>
      <c r="KC31" s="605"/>
      <c r="KD31" s="605"/>
      <c r="KE31" s="605"/>
      <c r="KF31" s="605"/>
      <c r="KG31" s="605"/>
      <c r="KH31" s="605"/>
      <c r="KI31" s="605"/>
      <c r="KJ31" s="605"/>
      <c r="KK31" s="605"/>
      <c r="KL31" s="605"/>
      <c r="KM31" s="605"/>
      <c r="KN31" s="605"/>
      <c r="KO31" s="605"/>
      <c r="KP31" s="605"/>
      <c r="KQ31" s="605"/>
      <c r="KR31" s="605"/>
      <c r="KS31" s="605"/>
      <c r="KT31" s="605"/>
      <c r="KU31" s="605"/>
      <c r="KV31" s="605"/>
      <c r="KW31" s="605"/>
      <c r="KX31" s="605"/>
      <c r="KY31" s="605"/>
      <c r="KZ31" s="605"/>
      <c r="LA31" s="605"/>
      <c r="LB31" s="605"/>
      <c r="LC31" s="605"/>
      <c r="LD31" s="605"/>
      <c r="LE31" s="605"/>
      <c r="LF31" s="605"/>
      <c r="LG31" s="605"/>
      <c r="LH31" s="605"/>
      <c r="LI31" s="605"/>
      <c r="LJ31" s="605"/>
      <c r="LK31" s="605"/>
      <c r="LL31" s="605"/>
      <c r="LM31" s="605"/>
      <c r="LN31" s="605"/>
      <c r="LO31" s="605"/>
      <c r="LP31" s="605"/>
      <c r="LQ31" s="605"/>
      <c r="LR31" s="605"/>
      <c r="LS31" s="605"/>
      <c r="LT31" s="605"/>
      <c r="LU31" s="605"/>
      <c r="LV31" s="605"/>
      <c r="LW31" s="605"/>
      <c r="LX31" s="605"/>
      <c r="LY31" s="605"/>
      <c r="LZ31" s="605"/>
      <c r="MA31" s="605"/>
      <c r="MB31" s="605"/>
      <c r="MC31" s="605"/>
      <c r="MD31" s="605"/>
      <c r="ME31" s="605"/>
      <c r="MF31" s="605"/>
      <c r="MG31" s="605"/>
      <c r="MH31" s="605"/>
      <c r="MI31" s="605"/>
      <c r="MJ31" s="605"/>
      <c r="MK31" s="605"/>
      <c r="ML31" s="605"/>
      <c r="MM31" s="605"/>
      <c r="MN31" s="605"/>
      <c r="MO31" s="605"/>
      <c r="MP31" s="605"/>
      <c r="MQ31" s="605"/>
      <c r="MR31" s="605"/>
      <c r="MS31" s="605"/>
      <c r="MT31" s="605"/>
      <c r="MU31" s="605"/>
      <c r="MV31" s="605"/>
      <c r="MW31" s="605"/>
      <c r="MX31" s="605"/>
      <c r="MY31" s="605"/>
      <c r="MZ31" s="605"/>
      <c r="NA31" s="605"/>
      <c r="NB31" s="605"/>
      <c r="NC31" s="605"/>
      <c r="ND31" s="605"/>
      <c r="NE31" s="605"/>
      <c r="NF31" s="605"/>
      <c r="NG31" s="605"/>
      <c r="NH31" s="605"/>
      <c r="NI31" s="605"/>
      <c r="NJ31" s="605"/>
      <c r="NK31" s="605"/>
      <c r="NL31" s="605"/>
      <c r="NM31" s="605"/>
      <c r="NN31" s="605"/>
      <c r="NO31" s="605"/>
      <c r="NP31" s="605"/>
      <c r="NQ31" s="605"/>
      <c r="NR31" s="605"/>
      <c r="NS31" s="605"/>
      <c r="NT31" s="605"/>
      <c r="NU31" s="605"/>
      <c r="NV31" s="605"/>
      <c r="NW31" s="605"/>
      <c r="NX31" s="605"/>
      <c r="NY31" s="605"/>
      <c r="NZ31" s="605"/>
      <c r="OA31" s="605"/>
      <c r="OB31" s="605"/>
      <c r="OC31" s="605"/>
      <c r="OD31" s="605"/>
      <c r="OE31" s="605"/>
      <c r="OF31" s="605"/>
      <c r="OG31" s="605"/>
      <c r="OH31" s="605"/>
      <c r="OI31" s="605"/>
      <c r="OJ31" s="605"/>
      <c r="OK31" s="605"/>
      <c r="OL31" s="605"/>
      <c r="OM31" s="605"/>
      <c r="ON31" s="605"/>
      <c r="OO31" s="605"/>
      <c r="OP31" s="605"/>
      <c r="OQ31" s="605"/>
      <c r="OR31" s="605"/>
      <c r="OS31" s="605"/>
      <c r="OT31" s="605"/>
      <c r="OU31" s="605"/>
      <c r="OV31" s="605"/>
      <c r="OW31" s="605"/>
      <c r="OX31" s="605"/>
      <c r="OY31" s="605"/>
      <c r="OZ31" s="605"/>
      <c r="PA31" s="605"/>
      <c r="PB31" s="605"/>
      <c r="PC31" s="605"/>
      <c r="PD31" s="605"/>
      <c r="PE31" s="605"/>
      <c r="PF31" s="605"/>
      <c r="PG31" s="605"/>
      <c r="PH31" s="605"/>
      <c r="PI31" s="605"/>
      <c r="PJ31" s="605"/>
      <c r="PK31" s="605"/>
      <c r="PL31" s="605"/>
      <c r="PM31" s="605"/>
      <c r="PN31" s="605"/>
      <c r="PO31" s="605"/>
      <c r="PP31" s="605"/>
      <c r="PQ31" s="605"/>
      <c r="PR31" s="605"/>
      <c r="PS31" s="605"/>
      <c r="PT31" s="605"/>
      <c r="PU31" s="605"/>
      <c r="PV31" s="605"/>
      <c r="PW31" s="605"/>
      <c r="PX31" s="605"/>
      <c r="PY31" s="605"/>
      <c r="PZ31" s="605"/>
      <c r="QA31" s="605"/>
      <c r="QB31" s="605"/>
      <c r="QC31" s="605"/>
      <c r="QD31" s="605"/>
      <c r="QE31" s="605"/>
      <c r="QF31" s="605"/>
      <c r="QG31" s="605"/>
      <c r="QH31" s="605"/>
      <c r="QI31" s="605"/>
      <c r="QJ31" s="605"/>
      <c r="QK31" s="605"/>
      <c r="QL31" s="605"/>
      <c r="QM31" s="605"/>
      <c r="QN31" s="605"/>
      <c r="QO31" s="605"/>
      <c r="QP31" s="605"/>
      <c r="QQ31" s="605"/>
      <c r="QR31" s="605"/>
      <c r="QS31" s="605"/>
      <c r="QT31" s="605"/>
      <c r="QU31" s="605"/>
      <c r="QV31" s="605"/>
      <c r="QW31" s="605"/>
      <c r="QX31" s="605"/>
      <c r="QY31" s="605"/>
      <c r="QZ31" s="605"/>
      <c r="RA31" s="605"/>
      <c r="RB31" s="605"/>
      <c r="RC31" s="605"/>
      <c r="RD31" s="605"/>
      <c r="RE31" s="605"/>
      <c r="RF31" s="605"/>
      <c r="RG31" s="605"/>
      <c r="RH31" s="605"/>
    </row>
    <row r="32" spans="2:476" s="529" customFormat="1" ht="20.100000000000001" customHeight="1">
      <c r="B32" s="552">
        <v>45822</v>
      </c>
      <c r="C32" s="553">
        <v>16</v>
      </c>
      <c r="D32" s="554">
        <v>0</v>
      </c>
      <c r="E32" s="554">
        <v>2</v>
      </c>
      <c r="F32" s="555">
        <f t="shared" si="0"/>
        <v>12.250000000058201</v>
      </c>
      <c r="G32" s="556"/>
      <c r="H32" s="560"/>
      <c r="I32" s="576"/>
      <c r="J32" s="591">
        <v>0</v>
      </c>
      <c r="K32" s="560"/>
      <c r="L32" s="557"/>
      <c r="M32" s="557"/>
      <c r="N32" s="591">
        <v>0.24999999906867701</v>
      </c>
      <c r="O32" s="560">
        <v>1.50000000087311</v>
      </c>
      <c r="P32" s="573"/>
      <c r="Q32" s="560"/>
      <c r="R32" s="557"/>
      <c r="S32" s="557"/>
      <c r="T32" s="557"/>
      <c r="U32" s="557"/>
      <c r="V32" s="557"/>
      <c r="W32" s="557"/>
      <c r="X32" s="576"/>
      <c r="Y32" s="622">
        <v>1</v>
      </c>
      <c r="Z32" s="607">
        <f t="shared" si="1"/>
        <v>0</v>
      </c>
      <c r="AA32" s="607">
        <f t="shared" si="2"/>
        <v>1.7499999999417899</v>
      </c>
      <c r="AB32" s="608">
        <f t="shared" si="3"/>
        <v>1</v>
      </c>
      <c r="AC32" s="621"/>
      <c r="AD32" s="620"/>
      <c r="AE32" s="620"/>
      <c r="AF32" s="620"/>
      <c r="AG32" s="620"/>
      <c r="AH32" s="620"/>
      <c r="AI32" s="620"/>
      <c r="AJ32" s="620"/>
      <c r="AK32" s="620"/>
      <c r="AL32" s="620"/>
      <c r="AM32" s="620"/>
      <c r="AN32" s="620"/>
      <c r="AO32" s="620"/>
      <c r="AP32" s="620"/>
      <c r="AQ32" s="620"/>
      <c r="AR32" s="620"/>
      <c r="AS32" s="620"/>
      <c r="AT32" s="620"/>
      <c r="AU32" s="620"/>
      <c r="AV32" s="620"/>
      <c r="AW32" s="620"/>
      <c r="AX32" s="620"/>
      <c r="AY32" s="620"/>
      <c r="AZ32" s="620"/>
      <c r="BA32" s="620"/>
      <c r="BB32" s="620"/>
      <c r="BC32" s="620"/>
      <c r="BD32" s="620"/>
      <c r="BE32" s="620"/>
      <c r="BF32" s="620"/>
      <c r="BG32" s="620"/>
      <c r="BH32" s="620"/>
      <c r="BI32" s="620"/>
      <c r="BJ32" s="620"/>
      <c r="BK32" s="620"/>
      <c r="BL32" s="620"/>
      <c r="BM32" s="620"/>
      <c r="BN32" s="620"/>
      <c r="BO32" s="620"/>
      <c r="BP32" s="620"/>
      <c r="BQ32" s="620"/>
      <c r="BR32" s="620"/>
      <c r="BS32" s="620"/>
      <c r="BT32" s="620"/>
      <c r="BU32" s="620"/>
      <c r="BV32" s="620"/>
      <c r="BW32" s="620"/>
      <c r="BX32" s="620"/>
      <c r="BY32" s="620"/>
      <c r="BZ32" s="620"/>
      <c r="CA32" s="620"/>
      <c r="CB32" s="620"/>
      <c r="CC32" s="620"/>
      <c r="CD32" s="620"/>
      <c r="CE32" s="620"/>
      <c r="CF32" s="620"/>
      <c r="CG32" s="620"/>
      <c r="CH32" s="620"/>
      <c r="CI32" s="620"/>
      <c r="CJ32" s="620"/>
      <c r="CK32" s="620"/>
      <c r="CL32" s="620"/>
      <c r="CM32" s="620"/>
      <c r="CN32" s="620"/>
      <c r="CO32" s="620"/>
      <c r="CP32" s="620"/>
      <c r="CQ32" s="620"/>
      <c r="CR32" s="620"/>
      <c r="CS32" s="620"/>
      <c r="CT32" s="620"/>
      <c r="CU32" s="620"/>
      <c r="CV32" s="620"/>
      <c r="CW32" s="620"/>
      <c r="CX32" s="620"/>
      <c r="CY32" s="620"/>
      <c r="CZ32" s="620"/>
      <c r="DA32" s="620"/>
      <c r="DB32" s="620"/>
      <c r="DC32" s="620"/>
      <c r="DD32" s="620"/>
      <c r="DE32" s="620"/>
      <c r="DF32" s="620"/>
      <c r="DG32" s="620"/>
      <c r="DH32" s="620"/>
      <c r="DI32" s="620"/>
      <c r="DJ32" s="620"/>
      <c r="DK32" s="620"/>
      <c r="DL32" s="620"/>
      <c r="DM32" s="620"/>
      <c r="DN32" s="620"/>
      <c r="DO32" s="620"/>
      <c r="DP32" s="620"/>
      <c r="DQ32" s="620"/>
      <c r="DR32" s="620"/>
      <c r="DS32" s="620"/>
      <c r="DT32" s="620"/>
      <c r="DU32" s="620"/>
      <c r="DV32" s="620"/>
      <c r="DW32" s="620"/>
      <c r="DX32" s="620"/>
      <c r="DY32" s="620"/>
      <c r="DZ32" s="620"/>
      <c r="EA32" s="620"/>
      <c r="EB32" s="620"/>
      <c r="EC32" s="620"/>
      <c r="ED32" s="620"/>
      <c r="EE32" s="620"/>
      <c r="EF32" s="620"/>
      <c r="EG32" s="620"/>
      <c r="EH32" s="620"/>
      <c r="EI32" s="620"/>
      <c r="EJ32" s="620"/>
      <c r="EK32" s="620"/>
      <c r="EL32" s="620"/>
      <c r="EM32" s="620"/>
      <c r="EN32" s="620"/>
      <c r="EO32" s="620"/>
      <c r="EP32" s="620"/>
      <c r="EQ32" s="620"/>
      <c r="ER32" s="620"/>
      <c r="ES32" s="620"/>
      <c r="ET32" s="620"/>
      <c r="EU32" s="620"/>
      <c r="EV32" s="620"/>
      <c r="EW32" s="620"/>
      <c r="EX32" s="620"/>
      <c r="EY32" s="620"/>
      <c r="EZ32" s="620"/>
      <c r="FA32" s="620"/>
      <c r="FB32" s="620"/>
      <c r="FC32" s="620"/>
      <c r="FD32" s="620"/>
      <c r="FE32" s="620"/>
      <c r="FF32" s="620"/>
      <c r="FG32" s="620"/>
      <c r="FH32" s="620"/>
      <c r="FI32" s="620"/>
      <c r="FJ32" s="620"/>
      <c r="FK32" s="620"/>
      <c r="FL32" s="620"/>
      <c r="FM32" s="620"/>
      <c r="FN32" s="620"/>
      <c r="FO32" s="620"/>
      <c r="FP32" s="620"/>
      <c r="FQ32" s="620"/>
      <c r="FR32" s="620"/>
      <c r="FS32" s="620"/>
      <c r="FT32" s="620"/>
      <c r="FU32" s="620"/>
      <c r="FV32" s="620"/>
      <c r="FW32" s="620"/>
      <c r="FX32" s="620"/>
      <c r="FY32" s="620"/>
      <c r="FZ32" s="620"/>
      <c r="GA32" s="620"/>
      <c r="GB32" s="620"/>
      <c r="GC32" s="620"/>
      <c r="GD32" s="620"/>
      <c r="GE32" s="620"/>
      <c r="GF32" s="620"/>
      <c r="GG32" s="620"/>
      <c r="GH32" s="620"/>
      <c r="GI32" s="620"/>
      <c r="GJ32" s="620"/>
      <c r="GK32" s="620"/>
      <c r="GL32" s="620"/>
      <c r="GM32" s="620"/>
      <c r="GN32" s="620"/>
      <c r="GO32" s="620"/>
      <c r="GP32" s="620"/>
      <c r="GQ32" s="620"/>
      <c r="GR32" s="620"/>
      <c r="GS32" s="620"/>
      <c r="GT32" s="620"/>
      <c r="GU32" s="620"/>
      <c r="GV32" s="620"/>
      <c r="GW32" s="620"/>
      <c r="GX32" s="620"/>
      <c r="GY32" s="620"/>
      <c r="GZ32" s="620"/>
      <c r="HA32" s="620"/>
      <c r="HB32" s="620"/>
      <c r="HC32" s="620"/>
      <c r="HD32" s="620"/>
      <c r="HE32" s="620"/>
      <c r="HF32" s="620"/>
      <c r="HG32" s="620"/>
      <c r="HH32" s="620"/>
      <c r="HI32" s="620"/>
      <c r="HJ32" s="620"/>
      <c r="HK32" s="620"/>
      <c r="HL32" s="620"/>
      <c r="HM32" s="620"/>
      <c r="HN32" s="620"/>
      <c r="HO32" s="620"/>
      <c r="HP32" s="620"/>
      <c r="HQ32" s="620"/>
      <c r="HR32" s="620"/>
      <c r="HS32" s="620"/>
      <c r="HT32" s="620"/>
      <c r="HU32" s="620"/>
      <c r="HV32" s="620"/>
      <c r="HW32" s="620"/>
      <c r="HX32" s="620"/>
      <c r="HY32" s="620"/>
      <c r="HZ32" s="620"/>
      <c r="IA32" s="620"/>
      <c r="IB32" s="620"/>
      <c r="IC32" s="620"/>
      <c r="ID32" s="620"/>
      <c r="IE32" s="620"/>
      <c r="IF32" s="620"/>
      <c r="IG32" s="620"/>
      <c r="IH32" s="620"/>
      <c r="II32" s="620"/>
      <c r="IJ32" s="620"/>
      <c r="IK32" s="620"/>
      <c r="IL32" s="620"/>
      <c r="IM32" s="620"/>
      <c r="IN32" s="620"/>
      <c r="IO32" s="620"/>
      <c r="IP32" s="620"/>
      <c r="IQ32" s="620"/>
      <c r="IR32" s="620"/>
      <c r="IS32" s="620"/>
      <c r="IT32" s="620"/>
      <c r="IU32" s="620"/>
      <c r="IV32" s="620"/>
      <c r="IW32" s="620"/>
      <c r="IX32" s="620"/>
      <c r="IY32" s="620"/>
      <c r="IZ32" s="620"/>
      <c r="JA32" s="620"/>
      <c r="JB32" s="620"/>
      <c r="JC32" s="620"/>
      <c r="JD32" s="620"/>
      <c r="JE32" s="620"/>
      <c r="JF32" s="620"/>
      <c r="JG32" s="620"/>
      <c r="JH32" s="620"/>
      <c r="JI32" s="620"/>
      <c r="JJ32" s="620"/>
      <c r="JK32" s="620"/>
      <c r="JL32" s="620"/>
      <c r="JM32" s="620"/>
      <c r="JN32" s="620"/>
      <c r="JO32" s="620"/>
      <c r="JP32" s="620"/>
      <c r="JQ32" s="620"/>
      <c r="JR32" s="620"/>
      <c r="JS32" s="620"/>
      <c r="JT32" s="620"/>
      <c r="JU32" s="620"/>
      <c r="JV32" s="620"/>
      <c r="JW32" s="620"/>
      <c r="JX32" s="620"/>
      <c r="JY32" s="620"/>
      <c r="JZ32" s="620"/>
      <c r="KA32" s="620"/>
      <c r="KB32" s="620"/>
      <c r="KC32" s="620"/>
      <c r="KD32" s="620"/>
      <c r="KE32" s="620"/>
      <c r="KF32" s="620"/>
      <c r="KG32" s="620"/>
      <c r="KH32" s="620"/>
      <c r="KI32" s="620"/>
      <c r="KJ32" s="620"/>
      <c r="KK32" s="620"/>
      <c r="KL32" s="620"/>
      <c r="KM32" s="620"/>
      <c r="KN32" s="620"/>
      <c r="KO32" s="620"/>
      <c r="KP32" s="620"/>
      <c r="KQ32" s="620"/>
      <c r="KR32" s="620"/>
      <c r="KS32" s="620"/>
      <c r="KT32" s="620"/>
      <c r="KU32" s="620"/>
      <c r="KV32" s="620"/>
      <c r="KW32" s="620"/>
      <c r="KX32" s="620"/>
      <c r="KY32" s="620"/>
      <c r="KZ32" s="620"/>
      <c r="LA32" s="620"/>
      <c r="LB32" s="620"/>
      <c r="LC32" s="620"/>
      <c r="LD32" s="620"/>
      <c r="LE32" s="620"/>
      <c r="LF32" s="620"/>
      <c r="LG32" s="620"/>
      <c r="LH32" s="620"/>
      <c r="LI32" s="620"/>
      <c r="LJ32" s="620"/>
      <c r="LK32" s="620"/>
      <c r="LL32" s="620"/>
      <c r="LM32" s="620"/>
      <c r="LN32" s="620"/>
      <c r="LO32" s="620"/>
      <c r="LP32" s="620"/>
      <c r="LQ32" s="620"/>
      <c r="LR32" s="620"/>
      <c r="LS32" s="620"/>
      <c r="LT32" s="620"/>
      <c r="LU32" s="620"/>
      <c r="LV32" s="620"/>
      <c r="LW32" s="620"/>
      <c r="LX32" s="620"/>
      <c r="LY32" s="620"/>
      <c r="LZ32" s="620"/>
      <c r="MA32" s="620"/>
      <c r="MB32" s="620"/>
      <c r="MC32" s="620"/>
      <c r="MD32" s="620"/>
      <c r="ME32" s="620"/>
      <c r="MF32" s="620"/>
      <c r="MG32" s="620"/>
      <c r="MH32" s="620"/>
      <c r="MI32" s="620"/>
      <c r="MJ32" s="620"/>
      <c r="MK32" s="620"/>
      <c r="ML32" s="620"/>
      <c r="MM32" s="620"/>
      <c r="MN32" s="620"/>
      <c r="MO32" s="620"/>
      <c r="MP32" s="620"/>
      <c r="MQ32" s="620"/>
      <c r="MR32" s="620"/>
      <c r="MS32" s="620"/>
      <c r="MT32" s="620"/>
      <c r="MU32" s="620"/>
      <c r="MV32" s="620"/>
      <c r="MW32" s="620"/>
      <c r="MX32" s="620"/>
      <c r="MY32" s="620"/>
      <c r="MZ32" s="620"/>
      <c r="NA32" s="620"/>
      <c r="NB32" s="620"/>
      <c r="NC32" s="620"/>
      <c r="ND32" s="620"/>
      <c r="NE32" s="620"/>
      <c r="NF32" s="620"/>
      <c r="NG32" s="620"/>
      <c r="NH32" s="620"/>
      <c r="NI32" s="620"/>
      <c r="NJ32" s="620"/>
      <c r="NK32" s="620"/>
      <c r="NL32" s="620"/>
      <c r="NM32" s="620"/>
      <c r="NN32" s="620"/>
      <c r="NO32" s="620"/>
      <c r="NP32" s="620"/>
      <c r="NQ32" s="620"/>
      <c r="NR32" s="620"/>
      <c r="NS32" s="620"/>
      <c r="NT32" s="620"/>
      <c r="NU32" s="620"/>
      <c r="NV32" s="620"/>
      <c r="NW32" s="620"/>
      <c r="NX32" s="620"/>
      <c r="NY32" s="620"/>
      <c r="NZ32" s="620"/>
      <c r="OA32" s="620"/>
      <c r="OB32" s="620"/>
      <c r="OC32" s="620"/>
      <c r="OD32" s="620"/>
      <c r="OE32" s="620"/>
      <c r="OF32" s="620"/>
      <c r="OG32" s="620"/>
      <c r="OH32" s="620"/>
      <c r="OI32" s="620"/>
      <c r="OJ32" s="620"/>
      <c r="OK32" s="620"/>
      <c r="OL32" s="620"/>
      <c r="OM32" s="620"/>
      <c r="ON32" s="620"/>
      <c r="OO32" s="620"/>
      <c r="OP32" s="620"/>
      <c r="OQ32" s="620"/>
      <c r="OR32" s="620"/>
      <c r="OS32" s="620"/>
      <c r="OT32" s="620"/>
      <c r="OU32" s="620"/>
      <c r="OV32" s="620"/>
      <c r="OW32" s="620"/>
      <c r="OX32" s="620"/>
      <c r="OY32" s="620"/>
      <c r="OZ32" s="620"/>
      <c r="PA32" s="620"/>
      <c r="PB32" s="620"/>
      <c r="PC32" s="620"/>
      <c r="PD32" s="620"/>
      <c r="PE32" s="620"/>
      <c r="PF32" s="620"/>
      <c r="PG32" s="620"/>
      <c r="PH32" s="620"/>
      <c r="PI32" s="620"/>
      <c r="PJ32" s="620"/>
      <c r="PK32" s="620"/>
      <c r="PL32" s="620"/>
      <c r="PM32" s="620"/>
      <c r="PN32" s="620"/>
      <c r="PO32" s="620"/>
      <c r="PP32" s="620"/>
      <c r="PQ32" s="620"/>
      <c r="PR32" s="620"/>
      <c r="PS32" s="620"/>
      <c r="PT32" s="620"/>
      <c r="PU32" s="620"/>
      <c r="PV32" s="620"/>
      <c r="PW32" s="620"/>
      <c r="PX32" s="620"/>
      <c r="PY32" s="620"/>
      <c r="PZ32" s="620"/>
      <c r="QA32" s="620"/>
      <c r="QB32" s="620"/>
      <c r="QC32" s="620"/>
      <c r="QD32" s="620"/>
      <c r="QE32" s="620"/>
      <c r="QF32" s="620"/>
      <c r="QG32" s="620"/>
      <c r="QH32" s="620"/>
      <c r="QI32" s="620"/>
      <c r="QJ32" s="620"/>
      <c r="QK32" s="620"/>
      <c r="QL32" s="620"/>
      <c r="QM32" s="620"/>
      <c r="QN32" s="620"/>
      <c r="QO32" s="620"/>
      <c r="QP32" s="620"/>
      <c r="QQ32" s="620"/>
      <c r="QR32" s="620"/>
      <c r="QS32" s="620"/>
      <c r="QT32" s="620"/>
      <c r="QU32" s="620"/>
      <c r="QV32" s="620"/>
      <c r="QW32" s="620"/>
      <c r="QX32" s="620"/>
      <c r="QY32" s="620"/>
      <c r="QZ32" s="620"/>
      <c r="RA32" s="620"/>
      <c r="RB32" s="620"/>
      <c r="RC32" s="620"/>
      <c r="RD32" s="620"/>
      <c r="RE32" s="620"/>
      <c r="RF32" s="620"/>
      <c r="RG32" s="620"/>
      <c r="RH32" s="620"/>
    </row>
    <row r="33" spans="2:476" s="529" customFormat="1" ht="20.100000000000001" customHeight="1">
      <c r="B33" s="552"/>
      <c r="C33" s="553">
        <v>16</v>
      </c>
      <c r="D33" s="554">
        <v>0</v>
      </c>
      <c r="E33" s="554">
        <v>2</v>
      </c>
      <c r="F33" s="555">
        <f t="shared" si="0"/>
        <v>12.9166666695965</v>
      </c>
      <c r="G33" s="568"/>
      <c r="H33" s="557"/>
      <c r="I33" s="557"/>
      <c r="J33" s="576">
        <v>0</v>
      </c>
      <c r="K33" s="560"/>
      <c r="L33" s="557"/>
      <c r="M33" s="557"/>
      <c r="N33" s="576">
        <v>0.58333332964684803</v>
      </c>
      <c r="O33" s="576">
        <v>0.50000000075670004</v>
      </c>
      <c r="P33" s="557"/>
      <c r="Q33" s="557"/>
      <c r="R33" s="557"/>
      <c r="S33" s="557"/>
      <c r="T33" s="557"/>
      <c r="U33" s="557"/>
      <c r="V33" s="557"/>
      <c r="W33" s="560"/>
      <c r="X33" s="557"/>
      <c r="Y33" s="622">
        <v>2</v>
      </c>
      <c r="Z33" s="607">
        <f t="shared" si="1"/>
        <v>0</v>
      </c>
      <c r="AA33" s="607">
        <f t="shared" si="2"/>
        <v>1.08333333040355</v>
      </c>
      <c r="AB33" s="608">
        <f t="shared" si="3"/>
        <v>1</v>
      </c>
      <c r="AC33" s="617"/>
      <c r="AD33" s="620"/>
      <c r="AE33" s="620"/>
      <c r="AF33" s="620"/>
      <c r="AG33" s="620"/>
      <c r="AH33" s="620"/>
      <c r="AI33" s="620"/>
      <c r="AJ33" s="620"/>
      <c r="AK33" s="620"/>
      <c r="AL33" s="620"/>
      <c r="AM33" s="620"/>
      <c r="AN33" s="620"/>
      <c r="AO33" s="620"/>
      <c r="AP33" s="620"/>
      <c r="AQ33" s="620"/>
      <c r="AR33" s="620"/>
      <c r="AS33" s="620"/>
      <c r="AT33" s="620"/>
      <c r="AU33" s="620"/>
      <c r="AV33" s="620"/>
      <c r="AW33" s="620"/>
      <c r="AX33" s="620"/>
      <c r="AY33" s="620"/>
      <c r="AZ33" s="620"/>
      <c r="BA33" s="620"/>
      <c r="BB33" s="620"/>
      <c r="BC33" s="620"/>
      <c r="BD33" s="620"/>
      <c r="BE33" s="620"/>
      <c r="BF33" s="620"/>
      <c r="BG33" s="620"/>
      <c r="BH33" s="620"/>
      <c r="BI33" s="620"/>
      <c r="BJ33" s="620"/>
      <c r="BK33" s="620"/>
      <c r="BL33" s="620"/>
      <c r="BM33" s="620"/>
      <c r="BN33" s="620"/>
      <c r="BO33" s="620"/>
      <c r="BP33" s="620"/>
      <c r="BQ33" s="620"/>
      <c r="BR33" s="620"/>
      <c r="BS33" s="620"/>
      <c r="BT33" s="620"/>
      <c r="BU33" s="620"/>
      <c r="BV33" s="620"/>
      <c r="BW33" s="620"/>
      <c r="BX33" s="620"/>
      <c r="BY33" s="620"/>
      <c r="BZ33" s="620"/>
      <c r="CA33" s="620"/>
      <c r="CB33" s="620"/>
      <c r="CC33" s="620"/>
      <c r="CD33" s="620"/>
      <c r="CE33" s="620"/>
      <c r="CF33" s="620"/>
      <c r="CG33" s="620"/>
      <c r="CH33" s="620"/>
      <c r="CI33" s="620"/>
      <c r="CJ33" s="620"/>
      <c r="CK33" s="620"/>
      <c r="CL33" s="620"/>
      <c r="CM33" s="620"/>
      <c r="CN33" s="620"/>
      <c r="CO33" s="620"/>
      <c r="CP33" s="620"/>
      <c r="CQ33" s="620"/>
      <c r="CR33" s="620"/>
      <c r="CS33" s="620"/>
      <c r="CT33" s="620"/>
      <c r="CU33" s="620"/>
      <c r="CV33" s="620"/>
      <c r="CW33" s="620"/>
      <c r="CX33" s="620"/>
      <c r="CY33" s="620"/>
      <c r="CZ33" s="620"/>
      <c r="DA33" s="620"/>
      <c r="DB33" s="620"/>
      <c r="DC33" s="620"/>
      <c r="DD33" s="620"/>
      <c r="DE33" s="620"/>
      <c r="DF33" s="620"/>
      <c r="DG33" s="620"/>
      <c r="DH33" s="620"/>
      <c r="DI33" s="620"/>
      <c r="DJ33" s="620"/>
      <c r="DK33" s="620"/>
      <c r="DL33" s="620"/>
      <c r="DM33" s="620"/>
      <c r="DN33" s="620"/>
      <c r="DO33" s="620"/>
      <c r="DP33" s="620"/>
      <c r="DQ33" s="620"/>
      <c r="DR33" s="620"/>
      <c r="DS33" s="620"/>
      <c r="DT33" s="620"/>
      <c r="DU33" s="620"/>
      <c r="DV33" s="620"/>
      <c r="DW33" s="620"/>
      <c r="DX33" s="620"/>
      <c r="DY33" s="620"/>
      <c r="DZ33" s="620"/>
      <c r="EA33" s="620"/>
      <c r="EB33" s="620"/>
      <c r="EC33" s="620"/>
      <c r="ED33" s="620"/>
      <c r="EE33" s="620"/>
      <c r="EF33" s="620"/>
      <c r="EG33" s="620"/>
      <c r="EH33" s="620"/>
      <c r="EI33" s="620"/>
      <c r="EJ33" s="620"/>
      <c r="EK33" s="620"/>
      <c r="EL33" s="620"/>
      <c r="EM33" s="620"/>
      <c r="EN33" s="620"/>
      <c r="EO33" s="620"/>
      <c r="EP33" s="620"/>
      <c r="EQ33" s="620"/>
      <c r="ER33" s="620"/>
      <c r="ES33" s="620"/>
      <c r="ET33" s="620"/>
      <c r="EU33" s="620"/>
      <c r="EV33" s="620"/>
      <c r="EW33" s="620"/>
      <c r="EX33" s="620"/>
      <c r="EY33" s="620"/>
      <c r="EZ33" s="620"/>
      <c r="FA33" s="620"/>
      <c r="FB33" s="620"/>
      <c r="FC33" s="620"/>
      <c r="FD33" s="620"/>
      <c r="FE33" s="620"/>
      <c r="FF33" s="620"/>
      <c r="FG33" s="620"/>
      <c r="FH33" s="620"/>
      <c r="FI33" s="620"/>
      <c r="FJ33" s="620"/>
      <c r="FK33" s="620"/>
      <c r="FL33" s="620"/>
      <c r="FM33" s="620"/>
      <c r="FN33" s="620"/>
      <c r="FO33" s="620"/>
      <c r="FP33" s="620"/>
      <c r="FQ33" s="620"/>
      <c r="FR33" s="620"/>
      <c r="FS33" s="620"/>
      <c r="FT33" s="620"/>
      <c r="FU33" s="620"/>
      <c r="FV33" s="620"/>
      <c r="FW33" s="620"/>
      <c r="FX33" s="620"/>
      <c r="FY33" s="620"/>
      <c r="FZ33" s="620"/>
      <c r="GA33" s="620"/>
      <c r="GB33" s="620"/>
      <c r="GC33" s="620"/>
      <c r="GD33" s="620"/>
      <c r="GE33" s="620"/>
      <c r="GF33" s="620"/>
      <c r="GG33" s="620"/>
      <c r="GH33" s="620"/>
      <c r="GI33" s="620"/>
      <c r="GJ33" s="620"/>
      <c r="GK33" s="620"/>
      <c r="GL33" s="620"/>
      <c r="GM33" s="620"/>
      <c r="GN33" s="620"/>
      <c r="GO33" s="620"/>
      <c r="GP33" s="620"/>
      <c r="GQ33" s="620"/>
      <c r="GR33" s="620"/>
      <c r="GS33" s="620"/>
      <c r="GT33" s="620"/>
      <c r="GU33" s="620"/>
      <c r="GV33" s="620"/>
      <c r="GW33" s="620"/>
      <c r="GX33" s="620"/>
      <c r="GY33" s="620"/>
      <c r="GZ33" s="620"/>
      <c r="HA33" s="620"/>
      <c r="HB33" s="620"/>
      <c r="HC33" s="620"/>
      <c r="HD33" s="620"/>
      <c r="HE33" s="620"/>
      <c r="HF33" s="620"/>
      <c r="HG33" s="620"/>
      <c r="HH33" s="620"/>
      <c r="HI33" s="620"/>
      <c r="HJ33" s="620"/>
      <c r="HK33" s="620"/>
      <c r="HL33" s="620"/>
      <c r="HM33" s="620"/>
      <c r="HN33" s="620"/>
      <c r="HO33" s="620"/>
      <c r="HP33" s="620"/>
      <c r="HQ33" s="620"/>
      <c r="HR33" s="620"/>
      <c r="HS33" s="620"/>
      <c r="HT33" s="620"/>
      <c r="HU33" s="620"/>
      <c r="HV33" s="620"/>
      <c r="HW33" s="620"/>
      <c r="HX33" s="620"/>
      <c r="HY33" s="620"/>
      <c r="HZ33" s="620"/>
      <c r="IA33" s="620"/>
      <c r="IB33" s="620"/>
      <c r="IC33" s="620"/>
      <c r="ID33" s="620"/>
      <c r="IE33" s="620"/>
      <c r="IF33" s="620"/>
      <c r="IG33" s="620"/>
      <c r="IH33" s="620"/>
      <c r="II33" s="620"/>
      <c r="IJ33" s="620"/>
      <c r="IK33" s="620"/>
      <c r="IL33" s="620"/>
      <c r="IM33" s="620"/>
      <c r="IN33" s="620"/>
      <c r="IO33" s="620"/>
      <c r="IP33" s="620"/>
      <c r="IQ33" s="620"/>
      <c r="IR33" s="620"/>
      <c r="IS33" s="620"/>
      <c r="IT33" s="620"/>
      <c r="IU33" s="620"/>
      <c r="IV33" s="620"/>
      <c r="IW33" s="620"/>
      <c r="IX33" s="620"/>
      <c r="IY33" s="620"/>
      <c r="IZ33" s="620"/>
      <c r="JA33" s="620"/>
      <c r="JB33" s="620"/>
      <c r="JC33" s="620"/>
      <c r="JD33" s="620"/>
      <c r="JE33" s="620"/>
      <c r="JF33" s="620"/>
      <c r="JG33" s="620"/>
      <c r="JH33" s="620"/>
      <c r="JI33" s="620"/>
      <c r="JJ33" s="620"/>
      <c r="JK33" s="620"/>
      <c r="JL33" s="620"/>
      <c r="JM33" s="620"/>
      <c r="JN33" s="620"/>
      <c r="JO33" s="620"/>
      <c r="JP33" s="620"/>
      <c r="JQ33" s="620"/>
      <c r="JR33" s="620"/>
      <c r="JS33" s="620"/>
      <c r="JT33" s="620"/>
      <c r="JU33" s="620"/>
      <c r="JV33" s="620"/>
      <c r="JW33" s="620"/>
      <c r="JX33" s="620"/>
      <c r="JY33" s="620"/>
      <c r="JZ33" s="620"/>
      <c r="KA33" s="620"/>
      <c r="KB33" s="620"/>
      <c r="KC33" s="620"/>
      <c r="KD33" s="620"/>
      <c r="KE33" s="620"/>
      <c r="KF33" s="620"/>
      <c r="KG33" s="620"/>
      <c r="KH33" s="620"/>
      <c r="KI33" s="620"/>
      <c r="KJ33" s="620"/>
      <c r="KK33" s="620"/>
      <c r="KL33" s="620"/>
      <c r="KM33" s="620"/>
      <c r="KN33" s="620"/>
      <c r="KO33" s="620"/>
      <c r="KP33" s="620"/>
      <c r="KQ33" s="620"/>
      <c r="KR33" s="620"/>
      <c r="KS33" s="620"/>
      <c r="KT33" s="620"/>
      <c r="KU33" s="620"/>
      <c r="KV33" s="620"/>
      <c r="KW33" s="620"/>
      <c r="KX33" s="620"/>
      <c r="KY33" s="620"/>
      <c r="KZ33" s="620"/>
      <c r="LA33" s="620"/>
      <c r="LB33" s="620"/>
      <c r="LC33" s="620"/>
      <c r="LD33" s="620"/>
      <c r="LE33" s="620"/>
      <c r="LF33" s="620"/>
      <c r="LG33" s="620"/>
      <c r="LH33" s="620"/>
      <c r="LI33" s="620"/>
      <c r="LJ33" s="620"/>
      <c r="LK33" s="620"/>
      <c r="LL33" s="620"/>
      <c r="LM33" s="620"/>
      <c r="LN33" s="620"/>
      <c r="LO33" s="620"/>
      <c r="LP33" s="620"/>
      <c r="LQ33" s="620"/>
      <c r="LR33" s="620"/>
      <c r="LS33" s="620"/>
      <c r="LT33" s="620"/>
      <c r="LU33" s="620"/>
      <c r="LV33" s="620"/>
      <c r="LW33" s="620"/>
      <c r="LX33" s="620"/>
      <c r="LY33" s="620"/>
      <c r="LZ33" s="620"/>
      <c r="MA33" s="620"/>
      <c r="MB33" s="620"/>
      <c r="MC33" s="620"/>
      <c r="MD33" s="620"/>
      <c r="ME33" s="620"/>
      <c r="MF33" s="620"/>
      <c r="MG33" s="620"/>
      <c r="MH33" s="620"/>
      <c r="MI33" s="620"/>
      <c r="MJ33" s="620"/>
      <c r="MK33" s="620"/>
      <c r="ML33" s="620"/>
      <c r="MM33" s="620"/>
      <c r="MN33" s="620"/>
      <c r="MO33" s="620"/>
      <c r="MP33" s="620"/>
      <c r="MQ33" s="620"/>
      <c r="MR33" s="620"/>
      <c r="MS33" s="620"/>
      <c r="MT33" s="620"/>
      <c r="MU33" s="620"/>
      <c r="MV33" s="620"/>
      <c r="MW33" s="620"/>
      <c r="MX33" s="620"/>
      <c r="MY33" s="620"/>
      <c r="MZ33" s="620"/>
      <c r="NA33" s="620"/>
      <c r="NB33" s="620"/>
      <c r="NC33" s="620"/>
      <c r="ND33" s="620"/>
      <c r="NE33" s="620"/>
      <c r="NF33" s="620"/>
      <c r="NG33" s="620"/>
      <c r="NH33" s="620"/>
      <c r="NI33" s="620"/>
      <c r="NJ33" s="620"/>
      <c r="NK33" s="620"/>
      <c r="NL33" s="620"/>
      <c r="NM33" s="620"/>
      <c r="NN33" s="620"/>
      <c r="NO33" s="620"/>
      <c r="NP33" s="620"/>
      <c r="NQ33" s="620"/>
      <c r="NR33" s="620"/>
      <c r="NS33" s="620"/>
      <c r="NT33" s="620"/>
      <c r="NU33" s="620"/>
      <c r="NV33" s="620"/>
      <c r="NW33" s="620"/>
      <c r="NX33" s="620"/>
      <c r="NY33" s="620"/>
      <c r="NZ33" s="620"/>
      <c r="OA33" s="620"/>
      <c r="OB33" s="620"/>
      <c r="OC33" s="620"/>
      <c r="OD33" s="620"/>
      <c r="OE33" s="620"/>
      <c r="OF33" s="620"/>
      <c r="OG33" s="620"/>
      <c r="OH33" s="620"/>
      <c r="OI33" s="620"/>
      <c r="OJ33" s="620"/>
      <c r="OK33" s="620"/>
      <c r="OL33" s="620"/>
      <c r="OM33" s="620"/>
      <c r="ON33" s="620"/>
      <c r="OO33" s="620"/>
      <c r="OP33" s="620"/>
      <c r="OQ33" s="620"/>
      <c r="OR33" s="620"/>
      <c r="OS33" s="620"/>
      <c r="OT33" s="620"/>
      <c r="OU33" s="620"/>
      <c r="OV33" s="620"/>
      <c r="OW33" s="620"/>
      <c r="OX33" s="620"/>
      <c r="OY33" s="620"/>
      <c r="OZ33" s="620"/>
      <c r="PA33" s="620"/>
      <c r="PB33" s="620"/>
      <c r="PC33" s="620"/>
      <c r="PD33" s="620"/>
      <c r="PE33" s="620"/>
      <c r="PF33" s="620"/>
      <c r="PG33" s="620"/>
      <c r="PH33" s="620"/>
      <c r="PI33" s="620"/>
      <c r="PJ33" s="620"/>
      <c r="PK33" s="620"/>
      <c r="PL33" s="620"/>
      <c r="PM33" s="620"/>
      <c r="PN33" s="620"/>
      <c r="PO33" s="620"/>
      <c r="PP33" s="620"/>
      <c r="PQ33" s="620"/>
      <c r="PR33" s="620"/>
      <c r="PS33" s="620"/>
      <c r="PT33" s="620"/>
      <c r="PU33" s="620"/>
      <c r="PV33" s="620"/>
      <c r="PW33" s="620"/>
      <c r="PX33" s="620"/>
      <c r="PY33" s="620"/>
      <c r="PZ33" s="620"/>
      <c r="QA33" s="620"/>
      <c r="QB33" s="620"/>
      <c r="QC33" s="620"/>
      <c r="QD33" s="620"/>
      <c r="QE33" s="620"/>
      <c r="QF33" s="620"/>
      <c r="QG33" s="620"/>
      <c r="QH33" s="620"/>
      <c r="QI33" s="620"/>
      <c r="QJ33" s="620"/>
      <c r="QK33" s="620"/>
      <c r="QL33" s="620"/>
      <c r="QM33" s="620"/>
      <c r="QN33" s="620"/>
      <c r="QO33" s="620"/>
      <c r="QP33" s="620"/>
      <c r="QQ33" s="620"/>
      <c r="QR33" s="620"/>
      <c r="QS33" s="620"/>
      <c r="QT33" s="620"/>
      <c r="QU33" s="620"/>
      <c r="QV33" s="620"/>
      <c r="QW33" s="620"/>
      <c r="QX33" s="620"/>
      <c r="QY33" s="620"/>
      <c r="QZ33" s="620"/>
      <c r="RA33" s="620"/>
      <c r="RB33" s="620"/>
      <c r="RC33" s="620"/>
      <c r="RD33" s="620"/>
      <c r="RE33" s="620"/>
      <c r="RF33" s="620"/>
      <c r="RG33" s="620"/>
      <c r="RH33" s="620"/>
    </row>
    <row r="34" spans="2:476" s="528" customFormat="1" ht="19.5" customHeight="1">
      <c r="B34" s="558">
        <v>45823</v>
      </c>
      <c r="C34" s="547">
        <v>16</v>
      </c>
      <c r="D34" s="548">
        <v>0</v>
      </c>
      <c r="E34" s="548">
        <v>2</v>
      </c>
      <c r="F34" s="549">
        <f t="shared" si="0"/>
        <v>8.1490725278854401E-10</v>
      </c>
      <c r="G34" s="550"/>
      <c r="H34" s="551"/>
      <c r="I34" s="592"/>
      <c r="J34" s="569">
        <v>13.9999999991851</v>
      </c>
      <c r="K34" s="587"/>
      <c r="L34" s="551"/>
      <c r="M34" s="551"/>
      <c r="N34" s="569"/>
      <c r="O34" s="572"/>
      <c r="P34" s="586"/>
      <c r="Q34" s="586"/>
      <c r="R34" s="551"/>
      <c r="S34" s="551"/>
      <c r="T34" s="551"/>
      <c r="U34" s="551"/>
      <c r="V34" s="551"/>
      <c r="W34" s="572"/>
      <c r="X34" s="551"/>
      <c r="Y34" s="624">
        <v>1</v>
      </c>
      <c r="Z34" s="607">
        <f t="shared" si="1"/>
        <v>0</v>
      </c>
      <c r="AA34" s="607">
        <f t="shared" si="2"/>
        <v>13.9999999991851</v>
      </c>
      <c r="AB34" s="608">
        <f t="shared" si="3"/>
        <v>1</v>
      </c>
      <c r="AC34" s="612" t="s">
        <v>53</v>
      </c>
      <c r="AD34" s="620"/>
      <c r="AE34" s="620"/>
      <c r="AF34" s="620"/>
      <c r="AG34" s="620"/>
      <c r="AH34" s="620"/>
      <c r="AI34" s="620"/>
      <c r="AJ34" s="620"/>
      <c r="AK34" s="620"/>
      <c r="AL34" s="620"/>
      <c r="AM34" s="620"/>
      <c r="AN34" s="620"/>
      <c r="AO34" s="620"/>
      <c r="AP34" s="620"/>
      <c r="AQ34" s="620"/>
      <c r="AR34" s="620"/>
      <c r="AS34" s="620"/>
      <c r="AT34" s="620"/>
      <c r="AU34" s="620"/>
      <c r="AV34" s="620"/>
      <c r="AW34" s="620"/>
      <c r="AX34" s="620"/>
      <c r="AY34" s="620"/>
      <c r="AZ34" s="620"/>
      <c r="BA34" s="620"/>
      <c r="BB34" s="620"/>
      <c r="BC34" s="620"/>
      <c r="BD34" s="620"/>
      <c r="BE34" s="620"/>
      <c r="BF34" s="620"/>
      <c r="BG34" s="620"/>
      <c r="BH34" s="620"/>
      <c r="BI34" s="620"/>
      <c r="BJ34" s="620"/>
      <c r="BK34" s="620"/>
      <c r="BL34" s="620"/>
      <c r="BM34" s="620"/>
      <c r="BN34" s="620"/>
      <c r="BO34" s="620"/>
      <c r="BP34" s="620"/>
      <c r="BQ34" s="620"/>
      <c r="BR34" s="620"/>
      <c r="BS34" s="620"/>
      <c r="BT34" s="620"/>
      <c r="BU34" s="620"/>
      <c r="BV34" s="620"/>
      <c r="BW34" s="620"/>
      <c r="BX34" s="620"/>
      <c r="BY34" s="620"/>
      <c r="BZ34" s="620"/>
      <c r="CA34" s="620"/>
      <c r="CB34" s="620"/>
      <c r="CC34" s="620"/>
      <c r="CD34" s="620"/>
      <c r="CE34" s="620"/>
      <c r="CF34" s="620"/>
      <c r="CG34" s="620"/>
      <c r="CH34" s="620"/>
      <c r="CI34" s="620"/>
      <c r="CJ34" s="620"/>
      <c r="CK34" s="620"/>
      <c r="CL34" s="620"/>
      <c r="CM34" s="620"/>
      <c r="CN34" s="620"/>
      <c r="CO34" s="620"/>
      <c r="CP34" s="620"/>
      <c r="CQ34" s="620"/>
      <c r="CR34" s="620"/>
      <c r="CS34" s="620"/>
      <c r="CT34" s="620"/>
      <c r="CU34" s="620"/>
      <c r="CV34" s="620"/>
      <c r="CW34" s="620"/>
      <c r="CX34" s="620"/>
      <c r="CY34" s="620"/>
      <c r="CZ34" s="620"/>
      <c r="DA34" s="620"/>
      <c r="DB34" s="620"/>
      <c r="DC34" s="620"/>
      <c r="DD34" s="620"/>
      <c r="DE34" s="620"/>
      <c r="DF34" s="620"/>
      <c r="DG34" s="620"/>
      <c r="DH34" s="620"/>
      <c r="DI34" s="620"/>
      <c r="DJ34" s="620"/>
      <c r="DK34" s="620"/>
      <c r="DL34" s="620"/>
      <c r="DM34" s="620"/>
      <c r="DN34" s="620"/>
      <c r="DO34" s="620"/>
      <c r="DP34" s="620"/>
      <c r="DQ34" s="620"/>
      <c r="DR34" s="620"/>
      <c r="DS34" s="620"/>
      <c r="DT34" s="620"/>
      <c r="DU34" s="620"/>
      <c r="DV34" s="620"/>
      <c r="DW34" s="620"/>
      <c r="DX34" s="620"/>
      <c r="DY34" s="620"/>
      <c r="DZ34" s="620"/>
      <c r="EA34" s="620"/>
      <c r="EB34" s="620"/>
      <c r="EC34" s="620"/>
      <c r="ED34" s="620"/>
      <c r="EE34" s="620"/>
      <c r="EF34" s="620"/>
      <c r="EG34" s="620"/>
      <c r="EH34" s="620"/>
      <c r="EI34" s="620"/>
      <c r="EJ34" s="620"/>
      <c r="EK34" s="620"/>
      <c r="EL34" s="620"/>
      <c r="EM34" s="620"/>
      <c r="EN34" s="620"/>
      <c r="EO34" s="620"/>
      <c r="EP34" s="620"/>
      <c r="EQ34" s="620"/>
      <c r="ER34" s="620"/>
      <c r="ES34" s="620"/>
      <c r="ET34" s="620"/>
      <c r="EU34" s="620"/>
      <c r="EV34" s="620"/>
      <c r="EW34" s="620"/>
      <c r="EX34" s="620"/>
      <c r="EY34" s="620"/>
      <c r="EZ34" s="620"/>
      <c r="FA34" s="620"/>
      <c r="FB34" s="620"/>
      <c r="FC34" s="620"/>
      <c r="FD34" s="620"/>
      <c r="FE34" s="620"/>
      <c r="FF34" s="620"/>
      <c r="FG34" s="620"/>
      <c r="FH34" s="620"/>
      <c r="FI34" s="620"/>
      <c r="FJ34" s="620"/>
      <c r="FK34" s="620"/>
      <c r="FL34" s="620"/>
      <c r="FM34" s="620"/>
      <c r="FN34" s="620"/>
      <c r="FO34" s="620"/>
      <c r="FP34" s="620"/>
      <c r="FQ34" s="620"/>
      <c r="FR34" s="620"/>
      <c r="FS34" s="620"/>
      <c r="FT34" s="620"/>
      <c r="FU34" s="620"/>
      <c r="FV34" s="620"/>
      <c r="FW34" s="620"/>
      <c r="FX34" s="620"/>
      <c r="FY34" s="620"/>
      <c r="FZ34" s="620"/>
      <c r="GA34" s="620"/>
      <c r="GB34" s="620"/>
      <c r="GC34" s="620"/>
      <c r="GD34" s="620"/>
      <c r="GE34" s="620"/>
      <c r="GF34" s="620"/>
      <c r="GG34" s="620"/>
      <c r="GH34" s="620"/>
      <c r="GI34" s="620"/>
      <c r="GJ34" s="620"/>
      <c r="GK34" s="620"/>
      <c r="GL34" s="620"/>
      <c r="GM34" s="620"/>
      <c r="GN34" s="620"/>
      <c r="GO34" s="620"/>
      <c r="GP34" s="620"/>
      <c r="GQ34" s="620"/>
      <c r="GR34" s="620"/>
      <c r="GS34" s="620"/>
      <c r="GT34" s="620"/>
      <c r="GU34" s="620"/>
      <c r="GV34" s="620"/>
      <c r="GW34" s="620"/>
      <c r="GX34" s="620"/>
      <c r="GY34" s="620"/>
      <c r="GZ34" s="620"/>
      <c r="HA34" s="620"/>
      <c r="HB34" s="620"/>
      <c r="HC34" s="620"/>
      <c r="HD34" s="620"/>
      <c r="HE34" s="620"/>
      <c r="HF34" s="620"/>
      <c r="HG34" s="620"/>
      <c r="HH34" s="620"/>
      <c r="HI34" s="620"/>
      <c r="HJ34" s="620"/>
      <c r="HK34" s="620"/>
      <c r="HL34" s="620"/>
      <c r="HM34" s="620"/>
      <c r="HN34" s="620"/>
      <c r="HO34" s="620"/>
      <c r="HP34" s="620"/>
      <c r="HQ34" s="620"/>
      <c r="HR34" s="620"/>
      <c r="HS34" s="620"/>
      <c r="HT34" s="620"/>
      <c r="HU34" s="620"/>
      <c r="HV34" s="620"/>
      <c r="HW34" s="620"/>
      <c r="HX34" s="620"/>
      <c r="HY34" s="620"/>
      <c r="HZ34" s="620"/>
      <c r="IA34" s="620"/>
      <c r="IB34" s="620"/>
      <c r="IC34" s="620"/>
      <c r="ID34" s="620"/>
      <c r="IE34" s="620"/>
      <c r="IF34" s="620"/>
      <c r="IG34" s="620"/>
      <c r="IH34" s="620"/>
      <c r="II34" s="620"/>
      <c r="IJ34" s="620"/>
      <c r="IK34" s="620"/>
      <c r="IL34" s="620"/>
      <c r="IM34" s="620"/>
      <c r="IN34" s="620"/>
      <c r="IO34" s="620"/>
      <c r="IP34" s="620"/>
      <c r="IQ34" s="620"/>
      <c r="IR34" s="620"/>
      <c r="IS34" s="620"/>
      <c r="IT34" s="620"/>
      <c r="IU34" s="620"/>
      <c r="IV34" s="620"/>
      <c r="IW34" s="620"/>
      <c r="IX34" s="620"/>
      <c r="IY34" s="620"/>
      <c r="IZ34" s="620"/>
      <c r="JA34" s="620"/>
      <c r="JB34" s="620"/>
      <c r="JC34" s="620"/>
      <c r="JD34" s="620"/>
      <c r="JE34" s="620"/>
      <c r="JF34" s="620"/>
      <c r="JG34" s="620"/>
      <c r="JH34" s="620"/>
      <c r="JI34" s="620"/>
      <c r="JJ34" s="620"/>
      <c r="JK34" s="620"/>
      <c r="JL34" s="620"/>
      <c r="JM34" s="620"/>
      <c r="JN34" s="620"/>
      <c r="JO34" s="620"/>
      <c r="JP34" s="620"/>
      <c r="JQ34" s="620"/>
      <c r="JR34" s="620"/>
      <c r="JS34" s="620"/>
      <c r="JT34" s="620"/>
      <c r="JU34" s="620"/>
      <c r="JV34" s="620"/>
      <c r="JW34" s="620"/>
      <c r="JX34" s="620"/>
      <c r="JY34" s="620"/>
      <c r="JZ34" s="620"/>
      <c r="KA34" s="620"/>
      <c r="KB34" s="620"/>
      <c r="KC34" s="620"/>
      <c r="KD34" s="620"/>
      <c r="KE34" s="620"/>
      <c r="KF34" s="620"/>
      <c r="KG34" s="620"/>
      <c r="KH34" s="620"/>
      <c r="KI34" s="620"/>
      <c r="KJ34" s="620"/>
      <c r="KK34" s="620"/>
      <c r="KL34" s="620"/>
      <c r="KM34" s="620"/>
      <c r="KN34" s="620"/>
      <c r="KO34" s="620"/>
      <c r="KP34" s="620"/>
      <c r="KQ34" s="620"/>
      <c r="KR34" s="620"/>
      <c r="KS34" s="620"/>
      <c r="KT34" s="620"/>
      <c r="KU34" s="620"/>
      <c r="KV34" s="620"/>
      <c r="KW34" s="620"/>
      <c r="KX34" s="620"/>
      <c r="KY34" s="620"/>
      <c r="KZ34" s="620"/>
      <c r="LA34" s="620"/>
      <c r="LB34" s="620"/>
      <c r="LC34" s="620"/>
      <c r="LD34" s="620"/>
      <c r="LE34" s="620"/>
      <c r="LF34" s="620"/>
      <c r="LG34" s="620"/>
      <c r="LH34" s="620"/>
      <c r="LI34" s="620"/>
      <c r="LJ34" s="620"/>
      <c r="LK34" s="620"/>
      <c r="LL34" s="620"/>
      <c r="LM34" s="620"/>
      <c r="LN34" s="620"/>
      <c r="LO34" s="620"/>
      <c r="LP34" s="620"/>
      <c r="LQ34" s="620"/>
      <c r="LR34" s="620"/>
      <c r="LS34" s="620"/>
      <c r="LT34" s="620"/>
      <c r="LU34" s="620"/>
      <c r="LV34" s="620"/>
      <c r="LW34" s="620"/>
      <c r="LX34" s="620"/>
      <c r="LY34" s="620"/>
      <c r="LZ34" s="620"/>
      <c r="MA34" s="620"/>
      <c r="MB34" s="620"/>
      <c r="MC34" s="620"/>
      <c r="MD34" s="620"/>
      <c r="ME34" s="620"/>
      <c r="MF34" s="620"/>
      <c r="MG34" s="620"/>
      <c r="MH34" s="620"/>
      <c r="MI34" s="620"/>
      <c r="MJ34" s="620"/>
      <c r="MK34" s="620"/>
      <c r="ML34" s="620"/>
      <c r="MM34" s="620"/>
      <c r="MN34" s="620"/>
      <c r="MO34" s="620"/>
      <c r="MP34" s="620"/>
      <c r="MQ34" s="620"/>
      <c r="MR34" s="620"/>
      <c r="MS34" s="620"/>
      <c r="MT34" s="620"/>
      <c r="MU34" s="620"/>
      <c r="MV34" s="620"/>
      <c r="MW34" s="620"/>
      <c r="MX34" s="620"/>
      <c r="MY34" s="620"/>
      <c r="MZ34" s="620"/>
      <c r="NA34" s="620"/>
      <c r="NB34" s="620"/>
      <c r="NC34" s="620"/>
      <c r="ND34" s="620"/>
      <c r="NE34" s="620"/>
      <c r="NF34" s="620"/>
      <c r="NG34" s="620"/>
      <c r="NH34" s="620"/>
      <c r="NI34" s="620"/>
      <c r="NJ34" s="620"/>
      <c r="NK34" s="620"/>
      <c r="NL34" s="620"/>
      <c r="NM34" s="620"/>
      <c r="NN34" s="620"/>
      <c r="NO34" s="620"/>
      <c r="NP34" s="620"/>
      <c r="NQ34" s="620"/>
      <c r="NR34" s="620"/>
      <c r="NS34" s="620"/>
      <c r="NT34" s="620"/>
      <c r="NU34" s="620"/>
      <c r="NV34" s="620"/>
      <c r="NW34" s="620"/>
      <c r="NX34" s="620"/>
      <c r="NY34" s="620"/>
      <c r="NZ34" s="620"/>
      <c r="OA34" s="620"/>
      <c r="OB34" s="620"/>
      <c r="OC34" s="620"/>
      <c r="OD34" s="620"/>
      <c r="OE34" s="620"/>
      <c r="OF34" s="620"/>
      <c r="OG34" s="620"/>
      <c r="OH34" s="620"/>
      <c r="OI34" s="620"/>
      <c r="OJ34" s="620"/>
      <c r="OK34" s="620"/>
      <c r="OL34" s="620"/>
      <c r="OM34" s="620"/>
      <c r="ON34" s="620"/>
      <c r="OO34" s="620"/>
      <c r="OP34" s="620"/>
      <c r="OQ34" s="620"/>
      <c r="OR34" s="620"/>
      <c r="OS34" s="620"/>
      <c r="OT34" s="620"/>
      <c r="OU34" s="620"/>
      <c r="OV34" s="620"/>
      <c r="OW34" s="620"/>
      <c r="OX34" s="620"/>
      <c r="OY34" s="620"/>
      <c r="OZ34" s="620"/>
      <c r="PA34" s="620"/>
      <c r="PB34" s="620"/>
      <c r="PC34" s="620"/>
      <c r="PD34" s="620"/>
      <c r="PE34" s="620"/>
      <c r="PF34" s="620"/>
      <c r="PG34" s="620"/>
      <c r="PH34" s="620"/>
      <c r="PI34" s="620"/>
      <c r="PJ34" s="620"/>
      <c r="PK34" s="620"/>
      <c r="PL34" s="620"/>
      <c r="PM34" s="620"/>
      <c r="PN34" s="620"/>
      <c r="PO34" s="620"/>
      <c r="PP34" s="620"/>
      <c r="PQ34" s="620"/>
      <c r="PR34" s="620"/>
      <c r="PS34" s="620"/>
      <c r="PT34" s="620"/>
      <c r="PU34" s="620"/>
      <c r="PV34" s="620"/>
      <c r="PW34" s="620"/>
      <c r="PX34" s="620"/>
      <c r="PY34" s="620"/>
      <c r="PZ34" s="620"/>
      <c r="QA34" s="620"/>
      <c r="QB34" s="620"/>
      <c r="QC34" s="620"/>
      <c r="QD34" s="620"/>
      <c r="QE34" s="620"/>
      <c r="QF34" s="620"/>
      <c r="QG34" s="620"/>
      <c r="QH34" s="620"/>
      <c r="QI34" s="620"/>
      <c r="QJ34" s="620"/>
      <c r="QK34" s="620"/>
      <c r="QL34" s="620"/>
      <c r="QM34" s="620"/>
      <c r="QN34" s="620"/>
      <c r="QO34" s="620"/>
      <c r="QP34" s="620"/>
      <c r="QQ34" s="620"/>
      <c r="QR34" s="620"/>
      <c r="QS34" s="620"/>
      <c r="QT34" s="620"/>
      <c r="QU34" s="620"/>
      <c r="QV34" s="620"/>
      <c r="QW34" s="620"/>
      <c r="QX34" s="620"/>
      <c r="QY34" s="620"/>
      <c r="QZ34" s="620"/>
      <c r="RA34" s="620"/>
      <c r="RB34" s="620"/>
      <c r="RC34" s="620"/>
      <c r="RD34" s="620"/>
      <c r="RE34" s="620"/>
      <c r="RF34" s="620"/>
      <c r="RG34" s="620"/>
      <c r="RH34" s="620"/>
    </row>
    <row r="35" spans="2:476" s="528" customFormat="1" ht="19.5" customHeight="1">
      <c r="B35" s="558"/>
      <c r="C35" s="547">
        <v>16</v>
      </c>
      <c r="D35" s="548">
        <v>0</v>
      </c>
      <c r="E35" s="548">
        <v>2</v>
      </c>
      <c r="F35" s="549">
        <f t="shared" si="0"/>
        <v>12.749999999068701</v>
      </c>
      <c r="G35" s="570"/>
      <c r="H35" s="551"/>
      <c r="I35" s="551"/>
      <c r="J35" s="569">
        <v>0.49999999918509302</v>
      </c>
      <c r="K35" s="587"/>
      <c r="L35" s="551"/>
      <c r="M35" s="551"/>
      <c r="N35" s="569">
        <v>0.25000000098953001</v>
      </c>
      <c r="O35" s="572">
        <v>0.50000000075670004</v>
      </c>
      <c r="P35" s="551"/>
      <c r="Q35" s="586"/>
      <c r="R35" s="551"/>
      <c r="S35" s="551"/>
      <c r="T35" s="551"/>
      <c r="U35" s="551"/>
      <c r="V35" s="551"/>
      <c r="W35" s="572"/>
      <c r="X35" s="551"/>
      <c r="Y35" s="624">
        <v>2</v>
      </c>
      <c r="Z35" s="607">
        <f t="shared" si="1"/>
        <v>0</v>
      </c>
      <c r="AA35" s="607">
        <f t="shared" si="2"/>
        <v>1.2500000009313199</v>
      </c>
      <c r="AB35" s="608">
        <f t="shared" si="3"/>
        <v>1</v>
      </c>
      <c r="AC35" s="617"/>
      <c r="AD35" s="620"/>
      <c r="AE35" s="620"/>
      <c r="AF35" s="620"/>
      <c r="AG35" s="620"/>
      <c r="AH35" s="620"/>
      <c r="AI35" s="620"/>
      <c r="AJ35" s="620"/>
      <c r="AK35" s="620"/>
      <c r="AL35" s="620"/>
      <c r="AM35" s="620"/>
      <c r="AN35" s="620"/>
      <c r="AO35" s="620"/>
      <c r="AP35" s="620"/>
      <c r="AQ35" s="620"/>
      <c r="AR35" s="620"/>
      <c r="AS35" s="620"/>
      <c r="AT35" s="620"/>
      <c r="AU35" s="620"/>
      <c r="AV35" s="620"/>
      <c r="AW35" s="620"/>
      <c r="AX35" s="620"/>
      <c r="AY35" s="620"/>
      <c r="AZ35" s="620"/>
      <c r="BA35" s="620"/>
      <c r="BB35" s="620"/>
      <c r="BC35" s="620"/>
      <c r="BD35" s="620"/>
      <c r="BE35" s="620"/>
      <c r="BF35" s="620"/>
      <c r="BG35" s="620"/>
      <c r="BH35" s="620"/>
      <c r="BI35" s="620"/>
      <c r="BJ35" s="620"/>
      <c r="BK35" s="620"/>
      <c r="BL35" s="620"/>
      <c r="BM35" s="620"/>
      <c r="BN35" s="620"/>
      <c r="BO35" s="620"/>
      <c r="BP35" s="620"/>
      <c r="BQ35" s="620"/>
      <c r="BR35" s="620"/>
      <c r="BS35" s="620"/>
      <c r="BT35" s="620"/>
      <c r="BU35" s="620"/>
      <c r="BV35" s="620"/>
      <c r="BW35" s="620"/>
      <c r="BX35" s="620"/>
      <c r="BY35" s="620"/>
      <c r="BZ35" s="620"/>
      <c r="CA35" s="620"/>
      <c r="CB35" s="620"/>
      <c r="CC35" s="620"/>
      <c r="CD35" s="620"/>
      <c r="CE35" s="620"/>
      <c r="CF35" s="620"/>
      <c r="CG35" s="620"/>
      <c r="CH35" s="620"/>
      <c r="CI35" s="620"/>
      <c r="CJ35" s="620"/>
      <c r="CK35" s="620"/>
      <c r="CL35" s="620"/>
      <c r="CM35" s="620"/>
      <c r="CN35" s="620"/>
      <c r="CO35" s="620"/>
      <c r="CP35" s="620"/>
      <c r="CQ35" s="620"/>
      <c r="CR35" s="620"/>
      <c r="CS35" s="620"/>
      <c r="CT35" s="620"/>
      <c r="CU35" s="620"/>
      <c r="CV35" s="620"/>
      <c r="CW35" s="620"/>
      <c r="CX35" s="620"/>
      <c r="CY35" s="620"/>
      <c r="CZ35" s="620"/>
      <c r="DA35" s="620"/>
      <c r="DB35" s="620"/>
      <c r="DC35" s="620"/>
      <c r="DD35" s="620"/>
      <c r="DE35" s="620"/>
      <c r="DF35" s="620"/>
      <c r="DG35" s="620"/>
      <c r="DH35" s="620"/>
      <c r="DI35" s="620"/>
      <c r="DJ35" s="620"/>
      <c r="DK35" s="620"/>
      <c r="DL35" s="620"/>
      <c r="DM35" s="620"/>
      <c r="DN35" s="620"/>
      <c r="DO35" s="620"/>
      <c r="DP35" s="620"/>
      <c r="DQ35" s="620"/>
      <c r="DR35" s="620"/>
      <c r="DS35" s="620"/>
      <c r="DT35" s="620"/>
      <c r="DU35" s="620"/>
      <c r="DV35" s="620"/>
      <c r="DW35" s="620"/>
      <c r="DX35" s="620"/>
      <c r="DY35" s="620"/>
      <c r="DZ35" s="620"/>
      <c r="EA35" s="620"/>
      <c r="EB35" s="620"/>
      <c r="EC35" s="620"/>
      <c r="ED35" s="620"/>
      <c r="EE35" s="620"/>
      <c r="EF35" s="620"/>
      <c r="EG35" s="620"/>
      <c r="EH35" s="620"/>
      <c r="EI35" s="620"/>
      <c r="EJ35" s="620"/>
      <c r="EK35" s="620"/>
      <c r="EL35" s="620"/>
      <c r="EM35" s="620"/>
      <c r="EN35" s="620"/>
      <c r="EO35" s="620"/>
      <c r="EP35" s="620"/>
      <c r="EQ35" s="620"/>
      <c r="ER35" s="620"/>
      <c r="ES35" s="620"/>
      <c r="ET35" s="620"/>
      <c r="EU35" s="620"/>
      <c r="EV35" s="620"/>
      <c r="EW35" s="620"/>
      <c r="EX35" s="620"/>
      <c r="EY35" s="620"/>
      <c r="EZ35" s="620"/>
      <c r="FA35" s="620"/>
      <c r="FB35" s="620"/>
      <c r="FC35" s="620"/>
      <c r="FD35" s="620"/>
      <c r="FE35" s="620"/>
      <c r="FF35" s="620"/>
      <c r="FG35" s="620"/>
      <c r="FH35" s="620"/>
      <c r="FI35" s="620"/>
      <c r="FJ35" s="620"/>
      <c r="FK35" s="620"/>
      <c r="FL35" s="620"/>
      <c r="FM35" s="620"/>
      <c r="FN35" s="620"/>
      <c r="FO35" s="620"/>
      <c r="FP35" s="620"/>
      <c r="FQ35" s="620"/>
      <c r="FR35" s="620"/>
      <c r="FS35" s="620"/>
      <c r="FT35" s="620"/>
      <c r="FU35" s="620"/>
      <c r="FV35" s="620"/>
      <c r="FW35" s="620"/>
      <c r="FX35" s="620"/>
      <c r="FY35" s="620"/>
      <c r="FZ35" s="620"/>
      <c r="GA35" s="620"/>
      <c r="GB35" s="620"/>
      <c r="GC35" s="620"/>
      <c r="GD35" s="620"/>
      <c r="GE35" s="620"/>
      <c r="GF35" s="620"/>
      <c r="GG35" s="620"/>
      <c r="GH35" s="620"/>
      <c r="GI35" s="620"/>
      <c r="GJ35" s="620"/>
      <c r="GK35" s="620"/>
      <c r="GL35" s="620"/>
      <c r="GM35" s="620"/>
      <c r="GN35" s="620"/>
      <c r="GO35" s="620"/>
      <c r="GP35" s="620"/>
      <c r="GQ35" s="620"/>
      <c r="GR35" s="620"/>
      <c r="GS35" s="620"/>
      <c r="GT35" s="620"/>
      <c r="GU35" s="620"/>
      <c r="GV35" s="620"/>
      <c r="GW35" s="620"/>
      <c r="GX35" s="620"/>
      <c r="GY35" s="620"/>
      <c r="GZ35" s="620"/>
      <c r="HA35" s="620"/>
      <c r="HB35" s="620"/>
      <c r="HC35" s="620"/>
      <c r="HD35" s="620"/>
      <c r="HE35" s="620"/>
      <c r="HF35" s="620"/>
      <c r="HG35" s="620"/>
      <c r="HH35" s="620"/>
      <c r="HI35" s="620"/>
      <c r="HJ35" s="620"/>
      <c r="HK35" s="620"/>
      <c r="HL35" s="620"/>
      <c r="HM35" s="620"/>
      <c r="HN35" s="620"/>
      <c r="HO35" s="620"/>
      <c r="HP35" s="620"/>
      <c r="HQ35" s="620"/>
      <c r="HR35" s="620"/>
      <c r="HS35" s="620"/>
      <c r="HT35" s="620"/>
      <c r="HU35" s="620"/>
      <c r="HV35" s="620"/>
      <c r="HW35" s="620"/>
      <c r="HX35" s="620"/>
      <c r="HY35" s="620"/>
      <c r="HZ35" s="620"/>
      <c r="IA35" s="620"/>
      <c r="IB35" s="620"/>
      <c r="IC35" s="620"/>
      <c r="ID35" s="620"/>
      <c r="IE35" s="620"/>
      <c r="IF35" s="620"/>
      <c r="IG35" s="620"/>
      <c r="IH35" s="620"/>
      <c r="II35" s="620"/>
      <c r="IJ35" s="620"/>
      <c r="IK35" s="620"/>
      <c r="IL35" s="620"/>
      <c r="IM35" s="620"/>
      <c r="IN35" s="620"/>
      <c r="IO35" s="620"/>
      <c r="IP35" s="620"/>
      <c r="IQ35" s="620"/>
      <c r="IR35" s="620"/>
      <c r="IS35" s="620"/>
      <c r="IT35" s="620"/>
      <c r="IU35" s="620"/>
      <c r="IV35" s="620"/>
      <c r="IW35" s="620"/>
      <c r="IX35" s="620"/>
      <c r="IY35" s="620"/>
      <c r="IZ35" s="620"/>
      <c r="JA35" s="620"/>
      <c r="JB35" s="620"/>
      <c r="JC35" s="620"/>
      <c r="JD35" s="620"/>
      <c r="JE35" s="620"/>
      <c r="JF35" s="620"/>
      <c r="JG35" s="620"/>
      <c r="JH35" s="620"/>
      <c r="JI35" s="620"/>
      <c r="JJ35" s="620"/>
      <c r="JK35" s="620"/>
      <c r="JL35" s="620"/>
      <c r="JM35" s="620"/>
      <c r="JN35" s="620"/>
      <c r="JO35" s="620"/>
      <c r="JP35" s="620"/>
      <c r="JQ35" s="620"/>
      <c r="JR35" s="620"/>
      <c r="JS35" s="620"/>
      <c r="JT35" s="620"/>
      <c r="JU35" s="620"/>
      <c r="JV35" s="620"/>
      <c r="JW35" s="620"/>
      <c r="JX35" s="620"/>
      <c r="JY35" s="620"/>
      <c r="JZ35" s="620"/>
      <c r="KA35" s="620"/>
      <c r="KB35" s="620"/>
      <c r="KC35" s="620"/>
      <c r="KD35" s="620"/>
      <c r="KE35" s="620"/>
      <c r="KF35" s="620"/>
      <c r="KG35" s="620"/>
      <c r="KH35" s="620"/>
      <c r="KI35" s="620"/>
      <c r="KJ35" s="620"/>
      <c r="KK35" s="620"/>
      <c r="KL35" s="620"/>
      <c r="KM35" s="620"/>
      <c r="KN35" s="620"/>
      <c r="KO35" s="620"/>
      <c r="KP35" s="620"/>
      <c r="KQ35" s="620"/>
      <c r="KR35" s="620"/>
      <c r="KS35" s="620"/>
      <c r="KT35" s="620"/>
      <c r="KU35" s="620"/>
      <c r="KV35" s="620"/>
      <c r="KW35" s="620"/>
      <c r="KX35" s="620"/>
      <c r="KY35" s="620"/>
      <c r="KZ35" s="620"/>
      <c r="LA35" s="620"/>
      <c r="LB35" s="620"/>
      <c r="LC35" s="620"/>
      <c r="LD35" s="620"/>
      <c r="LE35" s="620"/>
      <c r="LF35" s="620"/>
      <c r="LG35" s="620"/>
      <c r="LH35" s="620"/>
      <c r="LI35" s="620"/>
      <c r="LJ35" s="620"/>
      <c r="LK35" s="620"/>
      <c r="LL35" s="620"/>
      <c r="LM35" s="620"/>
      <c r="LN35" s="620"/>
      <c r="LO35" s="620"/>
      <c r="LP35" s="620"/>
      <c r="LQ35" s="620"/>
      <c r="LR35" s="620"/>
      <c r="LS35" s="620"/>
      <c r="LT35" s="620"/>
      <c r="LU35" s="620"/>
      <c r="LV35" s="620"/>
      <c r="LW35" s="620"/>
      <c r="LX35" s="620"/>
      <c r="LY35" s="620"/>
      <c r="LZ35" s="620"/>
      <c r="MA35" s="620"/>
      <c r="MB35" s="620"/>
      <c r="MC35" s="620"/>
      <c r="MD35" s="620"/>
      <c r="ME35" s="620"/>
      <c r="MF35" s="620"/>
      <c r="MG35" s="620"/>
      <c r="MH35" s="620"/>
      <c r="MI35" s="620"/>
      <c r="MJ35" s="620"/>
      <c r="MK35" s="620"/>
      <c r="ML35" s="620"/>
      <c r="MM35" s="620"/>
      <c r="MN35" s="620"/>
      <c r="MO35" s="620"/>
      <c r="MP35" s="620"/>
      <c r="MQ35" s="620"/>
      <c r="MR35" s="620"/>
      <c r="MS35" s="620"/>
      <c r="MT35" s="620"/>
      <c r="MU35" s="620"/>
      <c r="MV35" s="620"/>
      <c r="MW35" s="620"/>
      <c r="MX35" s="620"/>
      <c r="MY35" s="620"/>
      <c r="MZ35" s="620"/>
      <c r="NA35" s="620"/>
      <c r="NB35" s="620"/>
      <c r="NC35" s="620"/>
      <c r="ND35" s="620"/>
      <c r="NE35" s="620"/>
      <c r="NF35" s="620"/>
      <c r="NG35" s="620"/>
      <c r="NH35" s="620"/>
      <c r="NI35" s="620"/>
      <c r="NJ35" s="620"/>
      <c r="NK35" s="620"/>
      <c r="NL35" s="620"/>
      <c r="NM35" s="620"/>
      <c r="NN35" s="620"/>
      <c r="NO35" s="620"/>
      <c r="NP35" s="620"/>
      <c r="NQ35" s="620"/>
      <c r="NR35" s="620"/>
      <c r="NS35" s="620"/>
      <c r="NT35" s="620"/>
      <c r="NU35" s="620"/>
      <c r="NV35" s="620"/>
      <c r="NW35" s="620"/>
      <c r="NX35" s="620"/>
      <c r="NY35" s="620"/>
      <c r="NZ35" s="620"/>
      <c r="OA35" s="620"/>
      <c r="OB35" s="620"/>
      <c r="OC35" s="620"/>
      <c r="OD35" s="620"/>
      <c r="OE35" s="620"/>
      <c r="OF35" s="620"/>
      <c r="OG35" s="620"/>
      <c r="OH35" s="620"/>
      <c r="OI35" s="620"/>
      <c r="OJ35" s="620"/>
      <c r="OK35" s="620"/>
      <c r="OL35" s="620"/>
      <c r="OM35" s="620"/>
      <c r="ON35" s="620"/>
      <c r="OO35" s="620"/>
      <c r="OP35" s="620"/>
      <c r="OQ35" s="620"/>
      <c r="OR35" s="620"/>
      <c r="OS35" s="620"/>
      <c r="OT35" s="620"/>
      <c r="OU35" s="620"/>
      <c r="OV35" s="620"/>
      <c r="OW35" s="620"/>
      <c r="OX35" s="620"/>
      <c r="OY35" s="620"/>
      <c r="OZ35" s="620"/>
      <c r="PA35" s="620"/>
      <c r="PB35" s="620"/>
      <c r="PC35" s="620"/>
      <c r="PD35" s="620"/>
      <c r="PE35" s="620"/>
      <c r="PF35" s="620"/>
      <c r="PG35" s="620"/>
      <c r="PH35" s="620"/>
      <c r="PI35" s="620"/>
      <c r="PJ35" s="620"/>
      <c r="PK35" s="620"/>
      <c r="PL35" s="620"/>
      <c r="PM35" s="620"/>
      <c r="PN35" s="620"/>
      <c r="PO35" s="620"/>
      <c r="PP35" s="620"/>
      <c r="PQ35" s="620"/>
      <c r="PR35" s="620"/>
      <c r="PS35" s="620"/>
      <c r="PT35" s="620"/>
      <c r="PU35" s="620"/>
      <c r="PV35" s="620"/>
      <c r="PW35" s="620"/>
      <c r="PX35" s="620"/>
      <c r="PY35" s="620"/>
      <c r="PZ35" s="620"/>
      <c r="QA35" s="620"/>
      <c r="QB35" s="620"/>
      <c r="QC35" s="620"/>
      <c r="QD35" s="620"/>
      <c r="QE35" s="620"/>
      <c r="QF35" s="620"/>
      <c r="QG35" s="620"/>
      <c r="QH35" s="620"/>
      <c r="QI35" s="620"/>
      <c r="QJ35" s="620"/>
      <c r="QK35" s="620"/>
      <c r="QL35" s="620"/>
      <c r="QM35" s="620"/>
      <c r="QN35" s="620"/>
      <c r="QO35" s="620"/>
      <c r="QP35" s="620"/>
      <c r="QQ35" s="620"/>
      <c r="QR35" s="620"/>
      <c r="QS35" s="620"/>
      <c r="QT35" s="620"/>
      <c r="QU35" s="620"/>
      <c r="QV35" s="620"/>
      <c r="QW35" s="620"/>
      <c r="QX35" s="620"/>
      <c r="QY35" s="620"/>
      <c r="QZ35" s="620"/>
      <c r="RA35" s="620"/>
      <c r="RB35" s="620"/>
      <c r="RC35" s="620"/>
      <c r="RD35" s="620"/>
      <c r="RE35" s="620"/>
      <c r="RF35" s="620"/>
      <c r="RG35" s="620"/>
      <c r="RH35" s="620"/>
    </row>
    <row r="36" spans="2:476" s="529" customFormat="1" ht="19.5" customHeight="1">
      <c r="B36" s="552">
        <v>45824</v>
      </c>
      <c r="C36" s="553">
        <v>16</v>
      </c>
      <c r="D36" s="554">
        <v>0</v>
      </c>
      <c r="E36" s="554">
        <v>2</v>
      </c>
      <c r="F36" s="555">
        <f t="shared" si="0"/>
        <v>8.1490725278854401E-10</v>
      </c>
      <c r="G36" s="556"/>
      <c r="H36" s="557"/>
      <c r="I36" s="591"/>
      <c r="J36" s="576">
        <v>13.9999999991851</v>
      </c>
      <c r="K36" s="585"/>
      <c r="L36" s="557"/>
      <c r="M36" s="557"/>
      <c r="N36" s="576"/>
      <c r="O36" s="560"/>
      <c r="P36" s="557"/>
      <c r="Q36" s="557"/>
      <c r="R36" s="557"/>
      <c r="S36" s="557"/>
      <c r="T36" s="557"/>
      <c r="U36" s="557"/>
      <c r="V36" s="557"/>
      <c r="W36" s="557"/>
      <c r="X36" s="557"/>
      <c r="Y36" s="622">
        <v>1</v>
      </c>
      <c r="Z36" s="607">
        <f t="shared" si="1"/>
        <v>0</v>
      </c>
      <c r="AA36" s="607">
        <f t="shared" si="2"/>
        <v>13.9999999991851</v>
      </c>
      <c r="AB36" s="608">
        <f t="shared" si="3"/>
        <v>1</v>
      </c>
      <c r="AC36" s="617" t="s">
        <v>53</v>
      </c>
      <c r="AD36" s="620"/>
      <c r="AE36" s="620"/>
      <c r="AF36" s="620"/>
      <c r="AG36" s="620"/>
      <c r="AH36" s="620"/>
      <c r="AI36" s="620"/>
      <c r="AJ36" s="620"/>
      <c r="AK36" s="620"/>
      <c r="AL36" s="620"/>
      <c r="AM36" s="620"/>
      <c r="AN36" s="620"/>
      <c r="AO36" s="620"/>
      <c r="AP36" s="620"/>
      <c r="AQ36" s="620"/>
      <c r="AR36" s="620"/>
      <c r="AS36" s="620"/>
      <c r="AT36" s="620"/>
      <c r="AU36" s="620"/>
      <c r="AV36" s="620"/>
      <c r="AW36" s="620"/>
      <c r="AX36" s="620"/>
      <c r="AY36" s="620"/>
      <c r="AZ36" s="620"/>
      <c r="BA36" s="620"/>
      <c r="BB36" s="620"/>
      <c r="BC36" s="620"/>
      <c r="BD36" s="620"/>
      <c r="BE36" s="620"/>
      <c r="BF36" s="620"/>
      <c r="BG36" s="620"/>
      <c r="BH36" s="620"/>
      <c r="BI36" s="620"/>
      <c r="BJ36" s="620"/>
      <c r="BK36" s="620"/>
      <c r="BL36" s="620"/>
      <c r="BM36" s="620"/>
      <c r="BN36" s="620"/>
      <c r="BO36" s="620"/>
      <c r="BP36" s="620"/>
      <c r="BQ36" s="620"/>
      <c r="BR36" s="620"/>
      <c r="BS36" s="620"/>
      <c r="BT36" s="620"/>
      <c r="BU36" s="620"/>
      <c r="BV36" s="620"/>
      <c r="BW36" s="620"/>
      <c r="BX36" s="620"/>
      <c r="BY36" s="620"/>
      <c r="BZ36" s="620"/>
      <c r="CA36" s="620"/>
      <c r="CB36" s="620"/>
      <c r="CC36" s="620"/>
      <c r="CD36" s="620"/>
      <c r="CE36" s="620"/>
      <c r="CF36" s="620"/>
      <c r="CG36" s="620"/>
      <c r="CH36" s="620"/>
      <c r="CI36" s="620"/>
      <c r="CJ36" s="620"/>
      <c r="CK36" s="620"/>
      <c r="CL36" s="620"/>
      <c r="CM36" s="620"/>
      <c r="CN36" s="620"/>
      <c r="CO36" s="620"/>
      <c r="CP36" s="620"/>
      <c r="CQ36" s="620"/>
      <c r="CR36" s="620"/>
      <c r="CS36" s="620"/>
      <c r="CT36" s="620"/>
      <c r="CU36" s="620"/>
      <c r="CV36" s="620"/>
      <c r="CW36" s="620"/>
      <c r="CX36" s="620"/>
      <c r="CY36" s="620"/>
      <c r="CZ36" s="620"/>
      <c r="DA36" s="620"/>
      <c r="DB36" s="620"/>
      <c r="DC36" s="620"/>
      <c r="DD36" s="620"/>
      <c r="DE36" s="620"/>
      <c r="DF36" s="620"/>
      <c r="DG36" s="620"/>
      <c r="DH36" s="620"/>
      <c r="DI36" s="620"/>
      <c r="DJ36" s="620"/>
      <c r="DK36" s="620"/>
      <c r="DL36" s="620"/>
      <c r="DM36" s="620"/>
      <c r="DN36" s="620"/>
      <c r="DO36" s="620"/>
      <c r="DP36" s="620"/>
      <c r="DQ36" s="620"/>
      <c r="DR36" s="620"/>
      <c r="DS36" s="620"/>
      <c r="DT36" s="620"/>
      <c r="DU36" s="620"/>
      <c r="DV36" s="620"/>
      <c r="DW36" s="620"/>
      <c r="DX36" s="620"/>
      <c r="DY36" s="620"/>
      <c r="DZ36" s="620"/>
      <c r="EA36" s="620"/>
      <c r="EB36" s="620"/>
      <c r="EC36" s="620"/>
      <c r="ED36" s="620"/>
      <c r="EE36" s="620"/>
      <c r="EF36" s="620"/>
      <c r="EG36" s="620"/>
      <c r="EH36" s="620"/>
      <c r="EI36" s="620"/>
      <c r="EJ36" s="620"/>
      <c r="EK36" s="620"/>
      <c r="EL36" s="620"/>
      <c r="EM36" s="620"/>
      <c r="EN36" s="620"/>
      <c r="EO36" s="620"/>
      <c r="EP36" s="620"/>
      <c r="EQ36" s="620"/>
      <c r="ER36" s="620"/>
      <c r="ES36" s="620"/>
      <c r="ET36" s="620"/>
      <c r="EU36" s="620"/>
      <c r="EV36" s="620"/>
      <c r="EW36" s="620"/>
      <c r="EX36" s="620"/>
      <c r="EY36" s="620"/>
      <c r="EZ36" s="620"/>
      <c r="FA36" s="620"/>
      <c r="FB36" s="620"/>
      <c r="FC36" s="620"/>
      <c r="FD36" s="620"/>
      <c r="FE36" s="620"/>
      <c r="FF36" s="620"/>
      <c r="FG36" s="620"/>
      <c r="FH36" s="620"/>
      <c r="FI36" s="620"/>
      <c r="FJ36" s="620"/>
      <c r="FK36" s="620"/>
      <c r="FL36" s="620"/>
      <c r="FM36" s="620"/>
      <c r="FN36" s="620"/>
      <c r="FO36" s="620"/>
      <c r="FP36" s="620"/>
      <c r="FQ36" s="620"/>
      <c r="FR36" s="620"/>
      <c r="FS36" s="620"/>
      <c r="FT36" s="620"/>
      <c r="FU36" s="620"/>
      <c r="FV36" s="620"/>
      <c r="FW36" s="620"/>
      <c r="FX36" s="620"/>
      <c r="FY36" s="620"/>
      <c r="FZ36" s="620"/>
      <c r="GA36" s="620"/>
      <c r="GB36" s="620"/>
      <c r="GC36" s="620"/>
      <c r="GD36" s="620"/>
      <c r="GE36" s="620"/>
      <c r="GF36" s="620"/>
      <c r="GG36" s="620"/>
      <c r="GH36" s="620"/>
      <c r="GI36" s="620"/>
      <c r="GJ36" s="620"/>
      <c r="GK36" s="620"/>
      <c r="GL36" s="620"/>
      <c r="GM36" s="620"/>
      <c r="GN36" s="620"/>
      <c r="GO36" s="620"/>
      <c r="GP36" s="620"/>
      <c r="GQ36" s="620"/>
      <c r="GR36" s="620"/>
      <c r="GS36" s="620"/>
      <c r="GT36" s="620"/>
      <c r="GU36" s="620"/>
      <c r="GV36" s="620"/>
      <c r="GW36" s="620"/>
      <c r="GX36" s="620"/>
      <c r="GY36" s="620"/>
      <c r="GZ36" s="620"/>
      <c r="HA36" s="620"/>
      <c r="HB36" s="620"/>
      <c r="HC36" s="620"/>
      <c r="HD36" s="620"/>
      <c r="HE36" s="620"/>
      <c r="HF36" s="620"/>
      <c r="HG36" s="620"/>
      <c r="HH36" s="620"/>
      <c r="HI36" s="620"/>
      <c r="HJ36" s="620"/>
      <c r="HK36" s="620"/>
      <c r="HL36" s="620"/>
      <c r="HM36" s="620"/>
      <c r="HN36" s="620"/>
      <c r="HO36" s="620"/>
      <c r="HP36" s="620"/>
      <c r="HQ36" s="620"/>
      <c r="HR36" s="620"/>
      <c r="HS36" s="620"/>
      <c r="HT36" s="620"/>
      <c r="HU36" s="620"/>
      <c r="HV36" s="620"/>
      <c r="HW36" s="620"/>
      <c r="HX36" s="620"/>
      <c r="HY36" s="620"/>
      <c r="HZ36" s="620"/>
      <c r="IA36" s="620"/>
      <c r="IB36" s="620"/>
      <c r="IC36" s="620"/>
      <c r="ID36" s="620"/>
      <c r="IE36" s="620"/>
      <c r="IF36" s="620"/>
      <c r="IG36" s="620"/>
      <c r="IH36" s="620"/>
      <c r="II36" s="620"/>
      <c r="IJ36" s="620"/>
      <c r="IK36" s="620"/>
      <c r="IL36" s="620"/>
      <c r="IM36" s="620"/>
      <c r="IN36" s="620"/>
      <c r="IO36" s="620"/>
      <c r="IP36" s="620"/>
      <c r="IQ36" s="620"/>
      <c r="IR36" s="620"/>
      <c r="IS36" s="620"/>
      <c r="IT36" s="620"/>
      <c r="IU36" s="620"/>
      <c r="IV36" s="620"/>
      <c r="IW36" s="620"/>
      <c r="IX36" s="620"/>
      <c r="IY36" s="620"/>
      <c r="IZ36" s="620"/>
      <c r="JA36" s="620"/>
      <c r="JB36" s="620"/>
      <c r="JC36" s="620"/>
      <c r="JD36" s="620"/>
      <c r="JE36" s="620"/>
      <c r="JF36" s="620"/>
      <c r="JG36" s="620"/>
      <c r="JH36" s="620"/>
      <c r="JI36" s="620"/>
      <c r="JJ36" s="620"/>
      <c r="JK36" s="620"/>
      <c r="JL36" s="620"/>
      <c r="JM36" s="620"/>
      <c r="JN36" s="620"/>
      <c r="JO36" s="620"/>
      <c r="JP36" s="620"/>
      <c r="JQ36" s="620"/>
      <c r="JR36" s="620"/>
      <c r="JS36" s="620"/>
      <c r="JT36" s="620"/>
      <c r="JU36" s="620"/>
      <c r="JV36" s="620"/>
      <c r="JW36" s="620"/>
      <c r="JX36" s="620"/>
      <c r="JY36" s="620"/>
      <c r="JZ36" s="620"/>
      <c r="KA36" s="620"/>
      <c r="KB36" s="620"/>
      <c r="KC36" s="620"/>
      <c r="KD36" s="620"/>
      <c r="KE36" s="620"/>
      <c r="KF36" s="620"/>
      <c r="KG36" s="620"/>
      <c r="KH36" s="620"/>
      <c r="KI36" s="620"/>
      <c r="KJ36" s="620"/>
      <c r="KK36" s="620"/>
      <c r="KL36" s="620"/>
      <c r="KM36" s="620"/>
      <c r="KN36" s="620"/>
      <c r="KO36" s="620"/>
      <c r="KP36" s="620"/>
      <c r="KQ36" s="620"/>
      <c r="KR36" s="620"/>
      <c r="KS36" s="620"/>
      <c r="KT36" s="620"/>
      <c r="KU36" s="620"/>
      <c r="KV36" s="620"/>
      <c r="KW36" s="620"/>
      <c r="KX36" s="620"/>
      <c r="KY36" s="620"/>
      <c r="KZ36" s="620"/>
      <c r="LA36" s="620"/>
      <c r="LB36" s="620"/>
      <c r="LC36" s="620"/>
      <c r="LD36" s="620"/>
      <c r="LE36" s="620"/>
      <c r="LF36" s="620"/>
      <c r="LG36" s="620"/>
      <c r="LH36" s="620"/>
      <c r="LI36" s="620"/>
      <c r="LJ36" s="620"/>
      <c r="LK36" s="620"/>
      <c r="LL36" s="620"/>
      <c r="LM36" s="620"/>
      <c r="LN36" s="620"/>
      <c r="LO36" s="620"/>
      <c r="LP36" s="620"/>
      <c r="LQ36" s="620"/>
      <c r="LR36" s="620"/>
      <c r="LS36" s="620"/>
      <c r="LT36" s="620"/>
      <c r="LU36" s="620"/>
      <c r="LV36" s="620"/>
      <c r="LW36" s="620"/>
      <c r="LX36" s="620"/>
      <c r="LY36" s="620"/>
      <c r="LZ36" s="620"/>
      <c r="MA36" s="620"/>
      <c r="MB36" s="620"/>
      <c r="MC36" s="620"/>
      <c r="MD36" s="620"/>
      <c r="ME36" s="620"/>
      <c r="MF36" s="620"/>
      <c r="MG36" s="620"/>
      <c r="MH36" s="620"/>
      <c r="MI36" s="620"/>
      <c r="MJ36" s="620"/>
      <c r="MK36" s="620"/>
      <c r="ML36" s="620"/>
      <c r="MM36" s="620"/>
      <c r="MN36" s="620"/>
      <c r="MO36" s="620"/>
      <c r="MP36" s="620"/>
      <c r="MQ36" s="620"/>
      <c r="MR36" s="620"/>
      <c r="MS36" s="620"/>
      <c r="MT36" s="620"/>
      <c r="MU36" s="620"/>
      <c r="MV36" s="620"/>
      <c r="MW36" s="620"/>
      <c r="MX36" s="620"/>
      <c r="MY36" s="620"/>
      <c r="MZ36" s="620"/>
      <c r="NA36" s="620"/>
      <c r="NB36" s="620"/>
      <c r="NC36" s="620"/>
      <c r="ND36" s="620"/>
      <c r="NE36" s="620"/>
      <c r="NF36" s="620"/>
      <c r="NG36" s="620"/>
      <c r="NH36" s="620"/>
      <c r="NI36" s="620"/>
      <c r="NJ36" s="620"/>
      <c r="NK36" s="620"/>
      <c r="NL36" s="620"/>
      <c r="NM36" s="620"/>
      <c r="NN36" s="620"/>
      <c r="NO36" s="620"/>
      <c r="NP36" s="620"/>
      <c r="NQ36" s="620"/>
      <c r="NR36" s="620"/>
      <c r="NS36" s="620"/>
      <c r="NT36" s="620"/>
      <c r="NU36" s="620"/>
      <c r="NV36" s="620"/>
      <c r="NW36" s="620"/>
      <c r="NX36" s="620"/>
      <c r="NY36" s="620"/>
      <c r="NZ36" s="620"/>
      <c r="OA36" s="620"/>
      <c r="OB36" s="620"/>
      <c r="OC36" s="620"/>
      <c r="OD36" s="620"/>
      <c r="OE36" s="620"/>
      <c r="OF36" s="620"/>
      <c r="OG36" s="620"/>
      <c r="OH36" s="620"/>
      <c r="OI36" s="620"/>
      <c r="OJ36" s="620"/>
      <c r="OK36" s="620"/>
      <c r="OL36" s="620"/>
      <c r="OM36" s="620"/>
      <c r="ON36" s="620"/>
      <c r="OO36" s="620"/>
      <c r="OP36" s="620"/>
      <c r="OQ36" s="620"/>
      <c r="OR36" s="620"/>
      <c r="OS36" s="620"/>
      <c r="OT36" s="620"/>
      <c r="OU36" s="620"/>
      <c r="OV36" s="620"/>
      <c r="OW36" s="620"/>
      <c r="OX36" s="620"/>
      <c r="OY36" s="620"/>
      <c r="OZ36" s="620"/>
      <c r="PA36" s="620"/>
      <c r="PB36" s="620"/>
      <c r="PC36" s="620"/>
      <c r="PD36" s="620"/>
      <c r="PE36" s="620"/>
      <c r="PF36" s="620"/>
      <c r="PG36" s="620"/>
      <c r="PH36" s="620"/>
      <c r="PI36" s="620"/>
      <c r="PJ36" s="620"/>
      <c r="PK36" s="620"/>
      <c r="PL36" s="620"/>
      <c r="PM36" s="620"/>
      <c r="PN36" s="620"/>
      <c r="PO36" s="620"/>
      <c r="PP36" s="620"/>
      <c r="PQ36" s="620"/>
      <c r="PR36" s="620"/>
      <c r="PS36" s="620"/>
      <c r="PT36" s="620"/>
      <c r="PU36" s="620"/>
      <c r="PV36" s="620"/>
      <c r="PW36" s="620"/>
      <c r="PX36" s="620"/>
      <c r="PY36" s="620"/>
      <c r="PZ36" s="620"/>
      <c r="QA36" s="620"/>
      <c r="QB36" s="620"/>
      <c r="QC36" s="620"/>
      <c r="QD36" s="620"/>
      <c r="QE36" s="620"/>
      <c r="QF36" s="620"/>
      <c r="QG36" s="620"/>
      <c r="QH36" s="620"/>
      <c r="QI36" s="620"/>
      <c r="QJ36" s="620"/>
      <c r="QK36" s="620"/>
      <c r="QL36" s="620"/>
      <c r="QM36" s="620"/>
      <c r="QN36" s="620"/>
      <c r="QO36" s="620"/>
      <c r="QP36" s="620"/>
      <c r="QQ36" s="620"/>
      <c r="QR36" s="620"/>
      <c r="QS36" s="620"/>
      <c r="QT36" s="620"/>
      <c r="QU36" s="620"/>
      <c r="QV36" s="620"/>
      <c r="QW36" s="620"/>
      <c r="QX36" s="620"/>
      <c r="QY36" s="620"/>
      <c r="QZ36" s="620"/>
      <c r="RA36" s="620"/>
      <c r="RB36" s="620"/>
      <c r="RC36" s="620"/>
      <c r="RD36" s="620"/>
      <c r="RE36" s="620"/>
      <c r="RF36" s="620"/>
      <c r="RG36" s="620"/>
      <c r="RH36" s="620"/>
    </row>
    <row r="37" spans="2:476" s="529" customFormat="1" ht="20.100000000000001" customHeight="1">
      <c r="B37" s="552"/>
      <c r="C37" s="553">
        <v>16</v>
      </c>
      <c r="D37" s="554">
        <v>0</v>
      </c>
      <c r="E37" s="554">
        <v>2</v>
      </c>
      <c r="F37" s="555">
        <f t="shared" si="0"/>
        <v>12.499999999126899</v>
      </c>
      <c r="G37" s="568"/>
      <c r="H37" s="557"/>
      <c r="I37" s="576"/>
      <c r="J37" s="576">
        <v>0.99999999994179201</v>
      </c>
      <c r="K37" s="585"/>
      <c r="L37" s="557"/>
      <c r="M37" s="557"/>
      <c r="N37" s="576">
        <v>0.25000000011641499</v>
      </c>
      <c r="O37" s="560">
        <v>0.25000000081490698</v>
      </c>
      <c r="P37" s="557"/>
      <c r="Q37" s="557"/>
      <c r="R37" s="557"/>
      <c r="S37" s="557"/>
      <c r="T37" s="557"/>
      <c r="U37" s="557"/>
      <c r="V37" s="557"/>
      <c r="W37" s="557"/>
      <c r="X37" s="557"/>
      <c r="Y37" s="622">
        <v>2</v>
      </c>
      <c r="Z37" s="607">
        <f t="shared" si="1"/>
        <v>0</v>
      </c>
      <c r="AA37" s="607">
        <f t="shared" si="2"/>
        <v>1.50000000087311</v>
      </c>
      <c r="AB37" s="608">
        <f t="shared" si="3"/>
        <v>1</v>
      </c>
      <c r="AC37" s="617"/>
      <c r="AD37" s="620"/>
      <c r="AE37" s="620"/>
      <c r="AF37" s="620"/>
      <c r="AG37" s="620"/>
      <c r="AH37" s="620"/>
      <c r="AI37" s="620"/>
      <c r="AJ37" s="620"/>
      <c r="AK37" s="620"/>
      <c r="AL37" s="620"/>
      <c r="AM37" s="620"/>
      <c r="AN37" s="620"/>
      <c r="AO37" s="620"/>
      <c r="AP37" s="620"/>
      <c r="AQ37" s="620"/>
      <c r="AR37" s="620"/>
      <c r="AS37" s="620"/>
      <c r="AT37" s="620"/>
      <c r="AU37" s="620"/>
      <c r="AV37" s="620"/>
      <c r="AW37" s="620"/>
      <c r="AX37" s="620"/>
      <c r="AY37" s="620"/>
      <c r="AZ37" s="620"/>
      <c r="BA37" s="620"/>
      <c r="BB37" s="620"/>
      <c r="BC37" s="620"/>
      <c r="BD37" s="620"/>
      <c r="BE37" s="620"/>
      <c r="BF37" s="620"/>
      <c r="BG37" s="620"/>
      <c r="BH37" s="620"/>
      <c r="BI37" s="620"/>
      <c r="BJ37" s="620"/>
      <c r="BK37" s="620"/>
      <c r="BL37" s="620"/>
      <c r="BM37" s="620"/>
      <c r="BN37" s="620"/>
      <c r="BO37" s="620"/>
      <c r="BP37" s="620"/>
      <c r="BQ37" s="620"/>
      <c r="BR37" s="620"/>
      <c r="BS37" s="620"/>
      <c r="BT37" s="620"/>
      <c r="BU37" s="620"/>
      <c r="BV37" s="620"/>
      <c r="BW37" s="620"/>
      <c r="BX37" s="620"/>
      <c r="BY37" s="620"/>
      <c r="BZ37" s="620"/>
      <c r="CA37" s="620"/>
      <c r="CB37" s="620"/>
      <c r="CC37" s="620"/>
      <c r="CD37" s="620"/>
      <c r="CE37" s="620"/>
      <c r="CF37" s="620"/>
      <c r="CG37" s="620"/>
      <c r="CH37" s="620"/>
      <c r="CI37" s="620"/>
      <c r="CJ37" s="620"/>
      <c r="CK37" s="620"/>
      <c r="CL37" s="620"/>
      <c r="CM37" s="620"/>
      <c r="CN37" s="620"/>
      <c r="CO37" s="620"/>
      <c r="CP37" s="620"/>
      <c r="CQ37" s="620"/>
      <c r="CR37" s="620"/>
      <c r="CS37" s="620"/>
      <c r="CT37" s="620"/>
      <c r="CU37" s="620"/>
      <c r="CV37" s="620"/>
      <c r="CW37" s="620"/>
      <c r="CX37" s="620"/>
      <c r="CY37" s="620"/>
      <c r="CZ37" s="620"/>
      <c r="DA37" s="620"/>
      <c r="DB37" s="620"/>
      <c r="DC37" s="620"/>
      <c r="DD37" s="620"/>
      <c r="DE37" s="620"/>
      <c r="DF37" s="620"/>
      <c r="DG37" s="620"/>
      <c r="DH37" s="620"/>
      <c r="DI37" s="620"/>
      <c r="DJ37" s="620"/>
      <c r="DK37" s="620"/>
      <c r="DL37" s="620"/>
      <c r="DM37" s="620"/>
      <c r="DN37" s="620"/>
      <c r="DO37" s="620"/>
      <c r="DP37" s="620"/>
      <c r="DQ37" s="620"/>
      <c r="DR37" s="620"/>
      <c r="DS37" s="620"/>
      <c r="DT37" s="620"/>
      <c r="DU37" s="620"/>
      <c r="DV37" s="620"/>
      <c r="DW37" s="620"/>
      <c r="DX37" s="620"/>
      <c r="DY37" s="620"/>
      <c r="DZ37" s="620"/>
      <c r="EA37" s="620"/>
      <c r="EB37" s="620"/>
      <c r="EC37" s="620"/>
      <c r="ED37" s="620"/>
      <c r="EE37" s="620"/>
      <c r="EF37" s="620"/>
      <c r="EG37" s="620"/>
      <c r="EH37" s="620"/>
      <c r="EI37" s="620"/>
      <c r="EJ37" s="620"/>
      <c r="EK37" s="620"/>
      <c r="EL37" s="620"/>
      <c r="EM37" s="620"/>
      <c r="EN37" s="620"/>
      <c r="EO37" s="620"/>
      <c r="EP37" s="620"/>
      <c r="EQ37" s="620"/>
      <c r="ER37" s="620"/>
      <c r="ES37" s="620"/>
      <c r="ET37" s="620"/>
      <c r="EU37" s="620"/>
      <c r="EV37" s="620"/>
      <c r="EW37" s="620"/>
      <c r="EX37" s="620"/>
      <c r="EY37" s="620"/>
      <c r="EZ37" s="620"/>
      <c r="FA37" s="620"/>
      <c r="FB37" s="620"/>
      <c r="FC37" s="620"/>
      <c r="FD37" s="620"/>
      <c r="FE37" s="620"/>
      <c r="FF37" s="620"/>
      <c r="FG37" s="620"/>
      <c r="FH37" s="620"/>
      <c r="FI37" s="620"/>
      <c r="FJ37" s="620"/>
      <c r="FK37" s="620"/>
      <c r="FL37" s="620"/>
      <c r="FM37" s="620"/>
      <c r="FN37" s="620"/>
      <c r="FO37" s="620"/>
      <c r="FP37" s="620"/>
      <c r="FQ37" s="620"/>
      <c r="FR37" s="620"/>
      <c r="FS37" s="620"/>
      <c r="FT37" s="620"/>
      <c r="FU37" s="620"/>
      <c r="FV37" s="620"/>
      <c r="FW37" s="620"/>
      <c r="FX37" s="620"/>
      <c r="FY37" s="620"/>
      <c r="FZ37" s="620"/>
      <c r="GA37" s="620"/>
      <c r="GB37" s="620"/>
      <c r="GC37" s="620"/>
      <c r="GD37" s="620"/>
      <c r="GE37" s="620"/>
      <c r="GF37" s="620"/>
      <c r="GG37" s="620"/>
      <c r="GH37" s="620"/>
      <c r="GI37" s="620"/>
      <c r="GJ37" s="620"/>
      <c r="GK37" s="620"/>
      <c r="GL37" s="620"/>
      <c r="GM37" s="620"/>
      <c r="GN37" s="620"/>
      <c r="GO37" s="620"/>
      <c r="GP37" s="620"/>
      <c r="GQ37" s="620"/>
      <c r="GR37" s="620"/>
      <c r="GS37" s="620"/>
      <c r="GT37" s="620"/>
      <c r="GU37" s="620"/>
      <c r="GV37" s="620"/>
      <c r="GW37" s="620"/>
      <c r="GX37" s="620"/>
      <c r="GY37" s="620"/>
      <c r="GZ37" s="620"/>
      <c r="HA37" s="620"/>
      <c r="HB37" s="620"/>
      <c r="HC37" s="620"/>
      <c r="HD37" s="620"/>
      <c r="HE37" s="620"/>
      <c r="HF37" s="620"/>
      <c r="HG37" s="620"/>
      <c r="HH37" s="620"/>
      <c r="HI37" s="620"/>
      <c r="HJ37" s="620"/>
      <c r="HK37" s="620"/>
      <c r="HL37" s="620"/>
      <c r="HM37" s="620"/>
      <c r="HN37" s="620"/>
      <c r="HO37" s="620"/>
      <c r="HP37" s="620"/>
      <c r="HQ37" s="620"/>
      <c r="HR37" s="620"/>
      <c r="HS37" s="620"/>
      <c r="HT37" s="620"/>
      <c r="HU37" s="620"/>
      <c r="HV37" s="620"/>
      <c r="HW37" s="620"/>
      <c r="HX37" s="620"/>
      <c r="HY37" s="620"/>
      <c r="HZ37" s="620"/>
      <c r="IA37" s="620"/>
      <c r="IB37" s="620"/>
      <c r="IC37" s="620"/>
      <c r="ID37" s="620"/>
      <c r="IE37" s="620"/>
      <c r="IF37" s="620"/>
      <c r="IG37" s="620"/>
      <c r="IH37" s="620"/>
      <c r="II37" s="620"/>
      <c r="IJ37" s="620"/>
      <c r="IK37" s="620"/>
      <c r="IL37" s="620"/>
      <c r="IM37" s="620"/>
      <c r="IN37" s="620"/>
      <c r="IO37" s="620"/>
      <c r="IP37" s="620"/>
      <c r="IQ37" s="620"/>
      <c r="IR37" s="620"/>
      <c r="IS37" s="620"/>
      <c r="IT37" s="620"/>
      <c r="IU37" s="620"/>
      <c r="IV37" s="620"/>
      <c r="IW37" s="620"/>
      <c r="IX37" s="620"/>
      <c r="IY37" s="620"/>
      <c r="IZ37" s="620"/>
      <c r="JA37" s="620"/>
      <c r="JB37" s="620"/>
      <c r="JC37" s="620"/>
      <c r="JD37" s="620"/>
      <c r="JE37" s="620"/>
      <c r="JF37" s="620"/>
      <c r="JG37" s="620"/>
      <c r="JH37" s="620"/>
      <c r="JI37" s="620"/>
      <c r="JJ37" s="620"/>
      <c r="JK37" s="620"/>
      <c r="JL37" s="620"/>
      <c r="JM37" s="620"/>
      <c r="JN37" s="620"/>
      <c r="JO37" s="620"/>
      <c r="JP37" s="620"/>
      <c r="JQ37" s="620"/>
      <c r="JR37" s="620"/>
      <c r="JS37" s="620"/>
      <c r="JT37" s="620"/>
      <c r="JU37" s="620"/>
      <c r="JV37" s="620"/>
      <c r="JW37" s="620"/>
      <c r="JX37" s="620"/>
      <c r="JY37" s="620"/>
      <c r="JZ37" s="620"/>
      <c r="KA37" s="620"/>
      <c r="KB37" s="620"/>
      <c r="KC37" s="620"/>
      <c r="KD37" s="620"/>
      <c r="KE37" s="620"/>
      <c r="KF37" s="620"/>
      <c r="KG37" s="620"/>
      <c r="KH37" s="620"/>
      <c r="KI37" s="620"/>
      <c r="KJ37" s="620"/>
      <c r="KK37" s="620"/>
      <c r="KL37" s="620"/>
      <c r="KM37" s="620"/>
      <c r="KN37" s="620"/>
      <c r="KO37" s="620"/>
      <c r="KP37" s="620"/>
      <c r="KQ37" s="620"/>
      <c r="KR37" s="620"/>
      <c r="KS37" s="620"/>
      <c r="KT37" s="620"/>
      <c r="KU37" s="620"/>
      <c r="KV37" s="620"/>
      <c r="KW37" s="620"/>
      <c r="KX37" s="620"/>
      <c r="KY37" s="620"/>
      <c r="KZ37" s="620"/>
      <c r="LA37" s="620"/>
      <c r="LB37" s="620"/>
      <c r="LC37" s="620"/>
      <c r="LD37" s="620"/>
      <c r="LE37" s="620"/>
      <c r="LF37" s="620"/>
      <c r="LG37" s="620"/>
      <c r="LH37" s="620"/>
      <c r="LI37" s="620"/>
      <c r="LJ37" s="620"/>
      <c r="LK37" s="620"/>
      <c r="LL37" s="620"/>
      <c r="LM37" s="620"/>
      <c r="LN37" s="620"/>
      <c r="LO37" s="620"/>
      <c r="LP37" s="620"/>
      <c r="LQ37" s="620"/>
      <c r="LR37" s="620"/>
      <c r="LS37" s="620"/>
      <c r="LT37" s="620"/>
      <c r="LU37" s="620"/>
      <c r="LV37" s="620"/>
      <c r="LW37" s="620"/>
      <c r="LX37" s="620"/>
      <c r="LY37" s="620"/>
      <c r="LZ37" s="620"/>
      <c r="MA37" s="620"/>
      <c r="MB37" s="620"/>
      <c r="MC37" s="620"/>
      <c r="MD37" s="620"/>
      <c r="ME37" s="620"/>
      <c r="MF37" s="620"/>
      <c r="MG37" s="620"/>
      <c r="MH37" s="620"/>
      <c r="MI37" s="620"/>
      <c r="MJ37" s="620"/>
      <c r="MK37" s="620"/>
      <c r="ML37" s="620"/>
      <c r="MM37" s="620"/>
      <c r="MN37" s="620"/>
      <c r="MO37" s="620"/>
      <c r="MP37" s="620"/>
      <c r="MQ37" s="620"/>
      <c r="MR37" s="620"/>
      <c r="MS37" s="620"/>
      <c r="MT37" s="620"/>
      <c r="MU37" s="620"/>
      <c r="MV37" s="620"/>
      <c r="MW37" s="620"/>
      <c r="MX37" s="620"/>
      <c r="MY37" s="620"/>
      <c r="MZ37" s="620"/>
      <c r="NA37" s="620"/>
      <c r="NB37" s="620"/>
      <c r="NC37" s="620"/>
      <c r="ND37" s="620"/>
      <c r="NE37" s="620"/>
      <c r="NF37" s="620"/>
      <c r="NG37" s="620"/>
      <c r="NH37" s="620"/>
      <c r="NI37" s="620"/>
      <c r="NJ37" s="620"/>
      <c r="NK37" s="620"/>
      <c r="NL37" s="620"/>
      <c r="NM37" s="620"/>
      <c r="NN37" s="620"/>
      <c r="NO37" s="620"/>
      <c r="NP37" s="620"/>
      <c r="NQ37" s="620"/>
      <c r="NR37" s="620"/>
      <c r="NS37" s="620"/>
      <c r="NT37" s="620"/>
      <c r="NU37" s="620"/>
      <c r="NV37" s="620"/>
      <c r="NW37" s="620"/>
      <c r="NX37" s="620"/>
      <c r="NY37" s="620"/>
      <c r="NZ37" s="620"/>
      <c r="OA37" s="620"/>
      <c r="OB37" s="620"/>
      <c r="OC37" s="620"/>
      <c r="OD37" s="620"/>
      <c r="OE37" s="620"/>
      <c r="OF37" s="620"/>
      <c r="OG37" s="620"/>
      <c r="OH37" s="620"/>
      <c r="OI37" s="620"/>
      <c r="OJ37" s="620"/>
      <c r="OK37" s="620"/>
      <c r="OL37" s="620"/>
      <c r="OM37" s="620"/>
      <c r="ON37" s="620"/>
      <c r="OO37" s="620"/>
      <c r="OP37" s="620"/>
      <c r="OQ37" s="620"/>
      <c r="OR37" s="620"/>
      <c r="OS37" s="620"/>
      <c r="OT37" s="620"/>
      <c r="OU37" s="620"/>
      <c r="OV37" s="620"/>
      <c r="OW37" s="620"/>
      <c r="OX37" s="620"/>
      <c r="OY37" s="620"/>
      <c r="OZ37" s="620"/>
      <c r="PA37" s="620"/>
      <c r="PB37" s="620"/>
      <c r="PC37" s="620"/>
      <c r="PD37" s="620"/>
      <c r="PE37" s="620"/>
      <c r="PF37" s="620"/>
      <c r="PG37" s="620"/>
      <c r="PH37" s="620"/>
      <c r="PI37" s="620"/>
      <c r="PJ37" s="620"/>
      <c r="PK37" s="620"/>
      <c r="PL37" s="620"/>
      <c r="PM37" s="620"/>
      <c r="PN37" s="620"/>
      <c r="PO37" s="620"/>
      <c r="PP37" s="620"/>
      <c r="PQ37" s="620"/>
      <c r="PR37" s="620"/>
      <c r="PS37" s="620"/>
      <c r="PT37" s="620"/>
      <c r="PU37" s="620"/>
      <c r="PV37" s="620"/>
      <c r="PW37" s="620"/>
      <c r="PX37" s="620"/>
      <c r="PY37" s="620"/>
      <c r="PZ37" s="620"/>
      <c r="QA37" s="620"/>
      <c r="QB37" s="620"/>
      <c r="QC37" s="620"/>
      <c r="QD37" s="620"/>
      <c r="QE37" s="620"/>
      <c r="QF37" s="620"/>
      <c r="QG37" s="620"/>
      <c r="QH37" s="620"/>
      <c r="QI37" s="620"/>
      <c r="QJ37" s="620"/>
      <c r="QK37" s="620"/>
      <c r="QL37" s="620"/>
      <c r="QM37" s="620"/>
      <c r="QN37" s="620"/>
      <c r="QO37" s="620"/>
      <c r="QP37" s="620"/>
      <c r="QQ37" s="620"/>
      <c r="QR37" s="620"/>
      <c r="QS37" s="620"/>
      <c r="QT37" s="620"/>
      <c r="QU37" s="620"/>
      <c r="QV37" s="620"/>
      <c r="QW37" s="620"/>
      <c r="QX37" s="620"/>
      <c r="QY37" s="620"/>
      <c r="QZ37" s="620"/>
      <c r="RA37" s="620"/>
      <c r="RB37" s="620"/>
      <c r="RC37" s="620"/>
      <c r="RD37" s="620"/>
      <c r="RE37" s="620"/>
      <c r="RF37" s="620"/>
      <c r="RG37" s="620"/>
      <c r="RH37" s="620"/>
    </row>
    <row r="38" spans="2:476" s="526" customFormat="1" ht="20.100000000000001" customHeight="1">
      <c r="B38" s="558">
        <v>45825</v>
      </c>
      <c r="C38" s="547">
        <v>16</v>
      </c>
      <c r="D38" s="548">
        <v>0</v>
      </c>
      <c r="E38" s="548">
        <v>2</v>
      </c>
      <c r="F38" s="549">
        <f t="shared" ref="F38:F61" si="4">C38+D38-E38-Z38-AA38</f>
        <v>8.14900147361186E-10</v>
      </c>
      <c r="G38" s="570"/>
      <c r="H38" s="569"/>
      <c r="I38" s="572"/>
      <c r="J38" s="569">
        <v>13.9999999991851</v>
      </c>
      <c r="K38" s="587"/>
      <c r="L38" s="551"/>
      <c r="M38" s="551"/>
      <c r="N38" s="569"/>
      <c r="O38" s="572"/>
      <c r="P38" s="551"/>
      <c r="Q38" s="551"/>
      <c r="R38" s="551"/>
      <c r="S38" s="551"/>
      <c r="T38" s="551"/>
      <c r="U38" s="551"/>
      <c r="V38" s="551"/>
      <c r="W38" s="586"/>
      <c r="X38" s="572"/>
      <c r="Y38" s="614">
        <v>1</v>
      </c>
      <c r="Z38" s="607">
        <f t="shared" ref="Z38:Z61" si="5">SUM(G38:I38)</f>
        <v>0</v>
      </c>
      <c r="AA38" s="607">
        <f t="shared" ref="AA38:AA61" si="6">SUM(J38:X38)</f>
        <v>13.9999999991851</v>
      </c>
      <c r="AB38" s="608">
        <f t="shared" ref="AB38:AB61" si="7">((C38+D38)-(Z38+AA38))/((C38+D38)-AA38)</f>
        <v>1</v>
      </c>
      <c r="AC38" s="617" t="s">
        <v>53</v>
      </c>
      <c r="AD38" s="605"/>
      <c r="AE38" s="605"/>
      <c r="AF38" s="605"/>
      <c r="AG38" s="605"/>
      <c r="AH38" s="605"/>
      <c r="AI38" s="605"/>
      <c r="AJ38" s="605"/>
      <c r="AK38" s="605"/>
      <c r="AL38" s="605"/>
      <c r="AM38" s="605"/>
      <c r="AN38" s="605"/>
      <c r="AO38" s="605"/>
      <c r="AP38" s="605"/>
      <c r="AQ38" s="605"/>
      <c r="AR38" s="605"/>
      <c r="AS38" s="605"/>
      <c r="AT38" s="605"/>
      <c r="AU38" s="605"/>
      <c r="AV38" s="605"/>
      <c r="AW38" s="605"/>
      <c r="AX38" s="605"/>
      <c r="AY38" s="605"/>
      <c r="AZ38" s="605"/>
      <c r="BA38" s="605"/>
      <c r="BB38" s="605"/>
      <c r="BC38" s="605"/>
      <c r="BD38" s="605"/>
      <c r="BE38" s="605"/>
      <c r="BF38" s="605"/>
      <c r="BG38" s="605"/>
      <c r="BH38" s="605"/>
      <c r="BI38" s="605"/>
      <c r="BJ38" s="605"/>
      <c r="BK38" s="605"/>
      <c r="BL38" s="605"/>
      <c r="BM38" s="605"/>
      <c r="BN38" s="605"/>
      <c r="BO38" s="605"/>
      <c r="BP38" s="605"/>
      <c r="BQ38" s="605"/>
      <c r="BR38" s="605"/>
      <c r="BS38" s="605"/>
      <c r="BT38" s="605"/>
      <c r="BU38" s="605"/>
      <c r="BV38" s="605"/>
      <c r="BW38" s="605"/>
      <c r="BX38" s="605"/>
      <c r="BY38" s="605"/>
      <c r="BZ38" s="605"/>
      <c r="CA38" s="605"/>
      <c r="CB38" s="605"/>
      <c r="CC38" s="605"/>
      <c r="CD38" s="605"/>
      <c r="CE38" s="605"/>
      <c r="CF38" s="605"/>
      <c r="CG38" s="605"/>
      <c r="CH38" s="605"/>
      <c r="CI38" s="605"/>
      <c r="CJ38" s="605"/>
      <c r="CK38" s="605"/>
      <c r="CL38" s="605"/>
      <c r="CM38" s="605"/>
      <c r="CN38" s="605"/>
      <c r="CO38" s="605"/>
      <c r="CP38" s="605"/>
      <c r="CQ38" s="605"/>
      <c r="CR38" s="605"/>
      <c r="CS38" s="605"/>
      <c r="CT38" s="605"/>
      <c r="CU38" s="605"/>
      <c r="CV38" s="605"/>
      <c r="CW38" s="605"/>
      <c r="CX38" s="605"/>
      <c r="CY38" s="605"/>
      <c r="CZ38" s="605"/>
      <c r="DA38" s="605"/>
      <c r="DB38" s="605"/>
      <c r="DC38" s="605"/>
      <c r="DD38" s="605"/>
      <c r="DE38" s="605"/>
      <c r="DF38" s="605"/>
      <c r="DG38" s="605"/>
      <c r="DH38" s="605"/>
      <c r="DI38" s="605"/>
      <c r="DJ38" s="605"/>
      <c r="DK38" s="605"/>
      <c r="DL38" s="605"/>
      <c r="DM38" s="605"/>
      <c r="DN38" s="605"/>
      <c r="DO38" s="605"/>
      <c r="DP38" s="605"/>
      <c r="DQ38" s="605"/>
      <c r="DR38" s="605"/>
      <c r="DS38" s="605"/>
      <c r="DT38" s="605"/>
      <c r="DU38" s="605"/>
      <c r="DV38" s="605"/>
      <c r="DW38" s="605"/>
      <c r="DX38" s="605"/>
      <c r="DY38" s="605"/>
      <c r="DZ38" s="605"/>
      <c r="EA38" s="605"/>
      <c r="EB38" s="605"/>
      <c r="EC38" s="605"/>
      <c r="ED38" s="605"/>
      <c r="EE38" s="605"/>
      <c r="EF38" s="605"/>
      <c r="EG38" s="605"/>
      <c r="EH38" s="605"/>
      <c r="EI38" s="605"/>
      <c r="EJ38" s="605"/>
      <c r="EK38" s="605"/>
      <c r="EL38" s="605"/>
      <c r="EM38" s="605"/>
      <c r="EN38" s="605"/>
      <c r="EO38" s="605"/>
      <c r="EP38" s="605"/>
      <c r="EQ38" s="605"/>
      <c r="ER38" s="605"/>
      <c r="ES38" s="605"/>
      <c r="ET38" s="605"/>
      <c r="EU38" s="605"/>
      <c r="EV38" s="605"/>
      <c r="EW38" s="605"/>
      <c r="EX38" s="605"/>
      <c r="EY38" s="605"/>
      <c r="EZ38" s="605"/>
      <c r="FA38" s="605"/>
      <c r="FB38" s="605"/>
      <c r="FC38" s="605"/>
      <c r="FD38" s="605"/>
      <c r="FE38" s="605"/>
      <c r="FF38" s="605"/>
      <c r="FG38" s="605"/>
      <c r="FH38" s="605"/>
      <c r="FI38" s="605"/>
      <c r="FJ38" s="605"/>
      <c r="FK38" s="605"/>
      <c r="FL38" s="605"/>
      <c r="FM38" s="605"/>
      <c r="FN38" s="605"/>
      <c r="FO38" s="605"/>
      <c r="FP38" s="605"/>
      <c r="FQ38" s="605"/>
      <c r="FR38" s="605"/>
      <c r="FS38" s="605"/>
      <c r="FT38" s="605"/>
      <c r="FU38" s="605"/>
      <c r="FV38" s="605"/>
      <c r="FW38" s="605"/>
      <c r="FX38" s="605"/>
      <c r="FY38" s="605"/>
      <c r="FZ38" s="605"/>
      <c r="GA38" s="605"/>
      <c r="GB38" s="605"/>
      <c r="GC38" s="605"/>
      <c r="GD38" s="605"/>
      <c r="GE38" s="605"/>
      <c r="GF38" s="605"/>
      <c r="GG38" s="605"/>
      <c r="GH38" s="605"/>
      <c r="GI38" s="605"/>
      <c r="GJ38" s="605"/>
      <c r="GK38" s="605"/>
      <c r="GL38" s="605"/>
      <c r="GM38" s="605"/>
      <c r="GN38" s="605"/>
      <c r="GO38" s="605"/>
      <c r="GP38" s="605"/>
      <c r="GQ38" s="605"/>
      <c r="GR38" s="605"/>
      <c r="GS38" s="605"/>
      <c r="GT38" s="605"/>
      <c r="GU38" s="605"/>
      <c r="GV38" s="605"/>
      <c r="GW38" s="605"/>
      <c r="GX38" s="605"/>
      <c r="GY38" s="605"/>
      <c r="GZ38" s="605"/>
      <c r="HA38" s="605"/>
      <c r="HB38" s="605"/>
      <c r="HC38" s="605"/>
      <c r="HD38" s="605"/>
      <c r="HE38" s="605"/>
      <c r="HF38" s="605"/>
      <c r="HG38" s="605"/>
      <c r="HH38" s="605"/>
      <c r="HI38" s="605"/>
      <c r="HJ38" s="605"/>
      <c r="HK38" s="605"/>
      <c r="HL38" s="605"/>
      <c r="HM38" s="605"/>
      <c r="HN38" s="605"/>
      <c r="HO38" s="605"/>
      <c r="HP38" s="605"/>
      <c r="HQ38" s="605"/>
      <c r="HR38" s="605"/>
      <c r="HS38" s="605"/>
      <c r="HT38" s="605"/>
      <c r="HU38" s="605"/>
      <c r="HV38" s="605"/>
      <c r="HW38" s="605"/>
      <c r="HX38" s="605"/>
      <c r="HY38" s="605"/>
      <c r="HZ38" s="605"/>
      <c r="IA38" s="605"/>
      <c r="IB38" s="605"/>
      <c r="IC38" s="605"/>
      <c r="ID38" s="605"/>
      <c r="IE38" s="605"/>
      <c r="IF38" s="605"/>
      <c r="IG38" s="605"/>
      <c r="IH38" s="605"/>
      <c r="II38" s="605"/>
      <c r="IJ38" s="605"/>
      <c r="IK38" s="605"/>
      <c r="IL38" s="605"/>
      <c r="IM38" s="605"/>
      <c r="IN38" s="605"/>
      <c r="IO38" s="605"/>
      <c r="IP38" s="605"/>
      <c r="IQ38" s="605"/>
      <c r="IR38" s="605"/>
      <c r="IS38" s="605"/>
      <c r="IT38" s="605"/>
      <c r="IU38" s="605"/>
      <c r="IV38" s="605"/>
      <c r="IW38" s="605"/>
      <c r="IX38" s="605"/>
      <c r="IY38" s="605"/>
      <c r="IZ38" s="605"/>
      <c r="JA38" s="605"/>
      <c r="JB38" s="605"/>
      <c r="JC38" s="605"/>
      <c r="JD38" s="605"/>
      <c r="JE38" s="605"/>
      <c r="JF38" s="605"/>
      <c r="JG38" s="605"/>
      <c r="JH38" s="605"/>
      <c r="JI38" s="605"/>
      <c r="JJ38" s="605"/>
      <c r="JK38" s="605"/>
      <c r="JL38" s="605"/>
      <c r="JM38" s="605"/>
      <c r="JN38" s="605"/>
      <c r="JO38" s="605"/>
      <c r="JP38" s="605"/>
      <c r="JQ38" s="605"/>
      <c r="JR38" s="605"/>
      <c r="JS38" s="605"/>
      <c r="JT38" s="605"/>
      <c r="JU38" s="605"/>
      <c r="JV38" s="605"/>
      <c r="JW38" s="605"/>
      <c r="JX38" s="605"/>
      <c r="JY38" s="605"/>
      <c r="JZ38" s="605"/>
      <c r="KA38" s="605"/>
      <c r="KB38" s="605"/>
      <c r="KC38" s="605"/>
      <c r="KD38" s="605"/>
      <c r="KE38" s="605"/>
      <c r="KF38" s="605"/>
      <c r="KG38" s="605"/>
      <c r="KH38" s="605"/>
      <c r="KI38" s="605"/>
      <c r="KJ38" s="605"/>
      <c r="KK38" s="605"/>
      <c r="KL38" s="605"/>
      <c r="KM38" s="605"/>
      <c r="KN38" s="605"/>
      <c r="KO38" s="605"/>
      <c r="KP38" s="605"/>
      <c r="KQ38" s="605"/>
      <c r="KR38" s="605"/>
      <c r="KS38" s="605"/>
      <c r="KT38" s="605"/>
      <c r="KU38" s="605"/>
      <c r="KV38" s="605"/>
      <c r="KW38" s="605"/>
      <c r="KX38" s="605"/>
      <c r="KY38" s="605"/>
      <c r="KZ38" s="605"/>
      <c r="LA38" s="605"/>
      <c r="LB38" s="605"/>
      <c r="LC38" s="605"/>
      <c r="LD38" s="605"/>
      <c r="LE38" s="605"/>
      <c r="LF38" s="605"/>
      <c r="LG38" s="605"/>
      <c r="LH38" s="605"/>
      <c r="LI38" s="605"/>
      <c r="LJ38" s="605"/>
      <c r="LK38" s="605"/>
      <c r="LL38" s="605"/>
      <c r="LM38" s="605"/>
      <c r="LN38" s="605"/>
      <c r="LO38" s="605"/>
      <c r="LP38" s="605"/>
      <c r="LQ38" s="605"/>
      <c r="LR38" s="605"/>
      <c r="LS38" s="605"/>
      <c r="LT38" s="605"/>
      <c r="LU38" s="605"/>
      <c r="LV38" s="605"/>
      <c r="LW38" s="605"/>
      <c r="LX38" s="605"/>
      <c r="LY38" s="605"/>
      <c r="LZ38" s="605"/>
      <c r="MA38" s="605"/>
      <c r="MB38" s="605"/>
      <c r="MC38" s="605"/>
      <c r="MD38" s="605"/>
      <c r="ME38" s="605"/>
      <c r="MF38" s="605"/>
      <c r="MG38" s="605"/>
      <c r="MH38" s="605"/>
      <c r="MI38" s="605"/>
      <c r="MJ38" s="605"/>
      <c r="MK38" s="605"/>
      <c r="ML38" s="605"/>
      <c r="MM38" s="605"/>
      <c r="MN38" s="605"/>
      <c r="MO38" s="605"/>
      <c r="MP38" s="605"/>
      <c r="MQ38" s="605"/>
      <c r="MR38" s="605"/>
      <c r="MS38" s="605"/>
      <c r="MT38" s="605"/>
      <c r="MU38" s="605"/>
      <c r="MV38" s="605"/>
      <c r="MW38" s="605"/>
      <c r="MX38" s="605"/>
      <c r="MY38" s="605"/>
      <c r="MZ38" s="605"/>
      <c r="NA38" s="605"/>
      <c r="NB38" s="605"/>
      <c r="NC38" s="605"/>
      <c r="ND38" s="605"/>
      <c r="NE38" s="605"/>
      <c r="NF38" s="605"/>
      <c r="NG38" s="605"/>
      <c r="NH38" s="605"/>
      <c r="NI38" s="605"/>
      <c r="NJ38" s="605"/>
      <c r="NK38" s="605"/>
      <c r="NL38" s="605"/>
      <c r="NM38" s="605"/>
      <c r="NN38" s="605"/>
      <c r="NO38" s="605"/>
      <c r="NP38" s="605"/>
      <c r="NQ38" s="605"/>
      <c r="NR38" s="605"/>
      <c r="NS38" s="605"/>
      <c r="NT38" s="605"/>
      <c r="NU38" s="605"/>
      <c r="NV38" s="605"/>
      <c r="NW38" s="605"/>
      <c r="NX38" s="605"/>
      <c r="NY38" s="605"/>
      <c r="NZ38" s="605"/>
      <c r="OA38" s="605"/>
      <c r="OB38" s="605"/>
      <c r="OC38" s="605"/>
      <c r="OD38" s="605"/>
      <c r="OE38" s="605"/>
      <c r="OF38" s="605"/>
      <c r="OG38" s="605"/>
      <c r="OH38" s="605"/>
      <c r="OI38" s="605"/>
      <c r="OJ38" s="605"/>
      <c r="OK38" s="605"/>
      <c r="OL38" s="605"/>
      <c r="OM38" s="605"/>
      <c r="ON38" s="605"/>
      <c r="OO38" s="605"/>
      <c r="OP38" s="605"/>
      <c r="OQ38" s="605"/>
      <c r="OR38" s="605"/>
      <c r="OS38" s="605"/>
      <c r="OT38" s="605"/>
      <c r="OU38" s="605"/>
      <c r="OV38" s="605"/>
      <c r="OW38" s="605"/>
      <c r="OX38" s="605"/>
      <c r="OY38" s="605"/>
      <c r="OZ38" s="605"/>
      <c r="PA38" s="605"/>
      <c r="PB38" s="605"/>
      <c r="PC38" s="605"/>
      <c r="PD38" s="605"/>
      <c r="PE38" s="605"/>
      <c r="PF38" s="605"/>
      <c r="PG38" s="605"/>
      <c r="PH38" s="605"/>
      <c r="PI38" s="605"/>
      <c r="PJ38" s="605"/>
      <c r="PK38" s="605"/>
      <c r="PL38" s="605"/>
      <c r="PM38" s="605"/>
      <c r="PN38" s="605"/>
      <c r="PO38" s="605"/>
      <c r="PP38" s="605"/>
      <c r="PQ38" s="605"/>
      <c r="PR38" s="605"/>
      <c r="PS38" s="605"/>
      <c r="PT38" s="605"/>
      <c r="PU38" s="605"/>
      <c r="PV38" s="605"/>
      <c r="PW38" s="605"/>
      <c r="PX38" s="605"/>
      <c r="PY38" s="605"/>
      <c r="PZ38" s="605"/>
      <c r="QA38" s="605"/>
      <c r="QB38" s="605"/>
      <c r="QC38" s="605"/>
      <c r="QD38" s="605"/>
      <c r="QE38" s="605"/>
      <c r="QF38" s="605"/>
      <c r="QG38" s="605"/>
      <c r="QH38" s="605"/>
      <c r="QI38" s="605"/>
      <c r="QJ38" s="605"/>
      <c r="QK38" s="605"/>
      <c r="QL38" s="605"/>
      <c r="QM38" s="605"/>
      <c r="QN38" s="605"/>
      <c r="QO38" s="605"/>
      <c r="QP38" s="605"/>
      <c r="QQ38" s="605"/>
      <c r="QR38" s="605"/>
      <c r="QS38" s="605"/>
      <c r="QT38" s="605"/>
      <c r="QU38" s="605"/>
      <c r="QV38" s="605"/>
      <c r="QW38" s="605"/>
      <c r="QX38" s="605"/>
      <c r="QY38" s="605"/>
      <c r="QZ38" s="605"/>
      <c r="RA38" s="605"/>
      <c r="RB38" s="605"/>
      <c r="RC38" s="605"/>
      <c r="RD38" s="605"/>
      <c r="RE38" s="605"/>
      <c r="RF38" s="605"/>
      <c r="RG38" s="605"/>
      <c r="RH38" s="605"/>
    </row>
    <row r="39" spans="2:476" s="526" customFormat="1" ht="19.5" customHeight="1">
      <c r="B39" s="558"/>
      <c r="C39" s="547">
        <v>16</v>
      </c>
      <c r="D39" s="548">
        <v>0</v>
      </c>
      <c r="E39" s="548">
        <v>2</v>
      </c>
      <c r="F39" s="549">
        <f t="shared" si="4"/>
        <v>12.3333333324408</v>
      </c>
      <c r="G39" s="570"/>
      <c r="H39" s="551"/>
      <c r="I39" s="551"/>
      <c r="J39" s="569">
        <v>0.99999999994179201</v>
      </c>
      <c r="K39" s="551"/>
      <c r="L39" s="586"/>
      <c r="M39" s="551"/>
      <c r="N39" s="569">
        <v>0.25000000011641499</v>
      </c>
      <c r="O39" s="572">
        <v>0.41666666750097597</v>
      </c>
      <c r="P39" s="551"/>
      <c r="Q39" s="551"/>
      <c r="R39" s="551"/>
      <c r="S39" s="551"/>
      <c r="T39" s="551"/>
      <c r="U39" s="551"/>
      <c r="V39" s="551"/>
      <c r="W39" s="551"/>
      <c r="X39" s="572"/>
      <c r="Y39" s="614">
        <v>2</v>
      </c>
      <c r="Z39" s="607">
        <f t="shared" si="5"/>
        <v>0</v>
      </c>
      <c r="AA39" s="607">
        <f t="shared" si="6"/>
        <v>1.6666666675591799</v>
      </c>
      <c r="AB39" s="608">
        <f t="shared" si="7"/>
        <v>1</v>
      </c>
      <c r="AC39" s="616"/>
      <c r="AD39" s="605"/>
      <c r="AE39" s="605"/>
      <c r="AF39" s="605"/>
      <c r="AG39" s="605"/>
      <c r="AH39" s="605"/>
      <c r="AI39" s="605"/>
      <c r="AJ39" s="605"/>
      <c r="AK39" s="605"/>
      <c r="AL39" s="605"/>
      <c r="AM39" s="605"/>
      <c r="AN39" s="605"/>
      <c r="AO39" s="605"/>
      <c r="AP39" s="605"/>
      <c r="AQ39" s="605"/>
      <c r="AR39" s="605"/>
      <c r="AS39" s="605"/>
      <c r="AT39" s="605"/>
      <c r="AU39" s="605"/>
      <c r="AV39" s="605"/>
      <c r="AW39" s="605"/>
      <c r="AX39" s="605"/>
      <c r="AY39" s="605"/>
      <c r="AZ39" s="605"/>
      <c r="BA39" s="605"/>
      <c r="BB39" s="605"/>
      <c r="BC39" s="605"/>
      <c r="BD39" s="605"/>
      <c r="BE39" s="605"/>
      <c r="BF39" s="605"/>
      <c r="BG39" s="605"/>
      <c r="BH39" s="605"/>
      <c r="BI39" s="605"/>
      <c r="BJ39" s="605"/>
      <c r="BK39" s="605"/>
      <c r="BL39" s="605"/>
      <c r="BM39" s="605"/>
      <c r="BN39" s="605"/>
      <c r="BO39" s="605"/>
      <c r="BP39" s="605"/>
      <c r="BQ39" s="605"/>
      <c r="BR39" s="605"/>
      <c r="BS39" s="605"/>
      <c r="BT39" s="605"/>
      <c r="BU39" s="605"/>
      <c r="BV39" s="605"/>
      <c r="BW39" s="605"/>
      <c r="BX39" s="605"/>
      <c r="BY39" s="605"/>
      <c r="BZ39" s="605"/>
      <c r="CA39" s="605"/>
      <c r="CB39" s="605"/>
      <c r="CC39" s="605"/>
      <c r="CD39" s="605"/>
      <c r="CE39" s="605"/>
      <c r="CF39" s="605"/>
      <c r="CG39" s="605"/>
      <c r="CH39" s="605"/>
      <c r="CI39" s="605"/>
      <c r="CJ39" s="605"/>
      <c r="CK39" s="605"/>
      <c r="CL39" s="605"/>
      <c r="CM39" s="605"/>
      <c r="CN39" s="605"/>
      <c r="CO39" s="605"/>
      <c r="CP39" s="605"/>
      <c r="CQ39" s="605"/>
      <c r="CR39" s="605"/>
      <c r="CS39" s="605"/>
      <c r="CT39" s="605"/>
      <c r="CU39" s="605"/>
      <c r="CV39" s="605"/>
      <c r="CW39" s="605"/>
      <c r="CX39" s="605"/>
      <c r="CY39" s="605"/>
      <c r="CZ39" s="605"/>
      <c r="DA39" s="605"/>
      <c r="DB39" s="605"/>
      <c r="DC39" s="605"/>
      <c r="DD39" s="605"/>
      <c r="DE39" s="605"/>
      <c r="DF39" s="605"/>
      <c r="DG39" s="605"/>
      <c r="DH39" s="605"/>
      <c r="DI39" s="605"/>
      <c r="DJ39" s="605"/>
      <c r="DK39" s="605"/>
      <c r="DL39" s="605"/>
      <c r="DM39" s="605"/>
      <c r="DN39" s="605"/>
      <c r="DO39" s="605"/>
      <c r="DP39" s="605"/>
      <c r="DQ39" s="605"/>
      <c r="DR39" s="605"/>
      <c r="DS39" s="605"/>
      <c r="DT39" s="605"/>
      <c r="DU39" s="605"/>
      <c r="DV39" s="605"/>
      <c r="DW39" s="605"/>
      <c r="DX39" s="605"/>
      <c r="DY39" s="605"/>
      <c r="DZ39" s="605"/>
      <c r="EA39" s="605"/>
      <c r="EB39" s="605"/>
      <c r="EC39" s="605"/>
      <c r="ED39" s="605"/>
      <c r="EE39" s="605"/>
      <c r="EF39" s="605"/>
      <c r="EG39" s="605"/>
      <c r="EH39" s="605"/>
      <c r="EI39" s="605"/>
      <c r="EJ39" s="605"/>
      <c r="EK39" s="605"/>
      <c r="EL39" s="605"/>
      <c r="EM39" s="605"/>
      <c r="EN39" s="605"/>
      <c r="EO39" s="605"/>
      <c r="EP39" s="605"/>
      <c r="EQ39" s="605"/>
      <c r="ER39" s="605"/>
      <c r="ES39" s="605"/>
      <c r="ET39" s="605"/>
      <c r="EU39" s="605"/>
      <c r="EV39" s="605"/>
      <c r="EW39" s="605"/>
      <c r="EX39" s="605"/>
      <c r="EY39" s="605"/>
      <c r="EZ39" s="605"/>
      <c r="FA39" s="605"/>
      <c r="FB39" s="605"/>
      <c r="FC39" s="605"/>
      <c r="FD39" s="605"/>
      <c r="FE39" s="605"/>
      <c r="FF39" s="605"/>
      <c r="FG39" s="605"/>
      <c r="FH39" s="605"/>
      <c r="FI39" s="605"/>
      <c r="FJ39" s="605"/>
      <c r="FK39" s="605"/>
      <c r="FL39" s="605"/>
      <c r="FM39" s="605"/>
      <c r="FN39" s="605"/>
      <c r="FO39" s="605"/>
      <c r="FP39" s="605"/>
      <c r="FQ39" s="605"/>
      <c r="FR39" s="605"/>
      <c r="FS39" s="605"/>
      <c r="FT39" s="605"/>
      <c r="FU39" s="605"/>
      <c r="FV39" s="605"/>
      <c r="FW39" s="605"/>
      <c r="FX39" s="605"/>
      <c r="FY39" s="605"/>
      <c r="FZ39" s="605"/>
      <c r="GA39" s="605"/>
      <c r="GB39" s="605"/>
      <c r="GC39" s="605"/>
      <c r="GD39" s="605"/>
      <c r="GE39" s="605"/>
      <c r="GF39" s="605"/>
      <c r="GG39" s="605"/>
      <c r="GH39" s="605"/>
      <c r="GI39" s="605"/>
      <c r="GJ39" s="605"/>
      <c r="GK39" s="605"/>
      <c r="GL39" s="605"/>
      <c r="GM39" s="605"/>
      <c r="GN39" s="605"/>
      <c r="GO39" s="605"/>
      <c r="GP39" s="605"/>
      <c r="GQ39" s="605"/>
      <c r="GR39" s="605"/>
      <c r="GS39" s="605"/>
      <c r="GT39" s="605"/>
      <c r="GU39" s="605"/>
      <c r="GV39" s="605"/>
      <c r="GW39" s="605"/>
      <c r="GX39" s="605"/>
      <c r="GY39" s="605"/>
      <c r="GZ39" s="605"/>
      <c r="HA39" s="605"/>
      <c r="HB39" s="605"/>
      <c r="HC39" s="605"/>
      <c r="HD39" s="605"/>
      <c r="HE39" s="605"/>
      <c r="HF39" s="605"/>
      <c r="HG39" s="605"/>
      <c r="HH39" s="605"/>
      <c r="HI39" s="605"/>
      <c r="HJ39" s="605"/>
      <c r="HK39" s="605"/>
      <c r="HL39" s="605"/>
      <c r="HM39" s="605"/>
      <c r="HN39" s="605"/>
      <c r="HO39" s="605"/>
      <c r="HP39" s="605"/>
      <c r="HQ39" s="605"/>
      <c r="HR39" s="605"/>
      <c r="HS39" s="605"/>
      <c r="HT39" s="605"/>
      <c r="HU39" s="605"/>
      <c r="HV39" s="605"/>
      <c r="HW39" s="605"/>
      <c r="HX39" s="605"/>
      <c r="HY39" s="605"/>
      <c r="HZ39" s="605"/>
      <c r="IA39" s="605"/>
      <c r="IB39" s="605"/>
      <c r="IC39" s="605"/>
      <c r="ID39" s="605"/>
      <c r="IE39" s="605"/>
      <c r="IF39" s="605"/>
      <c r="IG39" s="605"/>
      <c r="IH39" s="605"/>
      <c r="II39" s="605"/>
      <c r="IJ39" s="605"/>
      <c r="IK39" s="605"/>
      <c r="IL39" s="605"/>
      <c r="IM39" s="605"/>
      <c r="IN39" s="605"/>
      <c r="IO39" s="605"/>
      <c r="IP39" s="605"/>
      <c r="IQ39" s="605"/>
      <c r="IR39" s="605"/>
      <c r="IS39" s="605"/>
      <c r="IT39" s="605"/>
      <c r="IU39" s="605"/>
      <c r="IV39" s="605"/>
      <c r="IW39" s="605"/>
      <c r="IX39" s="605"/>
      <c r="IY39" s="605"/>
      <c r="IZ39" s="605"/>
      <c r="JA39" s="605"/>
      <c r="JB39" s="605"/>
      <c r="JC39" s="605"/>
      <c r="JD39" s="605"/>
      <c r="JE39" s="605"/>
      <c r="JF39" s="605"/>
      <c r="JG39" s="605"/>
      <c r="JH39" s="605"/>
      <c r="JI39" s="605"/>
      <c r="JJ39" s="605"/>
      <c r="JK39" s="605"/>
      <c r="JL39" s="605"/>
      <c r="JM39" s="605"/>
      <c r="JN39" s="605"/>
      <c r="JO39" s="605"/>
      <c r="JP39" s="605"/>
      <c r="JQ39" s="605"/>
      <c r="JR39" s="605"/>
      <c r="JS39" s="605"/>
      <c r="JT39" s="605"/>
      <c r="JU39" s="605"/>
      <c r="JV39" s="605"/>
      <c r="JW39" s="605"/>
      <c r="JX39" s="605"/>
      <c r="JY39" s="605"/>
      <c r="JZ39" s="605"/>
      <c r="KA39" s="605"/>
      <c r="KB39" s="605"/>
      <c r="KC39" s="605"/>
      <c r="KD39" s="605"/>
      <c r="KE39" s="605"/>
      <c r="KF39" s="605"/>
      <c r="KG39" s="605"/>
      <c r="KH39" s="605"/>
      <c r="KI39" s="605"/>
      <c r="KJ39" s="605"/>
      <c r="KK39" s="605"/>
      <c r="KL39" s="605"/>
      <c r="KM39" s="605"/>
      <c r="KN39" s="605"/>
      <c r="KO39" s="605"/>
      <c r="KP39" s="605"/>
      <c r="KQ39" s="605"/>
      <c r="KR39" s="605"/>
      <c r="KS39" s="605"/>
      <c r="KT39" s="605"/>
      <c r="KU39" s="605"/>
      <c r="KV39" s="605"/>
      <c r="KW39" s="605"/>
      <c r="KX39" s="605"/>
      <c r="KY39" s="605"/>
      <c r="KZ39" s="605"/>
      <c r="LA39" s="605"/>
      <c r="LB39" s="605"/>
      <c r="LC39" s="605"/>
      <c r="LD39" s="605"/>
      <c r="LE39" s="605"/>
      <c r="LF39" s="605"/>
      <c r="LG39" s="605"/>
      <c r="LH39" s="605"/>
      <c r="LI39" s="605"/>
      <c r="LJ39" s="605"/>
      <c r="LK39" s="605"/>
      <c r="LL39" s="605"/>
      <c r="LM39" s="605"/>
      <c r="LN39" s="605"/>
      <c r="LO39" s="605"/>
      <c r="LP39" s="605"/>
      <c r="LQ39" s="605"/>
      <c r="LR39" s="605"/>
      <c r="LS39" s="605"/>
      <c r="LT39" s="605"/>
      <c r="LU39" s="605"/>
      <c r="LV39" s="605"/>
      <c r="LW39" s="605"/>
      <c r="LX39" s="605"/>
      <c r="LY39" s="605"/>
      <c r="LZ39" s="605"/>
      <c r="MA39" s="605"/>
      <c r="MB39" s="605"/>
      <c r="MC39" s="605"/>
      <c r="MD39" s="605"/>
      <c r="ME39" s="605"/>
      <c r="MF39" s="605"/>
      <c r="MG39" s="605"/>
      <c r="MH39" s="605"/>
      <c r="MI39" s="605"/>
      <c r="MJ39" s="605"/>
      <c r="MK39" s="605"/>
      <c r="ML39" s="605"/>
      <c r="MM39" s="605"/>
      <c r="MN39" s="605"/>
      <c r="MO39" s="605"/>
      <c r="MP39" s="605"/>
      <c r="MQ39" s="605"/>
      <c r="MR39" s="605"/>
      <c r="MS39" s="605"/>
      <c r="MT39" s="605"/>
      <c r="MU39" s="605"/>
      <c r="MV39" s="605"/>
      <c r="MW39" s="605"/>
      <c r="MX39" s="605"/>
      <c r="MY39" s="605"/>
      <c r="MZ39" s="605"/>
      <c r="NA39" s="605"/>
      <c r="NB39" s="605"/>
      <c r="NC39" s="605"/>
      <c r="ND39" s="605"/>
      <c r="NE39" s="605"/>
      <c r="NF39" s="605"/>
      <c r="NG39" s="605"/>
      <c r="NH39" s="605"/>
      <c r="NI39" s="605"/>
      <c r="NJ39" s="605"/>
      <c r="NK39" s="605"/>
      <c r="NL39" s="605"/>
      <c r="NM39" s="605"/>
      <c r="NN39" s="605"/>
      <c r="NO39" s="605"/>
      <c r="NP39" s="605"/>
      <c r="NQ39" s="605"/>
      <c r="NR39" s="605"/>
      <c r="NS39" s="605"/>
      <c r="NT39" s="605"/>
      <c r="NU39" s="605"/>
      <c r="NV39" s="605"/>
      <c r="NW39" s="605"/>
      <c r="NX39" s="605"/>
      <c r="NY39" s="605"/>
      <c r="NZ39" s="605"/>
      <c r="OA39" s="605"/>
      <c r="OB39" s="605"/>
      <c r="OC39" s="605"/>
      <c r="OD39" s="605"/>
      <c r="OE39" s="605"/>
      <c r="OF39" s="605"/>
      <c r="OG39" s="605"/>
      <c r="OH39" s="605"/>
      <c r="OI39" s="605"/>
      <c r="OJ39" s="605"/>
      <c r="OK39" s="605"/>
      <c r="OL39" s="605"/>
      <c r="OM39" s="605"/>
      <c r="ON39" s="605"/>
      <c r="OO39" s="605"/>
      <c r="OP39" s="605"/>
      <c r="OQ39" s="605"/>
      <c r="OR39" s="605"/>
      <c r="OS39" s="605"/>
      <c r="OT39" s="605"/>
      <c r="OU39" s="605"/>
      <c r="OV39" s="605"/>
      <c r="OW39" s="605"/>
      <c r="OX39" s="605"/>
      <c r="OY39" s="605"/>
      <c r="OZ39" s="605"/>
      <c r="PA39" s="605"/>
      <c r="PB39" s="605"/>
      <c r="PC39" s="605"/>
      <c r="PD39" s="605"/>
      <c r="PE39" s="605"/>
      <c r="PF39" s="605"/>
      <c r="PG39" s="605"/>
      <c r="PH39" s="605"/>
      <c r="PI39" s="605"/>
      <c r="PJ39" s="605"/>
      <c r="PK39" s="605"/>
      <c r="PL39" s="605"/>
      <c r="PM39" s="605"/>
      <c r="PN39" s="605"/>
      <c r="PO39" s="605"/>
      <c r="PP39" s="605"/>
      <c r="PQ39" s="605"/>
      <c r="PR39" s="605"/>
      <c r="PS39" s="605"/>
      <c r="PT39" s="605"/>
      <c r="PU39" s="605"/>
      <c r="PV39" s="605"/>
      <c r="PW39" s="605"/>
      <c r="PX39" s="605"/>
      <c r="PY39" s="605"/>
      <c r="PZ39" s="605"/>
      <c r="QA39" s="605"/>
      <c r="QB39" s="605"/>
      <c r="QC39" s="605"/>
      <c r="QD39" s="605"/>
      <c r="QE39" s="605"/>
      <c r="QF39" s="605"/>
      <c r="QG39" s="605"/>
      <c r="QH39" s="605"/>
      <c r="QI39" s="605"/>
      <c r="QJ39" s="605"/>
      <c r="QK39" s="605"/>
      <c r="QL39" s="605"/>
      <c r="QM39" s="605"/>
      <c r="QN39" s="605"/>
      <c r="QO39" s="605"/>
      <c r="QP39" s="605"/>
      <c r="QQ39" s="605"/>
      <c r="QR39" s="605"/>
      <c r="QS39" s="605"/>
      <c r="QT39" s="605"/>
      <c r="QU39" s="605"/>
      <c r="QV39" s="605"/>
      <c r="QW39" s="605"/>
      <c r="QX39" s="605"/>
      <c r="QY39" s="605"/>
      <c r="QZ39" s="605"/>
      <c r="RA39" s="605"/>
      <c r="RB39" s="605"/>
      <c r="RC39" s="605"/>
      <c r="RD39" s="605"/>
      <c r="RE39" s="605"/>
      <c r="RF39" s="605"/>
      <c r="RG39" s="605"/>
      <c r="RH39" s="605"/>
    </row>
    <row r="40" spans="2:476" ht="20.100000000000001" customHeight="1">
      <c r="B40" s="552">
        <v>45826</v>
      </c>
      <c r="C40" s="553">
        <v>16</v>
      </c>
      <c r="D40" s="554">
        <v>0</v>
      </c>
      <c r="E40" s="554">
        <v>2</v>
      </c>
      <c r="F40" s="555">
        <f t="shared" si="4"/>
        <v>-5.82005554861098E-11</v>
      </c>
      <c r="G40" s="556"/>
      <c r="H40" s="573"/>
      <c r="I40" s="591"/>
      <c r="J40" s="576">
        <v>14.000000000058201</v>
      </c>
      <c r="K40" s="573"/>
      <c r="L40" s="596"/>
      <c r="M40" s="576"/>
      <c r="N40" s="576"/>
      <c r="O40" s="557"/>
      <c r="P40" s="557"/>
      <c r="Q40" s="557"/>
      <c r="R40" s="557"/>
      <c r="S40" s="557"/>
      <c r="T40" s="557"/>
      <c r="U40" s="557"/>
      <c r="V40" s="557"/>
      <c r="W40" s="557"/>
      <c r="X40" s="576"/>
      <c r="Y40" s="613">
        <v>1</v>
      </c>
      <c r="Z40" s="607">
        <f t="shared" si="5"/>
        <v>0</v>
      </c>
      <c r="AA40" s="607">
        <f t="shared" si="6"/>
        <v>14.000000000058201</v>
      </c>
      <c r="AB40" s="608">
        <f t="shared" si="7"/>
        <v>1</v>
      </c>
      <c r="AC40" s="617" t="s">
        <v>53</v>
      </c>
      <c r="AD40" s="605"/>
      <c r="AE40" s="605"/>
      <c r="AF40" s="605"/>
      <c r="AG40" s="605"/>
      <c r="AH40" s="605"/>
      <c r="AI40" s="605"/>
      <c r="AJ40" s="605"/>
      <c r="AK40" s="605"/>
      <c r="AL40" s="605"/>
      <c r="AM40" s="605"/>
      <c r="AN40" s="605"/>
      <c r="AO40" s="605"/>
      <c r="AP40" s="605"/>
      <c r="AQ40" s="605"/>
      <c r="AR40" s="605"/>
      <c r="AS40" s="605"/>
      <c r="AT40" s="605"/>
      <c r="AU40" s="605"/>
      <c r="AV40" s="605"/>
      <c r="AW40" s="605"/>
      <c r="AX40" s="605"/>
      <c r="AY40" s="605"/>
      <c r="AZ40" s="605"/>
      <c r="BA40" s="605"/>
      <c r="BB40" s="605"/>
      <c r="BC40" s="605"/>
      <c r="BD40" s="605"/>
      <c r="BE40" s="605"/>
      <c r="BF40" s="605"/>
      <c r="BG40" s="605"/>
      <c r="BH40" s="605"/>
      <c r="BI40" s="605"/>
      <c r="BJ40" s="605"/>
      <c r="BK40" s="605"/>
      <c r="BL40" s="605"/>
      <c r="BM40" s="605"/>
      <c r="BN40" s="605"/>
      <c r="BO40" s="605"/>
      <c r="BP40" s="605"/>
      <c r="BQ40" s="605"/>
      <c r="BR40" s="605"/>
      <c r="BS40" s="605"/>
      <c r="BT40" s="605"/>
      <c r="BU40" s="605"/>
      <c r="BV40" s="605"/>
      <c r="BW40" s="605"/>
      <c r="BX40" s="605"/>
      <c r="BY40" s="605"/>
      <c r="BZ40" s="605"/>
      <c r="CA40" s="605"/>
      <c r="CB40" s="605"/>
      <c r="CC40" s="605"/>
      <c r="CD40" s="605"/>
      <c r="CE40" s="605"/>
      <c r="CF40" s="605"/>
      <c r="CG40" s="605"/>
      <c r="CH40" s="605"/>
      <c r="CI40" s="605"/>
      <c r="CJ40" s="605"/>
      <c r="CK40" s="605"/>
      <c r="CL40" s="605"/>
      <c r="CM40" s="605"/>
      <c r="CN40" s="605"/>
      <c r="CO40" s="605"/>
      <c r="CP40" s="605"/>
      <c r="CQ40" s="605"/>
      <c r="CR40" s="605"/>
      <c r="CS40" s="605"/>
      <c r="CT40" s="605"/>
      <c r="CU40" s="605"/>
      <c r="CV40" s="605"/>
      <c r="CW40" s="605"/>
      <c r="CX40" s="605"/>
      <c r="CY40" s="605"/>
      <c r="CZ40" s="605"/>
      <c r="DA40" s="605"/>
      <c r="DB40" s="605"/>
      <c r="DC40" s="605"/>
      <c r="DD40" s="605"/>
      <c r="DE40" s="605"/>
      <c r="DF40" s="605"/>
      <c r="DG40" s="605"/>
      <c r="DH40" s="605"/>
      <c r="DI40" s="605"/>
      <c r="DJ40" s="605"/>
      <c r="DK40" s="605"/>
      <c r="DL40" s="605"/>
      <c r="DM40" s="605"/>
      <c r="DN40" s="605"/>
      <c r="DO40" s="605"/>
      <c r="DP40" s="605"/>
      <c r="DQ40" s="605"/>
      <c r="DR40" s="605"/>
      <c r="DS40" s="605"/>
      <c r="DT40" s="605"/>
      <c r="DU40" s="605"/>
      <c r="DV40" s="605"/>
      <c r="DW40" s="605"/>
      <c r="DX40" s="605"/>
      <c r="DY40" s="605"/>
      <c r="DZ40" s="605"/>
      <c r="EA40" s="605"/>
      <c r="EB40" s="605"/>
      <c r="EC40" s="605"/>
      <c r="ED40" s="605"/>
      <c r="EE40" s="605"/>
      <c r="EF40" s="605"/>
      <c r="EG40" s="605"/>
      <c r="EH40" s="605"/>
      <c r="EI40" s="605"/>
      <c r="EJ40" s="605"/>
      <c r="EK40" s="605"/>
      <c r="EL40" s="605"/>
      <c r="EM40" s="605"/>
      <c r="EN40" s="605"/>
      <c r="EO40" s="605"/>
      <c r="EP40" s="605"/>
      <c r="EQ40" s="605"/>
      <c r="ER40" s="605"/>
      <c r="ES40" s="605"/>
      <c r="ET40" s="605"/>
      <c r="EU40" s="605"/>
      <c r="EV40" s="605"/>
      <c r="EW40" s="605"/>
      <c r="EX40" s="605"/>
      <c r="EY40" s="605"/>
      <c r="EZ40" s="605"/>
      <c r="FA40" s="605"/>
      <c r="FB40" s="605"/>
      <c r="FC40" s="605"/>
      <c r="FD40" s="605"/>
      <c r="FE40" s="605"/>
      <c r="FF40" s="605"/>
      <c r="FG40" s="605"/>
      <c r="FH40" s="605"/>
      <c r="FI40" s="605"/>
      <c r="FJ40" s="605"/>
      <c r="FK40" s="605"/>
      <c r="FL40" s="605"/>
      <c r="FM40" s="605"/>
      <c r="FN40" s="605"/>
      <c r="FO40" s="605"/>
      <c r="FP40" s="605"/>
      <c r="FQ40" s="605"/>
      <c r="FR40" s="605"/>
      <c r="FS40" s="605"/>
      <c r="FT40" s="605"/>
      <c r="FU40" s="605"/>
      <c r="FV40" s="605"/>
      <c r="FW40" s="605"/>
      <c r="FX40" s="605"/>
      <c r="FY40" s="605"/>
      <c r="FZ40" s="605"/>
      <c r="GA40" s="605"/>
      <c r="GB40" s="605"/>
      <c r="GC40" s="605"/>
      <c r="GD40" s="605"/>
      <c r="GE40" s="605"/>
      <c r="GF40" s="605"/>
      <c r="GG40" s="605"/>
      <c r="GH40" s="605"/>
      <c r="GI40" s="605"/>
      <c r="GJ40" s="605"/>
      <c r="GK40" s="605"/>
      <c r="GL40" s="605"/>
      <c r="GM40" s="605"/>
      <c r="GN40" s="605"/>
      <c r="GO40" s="605"/>
      <c r="GP40" s="605"/>
      <c r="GQ40" s="605"/>
      <c r="GR40" s="605"/>
      <c r="GS40" s="605"/>
      <c r="GT40" s="605"/>
      <c r="GU40" s="605"/>
      <c r="GV40" s="605"/>
      <c r="GW40" s="605"/>
      <c r="GX40" s="605"/>
      <c r="GY40" s="605"/>
      <c r="GZ40" s="605"/>
      <c r="HA40" s="605"/>
      <c r="HB40" s="605"/>
      <c r="HC40" s="605"/>
      <c r="HD40" s="605"/>
      <c r="HE40" s="605"/>
      <c r="HF40" s="605"/>
      <c r="HG40" s="605"/>
      <c r="HH40" s="605"/>
      <c r="HI40" s="605"/>
      <c r="HJ40" s="605"/>
      <c r="HK40" s="605"/>
      <c r="HL40" s="605"/>
      <c r="HM40" s="605"/>
      <c r="HN40" s="605"/>
      <c r="HO40" s="605"/>
      <c r="HP40" s="605"/>
      <c r="HQ40" s="605"/>
      <c r="HR40" s="605"/>
      <c r="HS40" s="605"/>
      <c r="HT40" s="605"/>
      <c r="HU40" s="605"/>
      <c r="HV40" s="605"/>
      <c r="HW40" s="605"/>
      <c r="HX40" s="605"/>
      <c r="HY40" s="605"/>
      <c r="HZ40" s="605"/>
      <c r="IA40" s="605"/>
      <c r="IB40" s="605"/>
      <c r="IC40" s="605"/>
      <c r="ID40" s="605"/>
      <c r="IE40" s="605"/>
      <c r="IF40" s="605"/>
      <c r="IG40" s="605"/>
      <c r="IH40" s="605"/>
      <c r="II40" s="605"/>
      <c r="IJ40" s="605"/>
      <c r="IK40" s="605"/>
      <c r="IL40" s="605"/>
      <c r="IM40" s="605"/>
      <c r="IN40" s="605"/>
      <c r="IO40" s="605"/>
      <c r="IP40" s="605"/>
      <c r="IQ40" s="605"/>
      <c r="IR40" s="605"/>
      <c r="IS40" s="605"/>
      <c r="IT40" s="605"/>
      <c r="IU40" s="605"/>
      <c r="IV40" s="605"/>
      <c r="IW40" s="605"/>
      <c r="IX40" s="605"/>
      <c r="IY40" s="605"/>
      <c r="IZ40" s="605"/>
      <c r="JA40" s="605"/>
      <c r="JB40" s="605"/>
      <c r="JC40" s="605"/>
      <c r="JD40" s="605"/>
      <c r="JE40" s="605"/>
      <c r="JF40" s="605"/>
      <c r="JG40" s="605"/>
      <c r="JH40" s="605"/>
      <c r="JI40" s="605"/>
      <c r="JJ40" s="605"/>
      <c r="JK40" s="605"/>
      <c r="JL40" s="605"/>
      <c r="JM40" s="605"/>
      <c r="JN40" s="605"/>
      <c r="JO40" s="605"/>
      <c r="JP40" s="605"/>
      <c r="JQ40" s="605"/>
      <c r="JR40" s="605"/>
      <c r="JS40" s="605"/>
      <c r="JT40" s="605"/>
      <c r="JU40" s="605"/>
      <c r="JV40" s="605"/>
      <c r="JW40" s="605"/>
      <c r="JX40" s="605"/>
      <c r="JY40" s="605"/>
      <c r="JZ40" s="605"/>
      <c r="KA40" s="605"/>
      <c r="KB40" s="605"/>
      <c r="KC40" s="605"/>
      <c r="KD40" s="605"/>
      <c r="KE40" s="605"/>
      <c r="KF40" s="605"/>
      <c r="KG40" s="605"/>
      <c r="KH40" s="605"/>
      <c r="KI40" s="605"/>
      <c r="KJ40" s="605"/>
      <c r="KK40" s="605"/>
      <c r="KL40" s="605"/>
      <c r="KM40" s="605"/>
      <c r="KN40" s="605"/>
      <c r="KO40" s="605"/>
      <c r="KP40" s="605"/>
      <c r="KQ40" s="605"/>
      <c r="KR40" s="605"/>
      <c r="KS40" s="605"/>
      <c r="KT40" s="605"/>
      <c r="KU40" s="605"/>
      <c r="KV40" s="605"/>
      <c r="KW40" s="605"/>
      <c r="KX40" s="605"/>
      <c r="KY40" s="605"/>
      <c r="KZ40" s="605"/>
      <c r="LA40" s="605"/>
      <c r="LB40" s="605"/>
      <c r="LC40" s="605"/>
      <c r="LD40" s="605"/>
      <c r="LE40" s="605"/>
      <c r="LF40" s="605"/>
      <c r="LG40" s="605"/>
      <c r="LH40" s="605"/>
      <c r="LI40" s="605"/>
      <c r="LJ40" s="605"/>
      <c r="LK40" s="605"/>
      <c r="LL40" s="605"/>
      <c r="LM40" s="605"/>
      <c r="LN40" s="605"/>
      <c r="LO40" s="605"/>
      <c r="LP40" s="605"/>
      <c r="LQ40" s="605"/>
      <c r="LR40" s="605"/>
      <c r="LS40" s="605"/>
      <c r="LT40" s="605"/>
      <c r="LU40" s="605"/>
      <c r="LV40" s="605"/>
      <c r="LW40" s="605"/>
      <c r="LX40" s="605"/>
      <c r="LY40" s="605"/>
      <c r="LZ40" s="605"/>
      <c r="MA40" s="605"/>
      <c r="MB40" s="605"/>
      <c r="MC40" s="605"/>
      <c r="MD40" s="605"/>
      <c r="ME40" s="605"/>
      <c r="MF40" s="605"/>
      <c r="MG40" s="605"/>
      <c r="MH40" s="605"/>
      <c r="MI40" s="605"/>
      <c r="MJ40" s="605"/>
      <c r="MK40" s="605"/>
      <c r="ML40" s="605"/>
      <c r="MM40" s="605"/>
      <c r="MN40" s="605"/>
      <c r="MO40" s="605"/>
      <c r="MP40" s="605"/>
      <c r="MQ40" s="605"/>
      <c r="MR40" s="605"/>
      <c r="MS40" s="605"/>
      <c r="MT40" s="605"/>
      <c r="MU40" s="605"/>
      <c r="MV40" s="605"/>
      <c r="MW40" s="605"/>
      <c r="MX40" s="605"/>
      <c r="MY40" s="605"/>
      <c r="MZ40" s="605"/>
      <c r="NA40" s="605"/>
      <c r="NB40" s="605"/>
      <c r="NC40" s="605"/>
      <c r="ND40" s="605"/>
      <c r="NE40" s="605"/>
      <c r="NF40" s="605"/>
      <c r="NG40" s="605"/>
      <c r="NH40" s="605"/>
      <c r="NI40" s="605"/>
      <c r="NJ40" s="605"/>
      <c r="NK40" s="605"/>
      <c r="NL40" s="605"/>
      <c r="NM40" s="605"/>
      <c r="NN40" s="605"/>
      <c r="NO40" s="605"/>
      <c r="NP40" s="605"/>
      <c r="NQ40" s="605"/>
      <c r="NR40" s="605"/>
      <c r="NS40" s="605"/>
      <c r="NT40" s="605"/>
      <c r="NU40" s="605"/>
      <c r="NV40" s="605"/>
      <c r="NW40" s="605"/>
      <c r="NX40" s="605"/>
      <c r="NY40" s="605"/>
      <c r="NZ40" s="605"/>
      <c r="OA40" s="605"/>
      <c r="OB40" s="605"/>
      <c r="OC40" s="605"/>
      <c r="OD40" s="605"/>
      <c r="OE40" s="605"/>
      <c r="OF40" s="605"/>
      <c r="OG40" s="605"/>
      <c r="OH40" s="605"/>
      <c r="OI40" s="605"/>
      <c r="OJ40" s="605"/>
      <c r="OK40" s="605"/>
      <c r="OL40" s="605"/>
      <c r="OM40" s="605"/>
      <c r="ON40" s="605"/>
      <c r="OO40" s="605"/>
      <c r="OP40" s="605"/>
      <c r="OQ40" s="605"/>
      <c r="OR40" s="605"/>
      <c r="OS40" s="605"/>
      <c r="OT40" s="605"/>
      <c r="OU40" s="605"/>
      <c r="OV40" s="605"/>
      <c r="OW40" s="605"/>
      <c r="OX40" s="605"/>
      <c r="OY40" s="605"/>
      <c r="OZ40" s="605"/>
      <c r="PA40" s="605"/>
      <c r="PB40" s="605"/>
      <c r="PC40" s="605"/>
      <c r="PD40" s="605"/>
      <c r="PE40" s="605"/>
      <c r="PF40" s="605"/>
      <c r="PG40" s="605"/>
      <c r="PH40" s="605"/>
      <c r="PI40" s="605"/>
      <c r="PJ40" s="605"/>
      <c r="PK40" s="605"/>
      <c r="PL40" s="605"/>
      <c r="PM40" s="605"/>
      <c r="PN40" s="605"/>
      <c r="PO40" s="605"/>
      <c r="PP40" s="605"/>
      <c r="PQ40" s="605"/>
      <c r="PR40" s="605"/>
      <c r="PS40" s="605"/>
      <c r="PT40" s="605"/>
      <c r="PU40" s="605"/>
      <c r="PV40" s="605"/>
      <c r="PW40" s="605"/>
      <c r="PX40" s="605"/>
      <c r="PY40" s="605"/>
      <c r="PZ40" s="605"/>
      <c r="QA40" s="605"/>
      <c r="QB40" s="605"/>
      <c r="QC40" s="605"/>
      <c r="QD40" s="605"/>
      <c r="QE40" s="605"/>
      <c r="QF40" s="605"/>
      <c r="QG40" s="605"/>
      <c r="QH40" s="605"/>
      <c r="QI40" s="605"/>
      <c r="QJ40" s="605"/>
      <c r="QK40" s="605"/>
      <c r="QL40" s="605"/>
      <c r="QM40" s="605"/>
      <c r="QN40" s="605"/>
      <c r="QO40" s="605"/>
      <c r="QP40" s="605"/>
      <c r="QQ40" s="605"/>
      <c r="QR40" s="605"/>
      <c r="QS40" s="605"/>
      <c r="QT40" s="605"/>
      <c r="QU40" s="605"/>
      <c r="QV40" s="605"/>
      <c r="QW40" s="605"/>
      <c r="QX40" s="605"/>
      <c r="QY40" s="605"/>
      <c r="QZ40" s="605"/>
      <c r="RA40" s="605"/>
      <c r="RB40" s="605"/>
      <c r="RC40" s="605"/>
      <c r="RD40" s="605"/>
      <c r="RE40" s="605"/>
      <c r="RF40" s="605"/>
      <c r="RG40" s="605"/>
      <c r="RH40" s="605"/>
    </row>
    <row r="41" spans="2:476" ht="19.5" customHeight="1">
      <c r="B41" s="552"/>
      <c r="C41" s="553">
        <v>16</v>
      </c>
      <c r="D41" s="554">
        <v>0</v>
      </c>
      <c r="E41" s="554">
        <v>2</v>
      </c>
      <c r="F41" s="555">
        <f t="shared" si="4"/>
        <v>3.08333333494374</v>
      </c>
      <c r="G41" s="568"/>
      <c r="H41" s="573"/>
      <c r="I41" s="557"/>
      <c r="J41" s="576">
        <v>9.9999999983701908</v>
      </c>
      <c r="K41" s="573"/>
      <c r="L41" s="557"/>
      <c r="M41" s="576"/>
      <c r="N41" s="597">
        <v>8.3333332557231202E-2</v>
      </c>
      <c r="O41" s="598">
        <v>0.83333333412883803</v>
      </c>
      <c r="P41" s="557"/>
      <c r="Q41" s="557"/>
      <c r="R41" s="557"/>
      <c r="S41" s="557"/>
      <c r="T41" s="557"/>
      <c r="U41" s="557"/>
      <c r="V41" s="557"/>
      <c r="W41" s="573"/>
      <c r="X41" s="591"/>
      <c r="Y41" s="613">
        <v>2</v>
      </c>
      <c r="Z41" s="607">
        <f t="shared" si="5"/>
        <v>0</v>
      </c>
      <c r="AA41" s="607">
        <f t="shared" si="6"/>
        <v>10.916666665056299</v>
      </c>
      <c r="AB41" s="608">
        <f t="shared" si="7"/>
        <v>1</v>
      </c>
      <c r="AC41" s="617" t="s">
        <v>54</v>
      </c>
      <c r="AD41" s="605"/>
      <c r="AE41" s="605"/>
      <c r="AF41" s="605"/>
      <c r="AG41" s="605"/>
      <c r="AH41" s="605"/>
      <c r="AI41" s="605"/>
      <c r="AJ41" s="605"/>
      <c r="AK41" s="605"/>
      <c r="AL41" s="605"/>
      <c r="AM41" s="605"/>
      <c r="AN41" s="605"/>
      <c r="AO41" s="605"/>
      <c r="AP41" s="605"/>
      <c r="AQ41" s="605"/>
      <c r="AR41" s="605"/>
      <c r="AS41" s="605"/>
      <c r="AT41" s="605"/>
      <c r="AU41" s="605"/>
      <c r="AV41" s="605"/>
      <c r="AW41" s="605"/>
      <c r="AX41" s="605"/>
      <c r="AY41" s="605"/>
      <c r="AZ41" s="605"/>
      <c r="BA41" s="605"/>
      <c r="BB41" s="605"/>
      <c r="BC41" s="605"/>
      <c r="BD41" s="605"/>
      <c r="BE41" s="605"/>
      <c r="BF41" s="605"/>
      <c r="BG41" s="605"/>
      <c r="BH41" s="605"/>
      <c r="BI41" s="605"/>
      <c r="BJ41" s="605"/>
      <c r="BK41" s="605"/>
      <c r="BL41" s="605"/>
      <c r="BM41" s="605"/>
      <c r="BN41" s="605"/>
      <c r="BO41" s="605"/>
      <c r="BP41" s="605"/>
      <c r="BQ41" s="605"/>
      <c r="BR41" s="605"/>
      <c r="BS41" s="605"/>
      <c r="BT41" s="605"/>
      <c r="BU41" s="605"/>
      <c r="BV41" s="605"/>
      <c r="BW41" s="605"/>
      <c r="BX41" s="605"/>
      <c r="BY41" s="605"/>
      <c r="BZ41" s="605"/>
      <c r="CA41" s="605"/>
      <c r="CB41" s="605"/>
      <c r="CC41" s="605"/>
      <c r="CD41" s="605"/>
      <c r="CE41" s="605"/>
      <c r="CF41" s="605"/>
      <c r="CG41" s="605"/>
      <c r="CH41" s="605"/>
      <c r="CI41" s="605"/>
      <c r="CJ41" s="605"/>
      <c r="CK41" s="605"/>
      <c r="CL41" s="605"/>
      <c r="CM41" s="605"/>
      <c r="CN41" s="605"/>
      <c r="CO41" s="605"/>
      <c r="CP41" s="605"/>
      <c r="CQ41" s="605"/>
      <c r="CR41" s="605"/>
      <c r="CS41" s="605"/>
      <c r="CT41" s="605"/>
      <c r="CU41" s="605"/>
      <c r="CV41" s="605"/>
      <c r="CW41" s="605"/>
      <c r="CX41" s="605"/>
      <c r="CY41" s="605"/>
      <c r="CZ41" s="605"/>
      <c r="DA41" s="605"/>
      <c r="DB41" s="605"/>
      <c r="DC41" s="605"/>
      <c r="DD41" s="605"/>
      <c r="DE41" s="605"/>
      <c r="DF41" s="605"/>
      <c r="DG41" s="605"/>
      <c r="DH41" s="605"/>
      <c r="DI41" s="605"/>
      <c r="DJ41" s="605"/>
      <c r="DK41" s="605"/>
      <c r="DL41" s="605"/>
      <c r="DM41" s="605"/>
      <c r="DN41" s="605"/>
      <c r="DO41" s="605"/>
      <c r="DP41" s="605"/>
      <c r="DQ41" s="605"/>
      <c r="DR41" s="605"/>
      <c r="DS41" s="605"/>
      <c r="DT41" s="605"/>
      <c r="DU41" s="605"/>
      <c r="DV41" s="605"/>
      <c r="DW41" s="605"/>
      <c r="DX41" s="605"/>
      <c r="DY41" s="605"/>
      <c r="DZ41" s="605"/>
      <c r="EA41" s="605"/>
      <c r="EB41" s="605"/>
      <c r="EC41" s="605"/>
      <c r="ED41" s="605"/>
      <c r="EE41" s="605"/>
      <c r="EF41" s="605"/>
      <c r="EG41" s="605"/>
      <c r="EH41" s="605"/>
      <c r="EI41" s="605"/>
      <c r="EJ41" s="605"/>
      <c r="EK41" s="605"/>
      <c r="EL41" s="605"/>
      <c r="EM41" s="605"/>
      <c r="EN41" s="605"/>
      <c r="EO41" s="605"/>
      <c r="EP41" s="605"/>
      <c r="EQ41" s="605"/>
      <c r="ER41" s="605"/>
      <c r="ES41" s="605"/>
      <c r="ET41" s="605"/>
      <c r="EU41" s="605"/>
      <c r="EV41" s="605"/>
      <c r="EW41" s="605"/>
      <c r="EX41" s="605"/>
      <c r="EY41" s="605"/>
      <c r="EZ41" s="605"/>
      <c r="FA41" s="605"/>
      <c r="FB41" s="605"/>
      <c r="FC41" s="605"/>
      <c r="FD41" s="605"/>
      <c r="FE41" s="605"/>
      <c r="FF41" s="605"/>
      <c r="FG41" s="605"/>
      <c r="FH41" s="605"/>
      <c r="FI41" s="605"/>
      <c r="FJ41" s="605"/>
      <c r="FK41" s="605"/>
      <c r="FL41" s="605"/>
      <c r="FM41" s="605"/>
      <c r="FN41" s="605"/>
      <c r="FO41" s="605"/>
      <c r="FP41" s="605"/>
      <c r="FQ41" s="605"/>
      <c r="FR41" s="605"/>
      <c r="FS41" s="605"/>
      <c r="FT41" s="605"/>
      <c r="FU41" s="605"/>
      <c r="FV41" s="605"/>
      <c r="FW41" s="605"/>
      <c r="FX41" s="605"/>
      <c r="FY41" s="605"/>
      <c r="FZ41" s="605"/>
      <c r="GA41" s="605"/>
      <c r="GB41" s="605"/>
      <c r="GC41" s="605"/>
      <c r="GD41" s="605"/>
      <c r="GE41" s="605"/>
      <c r="GF41" s="605"/>
      <c r="GG41" s="605"/>
      <c r="GH41" s="605"/>
      <c r="GI41" s="605"/>
      <c r="GJ41" s="605"/>
      <c r="GK41" s="605"/>
      <c r="GL41" s="605"/>
      <c r="GM41" s="605"/>
      <c r="GN41" s="605"/>
      <c r="GO41" s="605"/>
      <c r="GP41" s="605"/>
      <c r="GQ41" s="605"/>
      <c r="GR41" s="605"/>
      <c r="GS41" s="605"/>
      <c r="GT41" s="605"/>
      <c r="GU41" s="605"/>
      <c r="GV41" s="605"/>
      <c r="GW41" s="605"/>
      <c r="GX41" s="605"/>
      <c r="GY41" s="605"/>
      <c r="GZ41" s="605"/>
      <c r="HA41" s="605"/>
      <c r="HB41" s="605"/>
      <c r="HC41" s="605"/>
      <c r="HD41" s="605"/>
      <c r="HE41" s="605"/>
      <c r="HF41" s="605"/>
      <c r="HG41" s="605"/>
      <c r="HH41" s="605"/>
      <c r="HI41" s="605"/>
      <c r="HJ41" s="605"/>
      <c r="HK41" s="605"/>
      <c r="HL41" s="605"/>
      <c r="HM41" s="605"/>
      <c r="HN41" s="605"/>
      <c r="HO41" s="605"/>
      <c r="HP41" s="605"/>
      <c r="HQ41" s="605"/>
      <c r="HR41" s="605"/>
      <c r="HS41" s="605"/>
      <c r="HT41" s="605"/>
      <c r="HU41" s="605"/>
      <c r="HV41" s="605"/>
      <c r="HW41" s="605"/>
      <c r="HX41" s="605"/>
      <c r="HY41" s="605"/>
      <c r="HZ41" s="605"/>
      <c r="IA41" s="605"/>
      <c r="IB41" s="605"/>
      <c r="IC41" s="605"/>
      <c r="ID41" s="605"/>
      <c r="IE41" s="605"/>
      <c r="IF41" s="605"/>
      <c r="IG41" s="605"/>
      <c r="IH41" s="605"/>
      <c r="II41" s="605"/>
      <c r="IJ41" s="605"/>
      <c r="IK41" s="605"/>
      <c r="IL41" s="605"/>
      <c r="IM41" s="605"/>
      <c r="IN41" s="605"/>
      <c r="IO41" s="605"/>
      <c r="IP41" s="605"/>
      <c r="IQ41" s="605"/>
      <c r="IR41" s="605"/>
      <c r="IS41" s="605"/>
      <c r="IT41" s="605"/>
      <c r="IU41" s="605"/>
      <c r="IV41" s="605"/>
      <c r="IW41" s="605"/>
      <c r="IX41" s="605"/>
      <c r="IY41" s="605"/>
      <c r="IZ41" s="605"/>
      <c r="JA41" s="605"/>
      <c r="JB41" s="605"/>
      <c r="JC41" s="605"/>
      <c r="JD41" s="605"/>
      <c r="JE41" s="605"/>
      <c r="JF41" s="605"/>
      <c r="JG41" s="605"/>
      <c r="JH41" s="605"/>
      <c r="JI41" s="605"/>
      <c r="JJ41" s="605"/>
      <c r="JK41" s="605"/>
      <c r="JL41" s="605"/>
      <c r="JM41" s="605"/>
      <c r="JN41" s="605"/>
      <c r="JO41" s="605"/>
      <c r="JP41" s="605"/>
      <c r="JQ41" s="605"/>
      <c r="JR41" s="605"/>
      <c r="JS41" s="605"/>
      <c r="JT41" s="605"/>
      <c r="JU41" s="605"/>
      <c r="JV41" s="605"/>
      <c r="JW41" s="605"/>
      <c r="JX41" s="605"/>
      <c r="JY41" s="605"/>
      <c r="JZ41" s="605"/>
      <c r="KA41" s="605"/>
      <c r="KB41" s="605"/>
      <c r="KC41" s="605"/>
      <c r="KD41" s="605"/>
      <c r="KE41" s="605"/>
      <c r="KF41" s="605"/>
      <c r="KG41" s="605"/>
      <c r="KH41" s="605"/>
      <c r="KI41" s="605"/>
      <c r="KJ41" s="605"/>
      <c r="KK41" s="605"/>
      <c r="KL41" s="605"/>
      <c r="KM41" s="605"/>
      <c r="KN41" s="605"/>
      <c r="KO41" s="605"/>
      <c r="KP41" s="605"/>
      <c r="KQ41" s="605"/>
      <c r="KR41" s="605"/>
      <c r="KS41" s="605"/>
      <c r="KT41" s="605"/>
      <c r="KU41" s="605"/>
      <c r="KV41" s="605"/>
      <c r="KW41" s="605"/>
      <c r="KX41" s="605"/>
      <c r="KY41" s="605"/>
      <c r="KZ41" s="605"/>
      <c r="LA41" s="605"/>
      <c r="LB41" s="605"/>
      <c r="LC41" s="605"/>
      <c r="LD41" s="605"/>
      <c r="LE41" s="605"/>
      <c r="LF41" s="605"/>
      <c r="LG41" s="605"/>
      <c r="LH41" s="605"/>
      <c r="LI41" s="605"/>
      <c r="LJ41" s="605"/>
      <c r="LK41" s="605"/>
      <c r="LL41" s="605"/>
      <c r="LM41" s="605"/>
      <c r="LN41" s="605"/>
      <c r="LO41" s="605"/>
      <c r="LP41" s="605"/>
      <c r="LQ41" s="605"/>
      <c r="LR41" s="605"/>
      <c r="LS41" s="605"/>
      <c r="LT41" s="605"/>
      <c r="LU41" s="605"/>
      <c r="LV41" s="605"/>
      <c r="LW41" s="605"/>
      <c r="LX41" s="605"/>
      <c r="LY41" s="605"/>
      <c r="LZ41" s="605"/>
      <c r="MA41" s="605"/>
      <c r="MB41" s="605"/>
      <c r="MC41" s="605"/>
      <c r="MD41" s="605"/>
      <c r="ME41" s="605"/>
      <c r="MF41" s="605"/>
      <c r="MG41" s="605"/>
      <c r="MH41" s="605"/>
      <c r="MI41" s="605"/>
      <c r="MJ41" s="605"/>
      <c r="MK41" s="605"/>
      <c r="ML41" s="605"/>
      <c r="MM41" s="605"/>
      <c r="MN41" s="605"/>
      <c r="MO41" s="605"/>
      <c r="MP41" s="605"/>
      <c r="MQ41" s="605"/>
      <c r="MR41" s="605"/>
      <c r="MS41" s="605"/>
      <c r="MT41" s="605"/>
      <c r="MU41" s="605"/>
      <c r="MV41" s="605"/>
      <c r="MW41" s="605"/>
      <c r="MX41" s="605"/>
      <c r="MY41" s="605"/>
      <c r="MZ41" s="605"/>
      <c r="NA41" s="605"/>
      <c r="NB41" s="605"/>
      <c r="NC41" s="605"/>
      <c r="ND41" s="605"/>
      <c r="NE41" s="605"/>
      <c r="NF41" s="605"/>
      <c r="NG41" s="605"/>
      <c r="NH41" s="605"/>
      <c r="NI41" s="605"/>
      <c r="NJ41" s="605"/>
      <c r="NK41" s="605"/>
      <c r="NL41" s="605"/>
      <c r="NM41" s="605"/>
      <c r="NN41" s="605"/>
      <c r="NO41" s="605"/>
      <c r="NP41" s="605"/>
      <c r="NQ41" s="605"/>
      <c r="NR41" s="605"/>
      <c r="NS41" s="605"/>
      <c r="NT41" s="605"/>
      <c r="NU41" s="605"/>
      <c r="NV41" s="605"/>
      <c r="NW41" s="605"/>
      <c r="NX41" s="605"/>
      <c r="NY41" s="605"/>
      <c r="NZ41" s="605"/>
      <c r="OA41" s="605"/>
      <c r="OB41" s="605"/>
      <c r="OC41" s="605"/>
      <c r="OD41" s="605"/>
      <c r="OE41" s="605"/>
      <c r="OF41" s="605"/>
      <c r="OG41" s="605"/>
      <c r="OH41" s="605"/>
      <c r="OI41" s="605"/>
      <c r="OJ41" s="605"/>
      <c r="OK41" s="605"/>
      <c r="OL41" s="605"/>
      <c r="OM41" s="605"/>
      <c r="ON41" s="605"/>
      <c r="OO41" s="605"/>
      <c r="OP41" s="605"/>
      <c r="OQ41" s="605"/>
      <c r="OR41" s="605"/>
      <c r="OS41" s="605"/>
      <c r="OT41" s="605"/>
      <c r="OU41" s="605"/>
      <c r="OV41" s="605"/>
      <c r="OW41" s="605"/>
      <c r="OX41" s="605"/>
      <c r="OY41" s="605"/>
      <c r="OZ41" s="605"/>
      <c r="PA41" s="605"/>
      <c r="PB41" s="605"/>
      <c r="PC41" s="605"/>
      <c r="PD41" s="605"/>
      <c r="PE41" s="605"/>
      <c r="PF41" s="605"/>
      <c r="PG41" s="605"/>
      <c r="PH41" s="605"/>
      <c r="PI41" s="605"/>
      <c r="PJ41" s="605"/>
      <c r="PK41" s="605"/>
      <c r="PL41" s="605"/>
      <c r="PM41" s="605"/>
      <c r="PN41" s="605"/>
      <c r="PO41" s="605"/>
      <c r="PP41" s="605"/>
      <c r="PQ41" s="605"/>
      <c r="PR41" s="605"/>
      <c r="PS41" s="605"/>
      <c r="PT41" s="605"/>
      <c r="PU41" s="605"/>
      <c r="PV41" s="605"/>
      <c r="PW41" s="605"/>
      <c r="PX41" s="605"/>
      <c r="PY41" s="605"/>
      <c r="PZ41" s="605"/>
      <c r="QA41" s="605"/>
      <c r="QB41" s="605"/>
      <c r="QC41" s="605"/>
      <c r="QD41" s="605"/>
      <c r="QE41" s="605"/>
      <c r="QF41" s="605"/>
      <c r="QG41" s="605"/>
      <c r="QH41" s="605"/>
      <c r="QI41" s="605"/>
      <c r="QJ41" s="605"/>
      <c r="QK41" s="605"/>
      <c r="QL41" s="605"/>
      <c r="QM41" s="605"/>
      <c r="QN41" s="605"/>
      <c r="QO41" s="605"/>
      <c r="QP41" s="605"/>
      <c r="QQ41" s="605"/>
      <c r="QR41" s="605"/>
      <c r="QS41" s="605"/>
      <c r="QT41" s="605"/>
      <c r="QU41" s="605"/>
      <c r="QV41" s="605"/>
      <c r="QW41" s="605"/>
      <c r="QX41" s="605"/>
      <c r="QY41" s="605"/>
      <c r="QZ41" s="605"/>
      <c r="RA41" s="605"/>
      <c r="RB41" s="605"/>
      <c r="RC41" s="605"/>
      <c r="RD41" s="605"/>
      <c r="RE41" s="605"/>
      <c r="RF41" s="605"/>
      <c r="RG41" s="605"/>
      <c r="RH41" s="605"/>
    </row>
    <row r="42" spans="2:476" s="527" customFormat="1" ht="19.5" customHeight="1">
      <c r="B42" s="558">
        <v>45827</v>
      </c>
      <c r="C42" s="547">
        <v>16</v>
      </c>
      <c r="D42" s="548">
        <v>0</v>
      </c>
      <c r="E42" s="548">
        <v>2</v>
      </c>
      <c r="F42" s="549">
        <f t="shared" si="4"/>
        <v>0</v>
      </c>
      <c r="G42" s="550"/>
      <c r="H42" s="551"/>
      <c r="I42" s="592"/>
      <c r="J42" s="569">
        <v>14</v>
      </c>
      <c r="K42" s="599"/>
      <c r="L42" s="551"/>
      <c r="M42" s="569"/>
      <c r="N42" s="569"/>
      <c r="O42" s="572"/>
      <c r="P42" s="551"/>
      <c r="Q42" s="551"/>
      <c r="R42" s="551"/>
      <c r="S42" s="551"/>
      <c r="T42" s="551"/>
      <c r="U42" s="551"/>
      <c r="V42" s="551"/>
      <c r="W42" s="551"/>
      <c r="X42" s="569"/>
      <c r="Y42" s="614">
        <v>1</v>
      </c>
      <c r="Z42" s="607">
        <f t="shared" si="5"/>
        <v>0</v>
      </c>
      <c r="AA42" s="607">
        <f t="shared" si="6"/>
        <v>14</v>
      </c>
      <c r="AB42" s="608">
        <f t="shared" si="7"/>
        <v>1</v>
      </c>
      <c r="AC42" s="617" t="s">
        <v>49</v>
      </c>
      <c r="AD42" s="610"/>
      <c r="AE42" s="610"/>
      <c r="AF42" s="610"/>
      <c r="AG42" s="610"/>
      <c r="AH42" s="610"/>
      <c r="AI42" s="610"/>
      <c r="AJ42" s="610"/>
      <c r="AK42" s="610"/>
      <c r="AL42" s="610"/>
      <c r="AM42" s="610"/>
      <c r="AN42" s="610"/>
      <c r="AO42" s="610"/>
      <c r="AP42" s="610"/>
      <c r="AQ42" s="610"/>
      <c r="AR42" s="610"/>
      <c r="AS42" s="610"/>
      <c r="AT42" s="610"/>
      <c r="AU42" s="610"/>
      <c r="AV42" s="610"/>
      <c r="AW42" s="610"/>
      <c r="AX42" s="610"/>
      <c r="AY42" s="610"/>
      <c r="AZ42" s="610"/>
      <c r="BA42" s="610"/>
      <c r="BB42" s="610"/>
      <c r="BC42" s="610"/>
      <c r="BD42" s="610"/>
      <c r="BE42" s="610"/>
      <c r="BF42" s="610"/>
      <c r="BG42" s="610"/>
      <c r="BH42" s="610"/>
      <c r="BI42" s="610"/>
      <c r="BJ42" s="610"/>
      <c r="BK42" s="610"/>
      <c r="BL42" s="610"/>
      <c r="BM42" s="610"/>
      <c r="BN42" s="610"/>
      <c r="BO42" s="610"/>
      <c r="BP42" s="610"/>
      <c r="BQ42" s="610"/>
      <c r="BR42" s="610"/>
      <c r="BS42" s="610"/>
      <c r="BT42" s="610"/>
      <c r="BU42" s="610"/>
      <c r="BV42" s="610"/>
      <c r="BW42" s="610"/>
      <c r="BX42" s="610"/>
      <c r="BY42" s="610"/>
      <c r="BZ42" s="610"/>
      <c r="CA42" s="610"/>
      <c r="CB42" s="610"/>
      <c r="CC42" s="610"/>
      <c r="CD42" s="610"/>
      <c r="CE42" s="610"/>
      <c r="CF42" s="610"/>
      <c r="CG42" s="610"/>
      <c r="CH42" s="610"/>
      <c r="CI42" s="610"/>
      <c r="CJ42" s="610"/>
      <c r="CK42" s="610"/>
      <c r="CL42" s="610"/>
      <c r="CM42" s="610"/>
      <c r="CN42" s="610"/>
      <c r="CO42" s="610"/>
      <c r="CP42" s="610"/>
      <c r="CQ42" s="610"/>
      <c r="CR42" s="610"/>
      <c r="CS42" s="610"/>
      <c r="CT42" s="610"/>
      <c r="CU42" s="610"/>
      <c r="CV42" s="610"/>
      <c r="CW42" s="610"/>
      <c r="CX42" s="610"/>
      <c r="CY42" s="610"/>
      <c r="CZ42" s="610"/>
      <c r="DA42" s="610"/>
      <c r="DB42" s="610"/>
      <c r="DC42" s="610"/>
      <c r="DD42" s="610"/>
      <c r="DE42" s="610"/>
      <c r="DF42" s="610"/>
      <c r="DG42" s="610"/>
      <c r="DH42" s="610"/>
      <c r="DI42" s="610"/>
      <c r="DJ42" s="610"/>
      <c r="DK42" s="610"/>
      <c r="DL42" s="610"/>
      <c r="DM42" s="610"/>
      <c r="DN42" s="610"/>
      <c r="DO42" s="610"/>
      <c r="DP42" s="610"/>
      <c r="DQ42" s="610"/>
      <c r="DR42" s="610"/>
      <c r="DS42" s="610"/>
      <c r="DT42" s="610"/>
      <c r="DU42" s="610"/>
      <c r="DV42" s="610"/>
      <c r="DW42" s="610"/>
      <c r="DX42" s="610"/>
      <c r="DY42" s="610"/>
      <c r="DZ42" s="610"/>
      <c r="EA42" s="610"/>
      <c r="EB42" s="610"/>
      <c r="EC42" s="610"/>
      <c r="ED42" s="610"/>
      <c r="EE42" s="610"/>
      <c r="EF42" s="610"/>
      <c r="EG42" s="610"/>
      <c r="EH42" s="610"/>
      <c r="EI42" s="610"/>
      <c r="EJ42" s="610"/>
      <c r="EK42" s="610"/>
      <c r="EL42" s="610"/>
      <c r="EM42" s="610"/>
      <c r="EN42" s="610"/>
      <c r="EO42" s="610"/>
      <c r="EP42" s="610"/>
      <c r="EQ42" s="610"/>
      <c r="ER42" s="610"/>
      <c r="ES42" s="610"/>
      <c r="ET42" s="610"/>
      <c r="EU42" s="610"/>
      <c r="EV42" s="610"/>
      <c r="EW42" s="610"/>
      <c r="EX42" s="610"/>
      <c r="EY42" s="610"/>
      <c r="EZ42" s="610"/>
      <c r="FA42" s="610"/>
      <c r="FB42" s="610"/>
      <c r="FC42" s="610"/>
      <c r="FD42" s="610"/>
      <c r="FE42" s="610"/>
      <c r="FF42" s="610"/>
      <c r="FG42" s="610"/>
      <c r="FH42" s="610"/>
      <c r="FI42" s="610"/>
      <c r="FJ42" s="610"/>
      <c r="FK42" s="610"/>
      <c r="FL42" s="610"/>
      <c r="FM42" s="610"/>
      <c r="FN42" s="610"/>
      <c r="FO42" s="610"/>
      <c r="FP42" s="610"/>
      <c r="FQ42" s="610"/>
      <c r="FR42" s="610"/>
      <c r="FS42" s="610"/>
      <c r="FT42" s="610"/>
      <c r="FU42" s="610"/>
      <c r="FV42" s="610"/>
      <c r="FW42" s="610"/>
      <c r="FX42" s="610"/>
      <c r="FY42" s="610"/>
      <c r="FZ42" s="610"/>
      <c r="GA42" s="610"/>
      <c r="GB42" s="610"/>
      <c r="GC42" s="610"/>
      <c r="GD42" s="610"/>
      <c r="GE42" s="610"/>
      <c r="GF42" s="610"/>
      <c r="GG42" s="610"/>
      <c r="GH42" s="610"/>
      <c r="GI42" s="610"/>
      <c r="GJ42" s="610"/>
      <c r="GK42" s="610"/>
      <c r="GL42" s="610"/>
      <c r="GM42" s="610"/>
      <c r="GN42" s="610"/>
      <c r="GO42" s="610"/>
      <c r="GP42" s="610"/>
      <c r="GQ42" s="610"/>
      <c r="GR42" s="610"/>
      <c r="GS42" s="610"/>
      <c r="GT42" s="610"/>
      <c r="GU42" s="610"/>
      <c r="GV42" s="610"/>
      <c r="GW42" s="610"/>
      <c r="GX42" s="610"/>
      <c r="GY42" s="610"/>
      <c r="GZ42" s="610"/>
      <c r="HA42" s="610"/>
      <c r="HB42" s="610"/>
      <c r="HC42" s="610"/>
      <c r="HD42" s="610"/>
      <c r="HE42" s="610"/>
      <c r="HF42" s="610"/>
      <c r="HG42" s="610"/>
      <c r="HH42" s="610"/>
      <c r="HI42" s="610"/>
      <c r="HJ42" s="610"/>
      <c r="HK42" s="610"/>
      <c r="HL42" s="610"/>
      <c r="HM42" s="610"/>
      <c r="HN42" s="610"/>
      <c r="HO42" s="610"/>
      <c r="HP42" s="610"/>
      <c r="HQ42" s="610"/>
      <c r="HR42" s="610"/>
      <c r="HS42" s="610"/>
      <c r="HT42" s="610"/>
      <c r="HU42" s="610"/>
      <c r="HV42" s="610"/>
      <c r="HW42" s="610"/>
      <c r="HX42" s="610"/>
      <c r="HY42" s="610"/>
      <c r="HZ42" s="610"/>
      <c r="IA42" s="610"/>
      <c r="IB42" s="610"/>
      <c r="IC42" s="610"/>
      <c r="ID42" s="610"/>
      <c r="IE42" s="610"/>
      <c r="IF42" s="610"/>
      <c r="IG42" s="610"/>
      <c r="IH42" s="610"/>
      <c r="II42" s="610"/>
      <c r="IJ42" s="610"/>
      <c r="IK42" s="610"/>
      <c r="IL42" s="610"/>
      <c r="IM42" s="610"/>
      <c r="IN42" s="610"/>
      <c r="IO42" s="610"/>
      <c r="IP42" s="610"/>
      <c r="IQ42" s="610"/>
      <c r="IR42" s="610"/>
      <c r="IS42" s="610"/>
      <c r="IT42" s="610"/>
      <c r="IU42" s="610"/>
      <c r="IV42" s="610"/>
      <c r="IW42" s="610"/>
      <c r="IX42" s="610"/>
      <c r="IY42" s="610"/>
      <c r="IZ42" s="610"/>
      <c r="JA42" s="610"/>
      <c r="JB42" s="610"/>
      <c r="JC42" s="610"/>
      <c r="JD42" s="610"/>
      <c r="JE42" s="610"/>
      <c r="JF42" s="610"/>
      <c r="JG42" s="610"/>
      <c r="JH42" s="610"/>
      <c r="JI42" s="610"/>
      <c r="JJ42" s="610"/>
      <c r="JK42" s="610"/>
      <c r="JL42" s="610"/>
      <c r="JM42" s="610"/>
      <c r="JN42" s="610"/>
      <c r="JO42" s="610"/>
      <c r="JP42" s="610"/>
      <c r="JQ42" s="610"/>
      <c r="JR42" s="610"/>
      <c r="JS42" s="610"/>
      <c r="JT42" s="610"/>
      <c r="JU42" s="610"/>
      <c r="JV42" s="610"/>
      <c r="JW42" s="610"/>
      <c r="JX42" s="610"/>
      <c r="JY42" s="610"/>
      <c r="JZ42" s="610"/>
      <c r="KA42" s="610"/>
      <c r="KB42" s="610"/>
      <c r="KC42" s="610"/>
      <c r="KD42" s="610"/>
      <c r="KE42" s="610"/>
      <c r="KF42" s="610"/>
      <c r="KG42" s="610"/>
      <c r="KH42" s="610"/>
      <c r="KI42" s="610"/>
      <c r="KJ42" s="610"/>
      <c r="KK42" s="610"/>
      <c r="KL42" s="610"/>
      <c r="KM42" s="610"/>
      <c r="KN42" s="610"/>
      <c r="KO42" s="610"/>
      <c r="KP42" s="610"/>
      <c r="KQ42" s="610"/>
      <c r="KR42" s="610"/>
      <c r="KS42" s="610"/>
      <c r="KT42" s="610"/>
      <c r="KU42" s="610"/>
      <c r="KV42" s="610"/>
      <c r="KW42" s="610"/>
      <c r="KX42" s="610"/>
      <c r="KY42" s="610"/>
      <c r="KZ42" s="610"/>
      <c r="LA42" s="610"/>
      <c r="LB42" s="610"/>
      <c r="LC42" s="610"/>
      <c r="LD42" s="610"/>
      <c r="LE42" s="610"/>
      <c r="LF42" s="610"/>
      <c r="LG42" s="610"/>
      <c r="LH42" s="610"/>
      <c r="LI42" s="610"/>
      <c r="LJ42" s="610"/>
      <c r="LK42" s="610"/>
      <c r="LL42" s="610"/>
      <c r="LM42" s="610"/>
      <c r="LN42" s="610"/>
      <c r="LO42" s="610"/>
      <c r="LP42" s="610"/>
      <c r="LQ42" s="610"/>
      <c r="LR42" s="610"/>
      <c r="LS42" s="610"/>
      <c r="LT42" s="610"/>
      <c r="LU42" s="610"/>
      <c r="LV42" s="610"/>
      <c r="LW42" s="610"/>
      <c r="LX42" s="610"/>
      <c r="LY42" s="610"/>
      <c r="LZ42" s="610"/>
      <c r="MA42" s="610"/>
      <c r="MB42" s="610"/>
      <c r="MC42" s="610"/>
      <c r="MD42" s="610"/>
      <c r="ME42" s="610"/>
      <c r="MF42" s="610"/>
      <c r="MG42" s="610"/>
      <c r="MH42" s="610"/>
      <c r="MI42" s="610"/>
      <c r="MJ42" s="610"/>
      <c r="MK42" s="610"/>
      <c r="ML42" s="610"/>
      <c r="MM42" s="610"/>
      <c r="MN42" s="610"/>
      <c r="MO42" s="610"/>
      <c r="MP42" s="610"/>
      <c r="MQ42" s="610"/>
      <c r="MR42" s="610"/>
      <c r="MS42" s="610"/>
      <c r="MT42" s="610"/>
      <c r="MU42" s="610"/>
      <c r="MV42" s="610"/>
      <c r="MW42" s="610"/>
      <c r="MX42" s="610"/>
      <c r="MY42" s="610"/>
      <c r="MZ42" s="610"/>
      <c r="NA42" s="610"/>
      <c r="NB42" s="610"/>
      <c r="NC42" s="610"/>
      <c r="ND42" s="610"/>
      <c r="NE42" s="610"/>
      <c r="NF42" s="610"/>
      <c r="NG42" s="610"/>
      <c r="NH42" s="610"/>
      <c r="NI42" s="610"/>
      <c r="NJ42" s="610"/>
      <c r="NK42" s="610"/>
      <c r="NL42" s="610"/>
      <c r="NM42" s="610"/>
      <c r="NN42" s="610"/>
      <c r="NO42" s="610"/>
      <c r="NP42" s="610"/>
      <c r="NQ42" s="610"/>
      <c r="NR42" s="610"/>
      <c r="NS42" s="610"/>
      <c r="NT42" s="610"/>
      <c r="NU42" s="610"/>
      <c r="NV42" s="610"/>
      <c r="NW42" s="610"/>
      <c r="NX42" s="610"/>
      <c r="NY42" s="610"/>
      <c r="NZ42" s="610"/>
      <c r="OA42" s="610"/>
      <c r="OB42" s="610"/>
      <c r="OC42" s="610"/>
      <c r="OD42" s="610"/>
      <c r="OE42" s="610"/>
      <c r="OF42" s="610"/>
      <c r="OG42" s="610"/>
      <c r="OH42" s="610"/>
      <c r="OI42" s="610"/>
      <c r="OJ42" s="610"/>
      <c r="OK42" s="610"/>
      <c r="OL42" s="610"/>
      <c r="OM42" s="610"/>
      <c r="ON42" s="610"/>
      <c r="OO42" s="610"/>
      <c r="OP42" s="610"/>
      <c r="OQ42" s="610"/>
      <c r="OR42" s="610"/>
      <c r="OS42" s="610"/>
      <c r="OT42" s="610"/>
      <c r="OU42" s="610"/>
      <c r="OV42" s="610"/>
      <c r="OW42" s="610"/>
      <c r="OX42" s="610"/>
      <c r="OY42" s="610"/>
      <c r="OZ42" s="610"/>
      <c r="PA42" s="610"/>
      <c r="PB42" s="610"/>
      <c r="PC42" s="610"/>
      <c r="PD42" s="610"/>
      <c r="PE42" s="610"/>
      <c r="PF42" s="610"/>
      <c r="PG42" s="610"/>
      <c r="PH42" s="610"/>
      <c r="PI42" s="610"/>
      <c r="PJ42" s="610"/>
      <c r="PK42" s="610"/>
      <c r="PL42" s="610"/>
      <c r="PM42" s="610"/>
      <c r="PN42" s="610"/>
      <c r="PO42" s="610"/>
      <c r="PP42" s="610"/>
      <c r="PQ42" s="610"/>
      <c r="PR42" s="610"/>
      <c r="PS42" s="610"/>
      <c r="PT42" s="610"/>
      <c r="PU42" s="610"/>
      <c r="PV42" s="610"/>
      <c r="PW42" s="610"/>
      <c r="PX42" s="610"/>
      <c r="PY42" s="610"/>
      <c r="PZ42" s="610"/>
      <c r="QA42" s="610"/>
      <c r="QB42" s="610"/>
      <c r="QC42" s="610"/>
      <c r="QD42" s="610"/>
      <c r="QE42" s="610"/>
      <c r="QF42" s="610"/>
      <c r="QG42" s="610"/>
      <c r="QH42" s="610"/>
      <c r="QI42" s="610"/>
      <c r="QJ42" s="610"/>
      <c r="QK42" s="610"/>
      <c r="QL42" s="610"/>
      <c r="QM42" s="610"/>
      <c r="QN42" s="610"/>
      <c r="QO42" s="610"/>
      <c r="QP42" s="610"/>
      <c r="QQ42" s="610"/>
      <c r="QR42" s="610"/>
      <c r="QS42" s="610"/>
      <c r="QT42" s="610"/>
      <c r="QU42" s="610"/>
      <c r="QV42" s="610"/>
      <c r="QW42" s="610"/>
      <c r="QX42" s="610"/>
      <c r="QY42" s="610"/>
      <c r="QZ42" s="610"/>
      <c r="RA42" s="610"/>
      <c r="RB42" s="610"/>
      <c r="RC42" s="610"/>
      <c r="RD42" s="610"/>
      <c r="RE42" s="610"/>
      <c r="RF42" s="610"/>
      <c r="RG42" s="610"/>
      <c r="RH42" s="610"/>
    </row>
    <row r="43" spans="2:476" s="527" customFormat="1" ht="19.5" customHeight="1">
      <c r="B43" s="558"/>
      <c r="C43" s="547">
        <v>16</v>
      </c>
      <c r="D43" s="548">
        <v>0</v>
      </c>
      <c r="E43" s="548">
        <v>2</v>
      </c>
      <c r="F43" s="549">
        <f t="shared" si="4"/>
        <v>0</v>
      </c>
      <c r="G43" s="550"/>
      <c r="H43" s="551"/>
      <c r="I43" s="592"/>
      <c r="J43" s="569">
        <v>14</v>
      </c>
      <c r="K43" s="569"/>
      <c r="L43" s="551"/>
      <c r="M43" s="592"/>
      <c r="N43" s="592"/>
      <c r="O43" s="572"/>
      <c r="P43" s="551"/>
      <c r="Q43" s="551"/>
      <c r="R43" s="551"/>
      <c r="S43" s="551"/>
      <c r="T43" s="551"/>
      <c r="U43" s="551"/>
      <c r="V43" s="551"/>
      <c r="W43" s="551"/>
      <c r="X43" s="551"/>
      <c r="Y43" s="614">
        <v>2</v>
      </c>
      <c r="Z43" s="607">
        <f t="shared" si="5"/>
        <v>0</v>
      </c>
      <c r="AA43" s="607">
        <f t="shared" si="6"/>
        <v>14</v>
      </c>
      <c r="AB43" s="608">
        <f t="shared" si="7"/>
        <v>1</v>
      </c>
      <c r="AC43" s="617" t="s">
        <v>49</v>
      </c>
      <c r="AD43" s="610"/>
      <c r="AE43" s="610"/>
      <c r="AF43" s="610"/>
      <c r="AG43" s="610"/>
      <c r="AH43" s="610"/>
      <c r="AI43" s="610"/>
      <c r="AJ43" s="610"/>
      <c r="AK43" s="610"/>
      <c r="AL43" s="610"/>
      <c r="AM43" s="610"/>
      <c r="AN43" s="610"/>
      <c r="AO43" s="610"/>
      <c r="AP43" s="610"/>
      <c r="AQ43" s="610"/>
      <c r="AR43" s="610"/>
      <c r="AS43" s="610"/>
      <c r="AT43" s="610"/>
      <c r="AU43" s="610"/>
      <c r="AV43" s="610"/>
      <c r="AW43" s="610"/>
      <c r="AX43" s="610"/>
      <c r="AY43" s="610"/>
      <c r="AZ43" s="610"/>
      <c r="BA43" s="610"/>
      <c r="BB43" s="610"/>
      <c r="BC43" s="610"/>
      <c r="BD43" s="610"/>
      <c r="BE43" s="610"/>
      <c r="BF43" s="610"/>
      <c r="BG43" s="610"/>
      <c r="BH43" s="610"/>
      <c r="BI43" s="610"/>
      <c r="BJ43" s="610"/>
      <c r="BK43" s="610"/>
      <c r="BL43" s="610"/>
      <c r="BM43" s="610"/>
      <c r="BN43" s="610"/>
      <c r="BO43" s="610"/>
      <c r="BP43" s="610"/>
      <c r="BQ43" s="610"/>
      <c r="BR43" s="610"/>
      <c r="BS43" s="610"/>
      <c r="BT43" s="610"/>
      <c r="BU43" s="610"/>
      <c r="BV43" s="610"/>
      <c r="BW43" s="610"/>
      <c r="BX43" s="610"/>
      <c r="BY43" s="610"/>
      <c r="BZ43" s="610"/>
      <c r="CA43" s="610"/>
      <c r="CB43" s="610"/>
      <c r="CC43" s="610"/>
      <c r="CD43" s="610"/>
      <c r="CE43" s="610"/>
      <c r="CF43" s="610"/>
      <c r="CG43" s="610"/>
      <c r="CH43" s="610"/>
      <c r="CI43" s="610"/>
      <c r="CJ43" s="610"/>
      <c r="CK43" s="610"/>
      <c r="CL43" s="610"/>
      <c r="CM43" s="610"/>
      <c r="CN43" s="610"/>
      <c r="CO43" s="610"/>
      <c r="CP43" s="610"/>
      <c r="CQ43" s="610"/>
      <c r="CR43" s="610"/>
      <c r="CS43" s="610"/>
      <c r="CT43" s="610"/>
      <c r="CU43" s="610"/>
      <c r="CV43" s="610"/>
      <c r="CW43" s="610"/>
      <c r="CX43" s="610"/>
      <c r="CY43" s="610"/>
      <c r="CZ43" s="610"/>
      <c r="DA43" s="610"/>
      <c r="DB43" s="610"/>
      <c r="DC43" s="610"/>
      <c r="DD43" s="610"/>
      <c r="DE43" s="610"/>
      <c r="DF43" s="610"/>
      <c r="DG43" s="610"/>
      <c r="DH43" s="610"/>
      <c r="DI43" s="610"/>
      <c r="DJ43" s="610"/>
      <c r="DK43" s="610"/>
      <c r="DL43" s="610"/>
      <c r="DM43" s="610"/>
      <c r="DN43" s="610"/>
      <c r="DO43" s="610"/>
      <c r="DP43" s="610"/>
      <c r="DQ43" s="610"/>
      <c r="DR43" s="610"/>
      <c r="DS43" s="610"/>
      <c r="DT43" s="610"/>
      <c r="DU43" s="610"/>
      <c r="DV43" s="610"/>
      <c r="DW43" s="610"/>
      <c r="DX43" s="610"/>
      <c r="DY43" s="610"/>
      <c r="DZ43" s="610"/>
      <c r="EA43" s="610"/>
      <c r="EB43" s="610"/>
      <c r="EC43" s="610"/>
      <c r="ED43" s="610"/>
      <c r="EE43" s="610"/>
      <c r="EF43" s="610"/>
      <c r="EG43" s="610"/>
      <c r="EH43" s="610"/>
      <c r="EI43" s="610"/>
      <c r="EJ43" s="610"/>
      <c r="EK43" s="610"/>
      <c r="EL43" s="610"/>
      <c r="EM43" s="610"/>
      <c r="EN43" s="610"/>
      <c r="EO43" s="610"/>
      <c r="EP43" s="610"/>
      <c r="EQ43" s="610"/>
      <c r="ER43" s="610"/>
      <c r="ES43" s="610"/>
      <c r="ET43" s="610"/>
      <c r="EU43" s="610"/>
      <c r="EV43" s="610"/>
      <c r="EW43" s="610"/>
      <c r="EX43" s="610"/>
      <c r="EY43" s="610"/>
      <c r="EZ43" s="610"/>
      <c r="FA43" s="610"/>
      <c r="FB43" s="610"/>
      <c r="FC43" s="610"/>
      <c r="FD43" s="610"/>
      <c r="FE43" s="610"/>
      <c r="FF43" s="610"/>
      <c r="FG43" s="610"/>
      <c r="FH43" s="610"/>
      <c r="FI43" s="610"/>
      <c r="FJ43" s="610"/>
      <c r="FK43" s="610"/>
      <c r="FL43" s="610"/>
      <c r="FM43" s="610"/>
      <c r="FN43" s="610"/>
      <c r="FO43" s="610"/>
      <c r="FP43" s="610"/>
      <c r="FQ43" s="610"/>
      <c r="FR43" s="610"/>
      <c r="FS43" s="610"/>
      <c r="FT43" s="610"/>
      <c r="FU43" s="610"/>
      <c r="FV43" s="610"/>
      <c r="FW43" s="610"/>
      <c r="FX43" s="610"/>
      <c r="FY43" s="610"/>
      <c r="FZ43" s="610"/>
      <c r="GA43" s="610"/>
      <c r="GB43" s="610"/>
      <c r="GC43" s="610"/>
      <c r="GD43" s="610"/>
      <c r="GE43" s="610"/>
      <c r="GF43" s="610"/>
      <c r="GG43" s="610"/>
      <c r="GH43" s="610"/>
      <c r="GI43" s="610"/>
      <c r="GJ43" s="610"/>
      <c r="GK43" s="610"/>
      <c r="GL43" s="610"/>
      <c r="GM43" s="610"/>
      <c r="GN43" s="610"/>
      <c r="GO43" s="610"/>
      <c r="GP43" s="610"/>
      <c r="GQ43" s="610"/>
      <c r="GR43" s="610"/>
      <c r="GS43" s="610"/>
      <c r="GT43" s="610"/>
      <c r="GU43" s="610"/>
      <c r="GV43" s="610"/>
      <c r="GW43" s="610"/>
      <c r="GX43" s="610"/>
      <c r="GY43" s="610"/>
      <c r="GZ43" s="610"/>
      <c r="HA43" s="610"/>
      <c r="HB43" s="610"/>
      <c r="HC43" s="610"/>
      <c r="HD43" s="610"/>
      <c r="HE43" s="610"/>
      <c r="HF43" s="610"/>
      <c r="HG43" s="610"/>
      <c r="HH43" s="610"/>
      <c r="HI43" s="610"/>
      <c r="HJ43" s="610"/>
      <c r="HK43" s="610"/>
      <c r="HL43" s="610"/>
      <c r="HM43" s="610"/>
      <c r="HN43" s="610"/>
      <c r="HO43" s="610"/>
      <c r="HP43" s="610"/>
      <c r="HQ43" s="610"/>
      <c r="HR43" s="610"/>
      <c r="HS43" s="610"/>
      <c r="HT43" s="610"/>
      <c r="HU43" s="610"/>
      <c r="HV43" s="610"/>
      <c r="HW43" s="610"/>
      <c r="HX43" s="610"/>
      <c r="HY43" s="610"/>
      <c r="HZ43" s="610"/>
      <c r="IA43" s="610"/>
      <c r="IB43" s="610"/>
      <c r="IC43" s="610"/>
      <c r="ID43" s="610"/>
      <c r="IE43" s="610"/>
      <c r="IF43" s="610"/>
      <c r="IG43" s="610"/>
      <c r="IH43" s="610"/>
      <c r="II43" s="610"/>
      <c r="IJ43" s="610"/>
      <c r="IK43" s="610"/>
      <c r="IL43" s="610"/>
      <c r="IM43" s="610"/>
      <c r="IN43" s="610"/>
      <c r="IO43" s="610"/>
      <c r="IP43" s="610"/>
      <c r="IQ43" s="610"/>
      <c r="IR43" s="610"/>
      <c r="IS43" s="610"/>
      <c r="IT43" s="610"/>
      <c r="IU43" s="610"/>
      <c r="IV43" s="610"/>
      <c r="IW43" s="610"/>
      <c r="IX43" s="610"/>
      <c r="IY43" s="610"/>
      <c r="IZ43" s="610"/>
      <c r="JA43" s="610"/>
      <c r="JB43" s="610"/>
      <c r="JC43" s="610"/>
      <c r="JD43" s="610"/>
      <c r="JE43" s="610"/>
      <c r="JF43" s="610"/>
      <c r="JG43" s="610"/>
      <c r="JH43" s="610"/>
      <c r="JI43" s="610"/>
      <c r="JJ43" s="610"/>
      <c r="JK43" s="610"/>
      <c r="JL43" s="610"/>
      <c r="JM43" s="610"/>
      <c r="JN43" s="610"/>
      <c r="JO43" s="610"/>
      <c r="JP43" s="610"/>
      <c r="JQ43" s="610"/>
      <c r="JR43" s="610"/>
      <c r="JS43" s="610"/>
      <c r="JT43" s="610"/>
      <c r="JU43" s="610"/>
      <c r="JV43" s="610"/>
      <c r="JW43" s="610"/>
      <c r="JX43" s="610"/>
      <c r="JY43" s="610"/>
      <c r="JZ43" s="610"/>
      <c r="KA43" s="610"/>
      <c r="KB43" s="610"/>
      <c r="KC43" s="610"/>
      <c r="KD43" s="610"/>
      <c r="KE43" s="610"/>
      <c r="KF43" s="610"/>
      <c r="KG43" s="610"/>
      <c r="KH43" s="610"/>
      <c r="KI43" s="610"/>
      <c r="KJ43" s="610"/>
      <c r="KK43" s="610"/>
      <c r="KL43" s="610"/>
      <c r="KM43" s="610"/>
      <c r="KN43" s="610"/>
      <c r="KO43" s="610"/>
      <c r="KP43" s="610"/>
      <c r="KQ43" s="610"/>
      <c r="KR43" s="610"/>
      <c r="KS43" s="610"/>
      <c r="KT43" s="610"/>
      <c r="KU43" s="610"/>
      <c r="KV43" s="610"/>
      <c r="KW43" s="610"/>
      <c r="KX43" s="610"/>
      <c r="KY43" s="610"/>
      <c r="KZ43" s="610"/>
      <c r="LA43" s="610"/>
      <c r="LB43" s="610"/>
      <c r="LC43" s="610"/>
      <c r="LD43" s="610"/>
      <c r="LE43" s="610"/>
      <c r="LF43" s="610"/>
      <c r="LG43" s="610"/>
      <c r="LH43" s="610"/>
      <c r="LI43" s="610"/>
      <c r="LJ43" s="610"/>
      <c r="LK43" s="610"/>
      <c r="LL43" s="610"/>
      <c r="LM43" s="610"/>
      <c r="LN43" s="610"/>
      <c r="LO43" s="610"/>
      <c r="LP43" s="610"/>
      <c r="LQ43" s="610"/>
      <c r="LR43" s="610"/>
      <c r="LS43" s="610"/>
      <c r="LT43" s="610"/>
      <c r="LU43" s="610"/>
      <c r="LV43" s="610"/>
      <c r="LW43" s="610"/>
      <c r="LX43" s="610"/>
      <c r="LY43" s="610"/>
      <c r="LZ43" s="610"/>
      <c r="MA43" s="610"/>
      <c r="MB43" s="610"/>
      <c r="MC43" s="610"/>
      <c r="MD43" s="610"/>
      <c r="ME43" s="610"/>
      <c r="MF43" s="610"/>
      <c r="MG43" s="610"/>
      <c r="MH43" s="610"/>
      <c r="MI43" s="610"/>
      <c r="MJ43" s="610"/>
      <c r="MK43" s="610"/>
      <c r="ML43" s="610"/>
      <c r="MM43" s="610"/>
      <c r="MN43" s="610"/>
      <c r="MO43" s="610"/>
      <c r="MP43" s="610"/>
      <c r="MQ43" s="610"/>
      <c r="MR43" s="610"/>
      <c r="MS43" s="610"/>
      <c r="MT43" s="610"/>
      <c r="MU43" s="610"/>
      <c r="MV43" s="610"/>
      <c r="MW43" s="610"/>
      <c r="MX43" s="610"/>
      <c r="MY43" s="610"/>
      <c r="MZ43" s="610"/>
      <c r="NA43" s="610"/>
      <c r="NB43" s="610"/>
      <c r="NC43" s="610"/>
      <c r="ND43" s="610"/>
      <c r="NE43" s="610"/>
      <c r="NF43" s="610"/>
      <c r="NG43" s="610"/>
      <c r="NH43" s="610"/>
      <c r="NI43" s="610"/>
      <c r="NJ43" s="610"/>
      <c r="NK43" s="610"/>
      <c r="NL43" s="610"/>
      <c r="NM43" s="610"/>
      <c r="NN43" s="610"/>
      <c r="NO43" s="610"/>
      <c r="NP43" s="610"/>
      <c r="NQ43" s="610"/>
      <c r="NR43" s="610"/>
      <c r="NS43" s="610"/>
      <c r="NT43" s="610"/>
      <c r="NU43" s="610"/>
      <c r="NV43" s="610"/>
      <c r="NW43" s="610"/>
      <c r="NX43" s="610"/>
      <c r="NY43" s="610"/>
      <c r="NZ43" s="610"/>
      <c r="OA43" s="610"/>
      <c r="OB43" s="610"/>
      <c r="OC43" s="610"/>
      <c r="OD43" s="610"/>
      <c r="OE43" s="610"/>
      <c r="OF43" s="610"/>
      <c r="OG43" s="610"/>
      <c r="OH43" s="610"/>
      <c r="OI43" s="610"/>
      <c r="OJ43" s="610"/>
      <c r="OK43" s="610"/>
      <c r="OL43" s="610"/>
      <c r="OM43" s="610"/>
      <c r="ON43" s="610"/>
      <c r="OO43" s="610"/>
      <c r="OP43" s="610"/>
      <c r="OQ43" s="610"/>
      <c r="OR43" s="610"/>
      <c r="OS43" s="610"/>
      <c r="OT43" s="610"/>
      <c r="OU43" s="610"/>
      <c r="OV43" s="610"/>
      <c r="OW43" s="610"/>
      <c r="OX43" s="610"/>
      <c r="OY43" s="610"/>
      <c r="OZ43" s="610"/>
      <c r="PA43" s="610"/>
      <c r="PB43" s="610"/>
      <c r="PC43" s="610"/>
      <c r="PD43" s="610"/>
      <c r="PE43" s="610"/>
      <c r="PF43" s="610"/>
      <c r="PG43" s="610"/>
      <c r="PH43" s="610"/>
      <c r="PI43" s="610"/>
      <c r="PJ43" s="610"/>
      <c r="PK43" s="610"/>
      <c r="PL43" s="610"/>
      <c r="PM43" s="610"/>
      <c r="PN43" s="610"/>
      <c r="PO43" s="610"/>
      <c r="PP43" s="610"/>
      <c r="PQ43" s="610"/>
      <c r="PR43" s="610"/>
      <c r="PS43" s="610"/>
      <c r="PT43" s="610"/>
      <c r="PU43" s="610"/>
      <c r="PV43" s="610"/>
      <c r="PW43" s="610"/>
      <c r="PX43" s="610"/>
      <c r="PY43" s="610"/>
      <c r="PZ43" s="610"/>
      <c r="QA43" s="610"/>
      <c r="QB43" s="610"/>
      <c r="QC43" s="610"/>
      <c r="QD43" s="610"/>
      <c r="QE43" s="610"/>
      <c r="QF43" s="610"/>
      <c r="QG43" s="610"/>
      <c r="QH43" s="610"/>
      <c r="QI43" s="610"/>
      <c r="QJ43" s="610"/>
      <c r="QK43" s="610"/>
      <c r="QL43" s="610"/>
      <c r="QM43" s="610"/>
      <c r="QN43" s="610"/>
      <c r="QO43" s="610"/>
      <c r="QP43" s="610"/>
      <c r="QQ43" s="610"/>
      <c r="QR43" s="610"/>
      <c r="QS43" s="610"/>
      <c r="QT43" s="610"/>
      <c r="QU43" s="610"/>
      <c r="QV43" s="610"/>
      <c r="QW43" s="610"/>
      <c r="QX43" s="610"/>
      <c r="QY43" s="610"/>
      <c r="QZ43" s="610"/>
      <c r="RA43" s="610"/>
      <c r="RB43" s="610"/>
      <c r="RC43" s="610"/>
      <c r="RD43" s="610"/>
      <c r="RE43" s="610"/>
      <c r="RF43" s="610"/>
      <c r="RG43" s="610"/>
      <c r="RH43" s="610"/>
    </row>
    <row r="44" spans="2:476" ht="20.25" customHeight="1">
      <c r="B44" s="552">
        <v>45828</v>
      </c>
      <c r="C44" s="553">
        <v>16</v>
      </c>
      <c r="D44" s="554">
        <v>0</v>
      </c>
      <c r="E44" s="554">
        <v>2</v>
      </c>
      <c r="F44" s="555">
        <f t="shared" si="4"/>
        <v>7.4999999990686703</v>
      </c>
      <c r="G44" s="556"/>
      <c r="H44" s="557"/>
      <c r="I44" s="591"/>
      <c r="J44" s="591">
        <v>4.5</v>
      </c>
      <c r="K44" s="573"/>
      <c r="L44" s="576"/>
      <c r="M44" s="591"/>
      <c r="N44" s="591">
        <v>0.25000000011641499</v>
      </c>
      <c r="O44" s="576">
        <v>1.7500000008149099</v>
      </c>
      <c r="P44" s="557"/>
      <c r="Q44" s="557"/>
      <c r="R44" s="557"/>
      <c r="S44" s="557"/>
      <c r="T44" s="557"/>
      <c r="U44" s="557"/>
      <c r="V44" s="557"/>
      <c r="W44" s="557"/>
      <c r="X44" s="576"/>
      <c r="Y44" s="613">
        <v>1</v>
      </c>
      <c r="Z44" s="607">
        <f t="shared" si="5"/>
        <v>0</v>
      </c>
      <c r="AA44" s="607">
        <f t="shared" si="6"/>
        <v>6.5000000009313297</v>
      </c>
      <c r="AB44" s="608">
        <f t="shared" si="7"/>
        <v>1</v>
      </c>
      <c r="AC44" s="617"/>
      <c r="AD44" s="605"/>
      <c r="AE44" s="605"/>
      <c r="AF44" s="605"/>
      <c r="AG44" s="605"/>
      <c r="AH44" s="605"/>
      <c r="AI44" s="605"/>
      <c r="AJ44" s="605"/>
      <c r="AK44" s="605"/>
      <c r="AL44" s="605"/>
      <c r="AM44" s="605"/>
      <c r="AN44" s="605"/>
      <c r="AO44" s="605"/>
      <c r="AP44" s="605"/>
      <c r="AQ44" s="605"/>
      <c r="AR44" s="605"/>
      <c r="AS44" s="605"/>
      <c r="AT44" s="605"/>
      <c r="AU44" s="605"/>
      <c r="AV44" s="605"/>
      <c r="AW44" s="605"/>
      <c r="AX44" s="605"/>
      <c r="AY44" s="605"/>
      <c r="AZ44" s="605"/>
      <c r="BA44" s="605"/>
      <c r="BB44" s="605"/>
      <c r="BC44" s="605"/>
      <c r="BD44" s="605"/>
      <c r="BE44" s="605"/>
      <c r="BF44" s="605"/>
      <c r="BG44" s="605"/>
      <c r="BH44" s="605"/>
      <c r="BI44" s="605"/>
      <c r="BJ44" s="605"/>
      <c r="BK44" s="605"/>
      <c r="BL44" s="605"/>
      <c r="BM44" s="605"/>
      <c r="BN44" s="605"/>
      <c r="BO44" s="605"/>
      <c r="BP44" s="605"/>
      <c r="BQ44" s="605"/>
      <c r="BR44" s="605"/>
      <c r="BS44" s="605"/>
      <c r="BT44" s="605"/>
      <c r="BU44" s="605"/>
      <c r="BV44" s="605"/>
      <c r="BW44" s="605"/>
      <c r="BX44" s="605"/>
      <c r="BY44" s="605"/>
      <c r="BZ44" s="605"/>
      <c r="CA44" s="605"/>
      <c r="CB44" s="605"/>
      <c r="CC44" s="605"/>
      <c r="CD44" s="605"/>
      <c r="CE44" s="605"/>
      <c r="CF44" s="605"/>
      <c r="CG44" s="605"/>
      <c r="CH44" s="605"/>
      <c r="CI44" s="605"/>
      <c r="CJ44" s="605"/>
      <c r="CK44" s="605"/>
      <c r="CL44" s="605"/>
      <c r="CM44" s="605"/>
      <c r="CN44" s="605"/>
      <c r="CO44" s="605"/>
      <c r="CP44" s="605"/>
      <c r="CQ44" s="605"/>
      <c r="CR44" s="605"/>
      <c r="CS44" s="605"/>
      <c r="CT44" s="605"/>
      <c r="CU44" s="605"/>
      <c r="CV44" s="605"/>
      <c r="CW44" s="605"/>
      <c r="CX44" s="605"/>
      <c r="CY44" s="605"/>
      <c r="CZ44" s="605"/>
      <c r="DA44" s="605"/>
      <c r="DB44" s="605"/>
      <c r="DC44" s="605"/>
      <c r="DD44" s="605"/>
      <c r="DE44" s="605"/>
      <c r="DF44" s="605"/>
      <c r="DG44" s="605"/>
      <c r="DH44" s="605"/>
      <c r="DI44" s="605"/>
      <c r="DJ44" s="605"/>
      <c r="DK44" s="605"/>
      <c r="DL44" s="605"/>
      <c r="DM44" s="605"/>
      <c r="DN44" s="605"/>
      <c r="DO44" s="605"/>
      <c r="DP44" s="605"/>
      <c r="DQ44" s="605"/>
      <c r="DR44" s="605"/>
      <c r="DS44" s="605"/>
      <c r="DT44" s="605"/>
      <c r="DU44" s="605"/>
      <c r="DV44" s="605"/>
      <c r="DW44" s="605"/>
      <c r="DX44" s="605"/>
      <c r="DY44" s="605"/>
      <c r="DZ44" s="605"/>
      <c r="EA44" s="605"/>
      <c r="EB44" s="605"/>
      <c r="EC44" s="605"/>
      <c r="ED44" s="605"/>
      <c r="EE44" s="605"/>
      <c r="EF44" s="605"/>
      <c r="EG44" s="605"/>
      <c r="EH44" s="605"/>
      <c r="EI44" s="605"/>
      <c r="EJ44" s="605"/>
      <c r="EK44" s="605"/>
      <c r="EL44" s="605"/>
      <c r="EM44" s="605"/>
      <c r="EN44" s="605"/>
      <c r="EO44" s="605"/>
      <c r="EP44" s="605"/>
      <c r="EQ44" s="605"/>
      <c r="ER44" s="605"/>
      <c r="ES44" s="605"/>
      <c r="ET44" s="605"/>
      <c r="EU44" s="605"/>
      <c r="EV44" s="605"/>
      <c r="EW44" s="605"/>
      <c r="EX44" s="605"/>
      <c r="EY44" s="605"/>
      <c r="EZ44" s="605"/>
      <c r="FA44" s="605"/>
      <c r="FB44" s="605"/>
      <c r="FC44" s="605"/>
      <c r="FD44" s="605"/>
      <c r="FE44" s="605"/>
      <c r="FF44" s="605"/>
      <c r="FG44" s="605"/>
      <c r="FH44" s="605"/>
      <c r="FI44" s="605"/>
      <c r="FJ44" s="605"/>
      <c r="FK44" s="605"/>
      <c r="FL44" s="605"/>
      <c r="FM44" s="605"/>
      <c r="FN44" s="605"/>
      <c r="FO44" s="605"/>
      <c r="FP44" s="605"/>
      <c r="FQ44" s="605"/>
      <c r="FR44" s="605"/>
      <c r="FS44" s="605"/>
      <c r="FT44" s="605"/>
      <c r="FU44" s="605"/>
      <c r="FV44" s="605"/>
      <c r="FW44" s="605"/>
      <c r="FX44" s="605"/>
      <c r="FY44" s="605"/>
      <c r="FZ44" s="605"/>
      <c r="GA44" s="605"/>
      <c r="GB44" s="605"/>
      <c r="GC44" s="605"/>
      <c r="GD44" s="605"/>
      <c r="GE44" s="605"/>
      <c r="GF44" s="605"/>
      <c r="GG44" s="605"/>
      <c r="GH44" s="605"/>
      <c r="GI44" s="605"/>
      <c r="GJ44" s="605"/>
      <c r="GK44" s="605"/>
      <c r="GL44" s="605"/>
      <c r="GM44" s="605"/>
      <c r="GN44" s="605"/>
      <c r="GO44" s="605"/>
      <c r="GP44" s="605"/>
      <c r="GQ44" s="605"/>
      <c r="GR44" s="605"/>
      <c r="GS44" s="605"/>
      <c r="GT44" s="605"/>
      <c r="GU44" s="605"/>
      <c r="GV44" s="605"/>
      <c r="GW44" s="605"/>
      <c r="GX44" s="605"/>
      <c r="GY44" s="605"/>
      <c r="GZ44" s="605"/>
      <c r="HA44" s="605"/>
      <c r="HB44" s="605"/>
      <c r="HC44" s="605"/>
      <c r="HD44" s="605"/>
      <c r="HE44" s="605"/>
      <c r="HF44" s="605"/>
      <c r="HG44" s="605"/>
      <c r="HH44" s="605"/>
      <c r="HI44" s="605"/>
      <c r="HJ44" s="605"/>
      <c r="HK44" s="605"/>
      <c r="HL44" s="605"/>
      <c r="HM44" s="605"/>
      <c r="HN44" s="605"/>
      <c r="HO44" s="605"/>
      <c r="HP44" s="605"/>
      <c r="HQ44" s="605"/>
      <c r="HR44" s="605"/>
      <c r="HS44" s="605"/>
      <c r="HT44" s="605"/>
      <c r="HU44" s="605"/>
      <c r="HV44" s="605"/>
      <c r="HW44" s="605"/>
      <c r="HX44" s="605"/>
      <c r="HY44" s="605"/>
      <c r="HZ44" s="605"/>
      <c r="IA44" s="605"/>
      <c r="IB44" s="605"/>
      <c r="IC44" s="605"/>
      <c r="ID44" s="605"/>
      <c r="IE44" s="605"/>
      <c r="IF44" s="605"/>
      <c r="IG44" s="605"/>
      <c r="IH44" s="605"/>
      <c r="II44" s="605"/>
      <c r="IJ44" s="605"/>
      <c r="IK44" s="605"/>
      <c r="IL44" s="605"/>
      <c r="IM44" s="605"/>
      <c r="IN44" s="605"/>
      <c r="IO44" s="605"/>
      <c r="IP44" s="605"/>
      <c r="IQ44" s="605"/>
      <c r="IR44" s="605"/>
      <c r="IS44" s="605"/>
      <c r="IT44" s="605"/>
      <c r="IU44" s="605"/>
      <c r="IV44" s="605"/>
      <c r="IW44" s="605"/>
      <c r="IX44" s="605"/>
      <c r="IY44" s="605"/>
      <c r="IZ44" s="605"/>
      <c r="JA44" s="605"/>
      <c r="JB44" s="605"/>
      <c r="JC44" s="605"/>
      <c r="JD44" s="605"/>
      <c r="JE44" s="605"/>
      <c r="JF44" s="605"/>
      <c r="JG44" s="605"/>
      <c r="JH44" s="605"/>
      <c r="JI44" s="605"/>
      <c r="JJ44" s="605"/>
      <c r="JK44" s="605"/>
      <c r="JL44" s="605"/>
      <c r="JM44" s="605"/>
      <c r="JN44" s="605"/>
      <c r="JO44" s="605"/>
      <c r="JP44" s="605"/>
      <c r="JQ44" s="605"/>
      <c r="JR44" s="605"/>
      <c r="JS44" s="605"/>
      <c r="JT44" s="605"/>
      <c r="JU44" s="605"/>
      <c r="JV44" s="605"/>
      <c r="JW44" s="605"/>
      <c r="JX44" s="605"/>
      <c r="JY44" s="605"/>
      <c r="JZ44" s="605"/>
      <c r="KA44" s="605"/>
      <c r="KB44" s="605"/>
      <c r="KC44" s="605"/>
      <c r="KD44" s="605"/>
      <c r="KE44" s="605"/>
      <c r="KF44" s="605"/>
      <c r="KG44" s="605"/>
      <c r="KH44" s="605"/>
      <c r="KI44" s="605"/>
      <c r="KJ44" s="605"/>
      <c r="KK44" s="605"/>
      <c r="KL44" s="605"/>
      <c r="KM44" s="605"/>
      <c r="KN44" s="605"/>
      <c r="KO44" s="605"/>
      <c r="KP44" s="605"/>
      <c r="KQ44" s="605"/>
      <c r="KR44" s="605"/>
      <c r="KS44" s="605"/>
      <c r="KT44" s="605"/>
      <c r="KU44" s="605"/>
      <c r="KV44" s="605"/>
      <c r="KW44" s="605"/>
      <c r="KX44" s="605"/>
      <c r="KY44" s="605"/>
      <c r="KZ44" s="605"/>
      <c r="LA44" s="605"/>
      <c r="LB44" s="605"/>
      <c r="LC44" s="605"/>
      <c r="LD44" s="605"/>
      <c r="LE44" s="605"/>
      <c r="LF44" s="605"/>
      <c r="LG44" s="605"/>
      <c r="LH44" s="605"/>
      <c r="LI44" s="605"/>
      <c r="LJ44" s="605"/>
      <c r="LK44" s="605"/>
      <c r="LL44" s="605"/>
      <c r="LM44" s="605"/>
      <c r="LN44" s="605"/>
      <c r="LO44" s="605"/>
      <c r="LP44" s="605"/>
      <c r="LQ44" s="605"/>
      <c r="LR44" s="605"/>
      <c r="LS44" s="605"/>
      <c r="LT44" s="605"/>
      <c r="LU44" s="605"/>
      <c r="LV44" s="605"/>
      <c r="LW44" s="605"/>
      <c r="LX44" s="605"/>
      <c r="LY44" s="605"/>
      <c r="LZ44" s="605"/>
      <c r="MA44" s="605"/>
      <c r="MB44" s="605"/>
      <c r="MC44" s="605"/>
      <c r="MD44" s="605"/>
      <c r="ME44" s="605"/>
      <c r="MF44" s="605"/>
      <c r="MG44" s="605"/>
      <c r="MH44" s="605"/>
      <c r="MI44" s="605"/>
      <c r="MJ44" s="605"/>
      <c r="MK44" s="605"/>
      <c r="ML44" s="605"/>
      <c r="MM44" s="605"/>
      <c r="MN44" s="605"/>
      <c r="MO44" s="605"/>
      <c r="MP44" s="605"/>
      <c r="MQ44" s="605"/>
      <c r="MR44" s="605"/>
      <c r="MS44" s="605"/>
      <c r="MT44" s="605"/>
      <c r="MU44" s="605"/>
      <c r="MV44" s="605"/>
      <c r="MW44" s="605"/>
      <c r="MX44" s="605"/>
      <c r="MY44" s="605"/>
      <c r="MZ44" s="605"/>
      <c r="NA44" s="605"/>
      <c r="NB44" s="605"/>
      <c r="NC44" s="605"/>
      <c r="ND44" s="605"/>
      <c r="NE44" s="605"/>
      <c r="NF44" s="605"/>
      <c r="NG44" s="605"/>
      <c r="NH44" s="605"/>
      <c r="NI44" s="605"/>
      <c r="NJ44" s="605"/>
      <c r="NK44" s="605"/>
      <c r="NL44" s="605"/>
      <c r="NM44" s="605"/>
      <c r="NN44" s="605"/>
      <c r="NO44" s="605"/>
      <c r="NP44" s="605"/>
      <c r="NQ44" s="605"/>
      <c r="NR44" s="605"/>
      <c r="NS44" s="605"/>
      <c r="NT44" s="605"/>
      <c r="NU44" s="605"/>
      <c r="NV44" s="605"/>
      <c r="NW44" s="605"/>
      <c r="NX44" s="605"/>
      <c r="NY44" s="605"/>
      <c r="NZ44" s="605"/>
      <c r="OA44" s="605"/>
      <c r="OB44" s="605"/>
      <c r="OC44" s="605"/>
      <c r="OD44" s="605"/>
      <c r="OE44" s="605"/>
      <c r="OF44" s="605"/>
      <c r="OG44" s="605"/>
      <c r="OH44" s="605"/>
      <c r="OI44" s="605"/>
      <c r="OJ44" s="605"/>
      <c r="OK44" s="605"/>
      <c r="OL44" s="605"/>
      <c r="OM44" s="605"/>
      <c r="ON44" s="605"/>
      <c r="OO44" s="605"/>
      <c r="OP44" s="605"/>
      <c r="OQ44" s="605"/>
      <c r="OR44" s="605"/>
      <c r="OS44" s="605"/>
      <c r="OT44" s="605"/>
      <c r="OU44" s="605"/>
      <c r="OV44" s="605"/>
      <c r="OW44" s="605"/>
      <c r="OX44" s="605"/>
      <c r="OY44" s="605"/>
      <c r="OZ44" s="605"/>
      <c r="PA44" s="605"/>
      <c r="PB44" s="605"/>
      <c r="PC44" s="605"/>
      <c r="PD44" s="605"/>
      <c r="PE44" s="605"/>
      <c r="PF44" s="605"/>
      <c r="PG44" s="605"/>
      <c r="PH44" s="605"/>
      <c r="PI44" s="605"/>
      <c r="PJ44" s="605"/>
      <c r="PK44" s="605"/>
      <c r="PL44" s="605"/>
      <c r="PM44" s="605"/>
      <c r="PN44" s="605"/>
      <c r="PO44" s="605"/>
      <c r="PP44" s="605"/>
      <c r="PQ44" s="605"/>
      <c r="PR44" s="605"/>
      <c r="PS44" s="605"/>
      <c r="PT44" s="605"/>
      <c r="PU44" s="605"/>
      <c r="PV44" s="605"/>
      <c r="PW44" s="605"/>
      <c r="PX44" s="605"/>
      <c r="PY44" s="605"/>
      <c r="PZ44" s="605"/>
      <c r="QA44" s="605"/>
      <c r="QB44" s="605"/>
      <c r="QC44" s="605"/>
      <c r="QD44" s="605"/>
      <c r="QE44" s="605"/>
      <c r="QF44" s="605"/>
      <c r="QG44" s="605"/>
      <c r="QH44" s="605"/>
      <c r="QI44" s="605"/>
      <c r="QJ44" s="605"/>
      <c r="QK44" s="605"/>
      <c r="QL44" s="605"/>
      <c r="QM44" s="605"/>
      <c r="QN44" s="605"/>
      <c r="QO44" s="605"/>
      <c r="QP44" s="605"/>
      <c r="QQ44" s="605"/>
      <c r="QR44" s="605"/>
      <c r="QS44" s="605"/>
      <c r="QT44" s="605"/>
      <c r="QU44" s="605"/>
      <c r="QV44" s="605"/>
      <c r="QW44" s="605"/>
      <c r="QX44" s="605"/>
      <c r="QY44" s="605"/>
      <c r="QZ44" s="605"/>
      <c r="RA44" s="605"/>
      <c r="RB44" s="605"/>
      <c r="RC44" s="605"/>
      <c r="RD44" s="605"/>
      <c r="RE44" s="605"/>
      <c r="RF44" s="605"/>
      <c r="RG44" s="605"/>
      <c r="RH44" s="605"/>
    </row>
    <row r="45" spans="2:476" ht="20.25" customHeight="1">
      <c r="B45" s="552"/>
      <c r="C45" s="553">
        <v>16</v>
      </c>
      <c r="D45" s="554">
        <v>0</v>
      </c>
      <c r="E45" s="554">
        <v>2</v>
      </c>
      <c r="F45" s="555">
        <f t="shared" si="4"/>
        <v>4.4166666658129499</v>
      </c>
      <c r="G45" s="556"/>
      <c r="H45" s="573"/>
      <c r="I45" s="591"/>
      <c r="J45" s="576">
        <v>9.5000000007566996</v>
      </c>
      <c r="K45" s="560"/>
      <c r="L45" s="557"/>
      <c r="M45" s="576"/>
      <c r="N45" s="576">
        <v>8.3333333430346102E-2</v>
      </c>
      <c r="O45" s="560">
        <v>0</v>
      </c>
      <c r="P45" s="557"/>
      <c r="Q45" s="557"/>
      <c r="R45" s="557"/>
      <c r="S45" s="560"/>
      <c r="T45" s="557"/>
      <c r="U45" s="557"/>
      <c r="V45" s="557"/>
      <c r="W45" s="573"/>
      <c r="X45" s="557"/>
      <c r="Y45" s="613">
        <v>2</v>
      </c>
      <c r="Z45" s="607">
        <f t="shared" si="5"/>
        <v>0</v>
      </c>
      <c r="AA45" s="607">
        <f t="shared" si="6"/>
        <v>9.5833333341870492</v>
      </c>
      <c r="AB45" s="608">
        <f t="shared" si="7"/>
        <v>1</v>
      </c>
      <c r="AC45" s="625"/>
      <c r="AD45" s="605"/>
      <c r="AE45" s="605"/>
      <c r="AF45" s="605"/>
      <c r="AG45" s="605"/>
      <c r="AH45" s="605"/>
      <c r="AI45" s="605"/>
      <c r="AJ45" s="605"/>
      <c r="AK45" s="605"/>
      <c r="AL45" s="605"/>
      <c r="AM45" s="605"/>
      <c r="AN45" s="605"/>
      <c r="AO45" s="605"/>
      <c r="AP45" s="605"/>
      <c r="AQ45" s="605"/>
      <c r="AR45" s="605"/>
      <c r="AS45" s="605"/>
      <c r="AT45" s="605"/>
      <c r="AU45" s="605"/>
      <c r="AV45" s="605"/>
      <c r="AW45" s="605"/>
      <c r="AX45" s="605"/>
      <c r="AY45" s="605"/>
      <c r="AZ45" s="605"/>
      <c r="BA45" s="605"/>
      <c r="BB45" s="605"/>
      <c r="BC45" s="605"/>
      <c r="BD45" s="605"/>
      <c r="BE45" s="605"/>
      <c r="BF45" s="605"/>
      <c r="BG45" s="605"/>
      <c r="BH45" s="605"/>
      <c r="BI45" s="605"/>
      <c r="BJ45" s="605"/>
      <c r="BK45" s="605"/>
      <c r="BL45" s="605"/>
      <c r="BM45" s="605"/>
      <c r="BN45" s="605"/>
      <c r="BO45" s="605"/>
      <c r="BP45" s="605"/>
      <c r="BQ45" s="605"/>
      <c r="BR45" s="605"/>
      <c r="BS45" s="605"/>
      <c r="BT45" s="605"/>
      <c r="BU45" s="605"/>
      <c r="BV45" s="605"/>
      <c r="BW45" s="605"/>
      <c r="BX45" s="605"/>
      <c r="BY45" s="605"/>
      <c r="BZ45" s="605"/>
      <c r="CA45" s="605"/>
      <c r="CB45" s="605"/>
      <c r="CC45" s="605"/>
      <c r="CD45" s="605"/>
      <c r="CE45" s="605"/>
      <c r="CF45" s="605"/>
      <c r="CG45" s="605"/>
      <c r="CH45" s="605"/>
      <c r="CI45" s="605"/>
      <c r="CJ45" s="605"/>
      <c r="CK45" s="605"/>
      <c r="CL45" s="605"/>
      <c r="CM45" s="605"/>
      <c r="CN45" s="605"/>
      <c r="CO45" s="605"/>
      <c r="CP45" s="605"/>
      <c r="CQ45" s="605"/>
      <c r="CR45" s="605"/>
      <c r="CS45" s="605"/>
      <c r="CT45" s="605"/>
      <c r="CU45" s="605"/>
      <c r="CV45" s="605"/>
      <c r="CW45" s="605"/>
      <c r="CX45" s="605"/>
      <c r="CY45" s="605"/>
      <c r="CZ45" s="605"/>
      <c r="DA45" s="605"/>
      <c r="DB45" s="605"/>
      <c r="DC45" s="605"/>
      <c r="DD45" s="605"/>
      <c r="DE45" s="605"/>
      <c r="DF45" s="605"/>
      <c r="DG45" s="605"/>
      <c r="DH45" s="605"/>
      <c r="DI45" s="605"/>
      <c r="DJ45" s="605"/>
      <c r="DK45" s="605"/>
      <c r="DL45" s="605"/>
      <c r="DM45" s="605"/>
      <c r="DN45" s="605"/>
      <c r="DO45" s="605"/>
      <c r="DP45" s="605"/>
      <c r="DQ45" s="605"/>
      <c r="DR45" s="605"/>
      <c r="DS45" s="605"/>
      <c r="DT45" s="605"/>
      <c r="DU45" s="605"/>
      <c r="DV45" s="605"/>
      <c r="DW45" s="605"/>
      <c r="DX45" s="605"/>
      <c r="DY45" s="605"/>
      <c r="DZ45" s="605"/>
      <c r="EA45" s="605"/>
      <c r="EB45" s="605"/>
      <c r="EC45" s="605"/>
      <c r="ED45" s="605"/>
      <c r="EE45" s="605"/>
      <c r="EF45" s="605"/>
      <c r="EG45" s="605"/>
      <c r="EH45" s="605"/>
      <c r="EI45" s="605"/>
      <c r="EJ45" s="605"/>
      <c r="EK45" s="605"/>
      <c r="EL45" s="605"/>
      <c r="EM45" s="605"/>
      <c r="EN45" s="605"/>
      <c r="EO45" s="605"/>
      <c r="EP45" s="605"/>
      <c r="EQ45" s="605"/>
      <c r="ER45" s="605"/>
      <c r="ES45" s="605"/>
      <c r="ET45" s="605"/>
      <c r="EU45" s="605"/>
      <c r="EV45" s="605"/>
      <c r="EW45" s="605"/>
      <c r="EX45" s="605"/>
      <c r="EY45" s="605"/>
      <c r="EZ45" s="605"/>
      <c r="FA45" s="605"/>
      <c r="FB45" s="605"/>
      <c r="FC45" s="605"/>
      <c r="FD45" s="605"/>
      <c r="FE45" s="605"/>
      <c r="FF45" s="605"/>
      <c r="FG45" s="605"/>
      <c r="FH45" s="605"/>
      <c r="FI45" s="605"/>
      <c r="FJ45" s="605"/>
      <c r="FK45" s="605"/>
      <c r="FL45" s="605"/>
      <c r="FM45" s="605"/>
      <c r="FN45" s="605"/>
      <c r="FO45" s="605"/>
      <c r="FP45" s="605"/>
      <c r="FQ45" s="605"/>
      <c r="FR45" s="605"/>
      <c r="FS45" s="605"/>
      <c r="FT45" s="605"/>
      <c r="FU45" s="605"/>
      <c r="FV45" s="605"/>
      <c r="FW45" s="605"/>
      <c r="FX45" s="605"/>
      <c r="FY45" s="605"/>
      <c r="FZ45" s="605"/>
      <c r="GA45" s="605"/>
      <c r="GB45" s="605"/>
      <c r="GC45" s="605"/>
      <c r="GD45" s="605"/>
      <c r="GE45" s="605"/>
      <c r="GF45" s="605"/>
      <c r="GG45" s="605"/>
      <c r="GH45" s="605"/>
      <c r="GI45" s="605"/>
      <c r="GJ45" s="605"/>
      <c r="GK45" s="605"/>
      <c r="GL45" s="605"/>
      <c r="GM45" s="605"/>
      <c r="GN45" s="605"/>
      <c r="GO45" s="605"/>
      <c r="GP45" s="605"/>
      <c r="GQ45" s="605"/>
      <c r="GR45" s="605"/>
      <c r="GS45" s="605"/>
      <c r="GT45" s="605"/>
      <c r="GU45" s="605"/>
      <c r="GV45" s="605"/>
      <c r="GW45" s="605"/>
      <c r="GX45" s="605"/>
      <c r="GY45" s="605"/>
      <c r="GZ45" s="605"/>
      <c r="HA45" s="605"/>
      <c r="HB45" s="605"/>
      <c r="HC45" s="605"/>
      <c r="HD45" s="605"/>
      <c r="HE45" s="605"/>
      <c r="HF45" s="605"/>
      <c r="HG45" s="605"/>
      <c r="HH45" s="605"/>
      <c r="HI45" s="605"/>
      <c r="HJ45" s="605"/>
      <c r="HK45" s="605"/>
      <c r="HL45" s="605"/>
      <c r="HM45" s="605"/>
      <c r="HN45" s="605"/>
      <c r="HO45" s="605"/>
      <c r="HP45" s="605"/>
      <c r="HQ45" s="605"/>
      <c r="HR45" s="605"/>
      <c r="HS45" s="605"/>
      <c r="HT45" s="605"/>
      <c r="HU45" s="605"/>
      <c r="HV45" s="605"/>
      <c r="HW45" s="605"/>
      <c r="HX45" s="605"/>
      <c r="HY45" s="605"/>
      <c r="HZ45" s="605"/>
      <c r="IA45" s="605"/>
      <c r="IB45" s="605"/>
      <c r="IC45" s="605"/>
      <c r="ID45" s="605"/>
      <c r="IE45" s="605"/>
      <c r="IF45" s="605"/>
      <c r="IG45" s="605"/>
      <c r="IH45" s="605"/>
      <c r="II45" s="605"/>
      <c r="IJ45" s="605"/>
      <c r="IK45" s="605"/>
      <c r="IL45" s="605"/>
      <c r="IM45" s="605"/>
      <c r="IN45" s="605"/>
      <c r="IO45" s="605"/>
      <c r="IP45" s="605"/>
      <c r="IQ45" s="605"/>
      <c r="IR45" s="605"/>
      <c r="IS45" s="605"/>
      <c r="IT45" s="605"/>
      <c r="IU45" s="605"/>
      <c r="IV45" s="605"/>
      <c r="IW45" s="605"/>
      <c r="IX45" s="605"/>
      <c r="IY45" s="605"/>
      <c r="IZ45" s="605"/>
      <c r="JA45" s="605"/>
      <c r="JB45" s="605"/>
      <c r="JC45" s="605"/>
      <c r="JD45" s="605"/>
      <c r="JE45" s="605"/>
      <c r="JF45" s="605"/>
      <c r="JG45" s="605"/>
      <c r="JH45" s="605"/>
      <c r="JI45" s="605"/>
      <c r="JJ45" s="605"/>
      <c r="JK45" s="605"/>
      <c r="JL45" s="605"/>
      <c r="JM45" s="605"/>
      <c r="JN45" s="605"/>
      <c r="JO45" s="605"/>
      <c r="JP45" s="605"/>
      <c r="JQ45" s="605"/>
      <c r="JR45" s="605"/>
      <c r="JS45" s="605"/>
      <c r="JT45" s="605"/>
      <c r="JU45" s="605"/>
      <c r="JV45" s="605"/>
      <c r="JW45" s="605"/>
      <c r="JX45" s="605"/>
      <c r="JY45" s="605"/>
      <c r="JZ45" s="605"/>
      <c r="KA45" s="605"/>
      <c r="KB45" s="605"/>
      <c r="KC45" s="605"/>
      <c r="KD45" s="605"/>
      <c r="KE45" s="605"/>
      <c r="KF45" s="605"/>
      <c r="KG45" s="605"/>
      <c r="KH45" s="605"/>
      <c r="KI45" s="605"/>
      <c r="KJ45" s="605"/>
      <c r="KK45" s="605"/>
      <c r="KL45" s="605"/>
      <c r="KM45" s="605"/>
      <c r="KN45" s="605"/>
      <c r="KO45" s="605"/>
      <c r="KP45" s="605"/>
      <c r="KQ45" s="605"/>
      <c r="KR45" s="605"/>
      <c r="KS45" s="605"/>
      <c r="KT45" s="605"/>
      <c r="KU45" s="605"/>
      <c r="KV45" s="605"/>
      <c r="KW45" s="605"/>
      <c r="KX45" s="605"/>
      <c r="KY45" s="605"/>
      <c r="KZ45" s="605"/>
      <c r="LA45" s="605"/>
      <c r="LB45" s="605"/>
      <c r="LC45" s="605"/>
      <c r="LD45" s="605"/>
      <c r="LE45" s="605"/>
      <c r="LF45" s="605"/>
      <c r="LG45" s="605"/>
      <c r="LH45" s="605"/>
      <c r="LI45" s="605"/>
      <c r="LJ45" s="605"/>
      <c r="LK45" s="605"/>
      <c r="LL45" s="605"/>
      <c r="LM45" s="605"/>
      <c r="LN45" s="605"/>
      <c r="LO45" s="605"/>
      <c r="LP45" s="605"/>
      <c r="LQ45" s="605"/>
      <c r="LR45" s="605"/>
      <c r="LS45" s="605"/>
      <c r="LT45" s="605"/>
      <c r="LU45" s="605"/>
      <c r="LV45" s="605"/>
      <c r="LW45" s="605"/>
      <c r="LX45" s="605"/>
      <c r="LY45" s="605"/>
      <c r="LZ45" s="605"/>
      <c r="MA45" s="605"/>
      <c r="MB45" s="605"/>
      <c r="MC45" s="605"/>
      <c r="MD45" s="605"/>
      <c r="ME45" s="605"/>
      <c r="MF45" s="605"/>
      <c r="MG45" s="605"/>
      <c r="MH45" s="605"/>
      <c r="MI45" s="605"/>
      <c r="MJ45" s="605"/>
      <c r="MK45" s="605"/>
      <c r="ML45" s="605"/>
      <c r="MM45" s="605"/>
      <c r="MN45" s="605"/>
      <c r="MO45" s="605"/>
      <c r="MP45" s="605"/>
      <c r="MQ45" s="605"/>
      <c r="MR45" s="605"/>
      <c r="MS45" s="605"/>
      <c r="MT45" s="605"/>
      <c r="MU45" s="605"/>
      <c r="MV45" s="605"/>
      <c r="MW45" s="605"/>
      <c r="MX45" s="605"/>
      <c r="MY45" s="605"/>
      <c r="MZ45" s="605"/>
      <c r="NA45" s="605"/>
      <c r="NB45" s="605"/>
      <c r="NC45" s="605"/>
      <c r="ND45" s="605"/>
      <c r="NE45" s="605"/>
      <c r="NF45" s="605"/>
      <c r="NG45" s="605"/>
      <c r="NH45" s="605"/>
      <c r="NI45" s="605"/>
      <c r="NJ45" s="605"/>
      <c r="NK45" s="605"/>
      <c r="NL45" s="605"/>
      <c r="NM45" s="605"/>
      <c r="NN45" s="605"/>
      <c r="NO45" s="605"/>
      <c r="NP45" s="605"/>
      <c r="NQ45" s="605"/>
      <c r="NR45" s="605"/>
      <c r="NS45" s="605"/>
      <c r="NT45" s="605"/>
      <c r="NU45" s="605"/>
      <c r="NV45" s="605"/>
      <c r="NW45" s="605"/>
      <c r="NX45" s="605"/>
      <c r="NY45" s="605"/>
      <c r="NZ45" s="605"/>
      <c r="OA45" s="605"/>
      <c r="OB45" s="605"/>
      <c r="OC45" s="605"/>
      <c r="OD45" s="605"/>
      <c r="OE45" s="605"/>
      <c r="OF45" s="605"/>
      <c r="OG45" s="605"/>
      <c r="OH45" s="605"/>
      <c r="OI45" s="605"/>
      <c r="OJ45" s="605"/>
      <c r="OK45" s="605"/>
      <c r="OL45" s="605"/>
      <c r="OM45" s="605"/>
      <c r="ON45" s="605"/>
      <c r="OO45" s="605"/>
      <c r="OP45" s="605"/>
      <c r="OQ45" s="605"/>
      <c r="OR45" s="605"/>
      <c r="OS45" s="605"/>
      <c r="OT45" s="605"/>
      <c r="OU45" s="605"/>
      <c r="OV45" s="605"/>
      <c r="OW45" s="605"/>
      <c r="OX45" s="605"/>
      <c r="OY45" s="605"/>
      <c r="OZ45" s="605"/>
      <c r="PA45" s="605"/>
      <c r="PB45" s="605"/>
      <c r="PC45" s="605"/>
      <c r="PD45" s="605"/>
      <c r="PE45" s="605"/>
      <c r="PF45" s="605"/>
      <c r="PG45" s="605"/>
      <c r="PH45" s="605"/>
      <c r="PI45" s="605"/>
      <c r="PJ45" s="605"/>
      <c r="PK45" s="605"/>
      <c r="PL45" s="605"/>
      <c r="PM45" s="605"/>
      <c r="PN45" s="605"/>
      <c r="PO45" s="605"/>
      <c r="PP45" s="605"/>
      <c r="PQ45" s="605"/>
      <c r="PR45" s="605"/>
      <c r="PS45" s="605"/>
      <c r="PT45" s="605"/>
      <c r="PU45" s="605"/>
      <c r="PV45" s="605"/>
      <c r="PW45" s="605"/>
      <c r="PX45" s="605"/>
      <c r="PY45" s="605"/>
      <c r="PZ45" s="605"/>
      <c r="QA45" s="605"/>
      <c r="QB45" s="605"/>
      <c r="QC45" s="605"/>
      <c r="QD45" s="605"/>
      <c r="QE45" s="605"/>
      <c r="QF45" s="605"/>
      <c r="QG45" s="605"/>
      <c r="QH45" s="605"/>
      <c r="QI45" s="605"/>
      <c r="QJ45" s="605"/>
      <c r="QK45" s="605"/>
      <c r="QL45" s="605"/>
      <c r="QM45" s="605"/>
      <c r="QN45" s="605"/>
      <c r="QO45" s="605"/>
      <c r="QP45" s="605"/>
      <c r="QQ45" s="605"/>
      <c r="QR45" s="605"/>
      <c r="QS45" s="605"/>
      <c r="QT45" s="605"/>
      <c r="QU45" s="605"/>
      <c r="QV45" s="605"/>
      <c r="QW45" s="605"/>
      <c r="QX45" s="605"/>
      <c r="QY45" s="605"/>
      <c r="QZ45" s="605"/>
      <c r="RA45" s="605"/>
      <c r="RB45" s="605"/>
      <c r="RC45" s="605"/>
      <c r="RD45" s="605"/>
      <c r="RE45" s="605"/>
      <c r="RF45" s="605"/>
      <c r="RG45" s="605"/>
      <c r="RH45" s="605"/>
    </row>
    <row r="46" spans="2:476" s="529" customFormat="1" ht="20.100000000000001" customHeight="1">
      <c r="B46" s="558">
        <v>45829</v>
      </c>
      <c r="C46" s="547">
        <v>16</v>
      </c>
      <c r="D46" s="548">
        <v>0</v>
      </c>
      <c r="E46" s="548">
        <v>2</v>
      </c>
      <c r="F46" s="549">
        <f t="shared" si="4"/>
        <v>-5.82005554861098E-11</v>
      </c>
      <c r="G46" s="550"/>
      <c r="H46" s="551"/>
      <c r="I46" s="592"/>
      <c r="J46" s="572">
        <v>14.000000000058201</v>
      </c>
      <c r="K46" s="586"/>
      <c r="L46" s="551"/>
      <c r="M46" s="569"/>
      <c r="N46" s="569"/>
      <c r="O46" s="572"/>
      <c r="P46" s="551"/>
      <c r="Q46" s="551"/>
      <c r="R46" s="551"/>
      <c r="S46" s="551"/>
      <c r="T46" s="572"/>
      <c r="U46" s="551"/>
      <c r="V46" s="551"/>
      <c r="W46" s="551"/>
      <c r="X46" s="572"/>
      <c r="Y46" s="614">
        <v>1</v>
      </c>
      <c r="Z46" s="607">
        <f t="shared" si="5"/>
        <v>0</v>
      </c>
      <c r="AA46" s="607">
        <f t="shared" si="6"/>
        <v>14.000000000058201</v>
      </c>
      <c r="AB46" s="608">
        <f t="shared" si="7"/>
        <v>1</v>
      </c>
      <c r="AC46" s="617" t="s">
        <v>53</v>
      </c>
      <c r="AD46" s="620"/>
      <c r="AE46" s="620"/>
      <c r="AF46" s="620"/>
      <c r="AG46" s="620"/>
      <c r="AH46" s="620"/>
      <c r="AI46" s="620"/>
      <c r="AJ46" s="620"/>
      <c r="AK46" s="620"/>
      <c r="AL46" s="620"/>
      <c r="AM46" s="620"/>
      <c r="AN46" s="620"/>
      <c r="AO46" s="620"/>
      <c r="AP46" s="620"/>
      <c r="AQ46" s="620"/>
      <c r="AR46" s="620"/>
      <c r="AS46" s="620"/>
      <c r="AT46" s="620"/>
      <c r="AU46" s="620"/>
      <c r="AV46" s="620"/>
      <c r="AW46" s="620"/>
      <c r="AX46" s="620"/>
      <c r="AY46" s="620"/>
      <c r="AZ46" s="620"/>
      <c r="BA46" s="620"/>
      <c r="BB46" s="620"/>
      <c r="BC46" s="620"/>
      <c r="BD46" s="620"/>
      <c r="BE46" s="620"/>
      <c r="BF46" s="620"/>
      <c r="BG46" s="620"/>
      <c r="BH46" s="620"/>
      <c r="BI46" s="620"/>
      <c r="BJ46" s="620"/>
      <c r="BK46" s="620"/>
      <c r="BL46" s="620"/>
      <c r="BM46" s="620"/>
      <c r="BN46" s="620"/>
      <c r="BO46" s="620"/>
      <c r="BP46" s="620"/>
      <c r="BQ46" s="620"/>
      <c r="BR46" s="620"/>
      <c r="BS46" s="620"/>
      <c r="BT46" s="620"/>
      <c r="BU46" s="620"/>
      <c r="BV46" s="620"/>
      <c r="BW46" s="620"/>
      <c r="BX46" s="620"/>
      <c r="BY46" s="620"/>
      <c r="BZ46" s="620"/>
      <c r="CA46" s="620"/>
      <c r="CB46" s="620"/>
      <c r="CC46" s="620"/>
      <c r="CD46" s="620"/>
      <c r="CE46" s="620"/>
      <c r="CF46" s="620"/>
      <c r="CG46" s="620"/>
      <c r="CH46" s="620"/>
      <c r="CI46" s="620"/>
      <c r="CJ46" s="620"/>
      <c r="CK46" s="620"/>
      <c r="CL46" s="620"/>
      <c r="CM46" s="620"/>
      <c r="CN46" s="620"/>
      <c r="CO46" s="620"/>
      <c r="CP46" s="620"/>
      <c r="CQ46" s="620"/>
      <c r="CR46" s="620"/>
      <c r="CS46" s="620"/>
      <c r="CT46" s="620"/>
      <c r="CU46" s="620"/>
      <c r="CV46" s="620"/>
      <c r="CW46" s="620"/>
      <c r="CX46" s="620"/>
      <c r="CY46" s="620"/>
      <c r="CZ46" s="620"/>
      <c r="DA46" s="620"/>
      <c r="DB46" s="620"/>
      <c r="DC46" s="620"/>
      <c r="DD46" s="620"/>
      <c r="DE46" s="620"/>
      <c r="DF46" s="620"/>
      <c r="DG46" s="620"/>
      <c r="DH46" s="620"/>
      <c r="DI46" s="620"/>
      <c r="DJ46" s="620"/>
      <c r="DK46" s="620"/>
      <c r="DL46" s="620"/>
      <c r="DM46" s="620"/>
      <c r="DN46" s="620"/>
      <c r="DO46" s="620"/>
      <c r="DP46" s="620"/>
      <c r="DQ46" s="620"/>
      <c r="DR46" s="620"/>
      <c r="DS46" s="620"/>
      <c r="DT46" s="620"/>
      <c r="DU46" s="620"/>
      <c r="DV46" s="620"/>
      <c r="DW46" s="620"/>
      <c r="DX46" s="620"/>
      <c r="DY46" s="620"/>
      <c r="DZ46" s="620"/>
      <c r="EA46" s="620"/>
      <c r="EB46" s="620"/>
      <c r="EC46" s="620"/>
      <c r="ED46" s="620"/>
      <c r="EE46" s="620"/>
      <c r="EF46" s="620"/>
      <c r="EG46" s="620"/>
      <c r="EH46" s="620"/>
      <c r="EI46" s="620"/>
      <c r="EJ46" s="620"/>
      <c r="EK46" s="620"/>
      <c r="EL46" s="620"/>
      <c r="EM46" s="620"/>
      <c r="EN46" s="620"/>
      <c r="EO46" s="620"/>
      <c r="EP46" s="620"/>
      <c r="EQ46" s="620"/>
      <c r="ER46" s="620"/>
      <c r="ES46" s="620"/>
      <c r="ET46" s="620"/>
      <c r="EU46" s="620"/>
      <c r="EV46" s="620"/>
      <c r="EW46" s="620"/>
      <c r="EX46" s="620"/>
      <c r="EY46" s="620"/>
      <c r="EZ46" s="620"/>
      <c r="FA46" s="620"/>
      <c r="FB46" s="620"/>
      <c r="FC46" s="620"/>
      <c r="FD46" s="620"/>
      <c r="FE46" s="620"/>
      <c r="FF46" s="620"/>
      <c r="FG46" s="620"/>
      <c r="FH46" s="620"/>
      <c r="FI46" s="620"/>
      <c r="FJ46" s="620"/>
      <c r="FK46" s="620"/>
      <c r="FL46" s="620"/>
      <c r="FM46" s="620"/>
      <c r="FN46" s="620"/>
      <c r="FO46" s="620"/>
      <c r="FP46" s="620"/>
      <c r="FQ46" s="620"/>
      <c r="FR46" s="620"/>
      <c r="FS46" s="620"/>
      <c r="FT46" s="620"/>
      <c r="FU46" s="620"/>
      <c r="FV46" s="620"/>
      <c r="FW46" s="620"/>
      <c r="FX46" s="620"/>
      <c r="FY46" s="620"/>
      <c r="FZ46" s="620"/>
      <c r="GA46" s="620"/>
      <c r="GB46" s="620"/>
      <c r="GC46" s="620"/>
      <c r="GD46" s="620"/>
      <c r="GE46" s="620"/>
      <c r="GF46" s="620"/>
      <c r="GG46" s="620"/>
      <c r="GH46" s="620"/>
      <c r="GI46" s="620"/>
      <c r="GJ46" s="620"/>
      <c r="GK46" s="620"/>
      <c r="GL46" s="620"/>
      <c r="GM46" s="620"/>
      <c r="GN46" s="620"/>
      <c r="GO46" s="620"/>
      <c r="GP46" s="620"/>
      <c r="GQ46" s="620"/>
      <c r="GR46" s="620"/>
      <c r="GS46" s="620"/>
      <c r="GT46" s="620"/>
      <c r="GU46" s="620"/>
      <c r="GV46" s="620"/>
      <c r="GW46" s="620"/>
      <c r="GX46" s="620"/>
      <c r="GY46" s="620"/>
      <c r="GZ46" s="620"/>
      <c r="HA46" s="620"/>
      <c r="HB46" s="620"/>
      <c r="HC46" s="620"/>
      <c r="HD46" s="620"/>
      <c r="HE46" s="620"/>
      <c r="HF46" s="620"/>
      <c r="HG46" s="620"/>
      <c r="HH46" s="620"/>
      <c r="HI46" s="620"/>
      <c r="HJ46" s="620"/>
      <c r="HK46" s="620"/>
      <c r="HL46" s="620"/>
      <c r="HM46" s="620"/>
      <c r="HN46" s="620"/>
      <c r="HO46" s="620"/>
      <c r="HP46" s="620"/>
      <c r="HQ46" s="620"/>
      <c r="HR46" s="620"/>
      <c r="HS46" s="620"/>
      <c r="HT46" s="620"/>
      <c r="HU46" s="620"/>
      <c r="HV46" s="620"/>
      <c r="HW46" s="620"/>
      <c r="HX46" s="620"/>
      <c r="HY46" s="620"/>
      <c r="HZ46" s="620"/>
      <c r="IA46" s="620"/>
      <c r="IB46" s="620"/>
      <c r="IC46" s="620"/>
      <c r="ID46" s="620"/>
      <c r="IE46" s="620"/>
      <c r="IF46" s="620"/>
      <c r="IG46" s="620"/>
      <c r="IH46" s="620"/>
      <c r="II46" s="620"/>
      <c r="IJ46" s="620"/>
      <c r="IK46" s="620"/>
      <c r="IL46" s="620"/>
      <c r="IM46" s="620"/>
      <c r="IN46" s="620"/>
      <c r="IO46" s="620"/>
      <c r="IP46" s="620"/>
      <c r="IQ46" s="620"/>
      <c r="IR46" s="620"/>
      <c r="IS46" s="620"/>
      <c r="IT46" s="620"/>
      <c r="IU46" s="620"/>
      <c r="IV46" s="620"/>
      <c r="IW46" s="620"/>
      <c r="IX46" s="620"/>
      <c r="IY46" s="620"/>
      <c r="IZ46" s="620"/>
      <c r="JA46" s="620"/>
      <c r="JB46" s="620"/>
      <c r="JC46" s="620"/>
      <c r="JD46" s="620"/>
      <c r="JE46" s="620"/>
      <c r="JF46" s="620"/>
      <c r="JG46" s="620"/>
      <c r="JH46" s="620"/>
      <c r="JI46" s="620"/>
      <c r="JJ46" s="620"/>
      <c r="JK46" s="620"/>
      <c r="JL46" s="620"/>
      <c r="JM46" s="620"/>
      <c r="JN46" s="620"/>
      <c r="JO46" s="620"/>
      <c r="JP46" s="620"/>
      <c r="JQ46" s="620"/>
      <c r="JR46" s="620"/>
      <c r="JS46" s="620"/>
      <c r="JT46" s="620"/>
      <c r="JU46" s="620"/>
      <c r="JV46" s="620"/>
      <c r="JW46" s="620"/>
      <c r="JX46" s="620"/>
      <c r="JY46" s="620"/>
      <c r="JZ46" s="620"/>
      <c r="KA46" s="620"/>
      <c r="KB46" s="620"/>
      <c r="KC46" s="620"/>
      <c r="KD46" s="620"/>
      <c r="KE46" s="620"/>
      <c r="KF46" s="620"/>
      <c r="KG46" s="620"/>
      <c r="KH46" s="620"/>
      <c r="KI46" s="620"/>
      <c r="KJ46" s="620"/>
      <c r="KK46" s="620"/>
      <c r="KL46" s="620"/>
      <c r="KM46" s="620"/>
      <c r="KN46" s="620"/>
      <c r="KO46" s="620"/>
      <c r="KP46" s="620"/>
      <c r="KQ46" s="620"/>
      <c r="KR46" s="620"/>
      <c r="KS46" s="620"/>
      <c r="KT46" s="620"/>
      <c r="KU46" s="620"/>
      <c r="KV46" s="620"/>
      <c r="KW46" s="620"/>
      <c r="KX46" s="620"/>
      <c r="KY46" s="620"/>
      <c r="KZ46" s="620"/>
      <c r="LA46" s="620"/>
      <c r="LB46" s="620"/>
      <c r="LC46" s="620"/>
      <c r="LD46" s="620"/>
      <c r="LE46" s="620"/>
      <c r="LF46" s="620"/>
      <c r="LG46" s="620"/>
      <c r="LH46" s="620"/>
      <c r="LI46" s="620"/>
      <c r="LJ46" s="620"/>
      <c r="LK46" s="620"/>
      <c r="LL46" s="620"/>
      <c r="LM46" s="620"/>
      <c r="LN46" s="620"/>
      <c r="LO46" s="620"/>
      <c r="LP46" s="620"/>
      <c r="LQ46" s="620"/>
      <c r="LR46" s="620"/>
      <c r="LS46" s="620"/>
      <c r="LT46" s="620"/>
      <c r="LU46" s="620"/>
      <c r="LV46" s="620"/>
      <c r="LW46" s="620"/>
      <c r="LX46" s="620"/>
      <c r="LY46" s="620"/>
      <c r="LZ46" s="620"/>
      <c r="MA46" s="620"/>
      <c r="MB46" s="620"/>
      <c r="MC46" s="620"/>
      <c r="MD46" s="620"/>
      <c r="ME46" s="620"/>
      <c r="MF46" s="620"/>
      <c r="MG46" s="620"/>
      <c r="MH46" s="620"/>
      <c r="MI46" s="620"/>
      <c r="MJ46" s="620"/>
      <c r="MK46" s="620"/>
      <c r="ML46" s="620"/>
      <c r="MM46" s="620"/>
      <c r="MN46" s="620"/>
      <c r="MO46" s="620"/>
      <c r="MP46" s="620"/>
      <c r="MQ46" s="620"/>
      <c r="MR46" s="620"/>
      <c r="MS46" s="620"/>
      <c r="MT46" s="620"/>
      <c r="MU46" s="620"/>
      <c r="MV46" s="620"/>
      <c r="MW46" s="620"/>
      <c r="MX46" s="620"/>
      <c r="MY46" s="620"/>
      <c r="MZ46" s="620"/>
      <c r="NA46" s="620"/>
      <c r="NB46" s="620"/>
      <c r="NC46" s="620"/>
      <c r="ND46" s="620"/>
      <c r="NE46" s="620"/>
      <c r="NF46" s="620"/>
      <c r="NG46" s="620"/>
      <c r="NH46" s="620"/>
      <c r="NI46" s="620"/>
      <c r="NJ46" s="620"/>
      <c r="NK46" s="620"/>
      <c r="NL46" s="620"/>
      <c r="NM46" s="620"/>
      <c r="NN46" s="620"/>
      <c r="NO46" s="620"/>
      <c r="NP46" s="620"/>
      <c r="NQ46" s="620"/>
      <c r="NR46" s="620"/>
      <c r="NS46" s="620"/>
      <c r="NT46" s="620"/>
      <c r="NU46" s="620"/>
      <c r="NV46" s="620"/>
      <c r="NW46" s="620"/>
      <c r="NX46" s="620"/>
      <c r="NY46" s="620"/>
      <c r="NZ46" s="620"/>
      <c r="OA46" s="620"/>
      <c r="OB46" s="620"/>
      <c r="OC46" s="620"/>
      <c r="OD46" s="620"/>
      <c r="OE46" s="620"/>
      <c r="OF46" s="620"/>
      <c r="OG46" s="620"/>
      <c r="OH46" s="620"/>
      <c r="OI46" s="620"/>
      <c r="OJ46" s="620"/>
      <c r="OK46" s="620"/>
      <c r="OL46" s="620"/>
      <c r="OM46" s="620"/>
      <c r="ON46" s="620"/>
      <c r="OO46" s="620"/>
      <c r="OP46" s="620"/>
      <c r="OQ46" s="620"/>
      <c r="OR46" s="620"/>
      <c r="OS46" s="620"/>
      <c r="OT46" s="620"/>
      <c r="OU46" s="620"/>
      <c r="OV46" s="620"/>
      <c r="OW46" s="620"/>
      <c r="OX46" s="620"/>
      <c r="OY46" s="620"/>
      <c r="OZ46" s="620"/>
      <c r="PA46" s="620"/>
      <c r="PB46" s="620"/>
      <c r="PC46" s="620"/>
      <c r="PD46" s="620"/>
      <c r="PE46" s="620"/>
      <c r="PF46" s="620"/>
      <c r="PG46" s="620"/>
      <c r="PH46" s="620"/>
      <c r="PI46" s="620"/>
      <c r="PJ46" s="620"/>
      <c r="PK46" s="620"/>
      <c r="PL46" s="620"/>
      <c r="PM46" s="620"/>
      <c r="PN46" s="620"/>
      <c r="PO46" s="620"/>
      <c r="PP46" s="620"/>
      <c r="PQ46" s="620"/>
      <c r="PR46" s="620"/>
      <c r="PS46" s="620"/>
      <c r="PT46" s="620"/>
      <c r="PU46" s="620"/>
      <c r="PV46" s="620"/>
      <c r="PW46" s="620"/>
      <c r="PX46" s="620"/>
      <c r="PY46" s="620"/>
      <c r="PZ46" s="620"/>
      <c r="QA46" s="620"/>
      <c r="QB46" s="620"/>
      <c r="QC46" s="620"/>
      <c r="QD46" s="620"/>
      <c r="QE46" s="620"/>
      <c r="QF46" s="620"/>
      <c r="QG46" s="620"/>
      <c r="QH46" s="620"/>
      <c r="QI46" s="620"/>
      <c r="QJ46" s="620"/>
      <c r="QK46" s="620"/>
      <c r="QL46" s="620"/>
      <c r="QM46" s="620"/>
      <c r="QN46" s="620"/>
      <c r="QO46" s="620"/>
      <c r="QP46" s="620"/>
      <c r="QQ46" s="620"/>
      <c r="QR46" s="620"/>
      <c r="QS46" s="620"/>
      <c r="QT46" s="620"/>
      <c r="QU46" s="620"/>
      <c r="QV46" s="620"/>
      <c r="QW46" s="620"/>
      <c r="QX46" s="620"/>
      <c r="QY46" s="620"/>
      <c r="QZ46" s="620"/>
      <c r="RA46" s="620"/>
      <c r="RB46" s="620"/>
      <c r="RC46" s="620"/>
      <c r="RD46" s="620"/>
      <c r="RE46" s="620"/>
      <c r="RF46" s="620"/>
      <c r="RG46" s="620"/>
      <c r="RH46" s="620"/>
    </row>
    <row r="47" spans="2:476" s="529" customFormat="1" ht="20.100000000000001" customHeight="1">
      <c r="B47" s="558"/>
      <c r="C47" s="547">
        <v>16</v>
      </c>
      <c r="D47" s="548">
        <v>0</v>
      </c>
      <c r="E47" s="548">
        <v>2</v>
      </c>
      <c r="F47" s="549">
        <f t="shared" si="4"/>
        <v>11.3333333316259</v>
      </c>
      <c r="G47" s="550"/>
      <c r="H47" s="551"/>
      <c r="I47" s="572"/>
      <c r="J47" s="569">
        <v>1.5</v>
      </c>
      <c r="K47" s="586"/>
      <c r="L47" s="551"/>
      <c r="M47" s="569"/>
      <c r="N47" s="569">
        <v>0.166666667559184</v>
      </c>
      <c r="O47" s="572">
        <v>1.0000000008149099</v>
      </c>
      <c r="P47" s="551"/>
      <c r="Q47" s="551"/>
      <c r="R47" s="551"/>
      <c r="S47" s="551"/>
      <c r="T47" s="551"/>
      <c r="U47" s="551"/>
      <c r="V47" s="551"/>
      <c r="W47" s="551"/>
      <c r="X47" s="572"/>
      <c r="Y47" s="614">
        <v>2</v>
      </c>
      <c r="Z47" s="607">
        <f t="shared" si="5"/>
        <v>0</v>
      </c>
      <c r="AA47" s="607">
        <f t="shared" si="6"/>
        <v>2.6666666683740901</v>
      </c>
      <c r="AB47" s="608">
        <f t="shared" si="7"/>
        <v>1</v>
      </c>
      <c r="AC47" s="615"/>
      <c r="AD47" s="620"/>
      <c r="AE47" s="620"/>
      <c r="AF47" s="620"/>
      <c r="AG47" s="620"/>
      <c r="AH47" s="620"/>
      <c r="AI47" s="620"/>
      <c r="AJ47" s="620"/>
      <c r="AK47" s="620"/>
      <c r="AL47" s="620"/>
      <c r="AM47" s="620"/>
      <c r="AN47" s="620"/>
      <c r="AO47" s="620"/>
      <c r="AP47" s="620"/>
      <c r="AQ47" s="620"/>
      <c r="AR47" s="620"/>
      <c r="AS47" s="620"/>
      <c r="AT47" s="620"/>
      <c r="AU47" s="620"/>
      <c r="AV47" s="620"/>
      <c r="AW47" s="620"/>
      <c r="AX47" s="620"/>
      <c r="AY47" s="620"/>
      <c r="AZ47" s="620"/>
      <c r="BA47" s="620"/>
      <c r="BB47" s="620"/>
      <c r="BC47" s="620"/>
      <c r="BD47" s="620"/>
      <c r="BE47" s="620"/>
      <c r="BF47" s="620"/>
      <c r="BG47" s="620"/>
      <c r="BH47" s="620"/>
      <c r="BI47" s="620"/>
      <c r="BJ47" s="620"/>
      <c r="BK47" s="620"/>
      <c r="BL47" s="620"/>
      <c r="BM47" s="620"/>
      <c r="BN47" s="620"/>
      <c r="BO47" s="620"/>
      <c r="BP47" s="620"/>
      <c r="BQ47" s="620"/>
      <c r="BR47" s="620"/>
      <c r="BS47" s="620"/>
      <c r="BT47" s="620"/>
      <c r="BU47" s="620"/>
      <c r="BV47" s="620"/>
      <c r="BW47" s="620"/>
      <c r="BX47" s="620"/>
      <c r="BY47" s="620"/>
      <c r="BZ47" s="620"/>
      <c r="CA47" s="620"/>
      <c r="CB47" s="620"/>
      <c r="CC47" s="620"/>
      <c r="CD47" s="620"/>
      <c r="CE47" s="620"/>
      <c r="CF47" s="620"/>
      <c r="CG47" s="620"/>
      <c r="CH47" s="620"/>
      <c r="CI47" s="620"/>
      <c r="CJ47" s="620"/>
      <c r="CK47" s="620"/>
      <c r="CL47" s="620"/>
      <c r="CM47" s="620"/>
      <c r="CN47" s="620"/>
      <c r="CO47" s="620"/>
      <c r="CP47" s="620"/>
      <c r="CQ47" s="620"/>
      <c r="CR47" s="620"/>
      <c r="CS47" s="620"/>
      <c r="CT47" s="620"/>
      <c r="CU47" s="620"/>
      <c r="CV47" s="620"/>
      <c r="CW47" s="620"/>
      <c r="CX47" s="620"/>
      <c r="CY47" s="620"/>
      <c r="CZ47" s="620"/>
      <c r="DA47" s="620"/>
      <c r="DB47" s="620"/>
      <c r="DC47" s="620"/>
      <c r="DD47" s="620"/>
      <c r="DE47" s="620"/>
      <c r="DF47" s="620"/>
      <c r="DG47" s="620"/>
      <c r="DH47" s="620"/>
      <c r="DI47" s="620"/>
      <c r="DJ47" s="620"/>
      <c r="DK47" s="620"/>
      <c r="DL47" s="620"/>
      <c r="DM47" s="620"/>
      <c r="DN47" s="620"/>
      <c r="DO47" s="620"/>
      <c r="DP47" s="620"/>
      <c r="DQ47" s="620"/>
      <c r="DR47" s="620"/>
      <c r="DS47" s="620"/>
      <c r="DT47" s="620"/>
      <c r="DU47" s="620"/>
      <c r="DV47" s="620"/>
      <c r="DW47" s="620"/>
      <c r="DX47" s="620"/>
      <c r="DY47" s="620"/>
      <c r="DZ47" s="620"/>
      <c r="EA47" s="620"/>
      <c r="EB47" s="620"/>
      <c r="EC47" s="620"/>
      <c r="ED47" s="620"/>
      <c r="EE47" s="620"/>
      <c r="EF47" s="620"/>
      <c r="EG47" s="620"/>
      <c r="EH47" s="620"/>
      <c r="EI47" s="620"/>
      <c r="EJ47" s="620"/>
      <c r="EK47" s="620"/>
      <c r="EL47" s="620"/>
      <c r="EM47" s="620"/>
      <c r="EN47" s="620"/>
      <c r="EO47" s="620"/>
      <c r="EP47" s="620"/>
      <c r="EQ47" s="620"/>
      <c r="ER47" s="620"/>
      <c r="ES47" s="620"/>
      <c r="ET47" s="620"/>
      <c r="EU47" s="620"/>
      <c r="EV47" s="620"/>
      <c r="EW47" s="620"/>
      <c r="EX47" s="620"/>
      <c r="EY47" s="620"/>
      <c r="EZ47" s="620"/>
      <c r="FA47" s="620"/>
      <c r="FB47" s="620"/>
      <c r="FC47" s="620"/>
      <c r="FD47" s="620"/>
      <c r="FE47" s="620"/>
      <c r="FF47" s="620"/>
      <c r="FG47" s="620"/>
      <c r="FH47" s="620"/>
      <c r="FI47" s="620"/>
      <c r="FJ47" s="620"/>
      <c r="FK47" s="620"/>
      <c r="FL47" s="620"/>
      <c r="FM47" s="620"/>
      <c r="FN47" s="620"/>
      <c r="FO47" s="620"/>
      <c r="FP47" s="620"/>
      <c r="FQ47" s="620"/>
      <c r="FR47" s="620"/>
      <c r="FS47" s="620"/>
      <c r="FT47" s="620"/>
      <c r="FU47" s="620"/>
      <c r="FV47" s="620"/>
      <c r="FW47" s="620"/>
      <c r="FX47" s="620"/>
      <c r="FY47" s="620"/>
      <c r="FZ47" s="620"/>
      <c r="GA47" s="620"/>
      <c r="GB47" s="620"/>
      <c r="GC47" s="620"/>
      <c r="GD47" s="620"/>
      <c r="GE47" s="620"/>
      <c r="GF47" s="620"/>
      <c r="GG47" s="620"/>
      <c r="GH47" s="620"/>
      <c r="GI47" s="620"/>
      <c r="GJ47" s="620"/>
      <c r="GK47" s="620"/>
      <c r="GL47" s="620"/>
      <c r="GM47" s="620"/>
      <c r="GN47" s="620"/>
      <c r="GO47" s="620"/>
      <c r="GP47" s="620"/>
      <c r="GQ47" s="620"/>
      <c r="GR47" s="620"/>
      <c r="GS47" s="620"/>
      <c r="GT47" s="620"/>
      <c r="GU47" s="620"/>
      <c r="GV47" s="620"/>
      <c r="GW47" s="620"/>
      <c r="GX47" s="620"/>
      <c r="GY47" s="620"/>
      <c r="GZ47" s="620"/>
      <c r="HA47" s="620"/>
      <c r="HB47" s="620"/>
      <c r="HC47" s="620"/>
      <c r="HD47" s="620"/>
      <c r="HE47" s="620"/>
      <c r="HF47" s="620"/>
      <c r="HG47" s="620"/>
      <c r="HH47" s="620"/>
      <c r="HI47" s="620"/>
      <c r="HJ47" s="620"/>
      <c r="HK47" s="620"/>
      <c r="HL47" s="620"/>
      <c r="HM47" s="620"/>
      <c r="HN47" s="620"/>
      <c r="HO47" s="620"/>
      <c r="HP47" s="620"/>
      <c r="HQ47" s="620"/>
      <c r="HR47" s="620"/>
      <c r="HS47" s="620"/>
      <c r="HT47" s="620"/>
      <c r="HU47" s="620"/>
      <c r="HV47" s="620"/>
      <c r="HW47" s="620"/>
      <c r="HX47" s="620"/>
      <c r="HY47" s="620"/>
      <c r="HZ47" s="620"/>
      <c r="IA47" s="620"/>
      <c r="IB47" s="620"/>
      <c r="IC47" s="620"/>
      <c r="ID47" s="620"/>
      <c r="IE47" s="620"/>
      <c r="IF47" s="620"/>
      <c r="IG47" s="620"/>
      <c r="IH47" s="620"/>
      <c r="II47" s="620"/>
      <c r="IJ47" s="620"/>
      <c r="IK47" s="620"/>
      <c r="IL47" s="620"/>
      <c r="IM47" s="620"/>
      <c r="IN47" s="620"/>
      <c r="IO47" s="620"/>
      <c r="IP47" s="620"/>
      <c r="IQ47" s="620"/>
      <c r="IR47" s="620"/>
      <c r="IS47" s="620"/>
      <c r="IT47" s="620"/>
      <c r="IU47" s="620"/>
      <c r="IV47" s="620"/>
      <c r="IW47" s="620"/>
      <c r="IX47" s="620"/>
      <c r="IY47" s="620"/>
      <c r="IZ47" s="620"/>
      <c r="JA47" s="620"/>
      <c r="JB47" s="620"/>
      <c r="JC47" s="620"/>
      <c r="JD47" s="620"/>
      <c r="JE47" s="620"/>
      <c r="JF47" s="620"/>
      <c r="JG47" s="620"/>
      <c r="JH47" s="620"/>
      <c r="JI47" s="620"/>
      <c r="JJ47" s="620"/>
      <c r="JK47" s="620"/>
      <c r="JL47" s="620"/>
      <c r="JM47" s="620"/>
      <c r="JN47" s="620"/>
      <c r="JO47" s="620"/>
      <c r="JP47" s="620"/>
      <c r="JQ47" s="620"/>
      <c r="JR47" s="620"/>
      <c r="JS47" s="620"/>
      <c r="JT47" s="620"/>
      <c r="JU47" s="620"/>
      <c r="JV47" s="620"/>
      <c r="JW47" s="620"/>
      <c r="JX47" s="620"/>
      <c r="JY47" s="620"/>
      <c r="JZ47" s="620"/>
      <c r="KA47" s="620"/>
      <c r="KB47" s="620"/>
      <c r="KC47" s="620"/>
      <c r="KD47" s="620"/>
      <c r="KE47" s="620"/>
      <c r="KF47" s="620"/>
      <c r="KG47" s="620"/>
      <c r="KH47" s="620"/>
      <c r="KI47" s="620"/>
      <c r="KJ47" s="620"/>
      <c r="KK47" s="620"/>
      <c r="KL47" s="620"/>
      <c r="KM47" s="620"/>
      <c r="KN47" s="620"/>
      <c r="KO47" s="620"/>
      <c r="KP47" s="620"/>
      <c r="KQ47" s="620"/>
      <c r="KR47" s="620"/>
      <c r="KS47" s="620"/>
      <c r="KT47" s="620"/>
      <c r="KU47" s="620"/>
      <c r="KV47" s="620"/>
      <c r="KW47" s="620"/>
      <c r="KX47" s="620"/>
      <c r="KY47" s="620"/>
      <c r="KZ47" s="620"/>
      <c r="LA47" s="620"/>
      <c r="LB47" s="620"/>
      <c r="LC47" s="620"/>
      <c r="LD47" s="620"/>
      <c r="LE47" s="620"/>
      <c r="LF47" s="620"/>
      <c r="LG47" s="620"/>
      <c r="LH47" s="620"/>
      <c r="LI47" s="620"/>
      <c r="LJ47" s="620"/>
      <c r="LK47" s="620"/>
      <c r="LL47" s="620"/>
      <c r="LM47" s="620"/>
      <c r="LN47" s="620"/>
      <c r="LO47" s="620"/>
      <c r="LP47" s="620"/>
      <c r="LQ47" s="620"/>
      <c r="LR47" s="620"/>
      <c r="LS47" s="620"/>
      <c r="LT47" s="620"/>
      <c r="LU47" s="620"/>
      <c r="LV47" s="620"/>
      <c r="LW47" s="620"/>
      <c r="LX47" s="620"/>
      <c r="LY47" s="620"/>
      <c r="LZ47" s="620"/>
      <c r="MA47" s="620"/>
      <c r="MB47" s="620"/>
      <c r="MC47" s="620"/>
      <c r="MD47" s="620"/>
      <c r="ME47" s="620"/>
      <c r="MF47" s="620"/>
      <c r="MG47" s="620"/>
      <c r="MH47" s="620"/>
      <c r="MI47" s="620"/>
      <c r="MJ47" s="620"/>
      <c r="MK47" s="620"/>
      <c r="ML47" s="620"/>
      <c r="MM47" s="620"/>
      <c r="MN47" s="620"/>
      <c r="MO47" s="620"/>
      <c r="MP47" s="620"/>
      <c r="MQ47" s="620"/>
      <c r="MR47" s="620"/>
      <c r="MS47" s="620"/>
      <c r="MT47" s="620"/>
      <c r="MU47" s="620"/>
      <c r="MV47" s="620"/>
      <c r="MW47" s="620"/>
      <c r="MX47" s="620"/>
      <c r="MY47" s="620"/>
      <c r="MZ47" s="620"/>
      <c r="NA47" s="620"/>
      <c r="NB47" s="620"/>
      <c r="NC47" s="620"/>
      <c r="ND47" s="620"/>
      <c r="NE47" s="620"/>
      <c r="NF47" s="620"/>
      <c r="NG47" s="620"/>
      <c r="NH47" s="620"/>
      <c r="NI47" s="620"/>
      <c r="NJ47" s="620"/>
      <c r="NK47" s="620"/>
      <c r="NL47" s="620"/>
      <c r="NM47" s="620"/>
      <c r="NN47" s="620"/>
      <c r="NO47" s="620"/>
      <c r="NP47" s="620"/>
      <c r="NQ47" s="620"/>
      <c r="NR47" s="620"/>
      <c r="NS47" s="620"/>
      <c r="NT47" s="620"/>
      <c r="NU47" s="620"/>
      <c r="NV47" s="620"/>
      <c r="NW47" s="620"/>
      <c r="NX47" s="620"/>
      <c r="NY47" s="620"/>
      <c r="NZ47" s="620"/>
      <c r="OA47" s="620"/>
      <c r="OB47" s="620"/>
      <c r="OC47" s="620"/>
      <c r="OD47" s="620"/>
      <c r="OE47" s="620"/>
      <c r="OF47" s="620"/>
      <c r="OG47" s="620"/>
      <c r="OH47" s="620"/>
      <c r="OI47" s="620"/>
      <c r="OJ47" s="620"/>
      <c r="OK47" s="620"/>
      <c r="OL47" s="620"/>
      <c r="OM47" s="620"/>
      <c r="ON47" s="620"/>
      <c r="OO47" s="620"/>
      <c r="OP47" s="620"/>
      <c r="OQ47" s="620"/>
      <c r="OR47" s="620"/>
      <c r="OS47" s="620"/>
      <c r="OT47" s="620"/>
      <c r="OU47" s="620"/>
      <c r="OV47" s="620"/>
      <c r="OW47" s="620"/>
      <c r="OX47" s="620"/>
      <c r="OY47" s="620"/>
      <c r="OZ47" s="620"/>
      <c r="PA47" s="620"/>
      <c r="PB47" s="620"/>
      <c r="PC47" s="620"/>
      <c r="PD47" s="620"/>
      <c r="PE47" s="620"/>
      <c r="PF47" s="620"/>
      <c r="PG47" s="620"/>
      <c r="PH47" s="620"/>
      <c r="PI47" s="620"/>
      <c r="PJ47" s="620"/>
      <c r="PK47" s="620"/>
      <c r="PL47" s="620"/>
      <c r="PM47" s="620"/>
      <c r="PN47" s="620"/>
      <c r="PO47" s="620"/>
      <c r="PP47" s="620"/>
      <c r="PQ47" s="620"/>
      <c r="PR47" s="620"/>
      <c r="PS47" s="620"/>
      <c r="PT47" s="620"/>
      <c r="PU47" s="620"/>
      <c r="PV47" s="620"/>
      <c r="PW47" s="620"/>
      <c r="PX47" s="620"/>
      <c r="PY47" s="620"/>
      <c r="PZ47" s="620"/>
      <c r="QA47" s="620"/>
      <c r="QB47" s="620"/>
      <c r="QC47" s="620"/>
      <c r="QD47" s="620"/>
      <c r="QE47" s="620"/>
      <c r="QF47" s="620"/>
      <c r="QG47" s="620"/>
      <c r="QH47" s="620"/>
      <c r="QI47" s="620"/>
      <c r="QJ47" s="620"/>
      <c r="QK47" s="620"/>
      <c r="QL47" s="620"/>
      <c r="QM47" s="620"/>
      <c r="QN47" s="620"/>
      <c r="QO47" s="620"/>
      <c r="QP47" s="620"/>
      <c r="QQ47" s="620"/>
      <c r="QR47" s="620"/>
      <c r="QS47" s="620"/>
      <c r="QT47" s="620"/>
      <c r="QU47" s="620"/>
      <c r="QV47" s="620"/>
      <c r="QW47" s="620"/>
      <c r="QX47" s="620"/>
      <c r="QY47" s="620"/>
      <c r="QZ47" s="620"/>
      <c r="RA47" s="620"/>
      <c r="RB47" s="620"/>
      <c r="RC47" s="620"/>
      <c r="RD47" s="620"/>
      <c r="RE47" s="620"/>
      <c r="RF47" s="620"/>
      <c r="RG47" s="620"/>
      <c r="RH47" s="620"/>
    </row>
    <row r="48" spans="2:476" s="528" customFormat="1" ht="20.100000000000001" customHeight="1">
      <c r="B48" s="552">
        <v>45830</v>
      </c>
      <c r="C48" s="553">
        <v>16</v>
      </c>
      <c r="D48" s="554">
        <v>0</v>
      </c>
      <c r="E48" s="554">
        <v>2</v>
      </c>
      <c r="F48" s="555">
        <f t="shared" si="4"/>
        <v>-5.82005554861098E-11</v>
      </c>
      <c r="G48" s="568"/>
      <c r="H48" s="557"/>
      <c r="I48" s="591"/>
      <c r="J48" s="576">
        <v>14.000000000058201</v>
      </c>
      <c r="K48" s="576"/>
      <c r="L48" s="576"/>
      <c r="M48" s="576"/>
      <c r="N48" s="576"/>
      <c r="O48" s="576"/>
      <c r="P48" s="557"/>
      <c r="Q48" s="557"/>
      <c r="R48" s="557"/>
      <c r="S48" s="557"/>
      <c r="T48" s="557"/>
      <c r="U48" s="557"/>
      <c r="V48" s="557"/>
      <c r="W48" s="557"/>
      <c r="X48" s="560"/>
      <c r="Y48" s="613">
        <v>1</v>
      </c>
      <c r="Z48" s="607">
        <f t="shared" si="5"/>
        <v>0</v>
      </c>
      <c r="AA48" s="607">
        <f t="shared" si="6"/>
        <v>14.000000000058201</v>
      </c>
      <c r="AB48" s="608">
        <f t="shared" si="7"/>
        <v>1</v>
      </c>
      <c r="AC48" s="612" t="s">
        <v>49</v>
      </c>
      <c r="AD48" s="620"/>
      <c r="AE48" s="620"/>
      <c r="AF48" s="620"/>
      <c r="AG48" s="620"/>
      <c r="AH48" s="620"/>
      <c r="AI48" s="620"/>
      <c r="AJ48" s="620"/>
      <c r="AK48" s="620"/>
      <c r="AL48" s="620"/>
      <c r="AM48" s="620"/>
      <c r="AN48" s="620"/>
      <c r="AO48" s="620"/>
      <c r="AP48" s="620"/>
      <c r="AQ48" s="620"/>
      <c r="AR48" s="620"/>
      <c r="AS48" s="620"/>
      <c r="AT48" s="620"/>
      <c r="AU48" s="620"/>
      <c r="AV48" s="620"/>
      <c r="AW48" s="620"/>
      <c r="AX48" s="620"/>
      <c r="AY48" s="620"/>
      <c r="AZ48" s="620"/>
      <c r="BA48" s="620"/>
      <c r="BB48" s="620"/>
      <c r="BC48" s="620"/>
      <c r="BD48" s="620"/>
      <c r="BE48" s="620"/>
      <c r="BF48" s="620"/>
      <c r="BG48" s="620"/>
      <c r="BH48" s="620"/>
      <c r="BI48" s="620"/>
      <c r="BJ48" s="620"/>
      <c r="BK48" s="620"/>
      <c r="BL48" s="620"/>
      <c r="BM48" s="620"/>
      <c r="BN48" s="620"/>
      <c r="BO48" s="620"/>
      <c r="BP48" s="620"/>
      <c r="BQ48" s="620"/>
      <c r="BR48" s="620"/>
      <c r="BS48" s="620"/>
      <c r="BT48" s="620"/>
      <c r="BU48" s="620"/>
      <c r="BV48" s="620"/>
      <c r="BW48" s="620"/>
      <c r="BX48" s="620"/>
      <c r="BY48" s="620"/>
      <c r="BZ48" s="620"/>
      <c r="CA48" s="620"/>
      <c r="CB48" s="620"/>
      <c r="CC48" s="620"/>
      <c r="CD48" s="620"/>
      <c r="CE48" s="620"/>
      <c r="CF48" s="620"/>
      <c r="CG48" s="620"/>
      <c r="CH48" s="620"/>
      <c r="CI48" s="620"/>
      <c r="CJ48" s="620"/>
      <c r="CK48" s="620"/>
      <c r="CL48" s="620"/>
      <c r="CM48" s="620"/>
      <c r="CN48" s="620"/>
      <c r="CO48" s="620"/>
      <c r="CP48" s="620"/>
      <c r="CQ48" s="620"/>
      <c r="CR48" s="620"/>
      <c r="CS48" s="620"/>
      <c r="CT48" s="620"/>
      <c r="CU48" s="620"/>
      <c r="CV48" s="620"/>
      <c r="CW48" s="620"/>
      <c r="CX48" s="620"/>
      <c r="CY48" s="620"/>
      <c r="CZ48" s="620"/>
      <c r="DA48" s="620"/>
      <c r="DB48" s="620"/>
      <c r="DC48" s="620"/>
      <c r="DD48" s="620"/>
      <c r="DE48" s="620"/>
      <c r="DF48" s="620"/>
      <c r="DG48" s="620"/>
      <c r="DH48" s="620"/>
      <c r="DI48" s="620"/>
      <c r="DJ48" s="620"/>
      <c r="DK48" s="620"/>
      <c r="DL48" s="620"/>
      <c r="DM48" s="620"/>
      <c r="DN48" s="620"/>
      <c r="DO48" s="620"/>
      <c r="DP48" s="620"/>
      <c r="DQ48" s="620"/>
      <c r="DR48" s="620"/>
      <c r="DS48" s="620"/>
      <c r="DT48" s="620"/>
      <c r="DU48" s="620"/>
      <c r="DV48" s="620"/>
      <c r="DW48" s="620"/>
      <c r="DX48" s="620"/>
      <c r="DY48" s="620"/>
      <c r="DZ48" s="620"/>
      <c r="EA48" s="620"/>
      <c r="EB48" s="620"/>
      <c r="EC48" s="620"/>
      <c r="ED48" s="620"/>
      <c r="EE48" s="620"/>
      <c r="EF48" s="620"/>
      <c r="EG48" s="620"/>
      <c r="EH48" s="620"/>
      <c r="EI48" s="620"/>
      <c r="EJ48" s="620"/>
      <c r="EK48" s="620"/>
      <c r="EL48" s="620"/>
      <c r="EM48" s="620"/>
      <c r="EN48" s="620"/>
      <c r="EO48" s="620"/>
      <c r="EP48" s="620"/>
      <c r="EQ48" s="620"/>
      <c r="ER48" s="620"/>
      <c r="ES48" s="620"/>
      <c r="ET48" s="620"/>
      <c r="EU48" s="620"/>
      <c r="EV48" s="620"/>
      <c r="EW48" s="620"/>
      <c r="EX48" s="620"/>
      <c r="EY48" s="620"/>
      <c r="EZ48" s="620"/>
      <c r="FA48" s="620"/>
      <c r="FB48" s="620"/>
      <c r="FC48" s="620"/>
      <c r="FD48" s="620"/>
      <c r="FE48" s="620"/>
      <c r="FF48" s="620"/>
      <c r="FG48" s="620"/>
      <c r="FH48" s="620"/>
      <c r="FI48" s="620"/>
      <c r="FJ48" s="620"/>
      <c r="FK48" s="620"/>
      <c r="FL48" s="620"/>
      <c r="FM48" s="620"/>
      <c r="FN48" s="620"/>
      <c r="FO48" s="620"/>
      <c r="FP48" s="620"/>
      <c r="FQ48" s="620"/>
      <c r="FR48" s="620"/>
      <c r="FS48" s="620"/>
      <c r="FT48" s="620"/>
      <c r="FU48" s="620"/>
      <c r="FV48" s="620"/>
      <c r="FW48" s="620"/>
      <c r="FX48" s="620"/>
      <c r="FY48" s="620"/>
      <c r="FZ48" s="620"/>
      <c r="GA48" s="620"/>
      <c r="GB48" s="620"/>
      <c r="GC48" s="620"/>
      <c r="GD48" s="620"/>
      <c r="GE48" s="620"/>
      <c r="GF48" s="620"/>
      <c r="GG48" s="620"/>
      <c r="GH48" s="620"/>
      <c r="GI48" s="620"/>
      <c r="GJ48" s="620"/>
      <c r="GK48" s="620"/>
      <c r="GL48" s="620"/>
      <c r="GM48" s="620"/>
      <c r="GN48" s="620"/>
      <c r="GO48" s="620"/>
      <c r="GP48" s="620"/>
      <c r="GQ48" s="620"/>
      <c r="GR48" s="620"/>
      <c r="GS48" s="620"/>
      <c r="GT48" s="620"/>
      <c r="GU48" s="620"/>
      <c r="GV48" s="620"/>
      <c r="GW48" s="620"/>
      <c r="GX48" s="620"/>
      <c r="GY48" s="620"/>
      <c r="GZ48" s="620"/>
      <c r="HA48" s="620"/>
      <c r="HB48" s="620"/>
      <c r="HC48" s="620"/>
      <c r="HD48" s="620"/>
      <c r="HE48" s="620"/>
      <c r="HF48" s="620"/>
      <c r="HG48" s="620"/>
      <c r="HH48" s="620"/>
      <c r="HI48" s="620"/>
      <c r="HJ48" s="620"/>
      <c r="HK48" s="620"/>
      <c r="HL48" s="620"/>
      <c r="HM48" s="620"/>
      <c r="HN48" s="620"/>
      <c r="HO48" s="620"/>
      <c r="HP48" s="620"/>
      <c r="HQ48" s="620"/>
      <c r="HR48" s="620"/>
      <c r="HS48" s="620"/>
      <c r="HT48" s="620"/>
      <c r="HU48" s="620"/>
      <c r="HV48" s="620"/>
      <c r="HW48" s="620"/>
      <c r="HX48" s="620"/>
      <c r="HY48" s="620"/>
      <c r="HZ48" s="620"/>
      <c r="IA48" s="620"/>
      <c r="IB48" s="620"/>
      <c r="IC48" s="620"/>
      <c r="ID48" s="620"/>
      <c r="IE48" s="620"/>
      <c r="IF48" s="620"/>
      <c r="IG48" s="620"/>
      <c r="IH48" s="620"/>
      <c r="II48" s="620"/>
      <c r="IJ48" s="620"/>
      <c r="IK48" s="620"/>
      <c r="IL48" s="620"/>
      <c r="IM48" s="620"/>
      <c r="IN48" s="620"/>
      <c r="IO48" s="620"/>
      <c r="IP48" s="620"/>
      <c r="IQ48" s="620"/>
      <c r="IR48" s="620"/>
      <c r="IS48" s="620"/>
      <c r="IT48" s="620"/>
      <c r="IU48" s="620"/>
      <c r="IV48" s="620"/>
      <c r="IW48" s="620"/>
      <c r="IX48" s="620"/>
      <c r="IY48" s="620"/>
      <c r="IZ48" s="620"/>
      <c r="JA48" s="620"/>
      <c r="JB48" s="620"/>
      <c r="JC48" s="620"/>
      <c r="JD48" s="620"/>
      <c r="JE48" s="620"/>
      <c r="JF48" s="620"/>
      <c r="JG48" s="620"/>
      <c r="JH48" s="620"/>
      <c r="JI48" s="620"/>
      <c r="JJ48" s="620"/>
      <c r="JK48" s="620"/>
      <c r="JL48" s="620"/>
      <c r="JM48" s="620"/>
      <c r="JN48" s="620"/>
      <c r="JO48" s="620"/>
      <c r="JP48" s="620"/>
      <c r="JQ48" s="620"/>
      <c r="JR48" s="620"/>
      <c r="JS48" s="620"/>
      <c r="JT48" s="620"/>
      <c r="JU48" s="620"/>
      <c r="JV48" s="620"/>
      <c r="JW48" s="620"/>
      <c r="JX48" s="620"/>
      <c r="JY48" s="620"/>
      <c r="JZ48" s="620"/>
      <c r="KA48" s="620"/>
      <c r="KB48" s="620"/>
      <c r="KC48" s="620"/>
      <c r="KD48" s="620"/>
      <c r="KE48" s="620"/>
      <c r="KF48" s="620"/>
      <c r="KG48" s="620"/>
      <c r="KH48" s="620"/>
      <c r="KI48" s="620"/>
      <c r="KJ48" s="620"/>
      <c r="KK48" s="620"/>
      <c r="KL48" s="620"/>
      <c r="KM48" s="620"/>
      <c r="KN48" s="620"/>
      <c r="KO48" s="620"/>
      <c r="KP48" s="620"/>
      <c r="KQ48" s="620"/>
      <c r="KR48" s="620"/>
      <c r="KS48" s="620"/>
      <c r="KT48" s="620"/>
      <c r="KU48" s="620"/>
      <c r="KV48" s="620"/>
      <c r="KW48" s="620"/>
      <c r="KX48" s="620"/>
      <c r="KY48" s="620"/>
      <c r="KZ48" s="620"/>
      <c r="LA48" s="620"/>
      <c r="LB48" s="620"/>
      <c r="LC48" s="620"/>
      <c r="LD48" s="620"/>
      <c r="LE48" s="620"/>
      <c r="LF48" s="620"/>
      <c r="LG48" s="620"/>
      <c r="LH48" s="620"/>
      <c r="LI48" s="620"/>
      <c r="LJ48" s="620"/>
      <c r="LK48" s="620"/>
      <c r="LL48" s="620"/>
      <c r="LM48" s="620"/>
      <c r="LN48" s="620"/>
      <c r="LO48" s="620"/>
      <c r="LP48" s="620"/>
      <c r="LQ48" s="620"/>
      <c r="LR48" s="620"/>
      <c r="LS48" s="620"/>
      <c r="LT48" s="620"/>
      <c r="LU48" s="620"/>
      <c r="LV48" s="620"/>
      <c r="LW48" s="620"/>
      <c r="LX48" s="620"/>
      <c r="LY48" s="620"/>
      <c r="LZ48" s="620"/>
      <c r="MA48" s="620"/>
      <c r="MB48" s="620"/>
      <c r="MC48" s="620"/>
      <c r="MD48" s="620"/>
      <c r="ME48" s="620"/>
      <c r="MF48" s="620"/>
      <c r="MG48" s="620"/>
      <c r="MH48" s="620"/>
      <c r="MI48" s="620"/>
      <c r="MJ48" s="620"/>
      <c r="MK48" s="620"/>
      <c r="ML48" s="620"/>
      <c r="MM48" s="620"/>
      <c r="MN48" s="620"/>
      <c r="MO48" s="620"/>
      <c r="MP48" s="620"/>
      <c r="MQ48" s="620"/>
      <c r="MR48" s="620"/>
      <c r="MS48" s="620"/>
      <c r="MT48" s="620"/>
      <c r="MU48" s="620"/>
      <c r="MV48" s="620"/>
      <c r="MW48" s="620"/>
      <c r="MX48" s="620"/>
      <c r="MY48" s="620"/>
      <c r="MZ48" s="620"/>
      <c r="NA48" s="620"/>
      <c r="NB48" s="620"/>
      <c r="NC48" s="620"/>
      <c r="ND48" s="620"/>
      <c r="NE48" s="620"/>
      <c r="NF48" s="620"/>
      <c r="NG48" s="620"/>
      <c r="NH48" s="620"/>
      <c r="NI48" s="620"/>
      <c r="NJ48" s="620"/>
      <c r="NK48" s="620"/>
      <c r="NL48" s="620"/>
      <c r="NM48" s="620"/>
      <c r="NN48" s="620"/>
      <c r="NO48" s="620"/>
      <c r="NP48" s="620"/>
      <c r="NQ48" s="620"/>
      <c r="NR48" s="620"/>
      <c r="NS48" s="620"/>
      <c r="NT48" s="620"/>
      <c r="NU48" s="620"/>
      <c r="NV48" s="620"/>
      <c r="NW48" s="620"/>
      <c r="NX48" s="620"/>
      <c r="NY48" s="620"/>
      <c r="NZ48" s="620"/>
      <c r="OA48" s="620"/>
      <c r="OB48" s="620"/>
      <c r="OC48" s="620"/>
      <c r="OD48" s="620"/>
      <c r="OE48" s="620"/>
      <c r="OF48" s="620"/>
      <c r="OG48" s="620"/>
      <c r="OH48" s="620"/>
      <c r="OI48" s="620"/>
      <c r="OJ48" s="620"/>
      <c r="OK48" s="620"/>
      <c r="OL48" s="620"/>
      <c r="OM48" s="620"/>
      <c r="ON48" s="620"/>
      <c r="OO48" s="620"/>
      <c r="OP48" s="620"/>
      <c r="OQ48" s="620"/>
      <c r="OR48" s="620"/>
      <c r="OS48" s="620"/>
      <c r="OT48" s="620"/>
      <c r="OU48" s="620"/>
      <c r="OV48" s="620"/>
      <c r="OW48" s="620"/>
      <c r="OX48" s="620"/>
      <c r="OY48" s="620"/>
      <c r="OZ48" s="620"/>
      <c r="PA48" s="620"/>
      <c r="PB48" s="620"/>
      <c r="PC48" s="620"/>
      <c r="PD48" s="620"/>
      <c r="PE48" s="620"/>
      <c r="PF48" s="620"/>
      <c r="PG48" s="620"/>
      <c r="PH48" s="620"/>
      <c r="PI48" s="620"/>
      <c r="PJ48" s="620"/>
      <c r="PK48" s="620"/>
      <c r="PL48" s="620"/>
      <c r="PM48" s="620"/>
      <c r="PN48" s="620"/>
      <c r="PO48" s="620"/>
      <c r="PP48" s="620"/>
      <c r="PQ48" s="620"/>
      <c r="PR48" s="620"/>
      <c r="PS48" s="620"/>
      <c r="PT48" s="620"/>
      <c r="PU48" s="620"/>
      <c r="PV48" s="620"/>
      <c r="PW48" s="620"/>
      <c r="PX48" s="620"/>
      <c r="PY48" s="620"/>
      <c r="PZ48" s="620"/>
      <c r="QA48" s="620"/>
      <c r="QB48" s="620"/>
      <c r="QC48" s="620"/>
      <c r="QD48" s="620"/>
      <c r="QE48" s="620"/>
      <c r="QF48" s="620"/>
      <c r="QG48" s="620"/>
      <c r="QH48" s="620"/>
      <c r="QI48" s="620"/>
      <c r="QJ48" s="620"/>
      <c r="QK48" s="620"/>
      <c r="QL48" s="620"/>
      <c r="QM48" s="620"/>
      <c r="QN48" s="620"/>
      <c r="QO48" s="620"/>
      <c r="QP48" s="620"/>
      <c r="QQ48" s="620"/>
      <c r="QR48" s="620"/>
      <c r="QS48" s="620"/>
      <c r="QT48" s="620"/>
      <c r="QU48" s="620"/>
      <c r="QV48" s="620"/>
      <c r="QW48" s="620"/>
      <c r="QX48" s="620"/>
      <c r="QY48" s="620"/>
      <c r="QZ48" s="620"/>
      <c r="RA48" s="620"/>
      <c r="RB48" s="620"/>
      <c r="RC48" s="620"/>
      <c r="RD48" s="620"/>
      <c r="RE48" s="620"/>
      <c r="RF48" s="620"/>
      <c r="RG48" s="620"/>
      <c r="RH48" s="620"/>
    </row>
    <row r="49" spans="2:476" s="528" customFormat="1" ht="19.5" customHeight="1">
      <c r="B49" s="552"/>
      <c r="C49" s="553">
        <v>16</v>
      </c>
      <c r="D49" s="554">
        <v>0</v>
      </c>
      <c r="E49" s="554">
        <v>2</v>
      </c>
      <c r="F49" s="555">
        <f t="shared" si="4"/>
        <v>-5.82005554861098E-11</v>
      </c>
      <c r="G49" s="556"/>
      <c r="H49" s="573"/>
      <c r="I49" s="591"/>
      <c r="J49" s="576">
        <v>14.000000000058201</v>
      </c>
      <c r="K49" s="576"/>
      <c r="L49" s="576"/>
      <c r="M49" s="576"/>
      <c r="N49" s="576"/>
      <c r="O49" s="576"/>
      <c r="P49" s="557"/>
      <c r="Q49" s="557"/>
      <c r="R49" s="557"/>
      <c r="S49" s="557"/>
      <c r="T49" s="557"/>
      <c r="U49" s="557"/>
      <c r="V49" s="557"/>
      <c r="W49" s="557"/>
      <c r="X49" s="557"/>
      <c r="Y49" s="613">
        <v>2</v>
      </c>
      <c r="Z49" s="607">
        <f t="shared" si="5"/>
        <v>0</v>
      </c>
      <c r="AA49" s="607">
        <f t="shared" si="6"/>
        <v>14.000000000058201</v>
      </c>
      <c r="AB49" s="608">
        <f t="shared" si="7"/>
        <v>1</v>
      </c>
      <c r="AC49" s="612" t="s">
        <v>49</v>
      </c>
      <c r="AD49" s="620"/>
      <c r="AE49" s="620"/>
      <c r="AF49" s="620"/>
      <c r="AG49" s="620"/>
      <c r="AH49" s="620"/>
      <c r="AI49" s="620"/>
      <c r="AJ49" s="620"/>
      <c r="AK49" s="620"/>
      <c r="AL49" s="620"/>
      <c r="AM49" s="620"/>
      <c r="AN49" s="620"/>
      <c r="AO49" s="620"/>
      <c r="AP49" s="620"/>
      <c r="AQ49" s="620"/>
      <c r="AR49" s="620"/>
      <c r="AS49" s="620"/>
      <c r="AT49" s="620"/>
      <c r="AU49" s="620"/>
      <c r="AV49" s="620"/>
      <c r="AW49" s="620"/>
      <c r="AX49" s="620"/>
      <c r="AY49" s="620"/>
      <c r="AZ49" s="620"/>
      <c r="BA49" s="620"/>
      <c r="BB49" s="620"/>
      <c r="BC49" s="620"/>
      <c r="BD49" s="620"/>
      <c r="BE49" s="620"/>
      <c r="BF49" s="620"/>
      <c r="BG49" s="620"/>
      <c r="BH49" s="620"/>
      <c r="BI49" s="620"/>
      <c r="BJ49" s="620"/>
      <c r="BK49" s="620"/>
      <c r="BL49" s="620"/>
      <c r="BM49" s="620"/>
      <c r="BN49" s="620"/>
      <c r="BO49" s="620"/>
      <c r="BP49" s="620"/>
      <c r="BQ49" s="620"/>
      <c r="BR49" s="620"/>
      <c r="BS49" s="620"/>
      <c r="BT49" s="620"/>
      <c r="BU49" s="620"/>
      <c r="BV49" s="620"/>
      <c r="BW49" s="620"/>
      <c r="BX49" s="620"/>
      <c r="BY49" s="620"/>
      <c r="BZ49" s="620"/>
      <c r="CA49" s="620"/>
      <c r="CB49" s="620"/>
      <c r="CC49" s="620"/>
      <c r="CD49" s="620"/>
      <c r="CE49" s="620"/>
      <c r="CF49" s="620"/>
      <c r="CG49" s="620"/>
      <c r="CH49" s="620"/>
      <c r="CI49" s="620"/>
      <c r="CJ49" s="620"/>
      <c r="CK49" s="620"/>
      <c r="CL49" s="620"/>
      <c r="CM49" s="620"/>
      <c r="CN49" s="620"/>
      <c r="CO49" s="620"/>
      <c r="CP49" s="620"/>
      <c r="CQ49" s="620"/>
      <c r="CR49" s="620"/>
      <c r="CS49" s="620"/>
      <c r="CT49" s="620"/>
      <c r="CU49" s="620"/>
      <c r="CV49" s="620"/>
      <c r="CW49" s="620"/>
      <c r="CX49" s="620"/>
      <c r="CY49" s="620"/>
      <c r="CZ49" s="620"/>
      <c r="DA49" s="620"/>
      <c r="DB49" s="620"/>
      <c r="DC49" s="620"/>
      <c r="DD49" s="620"/>
      <c r="DE49" s="620"/>
      <c r="DF49" s="620"/>
      <c r="DG49" s="620"/>
      <c r="DH49" s="620"/>
      <c r="DI49" s="620"/>
      <c r="DJ49" s="620"/>
      <c r="DK49" s="620"/>
      <c r="DL49" s="620"/>
      <c r="DM49" s="620"/>
      <c r="DN49" s="620"/>
      <c r="DO49" s="620"/>
      <c r="DP49" s="620"/>
      <c r="DQ49" s="620"/>
      <c r="DR49" s="620"/>
      <c r="DS49" s="620"/>
      <c r="DT49" s="620"/>
      <c r="DU49" s="620"/>
      <c r="DV49" s="620"/>
      <c r="DW49" s="620"/>
      <c r="DX49" s="620"/>
      <c r="DY49" s="620"/>
      <c r="DZ49" s="620"/>
      <c r="EA49" s="620"/>
      <c r="EB49" s="620"/>
      <c r="EC49" s="620"/>
      <c r="ED49" s="620"/>
      <c r="EE49" s="620"/>
      <c r="EF49" s="620"/>
      <c r="EG49" s="620"/>
      <c r="EH49" s="620"/>
      <c r="EI49" s="620"/>
      <c r="EJ49" s="620"/>
      <c r="EK49" s="620"/>
      <c r="EL49" s="620"/>
      <c r="EM49" s="620"/>
      <c r="EN49" s="620"/>
      <c r="EO49" s="620"/>
      <c r="EP49" s="620"/>
      <c r="EQ49" s="620"/>
      <c r="ER49" s="620"/>
      <c r="ES49" s="620"/>
      <c r="ET49" s="620"/>
      <c r="EU49" s="620"/>
      <c r="EV49" s="620"/>
      <c r="EW49" s="620"/>
      <c r="EX49" s="620"/>
      <c r="EY49" s="620"/>
      <c r="EZ49" s="620"/>
      <c r="FA49" s="620"/>
      <c r="FB49" s="620"/>
      <c r="FC49" s="620"/>
      <c r="FD49" s="620"/>
      <c r="FE49" s="620"/>
      <c r="FF49" s="620"/>
      <c r="FG49" s="620"/>
      <c r="FH49" s="620"/>
      <c r="FI49" s="620"/>
      <c r="FJ49" s="620"/>
      <c r="FK49" s="620"/>
      <c r="FL49" s="620"/>
      <c r="FM49" s="620"/>
      <c r="FN49" s="620"/>
      <c r="FO49" s="620"/>
      <c r="FP49" s="620"/>
      <c r="FQ49" s="620"/>
      <c r="FR49" s="620"/>
      <c r="FS49" s="620"/>
      <c r="FT49" s="620"/>
      <c r="FU49" s="620"/>
      <c r="FV49" s="620"/>
      <c r="FW49" s="620"/>
      <c r="FX49" s="620"/>
      <c r="FY49" s="620"/>
      <c r="FZ49" s="620"/>
      <c r="GA49" s="620"/>
      <c r="GB49" s="620"/>
      <c r="GC49" s="620"/>
      <c r="GD49" s="620"/>
      <c r="GE49" s="620"/>
      <c r="GF49" s="620"/>
      <c r="GG49" s="620"/>
      <c r="GH49" s="620"/>
      <c r="GI49" s="620"/>
      <c r="GJ49" s="620"/>
      <c r="GK49" s="620"/>
      <c r="GL49" s="620"/>
      <c r="GM49" s="620"/>
      <c r="GN49" s="620"/>
      <c r="GO49" s="620"/>
      <c r="GP49" s="620"/>
      <c r="GQ49" s="620"/>
      <c r="GR49" s="620"/>
      <c r="GS49" s="620"/>
      <c r="GT49" s="620"/>
      <c r="GU49" s="620"/>
      <c r="GV49" s="620"/>
      <c r="GW49" s="620"/>
      <c r="GX49" s="620"/>
      <c r="GY49" s="620"/>
      <c r="GZ49" s="620"/>
      <c r="HA49" s="620"/>
      <c r="HB49" s="620"/>
      <c r="HC49" s="620"/>
      <c r="HD49" s="620"/>
      <c r="HE49" s="620"/>
      <c r="HF49" s="620"/>
      <c r="HG49" s="620"/>
      <c r="HH49" s="620"/>
      <c r="HI49" s="620"/>
      <c r="HJ49" s="620"/>
      <c r="HK49" s="620"/>
      <c r="HL49" s="620"/>
      <c r="HM49" s="620"/>
      <c r="HN49" s="620"/>
      <c r="HO49" s="620"/>
      <c r="HP49" s="620"/>
      <c r="HQ49" s="620"/>
      <c r="HR49" s="620"/>
      <c r="HS49" s="620"/>
      <c r="HT49" s="620"/>
      <c r="HU49" s="620"/>
      <c r="HV49" s="620"/>
      <c r="HW49" s="620"/>
      <c r="HX49" s="620"/>
      <c r="HY49" s="620"/>
      <c r="HZ49" s="620"/>
      <c r="IA49" s="620"/>
      <c r="IB49" s="620"/>
      <c r="IC49" s="620"/>
      <c r="ID49" s="620"/>
      <c r="IE49" s="620"/>
      <c r="IF49" s="620"/>
      <c r="IG49" s="620"/>
      <c r="IH49" s="620"/>
      <c r="II49" s="620"/>
      <c r="IJ49" s="620"/>
      <c r="IK49" s="620"/>
      <c r="IL49" s="620"/>
      <c r="IM49" s="620"/>
      <c r="IN49" s="620"/>
      <c r="IO49" s="620"/>
      <c r="IP49" s="620"/>
      <c r="IQ49" s="620"/>
      <c r="IR49" s="620"/>
      <c r="IS49" s="620"/>
      <c r="IT49" s="620"/>
      <c r="IU49" s="620"/>
      <c r="IV49" s="620"/>
      <c r="IW49" s="620"/>
      <c r="IX49" s="620"/>
      <c r="IY49" s="620"/>
      <c r="IZ49" s="620"/>
      <c r="JA49" s="620"/>
      <c r="JB49" s="620"/>
      <c r="JC49" s="620"/>
      <c r="JD49" s="620"/>
      <c r="JE49" s="620"/>
      <c r="JF49" s="620"/>
      <c r="JG49" s="620"/>
      <c r="JH49" s="620"/>
      <c r="JI49" s="620"/>
      <c r="JJ49" s="620"/>
      <c r="JK49" s="620"/>
      <c r="JL49" s="620"/>
      <c r="JM49" s="620"/>
      <c r="JN49" s="620"/>
      <c r="JO49" s="620"/>
      <c r="JP49" s="620"/>
      <c r="JQ49" s="620"/>
      <c r="JR49" s="620"/>
      <c r="JS49" s="620"/>
      <c r="JT49" s="620"/>
      <c r="JU49" s="620"/>
      <c r="JV49" s="620"/>
      <c r="JW49" s="620"/>
      <c r="JX49" s="620"/>
      <c r="JY49" s="620"/>
      <c r="JZ49" s="620"/>
      <c r="KA49" s="620"/>
      <c r="KB49" s="620"/>
      <c r="KC49" s="620"/>
      <c r="KD49" s="620"/>
      <c r="KE49" s="620"/>
      <c r="KF49" s="620"/>
      <c r="KG49" s="620"/>
      <c r="KH49" s="620"/>
      <c r="KI49" s="620"/>
      <c r="KJ49" s="620"/>
      <c r="KK49" s="620"/>
      <c r="KL49" s="620"/>
      <c r="KM49" s="620"/>
      <c r="KN49" s="620"/>
      <c r="KO49" s="620"/>
      <c r="KP49" s="620"/>
      <c r="KQ49" s="620"/>
      <c r="KR49" s="620"/>
      <c r="KS49" s="620"/>
      <c r="KT49" s="620"/>
      <c r="KU49" s="620"/>
      <c r="KV49" s="620"/>
      <c r="KW49" s="620"/>
      <c r="KX49" s="620"/>
      <c r="KY49" s="620"/>
      <c r="KZ49" s="620"/>
      <c r="LA49" s="620"/>
      <c r="LB49" s="620"/>
      <c r="LC49" s="620"/>
      <c r="LD49" s="620"/>
      <c r="LE49" s="620"/>
      <c r="LF49" s="620"/>
      <c r="LG49" s="620"/>
      <c r="LH49" s="620"/>
      <c r="LI49" s="620"/>
      <c r="LJ49" s="620"/>
      <c r="LK49" s="620"/>
      <c r="LL49" s="620"/>
      <c r="LM49" s="620"/>
      <c r="LN49" s="620"/>
      <c r="LO49" s="620"/>
      <c r="LP49" s="620"/>
      <c r="LQ49" s="620"/>
      <c r="LR49" s="620"/>
      <c r="LS49" s="620"/>
      <c r="LT49" s="620"/>
      <c r="LU49" s="620"/>
      <c r="LV49" s="620"/>
      <c r="LW49" s="620"/>
      <c r="LX49" s="620"/>
      <c r="LY49" s="620"/>
      <c r="LZ49" s="620"/>
      <c r="MA49" s="620"/>
      <c r="MB49" s="620"/>
      <c r="MC49" s="620"/>
      <c r="MD49" s="620"/>
      <c r="ME49" s="620"/>
      <c r="MF49" s="620"/>
      <c r="MG49" s="620"/>
      <c r="MH49" s="620"/>
      <c r="MI49" s="620"/>
      <c r="MJ49" s="620"/>
      <c r="MK49" s="620"/>
      <c r="ML49" s="620"/>
      <c r="MM49" s="620"/>
      <c r="MN49" s="620"/>
      <c r="MO49" s="620"/>
      <c r="MP49" s="620"/>
      <c r="MQ49" s="620"/>
      <c r="MR49" s="620"/>
      <c r="MS49" s="620"/>
      <c r="MT49" s="620"/>
      <c r="MU49" s="620"/>
      <c r="MV49" s="620"/>
      <c r="MW49" s="620"/>
      <c r="MX49" s="620"/>
      <c r="MY49" s="620"/>
      <c r="MZ49" s="620"/>
      <c r="NA49" s="620"/>
      <c r="NB49" s="620"/>
      <c r="NC49" s="620"/>
      <c r="ND49" s="620"/>
      <c r="NE49" s="620"/>
      <c r="NF49" s="620"/>
      <c r="NG49" s="620"/>
      <c r="NH49" s="620"/>
      <c r="NI49" s="620"/>
      <c r="NJ49" s="620"/>
      <c r="NK49" s="620"/>
      <c r="NL49" s="620"/>
      <c r="NM49" s="620"/>
      <c r="NN49" s="620"/>
      <c r="NO49" s="620"/>
      <c r="NP49" s="620"/>
      <c r="NQ49" s="620"/>
      <c r="NR49" s="620"/>
      <c r="NS49" s="620"/>
      <c r="NT49" s="620"/>
      <c r="NU49" s="620"/>
      <c r="NV49" s="620"/>
      <c r="NW49" s="620"/>
      <c r="NX49" s="620"/>
      <c r="NY49" s="620"/>
      <c r="NZ49" s="620"/>
      <c r="OA49" s="620"/>
      <c r="OB49" s="620"/>
      <c r="OC49" s="620"/>
      <c r="OD49" s="620"/>
      <c r="OE49" s="620"/>
      <c r="OF49" s="620"/>
      <c r="OG49" s="620"/>
      <c r="OH49" s="620"/>
      <c r="OI49" s="620"/>
      <c r="OJ49" s="620"/>
      <c r="OK49" s="620"/>
      <c r="OL49" s="620"/>
      <c r="OM49" s="620"/>
      <c r="ON49" s="620"/>
      <c r="OO49" s="620"/>
      <c r="OP49" s="620"/>
      <c r="OQ49" s="620"/>
      <c r="OR49" s="620"/>
      <c r="OS49" s="620"/>
      <c r="OT49" s="620"/>
      <c r="OU49" s="620"/>
      <c r="OV49" s="620"/>
      <c r="OW49" s="620"/>
      <c r="OX49" s="620"/>
      <c r="OY49" s="620"/>
      <c r="OZ49" s="620"/>
      <c r="PA49" s="620"/>
      <c r="PB49" s="620"/>
      <c r="PC49" s="620"/>
      <c r="PD49" s="620"/>
      <c r="PE49" s="620"/>
      <c r="PF49" s="620"/>
      <c r="PG49" s="620"/>
      <c r="PH49" s="620"/>
      <c r="PI49" s="620"/>
      <c r="PJ49" s="620"/>
      <c r="PK49" s="620"/>
      <c r="PL49" s="620"/>
      <c r="PM49" s="620"/>
      <c r="PN49" s="620"/>
      <c r="PO49" s="620"/>
      <c r="PP49" s="620"/>
      <c r="PQ49" s="620"/>
      <c r="PR49" s="620"/>
      <c r="PS49" s="620"/>
      <c r="PT49" s="620"/>
      <c r="PU49" s="620"/>
      <c r="PV49" s="620"/>
      <c r="PW49" s="620"/>
      <c r="PX49" s="620"/>
      <c r="PY49" s="620"/>
      <c r="PZ49" s="620"/>
      <c r="QA49" s="620"/>
      <c r="QB49" s="620"/>
      <c r="QC49" s="620"/>
      <c r="QD49" s="620"/>
      <c r="QE49" s="620"/>
      <c r="QF49" s="620"/>
      <c r="QG49" s="620"/>
      <c r="QH49" s="620"/>
      <c r="QI49" s="620"/>
      <c r="QJ49" s="620"/>
      <c r="QK49" s="620"/>
      <c r="QL49" s="620"/>
      <c r="QM49" s="620"/>
      <c r="QN49" s="620"/>
      <c r="QO49" s="620"/>
      <c r="QP49" s="620"/>
      <c r="QQ49" s="620"/>
      <c r="QR49" s="620"/>
      <c r="QS49" s="620"/>
      <c r="QT49" s="620"/>
      <c r="QU49" s="620"/>
      <c r="QV49" s="620"/>
      <c r="QW49" s="620"/>
      <c r="QX49" s="620"/>
      <c r="QY49" s="620"/>
      <c r="QZ49" s="620"/>
      <c r="RA49" s="620"/>
      <c r="RB49" s="620"/>
      <c r="RC49" s="620"/>
      <c r="RD49" s="620"/>
      <c r="RE49" s="620"/>
      <c r="RF49" s="620"/>
      <c r="RG49" s="620"/>
      <c r="RH49" s="620"/>
    </row>
    <row r="50" spans="2:476" ht="19.5" customHeight="1">
      <c r="B50" s="558">
        <v>45831</v>
      </c>
      <c r="C50" s="547">
        <v>16</v>
      </c>
      <c r="D50" s="548">
        <v>0</v>
      </c>
      <c r="E50" s="548">
        <v>2</v>
      </c>
      <c r="F50" s="549">
        <f t="shared" si="4"/>
        <v>-5.82005554861098E-11</v>
      </c>
      <c r="G50" s="550"/>
      <c r="H50" s="551"/>
      <c r="I50" s="572"/>
      <c r="J50" s="592">
        <v>14.000000000058201</v>
      </c>
      <c r="K50" s="586"/>
      <c r="L50" s="551"/>
      <c r="M50" s="592"/>
      <c r="N50" s="572"/>
      <c r="O50" s="572"/>
      <c r="P50" s="551"/>
      <c r="Q50" s="572"/>
      <c r="R50" s="551"/>
      <c r="S50" s="551"/>
      <c r="T50" s="551"/>
      <c r="U50" s="551"/>
      <c r="V50" s="551"/>
      <c r="W50" s="551"/>
      <c r="X50" s="572"/>
      <c r="Y50" s="614">
        <v>1</v>
      </c>
      <c r="Z50" s="607">
        <f t="shared" si="5"/>
        <v>0</v>
      </c>
      <c r="AA50" s="607">
        <f t="shared" si="6"/>
        <v>14.000000000058201</v>
      </c>
      <c r="AB50" s="608">
        <f t="shared" si="7"/>
        <v>1</v>
      </c>
      <c r="AC50" s="615" t="s">
        <v>53</v>
      </c>
      <c r="AD50" s="605"/>
      <c r="AE50" s="605"/>
      <c r="AF50" s="605"/>
      <c r="AG50" s="605"/>
      <c r="AH50" s="605"/>
      <c r="AI50" s="605"/>
      <c r="AJ50" s="605"/>
      <c r="AK50" s="605"/>
      <c r="AL50" s="605"/>
      <c r="AM50" s="605"/>
      <c r="AN50" s="605"/>
      <c r="AO50" s="605"/>
      <c r="AP50" s="605"/>
      <c r="AQ50" s="605"/>
      <c r="AR50" s="605"/>
      <c r="AS50" s="605"/>
      <c r="AT50" s="605"/>
      <c r="AU50" s="605"/>
      <c r="AV50" s="605"/>
      <c r="AW50" s="605"/>
      <c r="AX50" s="605"/>
      <c r="AY50" s="605"/>
      <c r="AZ50" s="605"/>
      <c r="BA50" s="605"/>
      <c r="BB50" s="605"/>
      <c r="BC50" s="605"/>
      <c r="BD50" s="605"/>
      <c r="BE50" s="605"/>
      <c r="BF50" s="605"/>
      <c r="BG50" s="605"/>
      <c r="BH50" s="605"/>
      <c r="BI50" s="605"/>
      <c r="BJ50" s="605"/>
      <c r="BK50" s="605"/>
      <c r="BL50" s="605"/>
      <c r="BM50" s="605"/>
      <c r="BN50" s="605"/>
      <c r="BO50" s="605"/>
      <c r="BP50" s="605"/>
      <c r="BQ50" s="605"/>
      <c r="BR50" s="605"/>
      <c r="BS50" s="605"/>
      <c r="BT50" s="605"/>
      <c r="BU50" s="605"/>
      <c r="BV50" s="605"/>
      <c r="BW50" s="605"/>
      <c r="BX50" s="605"/>
      <c r="BY50" s="605"/>
      <c r="BZ50" s="605"/>
      <c r="CA50" s="605"/>
      <c r="CB50" s="605"/>
      <c r="CC50" s="605"/>
      <c r="CD50" s="605"/>
      <c r="CE50" s="605"/>
      <c r="CF50" s="605"/>
      <c r="CG50" s="605"/>
      <c r="CH50" s="605"/>
      <c r="CI50" s="605"/>
      <c r="CJ50" s="605"/>
      <c r="CK50" s="605"/>
      <c r="CL50" s="605"/>
      <c r="CM50" s="605"/>
      <c r="CN50" s="605"/>
      <c r="CO50" s="605"/>
      <c r="CP50" s="605"/>
      <c r="CQ50" s="605"/>
      <c r="CR50" s="605"/>
      <c r="CS50" s="605"/>
      <c r="CT50" s="605"/>
      <c r="CU50" s="605"/>
      <c r="CV50" s="605"/>
      <c r="CW50" s="605"/>
      <c r="CX50" s="605"/>
      <c r="CY50" s="605"/>
      <c r="CZ50" s="605"/>
      <c r="DA50" s="605"/>
      <c r="DB50" s="605"/>
      <c r="DC50" s="605"/>
      <c r="DD50" s="605"/>
      <c r="DE50" s="605"/>
      <c r="DF50" s="605"/>
      <c r="DG50" s="605"/>
      <c r="DH50" s="605"/>
      <c r="DI50" s="605"/>
      <c r="DJ50" s="605"/>
      <c r="DK50" s="605"/>
      <c r="DL50" s="605"/>
      <c r="DM50" s="605"/>
      <c r="DN50" s="605"/>
      <c r="DO50" s="605"/>
      <c r="DP50" s="605"/>
      <c r="DQ50" s="605"/>
      <c r="DR50" s="605"/>
      <c r="DS50" s="605"/>
      <c r="DT50" s="605"/>
      <c r="DU50" s="605"/>
      <c r="DV50" s="605"/>
      <c r="DW50" s="605"/>
      <c r="DX50" s="605"/>
      <c r="DY50" s="605"/>
      <c r="DZ50" s="605"/>
      <c r="EA50" s="605"/>
      <c r="EB50" s="605"/>
      <c r="EC50" s="605"/>
      <c r="ED50" s="605"/>
      <c r="EE50" s="605"/>
      <c r="EF50" s="605"/>
      <c r="EG50" s="605"/>
      <c r="EH50" s="605"/>
      <c r="EI50" s="605"/>
      <c r="EJ50" s="605"/>
      <c r="EK50" s="605"/>
      <c r="EL50" s="605"/>
      <c r="EM50" s="605"/>
      <c r="EN50" s="605"/>
      <c r="EO50" s="605"/>
      <c r="EP50" s="605"/>
      <c r="EQ50" s="605"/>
      <c r="ER50" s="605"/>
      <c r="ES50" s="605"/>
      <c r="ET50" s="605"/>
      <c r="EU50" s="605"/>
      <c r="EV50" s="605"/>
      <c r="EW50" s="605"/>
      <c r="EX50" s="605"/>
      <c r="EY50" s="605"/>
      <c r="EZ50" s="605"/>
      <c r="FA50" s="605"/>
      <c r="FB50" s="605"/>
      <c r="FC50" s="605"/>
      <c r="FD50" s="605"/>
      <c r="FE50" s="605"/>
      <c r="FF50" s="605"/>
      <c r="FG50" s="605"/>
      <c r="FH50" s="605"/>
      <c r="FI50" s="605"/>
      <c r="FJ50" s="605"/>
      <c r="FK50" s="605"/>
      <c r="FL50" s="605"/>
      <c r="FM50" s="605"/>
      <c r="FN50" s="605"/>
      <c r="FO50" s="605"/>
      <c r="FP50" s="605"/>
      <c r="FQ50" s="605"/>
      <c r="FR50" s="605"/>
      <c r="FS50" s="605"/>
      <c r="FT50" s="605"/>
      <c r="FU50" s="605"/>
      <c r="FV50" s="605"/>
      <c r="FW50" s="605"/>
      <c r="FX50" s="605"/>
      <c r="FY50" s="605"/>
      <c r="FZ50" s="605"/>
      <c r="GA50" s="605"/>
      <c r="GB50" s="605"/>
      <c r="GC50" s="605"/>
      <c r="GD50" s="605"/>
      <c r="GE50" s="605"/>
      <c r="GF50" s="605"/>
      <c r="GG50" s="605"/>
      <c r="GH50" s="605"/>
      <c r="GI50" s="605"/>
      <c r="GJ50" s="605"/>
      <c r="GK50" s="605"/>
      <c r="GL50" s="605"/>
      <c r="GM50" s="605"/>
      <c r="GN50" s="605"/>
      <c r="GO50" s="605"/>
      <c r="GP50" s="605"/>
      <c r="GQ50" s="605"/>
      <c r="GR50" s="605"/>
      <c r="GS50" s="605"/>
      <c r="GT50" s="605"/>
      <c r="GU50" s="605"/>
      <c r="GV50" s="605"/>
      <c r="GW50" s="605"/>
      <c r="GX50" s="605"/>
      <c r="GY50" s="605"/>
      <c r="GZ50" s="605"/>
      <c r="HA50" s="605"/>
      <c r="HB50" s="605"/>
      <c r="HC50" s="605"/>
      <c r="HD50" s="605"/>
      <c r="HE50" s="605"/>
      <c r="HF50" s="605"/>
      <c r="HG50" s="605"/>
      <c r="HH50" s="605"/>
      <c r="HI50" s="605"/>
      <c r="HJ50" s="605"/>
      <c r="HK50" s="605"/>
      <c r="HL50" s="605"/>
      <c r="HM50" s="605"/>
      <c r="HN50" s="605"/>
      <c r="HO50" s="605"/>
      <c r="HP50" s="605"/>
      <c r="HQ50" s="605"/>
      <c r="HR50" s="605"/>
      <c r="HS50" s="605"/>
      <c r="HT50" s="605"/>
      <c r="HU50" s="605"/>
      <c r="HV50" s="605"/>
      <c r="HW50" s="605"/>
      <c r="HX50" s="605"/>
      <c r="HY50" s="605"/>
      <c r="HZ50" s="605"/>
      <c r="IA50" s="605"/>
      <c r="IB50" s="605"/>
      <c r="IC50" s="605"/>
      <c r="ID50" s="605"/>
      <c r="IE50" s="605"/>
      <c r="IF50" s="605"/>
      <c r="IG50" s="605"/>
      <c r="IH50" s="605"/>
      <c r="II50" s="605"/>
      <c r="IJ50" s="605"/>
      <c r="IK50" s="605"/>
      <c r="IL50" s="605"/>
      <c r="IM50" s="605"/>
      <c r="IN50" s="605"/>
      <c r="IO50" s="605"/>
      <c r="IP50" s="605"/>
      <c r="IQ50" s="605"/>
      <c r="IR50" s="605"/>
      <c r="IS50" s="605"/>
      <c r="IT50" s="605"/>
      <c r="IU50" s="605"/>
      <c r="IV50" s="605"/>
      <c r="IW50" s="605"/>
      <c r="IX50" s="605"/>
      <c r="IY50" s="605"/>
      <c r="IZ50" s="605"/>
      <c r="JA50" s="605"/>
      <c r="JB50" s="605"/>
      <c r="JC50" s="605"/>
      <c r="JD50" s="605"/>
      <c r="JE50" s="605"/>
      <c r="JF50" s="605"/>
      <c r="JG50" s="605"/>
      <c r="JH50" s="605"/>
      <c r="JI50" s="605"/>
      <c r="JJ50" s="605"/>
      <c r="JK50" s="605"/>
      <c r="JL50" s="605"/>
      <c r="JM50" s="605"/>
      <c r="JN50" s="605"/>
      <c r="JO50" s="605"/>
      <c r="JP50" s="605"/>
      <c r="JQ50" s="605"/>
      <c r="JR50" s="605"/>
      <c r="JS50" s="605"/>
      <c r="JT50" s="605"/>
      <c r="JU50" s="605"/>
      <c r="JV50" s="605"/>
      <c r="JW50" s="605"/>
      <c r="JX50" s="605"/>
      <c r="JY50" s="605"/>
      <c r="JZ50" s="605"/>
      <c r="KA50" s="605"/>
      <c r="KB50" s="605"/>
      <c r="KC50" s="605"/>
      <c r="KD50" s="605"/>
      <c r="KE50" s="605"/>
      <c r="KF50" s="605"/>
      <c r="KG50" s="605"/>
      <c r="KH50" s="605"/>
      <c r="KI50" s="605"/>
      <c r="KJ50" s="605"/>
      <c r="KK50" s="605"/>
      <c r="KL50" s="605"/>
      <c r="KM50" s="605"/>
      <c r="KN50" s="605"/>
      <c r="KO50" s="605"/>
      <c r="KP50" s="605"/>
      <c r="KQ50" s="605"/>
      <c r="KR50" s="605"/>
      <c r="KS50" s="605"/>
      <c r="KT50" s="605"/>
      <c r="KU50" s="605"/>
      <c r="KV50" s="605"/>
      <c r="KW50" s="605"/>
      <c r="KX50" s="605"/>
      <c r="KY50" s="605"/>
      <c r="KZ50" s="605"/>
      <c r="LA50" s="605"/>
      <c r="LB50" s="605"/>
      <c r="LC50" s="605"/>
      <c r="LD50" s="605"/>
      <c r="LE50" s="605"/>
      <c r="LF50" s="605"/>
      <c r="LG50" s="605"/>
      <c r="LH50" s="605"/>
      <c r="LI50" s="605"/>
      <c r="LJ50" s="605"/>
      <c r="LK50" s="605"/>
      <c r="LL50" s="605"/>
      <c r="LM50" s="605"/>
      <c r="LN50" s="605"/>
      <c r="LO50" s="605"/>
      <c r="LP50" s="605"/>
      <c r="LQ50" s="605"/>
      <c r="LR50" s="605"/>
      <c r="LS50" s="605"/>
      <c r="LT50" s="605"/>
      <c r="LU50" s="605"/>
      <c r="LV50" s="605"/>
      <c r="LW50" s="605"/>
      <c r="LX50" s="605"/>
      <c r="LY50" s="605"/>
      <c r="LZ50" s="605"/>
      <c r="MA50" s="605"/>
      <c r="MB50" s="605"/>
      <c r="MC50" s="605"/>
      <c r="MD50" s="605"/>
      <c r="ME50" s="605"/>
      <c r="MF50" s="605"/>
      <c r="MG50" s="605"/>
      <c r="MH50" s="605"/>
      <c r="MI50" s="605"/>
      <c r="MJ50" s="605"/>
      <c r="MK50" s="605"/>
      <c r="ML50" s="605"/>
      <c r="MM50" s="605"/>
      <c r="MN50" s="605"/>
      <c r="MO50" s="605"/>
      <c r="MP50" s="605"/>
      <c r="MQ50" s="605"/>
      <c r="MR50" s="605"/>
      <c r="MS50" s="605"/>
      <c r="MT50" s="605"/>
      <c r="MU50" s="605"/>
      <c r="MV50" s="605"/>
      <c r="MW50" s="605"/>
      <c r="MX50" s="605"/>
      <c r="MY50" s="605"/>
      <c r="MZ50" s="605"/>
      <c r="NA50" s="605"/>
      <c r="NB50" s="605"/>
      <c r="NC50" s="605"/>
      <c r="ND50" s="605"/>
      <c r="NE50" s="605"/>
      <c r="NF50" s="605"/>
      <c r="NG50" s="605"/>
      <c r="NH50" s="605"/>
      <c r="NI50" s="605"/>
      <c r="NJ50" s="605"/>
      <c r="NK50" s="605"/>
      <c r="NL50" s="605"/>
      <c r="NM50" s="605"/>
      <c r="NN50" s="605"/>
      <c r="NO50" s="605"/>
      <c r="NP50" s="605"/>
      <c r="NQ50" s="605"/>
      <c r="NR50" s="605"/>
      <c r="NS50" s="605"/>
      <c r="NT50" s="605"/>
      <c r="NU50" s="605"/>
      <c r="NV50" s="605"/>
      <c r="NW50" s="605"/>
      <c r="NX50" s="605"/>
      <c r="NY50" s="605"/>
      <c r="NZ50" s="605"/>
      <c r="OA50" s="605"/>
      <c r="OB50" s="605"/>
      <c r="OC50" s="605"/>
      <c r="OD50" s="605"/>
      <c r="OE50" s="605"/>
      <c r="OF50" s="605"/>
      <c r="OG50" s="605"/>
      <c r="OH50" s="605"/>
      <c r="OI50" s="605"/>
      <c r="OJ50" s="605"/>
      <c r="OK50" s="605"/>
      <c r="OL50" s="605"/>
      <c r="OM50" s="605"/>
      <c r="ON50" s="605"/>
      <c r="OO50" s="605"/>
      <c r="OP50" s="605"/>
      <c r="OQ50" s="605"/>
      <c r="OR50" s="605"/>
      <c r="OS50" s="605"/>
      <c r="OT50" s="605"/>
      <c r="OU50" s="605"/>
      <c r="OV50" s="605"/>
      <c r="OW50" s="605"/>
      <c r="OX50" s="605"/>
      <c r="OY50" s="605"/>
      <c r="OZ50" s="605"/>
      <c r="PA50" s="605"/>
      <c r="PB50" s="605"/>
      <c r="PC50" s="605"/>
      <c r="PD50" s="605"/>
      <c r="PE50" s="605"/>
      <c r="PF50" s="605"/>
      <c r="PG50" s="605"/>
      <c r="PH50" s="605"/>
      <c r="PI50" s="605"/>
      <c r="PJ50" s="605"/>
      <c r="PK50" s="605"/>
      <c r="PL50" s="605"/>
      <c r="PM50" s="605"/>
      <c r="PN50" s="605"/>
      <c r="PO50" s="605"/>
      <c r="PP50" s="605"/>
      <c r="PQ50" s="605"/>
      <c r="PR50" s="605"/>
      <c r="PS50" s="605"/>
      <c r="PT50" s="605"/>
      <c r="PU50" s="605"/>
      <c r="PV50" s="605"/>
      <c r="PW50" s="605"/>
      <c r="PX50" s="605"/>
      <c r="PY50" s="605"/>
      <c r="PZ50" s="605"/>
      <c r="QA50" s="605"/>
      <c r="QB50" s="605"/>
      <c r="QC50" s="605"/>
      <c r="QD50" s="605"/>
      <c r="QE50" s="605"/>
      <c r="QF50" s="605"/>
      <c r="QG50" s="605"/>
      <c r="QH50" s="605"/>
      <c r="QI50" s="605"/>
      <c r="QJ50" s="605"/>
      <c r="QK50" s="605"/>
      <c r="QL50" s="605"/>
      <c r="QM50" s="605"/>
      <c r="QN50" s="605"/>
      <c r="QO50" s="605"/>
      <c r="QP50" s="605"/>
      <c r="QQ50" s="605"/>
      <c r="QR50" s="605"/>
      <c r="QS50" s="605"/>
      <c r="QT50" s="605"/>
      <c r="QU50" s="605"/>
      <c r="QV50" s="605"/>
      <c r="QW50" s="605"/>
      <c r="QX50" s="605"/>
      <c r="QY50" s="605"/>
      <c r="QZ50" s="605"/>
      <c r="RA50" s="605"/>
      <c r="RB50" s="605"/>
      <c r="RC50" s="605"/>
      <c r="RD50" s="605"/>
      <c r="RE50" s="605"/>
      <c r="RF50" s="605"/>
      <c r="RG50" s="605"/>
      <c r="RH50" s="605"/>
    </row>
    <row r="51" spans="2:476" ht="20.100000000000001" customHeight="1">
      <c r="B51" s="558"/>
      <c r="C51" s="547">
        <v>16</v>
      </c>
      <c r="D51" s="548">
        <v>0</v>
      </c>
      <c r="E51" s="548">
        <v>2</v>
      </c>
      <c r="F51" s="549">
        <f t="shared" si="4"/>
        <v>12.3333333326154</v>
      </c>
      <c r="G51" s="550"/>
      <c r="H51" s="551"/>
      <c r="I51" s="592"/>
      <c r="J51" s="569">
        <v>0</v>
      </c>
      <c r="K51" s="586"/>
      <c r="L51" s="551"/>
      <c r="M51" s="569"/>
      <c r="N51" s="572">
        <v>0.16666666651144599</v>
      </c>
      <c r="O51" s="572">
        <v>1.50000000087311</v>
      </c>
      <c r="P51" s="551"/>
      <c r="Q51" s="572"/>
      <c r="R51" s="551"/>
      <c r="S51" s="551"/>
      <c r="T51" s="551"/>
      <c r="U51" s="551"/>
      <c r="V51" s="551"/>
      <c r="W51" s="551"/>
      <c r="X51" s="572"/>
      <c r="Y51" s="614">
        <v>2</v>
      </c>
      <c r="Z51" s="607">
        <f t="shared" si="5"/>
        <v>0</v>
      </c>
      <c r="AA51" s="607">
        <f t="shared" si="6"/>
        <v>1.66666666738456</v>
      </c>
      <c r="AB51" s="608">
        <f t="shared" si="7"/>
        <v>1</v>
      </c>
      <c r="AC51" s="615"/>
      <c r="AD51" s="605"/>
      <c r="AE51" s="605"/>
      <c r="AF51" s="605"/>
      <c r="AG51" s="605"/>
      <c r="AH51" s="605"/>
      <c r="AI51" s="605"/>
      <c r="AJ51" s="605"/>
      <c r="AK51" s="605"/>
      <c r="AL51" s="605"/>
      <c r="AM51" s="605"/>
      <c r="AN51" s="605"/>
      <c r="AO51" s="605"/>
      <c r="AP51" s="605"/>
      <c r="AQ51" s="605"/>
      <c r="AR51" s="605"/>
      <c r="AS51" s="605"/>
      <c r="AT51" s="605"/>
      <c r="AU51" s="605"/>
      <c r="AV51" s="605"/>
      <c r="AW51" s="605"/>
      <c r="AX51" s="605"/>
      <c r="AY51" s="605"/>
      <c r="AZ51" s="605"/>
      <c r="BA51" s="605"/>
      <c r="BB51" s="605"/>
      <c r="BC51" s="605"/>
      <c r="BD51" s="605"/>
      <c r="BE51" s="605"/>
      <c r="BF51" s="605"/>
      <c r="BG51" s="605"/>
      <c r="BH51" s="605"/>
      <c r="BI51" s="605"/>
      <c r="BJ51" s="605"/>
      <c r="BK51" s="605"/>
      <c r="BL51" s="605"/>
      <c r="BM51" s="605"/>
      <c r="BN51" s="605"/>
      <c r="BO51" s="605"/>
      <c r="BP51" s="605"/>
      <c r="BQ51" s="605"/>
      <c r="BR51" s="605"/>
      <c r="BS51" s="605"/>
      <c r="BT51" s="605"/>
      <c r="BU51" s="605"/>
      <c r="BV51" s="605"/>
      <c r="BW51" s="605"/>
      <c r="BX51" s="605"/>
      <c r="BY51" s="605"/>
      <c r="BZ51" s="605"/>
      <c r="CA51" s="605"/>
      <c r="CB51" s="605"/>
      <c r="CC51" s="605"/>
      <c r="CD51" s="605"/>
      <c r="CE51" s="605"/>
      <c r="CF51" s="605"/>
      <c r="CG51" s="605"/>
      <c r="CH51" s="605"/>
      <c r="CI51" s="605"/>
      <c r="CJ51" s="605"/>
      <c r="CK51" s="605"/>
      <c r="CL51" s="605"/>
      <c r="CM51" s="605"/>
      <c r="CN51" s="605"/>
      <c r="CO51" s="605"/>
      <c r="CP51" s="605"/>
      <c r="CQ51" s="605"/>
      <c r="CR51" s="605"/>
      <c r="CS51" s="605"/>
      <c r="CT51" s="605"/>
      <c r="CU51" s="605"/>
      <c r="CV51" s="605"/>
      <c r="CW51" s="605"/>
      <c r="CX51" s="605"/>
      <c r="CY51" s="605"/>
      <c r="CZ51" s="605"/>
      <c r="DA51" s="605"/>
      <c r="DB51" s="605"/>
      <c r="DC51" s="605"/>
      <c r="DD51" s="605"/>
      <c r="DE51" s="605"/>
      <c r="DF51" s="605"/>
      <c r="DG51" s="605"/>
      <c r="DH51" s="605"/>
      <c r="DI51" s="605"/>
      <c r="DJ51" s="605"/>
      <c r="DK51" s="605"/>
      <c r="DL51" s="605"/>
      <c r="DM51" s="605"/>
      <c r="DN51" s="605"/>
      <c r="DO51" s="605"/>
      <c r="DP51" s="605"/>
      <c r="DQ51" s="605"/>
      <c r="DR51" s="605"/>
      <c r="DS51" s="605"/>
      <c r="DT51" s="605"/>
      <c r="DU51" s="605"/>
      <c r="DV51" s="605"/>
      <c r="DW51" s="605"/>
      <c r="DX51" s="605"/>
      <c r="DY51" s="605"/>
      <c r="DZ51" s="605"/>
      <c r="EA51" s="605"/>
      <c r="EB51" s="605"/>
      <c r="EC51" s="605"/>
      <c r="ED51" s="605"/>
      <c r="EE51" s="605"/>
      <c r="EF51" s="605"/>
      <c r="EG51" s="605"/>
      <c r="EH51" s="605"/>
      <c r="EI51" s="605"/>
      <c r="EJ51" s="605"/>
      <c r="EK51" s="605"/>
      <c r="EL51" s="605"/>
      <c r="EM51" s="605"/>
      <c r="EN51" s="605"/>
      <c r="EO51" s="605"/>
      <c r="EP51" s="605"/>
      <c r="EQ51" s="605"/>
      <c r="ER51" s="605"/>
      <c r="ES51" s="605"/>
      <c r="ET51" s="605"/>
      <c r="EU51" s="605"/>
      <c r="EV51" s="605"/>
      <c r="EW51" s="605"/>
      <c r="EX51" s="605"/>
      <c r="EY51" s="605"/>
      <c r="EZ51" s="605"/>
      <c r="FA51" s="605"/>
      <c r="FB51" s="605"/>
      <c r="FC51" s="605"/>
      <c r="FD51" s="605"/>
      <c r="FE51" s="605"/>
      <c r="FF51" s="605"/>
      <c r="FG51" s="605"/>
      <c r="FH51" s="605"/>
      <c r="FI51" s="605"/>
      <c r="FJ51" s="605"/>
      <c r="FK51" s="605"/>
      <c r="FL51" s="605"/>
      <c r="FM51" s="605"/>
      <c r="FN51" s="605"/>
      <c r="FO51" s="605"/>
      <c r="FP51" s="605"/>
      <c r="FQ51" s="605"/>
      <c r="FR51" s="605"/>
      <c r="FS51" s="605"/>
      <c r="FT51" s="605"/>
      <c r="FU51" s="605"/>
      <c r="FV51" s="605"/>
      <c r="FW51" s="605"/>
      <c r="FX51" s="605"/>
      <c r="FY51" s="605"/>
      <c r="FZ51" s="605"/>
      <c r="GA51" s="605"/>
      <c r="GB51" s="605"/>
      <c r="GC51" s="605"/>
      <c r="GD51" s="605"/>
      <c r="GE51" s="605"/>
      <c r="GF51" s="605"/>
      <c r="GG51" s="605"/>
      <c r="GH51" s="605"/>
      <c r="GI51" s="605"/>
      <c r="GJ51" s="605"/>
      <c r="GK51" s="605"/>
      <c r="GL51" s="605"/>
      <c r="GM51" s="605"/>
      <c r="GN51" s="605"/>
      <c r="GO51" s="605"/>
      <c r="GP51" s="605"/>
      <c r="GQ51" s="605"/>
      <c r="GR51" s="605"/>
      <c r="GS51" s="605"/>
      <c r="GT51" s="605"/>
      <c r="GU51" s="605"/>
      <c r="GV51" s="605"/>
      <c r="GW51" s="605"/>
      <c r="GX51" s="605"/>
      <c r="GY51" s="605"/>
      <c r="GZ51" s="605"/>
      <c r="HA51" s="605"/>
      <c r="HB51" s="605"/>
      <c r="HC51" s="605"/>
      <c r="HD51" s="605"/>
      <c r="HE51" s="605"/>
      <c r="HF51" s="605"/>
      <c r="HG51" s="605"/>
      <c r="HH51" s="605"/>
      <c r="HI51" s="605"/>
      <c r="HJ51" s="605"/>
      <c r="HK51" s="605"/>
      <c r="HL51" s="605"/>
      <c r="HM51" s="605"/>
      <c r="HN51" s="605"/>
      <c r="HO51" s="605"/>
      <c r="HP51" s="605"/>
      <c r="HQ51" s="605"/>
      <c r="HR51" s="605"/>
      <c r="HS51" s="605"/>
      <c r="HT51" s="605"/>
      <c r="HU51" s="605"/>
      <c r="HV51" s="605"/>
      <c r="HW51" s="605"/>
      <c r="HX51" s="605"/>
      <c r="HY51" s="605"/>
      <c r="HZ51" s="605"/>
      <c r="IA51" s="605"/>
      <c r="IB51" s="605"/>
      <c r="IC51" s="605"/>
      <c r="ID51" s="605"/>
      <c r="IE51" s="605"/>
      <c r="IF51" s="605"/>
      <c r="IG51" s="605"/>
      <c r="IH51" s="605"/>
      <c r="II51" s="605"/>
      <c r="IJ51" s="605"/>
      <c r="IK51" s="605"/>
      <c r="IL51" s="605"/>
      <c r="IM51" s="605"/>
      <c r="IN51" s="605"/>
      <c r="IO51" s="605"/>
      <c r="IP51" s="605"/>
      <c r="IQ51" s="605"/>
      <c r="IR51" s="605"/>
      <c r="IS51" s="605"/>
      <c r="IT51" s="605"/>
      <c r="IU51" s="605"/>
      <c r="IV51" s="605"/>
      <c r="IW51" s="605"/>
      <c r="IX51" s="605"/>
      <c r="IY51" s="605"/>
      <c r="IZ51" s="605"/>
      <c r="JA51" s="605"/>
      <c r="JB51" s="605"/>
      <c r="JC51" s="605"/>
      <c r="JD51" s="605"/>
      <c r="JE51" s="605"/>
      <c r="JF51" s="605"/>
      <c r="JG51" s="605"/>
      <c r="JH51" s="605"/>
      <c r="JI51" s="605"/>
      <c r="JJ51" s="605"/>
      <c r="JK51" s="605"/>
      <c r="JL51" s="605"/>
      <c r="JM51" s="605"/>
      <c r="JN51" s="605"/>
      <c r="JO51" s="605"/>
      <c r="JP51" s="605"/>
      <c r="JQ51" s="605"/>
      <c r="JR51" s="605"/>
      <c r="JS51" s="605"/>
      <c r="JT51" s="605"/>
      <c r="JU51" s="605"/>
      <c r="JV51" s="605"/>
      <c r="JW51" s="605"/>
      <c r="JX51" s="605"/>
      <c r="JY51" s="605"/>
      <c r="JZ51" s="605"/>
      <c r="KA51" s="605"/>
      <c r="KB51" s="605"/>
      <c r="KC51" s="605"/>
      <c r="KD51" s="605"/>
      <c r="KE51" s="605"/>
      <c r="KF51" s="605"/>
      <c r="KG51" s="605"/>
      <c r="KH51" s="605"/>
      <c r="KI51" s="605"/>
      <c r="KJ51" s="605"/>
      <c r="KK51" s="605"/>
      <c r="KL51" s="605"/>
      <c r="KM51" s="605"/>
      <c r="KN51" s="605"/>
      <c r="KO51" s="605"/>
      <c r="KP51" s="605"/>
      <c r="KQ51" s="605"/>
      <c r="KR51" s="605"/>
      <c r="KS51" s="605"/>
      <c r="KT51" s="605"/>
      <c r="KU51" s="605"/>
      <c r="KV51" s="605"/>
      <c r="KW51" s="605"/>
      <c r="KX51" s="605"/>
      <c r="KY51" s="605"/>
      <c r="KZ51" s="605"/>
      <c r="LA51" s="605"/>
      <c r="LB51" s="605"/>
      <c r="LC51" s="605"/>
      <c r="LD51" s="605"/>
      <c r="LE51" s="605"/>
      <c r="LF51" s="605"/>
      <c r="LG51" s="605"/>
      <c r="LH51" s="605"/>
      <c r="LI51" s="605"/>
      <c r="LJ51" s="605"/>
      <c r="LK51" s="605"/>
      <c r="LL51" s="605"/>
      <c r="LM51" s="605"/>
      <c r="LN51" s="605"/>
      <c r="LO51" s="605"/>
      <c r="LP51" s="605"/>
      <c r="LQ51" s="605"/>
      <c r="LR51" s="605"/>
      <c r="LS51" s="605"/>
      <c r="LT51" s="605"/>
      <c r="LU51" s="605"/>
      <c r="LV51" s="605"/>
      <c r="LW51" s="605"/>
      <c r="LX51" s="605"/>
      <c r="LY51" s="605"/>
      <c r="LZ51" s="605"/>
      <c r="MA51" s="605"/>
      <c r="MB51" s="605"/>
      <c r="MC51" s="605"/>
      <c r="MD51" s="605"/>
      <c r="ME51" s="605"/>
      <c r="MF51" s="605"/>
      <c r="MG51" s="605"/>
      <c r="MH51" s="605"/>
      <c r="MI51" s="605"/>
      <c r="MJ51" s="605"/>
      <c r="MK51" s="605"/>
      <c r="ML51" s="605"/>
      <c r="MM51" s="605"/>
      <c r="MN51" s="605"/>
      <c r="MO51" s="605"/>
      <c r="MP51" s="605"/>
      <c r="MQ51" s="605"/>
      <c r="MR51" s="605"/>
      <c r="MS51" s="605"/>
      <c r="MT51" s="605"/>
      <c r="MU51" s="605"/>
      <c r="MV51" s="605"/>
      <c r="MW51" s="605"/>
      <c r="MX51" s="605"/>
      <c r="MY51" s="605"/>
      <c r="MZ51" s="605"/>
      <c r="NA51" s="605"/>
      <c r="NB51" s="605"/>
      <c r="NC51" s="605"/>
      <c r="ND51" s="605"/>
      <c r="NE51" s="605"/>
      <c r="NF51" s="605"/>
      <c r="NG51" s="605"/>
      <c r="NH51" s="605"/>
      <c r="NI51" s="605"/>
      <c r="NJ51" s="605"/>
      <c r="NK51" s="605"/>
      <c r="NL51" s="605"/>
      <c r="NM51" s="605"/>
      <c r="NN51" s="605"/>
      <c r="NO51" s="605"/>
      <c r="NP51" s="605"/>
      <c r="NQ51" s="605"/>
      <c r="NR51" s="605"/>
      <c r="NS51" s="605"/>
      <c r="NT51" s="605"/>
      <c r="NU51" s="605"/>
      <c r="NV51" s="605"/>
      <c r="NW51" s="605"/>
      <c r="NX51" s="605"/>
      <c r="NY51" s="605"/>
      <c r="NZ51" s="605"/>
      <c r="OA51" s="605"/>
      <c r="OB51" s="605"/>
      <c r="OC51" s="605"/>
      <c r="OD51" s="605"/>
      <c r="OE51" s="605"/>
      <c r="OF51" s="605"/>
      <c r="OG51" s="605"/>
      <c r="OH51" s="605"/>
      <c r="OI51" s="605"/>
      <c r="OJ51" s="605"/>
      <c r="OK51" s="605"/>
      <c r="OL51" s="605"/>
      <c r="OM51" s="605"/>
      <c r="ON51" s="605"/>
      <c r="OO51" s="605"/>
      <c r="OP51" s="605"/>
      <c r="OQ51" s="605"/>
      <c r="OR51" s="605"/>
      <c r="OS51" s="605"/>
      <c r="OT51" s="605"/>
      <c r="OU51" s="605"/>
      <c r="OV51" s="605"/>
      <c r="OW51" s="605"/>
      <c r="OX51" s="605"/>
      <c r="OY51" s="605"/>
      <c r="OZ51" s="605"/>
      <c r="PA51" s="605"/>
      <c r="PB51" s="605"/>
      <c r="PC51" s="605"/>
      <c r="PD51" s="605"/>
      <c r="PE51" s="605"/>
      <c r="PF51" s="605"/>
      <c r="PG51" s="605"/>
      <c r="PH51" s="605"/>
      <c r="PI51" s="605"/>
      <c r="PJ51" s="605"/>
      <c r="PK51" s="605"/>
      <c r="PL51" s="605"/>
      <c r="PM51" s="605"/>
      <c r="PN51" s="605"/>
      <c r="PO51" s="605"/>
      <c r="PP51" s="605"/>
      <c r="PQ51" s="605"/>
      <c r="PR51" s="605"/>
      <c r="PS51" s="605"/>
      <c r="PT51" s="605"/>
      <c r="PU51" s="605"/>
      <c r="PV51" s="605"/>
      <c r="PW51" s="605"/>
      <c r="PX51" s="605"/>
      <c r="PY51" s="605"/>
      <c r="PZ51" s="605"/>
      <c r="QA51" s="605"/>
      <c r="QB51" s="605"/>
      <c r="QC51" s="605"/>
      <c r="QD51" s="605"/>
      <c r="QE51" s="605"/>
      <c r="QF51" s="605"/>
      <c r="QG51" s="605"/>
      <c r="QH51" s="605"/>
      <c r="QI51" s="605"/>
      <c r="QJ51" s="605"/>
      <c r="QK51" s="605"/>
      <c r="QL51" s="605"/>
      <c r="QM51" s="605"/>
      <c r="QN51" s="605"/>
      <c r="QO51" s="605"/>
      <c r="QP51" s="605"/>
      <c r="QQ51" s="605"/>
      <c r="QR51" s="605"/>
      <c r="QS51" s="605"/>
      <c r="QT51" s="605"/>
      <c r="QU51" s="605"/>
      <c r="QV51" s="605"/>
      <c r="QW51" s="605"/>
      <c r="QX51" s="605"/>
      <c r="QY51" s="605"/>
      <c r="QZ51" s="605"/>
      <c r="RA51" s="605"/>
      <c r="RB51" s="605"/>
      <c r="RC51" s="605"/>
      <c r="RD51" s="605"/>
      <c r="RE51" s="605"/>
      <c r="RF51" s="605"/>
      <c r="RG51" s="605"/>
      <c r="RH51" s="605"/>
    </row>
    <row r="52" spans="2:476" s="526" customFormat="1" ht="20.100000000000001" customHeight="1">
      <c r="B52" s="552">
        <v>45832</v>
      </c>
      <c r="C52" s="553">
        <v>16</v>
      </c>
      <c r="D52" s="554">
        <v>0</v>
      </c>
      <c r="E52" s="554">
        <v>2</v>
      </c>
      <c r="F52" s="555">
        <f t="shared" si="4"/>
        <v>12.2499999991851</v>
      </c>
      <c r="G52" s="556"/>
      <c r="H52" s="557"/>
      <c r="I52" s="560"/>
      <c r="J52" s="591"/>
      <c r="K52" s="573"/>
      <c r="L52" s="557"/>
      <c r="M52" s="560"/>
      <c r="N52" s="560">
        <v>0.333333333372138</v>
      </c>
      <c r="O52" s="560">
        <v>1.4166666674427699</v>
      </c>
      <c r="P52" s="557"/>
      <c r="Q52" s="557"/>
      <c r="R52" s="557"/>
      <c r="S52" s="557"/>
      <c r="T52" s="557"/>
      <c r="U52" s="557"/>
      <c r="V52" s="557"/>
      <c r="W52" s="557"/>
      <c r="X52" s="560"/>
      <c r="Y52" s="613">
        <v>1</v>
      </c>
      <c r="Z52" s="607">
        <f t="shared" si="5"/>
        <v>0</v>
      </c>
      <c r="AA52" s="607">
        <f t="shared" si="6"/>
        <v>1.7500000008149099</v>
      </c>
      <c r="AB52" s="608">
        <f t="shared" si="7"/>
        <v>1</v>
      </c>
      <c r="AC52" s="615"/>
      <c r="AD52" s="605"/>
      <c r="AE52" s="605"/>
      <c r="AF52" s="605"/>
      <c r="AG52" s="605"/>
      <c r="AH52" s="605"/>
      <c r="AI52" s="605"/>
      <c r="AJ52" s="605"/>
      <c r="AK52" s="605"/>
      <c r="AL52" s="605"/>
      <c r="AM52" s="605"/>
      <c r="AN52" s="605"/>
      <c r="AO52" s="605"/>
      <c r="AP52" s="605"/>
      <c r="AQ52" s="605"/>
      <c r="AR52" s="605"/>
      <c r="AS52" s="605"/>
      <c r="AT52" s="605"/>
      <c r="AU52" s="605"/>
      <c r="AV52" s="605"/>
      <c r="AW52" s="605"/>
      <c r="AX52" s="605"/>
      <c r="AY52" s="605"/>
      <c r="AZ52" s="605"/>
      <c r="BA52" s="605"/>
      <c r="BB52" s="605"/>
      <c r="BC52" s="605"/>
      <c r="BD52" s="605"/>
      <c r="BE52" s="605"/>
      <c r="BF52" s="605"/>
      <c r="BG52" s="605"/>
      <c r="BH52" s="605"/>
      <c r="BI52" s="605"/>
      <c r="BJ52" s="605"/>
      <c r="BK52" s="605"/>
      <c r="BL52" s="605"/>
      <c r="BM52" s="605"/>
      <c r="BN52" s="605"/>
      <c r="BO52" s="605"/>
      <c r="BP52" s="605"/>
      <c r="BQ52" s="605"/>
      <c r="BR52" s="605"/>
      <c r="BS52" s="605"/>
      <c r="BT52" s="605"/>
      <c r="BU52" s="605"/>
      <c r="BV52" s="605"/>
      <c r="BW52" s="605"/>
      <c r="BX52" s="605"/>
      <c r="BY52" s="605"/>
      <c r="BZ52" s="605"/>
      <c r="CA52" s="605"/>
      <c r="CB52" s="605"/>
      <c r="CC52" s="605"/>
      <c r="CD52" s="605"/>
      <c r="CE52" s="605"/>
      <c r="CF52" s="605"/>
      <c r="CG52" s="605"/>
      <c r="CH52" s="605"/>
      <c r="CI52" s="605"/>
      <c r="CJ52" s="605"/>
      <c r="CK52" s="605"/>
      <c r="CL52" s="605"/>
      <c r="CM52" s="605"/>
      <c r="CN52" s="605"/>
      <c r="CO52" s="605"/>
      <c r="CP52" s="605"/>
      <c r="CQ52" s="605"/>
      <c r="CR52" s="605"/>
      <c r="CS52" s="605"/>
      <c r="CT52" s="605"/>
      <c r="CU52" s="605"/>
      <c r="CV52" s="605"/>
      <c r="CW52" s="605"/>
      <c r="CX52" s="605"/>
      <c r="CY52" s="605"/>
      <c r="CZ52" s="605"/>
      <c r="DA52" s="605"/>
      <c r="DB52" s="605"/>
      <c r="DC52" s="605"/>
      <c r="DD52" s="605"/>
      <c r="DE52" s="605"/>
      <c r="DF52" s="605"/>
      <c r="DG52" s="605"/>
      <c r="DH52" s="605"/>
      <c r="DI52" s="605"/>
      <c r="DJ52" s="605"/>
      <c r="DK52" s="605"/>
      <c r="DL52" s="605"/>
      <c r="DM52" s="605"/>
      <c r="DN52" s="605"/>
      <c r="DO52" s="605"/>
      <c r="DP52" s="605"/>
      <c r="DQ52" s="605"/>
      <c r="DR52" s="605"/>
      <c r="DS52" s="605"/>
      <c r="DT52" s="605"/>
      <c r="DU52" s="605"/>
      <c r="DV52" s="605"/>
      <c r="DW52" s="605"/>
      <c r="DX52" s="605"/>
      <c r="DY52" s="605"/>
      <c r="DZ52" s="605"/>
      <c r="EA52" s="605"/>
      <c r="EB52" s="605"/>
      <c r="EC52" s="605"/>
      <c r="ED52" s="605"/>
      <c r="EE52" s="605"/>
      <c r="EF52" s="605"/>
      <c r="EG52" s="605"/>
      <c r="EH52" s="605"/>
      <c r="EI52" s="605"/>
      <c r="EJ52" s="605"/>
      <c r="EK52" s="605"/>
      <c r="EL52" s="605"/>
      <c r="EM52" s="605"/>
      <c r="EN52" s="605"/>
      <c r="EO52" s="605"/>
      <c r="EP52" s="605"/>
      <c r="EQ52" s="605"/>
      <c r="ER52" s="605"/>
      <c r="ES52" s="605"/>
      <c r="ET52" s="605"/>
      <c r="EU52" s="605"/>
      <c r="EV52" s="605"/>
      <c r="EW52" s="605"/>
      <c r="EX52" s="605"/>
      <c r="EY52" s="605"/>
      <c r="EZ52" s="605"/>
      <c r="FA52" s="605"/>
      <c r="FB52" s="605"/>
      <c r="FC52" s="605"/>
      <c r="FD52" s="605"/>
      <c r="FE52" s="605"/>
      <c r="FF52" s="605"/>
      <c r="FG52" s="605"/>
      <c r="FH52" s="605"/>
      <c r="FI52" s="605"/>
      <c r="FJ52" s="605"/>
      <c r="FK52" s="605"/>
      <c r="FL52" s="605"/>
      <c r="FM52" s="605"/>
      <c r="FN52" s="605"/>
      <c r="FO52" s="605"/>
      <c r="FP52" s="605"/>
      <c r="FQ52" s="605"/>
      <c r="FR52" s="605"/>
      <c r="FS52" s="605"/>
      <c r="FT52" s="605"/>
      <c r="FU52" s="605"/>
      <c r="FV52" s="605"/>
      <c r="FW52" s="605"/>
      <c r="FX52" s="605"/>
      <c r="FY52" s="605"/>
      <c r="FZ52" s="605"/>
      <c r="GA52" s="605"/>
      <c r="GB52" s="605"/>
      <c r="GC52" s="605"/>
      <c r="GD52" s="605"/>
      <c r="GE52" s="605"/>
      <c r="GF52" s="605"/>
      <c r="GG52" s="605"/>
      <c r="GH52" s="605"/>
      <c r="GI52" s="605"/>
      <c r="GJ52" s="605"/>
      <c r="GK52" s="605"/>
      <c r="GL52" s="605"/>
      <c r="GM52" s="605"/>
      <c r="GN52" s="605"/>
      <c r="GO52" s="605"/>
      <c r="GP52" s="605"/>
      <c r="GQ52" s="605"/>
      <c r="GR52" s="605"/>
      <c r="GS52" s="605"/>
      <c r="GT52" s="605"/>
      <c r="GU52" s="605"/>
      <c r="GV52" s="605"/>
      <c r="GW52" s="605"/>
      <c r="GX52" s="605"/>
      <c r="GY52" s="605"/>
      <c r="GZ52" s="605"/>
      <c r="HA52" s="605"/>
      <c r="HB52" s="605"/>
      <c r="HC52" s="605"/>
      <c r="HD52" s="605"/>
      <c r="HE52" s="605"/>
      <c r="HF52" s="605"/>
      <c r="HG52" s="605"/>
      <c r="HH52" s="605"/>
      <c r="HI52" s="605"/>
      <c r="HJ52" s="605"/>
      <c r="HK52" s="605"/>
      <c r="HL52" s="605"/>
      <c r="HM52" s="605"/>
      <c r="HN52" s="605"/>
      <c r="HO52" s="605"/>
      <c r="HP52" s="605"/>
      <c r="HQ52" s="605"/>
      <c r="HR52" s="605"/>
      <c r="HS52" s="605"/>
      <c r="HT52" s="605"/>
      <c r="HU52" s="605"/>
      <c r="HV52" s="605"/>
      <c r="HW52" s="605"/>
      <c r="HX52" s="605"/>
      <c r="HY52" s="605"/>
      <c r="HZ52" s="605"/>
      <c r="IA52" s="605"/>
      <c r="IB52" s="605"/>
      <c r="IC52" s="605"/>
      <c r="ID52" s="605"/>
      <c r="IE52" s="605"/>
      <c r="IF52" s="605"/>
      <c r="IG52" s="605"/>
      <c r="IH52" s="605"/>
      <c r="II52" s="605"/>
      <c r="IJ52" s="605"/>
      <c r="IK52" s="605"/>
      <c r="IL52" s="605"/>
      <c r="IM52" s="605"/>
      <c r="IN52" s="605"/>
      <c r="IO52" s="605"/>
      <c r="IP52" s="605"/>
      <c r="IQ52" s="605"/>
      <c r="IR52" s="605"/>
      <c r="IS52" s="605"/>
      <c r="IT52" s="605"/>
      <c r="IU52" s="605"/>
      <c r="IV52" s="605"/>
      <c r="IW52" s="605"/>
      <c r="IX52" s="605"/>
      <c r="IY52" s="605"/>
      <c r="IZ52" s="605"/>
      <c r="JA52" s="605"/>
      <c r="JB52" s="605"/>
      <c r="JC52" s="605"/>
      <c r="JD52" s="605"/>
      <c r="JE52" s="605"/>
      <c r="JF52" s="605"/>
      <c r="JG52" s="605"/>
      <c r="JH52" s="605"/>
      <c r="JI52" s="605"/>
      <c r="JJ52" s="605"/>
      <c r="JK52" s="605"/>
      <c r="JL52" s="605"/>
      <c r="JM52" s="605"/>
      <c r="JN52" s="605"/>
      <c r="JO52" s="605"/>
      <c r="JP52" s="605"/>
      <c r="JQ52" s="605"/>
      <c r="JR52" s="605"/>
      <c r="JS52" s="605"/>
      <c r="JT52" s="605"/>
      <c r="JU52" s="605"/>
      <c r="JV52" s="605"/>
      <c r="JW52" s="605"/>
      <c r="JX52" s="605"/>
      <c r="JY52" s="605"/>
      <c r="JZ52" s="605"/>
      <c r="KA52" s="605"/>
      <c r="KB52" s="605"/>
      <c r="KC52" s="605"/>
      <c r="KD52" s="605"/>
      <c r="KE52" s="605"/>
      <c r="KF52" s="605"/>
      <c r="KG52" s="605"/>
      <c r="KH52" s="605"/>
      <c r="KI52" s="605"/>
      <c r="KJ52" s="605"/>
      <c r="KK52" s="605"/>
      <c r="KL52" s="605"/>
      <c r="KM52" s="605"/>
      <c r="KN52" s="605"/>
      <c r="KO52" s="605"/>
      <c r="KP52" s="605"/>
      <c r="KQ52" s="605"/>
      <c r="KR52" s="605"/>
      <c r="KS52" s="605"/>
      <c r="KT52" s="605"/>
      <c r="KU52" s="605"/>
      <c r="KV52" s="605"/>
      <c r="KW52" s="605"/>
      <c r="KX52" s="605"/>
      <c r="KY52" s="605"/>
      <c r="KZ52" s="605"/>
      <c r="LA52" s="605"/>
      <c r="LB52" s="605"/>
      <c r="LC52" s="605"/>
      <c r="LD52" s="605"/>
      <c r="LE52" s="605"/>
      <c r="LF52" s="605"/>
      <c r="LG52" s="605"/>
      <c r="LH52" s="605"/>
      <c r="LI52" s="605"/>
      <c r="LJ52" s="605"/>
      <c r="LK52" s="605"/>
      <c r="LL52" s="605"/>
      <c r="LM52" s="605"/>
      <c r="LN52" s="605"/>
      <c r="LO52" s="605"/>
      <c r="LP52" s="605"/>
      <c r="LQ52" s="605"/>
      <c r="LR52" s="605"/>
      <c r="LS52" s="605"/>
      <c r="LT52" s="605"/>
      <c r="LU52" s="605"/>
      <c r="LV52" s="605"/>
      <c r="LW52" s="605"/>
      <c r="LX52" s="605"/>
      <c r="LY52" s="605"/>
      <c r="LZ52" s="605"/>
      <c r="MA52" s="605"/>
      <c r="MB52" s="605"/>
      <c r="MC52" s="605"/>
      <c r="MD52" s="605"/>
      <c r="ME52" s="605"/>
      <c r="MF52" s="605"/>
      <c r="MG52" s="605"/>
      <c r="MH52" s="605"/>
      <c r="MI52" s="605"/>
      <c r="MJ52" s="605"/>
      <c r="MK52" s="605"/>
      <c r="ML52" s="605"/>
      <c r="MM52" s="605"/>
      <c r="MN52" s="605"/>
      <c r="MO52" s="605"/>
      <c r="MP52" s="605"/>
      <c r="MQ52" s="605"/>
      <c r="MR52" s="605"/>
      <c r="MS52" s="605"/>
      <c r="MT52" s="605"/>
      <c r="MU52" s="605"/>
      <c r="MV52" s="605"/>
      <c r="MW52" s="605"/>
      <c r="MX52" s="605"/>
      <c r="MY52" s="605"/>
      <c r="MZ52" s="605"/>
      <c r="NA52" s="605"/>
      <c r="NB52" s="605"/>
      <c r="NC52" s="605"/>
      <c r="ND52" s="605"/>
      <c r="NE52" s="605"/>
      <c r="NF52" s="605"/>
      <c r="NG52" s="605"/>
      <c r="NH52" s="605"/>
      <c r="NI52" s="605"/>
      <c r="NJ52" s="605"/>
      <c r="NK52" s="605"/>
      <c r="NL52" s="605"/>
      <c r="NM52" s="605"/>
      <c r="NN52" s="605"/>
      <c r="NO52" s="605"/>
      <c r="NP52" s="605"/>
      <c r="NQ52" s="605"/>
      <c r="NR52" s="605"/>
      <c r="NS52" s="605"/>
      <c r="NT52" s="605"/>
      <c r="NU52" s="605"/>
      <c r="NV52" s="605"/>
      <c r="NW52" s="605"/>
      <c r="NX52" s="605"/>
      <c r="NY52" s="605"/>
      <c r="NZ52" s="605"/>
      <c r="OA52" s="605"/>
      <c r="OB52" s="605"/>
      <c r="OC52" s="605"/>
      <c r="OD52" s="605"/>
      <c r="OE52" s="605"/>
      <c r="OF52" s="605"/>
      <c r="OG52" s="605"/>
      <c r="OH52" s="605"/>
      <c r="OI52" s="605"/>
      <c r="OJ52" s="605"/>
      <c r="OK52" s="605"/>
      <c r="OL52" s="605"/>
      <c r="OM52" s="605"/>
      <c r="ON52" s="605"/>
      <c r="OO52" s="605"/>
      <c r="OP52" s="605"/>
      <c r="OQ52" s="605"/>
      <c r="OR52" s="605"/>
      <c r="OS52" s="605"/>
      <c r="OT52" s="605"/>
      <c r="OU52" s="605"/>
      <c r="OV52" s="605"/>
      <c r="OW52" s="605"/>
      <c r="OX52" s="605"/>
      <c r="OY52" s="605"/>
      <c r="OZ52" s="605"/>
      <c r="PA52" s="605"/>
      <c r="PB52" s="605"/>
      <c r="PC52" s="605"/>
      <c r="PD52" s="605"/>
      <c r="PE52" s="605"/>
      <c r="PF52" s="605"/>
      <c r="PG52" s="605"/>
      <c r="PH52" s="605"/>
      <c r="PI52" s="605"/>
      <c r="PJ52" s="605"/>
      <c r="PK52" s="605"/>
      <c r="PL52" s="605"/>
      <c r="PM52" s="605"/>
      <c r="PN52" s="605"/>
      <c r="PO52" s="605"/>
      <c r="PP52" s="605"/>
      <c r="PQ52" s="605"/>
      <c r="PR52" s="605"/>
      <c r="PS52" s="605"/>
      <c r="PT52" s="605"/>
      <c r="PU52" s="605"/>
      <c r="PV52" s="605"/>
      <c r="PW52" s="605"/>
      <c r="PX52" s="605"/>
      <c r="PY52" s="605"/>
      <c r="PZ52" s="605"/>
      <c r="QA52" s="605"/>
      <c r="QB52" s="605"/>
      <c r="QC52" s="605"/>
      <c r="QD52" s="605"/>
      <c r="QE52" s="605"/>
      <c r="QF52" s="605"/>
      <c r="QG52" s="605"/>
      <c r="QH52" s="605"/>
      <c r="QI52" s="605"/>
      <c r="QJ52" s="605"/>
      <c r="QK52" s="605"/>
      <c r="QL52" s="605"/>
      <c r="QM52" s="605"/>
      <c r="QN52" s="605"/>
      <c r="QO52" s="605"/>
      <c r="QP52" s="605"/>
      <c r="QQ52" s="605"/>
      <c r="QR52" s="605"/>
      <c r="QS52" s="605"/>
      <c r="QT52" s="605"/>
      <c r="QU52" s="605"/>
      <c r="QV52" s="605"/>
      <c r="QW52" s="605"/>
      <c r="QX52" s="605"/>
      <c r="QY52" s="605"/>
      <c r="QZ52" s="605"/>
      <c r="RA52" s="605"/>
      <c r="RB52" s="605"/>
      <c r="RC52" s="605"/>
      <c r="RD52" s="605"/>
      <c r="RE52" s="605"/>
      <c r="RF52" s="605"/>
      <c r="RG52" s="605"/>
      <c r="RH52" s="605"/>
    </row>
    <row r="53" spans="2:476" s="526" customFormat="1" ht="20.100000000000001" customHeight="1">
      <c r="B53" s="552"/>
      <c r="C53" s="553">
        <v>16</v>
      </c>
      <c r="D53" s="554">
        <v>0</v>
      </c>
      <c r="E53" s="554">
        <v>2</v>
      </c>
      <c r="F53" s="555">
        <f t="shared" si="4"/>
        <v>13.249999998952299</v>
      </c>
      <c r="G53" s="556"/>
      <c r="H53" s="557"/>
      <c r="I53" s="557"/>
      <c r="J53" s="560"/>
      <c r="K53" s="560"/>
      <c r="L53" s="557"/>
      <c r="M53" s="560"/>
      <c r="N53" s="576">
        <v>0.25000000029103803</v>
      </c>
      <c r="O53" s="560">
        <v>0.50000000075670004</v>
      </c>
      <c r="P53" s="557"/>
      <c r="Q53" s="557"/>
      <c r="R53" s="557"/>
      <c r="S53" s="557"/>
      <c r="T53" s="557"/>
      <c r="U53" s="557"/>
      <c r="V53" s="557"/>
      <c r="W53" s="557"/>
      <c r="X53" s="591"/>
      <c r="Y53" s="613">
        <v>2</v>
      </c>
      <c r="Z53" s="607">
        <f t="shared" si="5"/>
        <v>0</v>
      </c>
      <c r="AA53" s="607">
        <f t="shared" si="6"/>
        <v>0.75000000104773801</v>
      </c>
      <c r="AB53" s="608">
        <f t="shared" si="7"/>
        <v>1</v>
      </c>
      <c r="AC53" s="626"/>
      <c r="AD53" s="605"/>
      <c r="AE53" s="605"/>
      <c r="AF53" s="605"/>
      <c r="AG53" s="605"/>
      <c r="AH53" s="605"/>
      <c r="AI53" s="605"/>
      <c r="AJ53" s="605"/>
      <c r="AK53" s="605"/>
      <c r="AL53" s="605"/>
      <c r="AM53" s="605"/>
      <c r="AN53" s="605"/>
      <c r="AO53" s="605"/>
      <c r="AP53" s="605"/>
      <c r="AQ53" s="605"/>
      <c r="AR53" s="605"/>
      <c r="AS53" s="605"/>
      <c r="AT53" s="605"/>
      <c r="AU53" s="605"/>
      <c r="AV53" s="605"/>
      <c r="AW53" s="605"/>
      <c r="AX53" s="605"/>
      <c r="AY53" s="605"/>
      <c r="AZ53" s="605"/>
      <c r="BA53" s="605"/>
      <c r="BB53" s="605"/>
      <c r="BC53" s="605"/>
      <c r="BD53" s="605"/>
      <c r="BE53" s="605"/>
      <c r="BF53" s="605"/>
      <c r="BG53" s="605"/>
      <c r="BH53" s="605"/>
      <c r="BI53" s="605"/>
      <c r="BJ53" s="605"/>
      <c r="BK53" s="605"/>
      <c r="BL53" s="605"/>
      <c r="BM53" s="605"/>
      <c r="BN53" s="605"/>
      <c r="BO53" s="605"/>
      <c r="BP53" s="605"/>
      <c r="BQ53" s="605"/>
      <c r="BR53" s="605"/>
      <c r="BS53" s="605"/>
      <c r="BT53" s="605"/>
      <c r="BU53" s="605"/>
      <c r="BV53" s="605"/>
      <c r="BW53" s="605"/>
      <c r="BX53" s="605"/>
      <c r="BY53" s="605"/>
      <c r="BZ53" s="605"/>
      <c r="CA53" s="605"/>
      <c r="CB53" s="605"/>
      <c r="CC53" s="605"/>
      <c r="CD53" s="605"/>
      <c r="CE53" s="605"/>
      <c r="CF53" s="605"/>
      <c r="CG53" s="605"/>
      <c r="CH53" s="605"/>
      <c r="CI53" s="605"/>
      <c r="CJ53" s="605"/>
      <c r="CK53" s="605"/>
      <c r="CL53" s="605"/>
      <c r="CM53" s="605"/>
      <c r="CN53" s="605"/>
      <c r="CO53" s="605"/>
      <c r="CP53" s="605"/>
      <c r="CQ53" s="605"/>
      <c r="CR53" s="605"/>
      <c r="CS53" s="605"/>
      <c r="CT53" s="605"/>
      <c r="CU53" s="605"/>
      <c r="CV53" s="605"/>
      <c r="CW53" s="605"/>
      <c r="CX53" s="605"/>
      <c r="CY53" s="605"/>
      <c r="CZ53" s="605"/>
      <c r="DA53" s="605"/>
      <c r="DB53" s="605"/>
      <c r="DC53" s="605"/>
      <c r="DD53" s="605"/>
      <c r="DE53" s="605"/>
      <c r="DF53" s="605"/>
      <c r="DG53" s="605"/>
      <c r="DH53" s="605"/>
      <c r="DI53" s="605"/>
      <c r="DJ53" s="605"/>
      <c r="DK53" s="605"/>
      <c r="DL53" s="605"/>
      <c r="DM53" s="605"/>
      <c r="DN53" s="605"/>
      <c r="DO53" s="605"/>
      <c r="DP53" s="605"/>
      <c r="DQ53" s="605"/>
      <c r="DR53" s="605"/>
      <c r="DS53" s="605"/>
      <c r="DT53" s="605"/>
      <c r="DU53" s="605"/>
      <c r="DV53" s="605"/>
      <c r="DW53" s="605"/>
      <c r="DX53" s="605"/>
      <c r="DY53" s="605"/>
      <c r="DZ53" s="605"/>
      <c r="EA53" s="605"/>
      <c r="EB53" s="605"/>
      <c r="EC53" s="605"/>
      <c r="ED53" s="605"/>
      <c r="EE53" s="605"/>
      <c r="EF53" s="605"/>
      <c r="EG53" s="605"/>
      <c r="EH53" s="605"/>
      <c r="EI53" s="605"/>
      <c r="EJ53" s="605"/>
      <c r="EK53" s="605"/>
      <c r="EL53" s="605"/>
      <c r="EM53" s="605"/>
      <c r="EN53" s="605"/>
      <c r="EO53" s="605"/>
      <c r="EP53" s="605"/>
      <c r="EQ53" s="605"/>
      <c r="ER53" s="605"/>
      <c r="ES53" s="605"/>
      <c r="ET53" s="605"/>
      <c r="EU53" s="605"/>
      <c r="EV53" s="605"/>
      <c r="EW53" s="605"/>
      <c r="EX53" s="605"/>
      <c r="EY53" s="605"/>
      <c r="EZ53" s="605"/>
      <c r="FA53" s="605"/>
      <c r="FB53" s="605"/>
      <c r="FC53" s="605"/>
      <c r="FD53" s="605"/>
      <c r="FE53" s="605"/>
      <c r="FF53" s="605"/>
      <c r="FG53" s="605"/>
      <c r="FH53" s="605"/>
      <c r="FI53" s="605"/>
      <c r="FJ53" s="605"/>
      <c r="FK53" s="605"/>
      <c r="FL53" s="605"/>
      <c r="FM53" s="605"/>
      <c r="FN53" s="605"/>
      <c r="FO53" s="605"/>
      <c r="FP53" s="605"/>
      <c r="FQ53" s="605"/>
      <c r="FR53" s="605"/>
      <c r="FS53" s="605"/>
      <c r="FT53" s="605"/>
      <c r="FU53" s="605"/>
      <c r="FV53" s="605"/>
      <c r="FW53" s="605"/>
      <c r="FX53" s="605"/>
      <c r="FY53" s="605"/>
      <c r="FZ53" s="605"/>
      <c r="GA53" s="605"/>
      <c r="GB53" s="605"/>
      <c r="GC53" s="605"/>
      <c r="GD53" s="605"/>
      <c r="GE53" s="605"/>
      <c r="GF53" s="605"/>
      <c r="GG53" s="605"/>
      <c r="GH53" s="605"/>
      <c r="GI53" s="605"/>
      <c r="GJ53" s="605"/>
      <c r="GK53" s="605"/>
      <c r="GL53" s="605"/>
      <c r="GM53" s="605"/>
      <c r="GN53" s="605"/>
      <c r="GO53" s="605"/>
      <c r="GP53" s="605"/>
      <c r="GQ53" s="605"/>
      <c r="GR53" s="605"/>
      <c r="GS53" s="605"/>
      <c r="GT53" s="605"/>
      <c r="GU53" s="605"/>
      <c r="GV53" s="605"/>
      <c r="GW53" s="605"/>
      <c r="GX53" s="605"/>
      <c r="GY53" s="605"/>
      <c r="GZ53" s="605"/>
      <c r="HA53" s="605"/>
      <c r="HB53" s="605"/>
      <c r="HC53" s="605"/>
      <c r="HD53" s="605"/>
      <c r="HE53" s="605"/>
      <c r="HF53" s="605"/>
      <c r="HG53" s="605"/>
      <c r="HH53" s="605"/>
      <c r="HI53" s="605"/>
      <c r="HJ53" s="605"/>
      <c r="HK53" s="605"/>
      <c r="HL53" s="605"/>
      <c r="HM53" s="605"/>
      <c r="HN53" s="605"/>
      <c r="HO53" s="605"/>
      <c r="HP53" s="605"/>
      <c r="HQ53" s="605"/>
      <c r="HR53" s="605"/>
      <c r="HS53" s="605"/>
      <c r="HT53" s="605"/>
      <c r="HU53" s="605"/>
      <c r="HV53" s="605"/>
      <c r="HW53" s="605"/>
      <c r="HX53" s="605"/>
      <c r="HY53" s="605"/>
      <c r="HZ53" s="605"/>
      <c r="IA53" s="605"/>
      <c r="IB53" s="605"/>
      <c r="IC53" s="605"/>
      <c r="ID53" s="605"/>
      <c r="IE53" s="605"/>
      <c r="IF53" s="605"/>
      <c r="IG53" s="605"/>
      <c r="IH53" s="605"/>
      <c r="II53" s="605"/>
      <c r="IJ53" s="605"/>
      <c r="IK53" s="605"/>
      <c r="IL53" s="605"/>
      <c r="IM53" s="605"/>
      <c r="IN53" s="605"/>
      <c r="IO53" s="605"/>
      <c r="IP53" s="605"/>
      <c r="IQ53" s="605"/>
      <c r="IR53" s="605"/>
      <c r="IS53" s="605"/>
      <c r="IT53" s="605"/>
      <c r="IU53" s="605"/>
      <c r="IV53" s="605"/>
      <c r="IW53" s="605"/>
      <c r="IX53" s="605"/>
      <c r="IY53" s="605"/>
      <c r="IZ53" s="605"/>
      <c r="JA53" s="605"/>
      <c r="JB53" s="605"/>
      <c r="JC53" s="605"/>
      <c r="JD53" s="605"/>
      <c r="JE53" s="605"/>
      <c r="JF53" s="605"/>
      <c r="JG53" s="605"/>
      <c r="JH53" s="605"/>
      <c r="JI53" s="605"/>
      <c r="JJ53" s="605"/>
      <c r="JK53" s="605"/>
      <c r="JL53" s="605"/>
      <c r="JM53" s="605"/>
      <c r="JN53" s="605"/>
      <c r="JO53" s="605"/>
      <c r="JP53" s="605"/>
      <c r="JQ53" s="605"/>
      <c r="JR53" s="605"/>
      <c r="JS53" s="605"/>
      <c r="JT53" s="605"/>
      <c r="JU53" s="605"/>
      <c r="JV53" s="605"/>
      <c r="JW53" s="605"/>
      <c r="JX53" s="605"/>
      <c r="JY53" s="605"/>
      <c r="JZ53" s="605"/>
      <c r="KA53" s="605"/>
      <c r="KB53" s="605"/>
      <c r="KC53" s="605"/>
      <c r="KD53" s="605"/>
      <c r="KE53" s="605"/>
      <c r="KF53" s="605"/>
      <c r="KG53" s="605"/>
      <c r="KH53" s="605"/>
      <c r="KI53" s="605"/>
      <c r="KJ53" s="605"/>
      <c r="KK53" s="605"/>
      <c r="KL53" s="605"/>
      <c r="KM53" s="605"/>
      <c r="KN53" s="605"/>
      <c r="KO53" s="605"/>
      <c r="KP53" s="605"/>
      <c r="KQ53" s="605"/>
      <c r="KR53" s="605"/>
      <c r="KS53" s="605"/>
      <c r="KT53" s="605"/>
      <c r="KU53" s="605"/>
      <c r="KV53" s="605"/>
      <c r="KW53" s="605"/>
      <c r="KX53" s="605"/>
      <c r="KY53" s="605"/>
      <c r="KZ53" s="605"/>
      <c r="LA53" s="605"/>
      <c r="LB53" s="605"/>
      <c r="LC53" s="605"/>
      <c r="LD53" s="605"/>
      <c r="LE53" s="605"/>
      <c r="LF53" s="605"/>
      <c r="LG53" s="605"/>
      <c r="LH53" s="605"/>
      <c r="LI53" s="605"/>
      <c r="LJ53" s="605"/>
      <c r="LK53" s="605"/>
      <c r="LL53" s="605"/>
      <c r="LM53" s="605"/>
      <c r="LN53" s="605"/>
      <c r="LO53" s="605"/>
      <c r="LP53" s="605"/>
      <c r="LQ53" s="605"/>
      <c r="LR53" s="605"/>
      <c r="LS53" s="605"/>
      <c r="LT53" s="605"/>
      <c r="LU53" s="605"/>
      <c r="LV53" s="605"/>
      <c r="LW53" s="605"/>
      <c r="LX53" s="605"/>
      <c r="LY53" s="605"/>
      <c r="LZ53" s="605"/>
      <c r="MA53" s="605"/>
      <c r="MB53" s="605"/>
      <c r="MC53" s="605"/>
      <c r="MD53" s="605"/>
      <c r="ME53" s="605"/>
      <c r="MF53" s="605"/>
      <c r="MG53" s="605"/>
      <c r="MH53" s="605"/>
      <c r="MI53" s="605"/>
      <c r="MJ53" s="605"/>
      <c r="MK53" s="605"/>
      <c r="ML53" s="605"/>
      <c r="MM53" s="605"/>
      <c r="MN53" s="605"/>
      <c r="MO53" s="605"/>
      <c r="MP53" s="605"/>
      <c r="MQ53" s="605"/>
      <c r="MR53" s="605"/>
      <c r="MS53" s="605"/>
      <c r="MT53" s="605"/>
      <c r="MU53" s="605"/>
      <c r="MV53" s="605"/>
      <c r="MW53" s="605"/>
      <c r="MX53" s="605"/>
      <c r="MY53" s="605"/>
      <c r="MZ53" s="605"/>
      <c r="NA53" s="605"/>
      <c r="NB53" s="605"/>
      <c r="NC53" s="605"/>
      <c r="ND53" s="605"/>
      <c r="NE53" s="605"/>
      <c r="NF53" s="605"/>
      <c r="NG53" s="605"/>
      <c r="NH53" s="605"/>
      <c r="NI53" s="605"/>
      <c r="NJ53" s="605"/>
      <c r="NK53" s="605"/>
      <c r="NL53" s="605"/>
      <c r="NM53" s="605"/>
      <c r="NN53" s="605"/>
      <c r="NO53" s="605"/>
      <c r="NP53" s="605"/>
      <c r="NQ53" s="605"/>
      <c r="NR53" s="605"/>
      <c r="NS53" s="605"/>
      <c r="NT53" s="605"/>
      <c r="NU53" s="605"/>
      <c r="NV53" s="605"/>
      <c r="NW53" s="605"/>
      <c r="NX53" s="605"/>
      <c r="NY53" s="605"/>
      <c r="NZ53" s="605"/>
      <c r="OA53" s="605"/>
      <c r="OB53" s="605"/>
      <c r="OC53" s="605"/>
      <c r="OD53" s="605"/>
      <c r="OE53" s="605"/>
      <c r="OF53" s="605"/>
      <c r="OG53" s="605"/>
      <c r="OH53" s="605"/>
      <c r="OI53" s="605"/>
      <c r="OJ53" s="605"/>
      <c r="OK53" s="605"/>
      <c r="OL53" s="605"/>
      <c r="OM53" s="605"/>
      <c r="ON53" s="605"/>
      <c r="OO53" s="605"/>
      <c r="OP53" s="605"/>
      <c r="OQ53" s="605"/>
      <c r="OR53" s="605"/>
      <c r="OS53" s="605"/>
      <c r="OT53" s="605"/>
      <c r="OU53" s="605"/>
      <c r="OV53" s="605"/>
      <c r="OW53" s="605"/>
      <c r="OX53" s="605"/>
      <c r="OY53" s="605"/>
      <c r="OZ53" s="605"/>
      <c r="PA53" s="605"/>
      <c r="PB53" s="605"/>
      <c r="PC53" s="605"/>
      <c r="PD53" s="605"/>
      <c r="PE53" s="605"/>
      <c r="PF53" s="605"/>
      <c r="PG53" s="605"/>
      <c r="PH53" s="605"/>
      <c r="PI53" s="605"/>
      <c r="PJ53" s="605"/>
      <c r="PK53" s="605"/>
      <c r="PL53" s="605"/>
      <c r="PM53" s="605"/>
      <c r="PN53" s="605"/>
      <c r="PO53" s="605"/>
      <c r="PP53" s="605"/>
      <c r="PQ53" s="605"/>
      <c r="PR53" s="605"/>
      <c r="PS53" s="605"/>
      <c r="PT53" s="605"/>
      <c r="PU53" s="605"/>
      <c r="PV53" s="605"/>
      <c r="PW53" s="605"/>
      <c r="PX53" s="605"/>
      <c r="PY53" s="605"/>
      <c r="PZ53" s="605"/>
      <c r="QA53" s="605"/>
      <c r="QB53" s="605"/>
      <c r="QC53" s="605"/>
      <c r="QD53" s="605"/>
      <c r="QE53" s="605"/>
      <c r="QF53" s="605"/>
      <c r="QG53" s="605"/>
      <c r="QH53" s="605"/>
      <c r="QI53" s="605"/>
      <c r="QJ53" s="605"/>
      <c r="QK53" s="605"/>
      <c r="QL53" s="605"/>
      <c r="QM53" s="605"/>
      <c r="QN53" s="605"/>
      <c r="QO53" s="605"/>
      <c r="QP53" s="605"/>
      <c r="QQ53" s="605"/>
      <c r="QR53" s="605"/>
      <c r="QS53" s="605"/>
      <c r="QT53" s="605"/>
      <c r="QU53" s="605"/>
      <c r="QV53" s="605"/>
      <c r="QW53" s="605"/>
      <c r="QX53" s="605"/>
      <c r="QY53" s="605"/>
      <c r="QZ53" s="605"/>
      <c r="RA53" s="605"/>
      <c r="RB53" s="605"/>
      <c r="RC53" s="605"/>
      <c r="RD53" s="605"/>
      <c r="RE53" s="605"/>
      <c r="RF53" s="605"/>
      <c r="RG53" s="605"/>
      <c r="RH53" s="605"/>
    </row>
    <row r="54" spans="2:476" s="525" customFormat="1" ht="20.100000000000001" customHeight="1">
      <c r="B54" s="558">
        <v>45833</v>
      </c>
      <c r="C54" s="547">
        <v>16</v>
      </c>
      <c r="D54" s="548">
        <v>0</v>
      </c>
      <c r="E54" s="548">
        <v>2</v>
      </c>
      <c r="F54" s="549">
        <f t="shared" si="4"/>
        <v>6.8333333333721402</v>
      </c>
      <c r="G54" s="574"/>
      <c r="H54" s="575"/>
      <c r="I54" s="575"/>
      <c r="J54" s="575">
        <v>7.0000000008149099</v>
      </c>
      <c r="K54" s="575"/>
      <c r="L54" s="575"/>
      <c r="M54" s="575"/>
      <c r="N54" s="575">
        <v>0.166666665812954</v>
      </c>
      <c r="O54" s="575"/>
      <c r="P54" s="575"/>
      <c r="Q54" s="575"/>
      <c r="R54" s="575"/>
      <c r="S54" s="575"/>
      <c r="T54" s="575"/>
      <c r="U54" s="575"/>
      <c r="V54" s="575"/>
      <c r="W54" s="575"/>
      <c r="X54" s="572"/>
      <c r="Y54" s="614">
        <v>1</v>
      </c>
      <c r="Z54" s="607">
        <f t="shared" si="5"/>
        <v>0</v>
      </c>
      <c r="AA54" s="607">
        <f t="shared" si="6"/>
        <v>7.1666666666278598</v>
      </c>
      <c r="AB54" s="608">
        <f t="shared" si="7"/>
        <v>1</v>
      </c>
      <c r="AC54" s="617" t="s">
        <v>53</v>
      </c>
      <c r="AD54" s="610"/>
      <c r="AE54" s="610"/>
      <c r="AF54" s="610"/>
      <c r="AG54" s="610"/>
      <c r="AH54" s="610"/>
      <c r="AI54" s="610"/>
      <c r="AJ54" s="610"/>
      <c r="AK54" s="610"/>
      <c r="AL54" s="610"/>
      <c r="AM54" s="610"/>
      <c r="AN54" s="610"/>
      <c r="AO54" s="610"/>
      <c r="AP54" s="610"/>
      <c r="AQ54" s="610"/>
      <c r="AR54" s="610"/>
      <c r="AS54" s="610"/>
      <c r="AT54" s="610"/>
      <c r="AU54" s="610"/>
      <c r="AV54" s="610"/>
      <c r="AW54" s="610"/>
      <c r="AX54" s="610"/>
      <c r="AY54" s="610"/>
      <c r="AZ54" s="610"/>
      <c r="BA54" s="610"/>
      <c r="BB54" s="610"/>
      <c r="BC54" s="610"/>
      <c r="BD54" s="610"/>
      <c r="BE54" s="610"/>
      <c r="BF54" s="610"/>
      <c r="BG54" s="610"/>
      <c r="BH54" s="610"/>
      <c r="BI54" s="610"/>
      <c r="BJ54" s="610"/>
      <c r="BK54" s="610"/>
      <c r="BL54" s="610"/>
      <c r="BM54" s="610"/>
      <c r="BN54" s="610"/>
      <c r="BO54" s="610"/>
      <c r="BP54" s="610"/>
      <c r="BQ54" s="610"/>
      <c r="BR54" s="610"/>
      <c r="BS54" s="610"/>
      <c r="BT54" s="610"/>
      <c r="BU54" s="610"/>
      <c r="BV54" s="610"/>
      <c r="BW54" s="610"/>
      <c r="BX54" s="610"/>
      <c r="BY54" s="610"/>
      <c r="BZ54" s="610"/>
      <c r="CA54" s="610"/>
      <c r="CB54" s="610"/>
      <c r="CC54" s="610"/>
      <c r="CD54" s="610"/>
      <c r="CE54" s="610"/>
      <c r="CF54" s="610"/>
      <c r="CG54" s="610"/>
      <c r="CH54" s="610"/>
      <c r="CI54" s="610"/>
      <c r="CJ54" s="610"/>
      <c r="CK54" s="610"/>
      <c r="CL54" s="610"/>
      <c r="CM54" s="610"/>
      <c r="CN54" s="610"/>
      <c r="CO54" s="610"/>
      <c r="CP54" s="610"/>
      <c r="CQ54" s="610"/>
      <c r="CR54" s="610"/>
      <c r="CS54" s="610"/>
      <c r="CT54" s="610"/>
      <c r="CU54" s="610"/>
      <c r="CV54" s="610"/>
      <c r="CW54" s="610"/>
      <c r="CX54" s="610"/>
      <c r="CY54" s="610"/>
      <c r="CZ54" s="610"/>
      <c r="DA54" s="610"/>
      <c r="DB54" s="610"/>
      <c r="DC54" s="610"/>
      <c r="DD54" s="610"/>
      <c r="DE54" s="610"/>
      <c r="DF54" s="610"/>
      <c r="DG54" s="610"/>
      <c r="DH54" s="610"/>
      <c r="DI54" s="610"/>
      <c r="DJ54" s="610"/>
      <c r="DK54" s="610"/>
      <c r="DL54" s="610"/>
      <c r="DM54" s="610"/>
      <c r="DN54" s="610"/>
      <c r="DO54" s="610"/>
      <c r="DP54" s="610"/>
      <c r="DQ54" s="610"/>
      <c r="DR54" s="610"/>
      <c r="DS54" s="610"/>
      <c r="DT54" s="610"/>
      <c r="DU54" s="610"/>
      <c r="DV54" s="610"/>
      <c r="DW54" s="610"/>
      <c r="DX54" s="610"/>
      <c r="DY54" s="610"/>
      <c r="DZ54" s="610"/>
      <c r="EA54" s="610"/>
      <c r="EB54" s="610"/>
      <c r="EC54" s="610"/>
      <c r="ED54" s="610"/>
      <c r="EE54" s="610"/>
      <c r="EF54" s="610"/>
      <c r="EG54" s="610"/>
      <c r="EH54" s="610"/>
      <c r="EI54" s="610"/>
      <c r="EJ54" s="610"/>
      <c r="EK54" s="610"/>
      <c r="EL54" s="610"/>
      <c r="EM54" s="610"/>
      <c r="EN54" s="610"/>
      <c r="EO54" s="610"/>
      <c r="EP54" s="610"/>
      <c r="EQ54" s="610"/>
      <c r="ER54" s="610"/>
      <c r="ES54" s="610"/>
      <c r="ET54" s="610"/>
      <c r="EU54" s="610"/>
      <c r="EV54" s="610"/>
      <c r="EW54" s="610"/>
      <c r="EX54" s="610"/>
      <c r="EY54" s="610"/>
      <c r="EZ54" s="610"/>
      <c r="FA54" s="610"/>
      <c r="FB54" s="610"/>
      <c r="FC54" s="610"/>
      <c r="FD54" s="610"/>
      <c r="FE54" s="610"/>
      <c r="FF54" s="610"/>
      <c r="FG54" s="610"/>
      <c r="FH54" s="610"/>
      <c r="FI54" s="610"/>
      <c r="FJ54" s="610"/>
      <c r="FK54" s="610"/>
      <c r="FL54" s="610"/>
      <c r="FM54" s="610"/>
      <c r="FN54" s="610"/>
      <c r="FO54" s="610"/>
      <c r="FP54" s="610"/>
      <c r="FQ54" s="610"/>
      <c r="FR54" s="610"/>
      <c r="FS54" s="610"/>
      <c r="FT54" s="610"/>
      <c r="FU54" s="610"/>
      <c r="FV54" s="610"/>
      <c r="FW54" s="610"/>
      <c r="FX54" s="610"/>
      <c r="FY54" s="610"/>
      <c r="FZ54" s="610"/>
      <c r="GA54" s="610"/>
      <c r="GB54" s="610"/>
      <c r="GC54" s="610"/>
      <c r="GD54" s="610"/>
      <c r="GE54" s="610"/>
      <c r="GF54" s="610"/>
      <c r="GG54" s="610"/>
      <c r="GH54" s="610"/>
      <c r="GI54" s="610"/>
      <c r="GJ54" s="610"/>
      <c r="GK54" s="610"/>
      <c r="GL54" s="610"/>
      <c r="GM54" s="610"/>
      <c r="GN54" s="610"/>
      <c r="GO54" s="610"/>
      <c r="GP54" s="610"/>
      <c r="GQ54" s="610"/>
      <c r="GR54" s="610"/>
      <c r="GS54" s="610"/>
      <c r="GT54" s="610"/>
      <c r="GU54" s="610"/>
      <c r="GV54" s="610"/>
      <c r="GW54" s="610"/>
      <c r="GX54" s="610"/>
      <c r="GY54" s="610"/>
      <c r="GZ54" s="610"/>
      <c r="HA54" s="610"/>
      <c r="HB54" s="610"/>
      <c r="HC54" s="610"/>
      <c r="HD54" s="610"/>
      <c r="HE54" s="610"/>
      <c r="HF54" s="610"/>
      <c r="HG54" s="610"/>
      <c r="HH54" s="610"/>
      <c r="HI54" s="610"/>
      <c r="HJ54" s="610"/>
      <c r="HK54" s="610"/>
      <c r="HL54" s="610"/>
      <c r="HM54" s="610"/>
      <c r="HN54" s="610"/>
      <c r="HO54" s="610"/>
      <c r="HP54" s="610"/>
      <c r="HQ54" s="610"/>
      <c r="HR54" s="610"/>
      <c r="HS54" s="610"/>
      <c r="HT54" s="610"/>
      <c r="HU54" s="610"/>
      <c r="HV54" s="610"/>
      <c r="HW54" s="610"/>
      <c r="HX54" s="610"/>
      <c r="HY54" s="610"/>
      <c r="HZ54" s="610"/>
      <c r="IA54" s="610"/>
      <c r="IB54" s="610"/>
      <c r="IC54" s="610"/>
      <c r="ID54" s="610"/>
      <c r="IE54" s="610"/>
      <c r="IF54" s="610"/>
      <c r="IG54" s="610"/>
      <c r="IH54" s="610"/>
      <c r="II54" s="610"/>
      <c r="IJ54" s="610"/>
      <c r="IK54" s="610"/>
      <c r="IL54" s="610"/>
      <c r="IM54" s="610"/>
      <c r="IN54" s="610"/>
      <c r="IO54" s="610"/>
      <c r="IP54" s="610"/>
      <c r="IQ54" s="610"/>
      <c r="IR54" s="610"/>
      <c r="IS54" s="610"/>
      <c r="IT54" s="610"/>
      <c r="IU54" s="610"/>
      <c r="IV54" s="610"/>
      <c r="IW54" s="610"/>
      <c r="IX54" s="610"/>
      <c r="IY54" s="610"/>
      <c r="IZ54" s="610"/>
      <c r="JA54" s="610"/>
      <c r="JB54" s="610"/>
      <c r="JC54" s="610"/>
      <c r="JD54" s="610"/>
      <c r="JE54" s="610"/>
      <c r="JF54" s="610"/>
      <c r="JG54" s="610"/>
      <c r="JH54" s="610"/>
      <c r="JI54" s="610"/>
      <c r="JJ54" s="610"/>
      <c r="JK54" s="610"/>
      <c r="JL54" s="610"/>
      <c r="JM54" s="610"/>
      <c r="JN54" s="610"/>
      <c r="JO54" s="610"/>
      <c r="JP54" s="610"/>
      <c r="JQ54" s="610"/>
      <c r="JR54" s="610"/>
      <c r="JS54" s="610"/>
      <c r="JT54" s="610"/>
      <c r="JU54" s="610"/>
      <c r="JV54" s="610"/>
      <c r="JW54" s="610"/>
      <c r="JX54" s="610"/>
      <c r="JY54" s="610"/>
      <c r="JZ54" s="610"/>
      <c r="KA54" s="610"/>
      <c r="KB54" s="610"/>
      <c r="KC54" s="610"/>
      <c r="KD54" s="610"/>
      <c r="KE54" s="610"/>
      <c r="KF54" s="610"/>
      <c r="KG54" s="610"/>
      <c r="KH54" s="610"/>
      <c r="KI54" s="610"/>
      <c r="KJ54" s="610"/>
      <c r="KK54" s="610"/>
      <c r="KL54" s="610"/>
      <c r="KM54" s="610"/>
      <c r="KN54" s="610"/>
      <c r="KO54" s="610"/>
      <c r="KP54" s="610"/>
      <c r="KQ54" s="610"/>
      <c r="KR54" s="610"/>
      <c r="KS54" s="610"/>
      <c r="KT54" s="610"/>
      <c r="KU54" s="610"/>
      <c r="KV54" s="610"/>
      <c r="KW54" s="610"/>
      <c r="KX54" s="610"/>
      <c r="KY54" s="610"/>
      <c r="KZ54" s="610"/>
      <c r="LA54" s="610"/>
      <c r="LB54" s="610"/>
      <c r="LC54" s="610"/>
      <c r="LD54" s="610"/>
      <c r="LE54" s="610"/>
      <c r="LF54" s="610"/>
      <c r="LG54" s="610"/>
      <c r="LH54" s="610"/>
      <c r="LI54" s="610"/>
      <c r="LJ54" s="610"/>
      <c r="LK54" s="610"/>
      <c r="LL54" s="610"/>
      <c r="LM54" s="610"/>
      <c r="LN54" s="610"/>
      <c r="LO54" s="610"/>
      <c r="LP54" s="610"/>
      <c r="LQ54" s="610"/>
      <c r="LR54" s="610"/>
      <c r="LS54" s="610"/>
      <c r="LT54" s="610"/>
      <c r="LU54" s="610"/>
      <c r="LV54" s="610"/>
      <c r="LW54" s="610"/>
      <c r="LX54" s="610"/>
      <c r="LY54" s="610"/>
      <c r="LZ54" s="610"/>
      <c r="MA54" s="610"/>
      <c r="MB54" s="610"/>
      <c r="MC54" s="610"/>
      <c r="MD54" s="610"/>
      <c r="ME54" s="610"/>
      <c r="MF54" s="610"/>
      <c r="MG54" s="610"/>
      <c r="MH54" s="610"/>
      <c r="MI54" s="610"/>
      <c r="MJ54" s="610"/>
      <c r="MK54" s="610"/>
      <c r="ML54" s="610"/>
      <c r="MM54" s="610"/>
      <c r="MN54" s="610"/>
      <c r="MO54" s="610"/>
      <c r="MP54" s="610"/>
      <c r="MQ54" s="610"/>
      <c r="MR54" s="610"/>
      <c r="MS54" s="610"/>
      <c r="MT54" s="610"/>
      <c r="MU54" s="610"/>
      <c r="MV54" s="610"/>
      <c r="MW54" s="610"/>
      <c r="MX54" s="610"/>
      <c r="MY54" s="610"/>
      <c r="MZ54" s="610"/>
      <c r="NA54" s="610"/>
      <c r="NB54" s="610"/>
      <c r="NC54" s="610"/>
      <c r="ND54" s="610"/>
      <c r="NE54" s="610"/>
      <c r="NF54" s="610"/>
      <c r="NG54" s="610"/>
      <c r="NH54" s="610"/>
      <c r="NI54" s="610"/>
      <c r="NJ54" s="610"/>
      <c r="NK54" s="610"/>
      <c r="NL54" s="610"/>
      <c r="NM54" s="610"/>
      <c r="NN54" s="610"/>
      <c r="NO54" s="610"/>
      <c r="NP54" s="610"/>
      <c r="NQ54" s="610"/>
      <c r="NR54" s="610"/>
      <c r="NS54" s="610"/>
      <c r="NT54" s="610"/>
      <c r="NU54" s="610"/>
      <c r="NV54" s="610"/>
      <c r="NW54" s="610"/>
      <c r="NX54" s="610"/>
      <c r="NY54" s="610"/>
      <c r="NZ54" s="610"/>
      <c r="OA54" s="610"/>
      <c r="OB54" s="610"/>
      <c r="OC54" s="610"/>
      <c r="OD54" s="610"/>
      <c r="OE54" s="610"/>
      <c r="OF54" s="610"/>
      <c r="OG54" s="610"/>
      <c r="OH54" s="610"/>
      <c r="OI54" s="610"/>
      <c r="OJ54" s="610"/>
      <c r="OK54" s="610"/>
      <c r="OL54" s="610"/>
      <c r="OM54" s="610"/>
      <c r="ON54" s="610"/>
      <c r="OO54" s="610"/>
      <c r="OP54" s="610"/>
      <c r="OQ54" s="610"/>
      <c r="OR54" s="610"/>
      <c r="OS54" s="610"/>
      <c r="OT54" s="610"/>
      <c r="OU54" s="610"/>
      <c r="OV54" s="610"/>
      <c r="OW54" s="610"/>
      <c r="OX54" s="610"/>
      <c r="OY54" s="610"/>
      <c r="OZ54" s="610"/>
      <c r="PA54" s="610"/>
      <c r="PB54" s="610"/>
      <c r="PC54" s="610"/>
      <c r="PD54" s="610"/>
      <c r="PE54" s="610"/>
      <c r="PF54" s="610"/>
      <c r="PG54" s="610"/>
      <c r="PH54" s="610"/>
      <c r="PI54" s="610"/>
      <c r="PJ54" s="610"/>
      <c r="PK54" s="610"/>
      <c r="PL54" s="610"/>
      <c r="PM54" s="610"/>
      <c r="PN54" s="610"/>
      <c r="PO54" s="610"/>
      <c r="PP54" s="610"/>
      <c r="PQ54" s="610"/>
      <c r="PR54" s="610"/>
      <c r="PS54" s="610"/>
      <c r="PT54" s="610"/>
      <c r="PU54" s="610"/>
      <c r="PV54" s="610"/>
      <c r="PW54" s="610"/>
      <c r="PX54" s="610"/>
      <c r="PY54" s="610"/>
      <c r="PZ54" s="610"/>
      <c r="QA54" s="610"/>
      <c r="QB54" s="610"/>
      <c r="QC54" s="610"/>
      <c r="QD54" s="610"/>
      <c r="QE54" s="610"/>
      <c r="QF54" s="610"/>
      <c r="QG54" s="610"/>
      <c r="QH54" s="610"/>
      <c r="QI54" s="610"/>
      <c r="QJ54" s="610"/>
      <c r="QK54" s="610"/>
      <c r="QL54" s="610"/>
      <c r="QM54" s="610"/>
      <c r="QN54" s="610"/>
      <c r="QO54" s="610"/>
      <c r="QP54" s="610"/>
      <c r="QQ54" s="610"/>
      <c r="QR54" s="610"/>
      <c r="QS54" s="610"/>
      <c r="QT54" s="610"/>
      <c r="QU54" s="610"/>
      <c r="QV54" s="610"/>
      <c r="QW54" s="610"/>
      <c r="QX54" s="610"/>
      <c r="QY54" s="610"/>
      <c r="QZ54" s="610"/>
      <c r="RA54" s="610"/>
      <c r="RB54" s="610"/>
      <c r="RC54" s="610"/>
      <c r="RD54" s="610"/>
      <c r="RE54" s="610"/>
      <c r="RF54" s="610"/>
      <c r="RG54" s="610"/>
      <c r="RH54" s="610"/>
    </row>
    <row r="55" spans="2:476" s="525" customFormat="1" ht="20.100000000000001" customHeight="1">
      <c r="B55" s="558"/>
      <c r="C55" s="547">
        <v>16</v>
      </c>
      <c r="D55" s="548">
        <v>0</v>
      </c>
      <c r="E55" s="548">
        <v>2</v>
      </c>
      <c r="F55" s="549">
        <f t="shared" si="4"/>
        <v>13.250000000873101</v>
      </c>
      <c r="G55" s="574"/>
      <c r="H55" s="575"/>
      <c r="I55" s="575"/>
      <c r="J55" s="575"/>
      <c r="K55" s="575"/>
      <c r="L55" s="575"/>
      <c r="M55" s="575"/>
      <c r="N55" s="575">
        <v>0.24999999837018499</v>
      </c>
      <c r="O55" s="575">
        <v>0.50000000075670004</v>
      </c>
      <c r="P55" s="575"/>
      <c r="Q55" s="575"/>
      <c r="R55" s="575"/>
      <c r="S55" s="575"/>
      <c r="T55" s="575"/>
      <c r="U55" s="575"/>
      <c r="V55" s="575"/>
      <c r="W55" s="575"/>
      <c r="X55" s="551"/>
      <c r="Y55" s="614">
        <v>2</v>
      </c>
      <c r="Z55" s="607">
        <f t="shared" si="5"/>
        <v>0</v>
      </c>
      <c r="AA55" s="607">
        <f t="shared" si="6"/>
        <v>0.74999999912688498</v>
      </c>
      <c r="AB55" s="608">
        <f t="shared" si="7"/>
        <v>1</v>
      </c>
      <c r="AC55" s="615"/>
      <c r="AD55" s="610"/>
      <c r="AE55" s="610"/>
      <c r="AF55" s="610"/>
      <c r="AG55" s="610"/>
      <c r="AH55" s="610"/>
      <c r="AI55" s="610"/>
      <c r="AJ55" s="610"/>
      <c r="AK55" s="610"/>
      <c r="AL55" s="610"/>
      <c r="AM55" s="610"/>
      <c r="AN55" s="610"/>
      <c r="AO55" s="610"/>
      <c r="AP55" s="610"/>
      <c r="AQ55" s="610"/>
      <c r="AR55" s="610"/>
      <c r="AS55" s="610"/>
      <c r="AT55" s="610"/>
      <c r="AU55" s="610"/>
      <c r="AV55" s="610"/>
      <c r="AW55" s="610"/>
      <c r="AX55" s="610"/>
      <c r="AY55" s="610"/>
      <c r="AZ55" s="610"/>
      <c r="BA55" s="610"/>
      <c r="BB55" s="610"/>
      <c r="BC55" s="610"/>
      <c r="BD55" s="610"/>
      <c r="BE55" s="610"/>
      <c r="BF55" s="610"/>
      <c r="BG55" s="610"/>
      <c r="BH55" s="610"/>
      <c r="BI55" s="610"/>
      <c r="BJ55" s="610"/>
      <c r="BK55" s="610"/>
      <c r="BL55" s="610"/>
      <c r="BM55" s="610"/>
      <c r="BN55" s="610"/>
      <c r="BO55" s="610"/>
      <c r="BP55" s="610"/>
      <c r="BQ55" s="610"/>
      <c r="BR55" s="610"/>
      <c r="BS55" s="610"/>
      <c r="BT55" s="610"/>
      <c r="BU55" s="610"/>
      <c r="BV55" s="610"/>
      <c r="BW55" s="610"/>
      <c r="BX55" s="610"/>
      <c r="BY55" s="610"/>
      <c r="BZ55" s="610"/>
      <c r="CA55" s="610"/>
      <c r="CB55" s="610"/>
      <c r="CC55" s="610"/>
      <c r="CD55" s="610"/>
      <c r="CE55" s="610"/>
      <c r="CF55" s="610"/>
      <c r="CG55" s="610"/>
      <c r="CH55" s="610"/>
      <c r="CI55" s="610"/>
      <c r="CJ55" s="610"/>
      <c r="CK55" s="610"/>
      <c r="CL55" s="610"/>
      <c r="CM55" s="610"/>
      <c r="CN55" s="610"/>
      <c r="CO55" s="610"/>
      <c r="CP55" s="610"/>
      <c r="CQ55" s="610"/>
      <c r="CR55" s="610"/>
      <c r="CS55" s="610"/>
      <c r="CT55" s="610"/>
      <c r="CU55" s="610"/>
      <c r="CV55" s="610"/>
      <c r="CW55" s="610"/>
      <c r="CX55" s="610"/>
      <c r="CY55" s="610"/>
      <c r="CZ55" s="610"/>
      <c r="DA55" s="610"/>
      <c r="DB55" s="610"/>
      <c r="DC55" s="610"/>
      <c r="DD55" s="610"/>
      <c r="DE55" s="610"/>
      <c r="DF55" s="610"/>
      <c r="DG55" s="610"/>
      <c r="DH55" s="610"/>
      <c r="DI55" s="610"/>
      <c r="DJ55" s="610"/>
      <c r="DK55" s="610"/>
      <c r="DL55" s="610"/>
      <c r="DM55" s="610"/>
      <c r="DN55" s="610"/>
      <c r="DO55" s="610"/>
      <c r="DP55" s="610"/>
      <c r="DQ55" s="610"/>
      <c r="DR55" s="610"/>
      <c r="DS55" s="610"/>
      <c r="DT55" s="610"/>
      <c r="DU55" s="610"/>
      <c r="DV55" s="610"/>
      <c r="DW55" s="610"/>
      <c r="DX55" s="610"/>
      <c r="DY55" s="610"/>
      <c r="DZ55" s="610"/>
      <c r="EA55" s="610"/>
      <c r="EB55" s="610"/>
      <c r="EC55" s="610"/>
      <c r="ED55" s="610"/>
      <c r="EE55" s="610"/>
      <c r="EF55" s="610"/>
      <c r="EG55" s="610"/>
      <c r="EH55" s="610"/>
      <c r="EI55" s="610"/>
      <c r="EJ55" s="610"/>
      <c r="EK55" s="610"/>
      <c r="EL55" s="610"/>
      <c r="EM55" s="610"/>
      <c r="EN55" s="610"/>
      <c r="EO55" s="610"/>
      <c r="EP55" s="610"/>
      <c r="EQ55" s="610"/>
      <c r="ER55" s="610"/>
      <c r="ES55" s="610"/>
      <c r="ET55" s="610"/>
      <c r="EU55" s="610"/>
      <c r="EV55" s="610"/>
      <c r="EW55" s="610"/>
      <c r="EX55" s="610"/>
      <c r="EY55" s="610"/>
      <c r="EZ55" s="610"/>
      <c r="FA55" s="610"/>
      <c r="FB55" s="610"/>
      <c r="FC55" s="610"/>
      <c r="FD55" s="610"/>
      <c r="FE55" s="610"/>
      <c r="FF55" s="610"/>
      <c r="FG55" s="610"/>
      <c r="FH55" s="610"/>
      <c r="FI55" s="610"/>
      <c r="FJ55" s="610"/>
      <c r="FK55" s="610"/>
      <c r="FL55" s="610"/>
      <c r="FM55" s="610"/>
      <c r="FN55" s="610"/>
      <c r="FO55" s="610"/>
      <c r="FP55" s="610"/>
      <c r="FQ55" s="610"/>
      <c r="FR55" s="610"/>
      <c r="FS55" s="610"/>
      <c r="FT55" s="610"/>
      <c r="FU55" s="610"/>
      <c r="FV55" s="610"/>
      <c r="FW55" s="610"/>
      <c r="FX55" s="610"/>
      <c r="FY55" s="610"/>
      <c r="FZ55" s="610"/>
      <c r="GA55" s="610"/>
      <c r="GB55" s="610"/>
      <c r="GC55" s="610"/>
      <c r="GD55" s="610"/>
      <c r="GE55" s="610"/>
      <c r="GF55" s="610"/>
      <c r="GG55" s="610"/>
      <c r="GH55" s="610"/>
      <c r="GI55" s="610"/>
      <c r="GJ55" s="610"/>
      <c r="GK55" s="610"/>
      <c r="GL55" s="610"/>
      <c r="GM55" s="610"/>
      <c r="GN55" s="610"/>
      <c r="GO55" s="610"/>
      <c r="GP55" s="610"/>
      <c r="GQ55" s="610"/>
      <c r="GR55" s="610"/>
      <c r="GS55" s="610"/>
      <c r="GT55" s="610"/>
      <c r="GU55" s="610"/>
      <c r="GV55" s="610"/>
      <c r="GW55" s="610"/>
      <c r="GX55" s="610"/>
      <c r="GY55" s="610"/>
      <c r="GZ55" s="610"/>
      <c r="HA55" s="610"/>
      <c r="HB55" s="610"/>
      <c r="HC55" s="610"/>
      <c r="HD55" s="610"/>
      <c r="HE55" s="610"/>
      <c r="HF55" s="610"/>
      <c r="HG55" s="610"/>
      <c r="HH55" s="610"/>
      <c r="HI55" s="610"/>
      <c r="HJ55" s="610"/>
      <c r="HK55" s="610"/>
      <c r="HL55" s="610"/>
      <c r="HM55" s="610"/>
      <c r="HN55" s="610"/>
      <c r="HO55" s="610"/>
      <c r="HP55" s="610"/>
      <c r="HQ55" s="610"/>
      <c r="HR55" s="610"/>
      <c r="HS55" s="610"/>
      <c r="HT55" s="610"/>
      <c r="HU55" s="610"/>
      <c r="HV55" s="610"/>
      <c r="HW55" s="610"/>
      <c r="HX55" s="610"/>
      <c r="HY55" s="610"/>
      <c r="HZ55" s="610"/>
      <c r="IA55" s="610"/>
      <c r="IB55" s="610"/>
      <c r="IC55" s="610"/>
      <c r="ID55" s="610"/>
      <c r="IE55" s="610"/>
      <c r="IF55" s="610"/>
      <c r="IG55" s="610"/>
      <c r="IH55" s="610"/>
      <c r="II55" s="610"/>
      <c r="IJ55" s="610"/>
      <c r="IK55" s="610"/>
      <c r="IL55" s="610"/>
      <c r="IM55" s="610"/>
      <c r="IN55" s="610"/>
      <c r="IO55" s="610"/>
      <c r="IP55" s="610"/>
      <c r="IQ55" s="610"/>
      <c r="IR55" s="610"/>
      <c r="IS55" s="610"/>
      <c r="IT55" s="610"/>
      <c r="IU55" s="610"/>
      <c r="IV55" s="610"/>
      <c r="IW55" s="610"/>
      <c r="IX55" s="610"/>
      <c r="IY55" s="610"/>
      <c r="IZ55" s="610"/>
      <c r="JA55" s="610"/>
      <c r="JB55" s="610"/>
      <c r="JC55" s="610"/>
      <c r="JD55" s="610"/>
      <c r="JE55" s="610"/>
      <c r="JF55" s="610"/>
      <c r="JG55" s="610"/>
      <c r="JH55" s="610"/>
      <c r="JI55" s="610"/>
      <c r="JJ55" s="610"/>
      <c r="JK55" s="610"/>
      <c r="JL55" s="610"/>
      <c r="JM55" s="610"/>
      <c r="JN55" s="610"/>
      <c r="JO55" s="610"/>
      <c r="JP55" s="610"/>
      <c r="JQ55" s="610"/>
      <c r="JR55" s="610"/>
      <c r="JS55" s="610"/>
      <c r="JT55" s="610"/>
      <c r="JU55" s="610"/>
      <c r="JV55" s="610"/>
      <c r="JW55" s="610"/>
      <c r="JX55" s="610"/>
      <c r="JY55" s="610"/>
      <c r="JZ55" s="610"/>
      <c r="KA55" s="610"/>
      <c r="KB55" s="610"/>
      <c r="KC55" s="610"/>
      <c r="KD55" s="610"/>
      <c r="KE55" s="610"/>
      <c r="KF55" s="610"/>
      <c r="KG55" s="610"/>
      <c r="KH55" s="610"/>
      <c r="KI55" s="610"/>
      <c r="KJ55" s="610"/>
      <c r="KK55" s="610"/>
      <c r="KL55" s="610"/>
      <c r="KM55" s="610"/>
      <c r="KN55" s="610"/>
      <c r="KO55" s="610"/>
      <c r="KP55" s="610"/>
      <c r="KQ55" s="610"/>
      <c r="KR55" s="610"/>
      <c r="KS55" s="610"/>
      <c r="KT55" s="610"/>
      <c r="KU55" s="610"/>
      <c r="KV55" s="610"/>
      <c r="KW55" s="610"/>
      <c r="KX55" s="610"/>
      <c r="KY55" s="610"/>
      <c r="KZ55" s="610"/>
      <c r="LA55" s="610"/>
      <c r="LB55" s="610"/>
      <c r="LC55" s="610"/>
      <c r="LD55" s="610"/>
      <c r="LE55" s="610"/>
      <c r="LF55" s="610"/>
      <c r="LG55" s="610"/>
      <c r="LH55" s="610"/>
      <c r="LI55" s="610"/>
      <c r="LJ55" s="610"/>
      <c r="LK55" s="610"/>
      <c r="LL55" s="610"/>
      <c r="LM55" s="610"/>
      <c r="LN55" s="610"/>
      <c r="LO55" s="610"/>
      <c r="LP55" s="610"/>
      <c r="LQ55" s="610"/>
      <c r="LR55" s="610"/>
      <c r="LS55" s="610"/>
      <c r="LT55" s="610"/>
      <c r="LU55" s="610"/>
      <c r="LV55" s="610"/>
      <c r="LW55" s="610"/>
      <c r="LX55" s="610"/>
      <c r="LY55" s="610"/>
      <c r="LZ55" s="610"/>
      <c r="MA55" s="610"/>
      <c r="MB55" s="610"/>
      <c r="MC55" s="610"/>
      <c r="MD55" s="610"/>
      <c r="ME55" s="610"/>
      <c r="MF55" s="610"/>
      <c r="MG55" s="610"/>
      <c r="MH55" s="610"/>
      <c r="MI55" s="610"/>
      <c r="MJ55" s="610"/>
      <c r="MK55" s="610"/>
      <c r="ML55" s="610"/>
      <c r="MM55" s="610"/>
      <c r="MN55" s="610"/>
      <c r="MO55" s="610"/>
      <c r="MP55" s="610"/>
      <c r="MQ55" s="610"/>
      <c r="MR55" s="610"/>
      <c r="MS55" s="610"/>
      <c r="MT55" s="610"/>
      <c r="MU55" s="610"/>
      <c r="MV55" s="610"/>
      <c r="MW55" s="610"/>
      <c r="MX55" s="610"/>
      <c r="MY55" s="610"/>
      <c r="MZ55" s="610"/>
      <c r="NA55" s="610"/>
      <c r="NB55" s="610"/>
      <c r="NC55" s="610"/>
      <c r="ND55" s="610"/>
      <c r="NE55" s="610"/>
      <c r="NF55" s="610"/>
      <c r="NG55" s="610"/>
      <c r="NH55" s="610"/>
      <c r="NI55" s="610"/>
      <c r="NJ55" s="610"/>
      <c r="NK55" s="610"/>
      <c r="NL55" s="610"/>
      <c r="NM55" s="610"/>
      <c r="NN55" s="610"/>
      <c r="NO55" s="610"/>
      <c r="NP55" s="610"/>
      <c r="NQ55" s="610"/>
      <c r="NR55" s="610"/>
      <c r="NS55" s="610"/>
      <c r="NT55" s="610"/>
      <c r="NU55" s="610"/>
      <c r="NV55" s="610"/>
      <c r="NW55" s="610"/>
      <c r="NX55" s="610"/>
      <c r="NY55" s="610"/>
      <c r="NZ55" s="610"/>
      <c r="OA55" s="610"/>
      <c r="OB55" s="610"/>
      <c r="OC55" s="610"/>
      <c r="OD55" s="610"/>
      <c r="OE55" s="610"/>
      <c r="OF55" s="610"/>
      <c r="OG55" s="610"/>
      <c r="OH55" s="610"/>
      <c r="OI55" s="610"/>
      <c r="OJ55" s="610"/>
      <c r="OK55" s="610"/>
      <c r="OL55" s="610"/>
      <c r="OM55" s="610"/>
      <c r="ON55" s="610"/>
      <c r="OO55" s="610"/>
      <c r="OP55" s="610"/>
      <c r="OQ55" s="610"/>
      <c r="OR55" s="610"/>
      <c r="OS55" s="610"/>
      <c r="OT55" s="610"/>
      <c r="OU55" s="610"/>
      <c r="OV55" s="610"/>
      <c r="OW55" s="610"/>
      <c r="OX55" s="610"/>
      <c r="OY55" s="610"/>
      <c r="OZ55" s="610"/>
      <c r="PA55" s="610"/>
      <c r="PB55" s="610"/>
      <c r="PC55" s="610"/>
      <c r="PD55" s="610"/>
      <c r="PE55" s="610"/>
      <c r="PF55" s="610"/>
      <c r="PG55" s="610"/>
      <c r="PH55" s="610"/>
      <c r="PI55" s="610"/>
      <c r="PJ55" s="610"/>
      <c r="PK55" s="610"/>
      <c r="PL55" s="610"/>
      <c r="PM55" s="610"/>
      <c r="PN55" s="610"/>
      <c r="PO55" s="610"/>
      <c r="PP55" s="610"/>
      <c r="PQ55" s="610"/>
      <c r="PR55" s="610"/>
      <c r="PS55" s="610"/>
      <c r="PT55" s="610"/>
      <c r="PU55" s="610"/>
      <c r="PV55" s="610"/>
      <c r="PW55" s="610"/>
      <c r="PX55" s="610"/>
      <c r="PY55" s="610"/>
      <c r="PZ55" s="610"/>
      <c r="QA55" s="610"/>
      <c r="QB55" s="610"/>
      <c r="QC55" s="610"/>
      <c r="QD55" s="610"/>
      <c r="QE55" s="610"/>
      <c r="QF55" s="610"/>
      <c r="QG55" s="610"/>
      <c r="QH55" s="610"/>
      <c r="QI55" s="610"/>
      <c r="QJ55" s="610"/>
      <c r="QK55" s="610"/>
      <c r="QL55" s="610"/>
      <c r="QM55" s="610"/>
      <c r="QN55" s="610"/>
      <c r="QO55" s="610"/>
      <c r="QP55" s="610"/>
      <c r="QQ55" s="610"/>
      <c r="QR55" s="610"/>
      <c r="QS55" s="610"/>
      <c r="QT55" s="610"/>
      <c r="QU55" s="610"/>
      <c r="QV55" s="610"/>
      <c r="QW55" s="610"/>
      <c r="QX55" s="610"/>
      <c r="QY55" s="610"/>
      <c r="QZ55" s="610"/>
      <c r="RA55" s="610"/>
      <c r="RB55" s="610"/>
      <c r="RC55" s="610"/>
      <c r="RD55" s="610"/>
      <c r="RE55" s="610"/>
      <c r="RF55" s="610"/>
      <c r="RG55" s="610"/>
      <c r="RH55" s="610"/>
    </row>
    <row r="56" spans="2:476" s="527" customFormat="1" ht="19.5" customHeight="1">
      <c r="B56" s="552">
        <v>45834</v>
      </c>
      <c r="C56" s="553">
        <v>16</v>
      </c>
      <c r="D56" s="554">
        <v>0</v>
      </c>
      <c r="E56" s="554">
        <v>2</v>
      </c>
      <c r="F56" s="555">
        <f t="shared" si="4"/>
        <v>0</v>
      </c>
      <c r="G56" s="556"/>
      <c r="H56" s="560"/>
      <c r="I56" s="591"/>
      <c r="J56" s="591">
        <v>14</v>
      </c>
      <c r="K56" s="573"/>
      <c r="L56" s="557"/>
      <c r="M56" s="591"/>
      <c r="N56" s="560"/>
      <c r="O56" s="560"/>
      <c r="P56" s="557"/>
      <c r="Q56" s="560"/>
      <c r="R56" s="557"/>
      <c r="S56" s="557"/>
      <c r="T56" s="557"/>
      <c r="U56" s="557"/>
      <c r="V56" s="557"/>
      <c r="W56" s="560"/>
      <c r="X56" s="576"/>
      <c r="Y56" s="613">
        <v>1</v>
      </c>
      <c r="Z56" s="607">
        <f t="shared" si="5"/>
        <v>0</v>
      </c>
      <c r="AA56" s="607">
        <f t="shared" si="6"/>
        <v>14</v>
      </c>
      <c r="AB56" s="608">
        <f t="shared" si="7"/>
        <v>1</v>
      </c>
      <c r="AC56" s="617" t="s">
        <v>53</v>
      </c>
      <c r="AD56" s="610"/>
      <c r="AE56" s="610"/>
      <c r="AF56" s="610"/>
      <c r="AG56" s="610"/>
      <c r="AH56" s="610"/>
      <c r="AI56" s="610"/>
      <c r="AJ56" s="610"/>
      <c r="AK56" s="610"/>
      <c r="AL56" s="610"/>
      <c r="AM56" s="610"/>
      <c r="AN56" s="610"/>
      <c r="AO56" s="610"/>
      <c r="AP56" s="610"/>
      <c r="AQ56" s="610"/>
      <c r="AR56" s="610"/>
      <c r="AS56" s="610"/>
      <c r="AT56" s="610"/>
      <c r="AU56" s="610"/>
      <c r="AV56" s="610"/>
      <c r="AW56" s="610"/>
      <c r="AX56" s="610"/>
      <c r="AY56" s="610"/>
      <c r="AZ56" s="610"/>
      <c r="BA56" s="610"/>
      <c r="BB56" s="610"/>
      <c r="BC56" s="610"/>
      <c r="BD56" s="610"/>
      <c r="BE56" s="610"/>
      <c r="BF56" s="610"/>
      <c r="BG56" s="610"/>
      <c r="BH56" s="610"/>
      <c r="BI56" s="610"/>
      <c r="BJ56" s="610"/>
      <c r="BK56" s="610"/>
      <c r="BL56" s="610"/>
      <c r="BM56" s="610"/>
      <c r="BN56" s="610"/>
      <c r="BO56" s="610"/>
      <c r="BP56" s="610"/>
      <c r="BQ56" s="610"/>
      <c r="BR56" s="610"/>
      <c r="BS56" s="610"/>
      <c r="BT56" s="610"/>
      <c r="BU56" s="610"/>
      <c r="BV56" s="610"/>
      <c r="BW56" s="610"/>
      <c r="BX56" s="610"/>
      <c r="BY56" s="610"/>
      <c r="BZ56" s="610"/>
      <c r="CA56" s="610"/>
      <c r="CB56" s="610"/>
      <c r="CC56" s="610"/>
      <c r="CD56" s="610"/>
      <c r="CE56" s="610"/>
      <c r="CF56" s="610"/>
      <c r="CG56" s="610"/>
      <c r="CH56" s="610"/>
      <c r="CI56" s="610"/>
      <c r="CJ56" s="610"/>
      <c r="CK56" s="610"/>
      <c r="CL56" s="610"/>
      <c r="CM56" s="610"/>
      <c r="CN56" s="610"/>
      <c r="CO56" s="610"/>
      <c r="CP56" s="610"/>
      <c r="CQ56" s="610"/>
      <c r="CR56" s="610"/>
      <c r="CS56" s="610"/>
      <c r="CT56" s="610"/>
      <c r="CU56" s="610"/>
      <c r="CV56" s="610"/>
      <c r="CW56" s="610"/>
      <c r="CX56" s="610"/>
      <c r="CY56" s="610"/>
      <c r="CZ56" s="610"/>
      <c r="DA56" s="610"/>
      <c r="DB56" s="610"/>
      <c r="DC56" s="610"/>
      <c r="DD56" s="610"/>
      <c r="DE56" s="610"/>
      <c r="DF56" s="610"/>
      <c r="DG56" s="610"/>
      <c r="DH56" s="610"/>
      <c r="DI56" s="610"/>
      <c r="DJ56" s="610"/>
      <c r="DK56" s="610"/>
      <c r="DL56" s="610"/>
      <c r="DM56" s="610"/>
      <c r="DN56" s="610"/>
      <c r="DO56" s="610"/>
      <c r="DP56" s="610"/>
      <c r="DQ56" s="610"/>
      <c r="DR56" s="610"/>
      <c r="DS56" s="610"/>
      <c r="DT56" s="610"/>
      <c r="DU56" s="610"/>
      <c r="DV56" s="610"/>
      <c r="DW56" s="610"/>
      <c r="DX56" s="610"/>
      <c r="DY56" s="610"/>
      <c r="DZ56" s="610"/>
      <c r="EA56" s="610"/>
      <c r="EB56" s="610"/>
      <c r="EC56" s="610"/>
      <c r="ED56" s="610"/>
      <c r="EE56" s="610"/>
      <c r="EF56" s="610"/>
      <c r="EG56" s="610"/>
      <c r="EH56" s="610"/>
      <c r="EI56" s="610"/>
      <c r="EJ56" s="610"/>
      <c r="EK56" s="610"/>
      <c r="EL56" s="610"/>
      <c r="EM56" s="610"/>
      <c r="EN56" s="610"/>
      <c r="EO56" s="610"/>
      <c r="EP56" s="610"/>
      <c r="EQ56" s="610"/>
      <c r="ER56" s="610"/>
      <c r="ES56" s="610"/>
      <c r="ET56" s="610"/>
      <c r="EU56" s="610"/>
      <c r="EV56" s="610"/>
      <c r="EW56" s="610"/>
      <c r="EX56" s="610"/>
      <c r="EY56" s="610"/>
      <c r="EZ56" s="610"/>
      <c r="FA56" s="610"/>
      <c r="FB56" s="610"/>
      <c r="FC56" s="610"/>
      <c r="FD56" s="610"/>
      <c r="FE56" s="610"/>
      <c r="FF56" s="610"/>
      <c r="FG56" s="610"/>
      <c r="FH56" s="610"/>
      <c r="FI56" s="610"/>
      <c r="FJ56" s="610"/>
      <c r="FK56" s="610"/>
      <c r="FL56" s="610"/>
      <c r="FM56" s="610"/>
      <c r="FN56" s="610"/>
      <c r="FO56" s="610"/>
      <c r="FP56" s="610"/>
      <c r="FQ56" s="610"/>
      <c r="FR56" s="610"/>
      <c r="FS56" s="610"/>
      <c r="FT56" s="610"/>
      <c r="FU56" s="610"/>
      <c r="FV56" s="610"/>
      <c r="FW56" s="610"/>
      <c r="FX56" s="610"/>
      <c r="FY56" s="610"/>
      <c r="FZ56" s="610"/>
      <c r="GA56" s="610"/>
      <c r="GB56" s="610"/>
      <c r="GC56" s="610"/>
      <c r="GD56" s="610"/>
      <c r="GE56" s="610"/>
      <c r="GF56" s="610"/>
      <c r="GG56" s="610"/>
      <c r="GH56" s="610"/>
      <c r="GI56" s="610"/>
      <c r="GJ56" s="610"/>
      <c r="GK56" s="610"/>
      <c r="GL56" s="610"/>
      <c r="GM56" s="610"/>
      <c r="GN56" s="610"/>
      <c r="GO56" s="610"/>
      <c r="GP56" s="610"/>
      <c r="GQ56" s="610"/>
      <c r="GR56" s="610"/>
      <c r="GS56" s="610"/>
      <c r="GT56" s="610"/>
      <c r="GU56" s="610"/>
      <c r="GV56" s="610"/>
      <c r="GW56" s="610"/>
      <c r="GX56" s="610"/>
      <c r="GY56" s="610"/>
      <c r="GZ56" s="610"/>
      <c r="HA56" s="610"/>
      <c r="HB56" s="610"/>
      <c r="HC56" s="610"/>
      <c r="HD56" s="610"/>
      <c r="HE56" s="610"/>
      <c r="HF56" s="610"/>
      <c r="HG56" s="610"/>
      <c r="HH56" s="610"/>
      <c r="HI56" s="610"/>
      <c r="HJ56" s="610"/>
      <c r="HK56" s="610"/>
      <c r="HL56" s="610"/>
      <c r="HM56" s="610"/>
      <c r="HN56" s="610"/>
      <c r="HO56" s="610"/>
      <c r="HP56" s="610"/>
      <c r="HQ56" s="610"/>
      <c r="HR56" s="610"/>
      <c r="HS56" s="610"/>
      <c r="HT56" s="610"/>
      <c r="HU56" s="610"/>
      <c r="HV56" s="610"/>
      <c r="HW56" s="610"/>
      <c r="HX56" s="610"/>
      <c r="HY56" s="610"/>
      <c r="HZ56" s="610"/>
      <c r="IA56" s="610"/>
      <c r="IB56" s="610"/>
      <c r="IC56" s="610"/>
      <c r="ID56" s="610"/>
      <c r="IE56" s="610"/>
      <c r="IF56" s="610"/>
      <c r="IG56" s="610"/>
      <c r="IH56" s="610"/>
      <c r="II56" s="610"/>
      <c r="IJ56" s="610"/>
      <c r="IK56" s="610"/>
      <c r="IL56" s="610"/>
      <c r="IM56" s="610"/>
      <c r="IN56" s="610"/>
      <c r="IO56" s="610"/>
      <c r="IP56" s="610"/>
      <c r="IQ56" s="610"/>
      <c r="IR56" s="610"/>
      <c r="IS56" s="610"/>
      <c r="IT56" s="610"/>
      <c r="IU56" s="610"/>
      <c r="IV56" s="610"/>
      <c r="IW56" s="610"/>
      <c r="IX56" s="610"/>
      <c r="IY56" s="610"/>
      <c r="IZ56" s="610"/>
      <c r="JA56" s="610"/>
      <c r="JB56" s="610"/>
      <c r="JC56" s="610"/>
      <c r="JD56" s="610"/>
      <c r="JE56" s="610"/>
      <c r="JF56" s="610"/>
      <c r="JG56" s="610"/>
      <c r="JH56" s="610"/>
      <c r="JI56" s="610"/>
      <c r="JJ56" s="610"/>
      <c r="JK56" s="610"/>
      <c r="JL56" s="610"/>
      <c r="JM56" s="610"/>
      <c r="JN56" s="610"/>
      <c r="JO56" s="610"/>
      <c r="JP56" s="610"/>
      <c r="JQ56" s="610"/>
      <c r="JR56" s="610"/>
      <c r="JS56" s="610"/>
      <c r="JT56" s="610"/>
      <c r="JU56" s="610"/>
      <c r="JV56" s="610"/>
      <c r="JW56" s="610"/>
      <c r="JX56" s="610"/>
      <c r="JY56" s="610"/>
      <c r="JZ56" s="610"/>
      <c r="KA56" s="610"/>
      <c r="KB56" s="610"/>
      <c r="KC56" s="610"/>
      <c r="KD56" s="610"/>
      <c r="KE56" s="610"/>
      <c r="KF56" s="610"/>
      <c r="KG56" s="610"/>
      <c r="KH56" s="610"/>
      <c r="KI56" s="610"/>
      <c r="KJ56" s="610"/>
      <c r="KK56" s="610"/>
      <c r="KL56" s="610"/>
      <c r="KM56" s="610"/>
      <c r="KN56" s="610"/>
      <c r="KO56" s="610"/>
      <c r="KP56" s="610"/>
      <c r="KQ56" s="610"/>
      <c r="KR56" s="610"/>
      <c r="KS56" s="610"/>
      <c r="KT56" s="610"/>
      <c r="KU56" s="610"/>
      <c r="KV56" s="610"/>
      <c r="KW56" s="610"/>
      <c r="KX56" s="610"/>
      <c r="KY56" s="610"/>
      <c r="KZ56" s="610"/>
      <c r="LA56" s="610"/>
      <c r="LB56" s="610"/>
      <c r="LC56" s="610"/>
      <c r="LD56" s="610"/>
      <c r="LE56" s="610"/>
      <c r="LF56" s="610"/>
      <c r="LG56" s="610"/>
      <c r="LH56" s="610"/>
      <c r="LI56" s="610"/>
      <c r="LJ56" s="610"/>
      <c r="LK56" s="610"/>
      <c r="LL56" s="610"/>
      <c r="LM56" s="610"/>
      <c r="LN56" s="610"/>
      <c r="LO56" s="610"/>
      <c r="LP56" s="610"/>
      <c r="LQ56" s="610"/>
      <c r="LR56" s="610"/>
      <c r="LS56" s="610"/>
      <c r="LT56" s="610"/>
      <c r="LU56" s="610"/>
      <c r="LV56" s="610"/>
      <c r="LW56" s="610"/>
      <c r="LX56" s="610"/>
      <c r="LY56" s="610"/>
      <c r="LZ56" s="610"/>
      <c r="MA56" s="610"/>
      <c r="MB56" s="610"/>
      <c r="MC56" s="610"/>
      <c r="MD56" s="610"/>
      <c r="ME56" s="610"/>
      <c r="MF56" s="610"/>
      <c r="MG56" s="610"/>
      <c r="MH56" s="610"/>
      <c r="MI56" s="610"/>
      <c r="MJ56" s="610"/>
      <c r="MK56" s="610"/>
      <c r="ML56" s="610"/>
      <c r="MM56" s="610"/>
      <c r="MN56" s="610"/>
      <c r="MO56" s="610"/>
      <c r="MP56" s="610"/>
      <c r="MQ56" s="610"/>
      <c r="MR56" s="610"/>
      <c r="MS56" s="610"/>
      <c r="MT56" s="610"/>
      <c r="MU56" s="610"/>
      <c r="MV56" s="610"/>
      <c r="MW56" s="610"/>
      <c r="MX56" s="610"/>
      <c r="MY56" s="610"/>
      <c r="MZ56" s="610"/>
      <c r="NA56" s="610"/>
      <c r="NB56" s="610"/>
      <c r="NC56" s="610"/>
      <c r="ND56" s="610"/>
      <c r="NE56" s="610"/>
      <c r="NF56" s="610"/>
      <c r="NG56" s="610"/>
      <c r="NH56" s="610"/>
      <c r="NI56" s="610"/>
      <c r="NJ56" s="610"/>
      <c r="NK56" s="610"/>
      <c r="NL56" s="610"/>
      <c r="NM56" s="610"/>
      <c r="NN56" s="610"/>
      <c r="NO56" s="610"/>
      <c r="NP56" s="610"/>
      <c r="NQ56" s="610"/>
      <c r="NR56" s="610"/>
      <c r="NS56" s="610"/>
      <c r="NT56" s="610"/>
      <c r="NU56" s="610"/>
      <c r="NV56" s="610"/>
      <c r="NW56" s="610"/>
      <c r="NX56" s="610"/>
      <c r="NY56" s="610"/>
      <c r="NZ56" s="610"/>
      <c r="OA56" s="610"/>
      <c r="OB56" s="610"/>
      <c r="OC56" s="610"/>
      <c r="OD56" s="610"/>
      <c r="OE56" s="610"/>
      <c r="OF56" s="610"/>
      <c r="OG56" s="610"/>
      <c r="OH56" s="610"/>
      <c r="OI56" s="610"/>
      <c r="OJ56" s="610"/>
      <c r="OK56" s="610"/>
      <c r="OL56" s="610"/>
      <c r="OM56" s="610"/>
      <c r="ON56" s="610"/>
      <c r="OO56" s="610"/>
      <c r="OP56" s="610"/>
      <c r="OQ56" s="610"/>
      <c r="OR56" s="610"/>
      <c r="OS56" s="610"/>
      <c r="OT56" s="610"/>
      <c r="OU56" s="610"/>
      <c r="OV56" s="610"/>
      <c r="OW56" s="610"/>
      <c r="OX56" s="610"/>
      <c r="OY56" s="610"/>
      <c r="OZ56" s="610"/>
      <c r="PA56" s="610"/>
      <c r="PB56" s="610"/>
      <c r="PC56" s="610"/>
      <c r="PD56" s="610"/>
      <c r="PE56" s="610"/>
      <c r="PF56" s="610"/>
      <c r="PG56" s="610"/>
      <c r="PH56" s="610"/>
      <c r="PI56" s="610"/>
      <c r="PJ56" s="610"/>
      <c r="PK56" s="610"/>
      <c r="PL56" s="610"/>
      <c r="PM56" s="610"/>
      <c r="PN56" s="610"/>
      <c r="PO56" s="610"/>
      <c r="PP56" s="610"/>
      <c r="PQ56" s="610"/>
      <c r="PR56" s="610"/>
      <c r="PS56" s="610"/>
      <c r="PT56" s="610"/>
      <c r="PU56" s="610"/>
      <c r="PV56" s="610"/>
      <c r="PW56" s="610"/>
      <c r="PX56" s="610"/>
      <c r="PY56" s="610"/>
      <c r="PZ56" s="610"/>
      <c r="QA56" s="610"/>
      <c r="QB56" s="610"/>
      <c r="QC56" s="610"/>
      <c r="QD56" s="610"/>
      <c r="QE56" s="610"/>
      <c r="QF56" s="610"/>
      <c r="QG56" s="610"/>
      <c r="QH56" s="610"/>
      <c r="QI56" s="610"/>
      <c r="QJ56" s="610"/>
      <c r="QK56" s="610"/>
      <c r="QL56" s="610"/>
      <c r="QM56" s="610"/>
      <c r="QN56" s="610"/>
      <c r="QO56" s="610"/>
      <c r="QP56" s="610"/>
      <c r="QQ56" s="610"/>
      <c r="QR56" s="610"/>
      <c r="QS56" s="610"/>
      <c r="QT56" s="610"/>
      <c r="QU56" s="610"/>
      <c r="QV56" s="610"/>
      <c r="QW56" s="610"/>
      <c r="QX56" s="610"/>
      <c r="QY56" s="610"/>
      <c r="QZ56" s="610"/>
      <c r="RA56" s="610"/>
      <c r="RB56" s="610"/>
      <c r="RC56" s="610"/>
      <c r="RD56" s="610"/>
      <c r="RE56" s="610"/>
      <c r="RF56" s="610"/>
      <c r="RG56" s="610"/>
      <c r="RH56" s="610"/>
    </row>
    <row r="57" spans="2:476" s="527" customFormat="1" ht="20.100000000000001" customHeight="1">
      <c r="B57" s="552"/>
      <c r="C57" s="553">
        <v>16</v>
      </c>
      <c r="D57" s="554">
        <v>0</v>
      </c>
      <c r="E57" s="554">
        <v>2</v>
      </c>
      <c r="F57" s="555">
        <f t="shared" si="4"/>
        <v>13.3</v>
      </c>
      <c r="G57" s="556"/>
      <c r="H57" s="560"/>
      <c r="I57" s="560"/>
      <c r="J57" s="560"/>
      <c r="K57" s="573"/>
      <c r="L57" s="557"/>
      <c r="M57" s="576"/>
      <c r="N57" s="560">
        <v>0.2</v>
      </c>
      <c r="O57" s="560">
        <v>0.5</v>
      </c>
      <c r="P57" s="557"/>
      <c r="Q57" s="560"/>
      <c r="R57" s="557"/>
      <c r="S57" s="557"/>
      <c r="T57" s="557"/>
      <c r="U57" s="557"/>
      <c r="V57" s="557"/>
      <c r="W57" s="560"/>
      <c r="X57" s="557"/>
      <c r="Y57" s="613">
        <v>2</v>
      </c>
      <c r="Z57" s="607">
        <f t="shared" si="5"/>
        <v>0</v>
      </c>
      <c r="AA57" s="607">
        <f t="shared" si="6"/>
        <v>0.7</v>
      </c>
      <c r="AB57" s="608">
        <f t="shared" si="7"/>
        <v>1</v>
      </c>
      <c r="AC57" s="615"/>
      <c r="AD57" s="610"/>
      <c r="AE57" s="610"/>
      <c r="AF57" s="610"/>
      <c r="AG57" s="610"/>
      <c r="AH57" s="610"/>
      <c r="AI57" s="610"/>
      <c r="AJ57" s="610"/>
      <c r="AK57" s="610"/>
      <c r="AL57" s="610"/>
      <c r="AM57" s="610"/>
      <c r="AN57" s="610"/>
      <c r="AO57" s="610"/>
      <c r="AP57" s="610"/>
      <c r="AQ57" s="610"/>
      <c r="AR57" s="610"/>
      <c r="AS57" s="610"/>
      <c r="AT57" s="610"/>
      <c r="AU57" s="610"/>
      <c r="AV57" s="610"/>
      <c r="AW57" s="610"/>
      <c r="AX57" s="610"/>
      <c r="AY57" s="610"/>
      <c r="AZ57" s="610"/>
      <c r="BA57" s="610"/>
      <c r="BB57" s="610"/>
      <c r="BC57" s="610"/>
      <c r="BD57" s="610"/>
      <c r="BE57" s="610"/>
      <c r="BF57" s="610"/>
      <c r="BG57" s="610"/>
      <c r="BH57" s="610"/>
      <c r="BI57" s="610"/>
      <c r="BJ57" s="610"/>
      <c r="BK57" s="610"/>
      <c r="BL57" s="610"/>
      <c r="BM57" s="610"/>
      <c r="BN57" s="610"/>
      <c r="BO57" s="610"/>
      <c r="BP57" s="610"/>
      <c r="BQ57" s="610"/>
      <c r="BR57" s="610"/>
      <c r="BS57" s="610"/>
      <c r="BT57" s="610"/>
      <c r="BU57" s="610"/>
      <c r="BV57" s="610"/>
      <c r="BW57" s="610"/>
      <c r="BX57" s="610"/>
      <c r="BY57" s="610"/>
      <c r="BZ57" s="610"/>
      <c r="CA57" s="610"/>
      <c r="CB57" s="610"/>
      <c r="CC57" s="610"/>
      <c r="CD57" s="610"/>
      <c r="CE57" s="610"/>
      <c r="CF57" s="610"/>
      <c r="CG57" s="610"/>
      <c r="CH57" s="610"/>
      <c r="CI57" s="610"/>
      <c r="CJ57" s="610"/>
      <c r="CK57" s="610"/>
      <c r="CL57" s="610"/>
      <c r="CM57" s="610"/>
      <c r="CN57" s="610"/>
      <c r="CO57" s="610"/>
      <c r="CP57" s="610"/>
      <c r="CQ57" s="610"/>
      <c r="CR57" s="610"/>
      <c r="CS57" s="610"/>
      <c r="CT57" s="610"/>
      <c r="CU57" s="610"/>
      <c r="CV57" s="610"/>
      <c r="CW57" s="610"/>
      <c r="CX57" s="610"/>
      <c r="CY57" s="610"/>
      <c r="CZ57" s="610"/>
      <c r="DA57" s="610"/>
      <c r="DB57" s="610"/>
      <c r="DC57" s="610"/>
      <c r="DD57" s="610"/>
      <c r="DE57" s="610"/>
      <c r="DF57" s="610"/>
      <c r="DG57" s="610"/>
      <c r="DH57" s="610"/>
      <c r="DI57" s="610"/>
      <c r="DJ57" s="610"/>
      <c r="DK57" s="610"/>
      <c r="DL57" s="610"/>
      <c r="DM57" s="610"/>
      <c r="DN57" s="610"/>
      <c r="DO57" s="610"/>
      <c r="DP57" s="610"/>
      <c r="DQ57" s="610"/>
      <c r="DR57" s="610"/>
      <c r="DS57" s="610"/>
      <c r="DT57" s="610"/>
      <c r="DU57" s="610"/>
      <c r="DV57" s="610"/>
      <c r="DW57" s="610"/>
      <c r="DX57" s="610"/>
      <c r="DY57" s="610"/>
      <c r="DZ57" s="610"/>
      <c r="EA57" s="610"/>
      <c r="EB57" s="610"/>
      <c r="EC57" s="610"/>
      <c r="ED57" s="610"/>
      <c r="EE57" s="610"/>
      <c r="EF57" s="610"/>
      <c r="EG57" s="610"/>
      <c r="EH57" s="610"/>
      <c r="EI57" s="610"/>
      <c r="EJ57" s="610"/>
      <c r="EK57" s="610"/>
      <c r="EL57" s="610"/>
      <c r="EM57" s="610"/>
      <c r="EN57" s="610"/>
      <c r="EO57" s="610"/>
      <c r="EP57" s="610"/>
      <c r="EQ57" s="610"/>
      <c r="ER57" s="610"/>
      <c r="ES57" s="610"/>
      <c r="ET57" s="610"/>
      <c r="EU57" s="610"/>
      <c r="EV57" s="610"/>
      <c r="EW57" s="610"/>
      <c r="EX57" s="610"/>
      <c r="EY57" s="610"/>
      <c r="EZ57" s="610"/>
      <c r="FA57" s="610"/>
      <c r="FB57" s="610"/>
      <c r="FC57" s="610"/>
      <c r="FD57" s="610"/>
      <c r="FE57" s="610"/>
      <c r="FF57" s="610"/>
      <c r="FG57" s="610"/>
      <c r="FH57" s="610"/>
      <c r="FI57" s="610"/>
      <c r="FJ57" s="610"/>
      <c r="FK57" s="610"/>
      <c r="FL57" s="610"/>
      <c r="FM57" s="610"/>
      <c r="FN57" s="610"/>
      <c r="FO57" s="610"/>
      <c r="FP57" s="610"/>
      <c r="FQ57" s="610"/>
      <c r="FR57" s="610"/>
      <c r="FS57" s="610"/>
      <c r="FT57" s="610"/>
      <c r="FU57" s="610"/>
      <c r="FV57" s="610"/>
      <c r="FW57" s="610"/>
      <c r="FX57" s="610"/>
      <c r="FY57" s="610"/>
      <c r="FZ57" s="610"/>
      <c r="GA57" s="610"/>
      <c r="GB57" s="610"/>
      <c r="GC57" s="610"/>
      <c r="GD57" s="610"/>
      <c r="GE57" s="610"/>
      <c r="GF57" s="610"/>
      <c r="GG57" s="610"/>
      <c r="GH57" s="610"/>
      <c r="GI57" s="610"/>
      <c r="GJ57" s="610"/>
      <c r="GK57" s="610"/>
      <c r="GL57" s="610"/>
      <c r="GM57" s="610"/>
      <c r="GN57" s="610"/>
      <c r="GO57" s="610"/>
      <c r="GP57" s="610"/>
      <c r="GQ57" s="610"/>
      <c r="GR57" s="610"/>
      <c r="GS57" s="610"/>
      <c r="GT57" s="610"/>
      <c r="GU57" s="610"/>
      <c r="GV57" s="610"/>
      <c r="GW57" s="610"/>
      <c r="GX57" s="610"/>
      <c r="GY57" s="610"/>
      <c r="GZ57" s="610"/>
      <c r="HA57" s="610"/>
      <c r="HB57" s="610"/>
      <c r="HC57" s="610"/>
      <c r="HD57" s="610"/>
      <c r="HE57" s="610"/>
      <c r="HF57" s="610"/>
      <c r="HG57" s="610"/>
      <c r="HH57" s="610"/>
      <c r="HI57" s="610"/>
      <c r="HJ57" s="610"/>
      <c r="HK57" s="610"/>
      <c r="HL57" s="610"/>
      <c r="HM57" s="610"/>
      <c r="HN57" s="610"/>
      <c r="HO57" s="610"/>
      <c r="HP57" s="610"/>
      <c r="HQ57" s="610"/>
      <c r="HR57" s="610"/>
      <c r="HS57" s="610"/>
      <c r="HT57" s="610"/>
      <c r="HU57" s="610"/>
      <c r="HV57" s="610"/>
      <c r="HW57" s="610"/>
      <c r="HX57" s="610"/>
      <c r="HY57" s="610"/>
      <c r="HZ57" s="610"/>
      <c r="IA57" s="610"/>
      <c r="IB57" s="610"/>
      <c r="IC57" s="610"/>
      <c r="ID57" s="610"/>
      <c r="IE57" s="610"/>
      <c r="IF57" s="610"/>
      <c r="IG57" s="610"/>
      <c r="IH57" s="610"/>
      <c r="II57" s="610"/>
      <c r="IJ57" s="610"/>
      <c r="IK57" s="610"/>
      <c r="IL57" s="610"/>
      <c r="IM57" s="610"/>
      <c r="IN57" s="610"/>
      <c r="IO57" s="610"/>
      <c r="IP57" s="610"/>
      <c r="IQ57" s="610"/>
      <c r="IR57" s="610"/>
      <c r="IS57" s="610"/>
      <c r="IT57" s="610"/>
      <c r="IU57" s="610"/>
      <c r="IV57" s="610"/>
      <c r="IW57" s="610"/>
      <c r="IX57" s="610"/>
      <c r="IY57" s="610"/>
      <c r="IZ57" s="610"/>
      <c r="JA57" s="610"/>
      <c r="JB57" s="610"/>
      <c r="JC57" s="610"/>
      <c r="JD57" s="610"/>
      <c r="JE57" s="610"/>
      <c r="JF57" s="610"/>
      <c r="JG57" s="610"/>
      <c r="JH57" s="610"/>
      <c r="JI57" s="610"/>
      <c r="JJ57" s="610"/>
      <c r="JK57" s="610"/>
      <c r="JL57" s="610"/>
      <c r="JM57" s="610"/>
      <c r="JN57" s="610"/>
      <c r="JO57" s="610"/>
      <c r="JP57" s="610"/>
      <c r="JQ57" s="610"/>
      <c r="JR57" s="610"/>
      <c r="JS57" s="610"/>
      <c r="JT57" s="610"/>
      <c r="JU57" s="610"/>
      <c r="JV57" s="610"/>
      <c r="JW57" s="610"/>
      <c r="JX57" s="610"/>
      <c r="JY57" s="610"/>
      <c r="JZ57" s="610"/>
      <c r="KA57" s="610"/>
      <c r="KB57" s="610"/>
      <c r="KC57" s="610"/>
      <c r="KD57" s="610"/>
      <c r="KE57" s="610"/>
      <c r="KF57" s="610"/>
      <c r="KG57" s="610"/>
      <c r="KH57" s="610"/>
      <c r="KI57" s="610"/>
      <c r="KJ57" s="610"/>
      <c r="KK57" s="610"/>
      <c r="KL57" s="610"/>
      <c r="KM57" s="610"/>
      <c r="KN57" s="610"/>
      <c r="KO57" s="610"/>
      <c r="KP57" s="610"/>
      <c r="KQ57" s="610"/>
      <c r="KR57" s="610"/>
      <c r="KS57" s="610"/>
      <c r="KT57" s="610"/>
      <c r="KU57" s="610"/>
      <c r="KV57" s="610"/>
      <c r="KW57" s="610"/>
      <c r="KX57" s="610"/>
      <c r="KY57" s="610"/>
      <c r="KZ57" s="610"/>
      <c r="LA57" s="610"/>
      <c r="LB57" s="610"/>
      <c r="LC57" s="610"/>
      <c r="LD57" s="610"/>
      <c r="LE57" s="610"/>
      <c r="LF57" s="610"/>
      <c r="LG57" s="610"/>
      <c r="LH57" s="610"/>
      <c r="LI57" s="610"/>
      <c r="LJ57" s="610"/>
      <c r="LK57" s="610"/>
      <c r="LL57" s="610"/>
      <c r="LM57" s="610"/>
      <c r="LN57" s="610"/>
      <c r="LO57" s="610"/>
      <c r="LP57" s="610"/>
      <c r="LQ57" s="610"/>
      <c r="LR57" s="610"/>
      <c r="LS57" s="610"/>
      <c r="LT57" s="610"/>
      <c r="LU57" s="610"/>
      <c r="LV57" s="610"/>
      <c r="LW57" s="610"/>
      <c r="LX57" s="610"/>
      <c r="LY57" s="610"/>
      <c r="LZ57" s="610"/>
      <c r="MA57" s="610"/>
      <c r="MB57" s="610"/>
      <c r="MC57" s="610"/>
      <c r="MD57" s="610"/>
      <c r="ME57" s="610"/>
      <c r="MF57" s="610"/>
      <c r="MG57" s="610"/>
      <c r="MH57" s="610"/>
      <c r="MI57" s="610"/>
      <c r="MJ57" s="610"/>
      <c r="MK57" s="610"/>
      <c r="ML57" s="610"/>
      <c r="MM57" s="610"/>
      <c r="MN57" s="610"/>
      <c r="MO57" s="610"/>
      <c r="MP57" s="610"/>
      <c r="MQ57" s="610"/>
      <c r="MR57" s="610"/>
      <c r="MS57" s="610"/>
      <c r="MT57" s="610"/>
      <c r="MU57" s="610"/>
      <c r="MV57" s="610"/>
      <c r="MW57" s="610"/>
      <c r="MX57" s="610"/>
      <c r="MY57" s="610"/>
      <c r="MZ57" s="610"/>
      <c r="NA57" s="610"/>
      <c r="NB57" s="610"/>
      <c r="NC57" s="610"/>
      <c r="ND57" s="610"/>
      <c r="NE57" s="610"/>
      <c r="NF57" s="610"/>
      <c r="NG57" s="610"/>
      <c r="NH57" s="610"/>
      <c r="NI57" s="610"/>
      <c r="NJ57" s="610"/>
      <c r="NK57" s="610"/>
      <c r="NL57" s="610"/>
      <c r="NM57" s="610"/>
      <c r="NN57" s="610"/>
      <c r="NO57" s="610"/>
      <c r="NP57" s="610"/>
      <c r="NQ57" s="610"/>
      <c r="NR57" s="610"/>
      <c r="NS57" s="610"/>
      <c r="NT57" s="610"/>
      <c r="NU57" s="610"/>
      <c r="NV57" s="610"/>
      <c r="NW57" s="610"/>
      <c r="NX57" s="610"/>
      <c r="NY57" s="610"/>
      <c r="NZ57" s="610"/>
      <c r="OA57" s="610"/>
      <c r="OB57" s="610"/>
      <c r="OC57" s="610"/>
      <c r="OD57" s="610"/>
      <c r="OE57" s="610"/>
      <c r="OF57" s="610"/>
      <c r="OG57" s="610"/>
      <c r="OH57" s="610"/>
      <c r="OI57" s="610"/>
      <c r="OJ57" s="610"/>
      <c r="OK57" s="610"/>
      <c r="OL57" s="610"/>
      <c r="OM57" s="610"/>
      <c r="ON57" s="610"/>
      <c r="OO57" s="610"/>
      <c r="OP57" s="610"/>
      <c r="OQ57" s="610"/>
      <c r="OR57" s="610"/>
      <c r="OS57" s="610"/>
      <c r="OT57" s="610"/>
      <c r="OU57" s="610"/>
      <c r="OV57" s="610"/>
      <c r="OW57" s="610"/>
      <c r="OX57" s="610"/>
      <c r="OY57" s="610"/>
      <c r="OZ57" s="610"/>
      <c r="PA57" s="610"/>
      <c r="PB57" s="610"/>
      <c r="PC57" s="610"/>
      <c r="PD57" s="610"/>
      <c r="PE57" s="610"/>
      <c r="PF57" s="610"/>
      <c r="PG57" s="610"/>
      <c r="PH57" s="610"/>
      <c r="PI57" s="610"/>
      <c r="PJ57" s="610"/>
      <c r="PK57" s="610"/>
      <c r="PL57" s="610"/>
      <c r="PM57" s="610"/>
      <c r="PN57" s="610"/>
      <c r="PO57" s="610"/>
      <c r="PP57" s="610"/>
      <c r="PQ57" s="610"/>
      <c r="PR57" s="610"/>
      <c r="PS57" s="610"/>
      <c r="PT57" s="610"/>
      <c r="PU57" s="610"/>
      <c r="PV57" s="610"/>
      <c r="PW57" s="610"/>
      <c r="PX57" s="610"/>
      <c r="PY57" s="610"/>
      <c r="PZ57" s="610"/>
      <c r="QA57" s="610"/>
      <c r="QB57" s="610"/>
      <c r="QC57" s="610"/>
      <c r="QD57" s="610"/>
      <c r="QE57" s="610"/>
      <c r="QF57" s="610"/>
      <c r="QG57" s="610"/>
      <c r="QH57" s="610"/>
      <c r="QI57" s="610"/>
      <c r="QJ57" s="610"/>
      <c r="QK57" s="610"/>
      <c r="QL57" s="610"/>
      <c r="QM57" s="610"/>
      <c r="QN57" s="610"/>
      <c r="QO57" s="610"/>
      <c r="QP57" s="610"/>
      <c r="QQ57" s="610"/>
      <c r="QR57" s="610"/>
      <c r="QS57" s="610"/>
      <c r="QT57" s="610"/>
      <c r="QU57" s="610"/>
      <c r="QV57" s="610"/>
      <c r="QW57" s="610"/>
      <c r="QX57" s="610"/>
      <c r="QY57" s="610"/>
      <c r="QZ57" s="610"/>
      <c r="RA57" s="610"/>
      <c r="RB57" s="610"/>
      <c r="RC57" s="610"/>
      <c r="RD57" s="610"/>
      <c r="RE57" s="610"/>
      <c r="RF57" s="610"/>
      <c r="RG57" s="610"/>
      <c r="RH57" s="610"/>
    </row>
    <row r="58" spans="2:476" ht="19.5" customHeight="1">
      <c r="B58" s="558">
        <v>45835</v>
      </c>
      <c r="C58" s="547">
        <v>16</v>
      </c>
      <c r="D58" s="548">
        <v>0</v>
      </c>
      <c r="E58" s="548">
        <v>2</v>
      </c>
      <c r="F58" s="549">
        <f t="shared" si="4"/>
        <v>8.1490725278854401E-10</v>
      </c>
      <c r="G58" s="550"/>
      <c r="H58" s="572"/>
      <c r="I58" s="592"/>
      <c r="J58" s="569">
        <v>13.9999999991851</v>
      </c>
      <c r="K58" s="551"/>
      <c r="L58" s="586"/>
      <c r="M58" s="569"/>
      <c r="N58" s="572"/>
      <c r="O58" s="572"/>
      <c r="P58" s="551"/>
      <c r="Q58" s="551"/>
      <c r="R58" s="551"/>
      <c r="S58" s="551"/>
      <c r="T58" s="551"/>
      <c r="U58" s="551"/>
      <c r="V58" s="551"/>
      <c r="W58" s="551"/>
      <c r="X58" s="569"/>
      <c r="Y58" s="627">
        <v>1</v>
      </c>
      <c r="Z58" s="607">
        <f t="shared" si="5"/>
        <v>0</v>
      </c>
      <c r="AA58" s="607">
        <f t="shared" si="6"/>
        <v>13.9999999991851</v>
      </c>
      <c r="AB58" s="608">
        <f t="shared" si="7"/>
        <v>1</v>
      </c>
      <c r="AC58" s="621" t="s">
        <v>53</v>
      </c>
      <c r="AD58" s="605"/>
      <c r="AE58" s="605"/>
      <c r="AF58" s="605"/>
      <c r="AG58" s="605"/>
      <c r="AH58" s="605"/>
      <c r="AI58" s="605"/>
      <c r="AJ58" s="605"/>
      <c r="AK58" s="605"/>
      <c r="AL58" s="605"/>
      <c r="AM58" s="605"/>
      <c r="AN58" s="605"/>
      <c r="AO58" s="605"/>
      <c r="AP58" s="605"/>
      <c r="AQ58" s="605"/>
      <c r="AR58" s="605"/>
      <c r="AS58" s="605"/>
      <c r="AT58" s="605"/>
      <c r="AU58" s="605"/>
      <c r="AV58" s="605"/>
      <c r="AW58" s="605"/>
      <c r="AX58" s="605"/>
      <c r="AY58" s="605"/>
      <c r="AZ58" s="605"/>
      <c r="BA58" s="605"/>
      <c r="BB58" s="605"/>
      <c r="BC58" s="605"/>
      <c r="BD58" s="605"/>
      <c r="BE58" s="605"/>
      <c r="BF58" s="605"/>
      <c r="BG58" s="605"/>
      <c r="BH58" s="605"/>
      <c r="BI58" s="605"/>
      <c r="BJ58" s="605"/>
      <c r="BK58" s="605"/>
      <c r="BL58" s="605"/>
      <c r="BM58" s="605"/>
      <c r="BN58" s="605"/>
      <c r="BO58" s="605"/>
      <c r="BP58" s="605"/>
      <c r="BQ58" s="605"/>
      <c r="BR58" s="605"/>
      <c r="BS58" s="605"/>
      <c r="BT58" s="605"/>
      <c r="BU58" s="605"/>
      <c r="BV58" s="605"/>
      <c r="BW58" s="605"/>
      <c r="BX58" s="605"/>
      <c r="BY58" s="605"/>
      <c r="BZ58" s="605"/>
      <c r="CA58" s="605"/>
      <c r="CB58" s="605"/>
      <c r="CC58" s="605"/>
      <c r="CD58" s="605"/>
      <c r="CE58" s="605"/>
      <c r="CF58" s="605"/>
      <c r="CG58" s="605"/>
      <c r="CH58" s="605"/>
      <c r="CI58" s="605"/>
      <c r="CJ58" s="605"/>
      <c r="CK58" s="605"/>
      <c r="CL58" s="605"/>
      <c r="CM58" s="605"/>
      <c r="CN58" s="605"/>
      <c r="CO58" s="605"/>
      <c r="CP58" s="605"/>
      <c r="CQ58" s="605"/>
      <c r="CR58" s="605"/>
      <c r="CS58" s="605"/>
      <c r="CT58" s="605"/>
      <c r="CU58" s="605"/>
      <c r="CV58" s="605"/>
      <c r="CW58" s="605"/>
      <c r="CX58" s="605"/>
      <c r="CY58" s="605"/>
      <c r="CZ58" s="605"/>
      <c r="DA58" s="605"/>
      <c r="DB58" s="605"/>
      <c r="DC58" s="605"/>
      <c r="DD58" s="605"/>
      <c r="DE58" s="605"/>
      <c r="DF58" s="605"/>
      <c r="DG58" s="605"/>
      <c r="DH58" s="605"/>
      <c r="DI58" s="605"/>
      <c r="DJ58" s="605"/>
      <c r="DK58" s="605"/>
      <c r="DL58" s="605"/>
      <c r="DM58" s="605"/>
      <c r="DN58" s="605"/>
      <c r="DO58" s="605"/>
      <c r="DP58" s="605"/>
      <c r="DQ58" s="605"/>
      <c r="DR58" s="605"/>
      <c r="DS58" s="605"/>
      <c r="DT58" s="605"/>
      <c r="DU58" s="605"/>
      <c r="DV58" s="605"/>
      <c r="DW58" s="605"/>
      <c r="DX58" s="605"/>
      <c r="DY58" s="605"/>
      <c r="DZ58" s="605"/>
      <c r="EA58" s="605"/>
      <c r="EB58" s="605"/>
      <c r="EC58" s="605"/>
      <c r="ED58" s="605"/>
      <c r="EE58" s="605"/>
      <c r="EF58" s="605"/>
      <c r="EG58" s="605"/>
      <c r="EH58" s="605"/>
      <c r="EI58" s="605"/>
      <c r="EJ58" s="605"/>
      <c r="EK58" s="605"/>
      <c r="EL58" s="605"/>
      <c r="EM58" s="605"/>
      <c r="EN58" s="605"/>
      <c r="EO58" s="605"/>
      <c r="EP58" s="605"/>
      <c r="EQ58" s="605"/>
      <c r="ER58" s="605"/>
      <c r="ES58" s="605"/>
      <c r="ET58" s="605"/>
      <c r="EU58" s="605"/>
      <c r="EV58" s="605"/>
      <c r="EW58" s="605"/>
      <c r="EX58" s="605"/>
      <c r="EY58" s="605"/>
      <c r="EZ58" s="605"/>
      <c r="FA58" s="605"/>
      <c r="FB58" s="605"/>
      <c r="FC58" s="605"/>
      <c r="FD58" s="605"/>
      <c r="FE58" s="605"/>
      <c r="FF58" s="605"/>
      <c r="FG58" s="605"/>
      <c r="FH58" s="605"/>
      <c r="FI58" s="605"/>
      <c r="FJ58" s="605"/>
      <c r="FK58" s="605"/>
      <c r="FL58" s="605"/>
      <c r="FM58" s="605"/>
      <c r="FN58" s="605"/>
      <c r="FO58" s="605"/>
      <c r="FP58" s="605"/>
      <c r="FQ58" s="605"/>
      <c r="FR58" s="605"/>
      <c r="FS58" s="605"/>
      <c r="FT58" s="605"/>
      <c r="FU58" s="605"/>
      <c r="FV58" s="605"/>
      <c r="FW58" s="605"/>
      <c r="FX58" s="605"/>
      <c r="FY58" s="605"/>
      <c r="FZ58" s="605"/>
      <c r="GA58" s="605"/>
      <c r="GB58" s="605"/>
      <c r="GC58" s="605"/>
      <c r="GD58" s="605"/>
      <c r="GE58" s="605"/>
      <c r="GF58" s="605"/>
      <c r="GG58" s="605"/>
      <c r="GH58" s="605"/>
      <c r="GI58" s="605"/>
      <c r="GJ58" s="605"/>
      <c r="GK58" s="605"/>
      <c r="GL58" s="605"/>
      <c r="GM58" s="605"/>
      <c r="GN58" s="605"/>
      <c r="GO58" s="605"/>
      <c r="GP58" s="605"/>
      <c r="GQ58" s="605"/>
      <c r="GR58" s="605"/>
      <c r="GS58" s="605"/>
      <c r="GT58" s="605"/>
      <c r="GU58" s="605"/>
      <c r="GV58" s="605"/>
      <c r="GW58" s="605"/>
      <c r="GX58" s="605"/>
      <c r="GY58" s="605"/>
      <c r="GZ58" s="605"/>
      <c r="HA58" s="605"/>
      <c r="HB58" s="605"/>
      <c r="HC58" s="605"/>
      <c r="HD58" s="605"/>
      <c r="HE58" s="605"/>
      <c r="HF58" s="605"/>
      <c r="HG58" s="605"/>
      <c r="HH58" s="605"/>
      <c r="HI58" s="605"/>
      <c r="HJ58" s="605"/>
      <c r="HK58" s="605"/>
      <c r="HL58" s="605"/>
      <c r="HM58" s="605"/>
      <c r="HN58" s="605"/>
      <c r="HO58" s="605"/>
      <c r="HP58" s="605"/>
      <c r="HQ58" s="605"/>
      <c r="HR58" s="605"/>
      <c r="HS58" s="605"/>
      <c r="HT58" s="605"/>
      <c r="HU58" s="605"/>
      <c r="HV58" s="605"/>
      <c r="HW58" s="605"/>
      <c r="HX58" s="605"/>
      <c r="HY58" s="605"/>
      <c r="HZ58" s="605"/>
      <c r="IA58" s="605"/>
      <c r="IB58" s="605"/>
      <c r="IC58" s="605"/>
      <c r="ID58" s="605"/>
      <c r="IE58" s="605"/>
      <c r="IF58" s="605"/>
      <c r="IG58" s="605"/>
      <c r="IH58" s="605"/>
      <c r="II58" s="605"/>
      <c r="IJ58" s="605"/>
      <c r="IK58" s="605"/>
      <c r="IL58" s="605"/>
      <c r="IM58" s="605"/>
      <c r="IN58" s="605"/>
      <c r="IO58" s="605"/>
      <c r="IP58" s="605"/>
      <c r="IQ58" s="605"/>
      <c r="IR58" s="605"/>
      <c r="IS58" s="605"/>
      <c r="IT58" s="605"/>
      <c r="IU58" s="605"/>
      <c r="IV58" s="605"/>
      <c r="IW58" s="605"/>
      <c r="IX58" s="605"/>
      <c r="IY58" s="605"/>
      <c r="IZ58" s="605"/>
      <c r="JA58" s="605"/>
      <c r="JB58" s="605"/>
      <c r="JC58" s="605"/>
      <c r="JD58" s="605"/>
      <c r="JE58" s="605"/>
      <c r="JF58" s="605"/>
      <c r="JG58" s="605"/>
      <c r="JH58" s="605"/>
      <c r="JI58" s="605"/>
      <c r="JJ58" s="605"/>
      <c r="JK58" s="605"/>
      <c r="JL58" s="605"/>
      <c r="JM58" s="605"/>
      <c r="JN58" s="605"/>
      <c r="JO58" s="605"/>
      <c r="JP58" s="605"/>
      <c r="JQ58" s="605"/>
      <c r="JR58" s="605"/>
      <c r="JS58" s="605"/>
      <c r="JT58" s="605"/>
      <c r="JU58" s="605"/>
      <c r="JV58" s="605"/>
      <c r="JW58" s="605"/>
      <c r="JX58" s="605"/>
      <c r="JY58" s="605"/>
      <c r="JZ58" s="605"/>
      <c r="KA58" s="605"/>
      <c r="KB58" s="605"/>
      <c r="KC58" s="605"/>
      <c r="KD58" s="605"/>
      <c r="KE58" s="605"/>
      <c r="KF58" s="605"/>
      <c r="KG58" s="605"/>
      <c r="KH58" s="605"/>
      <c r="KI58" s="605"/>
      <c r="KJ58" s="605"/>
      <c r="KK58" s="605"/>
      <c r="KL58" s="605"/>
      <c r="KM58" s="605"/>
      <c r="KN58" s="605"/>
      <c r="KO58" s="605"/>
      <c r="KP58" s="605"/>
      <c r="KQ58" s="605"/>
      <c r="KR58" s="605"/>
      <c r="KS58" s="605"/>
      <c r="KT58" s="605"/>
      <c r="KU58" s="605"/>
      <c r="KV58" s="605"/>
      <c r="KW58" s="605"/>
      <c r="KX58" s="605"/>
      <c r="KY58" s="605"/>
      <c r="KZ58" s="605"/>
      <c r="LA58" s="605"/>
      <c r="LB58" s="605"/>
      <c r="LC58" s="605"/>
      <c r="LD58" s="605"/>
      <c r="LE58" s="605"/>
      <c r="LF58" s="605"/>
      <c r="LG58" s="605"/>
      <c r="LH58" s="605"/>
      <c r="LI58" s="605"/>
      <c r="LJ58" s="605"/>
      <c r="LK58" s="605"/>
      <c r="LL58" s="605"/>
      <c r="LM58" s="605"/>
      <c r="LN58" s="605"/>
      <c r="LO58" s="605"/>
      <c r="LP58" s="605"/>
      <c r="LQ58" s="605"/>
      <c r="LR58" s="605"/>
      <c r="LS58" s="605"/>
      <c r="LT58" s="605"/>
      <c r="LU58" s="605"/>
      <c r="LV58" s="605"/>
      <c r="LW58" s="605"/>
      <c r="LX58" s="605"/>
      <c r="LY58" s="605"/>
      <c r="LZ58" s="605"/>
      <c r="MA58" s="605"/>
      <c r="MB58" s="605"/>
      <c r="MC58" s="605"/>
      <c r="MD58" s="605"/>
      <c r="ME58" s="605"/>
      <c r="MF58" s="605"/>
      <c r="MG58" s="605"/>
      <c r="MH58" s="605"/>
      <c r="MI58" s="605"/>
      <c r="MJ58" s="605"/>
      <c r="MK58" s="605"/>
      <c r="ML58" s="605"/>
      <c r="MM58" s="605"/>
      <c r="MN58" s="605"/>
      <c r="MO58" s="605"/>
      <c r="MP58" s="605"/>
      <c r="MQ58" s="605"/>
      <c r="MR58" s="605"/>
      <c r="MS58" s="605"/>
      <c r="MT58" s="605"/>
      <c r="MU58" s="605"/>
      <c r="MV58" s="605"/>
      <c r="MW58" s="605"/>
      <c r="MX58" s="605"/>
      <c r="MY58" s="605"/>
      <c r="MZ58" s="605"/>
      <c r="NA58" s="605"/>
      <c r="NB58" s="605"/>
      <c r="NC58" s="605"/>
      <c r="ND58" s="605"/>
      <c r="NE58" s="605"/>
      <c r="NF58" s="605"/>
      <c r="NG58" s="605"/>
      <c r="NH58" s="605"/>
      <c r="NI58" s="605"/>
      <c r="NJ58" s="605"/>
      <c r="NK58" s="605"/>
      <c r="NL58" s="605"/>
      <c r="NM58" s="605"/>
      <c r="NN58" s="605"/>
      <c r="NO58" s="605"/>
      <c r="NP58" s="605"/>
      <c r="NQ58" s="605"/>
      <c r="NR58" s="605"/>
      <c r="NS58" s="605"/>
      <c r="NT58" s="605"/>
      <c r="NU58" s="605"/>
      <c r="NV58" s="605"/>
      <c r="NW58" s="605"/>
      <c r="NX58" s="605"/>
      <c r="NY58" s="605"/>
      <c r="NZ58" s="605"/>
      <c r="OA58" s="605"/>
      <c r="OB58" s="605"/>
      <c r="OC58" s="605"/>
      <c r="OD58" s="605"/>
      <c r="OE58" s="605"/>
      <c r="OF58" s="605"/>
      <c r="OG58" s="605"/>
      <c r="OH58" s="605"/>
      <c r="OI58" s="605"/>
      <c r="OJ58" s="605"/>
      <c r="OK58" s="605"/>
      <c r="OL58" s="605"/>
      <c r="OM58" s="605"/>
      <c r="ON58" s="605"/>
      <c r="OO58" s="605"/>
      <c r="OP58" s="605"/>
      <c r="OQ58" s="605"/>
      <c r="OR58" s="605"/>
      <c r="OS58" s="605"/>
      <c r="OT58" s="605"/>
      <c r="OU58" s="605"/>
      <c r="OV58" s="605"/>
      <c r="OW58" s="605"/>
      <c r="OX58" s="605"/>
      <c r="OY58" s="605"/>
      <c r="OZ58" s="605"/>
      <c r="PA58" s="605"/>
      <c r="PB58" s="605"/>
      <c r="PC58" s="605"/>
      <c r="PD58" s="605"/>
      <c r="PE58" s="605"/>
      <c r="PF58" s="605"/>
      <c r="PG58" s="605"/>
      <c r="PH58" s="605"/>
      <c r="PI58" s="605"/>
      <c r="PJ58" s="605"/>
      <c r="PK58" s="605"/>
      <c r="PL58" s="605"/>
      <c r="PM58" s="605"/>
      <c r="PN58" s="605"/>
      <c r="PO58" s="605"/>
      <c r="PP58" s="605"/>
      <c r="PQ58" s="605"/>
      <c r="PR58" s="605"/>
      <c r="PS58" s="605"/>
      <c r="PT58" s="605"/>
      <c r="PU58" s="605"/>
      <c r="PV58" s="605"/>
      <c r="PW58" s="605"/>
      <c r="PX58" s="605"/>
      <c r="PY58" s="605"/>
      <c r="PZ58" s="605"/>
      <c r="QA58" s="605"/>
      <c r="QB58" s="605"/>
      <c r="QC58" s="605"/>
      <c r="QD58" s="605"/>
      <c r="QE58" s="605"/>
      <c r="QF58" s="605"/>
      <c r="QG58" s="605"/>
      <c r="QH58" s="605"/>
      <c r="QI58" s="605"/>
      <c r="QJ58" s="605"/>
      <c r="QK58" s="605"/>
      <c r="QL58" s="605"/>
      <c r="QM58" s="605"/>
      <c r="QN58" s="605"/>
      <c r="QO58" s="605"/>
      <c r="QP58" s="605"/>
      <c r="QQ58" s="605"/>
      <c r="QR58" s="605"/>
      <c r="QS58" s="605"/>
      <c r="QT58" s="605"/>
      <c r="QU58" s="605"/>
      <c r="QV58" s="605"/>
      <c r="QW58" s="605"/>
      <c r="QX58" s="605"/>
      <c r="QY58" s="605"/>
      <c r="QZ58" s="605"/>
      <c r="RA58" s="605"/>
      <c r="RB58" s="605"/>
      <c r="RC58" s="605"/>
      <c r="RD58" s="605"/>
      <c r="RE58" s="605"/>
      <c r="RF58" s="605"/>
      <c r="RG58" s="605"/>
      <c r="RH58" s="605"/>
    </row>
    <row r="59" spans="2:476" ht="20.100000000000001" customHeight="1">
      <c r="B59" s="558"/>
      <c r="C59" s="547">
        <v>16</v>
      </c>
      <c r="D59" s="548">
        <v>0</v>
      </c>
      <c r="E59" s="548">
        <v>2</v>
      </c>
      <c r="F59" s="549">
        <f t="shared" si="4"/>
        <v>13.249999996856801</v>
      </c>
      <c r="G59" s="550"/>
      <c r="H59" s="569"/>
      <c r="I59" s="592"/>
      <c r="J59" s="569"/>
      <c r="K59" s="587"/>
      <c r="L59" s="551"/>
      <c r="M59" s="569"/>
      <c r="N59" s="569">
        <v>0.25000000238651399</v>
      </c>
      <c r="O59" s="572">
        <v>0.50000000075670004</v>
      </c>
      <c r="P59" s="551"/>
      <c r="Q59" s="551"/>
      <c r="R59" s="551"/>
      <c r="S59" s="551"/>
      <c r="T59" s="551"/>
      <c r="U59" s="551"/>
      <c r="V59" s="551"/>
      <c r="W59" s="572"/>
      <c r="X59" s="551"/>
      <c r="Y59" s="627">
        <v>2</v>
      </c>
      <c r="Z59" s="607">
        <f t="shared" si="5"/>
        <v>0</v>
      </c>
      <c r="AA59" s="607">
        <f t="shared" si="6"/>
        <v>0.75000000314321402</v>
      </c>
      <c r="AB59" s="608">
        <f t="shared" si="7"/>
        <v>1</v>
      </c>
      <c r="AC59" s="616"/>
      <c r="AD59" s="605"/>
      <c r="AE59" s="605"/>
      <c r="AF59" s="605"/>
      <c r="AG59" s="605"/>
      <c r="AH59" s="605"/>
      <c r="AI59" s="605"/>
      <c r="AJ59" s="605"/>
      <c r="AK59" s="605"/>
      <c r="AL59" s="605"/>
      <c r="AM59" s="605"/>
      <c r="AN59" s="605"/>
      <c r="AO59" s="605"/>
      <c r="AP59" s="605"/>
      <c r="AQ59" s="605"/>
      <c r="AR59" s="605"/>
      <c r="AS59" s="605"/>
      <c r="AT59" s="605"/>
      <c r="AU59" s="605"/>
      <c r="AV59" s="605"/>
      <c r="AW59" s="605"/>
      <c r="AX59" s="605"/>
      <c r="AY59" s="605"/>
      <c r="AZ59" s="605"/>
      <c r="BA59" s="605"/>
      <c r="BB59" s="605"/>
      <c r="BC59" s="605"/>
      <c r="BD59" s="605"/>
      <c r="BE59" s="605"/>
      <c r="BF59" s="605"/>
      <c r="BG59" s="605"/>
      <c r="BH59" s="605"/>
      <c r="BI59" s="605"/>
      <c r="BJ59" s="605"/>
      <c r="BK59" s="605"/>
      <c r="BL59" s="605"/>
      <c r="BM59" s="605"/>
      <c r="BN59" s="605"/>
      <c r="BO59" s="605"/>
      <c r="BP59" s="605"/>
      <c r="BQ59" s="605"/>
      <c r="BR59" s="605"/>
      <c r="BS59" s="605"/>
      <c r="BT59" s="605"/>
      <c r="BU59" s="605"/>
      <c r="BV59" s="605"/>
      <c r="BW59" s="605"/>
      <c r="BX59" s="605"/>
      <c r="BY59" s="605"/>
      <c r="BZ59" s="605"/>
      <c r="CA59" s="605"/>
      <c r="CB59" s="605"/>
      <c r="CC59" s="605"/>
      <c r="CD59" s="605"/>
      <c r="CE59" s="605"/>
      <c r="CF59" s="605"/>
      <c r="CG59" s="605"/>
      <c r="CH59" s="605"/>
      <c r="CI59" s="605"/>
      <c r="CJ59" s="605"/>
      <c r="CK59" s="605"/>
      <c r="CL59" s="605"/>
      <c r="CM59" s="605"/>
      <c r="CN59" s="605"/>
      <c r="CO59" s="605"/>
      <c r="CP59" s="605"/>
      <c r="CQ59" s="605"/>
      <c r="CR59" s="605"/>
      <c r="CS59" s="605"/>
      <c r="CT59" s="605"/>
      <c r="CU59" s="605"/>
      <c r="CV59" s="605"/>
      <c r="CW59" s="605"/>
      <c r="CX59" s="605"/>
      <c r="CY59" s="605"/>
      <c r="CZ59" s="605"/>
      <c r="DA59" s="605"/>
      <c r="DB59" s="605"/>
      <c r="DC59" s="605"/>
      <c r="DD59" s="605"/>
      <c r="DE59" s="605"/>
      <c r="DF59" s="605"/>
      <c r="DG59" s="605"/>
      <c r="DH59" s="605"/>
      <c r="DI59" s="605"/>
      <c r="DJ59" s="605"/>
      <c r="DK59" s="605"/>
      <c r="DL59" s="605"/>
      <c r="DM59" s="605"/>
      <c r="DN59" s="605"/>
      <c r="DO59" s="605"/>
      <c r="DP59" s="605"/>
      <c r="DQ59" s="605"/>
      <c r="DR59" s="605"/>
      <c r="DS59" s="605"/>
      <c r="DT59" s="605"/>
      <c r="DU59" s="605"/>
      <c r="DV59" s="605"/>
      <c r="DW59" s="605"/>
      <c r="DX59" s="605"/>
      <c r="DY59" s="605"/>
      <c r="DZ59" s="605"/>
      <c r="EA59" s="605"/>
      <c r="EB59" s="605"/>
      <c r="EC59" s="605"/>
      <c r="ED59" s="605"/>
      <c r="EE59" s="605"/>
      <c r="EF59" s="605"/>
      <c r="EG59" s="605"/>
      <c r="EH59" s="605"/>
      <c r="EI59" s="605"/>
      <c r="EJ59" s="605"/>
      <c r="EK59" s="605"/>
      <c r="EL59" s="605"/>
      <c r="EM59" s="605"/>
      <c r="EN59" s="605"/>
      <c r="EO59" s="605"/>
      <c r="EP59" s="605"/>
      <c r="EQ59" s="605"/>
      <c r="ER59" s="605"/>
      <c r="ES59" s="605"/>
      <c r="ET59" s="605"/>
      <c r="EU59" s="605"/>
      <c r="EV59" s="605"/>
      <c r="EW59" s="605"/>
      <c r="EX59" s="605"/>
      <c r="EY59" s="605"/>
      <c r="EZ59" s="605"/>
      <c r="FA59" s="605"/>
      <c r="FB59" s="605"/>
      <c r="FC59" s="605"/>
      <c r="FD59" s="605"/>
      <c r="FE59" s="605"/>
      <c r="FF59" s="605"/>
      <c r="FG59" s="605"/>
      <c r="FH59" s="605"/>
      <c r="FI59" s="605"/>
      <c r="FJ59" s="605"/>
      <c r="FK59" s="605"/>
      <c r="FL59" s="605"/>
      <c r="FM59" s="605"/>
      <c r="FN59" s="605"/>
      <c r="FO59" s="605"/>
      <c r="FP59" s="605"/>
      <c r="FQ59" s="605"/>
      <c r="FR59" s="605"/>
      <c r="FS59" s="605"/>
      <c r="FT59" s="605"/>
      <c r="FU59" s="605"/>
      <c r="FV59" s="605"/>
      <c r="FW59" s="605"/>
      <c r="FX59" s="605"/>
      <c r="FY59" s="605"/>
      <c r="FZ59" s="605"/>
      <c r="GA59" s="605"/>
      <c r="GB59" s="605"/>
      <c r="GC59" s="605"/>
      <c r="GD59" s="605"/>
      <c r="GE59" s="605"/>
      <c r="GF59" s="605"/>
      <c r="GG59" s="605"/>
      <c r="GH59" s="605"/>
      <c r="GI59" s="605"/>
      <c r="GJ59" s="605"/>
      <c r="GK59" s="605"/>
      <c r="GL59" s="605"/>
      <c r="GM59" s="605"/>
      <c r="GN59" s="605"/>
      <c r="GO59" s="605"/>
      <c r="GP59" s="605"/>
      <c r="GQ59" s="605"/>
      <c r="GR59" s="605"/>
      <c r="GS59" s="605"/>
      <c r="GT59" s="605"/>
      <c r="GU59" s="605"/>
      <c r="GV59" s="605"/>
      <c r="GW59" s="605"/>
      <c r="GX59" s="605"/>
      <c r="GY59" s="605"/>
      <c r="GZ59" s="605"/>
      <c r="HA59" s="605"/>
      <c r="HB59" s="605"/>
      <c r="HC59" s="605"/>
      <c r="HD59" s="605"/>
      <c r="HE59" s="605"/>
      <c r="HF59" s="605"/>
      <c r="HG59" s="605"/>
      <c r="HH59" s="605"/>
      <c r="HI59" s="605"/>
      <c r="HJ59" s="605"/>
      <c r="HK59" s="605"/>
      <c r="HL59" s="605"/>
      <c r="HM59" s="605"/>
      <c r="HN59" s="605"/>
      <c r="HO59" s="605"/>
      <c r="HP59" s="605"/>
      <c r="HQ59" s="605"/>
      <c r="HR59" s="605"/>
      <c r="HS59" s="605"/>
      <c r="HT59" s="605"/>
      <c r="HU59" s="605"/>
      <c r="HV59" s="605"/>
      <c r="HW59" s="605"/>
      <c r="HX59" s="605"/>
      <c r="HY59" s="605"/>
      <c r="HZ59" s="605"/>
      <c r="IA59" s="605"/>
      <c r="IB59" s="605"/>
      <c r="IC59" s="605"/>
      <c r="ID59" s="605"/>
      <c r="IE59" s="605"/>
      <c r="IF59" s="605"/>
      <c r="IG59" s="605"/>
      <c r="IH59" s="605"/>
      <c r="II59" s="605"/>
      <c r="IJ59" s="605"/>
      <c r="IK59" s="605"/>
      <c r="IL59" s="605"/>
      <c r="IM59" s="605"/>
      <c r="IN59" s="605"/>
      <c r="IO59" s="605"/>
      <c r="IP59" s="605"/>
      <c r="IQ59" s="605"/>
      <c r="IR59" s="605"/>
      <c r="IS59" s="605"/>
      <c r="IT59" s="605"/>
      <c r="IU59" s="605"/>
      <c r="IV59" s="605"/>
      <c r="IW59" s="605"/>
      <c r="IX59" s="605"/>
      <c r="IY59" s="605"/>
      <c r="IZ59" s="605"/>
      <c r="JA59" s="605"/>
      <c r="JB59" s="605"/>
      <c r="JC59" s="605"/>
      <c r="JD59" s="605"/>
      <c r="JE59" s="605"/>
      <c r="JF59" s="605"/>
      <c r="JG59" s="605"/>
      <c r="JH59" s="605"/>
      <c r="JI59" s="605"/>
      <c r="JJ59" s="605"/>
      <c r="JK59" s="605"/>
      <c r="JL59" s="605"/>
      <c r="JM59" s="605"/>
      <c r="JN59" s="605"/>
      <c r="JO59" s="605"/>
      <c r="JP59" s="605"/>
      <c r="JQ59" s="605"/>
      <c r="JR59" s="605"/>
      <c r="JS59" s="605"/>
      <c r="JT59" s="605"/>
      <c r="JU59" s="605"/>
      <c r="JV59" s="605"/>
      <c r="JW59" s="605"/>
      <c r="JX59" s="605"/>
      <c r="JY59" s="605"/>
      <c r="JZ59" s="605"/>
      <c r="KA59" s="605"/>
      <c r="KB59" s="605"/>
      <c r="KC59" s="605"/>
      <c r="KD59" s="605"/>
      <c r="KE59" s="605"/>
      <c r="KF59" s="605"/>
      <c r="KG59" s="605"/>
      <c r="KH59" s="605"/>
      <c r="KI59" s="605"/>
      <c r="KJ59" s="605"/>
      <c r="KK59" s="605"/>
      <c r="KL59" s="605"/>
      <c r="KM59" s="605"/>
      <c r="KN59" s="605"/>
      <c r="KO59" s="605"/>
      <c r="KP59" s="605"/>
      <c r="KQ59" s="605"/>
      <c r="KR59" s="605"/>
      <c r="KS59" s="605"/>
      <c r="KT59" s="605"/>
      <c r="KU59" s="605"/>
      <c r="KV59" s="605"/>
      <c r="KW59" s="605"/>
      <c r="KX59" s="605"/>
      <c r="KY59" s="605"/>
      <c r="KZ59" s="605"/>
      <c r="LA59" s="605"/>
      <c r="LB59" s="605"/>
      <c r="LC59" s="605"/>
      <c r="LD59" s="605"/>
      <c r="LE59" s="605"/>
      <c r="LF59" s="605"/>
      <c r="LG59" s="605"/>
      <c r="LH59" s="605"/>
      <c r="LI59" s="605"/>
      <c r="LJ59" s="605"/>
      <c r="LK59" s="605"/>
      <c r="LL59" s="605"/>
      <c r="LM59" s="605"/>
      <c r="LN59" s="605"/>
      <c r="LO59" s="605"/>
      <c r="LP59" s="605"/>
      <c r="LQ59" s="605"/>
      <c r="LR59" s="605"/>
      <c r="LS59" s="605"/>
      <c r="LT59" s="605"/>
      <c r="LU59" s="605"/>
      <c r="LV59" s="605"/>
      <c r="LW59" s="605"/>
      <c r="LX59" s="605"/>
      <c r="LY59" s="605"/>
      <c r="LZ59" s="605"/>
      <c r="MA59" s="605"/>
      <c r="MB59" s="605"/>
      <c r="MC59" s="605"/>
      <c r="MD59" s="605"/>
      <c r="ME59" s="605"/>
      <c r="MF59" s="605"/>
      <c r="MG59" s="605"/>
      <c r="MH59" s="605"/>
      <c r="MI59" s="605"/>
      <c r="MJ59" s="605"/>
      <c r="MK59" s="605"/>
      <c r="ML59" s="605"/>
      <c r="MM59" s="605"/>
      <c r="MN59" s="605"/>
      <c r="MO59" s="605"/>
      <c r="MP59" s="605"/>
      <c r="MQ59" s="605"/>
      <c r="MR59" s="605"/>
      <c r="MS59" s="605"/>
      <c r="MT59" s="605"/>
      <c r="MU59" s="605"/>
      <c r="MV59" s="605"/>
      <c r="MW59" s="605"/>
      <c r="MX59" s="605"/>
      <c r="MY59" s="605"/>
      <c r="MZ59" s="605"/>
      <c r="NA59" s="605"/>
      <c r="NB59" s="605"/>
      <c r="NC59" s="605"/>
      <c r="ND59" s="605"/>
      <c r="NE59" s="605"/>
      <c r="NF59" s="605"/>
      <c r="NG59" s="605"/>
      <c r="NH59" s="605"/>
      <c r="NI59" s="605"/>
      <c r="NJ59" s="605"/>
      <c r="NK59" s="605"/>
      <c r="NL59" s="605"/>
      <c r="NM59" s="605"/>
      <c r="NN59" s="605"/>
      <c r="NO59" s="605"/>
      <c r="NP59" s="605"/>
      <c r="NQ59" s="605"/>
      <c r="NR59" s="605"/>
      <c r="NS59" s="605"/>
      <c r="NT59" s="605"/>
      <c r="NU59" s="605"/>
      <c r="NV59" s="605"/>
      <c r="NW59" s="605"/>
      <c r="NX59" s="605"/>
      <c r="NY59" s="605"/>
      <c r="NZ59" s="605"/>
      <c r="OA59" s="605"/>
      <c r="OB59" s="605"/>
      <c r="OC59" s="605"/>
      <c r="OD59" s="605"/>
      <c r="OE59" s="605"/>
      <c r="OF59" s="605"/>
      <c r="OG59" s="605"/>
      <c r="OH59" s="605"/>
      <c r="OI59" s="605"/>
      <c r="OJ59" s="605"/>
      <c r="OK59" s="605"/>
      <c r="OL59" s="605"/>
      <c r="OM59" s="605"/>
      <c r="ON59" s="605"/>
      <c r="OO59" s="605"/>
      <c r="OP59" s="605"/>
      <c r="OQ59" s="605"/>
      <c r="OR59" s="605"/>
      <c r="OS59" s="605"/>
      <c r="OT59" s="605"/>
      <c r="OU59" s="605"/>
      <c r="OV59" s="605"/>
      <c r="OW59" s="605"/>
      <c r="OX59" s="605"/>
      <c r="OY59" s="605"/>
      <c r="OZ59" s="605"/>
      <c r="PA59" s="605"/>
      <c r="PB59" s="605"/>
      <c r="PC59" s="605"/>
      <c r="PD59" s="605"/>
      <c r="PE59" s="605"/>
      <c r="PF59" s="605"/>
      <c r="PG59" s="605"/>
      <c r="PH59" s="605"/>
      <c r="PI59" s="605"/>
      <c r="PJ59" s="605"/>
      <c r="PK59" s="605"/>
      <c r="PL59" s="605"/>
      <c r="PM59" s="605"/>
      <c r="PN59" s="605"/>
      <c r="PO59" s="605"/>
      <c r="PP59" s="605"/>
      <c r="PQ59" s="605"/>
      <c r="PR59" s="605"/>
      <c r="PS59" s="605"/>
      <c r="PT59" s="605"/>
      <c r="PU59" s="605"/>
      <c r="PV59" s="605"/>
      <c r="PW59" s="605"/>
      <c r="PX59" s="605"/>
      <c r="PY59" s="605"/>
      <c r="PZ59" s="605"/>
      <c r="QA59" s="605"/>
      <c r="QB59" s="605"/>
      <c r="QC59" s="605"/>
      <c r="QD59" s="605"/>
      <c r="QE59" s="605"/>
      <c r="QF59" s="605"/>
      <c r="QG59" s="605"/>
      <c r="QH59" s="605"/>
      <c r="QI59" s="605"/>
      <c r="QJ59" s="605"/>
      <c r="QK59" s="605"/>
      <c r="QL59" s="605"/>
      <c r="QM59" s="605"/>
      <c r="QN59" s="605"/>
      <c r="QO59" s="605"/>
      <c r="QP59" s="605"/>
      <c r="QQ59" s="605"/>
      <c r="QR59" s="605"/>
      <c r="QS59" s="605"/>
      <c r="QT59" s="605"/>
      <c r="QU59" s="605"/>
      <c r="QV59" s="605"/>
      <c r="QW59" s="605"/>
      <c r="QX59" s="605"/>
      <c r="QY59" s="605"/>
      <c r="QZ59" s="605"/>
      <c r="RA59" s="605"/>
      <c r="RB59" s="605"/>
      <c r="RC59" s="605"/>
      <c r="RD59" s="605"/>
      <c r="RE59" s="605"/>
      <c r="RF59" s="605"/>
      <c r="RG59" s="605"/>
      <c r="RH59" s="605"/>
    </row>
    <row r="60" spans="2:476" s="529" customFormat="1" ht="20.100000000000001" customHeight="1">
      <c r="B60" s="552">
        <v>45836</v>
      </c>
      <c r="C60" s="553">
        <v>16</v>
      </c>
      <c r="D60" s="554">
        <v>0</v>
      </c>
      <c r="E60" s="554">
        <v>2</v>
      </c>
      <c r="F60" s="555">
        <f t="shared" si="4"/>
        <v>12.7499999983702</v>
      </c>
      <c r="G60" s="556"/>
      <c r="H60" s="576"/>
      <c r="I60" s="560"/>
      <c r="J60" s="560"/>
      <c r="K60" s="560"/>
      <c r="L60" s="557"/>
      <c r="M60" s="576"/>
      <c r="N60" s="560">
        <v>0.25000000081490698</v>
      </c>
      <c r="O60" s="560">
        <v>1.0000000008149099</v>
      </c>
      <c r="P60" s="557"/>
      <c r="Q60" s="557"/>
      <c r="R60" s="557"/>
      <c r="S60" s="557"/>
      <c r="T60" s="557"/>
      <c r="U60" s="557"/>
      <c r="V60" s="557"/>
      <c r="W60" s="560"/>
      <c r="X60" s="560"/>
      <c r="Y60" s="628">
        <v>1</v>
      </c>
      <c r="Z60" s="607">
        <f t="shared" si="5"/>
        <v>0</v>
      </c>
      <c r="AA60" s="607">
        <f t="shared" si="6"/>
        <v>1.2500000016298201</v>
      </c>
      <c r="AB60" s="608">
        <f t="shared" si="7"/>
        <v>1</v>
      </c>
      <c r="AC60" s="617"/>
      <c r="AD60" s="620"/>
      <c r="AE60" s="620"/>
      <c r="AF60" s="620"/>
      <c r="AG60" s="620"/>
      <c r="AH60" s="620"/>
      <c r="AI60" s="620"/>
      <c r="AJ60" s="620"/>
      <c r="AK60" s="620"/>
      <c r="AL60" s="620"/>
      <c r="AM60" s="620"/>
      <c r="AN60" s="620"/>
      <c r="AO60" s="620"/>
      <c r="AP60" s="620"/>
      <c r="AQ60" s="620"/>
      <c r="AR60" s="620"/>
      <c r="AS60" s="620"/>
      <c r="AT60" s="620"/>
      <c r="AU60" s="620"/>
      <c r="AV60" s="620"/>
      <c r="AW60" s="620"/>
      <c r="AX60" s="620"/>
      <c r="AY60" s="620"/>
      <c r="AZ60" s="620"/>
      <c r="BA60" s="620"/>
      <c r="BB60" s="620"/>
      <c r="BC60" s="620"/>
      <c r="BD60" s="620"/>
      <c r="BE60" s="620"/>
      <c r="BF60" s="620"/>
      <c r="BG60" s="620"/>
      <c r="BH60" s="620"/>
      <c r="BI60" s="620"/>
      <c r="BJ60" s="620"/>
      <c r="BK60" s="620"/>
      <c r="BL60" s="620"/>
      <c r="BM60" s="620"/>
      <c r="BN60" s="620"/>
      <c r="BO60" s="620"/>
      <c r="BP60" s="620"/>
      <c r="BQ60" s="620"/>
      <c r="BR60" s="620"/>
      <c r="BS60" s="620"/>
      <c r="BT60" s="620"/>
      <c r="BU60" s="620"/>
      <c r="BV60" s="620"/>
      <c r="BW60" s="620"/>
      <c r="BX60" s="620"/>
      <c r="BY60" s="620"/>
      <c r="BZ60" s="620"/>
      <c r="CA60" s="620"/>
      <c r="CB60" s="620"/>
      <c r="CC60" s="620"/>
      <c r="CD60" s="620"/>
      <c r="CE60" s="620"/>
      <c r="CF60" s="620"/>
      <c r="CG60" s="620"/>
      <c r="CH60" s="620"/>
      <c r="CI60" s="620"/>
      <c r="CJ60" s="620"/>
      <c r="CK60" s="620"/>
      <c r="CL60" s="620"/>
      <c r="CM60" s="620"/>
      <c r="CN60" s="620"/>
      <c r="CO60" s="620"/>
      <c r="CP60" s="620"/>
      <c r="CQ60" s="620"/>
      <c r="CR60" s="620"/>
      <c r="CS60" s="620"/>
      <c r="CT60" s="620"/>
      <c r="CU60" s="620"/>
      <c r="CV60" s="620"/>
      <c r="CW60" s="620"/>
      <c r="CX60" s="620"/>
      <c r="CY60" s="620"/>
      <c r="CZ60" s="620"/>
      <c r="DA60" s="620"/>
      <c r="DB60" s="620"/>
      <c r="DC60" s="620"/>
      <c r="DD60" s="620"/>
      <c r="DE60" s="620"/>
      <c r="DF60" s="620"/>
      <c r="DG60" s="620"/>
      <c r="DH60" s="620"/>
      <c r="DI60" s="620"/>
      <c r="DJ60" s="620"/>
      <c r="DK60" s="620"/>
      <c r="DL60" s="620"/>
      <c r="DM60" s="620"/>
      <c r="DN60" s="620"/>
      <c r="DO60" s="620"/>
      <c r="DP60" s="620"/>
      <c r="DQ60" s="620"/>
      <c r="DR60" s="620"/>
      <c r="DS60" s="620"/>
      <c r="DT60" s="620"/>
      <c r="DU60" s="620"/>
      <c r="DV60" s="620"/>
      <c r="DW60" s="620"/>
      <c r="DX60" s="620"/>
      <c r="DY60" s="620"/>
      <c r="DZ60" s="620"/>
      <c r="EA60" s="620"/>
      <c r="EB60" s="620"/>
      <c r="EC60" s="620"/>
      <c r="ED60" s="620"/>
      <c r="EE60" s="620"/>
      <c r="EF60" s="620"/>
      <c r="EG60" s="620"/>
      <c r="EH60" s="620"/>
      <c r="EI60" s="620"/>
      <c r="EJ60" s="620"/>
      <c r="EK60" s="620"/>
      <c r="EL60" s="620"/>
      <c r="EM60" s="620"/>
      <c r="EN60" s="620"/>
      <c r="EO60" s="620"/>
      <c r="EP60" s="620"/>
      <c r="EQ60" s="620"/>
      <c r="ER60" s="620"/>
      <c r="ES60" s="620"/>
      <c r="ET60" s="620"/>
      <c r="EU60" s="620"/>
      <c r="EV60" s="620"/>
      <c r="EW60" s="620"/>
      <c r="EX60" s="620"/>
      <c r="EY60" s="620"/>
      <c r="EZ60" s="620"/>
      <c r="FA60" s="620"/>
      <c r="FB60" s="620"/>
      <c r="FC60" s="620"/>
      <c r="FD60" s="620"/>
      <c r="FE60" s="620"/>
      <c r="FF60" s="620"/>
      <c r="FG60" s="620"/>
      <c r="FH60" s="620"/>
      <c r="FI60" s="620"/>
      <c r="FJ60" s="620"/>
      <c r="FK60" s="620"/>
      <c r="FL60" s="620"/>
      <c r="FM60" s="620"/>
      <c r="FN60" s="620"/>
      <c r="FO60" s="620"/>
      <c r="FP60" s="620"/>
      <c r="FQ60" s="620"/>
      <c r="FR60" s="620"/>
      <c r="FS60" s="620"/>
      <c r="FT60" s="620"/>
      <c r="FU60" s="620"/>
      <c r="FV60" s="620"/>
      <c r="FW60" s="620"/>
      <c r="FX60" s="620"/>
      <c r="FY60" s="620"/>
      <c r="FZ60" s="620"/>
      <c r="GA60" s="620"/>
      <c r="GB60" s="620"/>
      <c r="GC60" s="620"/>
      <c r="GD60" s="620"/>
      <c r="GE60" s="620"/>
      <c r="GF60" s="620"/>
      <c r="GG60" s="620"/>
      <c r="GH60" s="620"/>
      <c r="GI60" s="620"/>
      <c r="GJ60" s="620"/>
      <c r="GK60" s="620"/>
      <c r="GL60" s="620"/>
      <c r="GM60" s="620"/>
      <c r="GN60" s="620"/>
      <c r="GO60" s="620"/>
      <c r="GP60" s="620"/>
      <c r="GQ60" s="620"/>
      <c r="GR60" s="620"/>
      <c r="GS60" s="620"/>
      <c r="GT60" s="620"/>
      <c r="GU60" s="620"/>
      <c r="GV60" s="620"/>
      <c r="GW60" s="620"/>
      <c r="GX60" s="620"/>
      <c r="GY60" s="620"/>
      <c r="GZ60" s="620"/>
      <c r="HA60" s="620"/>
      <c r="HB60" s="620"/>
      <c r="HC60" s="620"/>
      <c r="HD60" s="620"/>
      <c r="HE60" s="620"/>
      <c r="HF60" s="620"/>
      <c r="HG60" s="620"/>
      <c r="HH60" s="620"/>
      <c r="HI60" s="620"/>
      <c r="HJ60" s="620"/>
      <c r="HK60" s="620"/>
      <c r="HL60" s="620"/>
      <c r="HM60" s="620"/>
      <c r="HN60" s="620"/>
      <c r="HO60" s="620"/>
      <c r="HP60" s="620"/>
      <c r="HQ60" s="620"/>
      <c r="HR60" s="620"/>
      <c r="HS60" s="620"/>
      <c r="HT60" s="620"/>
      <c r="HU60" s="620"/>
      <c r="HV60" s="620"/>
      <c r="HW60" s="620"/>
      <c r="HX60" s="620"/>
      <c r="HY60" s="620"/>
      <c r="HZ60" s="620"/>
      <c r="IA60" s="620"/>
      <c r="IB60" s="620"/>
      <c r="IC60" s="620"/>
      <c r="ID60" s="620"/>
      <c r="IE60" s="620"/>
      <c r="IF60" s="620"/>
      <c r="IG60" s="620"/>
      <c r="IH60" s="620"/>
      <c r="II60" s="620"/>
      <c r="IJ60" s="620"/>
      <c r="IK60" s="620"/>
      <c r="IL60" s="620"/>
      <c r="IM60" s="620"/>
      <c r="IN60" s="620"/>
      <c r="IO60" s="620"/>
      <c r="IP60" s="620"/>
      <c r="IQ60" s="620"/>
      <c r="IR60" s="620"/>
      <c r="IS60" s="620"/>
      <c r="IT60" s="620"/>
      <c r="IU60" s="620"/>
      <c r="IV60" s="620"/>
      <c r="IW60" s="620"/>
      <c r="IX60" s="620"/>
      <c r="IY60" s="620"/>
      <c r="IZ60" s="620"/>
      <c r="JA60" s="620"/>
      <c r="JB60" s="620"/>
      <c r="JC60" s="620"/>
      <c r="JD60" s="620"/>
      <c r="JE60" s="620"/>
      <c r="JF60" s="620"/>
      <c r="JG60" s="620"/>
      <c r="JH60" s="620"/>
      <c r="JI60" s="620"/>
      <c r="JJ60" s="620"/>
      <c r="JK60" s="620"/>
      <c r="JL60" s="620"/>
      <c r="JM60" s="620"/>
      <c r="JN60" s="620"/>
      <c r="JO60" s="620"/>
      <c r="JP60" s="620"/>
      <c r="JQ60" s="620"/>
      <c r="JR60" s="620"/>
      <c r="JS60" s="620"/>
      <c r="JT60" s="620"/>
      <c r="JU60" s="620"/>
      <c r="JV60" s="620"/>
      <c r="JW60" s="620"/>
      <c r="JX60" s="620"/>
      <c r="JY60" s="620"/>
      <c r="JZ60" s="620"/>
      <c r="KA60" s="620"/>
      <c r="KB60" s="620"/>
      <c r="KC60" s="620"/>
      <c r="KD60" s="620"/>
      <c r="KE60" s="620"/>
      <c r="KF60" s="620"/>
      <c r="KG60" s="620"/>
      <c r="KH60" s="620"/>
      <c r="KI60" s="620"/>
      <c r="KJ60" s="620"/>
      <c r="KK60" s="620"/>
      <c r="KL60" s="620"/>
      <c r="KM60" s="620"/>
      <c r="KN60" s="620"/>
      <c r="KO60" s="620"/>
      <c r="KP60" s="620"/>
      <c r="KQ60" s="620"/>
      <c r="KR60" s="620"/>
      <c r="KS60" s="620"/>
      <c r="KT60" s="620"/>
      <c r="KU60" s="620"/>
      <c r="KV60" s="620"/>
      <c r="KW60" s="620"/>
      <c r="KX60" s="620"/>
      <c r="KY60" s="620"/>
      <c r="KZ60" s="620"/>
      <c r="LA60" s="620"/>
      <c r="LB60" s="620"/>
      <c r="LC60" s="620"/>
      <c r="LD60" s="620"/>
      <c r="LE60" s="620"/>
      <c r="LF60" s="620"/>
      <c r="LG60" s="620"/>
      <c r="LH60" s="620"/>
      <c r="LI60" s="620"/>
      <c r="LJ60" s="620"/>
      <c r="LK60" s="620"/>
      <c r="LL60" s="620"/>
      <c r="LM60" s="620"/>
      <c r="LN60" s="620"/>
      <c r="LO60" s="620"/>
      <c r="LP60" s="620"/>
      <c r="LQ60" s="620"/>
      <c r="LR60" s="620"/>
      <c r="LS60" s="620"/>
      <c r="LT60" s="620"/>
      <c r="LU60" s="620"/>
      <c r="LV60" s="620"/>
      <c r="LW60" s="620"/>
      <c r="LX60" s="620"/>
      <c r="LY60" s="620"/>
      <c r="LZ60" s="620"/>
      <c r="MA60" s="620"/>
      <c r="MB60" s="620"/>
      <c r="MC60" s="620"/>
      <c r="MD60" s="620"/>
      <c r="ME60" s="620"/>
      <c r="MF60" s="620"/>
      <c r="MG60" s="620"/>
      <c r="MH60" s="620"/>
      <c r="MI60" s="620"/>
      <c r="MJ60" s="620"/>
      <c r="MK60" s="620"/>
      <c r="ML60" s="620"/>
      <c r="MM60" s="620"/>
      <c r="MN60" s="620"/>
      <c r="MO60" s="620"/>
      <c r="MP60" s="620"/>
      <c r="MQ60" s="620"/>
      <c r="MR60" s="620"/>
      <c r="MS60" s="620"/>
      <c r="MT60" s="620"/>
      <c r="MU60" s="620"/>
      <c r="MV60" s="620"/>
      <c r="MW60" s="620"/>
      <c r="MX60" s="620"/>
      <c r="MY60" s="620"/>
      <c r="MZ60" s="620"/>
      <c r="NA60" s="620"/>
      <c r="NB60" s="620"/>
      <c r="NC60" s="620"/>
      <c r="ND60" s="620"/>
      <c r="NE60" s="620"/>
      <c r="NF60" s="620"/>
      <c r="NG60" s="620"/>
      <c r="NH60" s="620"/>
      <c r="NI60" s="620"/>
      <c r="NJ60" s="620"/>
      <c r="NK60" s="620"/>
      <c r="NL60" s="620"/>
      <c r="NM60" s="620"/>
      <c r="NN60" s="620"/>
      <c r="NO60" s="620"/>
      <c r="NP60" s="620"/>
      <c r="NQ60" s="620"/>
      <c r="NR60" s="620"/>
      <c r="NS60" s="620"/>
      <c r="NT60" s="620"/>
      <c r="NU60" s="620"/>
      <c r="NV60" s="620"/>
      <c r="NW60" s="620"/>
      <c r="NX60" s="620"/>
      <c r="NY60" s="620"/>
      <c r="NZ60" s="620"/>
      <c r="OA60" s="620"/>
      <c r="OB60" s="620"/>
      <c r="OC60" s="620"/>
      <c r="OD60" s="620"/>
      <c r="OE60" s="620"/>
      <c r="OF60" s="620"/>
      <c r="OG60" s="620"/>
      <c r="OH60" s="620"/>
      <c r="OI60" s="620"/>
      <c r="OJ60" s="620"/>
      <c r="OK60" s="620"/>
      <c r="OL60" s="620"/>
      <c r="OM60" s="620"/>
      <c r="ON60" s="620"/>
      <c r="OO60" s="620"/>
      <c r="OP60" s="620"/>
      <c r="OQ60" s="620"/>
      <c r="OR60" s="620"/>
      <c r="OS60" s="620"/>
      <c r="OT60" s="620"/>
      <c r="OU60" s="620"/>
      <c r="OV60" s="620"/>
      <c r="OW60" s="620"/>
      <c r="OX60" s="620"/>
      <c r="OY60" s="620"/>
      <c r="OZ60" s="620"/>
      <c r="PA60" s="620"/>
      <c r="PB60" s="620"/>
      <c r="PC60" s="620"/>
      <c r="PD60" s="620"/>
      <c r="PE60" s="620"/>
      <c r="PF60" s="620"/>
      <c r="PG60" s="620"/>
      <c r="PH60" s="620"/>
      <c r="PI60" s="620"/>
      <c r="PJ60" s="620"/>
      <c r="PK60" s="620"/>
      <c r="PL60" s="620"/>
      <c r="PM60" s="620"/>
      <c r="PN60" s="620"/>
      <c r="PO60" s="620"/>
      <c r="PP60" s="620"/>
      <c r="PQ60" s="620"/>
      <c r="PR60" s="620"/>
      <c r="PS60" s="620"/>
      <c r="PT60" s="620"/>
      <c r="PU60" s="620"/>
      <c r="PV60" s="620"/>
      <c r="PW60" s="620"/>
      <c r="PX60" s="620"/>
      <c r="PY60" s="620"/>
      <c r="PZ60" s="620"/>
      <c r="QA60" s="620"/>
      <c r="QB60" s="620"/>
      <c r="QC60" s="620"/>
      <c r="QD60" s="620"/>
      <c r="QE60" s="620"/>
      <c r="QF60" s="620"/>
      <c r="QG60" s="620"/>
      <c r="QH60" s="620"/>
      <c r="QI60" s="620"/>
      <c r="QJ60" s="620"/>
      <c r="QK60" s="620"/>
      <c r="QL60" s="620"/>
      <c r="QM60" s="620"/>
      <c r="QN60" s="620"/>
      <c r="QO60" s="620"/>
      <c r="QP60" s="620"/>
      <c r="QQ60" s="620"/>
      <c r="QR60" s="620"/>
      <c r="QS60" s="620"/>
      <c r="QT60" s="620"/>
      <c r="QU60" s="620"/>
      <c r="QV60" s="620"/>
      <c r="QW60" s="620"/>
      <c r="QX60" s="620"/>
      <c r="QY60" s="620"/>
      <c r="QZ60" s="620"/>
      <c r="RA60" s="620"/>
      <c r="RB60" s="620"/>
      <c r="RC60" s="620"/>
      <c r="RD60" s="620"/>
      <c r="RE60" s="620"/>
      <c r="RF60" s="620"/>
      <c r="RG60" s="620"/>
      <c r="RH60" s="620"/>
    </row>
    <row r="61" spans="2:476" s="529" customFormat="1" ht="20.100000000000001" customHeight="1">
      <c r="B61" s="552"/>
      <c r="C61" s="553">
        <v>16</v>
      </c>
      <c r="D61" s="554">
        <v>0</v>
      </c>
      <c r="E61" s="554">
        <v>2</v>
      </c>
      <c r="F61" s="555">
        <f t="shared" si="4"/>
        <v>12.9999999991851</v>
      </c>
      <c r="G61" s="556"/>
      <c r="H61" s="576"/>
      <c r="I61" s="591"/>
      <c r="J61" s="576"/>
      <c r="K61" s="560"/>
      <c r="L61" s="557"/>
      <c r="M61" s="576"/>
      <c r="N61" s="576">
        <v>0.25000000081490698</v>
      </c>
      <c r="O61" s="560">
        <v>0.75</v>
      </c>
      <c r="P61" s="557"/>
      <c r="Q61" s="557"/>
      <c r="R61" s="557"/>
      <c r="S61" s="557"/>
      <c r="T61" s="557"/>
      <c r="U61" s="557"/>
      <c r="V61" s="557"/>
      <c r="W61" s="560"/>
      <c r="X61" s="557"/>
      <c r="Y61" s="628">
        <v>2</v>
      </c>
      <c r="Z61" s="607">
        <f t="shared" si="5"/>
        <v>0</v>
      </c>
      <c r="AA61" s="607">
        <f t="shared" si="6"/>
        <v>1.0000000008149099</v>
      </c>
      <c r="AB61" s="608">
        <f t="shared" si="7"/>
        <v>1</v>
      </c>
      <c r="AC61" s="629"/>
      <c r="AD61" s="620"/>
      <c r="AE61" s="620"/>
      <c r="AF61" s="620"/>
      <c r="AG61" s="620"/>
      <c r="AH61" s="620"/>
      <c r="AI61" s="620"/>
      <c r="AJ61" s="620"/>
      <c r="AK61" s="620"/>
      <c r="AL61" s="620"/>
      <c r="AM61" s="620"/>
      <c r="AN61" s="620"/>
      <c r="AO61" s="620"/>
      <c r="AP61" s="620"/>
      <c r="AQ61" s="620"/>
      <c r="AR61" s="620"/>
      <c r="AS61" s="620"/>
      <c r="AT61" s="620"/>
      <c r="AU61" s="620"/>
      <c r="AV61" s="620"/>
      <c r="AW61" s="620"/>
      <c r="AX61" s="620"/>
      <c r="AY61" s="620"/>
      <c r="AZ61" s="620"/>
      <c r="BA61" s="620"/>
      <c r="BB61" s="620"/>
      <c r="BC61" s="620"/>
      <c r="BD61" s="620"/>
      <c r="BE61" s="620"/>
      <c r="BF61" s="620"/>
      <c r="BG61" s="620"/>
      <c r="BH61" s="620"/>
      <c r="BI61" s="620"/>
      <c r="BJ61" s="620"/>
      <c r="BK61" s="620"/>
      <c r="BL61" s="620"/>
      <c r="BM61" s="620"/>
      <c r="BN61" s="620"/>
      <c r="BO61" s="620"/>
      <c r="BP61" s="620"/>
      <c r="BQ61" s="620"/>
      <c r="BR61" s="620"/>
      <c r="BS61" s="620"/>
      <c r="BT61" s="620"/>
      <c r="BU61" s="620"/>
      <c r="BV61" s="620"/>
      <c r="BW61" s="620"/>
      <c r="BX61" s="620"/>
      <c r="BY61" s="620"/>
      <c r="BZ61" s="620"/>
      <c r="CA61" s="620"/>
      <c r="CB61" s="620"/>
      <c r="CC61" s="620"/>
      <c r="CD61" s="620"/>
      <c r="CE61" s="620"/>
      <c r="CF61" s="620"/>
      <c r="CG61" s="620"/>
      <c r="CH61" s="620"/>
      <c r="CI61" s="620"/>
      <c r="CJ61" s="620"/>
      <c r="CK61" s="620"/>
      <c r="CL61" s="620"/>
      <c r="CM61" s="620"/>
      <c r="CN61" s="620"/>
      <c r="CO61" s="620"/>
      <c r="CP61" s="620"/>
      <c r="CQ61" s="620"/>
      <c r="CR61" s="620"/>
      <c r="CS61" s="620"/>
      <c r="CT61" s="620"/>
      <c r="CU61" s="620"/>
      <c r="CV61" s="620"/>
      <c r="CW61" s="620"/>
      <c r="CX61" s="620"/>
      <c r="CY61" s="620"/>
      <c r="CZ61" s="620"/>
      <c r="DA61" s="620"/>
      <c r="DB61" s="620"/>
      <c r="DC61" s="620"/>
      <c r="DD61" s="620"/>
      <c r="DE61" s="620"/>
      <c r="DF61" s="620"/>
      <c r="DG61" s="620"/>
      <c r="DH61" s="620"/>
      <c r="DI61" s="620"/>
      <c r="DJ61" s="620"/>
      <c r="DK61" s="620"/>
      <c r="DL61" s="620"/>
      <c r="DM61" s="620"/>
      <c r="DN61" s="620"/>
      <c r="DO61" s="620"/>
      <c r="DP61" s="620"/>
      <c r="DQ61" s="620"/>
      <c r="DR61" s="620"/>
      <c r="DS61" s="620"/>
      <c r="DT61" s="620"/>
      <c r="DU61" s="620"/>
      <c r="DV61" s="620"/>
      <c r="DW61" s="620"/>
      <c r="DX61" s="620"/>
      <c r="DY61" s="620"/>
      <c r="DZ61" s="620"/>
      <c r="EA61" s="620"/>
      <c r="EB61" s="620"/>
      <c r="EC61" s="620"/>
      <c r="ED61" s="620"/>
      <c r="EE61" s="620"/>
      <c r="EF61" s="620"/>
      <c r="EG61" s="620"/>
      <c r="EH61" s="620"/>
      <c r="EI61" s="620"/>
      <c r="EJ61" s="620"/>
      <c r="EK61" s="620"/>
      <c r="EL61" s="620"/>
      <c r="EM61" s="620"/>
      <c r="EN61" s="620"/>
      <c r="EO61" s="620"/>
      <c r="EP61" s="620"/>
      <c r="EQ61" s="620"/>
      <c r="ER61" s="620"/>
      <c r="ES61" s="620"/>
      <c r="ET61" s="620"/>
      <c r="EU61" s="620"/>
      <c r="EV61" s="620"/>
      <c r="EW61" s="620"/>
      <c r="EX61" s="620"/>
      <c r="EY61" s="620"/>
      <c r="EZ61" s="620"/>
      <c r="FA61" s="620"/>
      <c r="FB61" s="620"/>
      <c r="FC61" s="620"/>
      <c r="FD61" s="620"/>
      <c r="FE61" s="620"/>
      <c r="FF61" s="620"/>
      <c r="FG61" s="620"/>
      <c r="FH61" s="620"/>
      <c r="FI61" s="620"/>
      <c r="FJ61" s="620"/>
      <c r="FK61" s="620"/>
      <c r="FL61" s="620"/>
      <c r="FM61" s="620"/>
      <c r="FN61" s="620"/>
      <c r="FO61" s="620"/>
      <c r="FP61" s="620"/>
      <c r="FQ61" s="620"/>
      <c r="FR61" s="620"/>
      <c r="FS61" s="620"/>
      <c r="FT61" s="620"/>
      <c r="FU61" s="620"/>
      <c r="FV61" s="620"/>
      <c r="FW61" s="620"/>
      <c r="FX61" s="620"/>
      <c r="FY61" s="620"/>
      <c r="FZ61" s="620"/>
      <c r="GA61" s="620"/>
      <c r="GB61" s="620"/>
      <c r="GC61" s="620"/>
      <c r="GD61" s="620"/>
      <c r="GE61" s="620"/>
      <c r="GF61" s="620"/>
      <c r="GG61" s="620"/>
      <c r="GH61" s="620"/>
      <c r="GI61" s="620"/>
      <c r="GJ61" s="620"/>
      <c r="GK61" s="620"/>
      <c r="GL61" s="620"/>
      <c r="GM61" s="620"/>
      <c r="GN61" s="620"/>
      <c r="GO61" s="620"/>
      <c r="GP61" s="620"/>
      <c r="GQ61" s="620"/>
      <c r="GR61" s="620"/>
      <c r="GS61" s="620"/>
      <c r="GT61" s="620"/>
      <c r="GU61" s="620"/>
      <c r="GV61" s="620"/>
      <c r="GW61" s="620"/>
      <c r="GX61" s="620"/>
      <c r="GY61" s="620"/>
      <c r="GZ61" s="620"/>
      <c r="HA61" s="620"/>
      <c r="HB61" s="620"/>
      <c r="HC61" s="620"/>
      <c r="HD61" s="620"/>
      <c r="HE61" s="620"/>
      <c r="HF61" s="620"/>
      <c r="HG61" s="620"/>
      <c r="HH61" s="620"/>
      <c r="HI61" s="620"/>
      <c r="HJ61" s="620"/>
      <c r="HK61" s="620"/>
      <c r="HL61" s="620"/>
      <c r="HM61" s="620"/>
      <c r="HN61" s="620"/>
      <c r="HO61" s="620"/>
      <c r="HP61" s="620"/>
      <c r="HQ61" s="620"/>
      <c r="HR61" s="620"/>
      <c r="HS61" s="620"/>
      <c r="HT61" s="620"/>
      <c r="HU61" s="620"/>
      <c r="HV61" s="620"/>
      <c r="HW61" s="620"/>
      <c r="HX61" s="620"/>
      <c r="HY61" s="620"/>
      <c r="HZ61" s="620"/>
      <c r="IA61" s="620"/>
      <c r="IB61" s="620"/>
      <c r="IC61" s="620"/>
      <c r="ID61" s="620"/>
      <c r="IE61" s="620"/>
      <c r="IF61" s="620"/>
      <c r="IG61" s="620"/>
      <c r="IH61" s="620"/>
      <c r="II61" s="620"/>
      <c r="IJ61" s="620"/>
      <c r="IK61" s="620"/>
      <c r="IL61" s="620"/>
      <c r="IM61" s="620"/>
      <c r="IN61" s="620"/>
      <c r="IO61" s="620"/>
      <c r="IP61" s="620"/>
      <c r="IQ61" s="620"/>
      <c r="IR61" s="620"/>
      <c r="IS61" s="620"/>
      <c r="IT61" s="620"/>
      <c r="IU61" s="620"/>
      <c r="IV61" s="620"/>
      <c r="IW61" s="620"/>
      <c r="IX61" s="620"/>
      <c r="IY61" s="620"/>
      <c r="IZ61" s="620"/>
      <c r="JA61" s="620"/>
      <c r="JB61" s="620"/>
      <c r="JC61" s="620"/>
      <c r="JD61" s="620"/>
      <c r="JE61" s="620"/>
      <c r="JF61" s="620"/>
      <c r="JG61" s="620"/>
      <c r="JH61" s="620"/>
      <c r="JI61" s="620"/>
      <c r="JJ61" s="620"/>
      <c r="JK61" s="620"/>
      <c r="JL61" s="620"/>
      <c r="JM61" s="620"/>
      <c r="JN61" s="620"/>
      <c r="JO61" s="620"/>
      <c r="JP61" s="620"/>
      <c r="JQ61" s="620"/>
      <c r="JR61" s="620"/>
      <c r="JS61" s="620"/>
      <c r="JT61" s="620"/>
      <c r="JU61" s="620"/>
      <c r="JV61" s="620"/>
      <c r="JW61" s="620"/>
      <c r="JX61" s="620"/>
      <c r="JY61" s="620"/>
      <c r="JZ61" s="620"/>
      <c r="KA61" s="620"/>
      <c r="KB61" s="620"/>
      <c r="KC61" s="620"/>
      <c r="KD61" s="620"/>
      <c r="KE61" s="620"/>
      <c r="KF61" s="620"/>
      <c r="KG61" s="620"/>
      <c r="KH61" s="620"/>
      <c r="KI61" s="620"/>
      <c r="KJ61" s="620"/>
      <c r="KK61" s="620"/>
      <c r="KL61" s="620"/>
      <c r="KM61" s="620"/>
      <c r="KN61" s="620"/>
      <c r="KO61" s="620"/>
      <c r="KP61" s="620"/>
      <c r="KQ61" s="620"/>
      <c r="KR61" s="620"/>
      <c r="KS61" s="620"/>
      <c r="KT61" s="620"/>
      <c r="KU61" s="620"/>
      <c r="KV61" s="620"/>
      <c r="KW61" s="620"/>
      <c r="KX61" s="620"/>
      <c r="KY61" s="620"/>
      <c r="KZ61" s="620"/>
      <c r="LA61" s="620"/>
      <c r="LB61" s="620"/>
      <c r="LC61" s="620"/>
      <c r="LD61" s="620"/>
      <c r="LE61" s="620"/>
      <c r="LF61" s="620"/>
      <c r="LG61" s="620"/>
      <c r="LH61" s="620"/>
      <c r="LI61" s="620"/>
      <c r="LJ61" s="620"/>
      <c r="LK61" s="620"/>
      <c r="LL61" s="620"/>
      <c r="LM61" s="620"/>
      <c r="LN61" s="620"/>
      <c r="LO61" s="620"/>
      <c r="LP61" s="620"/>
      <c r="LQ61" s="620"/>
      <c r="LR61" s="620"/>
      <c r="LS61" s="620"/>
      <c r="LT61" s="620"/>
      <c r="LU61" s="620"/>
      <c r="LV61" s="620"/>
      <c r="LW61" s="620"/>
      <c r="LX61" s="620"/>
      <c r="LY61" s="620"/>
      <c r="LZ61" s="620"/>
      <c r="MA61" s="620"/>
      <c r="MB61" s="620"/>
      <c r="MC61" s="620"/>
      <c r="MD61" s="620"/>
      <c r="ME61" s="620"/>
      <c r="MF61" s="620"/>
      <c r="MG61" s="620"/>
      <c r="MH61" s="620"/>
      <c r="MI61" s="620"/>
      <c r="MJ61" s="620"/>
      <c r="MK61" s="620"/>
      <c r="ML61" s="620"/>
      <c r="MM61" s="620"/>
      <c r="MN61" s="620"/>
      <c r="MO61" s="620"/>
      <c r="MP61" s="620"/>
      <c r="MQ61" s="620"/>
      <c r="MR61" s="620"/>
      <c r="MS61" s="620"/>
      <c r="MT61" s="620"/>
      <c r="MU61" s="620"/>
      <c r="MV61" s="620"/>
      <c r="MW61" s="620"/>
      <c r="MX61" s="620"/>
      <c r="MY61" s="620"/>
      <c r="MZ61" s="620"/>
      <c r="NA61" s="620"/>
      <c r="NB61" s="620"/>
      <c r="NC61" s="620"/>
      <c r="ND61" s="620"/>
      <c r="NE61" s="620"/>
      <c r="NF61" s="620"/>
      <c r="NG61" s="620"/>
      <c r="NH61" s="620"/>
      <c r="NI61" s="620"/>
      <c r="NJ61" s="620"/>
      <c r="NK61" s="620"/>
      <c r="NL61" s="620"/>
      <c r="NM61" s="620"/>
      <c r="NN61" s="620"/>
      <c r="NO61" s="620"/>
      <c r="NP61" s="620"/>
      <c r="NQ61" s="620"/>
      <c r="NR61" s="620"/>
      <c r="NS61" s="620"/>
      <c r="NT61" s="620"/>
      <c r="NU61" s="620"/>
      <c r="NV61" s="620"/>
      <c r="NW61" s="620"/>
      <c r="NX61" s="620"/>
      <c r="NY61" s="620"/>
      <c r="NZ61" s="620"/>
      <c r="OA61" s="620"/>
      <c r="OB61" s="620"/>
      <c r="OC61" s="620"/>
      <c r="OD61" s="620"/>
      <c r="OE61" s="620"/>
      <c r="OF61" s="620"/>
      <c r="OG61" s="620"/>
      <c r="OH61" s="620"/>
      <c r="OI61" s="620"/>
      <c r="OJ61" s="620"/>
      <c r="OK61" s="620"/>
      <c r="OL61" s="620"/>
      <c r="OM61" s="620"/>
      <c r="ON61" s="620"/>
      <c r="OO61" s="620"/>
      <c r="OP61" s="620"/>
      <c r="OQ61" s="620"/>
      <c r="OR61" s="620"/>
      <c r="OS61" s="620"/>
      <c r="OT61" s="620"/>
      <c r="OU61" s="620"/>
      <c r="OV61" s="620"/>
      <c r="OW61" s="620"/>
      <c r="OX61" s="620"/>
      <c r="OY61" s="620"/>
      <c r="OZ61" s="620"/>
      <c r="PA61" s="620"/>
      <c r="PB61" s="620"/>
      <c r="PC61" s="620"/>
      <c r="PD61" s="620"/>
      <c r="PE61" s="620"/>
      <c r="PF61" s="620"/>
      <c r="PG61" s="620"/>
      <c r="PH61" s="620"/>
      <c r="PI61" s="620"/>
      <c r="PJ61" s="620"/>
      <c r="PK61" s="620"/>
      <c r="PL61" s="620"/>
      <c r="PM61" s="620"/>
      <c r="PN61" s="620"/>
      <c r="PO61" s="620"/>
      <c r="PP61" s="620"/>
      <c r="PQ61" s="620"/>
      <c r="PR61" s="620"/>
      <c r="PS61" s="620"/>
      <c r="PT61" s="620"/>
      <c r="PU61" s="620"/>
      <c r="PV61" s="620"/>
      <c r="PW61" s="620"/>
      <c r="PX61" s="620"/>
      <c r="PY61" s="620"/>
      <c r="PZ61" s="620"/>
      <c r="QA61" s="620"/>
      <c r="QB61" s="620"/>
      <c r="QC61" s="620"/>
      <c r="QD61" s="620"/>
      <c r="QE61" s="620"/>
      <c r="QF61" s="620"/>
      <c r="QG61" s="620"/>
      <c r="QH61" s="620"/>
      <c r="QI61" s="620"/>
      <c r="QJ61" s="620"/>
      <c r="QK61" s="620"/>
      <c r="QL61" s="620"/>
      <c r="QM61" s="620"/>
      <c r="QN61" s="620"/>
      <c r="QO61" s="620"/>
      <c r="QP61" s="620"/>
      <c r="QQ61" s="620"/>
      <c r="QR61" s="620"/>
      <c r="QS61" s="620"/>
      <c r="QT61" s="620"/>
      <c r="QU61" s="620"/>
      <c r="QV61" s="620"/>
      <c r="QW61" s="620"/>
      <c r="QX61" s="620"/>
      <c r="QY61" s="620"/>
      <c r="QZ61" s="620"/>
      <c r="RA61" s="620"/>
      <c r="RB61" s="620"/>
      <c r="RC61" s="620"/>
      <c r="RD61" s="620"/>
      <c r="RE61" s="620"/>
      <c r="RF61" s="620"/>
      <c r="RG61" s="620"/>
      <c r="RH61" s="620"/>
    </row>
    <row r="62" spans="2:476" s="528" customFormat="1" ht="19.5" customHeight="1">
      <c r="B62" s="577">
        <v>45837</v>
      </c>
      <c r="C62" s="578">
        <v>16</v>
      </c>
      <c r="D62" s="579">
        <v>0</v>
      </c>
      <c r="E62" s="579">
        <v>2</v>
      </c>
      <c r="F62" s="580">
        <f t="shared" ref="F62:F67" si="8">C62+D62-E62-Z62-AA62</f>
        <v>10.666666666627901</v>
      </c>
      <c r="G62" s="550"/>
      <c r="H62" s="569"/>
      <c r="I62" s="592"/>
      <c r="J62" s="569">
        <v>2.5000000008149099</v>
      </c>
      <c r="K62" s="572"/>
      <c r="L62" s="551"/>
      <c r="M62" s="569"/>
      <c r="N62" s="572">
        <v>0.33333333249902403</v>
      </c>
      <c r="O62" s="572">
        <v>0.50000000005820799</v>
      </c>
      <c r="P62" s="551"/>
      <c r="Q62" s="551"/>
      <c r="R62" s="551"/>
      <c r="S62" s="551"/>
      <c r="T62" s="551"/>
      <c r="U62" s="551"/>
      <c r="V62" s="551"/>
      <c r="W62" s="569"/>
      <c r="X62" s="572"/>
      <c r="Y62" s="614">
        <v>1</v>
      </c>
      <c r="Z62" s="607">
        <f t="shared" ref="Z62:Z67" si="9">SUM(G62:I62)</f>
        <v>0</v>
      </c>
      <c r="AA62" s="607">
        <f t="shared" ref="AA62:AA67" si="10">SUM(J62:X62)</f>
        <v>3.3333333333721402</v>
      </c>
      <c r="AB62" s="608">
        <f t="shared" ref="AB62:AB67" si="11">((C62+D62)-(Z62+AA62))/((C62+D62)-AA62)</f>
        <v>1</v>
      </c>
      <c r="AC62" s="616"/>
      <c r="AD62" s="620"/>
      <c r="AE62" s="620"/>
      <c r="AF62" s="620"/>
      <c r="AG62" s="620"/>
      <c r="AH62" s="620"/>
      <c r="AI62" s="620"/>
      <c r="AJ62" s="620"/>
      <c r="AK62" s="620"/>
      <c r="AL62" s="620"/>
      <c r="AM62" s="620"/>
      <c r="AN62" s="620"/>
      <c r="AO62" s="620"/>
      <c r="AP62" s="620"/>
      <c r="AQ62" s="620"/>
      <c r="AR62" s="620"/>
      <c r="AS62" s="620"/>
      <c r="AT62" s="620"/>
      <c r="AU62" s="620"/>
      <c r="AV62" s="620"/>
      <c r="AW62" s="620"/>
      <c r="AX62" s="620"/>
      <c r="AY62" s="620"/>
      <c r="AZ62" s="620"/>
      <c r="BA62" s="620"/>
      <c r="BB62" s="620"/>
      <c r="BC62" s="620"/>
      <c r="BD62" s="620"/>
      <c r="BE62" s="620"/>
      <c r="BF62" s="620"/>
      <c r="BG62" s="620"/>
      <c r="BH62" s="620"/>
      <c r="BI62" s="620"/>
      <c r="BJ62" s="620"/>
      <c r="BK62" s="620"/>
      <c r="BL62" s="620"/>
      <c r="BM62" s="620"/>
      <c r="BN62" s="620"/>
      <c r="BO62" s="620"/>
      <c r="BP62" s="620"/>
      <c r="BQ62" s="620"/>
      <c r="BR62" s="620"/>
      <c r="BS62" s="620"/>
      <c r="BT62" s="620"/>
      <c r="BU62" s="620"/>
      <c r="BV62" s="620"/>
      <c r="BW62" s="620"/>
      <c r="BX62" s="620"/>
      <c r="BY62" s="620"/>
      <c r="BZ62" s="620"/>
      <c r="CA62" s="620"/>
      <c r="CB62" s="620"/>
      <c r="CC62" s="620"/>
      <c r="CD62" s="620"/>
      <c r="CE62" s="620"/>
      <c r="CF62" s="620"/>
      <c r="CG62" s="620"/>
      <c r="CH62" s="620"/>
      <c r="CI62" s="620"/>
      <c r="CJ62" s="620"/>
      <c r="CK62" s="620"/>
      <c r="CL62" s="620"/>
      <c r="CM62" s="620"/>
      <c r="CN62" s="620"/>
      <c r="CO62" s="620"/>
      <c r="CP62" s="620"/>
      <c r="CQ62" s="620"/>
      <c r="CR62" s="620"/>
      <c r="CS62" s="620"/>
      <c r="CT62" s="620"/>
      <c r="CU62" s="620"/>
      <c r="CV62" s="620"/>
      <c r="CW62" s="620"/>
      <c r="CX62" s="620"/>
      <c r="CY62" s="620"/>
      <c r="CZ62" s="620"/>
      <c r="DA62" s="620"/>
      <c r="DB62" s="620"/>
      <c r="DC62" s="620"/>
      <c r="DD62" s="620"/>
      <c r="DE62" s="620"/>
      <c r="DF62" s="620"/>
      <c r="DG62" s="620"/>
      <c r="DH62" s="620"/>
      <c r="DI62" s="620"/>
      <c r="DJ62" s="620"/>
      <c r="DK62" s="620"/>
      <c r="DL62" s="620"/>
      <c r="DM62" s="620"/>
      <c r="DN62" s="620"/>
      <c r="DO62" s="620"/>
      <c r="DP62" s="620"/>
      <c r="DQ62" s="620"/>
      <c r="DR62" s="620"/>
      <c r="DS62" s="620"/>
      <c r="DT62" s="620"/>
      <c r="DU62" s="620"/>
      <c r="DV62" s="620"/>
      <c r="DW62" s="620"/>
      <c r="DX62" s="620"/>
      <c r="DY62" s="620"/>
      <c r="DZ62" s="620"/>
      <c r="EA62" s="620"/>
      <c r="EB62" s="620"/>
      <c r="EC62" s="620"/>
      <c r="ED62" s="620"/>
      <c r="EE62" s="620"/>
      <c r="EF62" s="620"/>
      <c r="EG62" s="620"/>
      <c r="EH62" s="620"/>
      <c r="EI62" s="620"/>
      <c r="EJ62" s="620"/>
      <c r="EK62" s="620"/>
      <c r="EL62" s="620"/>
      <c r="EM62" s="620"/>
      <c r="EN62" s="620"/>
      <c r="EO62" s="620"/>
      <c r="EP62" s="620"/>
      <c r="EQ62" s="620"/>
      <c r="ER62" s="620"/>
      <c r="ES62" s="620"/>
      <c r="ET62" s="620"/>
      <c r="EU62" s="620"/>
      <c r="EV62" s="620"/>
      <c r="EW62" s="620"/>
      <c r="EX62" s="620"/>
      <c r="EY62" s="620"/>
      <c r="EZ62" s="620"/>
      <c r="FA62" s="620"/>
      <c r="FB62" s="620"/>
      <c r="FC62" s="620"/>
      <c r="FD62" s="620"/>
      <c r="FE62" s="620"/>
      <c r="FF62" s="620"/>
      <c r="FG62" s="620"/>
      <c r="FH62" s="620"/>
      <c r="FI62" s="620"/>
      <c r="FJ62" s="620"/>
      <c r="FK62" s="620"/>
      <c r="FL62" s="620"/>
      <c r="FM62" s="620"/>
      <c r="FN62" s="620"/>
      <c r="FO62" s="620"/>
      <c r="FP62" s="620"/>
      <c r="FQ62" s="620"/>
      <c r="FR62" s="620"/>
      <c r="FS62" s="620"/>
      <c r="FT62" s="620"/>
      <c r="FU62" s="620"/>
      <c r="FV62" s="620"/>
      <c r="FW62" s="620"/>
      <c r="FX62" s="620"/>
      <c r="FY62" s="620"/>
      <c r="FZ62" s="620"/>
      <c r="GA62" s="620"/>
      <c r="GB62" s="620"/>
      <c r="GC62" s="620"/>
      <c r="GD62" s="620"/>
      <c r="GE62" s="620"/>
      <c r="GF62" s="620"/>
      <c r="GG62" s="620"/>
      <c r="GH62" s="620"/>
      <c r="GI62" s="620"/>
      <c r="GJ62" s="620"/>
      <c r="GK62" s="620"/>
      <c r="GL62" s="620"/>
      <c r="GM62" s="620"/>
      <c r="GN62" s="620"/>
      <c r="GO62" s="620"/>
      <c r="GP62" s="620"/>
      <c r="GQ62" s="620"/>
      <c r="GR62" s="620"/>
      <c r="GS62" s="620"/>
      <c r="GT62" s="620"/>
      <c r="GU62" s="620"/>
      <c r="GV62" s="620"/>
      <c r="GW62" s="620"/>
      <c r="GX62" s="620"/>
      <c r="GY62" s="620"/>
      <c r="GZ62" s="620"/>
      <c r="HA62" s="620"/>
      <c r="HB62" s="620"/>
      <c r="HC62" s="620"/>
      <c r="HD62" s="620"/>
      <c r="HE62" s="620"/>
      <c r="HF62" s="620"/>
      <c r="HG62" s="620"/>
      <c r="HH62" s="620"/>
      <c r="HI62" s="620"/>
      <c r="HJ62" s="620"/>
      <c r="HK62" s="620"/>
      <c r="HL62" s="620"/>
      <c r="HM62" s="620"/>
      <c r="HN62" s="620"/>
      <c r="HO62" s="620"/>
      <c r="HP62" s="620"/>
      <c r="HQ62" s="620"/>
      <c r="HR62" s="620"/>
      <c r="HS62" s="620"/>
      <c r="HT62" s="620"/>
      <c r="HU62" s="620"/>
      <c r="HV62" s="620"/>
      <c r="HW62" s="620"/>
      <c r="HX62" s="620"/>
      <c r="HY62" s="620"/>
      <c r="HZ62" s="620"/>
      <c r="IA62" s="620"/>
      <c r="IB62" s="620"/>
      <c r="IC62" s="620"/>
      <c r="ID62" s="620"/>
      <c r="IE62" s="620"/>
      <c r="IF62" s="620"/>
      <c r="IG62" s="620"/>
      <c r="IH62" s="620"/>
      <c r="II62" s="620"/>
      <c r="IJ62" s="620"/>
      <c r="IK62" s="620"/>
      <c r="IL62" s="620"/>
      <c r="IM62" s="620"/>
      <c r="IN62" s="620"/>
      <c r="IO62" s="620"/>
      <c r="IP62" s="620"/>
      <c r="IQ62" s="620"/>
      <c r="IR62" s="620"/>
      <c r="IS62" s="620"/>
      <c r="IT62" s="620"/>
      <c r="IU62" s="620"/>
      <c r="IV62" s="620"/>
      <c r="IW62" s="620"/>
      <c r="IX62" s="620"/>
      <c r="IY62" s="620"/>
      <c r="IZ62" s="620"/>
      <c r="JA62" s="620"/>
      <c r="JB62" s="620"/>
      <c r="JC62" s="620"/>
      <c r="JD62" s="620"/>
      <c r="JE62" s="620"/>
      <c r="JF62" s="620"/>
      <c r="JG62" s="620"/>
      <c r="JH62" s="620"/>
      <c r="JI62" s="620"/>
      <c r="JJ62" s="620"/>
      <c r="JK62" s="620"/>
      <c r="JL62" s="620"/>
      <c r="JM62" s="620"/>
      <c r="JN62" s="620"/>
      <c r="JO62" s="620"/>
      <c r="JP62" s="620"/>
      <c r="JQ62" s="620"/>
      <c r="JR62" s="620"/>
      <c r="JS62" s="620"/>
      <c r="JT62" s="620"/>
      <c r="JU62" s="620"/>
      <c r="JV62" s="620"/>
      <c r="JW62" s="620"/>
      <c r="JX62" s="620"/>
      <c r="JY62" s="620"/>
      <c r="JZ62" s="620"/>
      <c r="KA62" s="620"/>
      <c r="KB62" s="620"/>
      <c r="KC62" s="620"/>
      <c r="KD62" s="620"/>
      <c r="KE62" s="620"/>
      <c r="KF62" s="620"/>
      <c r="KG62" s="620"/>
      <c r="KH62" s="620"/>
      <c r="KI62" s="620"/>
      <c r="KJ62" s="620"/>
      <c r="KK62" s="620"/>
      <c r="KL62" s="620"/>
      <c r="KM62" s="620"/>
      <c r="KN62" s="620"/>
      <c r="KO62" s="620"/>
      <c r="KP62" s="620"/>
      <c r="KQ62" s="620"/>
      <c r="KR62" s="620"/>
      <c r="KS62" s="620"/>
      <c r="KT62" s="620"/>
      <c r="KU62" s="620"/>
      <c r="KV62" s="620"/>
      <c r="KW62" s="620"/>
      <c r="KX62" s="620"/>
      <c r="KY62" s="620"/>
      <c r="KZ62" s="620"/>
      <c r="LA62" s="620"/>
      <c r="LB62" s="620"/>
      <c r="LC62" s="620"/>
      <c r="LD62" s="620"/>
      <c r="LE62" s="620"/>
      <c r="LF62" s="620"/>
      <c r="LG62" s="620"/>
      <c r="LH62" s="620"/>
      <c r="LI62" s="620"/>
      <c r="LJ62" s="620"/>
      <c r="LK62" s="620"/>
      <c r="LL62" s="620"/>
      <c r="LM62" s="620"/>
      <c r="LN62" s="620"/>
      <c r="LO62" s="620"/>
      <c r="LP62" s="620"/>
      <c r="LQ62" s="620"/>
      <c r="LR62" s="620"/>
      <c r="LS62" s="620"/>
      <c r="LT62" s="620"/>
      <c r="LU62" s="620"/>
      <c r="LV62" s="620"/>
      <c r="LW62" s="620"/>
      <c r="LX62" s="620"/>
      <c r="LY62" s="620"/>
      <c r="LZ62" s="620"/>
      <c r="MA62" s="620"/>
      <c r="MB62" s="620"/>
      <c r="MC62" s="620"/>
      <c r="MD62" s="620"/>
      <c r="ME62" s="620"/>
      <c r="MF62" s="620"/>
      <c r="MG62" s="620"/>
      <c r="MH62" s="620"/>
      <c r="MI62" s="620"/>
      <c r="MJ62" s="620"/>
      <c r="MK62" s="620"/>
      <c r="ML62" s="620"/>
      <c r="MM62" s="620"/>
      <c r="MN62" s="620"/>
      <c r="MO62" s="620"/>
      <c r="MP62" s="620"/>
      <c r="MQ62" s="620"/>
      <c r="MR62" s="620"/>
      <c r="MS62" s="620"/>
      <c r="MT62" s="620"/>
      <c r="MU62" s="620"/>
      <c r="MV62" s="620"/>
      <c r="MW62" s="620"/>
      <c r="MX62" s="620"/>
      <c r="MY62" s="620"/>
      <c r="MZ62" s="620"/>
      <c r="NA62" s="620"/>
      <c r="NB62" s="620"/>
      <c r="NC62" s="620"/>
      <c r="ND62" s="620"/>
      <c r="NE62" s="620"/>
      <c r="NF62" s="620"/>
      <c r="NG62" s="620"/>
      <c r="NH62" s="620"/>
      <c r="NI62" s="620"/>
      <c r="NJ62" s="620"/>
      <c r="NK62" s="620"/>
      <c r="NL62" s="620"/>
      <c r="NM62" s="620"/>
      <c r="NN62" s="620"/>
      <c r="NO62" s="620"/>
      <c r="NP62" s="620"/>
      <c r="NQ62" s="620"/>
      <c r="NR62" s="620"/>
      <c r="NS62" s="620"/>
      <c r="NT62" s="620"/>
      <c r="NU62" s="620"/>
      <c r="NV62" s="620"/>
      <c r="NW62" s="620"/>
      <c r="NX62" s="620"/>
      <c r="NY62" s="620"/>
      <c r="NZ62" s="620"/>
      <c r="OA62" s="620"/>
      <c r="OB62" s="620"/>
      <c r="OC62" s="620"/>
      <c r="OD62" s="620"/>
      <c r="OE62" s="620"/>
      <c r="OF62" s="620"/>
      <c r="OG62" s="620"/>
      <c r="OH62" s="620"/>
      <c r="OI62" s="620"/>
      <c r="OJ62" s="620"/>
      <c r="OK62" s="620"/>
      <c r="OL62" s="620"/>
      <c r="OM62" s="620"/>
      <c r="ON62" s="620"/>
      <c r="OO62" s="620"/>
      <c r="OP62" s="620"/>
      <c r="OQ62" s="620"/>
      <c r="OR62" s="620"/>
      <c r="OS62" s="620"/>
      <c r="OT62" s="620"/>
      <c r="OU62" s="620"/>
      <c r="OV62" s="620"/>
      <c r="OW62" s="620"/>
      <c r="OX62" s="620"/>
      <c r="OY62" s="620"/>
      <c r="OZ62" s="620"/>
      <c r="PA62" s="620"/>
      <c r="PB62" s="620"/>
      <c r="PC62" s="620"/>
      <c r="PD62" s="620"/>
      <c r="PE62" s="620"/>
      <c r="PF62" s="620"/>
      <c r="PG62" s="620"/>
      <c r="PH62" s="620"/>
      <c r="PI62" s="620"/>
      <c r="PJ62" s="620"/>
      <c r="PK62" s="620"/>
      <c r="PL62" s="620"/>
      <c r="PM62" s="620"/>
      <c r="PN62" s="620"/>
      <c r="PO62" s="620"/>
      <c r="PP62" s="620"/>
      <c r="PQ62" s="620"/>
      <c r="PR62" s="620"/>
      <c r="PS62" s="620"/>
      <c r="PT62" s="620"/>
      <c r="PU62" s="620"/>
      <c r="PV62" s="620"/>
      <c r="PW62" s="620"/>
      <c r="PX62" s="620"/>
      <c r="PY62" s="620"/>
      <c r="PZ62" s="620"/>
      <c r="QA62" s="620"/>
      <c r="QB62" s="620"/>
      <c r="QC62" s="620"/>
      <c r="QD62" s="620"/>
      <c r="QE62" s="620"/>
      <c r="QF62" s="620"/>
      <c r="QG62" s="620"/>
      <c r="QH62" s="620"/>
      <c r="QI62" s="620"/>
      <c r="QJ62" s="620"/>
      <c r="QK62" s="620"/>
      <c r="QL62" s="620"/>
      <c r="QM62" s="620"/>
      <c r="QN62" s="620"/>
      <c r="QO62" s="620"/>
      <c r="QP62" s="620"/>
      <c r="QQ62" s="620"/>
      <c r="QR62" s="620"/>
      <c r="QS62" s="620"/>
      <c r="QT62" s="620"/>
      <c r="QU62" s="620"/>
      <c r="QV62" s="620"/>
      <c r="QW62" s="620"/>
      <c r="QX62" s="620"/>
      <c r="QY62" s="620"/>
      <c r="QZ62" s="620"/>
      <c r="RA62" s="620"/>
      <c r="RB62" s="620"/>
      <c r="RC62" s="620"/>
      <c r="RD62" s="620"/>
      <c r="RE62" s="620"/>
      <c r="RF62" s="620"/>
      <c r="RG62" s="620"/>
      <c r="RH62" s="620"/>
    </row>
    <row r="63" spans="2:476" s="528" customFormat="1" ht="19.5" customHeight="1">
      <c r="B63" s="577"/>
      <c r="C63" s="578">
        <v>16</v>
      </c>
      <c r="D63" s="579">
        <v>0</v>
      </c>
      <c r="E63" s="579">
        <v>2</v>
      </c>
      <c r="F63" s="580">
        <f t="shared" si="8"/>
        <v>13.000000001280601</v>
      </c>
      <c r="G63" s="550"/>
      <c r="H63" s="569"/>
      <c r="I63" s="592"/>
      <c r="J63" s="569"/>
      <c r="K63" s="572"/>
      <c r="L63" s="551"/>
      <c r="M63" s="572"/>
      <c r="N63" s="572">
        <v>0.24999999784631699</v>
      </c>
      <c r="O63" s="572">
        <v>0.75000000087311502</v>
      </c>
      <c r="P63" s="551"/>
      <c r="Q63" s="551"/>
      <c r="R63" s="551"/>
      <c r="S63" s="551"/>
      <c r="T63" s="551"/>
      <c r="U63" s="551"/>
      <c r="V63" s="551"/>
      <c r="W63" s="569"/>
      <c r="X63" s="592"/>
      <c r="Y63" s="614">
        <v>2</v>
      </c>
      <c r="Z63" s="607">
        <f t="shared" si="9"/>
        <v>0</v>
      </c>
      <c r="AA63" s="607">
        <f t="shared" si="10"/>
        <v>0.99999999871943202</v>
      </c>
      <c r="AB63" s="608">
        <f t="shared" si="11"/>
        <v>1</v>
      </c>
      <c r="AC63" s="616"/>
    </row>
    <row r="64" spans="2:476" ht="20.100000000000001" customHeight="1">
      <c r="B64" s="552">
        <v>45838</v>
      </c>
      <c r="C64" s="553">
        <v>16</v>
      </c>
      <c r="D64" s="554">
        <v>0</v>
      </c>
      <c r="E64" s="554">
        <v>2</v>
      </c>
      <c r="F64" s="555">
        <f t="shared" si="8"/>
        <v>11.8333333318587</v>
      </c>
      <c r="G64" s="568"/>
      <c r="H64" s="560"/>
      <c r="I64" s="591"/>
      <c r="J64" s="576"/>
      <c r="K64" s="576"/>
      <c r="L64" s="557"/>
      <c r="M64" s="576"/>
      <c r="N64" s="560">
        <v>0.33333333407062998</v>
      </c>
      <c r="O64" s="560">
        <v>1.8333333340706299</v>
      </c>
      <c r="P64" s="557"/>
      <c r="Q64" s="557"/>
      <c r="R64" s="557"/>
      <c r="S64" s="557"/>
      <c r="T64" s="557"/>
      <c r="U64" s="557"/>
      <c r="V64" s="557"/>
      <c r="W64" s="560"/>
      <c r="X64" s="560"/>
      <c r="Y64" s="613">
        <v>1</v>
      </c>
      <c r="Z64" s="607">
        <f t="shared" si="9"/>
        <v>0</v>
      </c>
      <c r="AA64" s="607">
        <f t="shared" si="10"/>
        <v>2.1666666681412599</v>
      </c>
      <c r="AB64" s="608">
        <f t="shared" si="11"/>
        <v>1</v>
      </c>
      <c r="AC64" s="630"/>
    </row>
    <row r="65" spans="2:29" ht="20.100000000000001" customHeight="1">
      <c r="B65" s="552"/>
      <c r="C65" s="553">
        <v>16</v>
      </c>
      <c r="D65" s="554">
        <v>0</v>
      </c>
      <c r="E65" s="554">
        <v>2</v>
      </c>
      <c r="F65" s="555">
        <f t="shared" si="8"/>
        <v>11.916666667209901</v>
      </c>
      <c r="G65" s="556"/>
      <c r="H65" s="557"/>
      <c r="I65" s="591"/>
      <c r="J65" s="560"/>
      <c r="K65" s="576"/>
      <c r="L65" s="557"/>
      <c r="M65" s="576"/>
      <c r="N65" s="560">
        <v>0.24999999871943099</v>
      </c>
      <c r="O65" s="560">
        <v>1.8333333340706299</v>
      </c>
      <c r="P65" s="557"/>
      <c r="Q65" s="557"/>
      <c r="R65" s="557"/>
      <c r="S65" s="557"/>
      <c r="T65" s="557"/>
      <c r="U65" s="557"/>
      <c r="V65" s="557"/>
      <c r="W65" s="560"/>
      <c r="X65" s="557"/>
      <c r="Y65" s="714">
        <v>2</v>
      </c>
      <c r="Z65" s="607">
        <f t="shared" si="9"/>
        <v>0</v>
      </c>
      <c r="AA65" s="607">
        <f t="shared" si="10"/>
        <v>2.0833333327900601</v>
      </c>
      <c r="AB65" s="608">
        <f t="shared" si="11"/>
        <v>1</v>
      </c>
      <c r="AC65" s="616"/>
    </row>
    <row r="66" spans="2:29" ht="20.100000000000001" customHeight="1">
      <c r="B66" s="558"/>
      <c r="C66" s="578"/>
      <c r="D66" s="579"/>
      <c r="E66" s="579"/>
      <c r="F66" s="631"/>
      <c r="G66" s="550"/>
      <c r="H66" s="572"/>
      <c r="I66" s="592"/>
      <c r="J66" s="592"/>
      <c r="K66" s="551"/>
      <c r="L66" s="551"/>
      <c r="M66" s="592"/>
      <c r="N66" s="572"/>
      <c r="O66" s="572"/>
      <c r="P66" s="551"/>
      <c r="Q66" s="551"/>
      <c r="R66" s="551"/>
      <c r="S66" s="551"/>
      <c r="T66" s="551"/>
      <c r="U66" s="551"/>
      <c r="V66" s="551"/>
      <c r="W66" s="572"/>
      <c r="X66" s="572"/>
      <c r="Y66" s="715"/>
      <c r="Z66" s="607"/>
      <c r="AA66" s="607"/>
      <c r="AB66" s="608"/>
      <c r="AC66" s="716"/>
    </row>
    <row r="67" spans="2:29" ht="20.100000000000001" customHeight="1">
      <c r="B67" s="558"/>
      <c r="C67" s="578"/>
      <c r="D67" s="579"/>
      <c r="E67" s="579"/>
      <c r="F67" s="631"/>
      <c r="G67" s="550"/>
      <c r="H67" s="569"/>
      <c r="I67" s="592"/>
      <c r="J67" s="572"/>
      <c r="K67" s="572"/>
      <c r="L67" s="551"/>
      <c r="M67" s="592"/>
      <c r="N67" s="572"/>
      <c r="O67" s="572"/>
      <c r="P67" s="551"/>
      <c r="Q67" s="551"/>
      <c r="R67" s="551"/>
      <c r="S67" s="551"/>
      <c r="T67" s="551"/>
      <c r="U67" s="551"/>
      <c r="V67" s="551"/>
      <c r="W67" s="569"/>
      <c r="X67" s="572"/>
      <c r="Y67" s="715"/>
      <c r="Z67" s="607"/>
      <c r="AA67" s="607"/>
      <c r="AB67" s="608"/>
      <c r="AC67" s="717"/>
    </row>
    <row r="68" spans="2:29" ht="20.100000000000001" customHeight="1">
      <c r="B68" s="632"/>
      <c r="C68" s="633"/>
      <c r="D68" s="634"/>
      <c r="E68" s="634"/>
      <c r="F68" s="635"/>
      <c r="G68" s="636"/>
      <c r="H68" s="636"/>
      <c r="I68" s="664"/>
      <c r="J68" s="665"/>
      <c r="K68" s="666"/>
      <c r="L68" s="666"/>
      <c r="M68" s="666"/>
      <c r="N68" s="664"/>
      <c r="O68" s="666"/>
      <c r="P68" s="667"/>
      <c r="Q68" s="691"/>
      <c r="R68" s="636"/>
      <c r="S68" s="636"/>
      <c r="T68" s="636"/>
      <c r="U68" s="636"/>
      <c r="V68" s="636"/>
      <c r="W68" s="636"/>
      <c r="X68" s="667"/>
      <c r="Y68" s="667"/>
      <c r="Z68" s="607"/>
      <c r="AA68" s="607"/>
      <c r="AB68" s="608"/>
      <c r="AC68" s="718"/>
    </row>
    <row r="69" spans="2:29" ht="16.350000000000001">
      <c r="C69" s="637">
        <f t="shared" ref="C69:X69" si="12">SUM(C6:C67)</f>
        <v>960</v>
      </c>
      <c r="D69" s="637">
        <f t="shared" si="12"/>
        <v>0</v>
      </c>
      <c r="E69" s="637">
        <f t="shared" si="12"/>
        <v>120</v>
      </c>
      <c r="F69" s="638">
        <f t="shared" si="12"/>
        <v>407.71666666517302</v>
      </c>
      <c r="G69" s="638">
        <f t="shared" si="12"/>
        <v>0</v>
      </c>
      <c r="H69" s="638">
        <f t="shared" si="12"/>
        <v>0</v>
      </c>
      <c r="I69" s="638">
        <f t="shared" si="12"/>
        <v>0</v>
      </c>
      <c r="J69" s="638">
        <f t="shared" si="12"/>
        <v>330.833333330171</v>
      </c>
      <c r="K69" s="638">
        <f t="shared" si="12"/>
        <v>0</v>
      </c>
      <c r="L69" s="638">
        <f t="shared" si="12"/>
        <v>0</v>
      </c>
      <c r="M69" s="638"/>
      <c r="N69" s="638">
        <f t="shared" si="12"/>
        <v>9.1999999876017604</v>
      </c>
      <c r="O69" s="638">
        <f t="shared" si="12"/>
        <v>92.250000017054901</v>
      </c>
      <c r="P69" s="638">
        <f t="shared" si="12"/>
        <v>0</v>
      </c>
      <c r="Q69" s="638">
        <f t="shared" si="12"/>
        <v>0</v>
      </c>
      <c r="R69" s="638">
        <f t="shared" si="12"/>
        <v>0</v>
      </c>
      <c r="S69" s="638">
        <f t="shared" si="12"/>
        <v>0</v>
      </c>
      <c r="T69" s="638">
        <f t="shared" si="12"/>
        <v>0</v>
      </c>
      <c r="U69" s="638">
        <f t="shared" si="12"/>
        <v>0</v>
      </c>
      <c r="V69" s="638">
        <f t="shared" si="12"/>
        <v>0</v>
      </c>
      <c r="W69" s="638">
        <f t="shared" si="12"/>
        <v>0</v>
      </c>
      <c r="X69" s="638">
        <f t="shared" si="12"/>
        <v>0</v>
      </c>
      <c r="Y69" s="638"/>
      <c r="Z69" s="719">
        <f>SUM(Z6:Z67)</f>
        <v>0</v>
      </c>
      <c r="AA69" s="719">
        <f>SUM(AA6:AA67)</f>
        <v>432.28333333482698</v>
      </c>
      <c r="AB69" s="720">
        <f>((C69+D69)-(Z69+AA69))/((C69+D69)-AA69)</f>
        <v>1</v>
      </c>
      <c r="AC69" s="532"/>
    </row>
    <row r="70" spans="2:29" ht="16.350000000000001">
      <c r="C70" s="639">
        <f>AVERAGE(C6:C67)</f>
        <v>16</v>
      </c>
      <c r="D70" s="640" t="e">
        <f>D69/$D$1</f>
        <v>#DIV/0!</v>
      </c>
      <c r="E70" s="640" t="e">
        <f t="shared" ref="E70:X70" si="13">E69/$D$1</f>
        <v>#DIV/0!</v>
      </c>
      <c r="F70" s="640" t="e">
        <f t="shared" si="13"/>
        <v>#DIV/0!</v>
      </c>
      <c r="G70" s="640" t="e">
        <f t="shared" si="13"/>
        <v>#DIV/0!</v>
      </c>
      <c r="H70" s="640" t="e">
        <f t="shared" si="13"/>
        <v>#DIV/0!</v>
      </c>
      <c r="I70" s="640" t="e">
        <f t="shared" si="13"/>
        <v>#DIV/0!</v>
      </c>
      <c r="J70" s="640" t="e">
        <f t="shared" si="13"/>
        <v>#DIV/0!</v>
      </c>
      <c r="K70" s="640" t="e">
        <f t="shared" si="13"/>
        <v>#DIV/0!</v>
      </c>
      <c r="L70" s="640" t="e">
        <f t="shared" si="13"/>
        <v>#DIV/0!</v>
      </c>
      <c r="M70" s="640" t="e">
        <f t="shared" si="13"/>
        <v>#DIV/0!</v>
      </c>
      <c r="N70" s="640" t="e">
        <f t="shared" si="13"/>
        <v>#DIV/0!</v>
      </c>
      <c r="O70" s="640" t="e">
        <f t="shared" si="13"/>
        <v>#DIV/0!</v>
      </c>
      <c r="P70" s="640" t="e">
        <f t="shared" si="13"/>
        <v>#DIV/0!</v>
      </c>
      <c r="Q70" s="640" t="e">
        <f t="shared" si="13"/>
        <v>#DIV/0!</v>
      </c>
      <c r="R70" s="640" t="e">
        <f t="shared" si="13"/>
        <v>#DIV/0!</v>
      </c>
      <c r="S70" s="640" t="e">
        <f t="shared" si="13"/>
        <v>#DIV/0!</v>
      </c>
      <c r="T70" s="640" t="e">
        <f t="shared" si="13"/>
        <v>#DIV/0!</v>
      </c>
      <c r="U70" s="640" t="e">
        <f t="shared" si="13"/>
        <v>#DIV/0!</v>
      </c>
      <c r="V70" s="640" t="e">
        <f t="shared" si="13"/>
        <v>#DIV/0!</v>
      </c>
      <c r="W70" s="640" t="e">
        <f t="shared" si="13"/>
        <v>#DIV/0!</v>
      </c>
      <c r="X70" s="640" t="e">
        <f t="shared" si="13"/>
        <v>#DIV/0!</v>
      </c>
      <c r="Y70" s="640"/>
      <c r="Z70" s="640" t="e">
        <f>Z69/$D$1</f>
        <v>#DIV/0!</v>
      </c>
      <c r="AA70" s="640" t="e">
        <f>AA69/$D$1</f>
        <v>#DIV/0!</v>
      </c>
      <c r="AB70" s="640"/>
      <c r="AC70" s="532"/>
    </row>
    <row r="71" spans="2:29" ht="18.75" customHeight="1">
      <c r="D71" s="641"/>
      <c r="F71" s="641"/>
    </row>
    <row r="72" spans="2:29" ht="3.75" customHeight="1"/>
    <row r="73" spans="2:29" ht="15.2">
      <c r="C73" s="819"/>
      <c r="D73" s="819"/>
      <c r="E73" s="819"/>
      <c r="F73" s="819"/>
      <c r="G73" s="819"/>
      <c r="H73" s="819"/>
      <c r="I73" s="819"/>
      <c r="J73" s="819"/>
      <c r="K73" s="819"/>
      <c r="L73" s="819"/>
      <c r="M73" s="819"/>
      <c r="N73" s="819"/>
      <c r="O73" s="820"/>
      <c r="P73" s="668"/>
      <c r="Q73" s="821" t="s">
        <v>55</v>
      </c>
      <c r="R73" s="822"/>
      <c r="S73" s="822"/>
      <c r="T73" s="822"/>
      <c r="U73" s="822"/>
      <c r="V73" s="823"/>
    </row>
    <row r="74" spans="2:29" ht="15.2">
      <c r="C74" s="642"/>
      <c r="D74" s="824" t="s">
        <v>56</v>
      </c>
      <c r="E74" s="825"/>
      <c r="F74" s="824" t="s">
        <v>57</v>
      </c>
      <c r="G74" s="826"/>
      <c r="I74" s="669" t="s">
        <v>58</v>
      </c>
      <c r="J74" s="824" t="s">
        <v>56</v>
      </c>
      <c r="K74" s="825"/>
      <c r="L74" s="670" t="s">
        <v>59</v>
      </c>
      <c r="M74" s="671"/>
      <c r="N74" s="824" t="s">
        <v>57</v>
      </c>
      <c r="O74" s="826"/>
      <c r="Q74" s="692" t="s">
        <v>19</v>
      </c>
      <c r="R74" s="693"/>
      <c r="S74" s="694">
        <f>Z69</f>
        <v>0</v>
      </c>
      <c r="T74" s="695" t="s">
        <v>60</v>
      </c>
      <c r="U74" s="696" t="e">
        <f>Z70</f>
        <v>#DIV/0!</v>
      </c>
      <c r="V74" s="697" t="s">
        <v>60</v>
      </c>
    </row>
    <row r="75" spans="2:29" ht="14.45">
      <c r="C75" s="643"/>
      <c r="D75" s="644">
        <f>J69</f>
        <v>330.833333330171</v>
      </c>
      <c r="E75" s="645" t="s">
        <v>61</v>
      </c>
      <c r="F75" s="646" t="e">
        <f>J70</f>
        <v>#DIV/0!</v>
      </c>
      <c r="G75" s="645" t="s">
        <v>61</v>
      </c>
      <c r="I75" s="672" t="s">
        <v>31</v>
      </c>
      <c r="J75" s="673">
        <f>G69</f>
        <v>0</v>
      </c>
      <c r="K75" s="674" t="s">
        <v>61</v>
      </c>
      <c r="L75" s="675" t="e">
        <f>J75/$J$79*100%</f>
        <v>#DIV/0!</v>
      </c>
      <c r="M75" s="675"/>
      <c r="N75" s="676" t="e">
        <f>G70</f>
        <v>#DIV/0!</v>
      </c>
      <c r="O75" s="677" t="s">
        <v>61</v>
      </c>
      <c r="Q75" s="698" t="s">
        <v>62</v>
      </c>
      <c r="R75" s="699"/>
      <c r="S75" s="700">
        <f>AA69</f>
        <v>432.28333333482698</v>
      </c>
      <c r="T75" s="701" t="s">
        <v>60</v>
      </c>
      <c r="U75" s="702" t="e">
        <f>AA70</f>
        <v>#DIV/0!</v>
      </c>
      <c r="V75" s="703" t="s">
        <v>60</v>
      </c>
    </row>
    <row r="76" spans="2:29" ht="14.45">
      <c r="C76" s="647"/>
      <c r="D76" s="648">
        <f>K69</f>
        <v>0</v>
      </c>
      <c r="E76" s="649" t="s">
        <v>61</v>
      </c>
      <c r="F76" s="650" t="e">
        <f>K70</f>
        <v>#DIV/0!</v>
      </c>
      <c r="G76" s="649" t="s">
        <v>61</v>
      </c>
      <c r="I76" s="678" t="s">
        <v>33</v>
      </c>
      <c r="J76" s="679">
        <f>H69</f>
        <v>0</v>
      </c>
      <c r="K76" s="680" t="s">
        <v>61</v>
      </c>
      <c r="L76" s="681" t="e">
        <f>J76/$J$79*100%</f>
        <v>#DIV/0!</v>
      </c>
      <c r="M76" s="681"/>
      <c r="N76" s="682" t="e">
        <f>H70</f>
        <v>#DIV/0!</v>
      </c>
      <c r="O76" s="649" t="s">
        <v>61</v>
      </c>
      <c r="Q76" s="827" t="s">
        <v>29</v>
      </c>
      <c r="R76" s="828"/>
      <c r="S76" s="700">
        <f>E69</f>
        <v>120</v>
      </c>
      <c r="T76" s="701" t="s">
        <v>60</v>
      </c>
      <c r="U76" s="702" t="e">
        <f>E70</f>
        <v>#DIV/0!</v>
      </c>
      <c r="V76" s="703" t="s">
        <v>60</v>
      </c>
    </row>
    <row r="77" spans="2:29" ht="14.45">
      <c r="C77" s="647"/>
      <c r="D77" s="648">
        <f>L69</f>
        <v>0</v>
      </c>
      <c r="E77" s="649" t="s">
        <v>61</v>
      </c>
      <c r="F77" s="650" t="e">
        <f>L70</f>
        <v>#DIV/0!</v>
      </c>
      <c r="G77" s="649" t="s">
        <v>61</v>
      </c>
      <c r="I77" s="678" t="s">
        <v>63</v>
      </c>
      <c r="J77" s="679">
        <f>I69</f>
        <v>0</v>
      </c>
      <c r="K77" s="680" t="s">
        <v>61</v>
      </c>
      <c r="L77" s="681" t="e">
        <f>J77/$J$79*100%</f>
        <v>#DIV/0!</v>
      </c>
      <c r="M77" s="681"/>
      <c r="N77" s="682" t="e">
        <f>I70</f>
        <v>#DIV/0!</v>
      </c>
      <c r="O77" s="649" t="s">
        <v>61</v>
      </c>
      <c r="Q77" s="827" t="s">
        <v>28</v>
      </c>
      <c r="R77" s="828"/>
      <c r="S77" s="700">
        <f>D69</f>
        <v>0</v>
      </c>
      <c r="T77" s="701" t="s">
        <v>60</v>
      </c>
      <c r="U77" s="702" t="e">
        <f>D70</f>
        <v>#DIV/0!</v>
      </c>
      <c r="V77" s="703" t="s">
        <v>60</v>
      </c>
    </row>
    <row r="78" spans="2:29" ht="15.2">
      <c r="C78" s="647"/>
      <c r="D78" s="648">
        <f>N69</f>
        <v>9.1999999876017604</v>
      </c>
      <c r="E78" s="649" t="s">
        <v>61</v>
      </c>
      <c r="F78" s="650" t="e">
        <f>N70</f>
        <v>#DIV/0!</v>
      </c>
      <c r="G78" s="649" t="s">
        <v>61</v>
      </c>
      <c r="I78" s="683"/>
      <c r="J78" s="684"/>
      <c r="K78" s="685"/>
      <c r="L78" s="686"/>
      <c r="M78" s="686"/>
      <c r="N78" s="687"/>
      <c r="O78" s="657"/>
      <c r="Q78" s="827" t="s">
        <v>64</v>
      </c>
      <c r="R78" s="828"/>
      <c r="S78" s="700" t="e">
        <f>#REF!</f>
        <v>#REF!</v>
      </c>
      <c r="T78" s="701" t="s">
        <v>60</v>
      </c>
      <c r="U78" s="702" t="e">
        <f>#REF!</f>
        <v>#REF!</v>
      </c>
      <c r="V78" s="703" t="s">
        <v>60</v>
      </c>
    </row>
    <row r="79" spans="2:29" ht="15.2">
      <c r="C79" s="647"/>
      <c r="D79" s="648">
        <f>O69</f>
        <v>92.250000017054901</v>
      </c>
      <c r="E79" s="649" t="s">
        <v>61</v>
      </c>
      <c r="F79" s="650" t="e">
        <f>O70</f>
        <v>#DIV/0!</v>
      </c>
      <c r="G79" s="649" t="s">
        <v>61</v>
      </c>
      <c r="I79" s="688" t="s">
        <v>56</v>
      </c>
      <c r="J79" s="689">
        <f>SUM(J75:J78)</f>
        <v>0</v>
      </c>
      <c r="Q79" s="829" t="s">
        <v>30</v>
      </c>
      <c r="R79" s="830"/>
      <c r="S79" s="704">
        <f>F69</f>
        <v>407.71666666517302</v>
      </c>
      <c r="T79" s="705" t="s">
        <v>60</v>
      </c>
      <c r="U79" s="706" t="e">
        <f>F70</f>
        <v>#DIV/0!</v>
      </c>
      <c r="V79" s="707" t="s">
        <v>60</v>
      </c>
    </row>
    <row r="80" spans="2:29" ht="15.2">
      <c r="C80" s="647"/>
      <c r="D80" s="648">
        <f>P69</f>
        <v>0</v>
      </c>
      <c r="E80" s="649" t="s">
        <v>61</v>
      </c>
      <c r="F80" s="650" t="e">
        <f>P70</f>
        <v>#DIV/0!</v>
      </c>
      <c r="G80" s="649" t="s">
        <v>61</v>
      </c>
      <c r="I80" s="690" t="s">
        <v>65</v>
      </c>
      <c r="J80" s="662">
        <f>J79/(Z69+AA69)</f>
        <v>0</v>
      </c>
      <c r="Q80" s="708" t="s">
        <v>66</v>
      </c>
      <c r="R80" s="709"/>
      <c r="S80" s="710" t="e">
        <f>SUM(S74:S79)</f>
        <v>#REF!</v>
      </c>
      <c r="U80" s="711" t="e">
        <f>SUM(U74:U79)</f>
        <v>#DIV/0!</v>
      </c>
    </row>
    <row r="81" spans="3:22" ht="15.2">
      <c r="C81" s="647"/>
      <c r="D81" s="648">
        <f>Q69</f>
        <v>0</v>
      </c>
      <c r="E81" s="649" t="s">
        <v>61</v>
      </c>
      <c r="F81" s="650" t="e">
        <f>Q70</f>
        <v>#DIV/0!</v>
      </c>
      <c r="G81" s="649" t="s">
        <v>61</v>
      </c>
    </row>
    <row r="82" spans="3:22" ht="15" customHeight="1">
      <c r="C82" s="651"/>
      <c r="D82" s="648">
        <f>R69</f>
        <v>0</v>
      </c>
      <c r="E82" s="649" t="s">
        <v>61</v>
      </c>
      <c r="F82" s="650" t="e">
        <f>R70</f>
        <v>#DIV/0!</v>
      </c>
      <c r="G82" s="649" t="s">
        <v>61</v>
      </c>
      <c r="P82" s="668"/>
      <c r="Q82" s="831" t="s">
        <v>67</v>
      </c>
      <c r="R82" s="832"/>
      <c r="S82" s="712">
        <f>C69+D69</f>
        <v>960</v>
      </c>
      <c r="T82" s="713" t="s">
        <v>60</v>
      </c>
      <c r="U82" s="668"/>
      <c r="V82" s="668"/>
    </row>
    <row r="83" spans="3:22" ht="14.45">
      <c r="C83" s="651"/>
      <c r="D83" s="648">
        <f>S69</f>
        <v>0</v>
      </c>
      <c r="E83" s="649" t="s">
        <v>61</v>
      </c>
      <c r="F83" s="650" t="e">
        <f>S70</f>
        <v>#DIV/0!</v>
      </c>
      <c r="G83" s="649" t="s">
        <v>61</v>
      </c>
      <c r="P83" s="668"/>
      <c r="Q83" s="668"/>
      <c r="R83" s="668"/>
      <c r="S83" s="668"/>
      <c r="T83" s="668"/>
      <c r="U83" s="668"/>
      <c r="V83" s="668"/>
    </row>
    <row r="84" spans="3:22" ht="14.45">
      <c r="C84" s="652"/>
      <c r="D84" s="653">
        <f>T69</f>
        <v>0</v>
      </c>
      <c r="E84" s="649" t="s">
        <v>61</v>
      </c>
      <c r="F84" s="654" t="e">
        <f>T70</f>
        <v>#DIV/0!</v>
      </c>
      <c r="G84" s="649" t="s">
        <v>61</v>
      </c>
      <c r="P84" s="668"/>
      <c r="Q84" s="668"/>
      <c r="R84" s="668"/>
      <c r="S84" s="668"/>
      <c r="T84" s="668"/>
      <c r="U84" s="668"/>
      <c r="V84" s="668"/>
    </row>
    <row r="85" spans="3:22" ht="14.45">
      <c r="C85" s="652"/>
      <c r="D85" s="653" t="e">
        <f>#REF!</f>
        <v>#REF!</v>
      </c>
      <c r="E85" s="649" t="s">
        <v>61</v>
      </c>
      <c r="F85" s="654" t="e">
        <f>#REF!</f>
        <v>#REF!</v>
      </c>
      <c r="G85" s="649" t="s">
        <v>61</v>
      </c>
      <c r="P85" s="668"/>
      <c r="Q85" s="668"/>
      <c r="R85" s="668"/>
      <c r="S85" s="668"/>
      <c r="T85" s="668"/>
      <c r="U85" s="668"/>
      <c r="V85" s="668"/>
    </row>
    <row r="86" spans="3:22" ht="14.45">
      <c r="C86" s="652"/>
      <c r="D86" s="653">
        <f>U69</f>
        <v>0</v>
      </c>
      <c r="E86" s="649" t="s">
        <v>61</v>
      </c>
      <c r="F86" s="654" t="e">
        <f>U70</f>
        <v>#DIV/0!</v>
      </c>
      <c r="G86" s="649" t="s">
        <v>61</v>
      </c>
      <c r="P86" s="668"/>
      <c r="Q86" s="668"/>
      <c r="R86" s="668"/>
      <c r="S86" s="668"/>
      <c r="T86" s="668"/>
      <c r="U86" s="668"/>
      <c r="V86" s="668"/>
    </row>
    <row r="87" spans="3:22" ht="14.45">
      <c r="C87" s="652"/>
      <c r="D87" s="653">
        <f>V69</f>
        <v>0</v>
      </c>
      <c r="E87" s="649" t="s">
        <v>61</v>
      </c>
      <c r="F87" s="654" t="e">
        <f>V70</f>
        <v>#DIV/0!</v>
      </c>
      <c r="G87" s="649" t="s">
        <v>61</v>
      </c>
      <c r="P87" s="668"/>
      <c r="Q87" s="668"/>
      <c r="R87" s="668"/>
      <c r="S87" s="668"/>
      <c r="T87" s="668"/>
      <c r="U87" s="668"/>
      <c r="V87" s="668"/>
    </row>
    <row r="88" spans="3:22" ht="14.45">
      <c r="C88" s="652"/>
      <c r="D88" s="653">
        <f>W69</f>
        <v>0</v>
      </c>
      <c r="E88" s="649" t="s">
        <v>61</v>
      </c>
      <c r="F88" s="654" t="e">
        <f>W70</f>
        <v>#DIV/0!</v>
      </c>
      <c r="G88" s="649" t="s">
        <v>61</v>
      </c>
      <c r="P88" s="668"/>
      <c r="Q88" s="668"/>
      <c r="R88" s="668"/>
      <c r="S88" s="668"/>
      <c r="T88" s="668"/>
      <c r="U88" s="668"/>
      <c r="V88" s="668"/>
    </row>
    <row r="89" spans="3:22" ht="14.45">
      <c r="C89" s="652"/>
      <c r="D89" s="653">
        <f>X69</f>
        <v>0</v>
      </c>
      <c r="E89" s="649" t="s">
        <v>61</v>
      </c>
      <c r="F89" s="654" t="e">
        <f>X70</f>
        <v>#DIV/0!</v>
      </c>
      <c r="G89" s="649" t="s">
        <v>61</v>
      </c>
      <c r="P89" s="668"/>
      <c r="Q89" s="668"/>
      <c r="R89" s="668"/>
      <c r="S89" s="668"/>
      <c r="T89" s="668"/>
      <c r="U89" s="668"/>
      <c r="V89" s="668"/>
    </row>
    <row r="90" spans="3:22" ht="15.2">
      <c r="C90" s="655"/>
      <c r="D90" s="656" t="e">
        <f>#REF!</f>
        <v>#REF!</v>
      </c>
      <c r="E90" s="657" t="s">
        <v>61</v>
      </c>
      <c r="F90" s="658" t="e">
        <f>#REF!</f>
        <v>#REF!</v>
      </c>
      <c r="G90" s="657" t="s">
        <v>61</v>
      </c>
      <c r="L90" s="668"/>
      <c r="M90" s="668"/>
      <c r="N90" s="668"/>
      <c r="O90" s="668"/>
      <c r="P90" s="668"/>
      <c r="Q90" s="668"/>
      <c r="U90" s="668"/>
      <c r="V90" s="668"/>
    </row>
    <row r="91" spans="3:22" ht="14.45">
      <c r="C91" s="659"/>
      <c r="D91" s="660" t="e">
        <f>SUM(D75:D90)</f>
        <v>#REF!</v>
      </c>
      <c r="L91" s="668"/>
      <c r="M91" s="668"/>
      <c r="N91" s="668"/>
      <c r="O91" s="668"/>
      <c r="P91" s="668"/>
      <c r="Q91" s="668"/>
      <c r="U91" s="668"/>
      <c r="V91" s="668"/>
    </row>
    <row r="92" spans="3:22" ht="15.2">
      <c r="C92" s="661"/>
      <c r="D92" s="662" t="e">
        <f>D91/(Z69+AA69)</f>
        <v>#REF!</v>
      </c>
      <c r="L92" s="668"/>
      <c r="M92" s="668"/>
      <c r="N92" s="668"/>
      <c r="O92" s="668"/>
      <c r="P92" s="668"/>
      <c r="Q92" s="668"/>
      <c r="U92" s="668"/>
      <c r="V92" s="668"/>
    </row>
    <row r="93" spans="3:22" ht="14.45">
      <c r="L93" s="668"/>
      <c r="M93" s="668"/>
      <c r="N93" s="668"/>
      <c r="O93" s="668"/>
      <c r="P93" s="668"/>
      <c r="Q93" s="668"/>
      <c r="U93" s="668"/>
      <c r="V93" s="668"/>
    </row>
    <row r="94" spans="3:22" ht="14.45">
      <c r="L94" s="668"/>
      <c r="M94" s="668"/>
      <c r="N94" s="668"/>
      <c r="O94" s="668"/>
      <c r="P94" s="668"/>
      <c r="Q94" s="668"/>
      <c r="U94" s="668"/>
      <c r="V94" s="668"/>
    </row>
    <row r="97" spans="8:8">
      <c r="H97" s="663"/>
    </row>
    <row r="135" spans="7:15">
      <c r="I135" s="663">
        <v>0.916666666686069</v>
      </c>
      <c r="J135" s="663">
        <v>8.5833333331975208</v>
      </c>
      <c r="N135" s="663">
        <v>0.99999999994179201</v>
      </c>
      <c r="O135" s="721">
        <v>2.25</v>
      </c>
    </row>
    <row r="136" spans="7:15">
      <c r="G136" s="663">
        <v>10.5</v>
      </c>
      <c r="H136" s="721"/>
      <c r="J136" s="663"/>
      <c r="L136" s="721"/>
      <c r="M136" s="721"/>
      <c r="N136" s="663">
        <v>1.5</v>
      </c>
      <c r="O136" s="721">
        <v>1.5</v>
      </c>
    </row>
    <row r="137" spans="7:15">
      <c r="I137" s="721">
        <v>0.49999999988358501</v>
      </c>
      <c r="J137" s="663">
        <v>5.0000000000582103</v>
      </c>
      <c r="K137" s="663">
        <v>9</v>
      </c>
      <c r="N137" s="663">
        <v>0.99999999994179201</v>
      </c>
      <c r="O137" s="721"/>
    </row>
    <row r="138" spans="7:15">
      <c r="G138" s="721">
        <v>18</v>
      </c>
      <c r="K138" s="663"/>
      <c r="L138" s="721"/>
      <c r="M138" s="721"/>
    </row>
    <row r="139" spans="7:15">
      <c r="J139" s="663">
        <v>10.749999999941799</v>
      </c>
      <c r="K139" s="663">
        <v>2.25</v>
      </c>
      <c r="L139" s="663"/>
      <c r="M139" s="663"/>
      <c r="N139" s="721">
        <v>1.4999999998253799</v>
      </c>
    </row>
    <row r="140" spans="7:15">
      <c r="G140" s="721">
        <v>18</v>
      </c>
      <c r="J140" s="663"/>
      <c r="K140" s="663"/>
      <c r="L140" s="663"/>
      <c r="M140" s="663"/>
      <c r="N140" s="663"/>
    </row>
    <row r="141" spans="7:15">
      <c r="I141" s="663">
        <v>0.99999999994179201</v>
      </c>
      <c r="J141" s="663">
        <v>7.3333333333139299</v>
      </c>
      <c r="K141" s="721"/>
      <c r="L141" s="721"/>
      <c r="M141" s="721"/>
      <c r="N141" s="663">
        <v>0.99999999994179201</v>
      </c>
      <c r="O141" s="721">
        <v>3</v>
      </c>
    </row>
    <row r="142" spans="7:15">
      <c r="G142" s="721">
        <v>18</v>
      </c>
      <c r="J142" s="663"/>
      <c r="K142" s="721"/>
      <c r="L142" s="663"/>
      <c r="M142" s="663"/>
      <c r="N142" s="721"/>
    </row>
    <row r="143" spans="7:15">
      <c r="I143" s="663">
        <v>0.83333333325572301</v>
      </c>
      <c r="J143" s="663">
        <v>2.25</v>
      </c>
      <c r="K143" s="721"/>
      <c r="L143" s="721"/>
      <c r="M143" s="721"/>
      <c r="N143" s="663">
        <v>3</v>
      </c>
      <c r="O143" s="721">
        <v>1.8333333331975199</v>
      </c>
    </row>
  </sheetData>
  <mergeCells count="23">
    <mergeCell ref="Y4:Y5"/>
    <mergeCell ref="Z4:Z5"/>
    <mergeCell ref="AA4:AA5"/>
    <mergeCell ref="AB4:AB5"/>
    <mergeCell ref="AC4:AC5"/>
    <mergeCell ref="Q76:R76"/>
    <mergeCell ref="Q77:R77"/>
    <mergeCell ref="Q78:R78"/>
    <mergeCell ref="Q79:R79"/>
    <mergeCell ref="Q82:R82"/>
    <mergeCell ref="C73:O73"/>
    <mergeCell ref="Q73:V73"/>
    <mergeCell ref="D74:E74"/>
    <mergeCell ref="F74:G74"/>
    <mergeCell ref="J74:K74"/>
    <mergeCell ref="N74:O74"/>
    <mergeCell ref="B2:W2"/>
    <mergeCell ref="B3:W3"/>
    <mergeCell ref="C4:F4"/>
    <mergeCell ref="G4:I4"/>
    <mergeCell ref="J4:P4"/>
    <mergeCell ref="Q4:X4"/>
    <mergeCell ref="B4:B5"/>
  </mergeCells>
  <pageMargins left="0.69930555555555596" right="0.69930555555555596" top="0.75" bottom="0.75" header="0.3" footer="0.3"/>
  <pageSetup scale="55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35"/>
  <sheetViews>
    <sheetView zoomScale="180" zoomScaleNormal="180" workbookViewId="0">
      <pane ySplit="2" topLeftCell="A25" activePane="bottomLeft" state="frozen"/>
      <selection pane="bottomLeft" activeCell="D32" sqref="D32"/>
    </sheetView>
  </sheetViews>
  <sheetFormatPr defaultColWidth="14.125" defaultRowHeight="12.6"/>
  <cols>
    <col min="1" max="1" width="11.25" style="378" customWidth="1"/>
    <col min="2" max="6" width="14.125" style="378"/>
    <col min="7" max="7" width="18.5" style="378" customWidth="1"/>
    <col min="8" max="237" width="14.125" style="378"/>
    <col min="238" max="238" width="11.25" style="378" customWidth="1"/>
    <col min="239" max="239" width="13.25" style="378" customWidth="1"/>
    <col min="240" max="240" width="17.25" style="378" customWidth="1"/>
    <col min="241" max="241" width="8.875" style="378" customWidth="1"/>
    <col min="242" max="242" width="10.25" style="378" customWidth="1"/>
    <col min="243" max="243" width="12.5" style="378" customWidth="1"/>
    <col min="244" max="244" width="12.75" style="378" customWidth="1"/>
    <col min="245" max="245" width="6" style="378" customWidth="1"/>
    <col min="246" max="246" width="5" style="378" customWidth="1"/>
    <col min="247" max="247" width="13.875" style="378" customWidth="1"/>
    <col min="248" max="248" width="6" style="378" customWidth="1"/>
    <col min="249" max="249" width="5" style="378" customWidth="1"/>
    <col min="250" max="250" width="13.875" style="378" customWidth="1"/>
    <col min="251" max="251" width="6" style="378" customWidth="1"/>
    <col min="252" max="252" width="5" style="378" customWidth="1"/>
    <col min="253" max="253" width="13.875" style="378" customWidth="1"/>
    <col min="254" max="254" width="6" style="378" customWidth="1"/>
    <col min="255" max="255" width="5" style="378" customWidth="1"/>
    <col min="256" max="256" width="13.875" style="378" customWidth="1"/>
    <col min="257" max="257" width="14" style="378" customWidth="1"/>
    <col min="258" max="493" width="14.125" style="378"/>
    <col min="494" max="494" width="11.25" style="378" customWidth="1"/>
    <col min="495" max="495" width="13.25" style="378" customWidth="1"/>
    <col min="496" max="496" width="17.25" style="378" customWidth="1"/>
    <col min="497" max="497" width="8.875" style="378" customWidth="1"/>
    <col min="498" max="498" width="10.25" style="378" customWidth="1"/>
    <col min="499" max="499" width="12.5" style="378" customWidth="1"/>
    <col min="500" max="500" width="12.75" style="378" customWidth="1"/>
    <col min="501" max="501" width="6" style="378" customWidth="1"/>
    <col min="502" max="502" width="5" style="378" customWidth="1"/>
    <col min="503" max="503" width="13.875" style="378" customWidth="1"/>
    <col min="504" max="504" width="6" style="378" customWidth="1"/>
    <col min="505" max="505" width="5" style="378" customWidth="1"/>
    <col min="506" max="506" width="13.875" style="378" customWidth="1"/>
    <col min="507" max="507" width="6" style="378" customWidth="1"/>
    <col min="508" max="508" width="5" style="378" customWidth="1"/>
    <col min="509" max="509" width="13.875" style="378" customWidth="1"/>
    <col min="510" max="510" width="6" style="378" customWidth="1"/>
    <col min="511" max="511" width="5" style="378" customWidth="1"/>
    <col min="512" max="512" width="13.875" style="378" customWidth="1"/>
    <col min="513" max="513" width="14" style="378" customWidth="1"/>
    <col min="514" max="749" width="14.125" style="378"/>
    <col min="750" max="750" width="11.25" style="378" customWidth="1"/>
    <col min="751" max="751" width="13.25" style="378" customWidth="1"/>
    <col min="752" max="752" width="17.25" style="378" customWidth="1"/>
    <col min="753" max="753" width="8.875" style="378" customWidth="1"/>
    <col min="754" max="754" width="10.25" style="378" customWidth="1"/>
    <col min="755" max="755" width="12.5" style="378" customWidth="1"/>
    <col min="756" max="756" width="12.75" style="378" customWidth="1"/>
    <col min="757" max="757" width="6" style="378" customWidth="1"/>
    <col min="758" max="758" width="5" style="378" customWidth="1"/>
    <col min="759" max="759" width="13.875" style="378" customWidth="1"/>
    <col min="760" max="760" width="6" style="378" customWidth="1"/>
    <col min="761" max="761" width="5" style="378" customWidth="1"/>
    <col min="762" max="762" width="13.875" style="378" customWidth="1"/>
    <col min="763" max="763" width="6" style="378" customWidth="1"/>
    <col min="764" max="764" width="5" style="378" customWidth="1"/>
    <col min="765" max="765" width="13.875" style="378" customWidth="1"/>
    <col min="766" max="766" width="6" style="378" customWidth="1"/>
    <col min="767" max="767" width="5" style="378" customWidth="1"/>
    <col min="768" max="768" width="13.875" style="378" customWidth="1"/>
    <col min="769" max="769" width="14" style="378" customWidth="1"/>
    <col min="770" max="1005" width="14.125" style="378"/>
    <col min="1006" max="1006" width="11.25" style="378" customWidth="1"/>
    <col min="1007" max="1007" width="13.25" style="378" customWidth="1"/>
    <col min="1008" max="1008" width="17.25" style="378" customWidth="1"/>
    <col min="1009" max="1009" width="8.875" style="378" customWidth="1"/>
    <col min="1010" max="1010" width="10.25" style="378" customWidth="1"/>
    <col min="1011" max="1011" width="12.5" style="378" customWidth="1"/>
    <col min="1012" max="1012" width="12.75" style="378" customWidth="1"/>
    <col min="1013" max="1013" width="6" style="378" customWidth="1"/>
    <col min="1014" max="1014" width="5" style="378" customWidth="1"/>
    <col min="1015" max="1015" width="13.875" style="378" customWidth="1"/>
    <col min="1016" max="1016" width="6" style="378" customWidth="1"/>
    <col min="1017" max="1017" width="5" style="378" customWidth="1"/>
    <col min="1018" max="1018" width="13.875" style="378" customWidth="1"/>
    <col min="1019" max="1019" width="6" style="378" customWidth="1"/>
    <col min="1020" max="1020" width="5" style="378" customWidth="1"/>
    <col min="1021" max="1021" width="13.875" style="378" customWidth="1"/>
    <col min="1022" max="1022" width="6" style="378" customWidth="1"/>
    <col min="1023" max="1023" width="5" style="378" customWidth="1"/>
    <col min="1024" max="1024" width="13.875" style="378" customWidth="1"/>
    <col min="1025" max="1025" width="14" style="378" customWidth="1"/>
    <col min="1026" max="1261" width="14.125" style="378"/>
    <col min="1262" max="1262" width="11.25" style="378" customWidth="1"/>
    <col min="1263" max="1263" width="13.25" style="378" customWidth="1"/>
    <col min="1264" max="1264" width="17.25" style="378" customWidth="1"/>
    <col min="1265" max="1265" width="8.875" style="378" customWidth="1"/>
    <col min="1266" max="1266" width="10.25" style="378" customWidth="1"/>
    <col min="1267" max="1267" width="12.5" style="378" customWidth="1"/>
    <col min="1268" max="1268" width="12.75" style="378" customWidth="1"/>
    <col min="1269" max="1269" width="6" style="378" customWidth="1"/>
    <col min="1270" max="1270" width="5" style="378" customWidth="1"/>
    <col min="1271" max="1271" width="13.875" style="378" customWidth="1"/>
    <col min="1272" max="1272" width="6" style="378" customWidth="1"/>
    <col min="1273" max="1273" width="5" style="378" customWidth="1"/>
    <col min="1274" max="1274" width="13.875" style="378" customWidth="1"/>
    <col min="1275" max="1275" width="6" style="378" customWidth="1"/>
    <col min="1276" max="1276" width="5" style="378" customWidth="1"/>
    <col min="1277" max="1277" width="13.875" style="378" customWidth="1"/>
    <col min="1278" max="1278" width="6" style="378" customWidth="1"/>
    <col min="1279" max="1279" width="5" style="378" customWidth="1"/>
    <col min="1280" max="1280" width="13.875" style="378" customWidth="1"/>
    <col min="1281" max="1281" width="14" style="378" customWidth="1"/>
    <col min="1282" max="1517" width="14.125" style="378"/>
    <col min="1518" max="1518" width="11.25" style="378" customWidth="1"/>
    <col min="1519" max="1519" width="13.25" style="378" customWidth="1"/>
    <col min="1520" max="1520" width="17.25" style="378" customWidth="1"/>
    <col min="1521" max="1521" width="8.875" style="378" customWidth="1"/>
    <col min="1522" max="1522" width="10.25" style="378" customWidth="1"/>
    <col min="1523" max="1523" width="12.5" style="378" customWidth="1"/>
    <col min="1524" max="1524" width="12.75" style="378" customWidth="1"/>
    <col min="1525" max="1525" width="6" style="378" customWidth="1"/>
    <col min="1526" max="1526" width="5" style="378" customWidth="1"/>
    <col min="1527" max="1527" width="13.875" style="378" customWidth="1"/>
    <col min="1528" max="1528" width="6" style="378" customWidth="1"/>
    <col min="1529" max="1529" width="5" style="378" customWidth="1"/>
    <col min="1530" max="1530" width="13.875" style="378" customWidth="1"/>
    <col min="1531" max="1531" width="6" style="378" customWidth="1"/>
    <col min="1532" max="1532" width="5" style="378" customWidth="1"/>
    <col min="1533" max="1533" width="13.875" style="378" customWidth="1"/>
    <col min="1534" max="1534" width="6" style="378" customWidth="1"/>
    <col min="1535" max="1535" width="5" style="378" customWidth="1"/>
    <col min="1536" max="1536" width="13.875" style="378" customWidth="1"/>
    <col min="1537" max="1537" width="14" style="378" customWidth="1"/>
    <col min="1538" max="1773" width="14.125" style="378"/>
    <col min="1774" max="1774" width="11.25" style="378" customWidth="1"/>
    <col min="1775" max="1775" width="13.25" style="378" customWidth="1"/>
    <col min="1776" max="1776" width="17.25" style="378" customWidth="1"/>
    <col min="1777" max="1777" width="8.875" style="378" customWidth="1"/>
    <col min="1778" max="1778" width="10.25" style="378" customWidth="1"/>
    <col min="1779" max="1779" width="12.5" style="378" customWidth="1"/>
    <col min="1780" max="1780" width="12.75" style="378" customWidth="1"/>
    <col min="1781" max="1781" width="6" style="378" customWidth="1"/>
    <col min="1782" max="1782" width="5" style="378" customWidth="1"/>
    <col min="1783" max="1783" width="13.875" style="378" customWidth="1"/>
    <col min="1784" max="1784" width="6" style="378" customWidth="1"/>
    <col min="1785" max="1785" width="5" style="378" customWidth="1"/>
    <col min="1786" max="1786" width="13.875" style="378" customWidth="1"/>
    <col min="1787" max="1787" width="6" style="378" customWidth="1"/>
    <col min="1788" max="1788" width="5" style="378" customWidth="1"/>
    <col min="1789" max="1789" width="13.875" style="378" customWidth="1"/>
    <col min="1790" max="1790" width="6" style="378" customWidth="1"/>
    <col min="1791" max="1791" width="5" style="378" customWidth="1"/>
    <col min="1792" max="1792" width="13.875" style="378" customWidth="1"/>
    <col min="1793" max="1793" width="14" style="378" customWidth="1"/>
    <col min="1794" max="2029" width="14.125" style="378"/>
    <col min="2030" max="2030" width="11.25" style="378" customWidth="1"/>
    <col min="2031" max="2031" width="13.25" style="378" customWidth="1"/>
    <col min="2032" max="2032" width="17.25" style="378" customWidth="1"/>
    <col min="2033" max="2033" width="8.875" style="378" customWidth="1"/>
    <col min="2034" max="2034" width="10.25" style="378" customWidth="1"/>
    <col min="2035" max="2035" width="12.5" style="378" customWidth="1"/>
    <col min="2036" max="2036" width="12.75" style="378" customWidth="1"/>
    <col min="2037" max="2037" width="6" style="378" customWidth="1"/>
    <col min="2038" max="2038" width="5" style="378" customWidth="1"/>
    <col min="2039" max="2039" width="13.875" style="378" customWidth="1"/>
    <col min="2040" max="2040" width="6" style="378" customWidth="1"/>
    <col min="2041" max="2041" width="5" style="378" customWidth="1"/>
    <col min="2042" max="2042" width="13.875" style="378" customWidth="1"/>
    <col min="2043" max="2043" width="6" style="378" customWidth="1"/>
    <col min="2044" max="2044" width="5" style="378" customWidth="1"/>
    <col min="2045" max="2045" width="13.875" style="378" customWidth="1"/>
    <col min="2046" max="2046" width="6" style="378" customWidth="1"/>
    <col min="2047" max="2047" width="5" style="378" customWidth="1"/>
    <col min="2048" max="2048" width="13.875" style="378" customWidth="1"/>
    <col min="2049" max="2049" width="14" style="378" customWidth="1"/>
    <col min="2050" max="2285" width="14.125" style="378"/>
    <col min="2286" max="2286" width="11.25" style="378" customWidth="1"/>
    <col min="2287" max="2287" width="13.25" style="378" customWidth="1"/>
    <col min="2288" max="2288" width="17.25" style="378" customWidth="1"/>
    <col min="2289" max="2289" width="8.875" style="378" customWidth="1"/>
    <col min="2290" max="2290" width="10.25" style="378" customWidth="1"/>
    <col min="2291" max="2291" width="12.5" style="378" customWidth="1"/>
    <col min="2292" max="2292" width="12.75" style="378" customWidth="1"/>
    <col min="2293" max="2293" width="6" style="378" customWidth="1"/>
    <col min="2294" max="2294" width="5" style="378" customWidth="1"/>
    <col min="2295" max="2295" width="13.875" style="378" customWidth="1"/>
    <col min="2296" max="2296" width="6" style="378" customWidth="1"/>
    <col min="2297" max="2297" width="5" style="378" customWidth="1"/>
    <col min="2298" max="2298" width="13.875" style="378" customWidth="1"/>
    <col min="2299" max="2299" width="6" style="378" customWidth="1"/>
    <col min="2300" max="2300" width="5" style="378" customWidth="1"/>
    <col min="2301" max="2301" width="13.875" style="378" customWidth="1"/>
    <col min="2302" max="2302" width="6" style="378" customWidth="1"/>
    <col min="2303" max="2303" width="5" style="378" customWidth="1"/>
    <col min="2304" max="2304" width="13.875" style="378" customWidth="1"/>
    <col min="2305" max="2305" width="14" style="378" customWidth="1"/>
    <col min="2306" max="2541" width="14.125" style="378"/>
    <col min="2542" max="2542" width="11.25" style="378" customWidth="1"/>
    <col min="2543" max="2543" width="13.25" style="378" customWidth="1"/>
    <col min="2544" max="2544" width="17.25" style="378" customWidth="1"/>
    <col min="2545" max="2545" width="8.875" style="378" customWidth="1"/>
    <col min="2546" max="2546" width="10.25" style="378" customWidth="1"/>
    <col min="2547" max="2547" width="12.5" style="378" customWidth="1"/>
    <col min="2548" max="2548" width="12.75" style="378" customWidth="1"/>
    <col min="2549" max="2549" width="6" style="378" customWidth="1"/>
    <col min="2550" max="2550" width="5" style="378" customWidth="1"/>
    <col min="2551" max="2551" width="13.875" style="378" customWidth="1"/>
    <col min="2552" max="2552" width="6" style="378" customWidth="1"/>
    <col min="2553" max="2553" width="5" style="378" customWidth="1"/>
    <col min="2554" max="2554" width="13.875" style="378" customWidth="1"/>
    <col min="2555" max="2555" width="6" style="378" customWidth="1"/>
    <col min="2556" max="2556" width="5" style="378" customWidth="1"/>
    <col min="2557" max="2557" width="13.875" style="378" customWidth="1"/>
    <col min="2558" max="2558" width="6" style="378" customWidth="1"/>
    <col min="2559" max="2559" width="5" style="378" customWidth="1"/>
    <col min="2560" max="2560" width="13.875" style="378" customWidth="1"/>
    <col min="2561" max="2561" width="14" style="378" customWidth="1"/>
    <col min="2562" max="2797" width="14.125" style="378"/>
    <col min="2798" max="2798" width="11.25" style="378" customWidth="1"/>
    <col min="2799" max="2799" width="13.25" style="378" customWidth="1"/>
    <col min="2800" max="2800" width="17.25" style="378" customWidth="1"/>
    <col min="2801" max="2801" width="8.875" style="378" customWidth="1"/>
    <col min="2802" max="2802" width="10.25" style="378" customWidth="1"/>
    <col min="2803" max="2803" width="12.5" style="378" customWidth="1"/>
    <col min="2804" max="2804" width="12.75" style="378" customWidth="1"/>
    <col min="2805" max="2805" width="6" style="378" customWidth="1"/>
    <col min="2806" max="2806" width="5" style="378" customWidth="1"/>
    <col min="2807" max="2807" width="13.875" style="378" customWidth="1"/>
    <col min="2808" max="2808" width="6" style="378" customWidth="1"/>
    <col min="2809" max="2809" width="5" style="378" customWidth="1"/>
    <col min="2810" max="2810" width="13.875" style="378" customWidth="1"/>
    <col min="2811" max="2811" width="6" style="378" customWidth="1"/>
    <col min="2812" max="2812" width="5" style="378" customWidth="1"/>
    <col min="2813" max="2813" width="13.875" style="378" customWidth="1"/>
    <col min="2814" max="2814" width="6" style="378" customWidth="1"/>
    <col min="2815" max="2815" width="5" style="378" customWidth="1"/>
    <col min="2816" max="2816" width="13.875" style="378" customWidth="1"/>
    <col min="2817" max="2817" width="14" style="378" customWidth="1"/>
    <col min="2818" max="3053" width="14.125" style="378"/>
    <col min="3054" max="3054" width="11.25" style="378" customWidth="1"/>
    <col min="3055" max="3055" width="13.25" style="378" customWidth="1"/>
    <col min="3056" max="3056" width="17.25" style="378" customWidth="1"/>
    <col min="3057" max="3057" width="8.875" style="378" customWidth="1"/>
    <col min="3058" max="3058" width="10.25" style="378" customWidth="1"/>
    <col min="3059" max="3059" width="12.5" style="378" customWidth="1"/>
    <col min="3060" max="3060" width="12.75" style="378" customWidth="1"/>
    <col min="3061" max="3061" width="6" style="378" customWidth="1"/>
    <col min="3062" max="3062" width="5" style="378" customWidth="1"/>
    <col min="3063" max="3063" width="13.875" style="378" customWidth="1"/>
    <col min="3064" max="3064" width="6" style="378" customWidth="1"/>
    <col min="3065" max="3065" width="5" style="378" customWidth="1"/>
    <col min="3066" max="3066" width="13.875" style="378" customWidth="1"/>
    <col min="3067" max="3067" width="6" style="378" customWidth="1"/>
    <col min="3068" max="3068" width="5" style="378" customWidth="1"/>
    <col min="3069" max="3069" width="13.875" style="378" customWidth="1"/>
    <col min="3070" max="3070" width="6" style="378" customWidth="1"/>
    <col min="3071" max="3071" width="5" style="378" customWidth="1"/>
    <col min="3072" max="3072" width="13.875" style="378" customWidth="1"/>
    <col min="3073" max="3073" width="14" style="378" customWidth="1"/>
    <col min="3074" max="3309" width="14.125" style="378"/>
    <col min="3310" max="3310" width="11.25" style="378" customWidth="1"/>
    <col min="3311" max="3311" width="13.25" style="378" customWidth="1"/>
    <col min="3312" max="3312" width="17.25" style="378" customWidth="1"/>
    <col min="3313" max="3313" width="8.875" style="378" customWidth="1"/>
    <col min="3314" max="3314" width="10.25" style="378" customWidth="1"/>
    <col min="3315" max="3315" width="12.5" style="378" customWidth="1"/>
    <col min="3316" max="3316" width="12.75" style="378" customWidth="1"/>
    <col min="3317" max="3317" width="6" style="378" customWidth="1"/>
    <col min="3318" max="3318" width="5" style="378" customWidth="1"/>
    <col min="3319" max="3319" width="13.875" style="378" customWidth="1"/>
    <col min="3320" max="3320" width="6" style="378" customWidth="1"/>
    <col min="3321" max="3321" width="5" style="378" customWidth="1"/>
    <col min="3322" max="3322" width="13.875" style="378" customWidth="1"/>
    <col min="3323" max="3323" width="6" style="378" customWidth="1"/>
    <col min="3324" max="3324" width="5" style="378" customWidth="1"/>
    <col min="3325" max="3325" width="13.875" style="378" customWidth="1"/>
    <col min="3326" max="3326" width="6" style="378" customWidth="1"/>
    <col min="3327" max="3327" width="5" style="378" customWidth="1"/>
    <col min="3328" max="3328" width="13.875" style="378" customWidth="1"/>
    <col min="3329" max="3329" width="14" style="378" customWidth="1"/>
    <col min="3330" max="3565" width="14.125" style="378"/>
    <col min="3566" max="3566" width="11.25" style="378" customWidth="1"/>
    <col min="3567" max="3567" width="13.25" style="378" customWidth="1"/>
    <col min="3568" max="3568" width="17.25" style="378" customWidth="1"/>
    <col min="3569" max="3569" width="8.875" style="378" customWidth="1"/>
    <col min="3570" max="3570" width="10.25" style="378" customWidth="1"/>
    <col min="3571" max="3571" width="12.5" style="378" customWidth="1"/>
    <col min="3572" max="3572" width="12.75" style="378" customWidth="1"/>
    <col min="3573" max="3573" width="6" style="378" customWidth="1"/>
    <col min="3574" max="3574" width="5" style="378" customWidth="1"/>
    <col min="3575" max="3575" width="13.875" style="378" customWidth="1"/>
    <col min="3576" max="3576" width="6" style="378" customWidth="1"/>
    <col min="3577" max="3577" width="5" style="378" customWidth="1"/>
    <col min="3578" max="3578" width="13.875" style="378" customWidth="1"/>
    <col min="3579" max="3579" width="6" style="378" customWidth="1"/>
    <col min="3580" max="3580" width="5" style="378" customWidth="1"/>
    <col min="3581" max="3581" width="13.875" style="378" customWidth="1"/>
    <col min="3582" max="3582" width="6" style="378" customWidth="1"/>
    <col min="3583" max="3583" width="5" style="378" customWidth="1"/>
    <col min="3584" max="3584" width="13.875" style="378" customWidth="1"/>
    <col min="3585" max="3585" width="14" style="378" customWidth="1"/>
    <col min="3586" max="3821" width="14.125" style="378"/>
    <col min="3822" max="3822" width="11.25" style="378" customWidth="1"/>
    <col min="3823" max="3823" width="13.25" style="378" customWidth="1"/>
    <col min="3824" max="3824" width="17.25" style="378" customWidth="1"/>
    <col min="3825" max="3825" width="8.875" style="378" customWidth="1"/>
    <col min="3826" max="3826" width="10.25" style="378" customWidth="1"/>
    <col min="3827" max="3827" width="12.5" style="378" customWidth="1"/>
    <col min="3828" max="3828" width="12.75" style="378" customWidth="1"/>
    <col min="3829" max="3829" width="6" style="378" customWidth="1"/>
    <col min="3830" max="3830" width="5" style="378" customWidth="1"/>
    <col min="3831" max="3831" width="13.875" style="378" customWidth="1"/>
    <col min="3832" max="3832" width="6" style="378" customWidth="1"/>
    <col min="3833" max="3833" width="5" style="378" customWidth="1"/>
    <col min="3834" max="3834" width="13.875" style="378" customWidth="1"/>
    <col min="3835" max="3835" width="6" style="378" customWidth="1"/>
    <col min="3836" max="3836" width="5" style="378" customWidth="1"/>
    <col min="3837" max="3837" width="13.875" style="378" customWidth="1"/>
    <col min="3838" max="3838" width="6" style="378" customWidth="1"/>
    <col min="3839" max="3839" width="5" style="378" customWidth="1"/>
    <col min="3840" max="3840" width="13.875" style="378" customWidth="1"/>
    <col min="3841" max="3841" width="14" style="378" customWidth="1"/>
    <col min="3842" max="4077" width="14.125" style="378"/>
    <col min="4078" max="4078" width="11.25" style="378" customWidth="1"/>
    <col min="4079" max="4079" width="13.25" style="378" customWidth="1"/>
    <col min="4080" max="4080" width="17.25" style="378" customWidth="1"/>
    <col min="4081" max="4081" width="8.875" style="378" customWidth="1"/>
    <col min="4082" max="4082" width="10.25" style="378" customWidth="1"/>
    <col min="4083" max="4083" width="12.5" style="378" customWidth="1"/>
    <col min="4084" max="4084" width="12.75" style="378" customWidth="1"/>
    <col min="4085" max="4085" width="6" style="378" customWidth="1"/>
    <col min="4086" max="4086" width="5" style="378" customWidth="1"/>
    <col min="4087" max="4087" width="13.875" style="378" customWidth="1"/>
    <col min="4088" max="4088" width="6" style="378" customWidth="1"/>
    <col min="4089" max="4089" width="5" style="378" customWidth="1"/>
    <col min="4090" max="4090" width="13.875" style="378" customWidth="1"/>
    <col min="4091" max="4091" width="6" style="378" customWidth="1"/>
    <col min="4092" max="4092" width="5" style="378" customWidth="1"/>
    <col min="4093" max="4093" width="13.875" style="378" customWidth="1"/>
    <col min="4094" max="4094" width="6" style="378" customWidth="1"/>
    <col min="4095" max="4095" width="5" style="378" customWidth="1"/>
    <col min="4096" max="4096" width="13.875" style="378" customWidth="1"/>
    <col min="4097" max="4097" width="14" style="378" customWidth="1"/>
    <col min="4098" max="4333" width="14.125" style="378"/>
    <col min="4334" max="4334" width="11.25" style="378" customWidth="1"/>
    <col min="4335" max="4335" width="13.25" style="378" customWidth="1"/>
    <col min="4336" max="4336" width="17.25" style="378" customWidth="1"/>
    <col min="4337" max="4337" width="8.875" style="378" customWidth="1"/>
    <col min="4338" max="4338" width="10.25" style="378" customWidth="1"/>
    <col min="4339" max="4339" width="12.5" style="378" customWidth="1"/>
    <col min="4340" max="4340" width="12.75" style="378" customWidth="1"/>
    <col min="4341" max="4341" width="6" style="378" customWidth="1"/>
    <col min="4342" max="4342" width="5" style="378" customWidth="1"/>
    <col min="4343" max="4343" width="13.875" style="378" customWidth="1"/>
    <col min="4344" max="4344" width="6" style="378" customWidth="1"/>
    <col min="4345" max="4345" width="5" style="378" customWidth="1"/>
    <col min="4346" max="4346" width="13.875" style="378" customWidth="1"/>
    <col min="4347" max="4347" width="6" style="378" customWidth="1"/>
    <col min="4348" max="4348" width="5" style="378" customWidth="1"/>
    <col min="4349" max="4349" width="13.875" style="378" customWidth="1"/>
    <col min="4350" max="4350" width="6" style="378" customWidth="1"/>
    <col min="4351" max="4351" width="5" style="378" customWidth="1"/>
    <col min="4352" max="4352" width="13.875" style="378" customWidth="1"/>
    <col min="4353" max="4353" width="14" style="378" customWidth="1"/>
    <col min="4354" max="4589" width="14.125" style="378"/>
    <col min="4590" max="4590" width="11.25" style="378" customWidth="1"/>
    <col min="4591" max="4591" width="13.25" style="378" customWidth="1"/>
    <col min="4592" max="4592" width="17.25" style="378" customWidth="1"/>
    <col min="4593" max="4593" width="8.875" style="378" customWidth="1"/>
    <col min="4594" max="4594" width="10.25" style="378" customWidth="1"/>
    <col min="4595" max="4595" width="12.5" style="378" customWidth="1"/>
    <col min="4596" max="4596" width="12.75" style="378" customWidth="1"/>
    <col min="4597" max="4597" width="6" style="378" customWidth="1"/>
    <col min="4598" max="4598" width="5" style="378" customWidth="1"/>
    <col min="4599" max="4599" width="13.875" style="378" customWidth="1"/>
    <col min="4600" max="4600" width="6" style="378" customWidth="1"/>
    <col min="4601" max="4601" width="5" style="378" customWidth="1"/>
    <col min="4602" max="4602" width="13.875" style="378" customWidth="1"/>
    <col min="4603" max="4603" width="6" style="378" customWidth="1"/>
    <col min="4604" max="4604" width="5" style="378" customWidth="1"/>
    <col min="4605" max="4605" width="13.875" style="378" customWidth="1"/>
    <col min="4606" max="4606" width="6" style="378" customWidth="1"/>
    <col min="4607" max="4607" width="5" style="378" customWidth="1"/>
    <col min="4608" max="4608" width="13.875" style="378" customWidth="1"/>
    <col min="4609" max="4609" width="14" style="378" customWidth="1"/>
    <col min="4610" max="4845" width="14.125" style="378"/>
    <col min="4846" max="4846" width="11.25" style="378" customWidth="1"/>
    <col min="4847" max="4847" width="13.25" style="378" customWidth="1"/>
    <col min="4848" max="4848" width="17.25" style="378" customWidth="1"/>
    <col min="4849" max="4849" width="8.875" style="378" customWidth="1"/>
    <col min="4850" max="4850" width="10.25" style="378" customWidth="1"/>
    <col min="4851" max="4851" width="12.5" style="378" customWidth="1"/>
    <col min="4852" max="4852" width="12.75" style="378" customWidth="1"/>
    <col min="4853" max="4853" width="6" style="378" customWidth="1"/>
    <col min="4854" max="4854" width="5" style="378" customWidth="1"/>
    <col min="4855" max="4855" width="13.875" style="378" customWidth="1"/>
    <col min="4856" max="4856" width="6" style="378" customWidth="1"/>
    <col min="4857" max="4857" width="5" style="378" customWidth="1"/>
    <col min="4858" max="4858" width="13.875" style="378" customWidth="1"/>
    <col min="4859" max="4859" width="6" style="378" customWidth="1"/>
    <col min="4860" max="4860" width="5" style="378" customWidth="1"/>
    <col min="4861" max="4861" width="13.875" style="378" customWidth="1"/>
    <col min="4862" max="4862" width="6" style="378" customWidth="1"/>
    <col min="4863" max="4863" width="5" style="378" customWidth="1"/>
    <col min="4864" max="4864" width="13.875" style="378" customWidth="1"/>
    <col min="4865" max="4865" width="14" style="378" customWidth="1"/>
    <col min="4866" max="5101" width="14.125" style="378"/>
    <col min="5102" max="5102" width="11.25" style="378" customWidth="1"/>
    <col min="5103" max="5103" width="13.25" style="378" customWidth="1"/>
    <col min="5104" max="5104" width="17.25" style="378" customWidth="1"/>
    <col min="5105" max="5105" width="8.875" style="378" customWidth="1"/>
    <col min="5106" max="5106" width="10.25" style="378" customWidth="1"/>
    <col min="5107" max="5107" width="12.5" style="378" customWidth="1"/>
    <col min="5108" max="5108" width="12.75" style="378" customWidth="1"/>
    <col min="5109" max="5109" width="6" style="378" customWidth="1"/>
    <col min="5110" max="5110" width="5" style="378" customWidth="1"/>
    <col min="5111" max="5111" width="13.875" style="378" customWidth="1"/>
    <col min="5112" max="5112" width="6" style="378" customWidth="1"/>
    <col min="5113" max="5113" width="5" style="378" customWidth="1"/>
    <col min="5114" max="5114" width="13.875" style="378" customWidth="1"/>
    <col min="5115" max="5115" width="6" style="378" customWidth="1"/>
    <col min="5116" max="5116" width="5" style="378" customWidth="1"/>
    <col min="5117" max="5117" width="13.875" style="378" customWidth="1"/>
    <col min="5118" max="5118" width="6" style="378" customWidth="1"/>
    <col min="5119" max="5119" width="5" style="378" customWidth="1"/>
    <col min="5120" max="5120" width="13.875" style="378" customWidth="1"/>
    <col min="5121" max="5121" width="14" style="378" customWidth="1"/>
    <col min="5122" max="5357" width="14.125" style="378"/>
    <col min="5358" max="5358" width="11.25" style="378" customWidth="1"/>
    <col min="5359" max="5359" width="13.25" style="378" customWidth="1"/>
    <col min="5360" max="5360" width="17.25" style="378" customWidth="1"/>
    <col min="5361" max="5361" width="8.875" style="378" customWidth="1"/>
    <col min="5362" max="5362" width="10.25" style="378" customWidth="1"/>
    <col min="5363" max="5363" width="12.5" style="378" customWidth="1"/>
    <col min="5364" max="5364" width="12.75" style="378" customWidth="1"/>
    <col min="5365" max="5365" width="6" style="378" customWidth="1"/>
    <col min="5366" max="5366" width="5" style="378" customWidth="1"/>
    <col min="5367" max="5367" width="13.875" style="378" customWidth="1"/>
    <col min="5368" max="5368" width="6" style="378" customWidth="1"/>
    <col min="5369" max="5369" width="5" style="378" customWidth="1"/>
    <col min="5370" max="5370" width="13.875" style="378" customWidth="1"/>
    <col min="5371" max="5371" width="6" style="378" customWidth="1"/>
    <col min="5372" max="5372" width="5" style="378" customWidth="1"/>
    <col min="5373" max="5373" width="13.875" style="378" customWidth="1"/>
    <col min="5374" max="5374" width="6" style="378" customWidth="1"/>
    <col min="5375" max="5375" width="5" style="378" customWidth="1"/>
    <col min="5376" max="5376" width="13.875" style="378" customWidth="1"/>
    <col min="5377" max="5377" width="14" style="378" customWidth="1"/>
    <col min="5378" max="5613" width="14.125" style="378"/>
    <col min="5614" max="5614" width="11.25" style="378" customWidth="1"/>
    <col min="5615" max="5615" width="13.25" style="378" customWidth="1"/>
    <col min="5616" max="5616" width="17.25" style="378" customWidth="1"/>
    <col min="5617" max="5617" width="8.875" style="378" customWidth="1"/>
    <col min="5618" max="5618" width="10.25" style="378" customWidth="1"/>
    <col min="5619" max="5619" width="12.5" style="378" customWidth="1"/>
    <col min="5620" max="5620" width="12.75" style="378" customWidth="1"/>
    <col min="5621" max="5621" width="6" style="378" customWidth="1"/>
    <col min="5622" max="5622" width="5" style="378" customWidth="1"/>
    <col min="5623" max="5623" width="13.875" style="378" customWidth="1"/>
    <col min="5624" max="5624" width="6" style="378" customWidth="1"/>
    <col min="5625" max="5625" width="5" style="378" customWidth="1"/>
    <col min="5626" max="5626" width="13.875" style="378" customWidth="1"/>
    <col min="5627" max="5627" width="6" style="378" customWidth="1"/>
    <col min="5628" max="5628" width="5" style="378" customWidth="1"/>
    <col min="5629" max="5629" width="13.875" style="378" customWidth="1"/>
    <col min="5630" max="5630" width="6" style="378" customWidth="1"/>
    <col min="5631" max="5631" width="5" style="378" customWidth="1"/>
    <col min="5632" max="5632" width="13.875" style="378" customWidth="1"/>
    <col min="5633" max="5633" width="14" style="378" customWidth="1"/>
    <col min="5634" max="5869" width="14.125" style="378"/>
    <col min="5870" max="5870" width="11.25" style="378" customWidth="1"/>
    <col min="5871" max="5871" width="13.25" style="378" customWidth="1"/>
    <col min="5872" max="5872" width="17.25" style="378" customWidth="1"/>
    <col min="5873" max="5873" width="8.875" style="378" customWidth="1"/>
    <col min="5874" max="5874" width="10.25" style="378" customWidth="1"/>
    <col min="5875" max="5875" width="12.5" style="378" customWidth="1"/>
    <col min="5876" max="5876" width="12.75" style="378" customWidth="1"/>
    <col min="5877" max="5877" width="6" style="378" customWidth="1"/>
    <col min="5878" max="5878" width="5" style="378" customWidth="1"/>
    <col min="5879" max="5879" width="13.875" style="378" customWidth="1"/>
    <col min="5880" max="5880" width="6" style="378" customWidth="1"/>
    <col min="5881" max="5881" width="5" style="378" customWidth="1"/>
    <col min="5882" max="5882" width="13.875" style="378" customWidth="1"/>
    <col min="5883" max="5883" width="6" style="378" customWidth="1"/>
    <col min="5884" max="5884" width="5" style="378" customWidth="1"/>
    <col min="5885" max="5885" width="13.875" style="378" customWidth="1"/>
    <col min="5886" max="5886" width="6" style="378" customWidth="1"/>
    <col min="5887" max="5887" width="5" style="378" customWidth="1"/>
    <col min="5888" max="5888" width="13.875" style="378" customWidth="1"/>
    <col min="5889" max="5889" width="14" style="378" customWidth="1"/>
    <col min="5890" max="6125" width="14.125" style="378"/>
    <col min="6126" max="6126" width="11.25" style="378" customWidth="1"/>
    <col min="6127" max="6127" width="13.25" style="378" customWidth="1"/>
    <col min="6128" max="6128" width="17.25" style="378" customWidth="1"/>
    <col min="6129" max="6129" width="8.875" style="378" customWidth="1"/>
    <col min="6130" max="6130" width="10.25" style="378" customWidth="1"/>
    <col min="6131" max="6131" width="12.5" style="378" customWidth="1"/>
    <col min="6132" max="6132" width="12.75" style="378" customWidth="1"/>
    <col min="6133" max="6133" width="6" style="378" customWidth="1"/>
    <col min="6134" max="6134" width="5" style="378" customWidth="1"/>
    <col min="6135" max="6135" width="13.875" style="378" customWidth="1"/>
    <col min="6136" max="6136" width="6" style="378" customWidth="1"/>
    <col min="6137" max="6137" width="5" style="378" customWidth="1"/>
    <col min="6138" max="6138" width="13.875" style="378" customWidth="1"/>
    <col min="6139" max="6139" width="6" style="378" customWidth="1"/>
    <col min="6140" max="6140" width="5" style="378" customWidth="1"/>
    <col min="6141" max="6141" width="13.875" style="378" customWidth="1"/>
    <col min="6142" max="6142" width="6" style="378" customWidth="1"/>
    <col min="6143" max="6143" width="5" style="378" customWidth="1"/>
    <col min="6144" max="6144" width="13.875" style="378" customWidth="1"/>
    <col min="6145" max="6145" width="14" style="378" customWidth="1"/>
    <col min="6146" max="6381" width="14.125" style="378"/>
    <col min="6382" max="6382" width="11.25" style="378" customWidth="1"/>
    <col min="6383" max="6383" width="13.25" style="378" customWidth="1"/>
    <col min="6384" max="6384" width="17.25" style="378" customWidth="1"/>
    <col min="6385" max="6385" width="8.875" style="378" customWidth="1"/>
    <col min="6386" max="6386" width="10.25" style="378" customWidth="1"/>
    <col min="6387" max="6387" width="12.5" style="378" customWidth="1"/>
    <col min="6388" max="6388" width="12.75" style="378" customWidth="1"/>
    <col min="6389" max="6389" width="6" style="378" customWidth="1"/>
    <col min="6390" max="6390" width="5" style="378" customWidth="1"/>
    <col min="6391" max="6391" width="13.875" style="378" customWidth="1"/>
    <col min="6392" max="6392" width="6" style="378" customWidth="1"/>
    <col min="6393" max="6393" width="5" style="378" customWidth="1"/>
    <col min="6394" max="6394" width="13.875" style="378" customWidth="1"/>
    <col min="6395" max="6395" width="6" style="378" customWidth="1"/>
    <col min="6396" max="6396" width="5" style="378" customWidth="1"/>
    <col min="6397" max="6397" width="13.875" style="378" customWidth="1"/>
    <col min="6398" max="6398" width="6" style="378" customWidth="1"/>
    <col min="6399" max="6399" width="5" style="378" customWidth="1"/>
    <col min="6400" max="6400" width="13.875" style="378" customWidth="1"/>
    <col min="6401" max="6401" width="14" style="378" customWidth="1"/>
    <col min="6402" max="6637" width="14.125" style="378"/>
    <col min="6638" max="6638" width="11.25" style="378" customWidth="1"/>
    <col min="6639" max="6639" width="13.25" style="378" customWidth="1"/>
    <col min="6640" max="6640" width="17.25" style="378" customWidth="1"/>
    <col min="6641" max="6641" width="8.875" style="378" customWidth="1"/>
    <col min="6642" max="6642" width="10.25" style="378" customWidth="1"/>
    <col min="6643" max="6643" width="12.5" style="378" customWidth="1"/>
    <col min="6644" max="6644" width="12.75" style="378" customWidth="1"/>
    <col min="6645" max="6645" width="6" style="378" customWidth="1"/>
    <col min="6646" max="6646" width="5" style="378" customWidth="1"/>
    <col min="6647" max="6647" width="13.875" style="378" customWidth="1"/>
    <col min="6648" max="6648" width="6" style="378" customWidth="1"/>
    <col min="6649" max="6649" width="5" style="378" customWidth="1"/>
    <col min="6650" max="6650" width="13.875" style="378" customWidth="1"/>
    <col min="6651" max="6651" width="6" style="378" customWidth="1"/>
    <col min="6652" max="6652" width="5" style="378" customWidth="1"/>
    <col min="6653" max="6653" width="13.875" style="378" customWidth="1"/>
    <col min="6654" max="6654" width="6" style="378" customWidth="1"/>
    <col min="6655" max="6655" width="5" style="378" customWidth="1"/>
    <col min="6656" max="6656" width="13.875" style="378" customWidth="1"/>
    <col min="6657" max="6657" width="14" style="378" customWidth="1"/>
    <col min="6658" max="6893" width="14.125" style="378"/>
    <col min="6894" max="6894" width="11.25" style="378" customWidth="1"/>
    <col min="6895" max="6895" width="13.25" style="378" customWidth="1"/>
    <col min="6896" max="6896" width="17.25" style="378" customWidth="1"/>
    <col min="6897" max="6897" width="8.875" style="378" customWidth="1"/>
    <col min="6898" max="6898" width="10.25" style="378" customWidth="1"/>
    <col min="6899" max="6899" width="12.5" style="378" customWidth="1"/>
    <col min="6900" max="6900" width="12.75" style="378" customWidth="1"/>
    <col min="6901" max="6901" width="6" style="378" customWidth="1"/>
    <col min="6902" max="6902" width="5" style="378" customWidth="1"/>
    <col min="6903" max="6903" width="13.875" style="378" customWidth="1"/>
    <col min="6904" max="6904" width="6" style="378" customWidth="1"/>
    <col min="6905" max="6905" width="5" style="378" customWidth="1"/>
    <col min="6906" max="6906" width="13.875" style="378" customWidth="1"/>
    <col min="6907" max="6907" width="6" style="378" customWidth="1"/>
    <col min="6908" max="6908" width="5" style="378" customWidth="1"/>
    <col min="6909" max="6909" width="13.875" style="378" customWidth="1"/>
    <col min="6910" max="6910" width="6" style="378" customWidth="1"/>
    <col min="6911" max="6911" width="5" style="378" customWidth="1"/>
    <col min="6912" max="6912" width="13.875" style="378" customWidth="1"/>
    <col min="6913" max="6913" width="14" style="378" customWidth="1"/>
    <col min="6914" max="7149" width="14.125" style="378"/>
    <col min="7150" max="7150" width="11.25" style="378" customWidth="1"/>
    <col min="7151" max="7151" width="13.25" style="378" customWidth="1"/>
    <col min="7152" max="7152" width="17.25" style="378" customWidth="1"/>
    <col min="7153" max="7153" width="8.875" style="378" customWidth="1"/>
    <col min="7154" max="7154" width="10.25" style="378" customWidth="1"/>
    <col min="7155" max="7155" width="12.5" style="378" customWidth="1"/>
    <col min="7156" max="7156" width="12.75" style="378" customWidth="1"/>
    <col min="7157" max="7157" width="6" style="378" customWidth="1"/>
    <col min="7158" max="7158" width="5" style="378" customWidth="1"/>
    <col min="7159" max="7159" width="13.875" style="378" customWidth="1"/>
    <col min="7160" max="7160" width="6" style="378" customWidth="1"/>
    <col min="7161" max="7161" width="5" style="378" customWidth="1"/>
    <col min="7162" max="7162" width="13.875" style="378" customWidth="1"/>
    <col min="7163" max="7163" width="6" style="378" customWidth="1"/>
    <col min="7164" max="7164" width="5" style="378" customWidth="1"/>
    <col min="7165" max="7165" width="13.875" style="378" customWidth="1"/>
    <col min="7166" max="7166" width="6" style="378" customWidth="1"/>
    <col min="7167" max="7167" width="5" style="378" customWidth="1"/>
    <col min="7168" max="7168" width="13.875" style="378" customWidth="1"/>
    <col min="7169" max="7169" width="14" style="378" customWidth="1"/>
    <col min="7170" max="7405" width="14.125" style="378"/>
    <col min="7406" max="7406" width="11.25" style="378" customWidth="1"/>
    <col min="7407" max="7407" width="13.25" style="378" customWidth="1"/>
    <col min="7408" max="7408" width="17.25" style="378" customWidth="1"/>
    <col min="7409" max="7409" width="8.875" style="378" customWidth="1"/>
    <col min="7410" max="7410" width="10.25" style="378" customWidth="1"/>
    <col min="7411" max="7411" width="12.5" style="378" customWidth="1"/>
    <col min="7412" max="7412" width="12.75" style="378" customWidth="1"/>
    <col min="7413" max="7413" width="6" style="378" customWidth="1"/>
    <col min="7414" max="7414" width="5" style="378" customWidth="1"/>
    <col min="7415" max="7415" width="13.875" style="378" customWidth="1"/>
    <col min="7416" max="7416" width="6" style="378" customWidth="1"/>
    <col min="7417" max="7417" width="5" style="378" customWidth="1"/>
    <col min="7418" max="7418" width="13.875" style="378" customWidth="1"/>
    <col min="7419" max="7419" width="6" style="378" customWidth="1"/>
    <col min="7420" max="7420" width="5" style="378" customWidth="1"/>
    <col min="7421" max="7421" width="13.875" style="378" customWidth="1"/>
    <col min="7422" max="7422" width="6" style="378" customWidth="1"/>
    <col min="7423" max="7423" width="5" style="378" customWidth="1"/>
    <col min="7424" max="7424" width="13.875" style="378" customWidth="1"/>
    <col min="7425" max="7425" width="14" style="378" customWidth="1"/>
    <col min="7426" max="7661" width="14.125" style="378"/>
    <col min="7662" max="7662" width="11.25" style="378" customWidth="1"/>
    <col min="7663" max="7663" width="13.25" style="378" customWidth="1"/>
    <col min="7664" max="7664" width="17.25" style="378" customWidth="1"/>
    <col min="7665" max="7665" width="8.875" style="378" customWidth="1"/>
    <col min="7666" max="7666" width="10.25" style="378" customWidth="1"/>
    <col min="7667" max="7667" width="12.5" style="378" customWidth="1"/>
    <col min="7668" max="7668" width="12.75" style="378" customWidth="1"/>
    <col min="7669" max="7669" width="6" style="378" customWidth="1"/>
    <col min="7670" max="7670" width="5" style="378" customWidth="1"/>
    <col min="7671" max="7671" width="13.875" style="378" customWidth="1"/>
    <col min="7672" max="7672" width="6" style="378" customWidth="1"/>
    <col min="7673" max="7673" width="5" style="378" customWidth="1"/>
    <col min="7674" max="7674" width="13.875" style="378" customWidth="1"/>
    <col min="7675" max="7675" width="6" style="378" customWidth="1"/>
    <col min="7676" max="7676" width="5" style="378" customWidth="1"/>
    <col min="7677" max="7677" width="13.875" style="378" customWidth="1"/>
    <col min="7678" max="7678" width="6" style="378" customWidth="1"/>
    <col min="7679" max="7679" width="5" style="378" customWidth="1"/>
    <col min="7680" max="7680" width="13.875" style="378" customWidth="1"/>
    <col min="7681" max="7681" width="14" style="378" customWidth="1"/>
    <col min="7682" max="7917" width="14.125" style="378"/>
    <col min="7918" max="7918" width="11.25" style="378" customWidth="1"/>
    <col min="7919" max="7919" width="13.25" style="378" customWidth="1"/>
    <col min="7920" max="7920" width="17.25" style="378" customWidth="1"/>
    <col min="7921" max="7921" width="8.875" style="378" customWidth="1"/>
    <col min="7922" max="7922" width="10.25" style="378" customWidth="1"/>
    <col min="7923" max="7923" width="12.5" style="378" customWidth="1"/>
    <col min="7924" max="7924" width="12.75" style="378" customWidth="1"/>
    <col min="7925" max="7925" width="6" style="378" customWidth="1"/>
    <col min="7926" max="7926" width="5" style="378" customWidth="1"/>
    <col min="7927" max="7927" width="13.875" style="378" customWidth="1"/>
    <col min="7928" max="7928" width="6" style="378" customWidth="1"/>
    <col min="7929" max="7929" width="5" style="378" customWidth="1"/>
    <col min="7930" max="7930" width="13.875" style="378" customWidth="1"/>
    <col min="7931" max="7931" width="6" style="378" customWidth="1"/>
    <col min="7932" max="7932" width="5" style="378" customWidth="1"/>
    <col min="7933" max="7933" width="13.875" style="378" customWidth="1"/>
    <col min="7934" max="7934" width="6" style="378" customWidth="1"/>
    <col min="7935" max="7935" width="5" style="378" customWidth="1"/>
    <col min="7936" max="7936" width="13.875" style="378" customWidth="1"/>
    <col min="7937" max="7937" width="14" style="378" customWidth="1"/>
    <col min="7938" max="8173" width="14.125" style="378"/>
    <col min="8174" max="8174" width="11.25" style="378" customWidth="1"/>
    <col min="8175" max="8175" width="13.25" style="378" customWidth="1"/>
    <col min="8176" max="8176" width="17.25" style="378" customWidth="1"/>
    <col min="8177" max="8177" width="8.875" style="378" customWidth="1"/>
    <col min="8178" max="8178" width="10.25" style="378" customWidth="1"/>
    <col min="8179" max="8179" width="12.5" style="378" customWidth="1"/>
    <col min="8180" max="8180" width="12.75" style="378" customWidth="1"/>
    <col min="8181" max="8181" width="6" style="378" customWidth="1"/>
    <col min="8182" max="8182" width="5" style="378" customWidth="1"/>
    <col min="8183" max="8183" width="13.875" style="378" customWidth="1"/>
    <col min="8184" max="8184" width="6" style="378" customWidth="1"/>
    <col min="8185" max="8185" width="5" style="378" customWidth="1"/>
    <col min="8186" max="8186" width="13.875" style="378" customWidth="1"/>
    <col min="8187" max="8187" width="6" style="378" customWidth="1"/>
    <col min="8188" max="8188" width="5" style="378" customWidth="1"/>
    <col min="8189" max="8189" width="13.875" style="378" customWidth="1"/>
    <col min="8190" max="8190" width="6" style="378" customWidth="1"/>
    <col min="8191" max="8191" width="5" style="378" customWidth="1"/>
    <col min="8192" max="8192" width="13.875" style="378" customWidth="1"/>
    <col min="8193" max="8193" width="14" style="378" customWidth="1"/>
    <col min="8194" max="8429" width="14.125" style="378"/>
    <col min="8430" max="8430" width="11.25" style="378" customWidth="1"/>
    <col min="8431" max="8431" width="13.25" style="378" customWidth="1"/>
    <col min="8432" max="8432" width="17.25" style="378" customWidth="1"/>
    <col min="8433" max="8433" width="8.875" style="378" customWidth="1"/>
    <col min="8434" max="8434" width="10.25" style="378" customWidth="1"/>
    <col min="8435" max="8435" width="12.5" style="378" customWidth="1"/>
    <col min="8436" max="8436" width="12.75" style="378" customWidth="1"/>
    <col min="8437" max="8437" width="6" style="378" customWidth="1"/>
    <col min="8438" max="8438" width="5" style="378" customWidth="1"/>
    <col min="8439" max="8439" width="13.875" style="378" customWidth="1"/>
    <col min="8440" max="8440" width="6" style="378" customWidth="1"/>
    <col min="8441" max="8441" width="5" style="378" customWidth="1"/>
    <col min="8442" max="8442" width="13.875" style="378" customWidth="1"/>
    <col min="8443" max="8443" width="6" style="378" customWidth="1"/>
    <col min="8444" max="8444" width="5" style="378" customWidth="1"/>
    <col min="8445" max="8445" width="13.875" style="378" customWidth="1"/>
    <col min="8446" max="8446" width="6" style="378" customWidth="1"/>
    <col min="8447" max="8447" width="5" style="378" customWidth="1"/>
    <col min="8448" max="8448" width="13.875" style="378" customWidth="1"/>
    <col min="8449" max="8449" width="14" style="378" customWidth="1"/>
    <col min="8450" max="8685" width="14.125" style="378"/>
    <col min="8686" max="8686" width="11.25" style="378" customWidth="1"/>
    <col min="8687" max="8687" width="13.25" style="378" customWidth="1"/>
    <col min="8688" max="8688" width="17.25" style="378" customWidth="1"/>
    <col min="8689" max="8689" width="8.875" style="378" customWidth="1"/>
    <col min="8690" max="8690" width="10.25" style="378" customWidth="1"/>
    <col min="8691" max="8691" width="12.5" style="378" customWidth="1"/>
    <col min="8692" max="8692" width="12.75" style="378" customWidth="1"/>
    <col min="8693" max="8693" width="6" style="378" customWidth="1"/>
    <col min="8694" max="8694" width="5" style="378" customWidth="1"/>
    <col min="8695" max="8695" width="13.875" style="378" customWidth="1"/>
    <col min="8696" max="8696" width="6" style="378" customWidth="1"/>
    <col min="8697" max="8697" width="5" style="378" customWidth="1"/>
    <col min="8698" max="8698" width="13.875" style="378" customWidth="1"/>
    <col min="8699" max="8699" width="6" style="378" customWidth="1"/>
    <col min="8700" max="8700" width="5" style="378" customWidth="1"/>
    <col min="8701" max="8701" width="13.875" style="378" customWidth="1"/>
    <col min="8702" max="8702" width="6" style="378" customWidth="1"/>
    <col min="8703" max="8703" width="5" style="378" customWidth="1"/>
    <col min="8704" max="8704" width="13.875" style="378" customWidth="1"/>
    <col min="8705" max="8705" width="14" style="378" customWidth="1"/>
    <col min="8706" max="8941" width="14.125" style="378"/>
    <col min="8942" max="8942" width="11.25" style="378" customWidth="1"/>
    <col min="8943" max="8943" width="13.25" style="378" customWidth="1"/>
    <col min="8944" max="8944" width="17.25" style="378" customWidth="1"/>
    <col min="8945" max="8945" width="8.875" style="378" customWidth="1"/>
    <col min="8946" max="8946" width="10.25" style="378" customWidth="1"/>
    <col min="8947" max="8947" width="12.5" style="378" customWidth="1"/>
    <col min="8948" max="8948" width="12.75" style="378" customWidth="1"/>
    <col min="8949" max="8949" width="6" style="378" customWidth="1"/>
    <col min="8950" max="8950" width="5" style="378" customWidth="1"/>
    <col min="8951" max="8951" width="13.875" style="378" customWidth="1"/>
    <col min="8952" max="8952" width="6" style="378" customWidth="1"/>
    <col min="8953" max="8953" width="5" style="378" customWidth="1"/>
    <col min="8954" max="8954" width="13.875" style="378" customWidth="1"/>
    <col min="8955" max="8955" width="6" style="378" customWidth="1"/>
    <col min="8956" max="8956" width="5" style="378" customWidth="1"/>
    <col min="8957" max="8957" width="13.875" style="378" customWidth="1"/>
    <col min="8958" max="8958" width="6" style="378" customWidth="1"/>
    <col min="8959" max="8959" width="5" style="378" customWidth="1"/>
    <col min="8960" max="8960" width="13.875" style="378" customWidth="1"/>
    <col min="8961" max="8961" width="14" style="378" customWidth="1"/>
    <col min="8962" max="9197" width="14.125" style="378"/>
    <col min="9198" max="9198" width="11.25" style="378" customWidth="1"/>
    <col min="9199" max="9199" width="13.25" style="378" customWidth="1"/>
    <col min="9200" max="9200" width="17.25" style="378" customWidth="1"/>
    <col min="9201" max="9201" width="8.875" style="378" customWidth="1"/>
    <col min="9202" max="9202" width="10.25" style="378" customWidth="1"/>
    <col min="9203" max="9203" width="12.5" style="378" customWidth="1"/>
    <col min="9204" max="9204" width="12.75" style="378" customWidth="1"/>
    <col min="9205" max="9205" width="6" style="378" customWidth="1"/>
    <col min="9206" max="9206" width="5" style="378" customWidth="1"/>
    <col min="9207" max="9207" width="13.875" style="378" customWidth="1"/>
    <col min="9208" max="9208" width="6" style="378" customWidth="1"/>
    <col min="9209" max="9209" width="5" style="378" customWidth="1"/>
    <col min="9210" max="9210" width="13.875" style="378" customWidth="1"/>
    <col min="9211" max="9211" width="6" style="378" customWidth="1"/>
    <col min="9212" max="9212" width="5" style="378" customWidth="1"/>
    <col min="9213" max="9213" width="13.875" style="378" customWidth="1"/>
    <col min="9214" max="9214" width="6" style="378" customWidth="1"/>
    <col min="9215" max="9215" width="5" style="378" customWidth="1"/>
    <col min="9216" max="9216" width="13.875" style="378" customWidth="1"/>
    <col min="9217" max="9217" width="14" style="378" customWidth="1"/>
    <col min="9218" max="9453" width="14.125" style="378"/>
    <col min="9454" max="9454" width="11.25" style="378" customWidth="1"/>
    <col min="9455" max="9455" width="13.25" style="378" customWidth="1"/>
    <col min="9456" max="9456" width="17.25" style="378" customWidth="1"/>
    <col min="9457" max="9457" width="8.875" style="378" customWidth="1"/>
    <col min="9458" max="9458" width="10.25" style="378" customWidth="1"/>
    <col min="9459" max="9459" width="12.5" style="378" customWidth="1"/>
    <col min="9460" max="9460" width="12.75" style="378" customWidth="1"/>
    <col min="9461" max="9461" width="6" style="378" customWidth="1"/>
    <col min="9462" max="9462" width="5" style="378" customWidth="1"/>
    <col min="9463" max="9463" width="13.875" style="378" customWidth="1"/>
    <col min="9464" max="9464" width="6" style="378" customWidth="1"/>
    <col min="9465" max="9465" width="5" style="378" customWidth="1"/>
    <col min="9466" max="9466" width="13.875" style="378" customWidth="1"/>
    <col min="9467" max="9467" width="6" style="378" customWidth="1"/>
    <col min="9468" max="9468" width="5" style="378" customWidth="1"/>
    <col min="9469" max="9469" width="13.875" style="378" customWidth="1"/>
    <col min="9470" max="9470" width="6" style="378" customWidth="1"/>
    <col min="9471" max="9471" width="5" style="378" customWidth="1"/>
    <col min="9472" max="9472" width="13.875" style="378" customWidth="1"/>
    <col min="9473" max="9473" width="14" style="378" customWidth="1"/>
    <col min="9474" max="9709" width="14.125" style="378"/>
    <col min="9710" max="9710" width="11.25" style="378" customWidth="1"/>
    <col min="9711" max="9711" width="13.25" style="378" customWidth="1"/>
    <col min="9712" max="9712" width="17.25" style="378" customWidth="1"/>
    <col min="9713" max="9713" width="8.875" style="378" customWidth="1"/>
    <col min="9714" max="9714" width="10.25" style="378" customWidth="1"/>
    <col min="9715" max="9715" width="12.5" style="378" customWidth="1"/>
    <col min="9716" max="9716" width="12.75" style="378" customWidth="1"/>
    <col min="9717" max="9717" width="6" style="378" customWidth="1"/>
    <col min="9718" max="9718" width="5" style="378" customWidth="1"/>
    <col min="9719" max="9719" width="13.875" style="378" customWidth="1"/>
    <col min="9720" max="9720" width="6" style="378" customWidth="1"/>
    <col min="9721" max="9721" width="5" style="378" customWidth="1"/>
    <col min="9722" max="9722" width="13.875" style="378" customWidth="1"/>
    <col min="9723" max="9723" width="6" style="378" customWidth="1"/>
    <col min="9724" max="9724" width="5" style="378" customWidth="1"/>
    <col min="9725" max="9725" width="13.875" style="378" customWidth="1"/>
    <col min="9726" max="9726" width="6" style="378" customWidth="1"/>
    <col min="9727" max="9727" width="5" style="378" customWidth="1"/>
    <col min="9728" max="9728" width="13.875" style="378" customWidth="1"/>
    <col min="9729" max="9729" width="14" style="378" customWidth="1"/>
    <col min="9730" max="9965" width="14.125" style="378"/>
    <col min="9966" max="9966" width="11.25" style="378" customWidth="1"/>
    <col min="9967" max="9967" width="13.25" style="378" customWidth="1"/>
    <col min="9968" max="9968" width="17.25" style="378" customWidth="1"/>
    <col min="9969" max="9969" width="8.875" style="378" customWidth="1"/>
    <col min="9970" max="9970" width="10.25" style="378" customWidth="1"/>
    <col min="9971" max="9971" width="12.5" style="378" customWidth="1"/>
    <col min="9972" max="9972" width="12.75" style="378" customWidth="1"/>
    <col min="9973" max="9973" width="6" style="378" customWidth="1"/>
    <col min="9974" max="9974" width="5" style="378" customWidth="1"/>
    <col min="9975" max="9975" width="13.875" style="378" customWidth="1"/>
    <col min="9976" max="9976" width="6" style="378" customWidth="1"/>
    <col min="9977" max="9977" width="5" style="378" customWidth="1"/>
    <col min="9978" max="9978" width="13.875" style="378" customWidth="1"/>
    <col min="9979" max="9979" width="6" style="378" customWidth="1"/>
    <col min="9980" max="9980" width="5" style="378" customWidth="1"/>
    <col min="9981" max="9981" width="13.875" style="378" customWidth="1"/>
    <col min="9982" max="9982" width="6" style="378" customWidth="1"/>
    <col min="9983" max="9983" width="5" style="378" customWidth="1"/>
    <col min="9984" max="9984" width="13.875" style="378" customWidth="1"/>
    <col min="9985" max="9985" width="14" style="378" customWidth="1"/>
    <col min="9986" max="10221" width="14.125" style="378"/>
    <col min="10222" max="10222" width="11.25" style="378" customWidth="1"/>
    <col min="10223" max="10223" width="13.25" style="378" customWidth="1"/>
    <col min="10224" max="10224" width="17.25" style="378" customWidth="1"/>
    <col min="10225" max="10225" width="8.875" style="378" customWidth="1"/>
    <col min="10226" max="10226" width="10.25" style="378" customWidth="1"/>
    <col min="10227" max="10227" width="12.5" style="378" customWidth="1"/>
    <col min="10228" max="10228" width="12.75" style="378" customWidth="1"/>
    <col min="10229" max="10229" width="6" style="378" customWidth="1"/>
    <col min="10230" max="10230" width="5" style="378" customWidth="1"/>
    <col min="10231" max="10231" width="13.875" style="378" customWidth="1"/>
    <col min="10232" max="10232" width="6" style="378" customWidth="1"/>
    <col min="10233" max="10233" width="5" style="378" customWidth="1"/>
    <col min="10234" max="10234" width="13.875" style="378" customWidth="1"/>
    <col min="10235" max="10235" width="6" style="378" customWidth="1"/>
    <col min="10236" max="10236" width="5" style="378" customWidth="1"/>
    <col min="10237" max="10237" width="13.875" style="378" customWidth="1"/>
    <col min="10238" max="10238" width="6" style="378" customWidth="1"/>
    <col min="10239" max="10239" width="5" style="378" customWidth="1"/>
    <col min="10240" max="10240" width="13.875" style="378" customWidth="1"/>
    <col min="10241" max="10241" width="14" style="378" customWidth="1"/>
    <col min="10242" max="10477" width="14.125" style="378"/>
    <col min="10478" max="10478" width="11.25" style="378" customWidth="1"/>
    <col min="10479" max="10479" width="13.25" style="378" customWidth="1"/>
    <col min="10480" max="10480" width="17.25" style="378" customWidth="1"/>
    <col min="10481" max="10481" width="8.875" style="378" customWidth="1"/>
    <col min="10482" max="10482" width="10.25" style="378" customWidth="1"/>
    <col min="10483" max="10483" width="12.5" style="378" customWidth="1"/>
    <col min="10484" max="10484" width="12.75" style="378" customWidth="1"/>
    <col min="10485" max="10485" width="6" style="378" customWidth="1"/>
    <col min="10486" max="10486" width="5" style="378" customWidth="1"/>
    <col min="10487" max="10487" width="13.875" style="378" customWidth="1"/>
    <col min="10488" max="10488" width="6" style="378" customWidth="1"/>
    <col min="10489" max="10489" width="5" style="378" customWidth="1"/>
    <col min="10490" max="10490" width="13.875" style="378" customWidth="1"/>
    <col min="10491" max="10491" width="6" style="378" customWidth="1"/>
    <col min="10492" max="10492" width="5" style="378" customWidth="1"/>
    <col min="10493" max="10493" width="13.875" style="378" customWidth="1"/>
    <col min="10494" max="10494" width="6" style="378" customWidth="1"/>
    <col min="10495" max="10495" width="5" style="378" customWidth="1"/>
    <col min="10496" max="10496" width="13.875" style="378" customWidth="1"/>
    <col min="10497" max="10497" width="14" style="378" customWidth="1"/>
    <col min="10498" max="10733" width="14.125" style="378"/>
    <col min="10734" max="10734" width="11.25" style="378" customWidth="1"/>
    <col min="10735" max="10735" width="13.25" style="378" customWidth="1"/>
    <col min="10736" max="10736" width="17.25" style="378" customWidth="1"/>
    <col min="10737" max="10737" width="8.875" style="378" customWidth="1"/>
    <col min="10738" max="10738" width="10.25" style="378" customWidth="1"/>
    <col min="10739" max="10739" width="12.5" style="378" customWidth="1"/>
    <col min="10740" max="10740" width="12.75" style="378" customWidth="1"/>
    <col min="10741" max="10741" width="6" style="378" customWidth="1"/>
    <col min="10742" max="10742" width="5" style="378" customWidth="1"/>
    <col min="10743" max="10743" width="13.875" style="378" customWidth="1"/>
    <col min="10744" max="10744" width="6" style="378" customWidth="1"/>
    <col min="10745" max="10745" width="5" style="378" customWidth="1"/>
    <col min="10746" max="10746" width="13.875" style="378" customWidth="1"/>
    <col min="10747" max="10747" width="6" style="378" customWidth="1"/>
    <col min="10748" max="10748" width="5" style="378" customWidth="1"/>
    <col min="10749" max="10749" width="13.875" style="378" customWidth="1"/>
    <col min="10750" max="10750" width="6" style="378" customWidth="1"/>
    <col min="10751" max="10751" width="5" style="378" customWidth="1"/>
    <col min="10752" max="10752" width="13.875" style="378" customWidth="1"/>
    <col min="10753" max="10753" width="14" style="378" customWidth="1"/>
    <col min="10754" max="10989" width="14.125" style="378"/>
    <col min="10990" max="10990" width="11.25" style="378" customWidth="1"/>
    <col min="10991" max="10991" width="13.25" style="378" customWidth="1"/>
    <col min="10992" max="10992" width="17.25" style="378" customWidth="1"/>
    <col min="10993" max="10993" width="8.875" style="378" customWidth="1"/>
    <col min="10994" max="10994" width="10.25" style="378" customWidth="1"/>
    <col min="10995" max="10995" width="12.5" style="378" customWidth="1"/>
    <col min="10996" max="10996" width="12.75" style="378" customWidth="1"/>
    <col min="10997" max="10997" width="6" style="378" customWidth="1"/>
    <col min="10998" max="10998" width="5" style="378" customWidth="1"/>
    <col min="10999" max="10999" width="13.875" style="378" customWidth="1"/>
    <col min="11000" max="11000" width="6" style="378" customWidth="1"/>
    <col min="11001" max="11001" width="5" style="378" customWidth="1"/>
    <col min="11002" max="11002" width="13.875" style="378" customWidth="1"/>
    <col min="11003" max="11003" width="6" style="378" customWidth="1"/>
    <col min="11004" max="11004" width="5" style="378" customWidth="1"/>
    <col min="11005" max="11005" width="13.875" style="378" customWidth="1"/>
    <col min="11006" max="11006" width="6" style="378" customWidth="1"/>
    <col min="11007" max="11007" width="5" style="378" customWidth="1"/>
    <col min="11008" max="11008" width="13.875" style="378" customWidth="1"/>
    <col min="11009" max="11009" width="14" style="378" customWidth="1"/>
    <col min="11010" max="11245" width="14.125" style="378"/>
    <col min="11246" max="11246" width="11.25" style="378" customWidth="1"/>
    <col min="11247" max="11247" width="13.25" style="378" customWidth="1"/>
    <col min="11248" max="11248" width="17.25" style="378" customWidth="1"/>
    <col min="11249" max="11249" width="8.875" style="378" customWidth="1"/>
    <col min="11250" max="11250" width="10.25" style="378" customWidth="1"/>
    <col min="11251" max="11251" width="12.5" style="378" customWidth="1"/>
    <col min="11252" max="11252" width="12.75" style="378" customWidth="1"/>
    <col min="11253" max="11253" width="6" style="378" customWidth="1"/>
    <col min="11254" max="11254" width="5" style="378" customWidth="1"/>
    <col min="11255" max="11255" width="13.875" style="378" customWidth="1"/>
    <col min="11256" max="11256" width="6" style="378" customWidth="1"/>
    <col min="11257" max="11257" width="5" style="378" customWidth="1"/>
    <col min="11258" max="11258" width="13.875" style="378" customWidth="1"/>
    <col min="11259" max="11259" width="6" style="378" customWidth="1"/>
    <col min="11260" max="11260" width="5" style="378" customWidth="1"/>
    <col min="11261" max="11261" width="13.875" style="378" customWidth="1"/>
    <col min="11262" max="11262" width="6" style="378" customWidth="1"/>
    <col min="11263" max="11263" width="5" style="378" customWidth="1"/>
    <col min="11264" max="11264" width="13.875" style="378" customWidth="1"/>
    <col min="11265" max="11265" width="14" style="378" customWidth="1"/>
    <col min="11266" max="11501" width="14.125" style="378"/>
    <col min="11502" max="11502" width="11.25" style="378" customWidth="1"/>
    <col min="11503" max="11503" width="13.25" style="378" customWidth="1"/>
    <col min="11504" max="11504" width="17.25" style="378" customWidth="1"/>
    <col min="11505" max="11505" width="8.875" style="378" customWidth="1"/>
    <col min="11506" max="11506" width="10.25" style="378" customWidth="1"/>
    <col min="11507" max="11507" width="12.5" style="378" customWidth="1"/>
    <col min="11508" max="11508" width="12.75" style="378" customWidth="1"/>
    <col min="11509" max="11509" width="6" style="378" customWidth="1"/>
    <col min="11510" max="11510" width="5" style="378" customWidth="1"/>
    <col min="11511" max="11511" width="13.875" style="378" customWidth="1"/>
    <col min="11512" max="11512" width="6" style="378" customWidth="1"/>
    <col min="11513" max="11513" width="5" style="378" customWidth="1"/>
    <col min="11514" max="11514" width="13.875" style="378" customWidth="1"/>
    <col min="11515" max="11515" width="6" style="378" customWidth="1"/>
    <col min="11516" max="11516" width="5" style="378" customWidth="1"/>
    <col min="11517" max="11517" width="13.875" style="378" customWidth="1"/>
    <col min="11518" max="11518" width="6" style="378" customWidth="1"/>
    <col min="11519" max="11519" width="5" style="378" customWidth="1"/>
    <col min="11520" max="11520" width="13.875" style="378" customWidth="1"/>
    <col min="11521" max="11521" width="14" style="378" customWidth="1"/>
    <col min="11522" max="11757" width="14.125" style="378"/>
    <col min="11758" max="11758" width="11.25" style="378" customWidth="1"/>
    <col min="11759" max="11759" width="13.25" style="378" customWidth="1"/>
    <col min="11760" max="11760" width="17.25" style="378" customWidth="1"/>
    <col min="11761" max="11761" width="8.875" style="378" customWidth="1"/>
    <col min="11762" max="11762" width="10.25" style="378" customWidth="1"/>
    <col min="11763" max="11763" width="12.5" style="378" customWidth="1"/>
    <col min="11764" max="11764" width="12.75" style="378" customWidth="1"/>
    <col min="11765" max="11765" width="6" style="378" customWidth="1"/>
    <col min="11766" max="11766" width="5" style="378" customWidth="1"/>
    <col min="11767" max="11767" width="13.875" style="378" customWidth="1"/>
    <col min="11768" max="11768" width="6" style="378" customWidth="1"/>
    <col min="11769" max="11769" width="5" style="378" customWidth="1"/>
    <col min="11770" max="11770" width="13.875" style="378" customWidth="1"/>
    <col min="11771" max="11771" width="6" style="378" customWidth="1"/>
    <col min="11772" max="11772" width="5" style="378" customWidth="1"/>
    <col min="11773" max="11773" width="13.875" style="378" customWidth="1"/>
    <col min="11774" max="11774" width="6" style="378" customWidth="1"/>
    <col min="11775" max="11775" width="5" style="378" customWidth="1"/>
    <col min="11776" max="11776" width="13.875" style="378" customWidth="1"/>
    <col min="11777" max="11777" width="14" style="378" customWidth="1"/>
    <col min="11778" max="12013" width="14.125" style="378"/>
    <col min="12014" max="12014" width="11.25" style="378" customWidth="1"/>
    <col min="12015" max="12015" width="13.25" style="378" customWidth="1"/>
    <col min="12016" max="12016" width="17.25" style="378" customWidth="1"/>
    <col min="12017" max="12017" width="8.875" style="378" customWidth="1"/>
    <col min="12018" max="12018" width="10.25" style="378" customWidth="1"/>
    <col min="12019" max="12019" width="12.5" style="378" customWidth="1"/>
    <col min="12020" max="12020" width="12.75" style="378" customWidth="1"/>
    <col min="12021" max="12021" width="6" style="378" customWidth="1"/>
    <col min="12022" max="12022" width="5" style="378" customWidth="1"/>
    <col min="12023" max="12023" width="13.875" style="378" customWidth="1"/>
    <col min="12024" max="12024" width="6" style="378" customWidth="1"/>
    <col min="12025" max="12025" width="5" style="378" customWidth="1"/>
    <col min="12026" max="12026" width="13.875" style="378" customWidth="1"/>
    <col min="12027" max="12027" width="6" style="378" customWidth="1"/>
    <col min="12028" max="12028" width="5" style="378" customWidth="1"/>
    <col min="12029" max="12029" width="13.875" style="378" customWidth="1"/>
    <col min="12030" max="12030" width="6" style="378" customWidth="1"/>
    <col min="12031" max="12031" width="5" style="378" customWidth="1"/>
    <col min="12032" max="12032" width="13.875" style="378" customWidth="1"/>
    <col min="12033" max="12033" width="14" style="378" customWidth="1"/>
    <col min="12034" max="12269" width="14.125" style="378"/>
    <col min="12270" max="12270" width="11.25" style="378" customWidth="1"/>
    <col min="12271" max="12271" width="13.25" style="378" customWidth="1"/>
    <col min="12272" max="12272" width="17.25" style="378" customWidth="1"/>
    <col min="12273" max="12273" width="8.875" style="378" customWidth="1"/>
    <col min="12274" max="12274" width="10.25" style="378" customWidth="1"/>
    <col min="12275" max="12275" width="12.5" style="378" customWidth="1"/>
    <col min="12276" max="12276" width="12.75" style="378" customWidth="1"/>
    <col min="12277" max="12277" width="6" style="378" customWidth="1"/>
    <col min="12278" max="12278" width="5" style="378" customWidth="1"/>
    <col min="12279" max="12279" width="13.875" style="378" customWidth="1"/>
    <col min="12280" max="12280" width="6" style="378" customWidth="1"/>
    <col min="12281" max="12281" width="5" style="378" customWidth="1"/>
    <col min="12282" max="12282" width="13.875" style="378" customWidth="1"/>
    <col min="12283" max="12283" width="6" style="378" customWidth="1"/>
    <col min="12284" max="12284" width="5" style="378" customWidth="1"/>
    <col min="12285" max="12285" width="13.875" style="378" customWidth="1"/>
    <col min="12286" max="12286" width="6" style="378" customWidth="1"/>
    <col min="12287" max="12287" width="5" style="378" customWidth="1"/>
    <col min="12288" max="12288" width="13.875" style="378" customWidth="1"/>
    <col min="12289" max="12289" width="14" style="378" customWidth="1"/>
    <col min="12290" max="12525" width="14.125" style="378"/>
    <col min="12526" max="12526" width="11.25" style="378" customWidth="1"/>
    <col min="12527" max="12527" width="13.25" style="378" customWidth="1"/>
    <col min="12528" max="12528" width="17.25" style="378" customWidth="1"/>
    <col min="12529" max="12529" width="8.875" style="378" customWidth="1"/>
    <col min="12530" max="12530" width="10.25" style="378" customWidth="1"/>
    <col min="12531" max="12531" width="12.5" style="378" customWidth="1"/>
    <col min="12532" max="12532" width="12.75" style="378" customWidth="1"/>
    <col min="12533" max="12533" width="6" style="378" customWidth="1"/>
    <col min="12534" max="12534" width="5" style="378" customWidth="1"/>
    <col min="12535" max="12535" width="13.875" style="378" customWidth="1"/>
    <col min="12536" max="12536" width="6" style="378" customWidth="1"/>
    <col min="12537" max="12537" width="5" style="378" customWidth="1"/>
    <col min="12538" max="12538" width="13.875" style="378" customWidth="1"/>
    <col min="12539" max="12539" width="6" style="378" customWidth="1"/>
    <col min="12540" max="12540" width="5" style="378" customWidth="1"/>
    <col min="12541" max="12541" width="13.875" style="378" customWidth="1"/>
    <col min="12542" max="12542" width="6" style="378" customWidth="1"/>
    <col min="12543" max="12543" width="5" style="378" customWidth="1"/>
    <col min="12544" max="12544" width="13.875" style="378" customWidth="1"/>
    <col min="12545" max="12545" width="14" style="378" customWidth="1"/>
    <col min="12546" max="12781" width="14.125" style="378"/>
    <col min="12782" max="12782" width="11.25" style="378" customWidth="1"/>
    <col min="12783" max="12783" width="13.25" style="378" customWidth="1"/>
    <col min="12784" max="12784" width="17.25" style="378" customWidth="1"/>
    <col min="12785" max="12785" width="8.875" style="378" customWidth="1"/>
    <col min="12786" max="12786" width="10.25" style="378" customWidth="1"/>
    <col min="12787" max="12787" width="12.5" style="378" customWidth="1"/>
    <col min="12788" max="12788" width="12.75" style="378" customWidth="1"/>
    <col min="12789" max="12789" width="6" style="378" customWidth="1"/>
    <col min="12790" max="12790" width="5" style="378" customWidth="1"/>
    <col min="12791" max="12791" width="13.875" style="378" customWidth="1"/>
    <col min="12792" max="12792" width="6" style="378" customWidth="1"/>
    <col min="12793" max="12793" width="5" style="378" customWidth="1"/>
    <col min="12794" max="12794" width="13.875" style="378" customWidth="1"/>
    <col min="12795" max="12795" width="6" style="378" customWidth="1"/>
    <col min="12796" max="12796" width="5" style="378" customWidth="1"/>
    <col min="12797" max="12797" width="13.875" style="378" customWidth="1"/>
    <col min="12798" max="12798" width="6" style="378" customWidth="1"/>
    <col min="12799" max="12799" width="5" style="378" customWidth="1"/>
    <col min="12800" max="12800" width="13.875" style="378" customWidth="1"/>
    <col min="12801" max="12801" width="14" style="378" customWidth="1"/>
    <col min="12802" max="13037" width="14.125" style="378"/>
    <col min="13038" max="13038" width="11.25" style="378" customWidth="1"/>
    <col min="13039" max="13039" width="13.25" style="378" customWidth="1"/>
    <col min="13040" max="13040" width="17.25" style="378" customWidth="1"/>
    <col min="13041" max="13041" width="8.875" style="378" customWidth="1"/>
    <col min="13042" max="13042" width="10.25" style="378" customWidth="1"/>
    <col min="13043" max="13043" width="12.5" style="378" customWidth="1"/>
    <col min="13044" max="13044" width="12.75" style="378" customWidth="1"/>
    <col min="13045" max="13045" width="6" style="378" customWidth="1"/>
    <col min="13046" max="13046" width="5" style="378" customWidth="1"/>
    <col min="13047" max="13047" width="13.875" style="378" customWidth="1"/>
    <col min="13048" max="13048" width="6" style="378" customWidth="1"/>
    <col min="13049" max="13049" width="5" style="378" customWidth="1"/>
    <col min="13050" max="13050" width="13.875" style="378" customWidth="1"/>
    <col min="13051" max="13051" width="6" style="378" customWidth="1"/>
    <col min="13052" max="13052" width="5" style="378" customWidth="1"/>
    <col min="13053" max="13053" width="13.875" style="378" customWidth="1"/>
    <col min="13054" max="13054" width="6" style="378" customWidth="1"/>
    <col min="13055" max="13055" width="5" style="378" customWidth="1"/>
    <col min="13056" max="13056" width="13.875" style="378" customWidth="1"/>
    <col min="13057" max="13057" width="14" style="378" customWidth="1"/>
    <col min="13058" max="13293" width="14.125" style="378"/>
    <col min="13294" max="13294" width="11.25" style="378" customWidth="1"/>
    <col min="13295" max="13295" width="13.25" style="378" customWidth="1"/>
    <col min="13296" max="13296" width="17.25" style="378" customWidth="1"/>
    <col min="13297" max="13297" width="8.875" style="378" customWidth="1"/>
    <col min="13298" max="13298" width="10.25" style="378" customWidth="1"/>
    <col min="13299" max="13299" width="12.5" style="378" customWidth="1"/>
    <col min="13300" max="13300" width="12.75" style="378" customWidth="1"/>
    <col min="13301" max="13301" width="6" style="378" customWidth="1"/>
    <col min="13302" max="13302" width="5" style="378" customWidth="1"/>
    <col min="13303" max="13303" width="13.875" style="378" customWidth="1"/>
    <col min="13304" max="13304" width="6" style="378" customWidth="1"/>
    <col min="13305" max="13305" width="5" style="378" customWidth="1"/>
    <col min="13306" max="13306" width="13.875" style="378" customWidth="1"/>
    <col min="13307" max="13307" width="6" style="378" customWidth="1"/>
    <col min="13308" max="13308" width="5" style="378" customWidth="1"/>
    <col min="13309" max="13309" width="13.875" style="378" customWidth="1"/>
    <col min="13310" max="13310" width="6" style="378" customWidth="1"/>
    <col min="13311" max="13311" width="5" style="378" customWidth="1"/>
    <col min="13312" max="13312" width="13.875" style="378" customWidth="1"/>
    <col min="13313" max="13313" width="14" style="378" customWidth="1"/>
    <col min="13314" max="13549" width="14.125" style="378"/>
    <col min="13550" max="13550" width="11.25" style="378" customWidth="1"/>
    <col min="13551" max="13551" width="13.25" style="378" customWidth="1"/>
    <col min="13552" max="13552" width="17.25" style="378" customWidth="1"/>
    <col min="13553" max="13553" width="8.875" style="378" customWidth="1"/>
    <col min="13554" max="13554" width="10.25" style="378" customWidth="1"/>
    <col min="13555" max="13555" width="12.5" style="378" customWidth="1"/>
    <col min="13556" max="13556" width="12.75" style="378" customWidth="1"/>
    <col min="13557" max="13557" width="6" style="378" customWidth="1"/>
    <col min="13558" max="13558" width="5" style="378" customWidth="1"/>
    <col min="13559" max="13559" width="13.875" style="378" customWidth="1"/>
    <col min="13560" max="13560" width="6" style="378" customWidth="1"/>
    <col min="13561" max="13561" width="5" style="378" customWidth="1"/>
    <col min="13562" max="13562" width="13.875" style="378" customWidth="1"/>
    <col min="13563" max="13563" width="6" style="378" customWidth="1"/>
    <col min="13564" max="13564" width="5" style="378" customWidth="1"/>
    <col min="13565" max="13565" width="13.875" style="378" customWidth="1"/>
    <col min="13566" max="13566" width="6" style="378" customWidth="1"/>
    <col min="13567" max="13567" width="5" style="378" customWidth="1"/>
    <col min="13568" max="13568" width="13.875" style="378" customWidth="1"/>
    <col min="13569" max="13569" width="14" style="378" customWidth="1"/>
    <col min="13570" max="13805" width="14.125" style="378"/>
    <col min="13806" max="13806" width="11.25" style="378" customWidth="1"/>
    <col min="13807" max="13807" width="13.25" style="378" customWidth="1"/>
    <col min="13808" max="13808" width="17.25" style="378" customWidth="1"/>
    <col min="13809" max="13809" width="8.875" style="378" customWidth="1"/>
    <col min="13810" max="13810" width="10.25" style="378" customWidth="1"/>
    <col min="13811" max="13811" width="12.5" style="378" customWidth="1"/>
    <col min="13812" max="13812" width="12.75" style="378" customWidth="1"/>
    <col min="13813" max="13813" width="6" style="378" customWidth="1"/>
    <col min="13814" max="13814" width="5" style="378" customWidth="1"/>
    <col min="13815" max="13815" width="13.875" style="378" customWidth="1"/>
    <col min="13816" max="13816" width="6" style="378" customWidth="1"/>
    <col min="13817" max="13817" width="5" style="378" customWidth="1"/>
    <col min="13818" max="13818" width="13.875" style="378" customWidth="1"/>
    <col min="13819" max="13819" width="6" style="378" customWidth="1"/>
    <col min="13820" max="13820" width="5" style="378" customWidth="1"/>
    <col min="13821" max="13821" width="13.875" style="378" customWidth="1"/>
    <col min="13822" max="13822" width="6" style="378" customWidth="1"/>
    <col min="13823" max="13823" width="5" style="378" customWidth="1"/>
    <col min="13824" max="13824" width="13.875" style="378" customWidth="1"/>
    <col min="13825" max="13825" width="14" style="378" customWidth="1"/>
    <col min="13826" max="14061" width="14.125" style="378"/>
    <col min="14062" max="14062" width="11.25" style="378" customWidth="1"/>
    <col min="14063" max="14063" width="13.25" style="378" customWidth="1"/>
    <col min="14064" max="14064" width="17.25" style="378" customWidth="1"/>
    <col min="14065" max="14065" width="8.875" style="378" customWidth="1"/>
    <col min="14066" max="14066" width="10.25" style="378" customWidth="1"/>
    <col min="14067" max="14067" width="12.5" style="378" customWidth="1"/>
    <col min="14068" max="14068" width="12.75" style="378" customWidth="1"/>
    <col min="14069" max="14069" width="6" style="378" customWidth="1"/>
    <col min="14070" max="14070" width="5" style="378" customWidth="1"/>
    <col min="14071" max="14071" width="13.875" style="378" customWidth="1"/>
    <col min="14072" max="14072" width="6" style="378" customWidth="1"/>
    <col min="14073" max="14073" width="5" style="378" customWidth="1"/>
    <col min="14074" max="14074" width="13.875" style="378" customWidth="1"/>
    <col min="14075" max="14075" width="6" style="378" customWidth="1"/>
    <col min="14076" max="14076" width="5" style="378" customWidth="1"/>
    <col min="14077" max="14077" width="13.875" style="378" customWidth="1"/>
    <col min="14078" max="14078" width="6" style="378" customWidth="1"/>
    <col min="14079" max="14079" width="5" style="378" customWidth="1"/>
    <col min="14080" max="14080" width="13.875" style="378" customWidth="1"/>
    <col min="14081" max="14081" width="14" style="378" customWidth="1"/>
    <col min="14082" max="14317" width="14.125" style="378"/>
    <col min="14318" max="14318" width="11.25" style="378" customWidth="1"/>
    <col min="14319" max="14319" width="13.25" style="378" customWidth="1"/>
    <col min="14320" max="14320" width="17.25" style="378" customWidth="1"/>
    <col min="14321" max="14321" width="8.875" style="378" customWidth="1"/>
    <col min="14322" max="14322" width="10.25" style="378" customWidth="1"/>
    <col min="14323" max="14323" width="12.5" style="378" customWidth="1"/>
    <col min="14324" max="14324" width="12.75" style="378" customWidth="1"/>
    <col min="14325" max="14325" width="6" style="378" customWidth="1"/>
    <col min="14326" max="14326" width="5" style="378" customWidth="1"/>
    <col min="14327" max="14327" width="13.875" style="378" customWidth="1"/>
    <col min="14328" max="14328" width="6" style="378" customWidth="1"/>
    <col min="14329" max="14329" width="5" style="378" customWidth="1"/>
    <col min="14330" max="14330" width="13.875" style="378" customWidth="1"/>
    <col min="14331" max="14331" width="6" style="378" customWidth="1"/>
    <col min="14332" max="14332" width="5" style="378" customWidth="1"/>
    <col min="14333" max="14333" width="13.875" style="378" customWidth="1"/>
    <col min="14334" max="14334" width="6" style="378" customWidth="1"/>
    <col min="14335" max="14335" width="5" style="378" customWidth="1"/>
    <col min="14336" max="14336" width="13.875" style="378" customWidth="1"/>
    <col min="14337" max="14337" width="14" style="378" customWidth="1"/>
    <col min="14338" max="14573" width="14.125" style="378"/>
    <col min="14574" max="14574" width="11.25" style="378" customWidth="1"/>
    <col min="14575" max="14575" width="13.25" style="378" customWidth="1"/>
    <col min="14576" max="14576" width="17.25" style="378" customWidth="1"/>
    <col min="14577" max="14577" width="8.875" style="378" customWidth="1"/>
    <col min="14578" max="14578" width="10.25" style="378" customWidth="1"/>
    <col min="14579" max="14579" width="12.5" style="378" customWidth="1"/>
    <col min="14580" max="14580" width="12.75" style="378" customWidth="1"/>
    <col min="14581" max="14581" width="6" style="378" customWidth="1"/>
    <col min="14582" max="14582" width="5" style="378" customWidth="1"/>
    <col min="14583" max="14583" width="13.875" style="378" customWidth="1"/>
    <col min="14584" max="14584" width="6" style="378" customWidth="1"/>
    <col min="14585" max="14585" width="5" style="378" customWidth="1"/>
    <col min="14586" max="14586" width="13.875" style="378" customWidth="1"/>
    <col min="14587" max="14587" width="6" style="378" customWidth="1"/>
    <col min="14588" max="14588" width="5" style="378" customWidth="1"/>
    <col min="14589" max="14589" width="13.875" style="378" customWidth="1"/>
    <col min="14590" max="14590" width="6" style="378" customWidth="1"/>
    <col min="14591" max="14591" width="5" style="378" customWidth="1"/>
    <col min="14592" max="14592" width="13.875" style="378" customWidth="1"/>
    <col min="14593" max="14593" width="14" style="378" customWidth="1"/>
    <col min="14594" max="14829" width="14.125" style="378"/>
    <col min="14830" max="14830" width="11.25" style="378" customWidth="1"/>
    <col min="14831" max="14831" width="13.25" style="378" customWidth="1"/>
    <col min="14832" max="14832" width="17.25" style="378" customWidth="1"/>
    <col min="14833" max="14833" width="8.875" style="378" customWidth="1"/>
    <col min="14834" max="14834" width="10.25" style="378" customWidth="1"/>
    <col min="14835" max="14835" width="12.5" style="378" customWidth="1"/>
    <col min="14836" max="14836" width="12.75" style="378" customWidth="1"/>
    <col min="14837" max="14837" width="6" style="378" customWidth="1"/>
    <col min="14838" max="14838" width="5" style="378" customWidth="1"/>
    <col min="14839" max="14839" width="13.875" style="378" customWidth="1"/>
    <col min="14840" max="14840" width="6" style="378" customWidth="1"/>
    <col min="14841" max="14841" width="5" style="378" customWidth="1"/>
    <col min="14842" max="14842" width="13.875" style="378" customWidth="1"/>
    <col min="14843" max="14843" width="6" style="378" customWidth="1"/>
    <col min="14844" max="14844" width="5" style="378" customWidth="1"/>
    <col min="14845" max="14845" width="13.875" style="378" customWidth="1"/>
    <col min="14846" max="14846" width="6" style="378" customWidth="1"/>
    <col min="14847" max="14847" width="5" style="378" customWidth="1"/>
    <col min="14848" max="14848" width="13.875" style="378" customWidth="1"/>
    <col min="14849" max="14849" width="14" style="378" customWidth="1"/>
    <col min="14850" max="15085" width="14.125" style="378"/>
    <col min="15086" max="15086" width="11.25" style="378" customWidth="1"/>
    <col min="15087" max="15087" width="13.25" style="378" customWidth="1"/>
    <col min="15088" max="15088" width="17.25" style="378" customWidth="1"/>
    <col min="15089" max="15089" width="8.875" style="378" customWidth="1"/>
    <col min="15090" max="15090" width="10.25" style="378" customWidth="1"/>
    <col min="15091" max="15091" width="12.5" style="378" customWidth="1"/>
    <col min="15092" max="15092" width="12.75" style="378" customWidth="1"/>
    <col min="15093" max="15093" width="6" style="378" customWidth="1"/>
    <col min="15094" max="15094" width="5" style="378" customWidth="1"/>
    <col min="15095" max="15095" width="13.875" style="378" customWidth="1"/>
    <col min="15096" max="15096" width="6" style="378" customWidth="1"/>
    <col min="15097" max="15097" width="5" style="378" customWidth="1"/>
    <col min="15098" max="15098" width="13.875" style="378" customWidth="1"/>
    <col min="15099" max="15099" width="6" style="378" customWidth="1"/>
    <col min="15100" max="15100" width="5" style="378" customWidth="1"/>
    <col min="15101" max="15101" width="13.875" style="378" customWidth="1"/>
    <col min="15102" max="15102" width="6" style="378" customWidth="1"/>
    <col min="15103" max="15103" width="5" style="378" customWidth="1"/>
    <col min="15104" max="15104" width="13.875" style="378" customWidth="1"/>
    <col min="15105" max="15105" width="14" style="378" customWidth="1"/>
    <col min="15106" max="15341" width="14.125" style="378"/>
    <col min="15342" max="15342" width="11.25" style="378" customWidth="1"/>
    <col min="15343" max="15343" width="13.25" style="378" customWidth="1"/>
    <col min="15344" max="15344" width="17.25" style="378" customWidth="1"/>
    <col min="15345" max="15345" width="8.875" style="378" customWidth="1"/>
    <col min="15346" max="15346" width="10.25" style="378" customWidth="1"/>
    <col min="15347" max="15347" width="12.5" style="378" customWidth="1"/>
    <col min="15348" max="15348" width="12.75" style="378" customWidth="1"/>
    <col min="15349" max="15349" width="6" style="378" customWidth="1"/>
    <col min="15350" max="15350" width="5" style="378" customWidth="1"/>
    <col min="15351" max="15351" width="13.875" style="378" customWidth="1"/>
    <col min="15352" max="15352" width="6" style="378" customWidth="1"/>
    <col min="15353" max="15353" width="5" style="378" customWidth="1"/>
    <col min="15354" max="15354" width="13.875" style="378" customWidth="1"/>
    <col min="15355" max="15355" width="6" style="378" customWidth="1"/>
    <col min="15356" max="15356" width="5" style="378" customWidth="1"/>
    <col min="15357" max="15357" width="13.875" style="378" customWidth="1"/>
    <col min="15358" max="15358" width="6" style="378" customWidth="1"/>
    <col min="15359" max="15359" width="5" style="378" customWidth="1"/>
    <col min="15360" max="15360" width="13.875" style="378" customWidth="1"/>
    <col min="15361" max="15361" width="14" style="378" customWidth="1"/>
    <col min="15362" max="15597" width="14.125" style="378"/>
    <col min="15598" max="15598" width="11.25" style="378" customWidth="1"/>
    <col min="15599" max="15599" width="13.25" style="378" customWidth="1"/>
    <col min="15600" max="15600" width="17.25" style="378" customWidth="1"/>
    <col min="15601" max="15601" width="8.875" style="378" customWidth="1"/>
    <col min="15602" max="15602" width="10.25" style="378" customWidth="1"/>
    <col min="15603" max="15603" width="12.5" style="378" customWidth="1"/>
    <col min="15604" max="15604" width="12.75" style="378" customWidth="1"/>
    <col min="15605" max="15605" width="6" style="378" customWidth="1"/>
    <col min="15606" max="15606" width="5" style="378" customWidth="1"/>
    <col min="15607" max="15607" width="13.875" style="378" customWidth="1"/>
    <col min="15608" max="15608" width="6" style="378" customWidth="1"/>
    <col min="15609" max="15609" width="5" style="378" customWidth="1"/>
    <col min="15610" max="15610" width="13.875" style="378" customWidth="1"/>
    <col min="15611" max="15611" width="6" style="378" customWidth="1"/>
    <col min="15612" max="15612" width="5" style="378" customWidth="1"/>
    <col min="15613" max="15613" width="13.875" style="378" customWidth="1"/>
    <col min="15614" max="15614" width="6" style="378" customWidth="1"/>
    <col min="15615" max="15615" width="5" style="378" customWidth="1"/>
    <col min="15616" max="15616" width="13.875" style="378" customWidth="1"/>
    <col min="15617" max="15617" width="14" style="378" customWidth="1"/>
    <col min="15618" max="15853" width="14.125" style="378"/>
    <col min="15854" max="15854" width="11.25" style="378" customWidth="1"/>
    <col min="15855" max="15855" width="13.25" style="378" customWidth="1"/>
    <col min="15856" max="15856" width="17.25" style="378" customWidth="1"/>
    <col min="15857" max="15857" width="8.875" style="378" customWidth="1"/>
    <col min="15858" max="15858" width="10.25" style="378" customWidth="1"/>
    <col min="15859" max="15859" width="12.5" style="378" customWidth="1"/>
    <col min="15860" max="15860" width="12.75" style="378" customWidth="1"/>
    <col min="15861" max="15861" width="6" style="378" customWidth="1"/>
    <col min="15862" max="15862" width="5" style="378" customWidth="1"/>
    <col min="15863" max="15863" width="13.875" style="378" customWidth="1"/>
    <col min="15864" max="15864" width="6" style="378" customWidth="1"/>
    <col min="15865" max="15865" width="5" style="378" customWidth="1"/>
    <col min="15866" max="15866" width="13.875" style="378" customWidth="1"/>
    <col min="15867" max="15867" width="6" style="378" customWidth="1"/>
    <col min="15868" max="15868" width="5" style="378" customWidth="1"/>
    <col min="15869" max="15869" width="13.875" style="378" customWidth="1"/>
    <col min="15870" max="15870" width="6" style="378" customWidth="1"/>
    <col min="15871" max="15871" width="5" style="378" customWidth="1"/>
    <col min="15872" max="15872" width="13.875" style="378" customWidth="1"/>
    <col min="15873" max="15873" width="14" style="378" customWidth="1"/>
    <col min="15874" max="16109" width="14.125" style="378"/>
    <col min="16110" max="16110" width="11.25" style="378" customWidth="1"/>
    <col min="16111" max="16111" width="13.25" style="378" customWidth="1"/>
    <col min="16112" max="16112" width="17.25" style="378" customWidth="1"/>
    <col min="16113" max="16113" width="8.875" style="378" customWidth="1"/>
    <col min="16114" max="16114" width="10.25" style="378" customWidth="1"/>
    <col min="16115" max="16115" width="12.5" style="378" customWidth="1"/>
    <col min="16116" max="16116" width="12.75" style="378" customWidth="1"/>
    <col min="16117" max="16117" width="6" style="378" customWidth="1"/>
    <col min="16118" max="16118" width="5" style="378" customWidth="1"/>
    <col min="16119" max="16119" width="13.875" style="378" customWidth="1"/>
    <col min="16120" max="16120" width="6" style="378" customWidth="1"/>
    <col min="16121" max="16121" width="5" style="378" customWidth="1"/>
    <col min="16122" max="16122" width="13.875" style="378" customWidth="1"/>
    <col min="16123" max="16123" width="6" style="378" customWidth="1"/>
    <col min="16124" max="16124" width="5" style="378" customWidth="1"/>
    <col min="16125" max="16125" width="13.875" style="378" customWidth="1"/>
    <col min="16126" max="16126" width="6" style="378" customWidth="1"/>
    <col min="16127" max="16127" width="5" style="378" customWidth="1"/>
    <col min="16128" max="16128" width="13.875" style="378" customWidth="1"/>
    <col min="16129" max="16129" width="14" style="378" customWidth="1"/>
    <col min="16130" max="16384" width="14.125" style="378"/>
  </cols>
  <sheetData>
    <row r="1" spans="1:11" ht="13.7">
      <c r="A1" s="841" t="s">
        <v>0</v>
      </c>
      <c r="B1" s="800" t="s">
        <v>68</v>
      </c>
      <c r="C1" s="839" t="s">
        <v>69</v>
      </c>
      <c r="D1" s="840"/>
      <c r="E1" s="840"/>
      <c r="F1" s="840"/>
      <c r="G1" s="800" t="s">
        <v>70</v>
      </c>
    </row>
    <row r="2" spans="1:11" ht="13.7">
      <c r="A2" s="842"/>
      <c r="B2" s="801"/>
      <c r="C2" s="511" t="s">
        <v>1</v>
      </c>
      <c r="D2" s="487" t="s">
        <v>3</v>
      </c>
      <c r="E2" s="512" t="s">
        <v>5</v>
      </c>
      <c r="F2" s="487" t="s">
        <v>6</v>
      </c>
      <c r="G2" s="843"/>
    </row>
    <row r="3" spans="1:11">
      <c r="A3" s="513">
        <v>45809</v>
      </c>
      <c r="B3" s="514">
        <v>4404</v>
      </c>
      <c r="C3" s="514">
        <v>0</v>
      </c>
      <c r="D3" s="515">
        <v>15454.31954</v>
      </c>
      <c r="E3" s="516">
        <v>0</v>
      </c>
      <c r="F3" s="514">
        <v>0</v>
      </c>
      <c r="G3" s="517">
        <f t="shared" ref="G3:G33" si="0">SUM(C3:F3)</f>
        <v>15454.31954</v>
      </c>
      <c r="J3" s="523"/>
    </row>
    <row r="4" spans="1:11">
      <c r="A4" s="513">
        <v>45810</v>
      </c>
      <c r="B4" s="516">
        <v>4404</v>
      </c>
      <c r="C4" s="518">
        <v>0</v>
      </c>
      <c r="D4" s="519">
        <f>15454.31954+270.98</f>
        <v>15725.29954</v>
      </c>
      <c r="E4" s="520">
        <v>0</v>
      </c>
      <c r="F4" s="516">
        <v>0</v>
      </c>
      <c r="G4" s="521">
        <f t="shared" si="0"/>
        <v>15725.29954</v>
      </c>
    </row>
    <row r="5" spans="1:11">
      <c r="A5" s="513">
        <v>45811</v>
      </c>
      <c r="B5" s="516">
        <v>4404</v>
      </c>
      <c r="C5" s="516">
        <v>0</v>
      </c>
      <c r="D5" s="519">
        <v>15799.13954</v>
      </c>
      <c r="E5" s="516">
        <v>0</v>
      </c>
      <c r="F5" s="516">
        <v>0</v>
      </c>
      <c r="G5" s="521">
        <f t="shared" si="0"/>
        <v>15799.13954</v>
      </c>
    </row>
    <row r="6" spans="1:11">
      <c r="A6" s="513">
        <v>45812</v>
      </c>
      <c r="B6" s="516">
        <v>4404</v>
      </c>
      <c r="C6" s="516">
        <v>0</v>
      </c>
      <c r="D6" s="519">
        <v>15860.54254</v>
      </c>
      <c r="E6" s="516">
        <v>0</v>
      </c>
      <c r="F6" s="516">
        <v>0</v>
      </c>
      <c r="G6" s="521">
        <f t="shared" si="0"/>
        <v>15860.54254</v>
      </c>
      <c r="K6" s="524"/>
    </row>
    <row r="7" spans="1:11">
      <c r="A7" s="513">
        <v>45813</v>
      </c>
      <c r="B7" s="516">
        <v>4404</v>
      </c>
      <c r="C7" s="516">
        <v>0</v>
      </c>
      <c r="D7" s="519">
        <v>15465.54254</v>
      </c>
      <c r="E7" s="516">
        <v>0</v>
      </c>
      <c r="F7" s="516">
        <v>0</v>
      </c>
      <c r="G7" s="521">
        <f t="shared" si="0"/>
        <v>15465.54254</v>
      </c>
      <c r="K7" s="523"/>
    </row>
    <row r="8" spans="1:11">
      <c r="A8" s="513">
        <v>45814</v>
      </c>
      <c r="B8" s="516">
        <v>4404</v>
      </c>
      <c r="C8" s="516">
        <v>0</v>
      </c>
      <c r="D8" s="519">
        <v>15465.54254</v>
      </c>
      <c r="E8" s="516">
        <v>0</v>
      </c>
      <c r="F8" s="516">
        <v>0</v>
      </c>
      <c r="G8" s="521">
        <f t="shared" si="0"/>
        <v>15465.54254</v>
      </c>
      <c r="K8" s="524"/>
    </row>
    <row r="9" spans="1:11">
      <c r="A9" s="513">
        <v>45815</v>
      </c>
      <c r="B9" s="516">
        <v>4404</v>
      </c>
      <c r="C9" s="516">
        <v>0</v>
      </c>
      <c r="D9" s="519">
        <v>15465.54254</v>
      </c>
      <c r="E9" s="516">
        <v>0</v>
      </c>
      <c r="F9" s="516">
        <v>0</v>
      </c>
      <c r="G9" s="521">
        <f t="shared" si="0"/>
        <v>15465.54254</v>
      </c>
    </row>
    <row r="10" spans="1:11">
      <c r="A10" s="513">
        <v>45816</v>
      </c>
      <c r="B10" s="516">
        <v>4404</v>
      </c>
      <c r="C10" s="516">
        <v>0</v>
      </c>
      <c r="D10" s="519">
        <v>14849.419540000001</v>
      </c>
      <c r="E10" s="516">
        <v>0</v>
      </c>
      <c r="F10" s="516">
        <v>0</v>
      </c>
      <c r="G10" s="521">
        <f t="shared" si="0"/>
        <v>14849.419540000001</v>
      </c>
    </row>
    <row r="11" spans="1:11">
      <c r="A11" s="513">
        <v>45817</v>
      </c>
      <c r="B11" s="516">
        <v>4404</v>
      </c>
      <c r="C11" s="516">
        <v>0</v>
      </c>
      <c r="D11" s="519">
        <v>14186.419540000001</v>
      </c>
      <c r="E11" s="516">
        <v>0</v>
      </c>
      <c r="F11" s="516">
        <v>0</v>
      </c>
      <c r="G11" s="521">
        <f t="shared" si="0"/>
        <v>14186.419540000001</v>
      </c>
    </row>
    <row r="12" spans="1:11">
      <c r="A12" s="513">
        <v>45818</v>
      </c>
      <c r="B12" s="516">
        <v>4404</v>
      </c>
      <c r="C12" s="516">
        <v>0</v>
      </c>
      <c r="D12" s="519">
        <v>14392.98954</v>
      </c>
      <c r="E12" s="516">
        <v>0</v>
      </c>
      <c r="F12" s="516">
        <v>0</v>
      </c>
      <c r="G12" s="521">
        <f t="shared" si="0"/>
        <v>14392.98954</v>
      </c>
    </row>
    <row r="13" spans="1:11">
      <c r="A13" s="513">
        <v>45819</v>
      </c>
      <c r="B13" s="516">
        <v>4404</v>
      </c>
      <c r="C13" s="516">
        <v>0</v>
      </c>
      <c r="D13" s="519">
        <v>14516.579540000001</v>
      </c>
      <c r="E13" s="516">
        <v>0</v>
      </c>
      <c r="F13" s="516">
        <v>0</v>
      </c>
      <c r="G13" s="521">
        <f t="shared" si="0"/>
        <v>14516.579540000001</v>
      </c>
    </row>
    <row r="14" spans="1:11">
      <c r="A14" s="513">
        <v>45820</v>
      </c>
      <c r="B14" s="516">
        <v>4404</v>
      </c>
      <c r="C14" s="516">
        <v>0</v>
      </c>
      <c r="D14" s="519">
        <v>14917.89954</v>
      </c>
      <c r="E14" s="516">
        <v>0</v>
      </c>
      <c r="F14" s="516">
        <v>0</v>
      </c>
      <c r="G14" s="521">
        <f t="shared" si="0"/>
        <v>14917.89954</v>
      </c>
    </row>
    <row r="15" spans="1:11">
      <c r="A15" s="513">
        <v>45821</v>
      </c>
      <c r="B15" s="516">
        <v>4404</v>
      </c>
      <c r="C15" s="516">
        <v>0</v>
      </c>
      <c r="D15" s="519">
        <v>14853.329540000001</v>
      </c>
      <c r="E15" s="516">
        <v>0</v>
      </c>
      <c r="F15" s="516">
        <v>0</v>
      </c>
      <c r="G15" s="521">
        <f t="shared" si="0"/>
        <v>14853.329540000001</v>
      </c>
    </row>
    <row r="16" spans="1:11">
      <c r="A16" s="513">
        <v>45822</v>
      </c>
      <c r="B16" s="516">
        <v>4404</v>
      </c>
      <c r="C16" s="516">
        <v>0</v>
      </c>
      <c r="D16" s="519">
        <v>14876.53954</v>
      </c>
      <c r="E16" s="516">
        <v>0</v>
      </c>
      <c r="F16" s="516">
        <v>0</v>
      </c>
      <c r="G16" s="521">
        <f t="shared" si="0"/>
        <v>14876.53954</v>
      </c>
    </row>
    <row r="17" spans="1:13">
      <c r="A17" s="513">
        <v>45823</v>
      </c>
      <c r="B17" s="516">
        <v>4404</v>
      </c>
      <c r="C17" s="516">
        <v>0</v>
      </c>
      <c r="D17" s="519">
        <v>15314.31954</v>
      </c>
      <c r="E17" s="516">
        <v>0</v>
      </c>
      <c r="F17" s="516">
        <v>0</v>
      </c>
      <c r="G17" s="521">
        <f t="shared" si="0"/>
        <v>15314.31954</v>
      </c>
    </row>
    <row r="18" spans="1:13">
      <c r="A18" s="513">
        <v>45824</v>
      </c>
      <c r="B18" s="516">
        <v>4404</v>
      </c>
      <c r="C18" s="516">
        <v>0</v>
      </c>
      <c r="D18" s="519">
        <v>15200.73954</v>
      </c>
      <c r="E18" s="516">
        <v>0</v>
      </c>
      <c r="F18" s="516">
        <v>0</v>
      </c>
      <c r="G18" s="521">
        <f t="shared" si="0"/>
        <v>15200.73954</v>
      </c>
    </row>
    <row r="19" spans="1:13">
      <c r="A19" s="513">
        <v>45825</v>
      </c>
      <c r="B19" s="516">
        <v>4404</v>
      </c>
      <c r="C19" s="516">
        <v>0</v>
      </c>
      <c r="D19" s="519">
        <v>15379.05954</v>
      </c>
      <c r="E19" s="516">
        <v>0</v>
      </c>
      <c r="F19" s="516">
        <v>0</v>
      </c>
      <c r="G19" s="521">
        <f t="shared" si="0"/>
        <v>15379.05954</v>
      </c>
      <c r="I19" s="523"/>
    </row>
    <row r="20" spans="1:13">
      <c r="A20" s="513">
        <v>45826</v>
      </c>
      <c r="B20" s="516">
        <v>4404</v>
      </c>
      <c r="C20" s="516">
        <v>0</v>
      </c>
      <c r="D20" s="519">
        <v>15716.474899999999</v>
      </c>
      <c r="E20" s="516">
        <v>0</v>
      </c>
      <c r="F20" s="516">
        <v>0</v>
      </c>
      <c r="G20" s="521">
        <f t="shared" si="0"/>
        <v>15716.474899999999</v>
      </c>
    </row>
    <row r="21" spans="1:13">
      <c r="A21" s="513">
        <v>45827</v>
      </c>
      <c r="B21" s="516">
        <v>4404</v>
      </c>
      <c r="C21" s="516">
        <v>0</v>
      </c>
      <c r="D21" s="519">
        <v>15716.474899999999</v>
      </c>
      <c r="E21" s="516">
        <v>0</v>
      </c>
      <c r="F21" s="516">
        <v>0</v>
      </c>
      <c r="G21" s="521">
        <f t="shared" si="0"/>
        <v>15716.474899999999</v>
      </c>
      <c r="M21" s="522"/>
    </row>
    <row r="22" spans="1:13">
      <c r="A22" s="513">
        <v>45828</v>
      </c>
      <c r="B22" s="516">
        <v>4404</v>
      </c>
      <c r="C22" s="516">
        <v>0</v>
      </c>
      <c r="D22" s="519">
        <v>15441.474899999999</v>
      </c>
      <c r="E22" s="516">
        <v>0</v>
      </c>
      <c r="F22" s="516">
        <v>0</v>
      </c>
      <c r="G22" s="521">
        <f t="shared" si="0"/>
        <v>15441.474899999999</v>
      </c>
      <c r="H22" s="522"/>
    </row>
    <row r="23" spans="1:13">
      <c r="A23" s="513">
        <v>45829</v>
      </c>
      <c r="B23" s="516">
        <v>4404</v>
      </c>
      <c r="C23" s="516">
        <v>0</v>
      </c>
      <c r="D23" s="519">
        <v>15612.294900000001</v>
      </c>
      <c r="E23" s="516">
        <v>0</v>
      </c>
      <c r="F23" s="516">
        <v>0</v>
      </c>
      <c r="G23" s="521">
        <f t="shared" si="0"/>
        <v>15612.294900000001</v>
      </c>
      <c r="L23" s="522"/>
    </row>
    <row r="24" spans="1:13">
      <c r="A24" s="513">
        <v>45830</v>
      </c>
      <c r="B24" s="516">
        <v>4404</v>
      </c>
      <c r="C24" s="516">
        <v>0</v>
      </c>
      <c r="D24" s="519">
        <v>15622.11722</v>
      </c>
      <c r="E24" s="516">
        <v>0</v>
      </c>
      <c r="F24" s="516">
        <v>0</v>
      </c>
      <c r="G24" s="521">
        <f t="shared" si="0"/>
        <v>15622.11722</v>
      </c>
      <c r="L24" s="522"/>
      <c r="M24" s="522"/>
    </row>
    <row r="25" spans="1:13">
      <c r="A25" s="513">
        <v>45831</v>
      </c>
      <c r="B25" s="516">
        <v>4404</v>
      </c>
      <c r="C25" s="516">
        <v>0</v>
      </c>
      <c r="D25" s="519">
        <v>15703.95722</v>
      </c>
      <c r="E25" s="516">
        <v>0</v>
      </c>
      <c r="F25" s="516">
        <v>0</v>
      </c>
      <c r="G25" s="521">
        <f t="shared" si="0"/>
        <v>15703.95722</v>
      </c>
      <c r="H25" s="522"/>
    </row>
    <row r="26" spans="1:13">
      <c r="A26" s="513">
        <v>45832</v>
      </c>
      <c r="B26" s="516">
        <v>4404</v>
      </c>
      <c r="C26" s="516">
        <v>0</v>
      </c>
      <c r="D26" s="519">
        <v>15516.520339999999</v>
      </c>
      <c r="E26" s="516">
        <v>0</v>
      </c>
      <c r="F26" s="516">
        <v>0</v>
      </c>
      <c r="G26" s="521">
        <f t="shared" si="0"/>
        <v>15516.520339999999</v>
      </c>
      <c r="H26" s="522"/>
    </row>
    <row r="27" spans="1:13">
      <c r="A27" s="513">
        <v>45833</v>
      </c>
      <c r="B27" s="516">
        <v>4404</v>
      </c>
      <c r="C27" s="516">
        <v>0</v>
      </c>
      <c r="D27" s="519">
        <v>15755.350340000001</v>
      </c>
      <c r="E27" s="516">
        <v>0</v>
      </c>
      <c r="F27" s="516">
        <v>0</v>
      </c>
      <c r="G27" s="521">
        <f t="shared" si="0"/>
        <v>15755.350340000001</v>
      </c>
      <c r="H27" s="522"/>
    </row>
    <row r="28" spans="1:13">
      <c r="A28" s="513">
        <v>45834</v>
      </c>
      <c r="B28" s="516">
        <v>4404</v>
      </c>
      <c r="C28" s="516">
        <v>0</v>
      </c>
      <c r="D28" s="519">
        <v>15509.909540000001</v>
      </c>
      <c r="E28" s="516">
        <v>0</v>
      </c>
      <c r="F28" s="516">
        <v>0</v>
      </c>
      <c r="G28" s="521">
        <f t="shared" si="0"/>
        <v>15509.909540000001</v>
      </c>
      <c r="H28" s="522"/>
    </row>
    <row r="29" spans="1:13">
      <c r="A29" s="513">
        <v>45835</v>
      </c>
      <c r="B29" s="516">
        <v>4404</v>
      </c>
      <c r="C29" s="516">
        <v>0</v>
      </c>
      <c r="D29" s="519">
        <v>15748.54954</v>
      </c>
      <c r="E29" s="516">
        <v>0</v>
      </c>
      <c r="F29" s="516">
        <v>0</v>
      </c>
      <c r="G29" s="521">
        <f t="shared" si="0"/>
        <v>15748.54954</v>
      </c>
      <c r="H29" s="522"/>
    </row>
    <row r="30" spans="1:13">
      <c r="A30" s="513">
        <v>45836</v>
      </c>
      <c r="B30" s="516">
        <v>4404</v>
      </c>
      <c r="C30" s="516">
        <v>0</v>
      </c>
      <c r="D30" s="519">
        <v>15543.2099</v>
      </c>
      <c r="E30" s="516">
        <v>0</v>
      </c>
      <c r="F30" s="516">
        <v>0</v>
      </c>
      <c r="G30" s="521">
        <f t="shared" si="0"/>
        <v>15543.2099</v>
      </c>
    </row>
    <row r="31" spans="1:13">
      <c r="A31" s="513">
        <v>45837</v>
      </c>
      <c r="B31" s="516">
        <v>4404</v>
      </c>
      <c r="C31" s="516">
        <v>0</v>
      </c>
      <c r="D31" s="519">
        <v>15288.079900000001</v>
      </c>
      <c r="E31" s="516">
        <v>0</v>
      </c>
      <c r="F31" s="516">
        <v>0</v>
      </c>
      <c r="G31" s="521">
        <f t="shared" si="0"/>
        <v>15288.079900000001</v>
      </c>
      <c r="H31" s="522"/>
    </row>
    <row r="32" spans="1:13">
      <c r="A32" s="513">
        <v>45838</v>
      </c>
      <c r="B32" s="516">
        <v>4404</v>
      </c>
      <c r="C32" s="516">
        <v>0</v>
      </c>
      <c r="D32" s="519">
        <v>15332.0299</v>
      </c>
      <c r="E32" s="516">
        <v>0</v>
      </c>
      <c r="F32" s="516">
        <v>0</v>
      </c>
      <c r="G32" s="521">
        <f t="shared" si="0"/>
        <v>15332.0299</v>
      </c>
    </row>
    <row r="33" spans="1:8">
      <c r="A33" s="513"/>
      <c r="B33" s="516"/>
      <c r="C33" s="516"/>
      <c r="D33" s="519"/>
      <c r="E33" s="516"/>
      <c r="F33" s="516"/>
      <c r="G33" s="521">
        <f t="shared" si="0"/>
        <v>0</v>
      </c>
      <c r="H33" s="522"/>
    </row>
    <row r="35" spans="1:8">
      <c r="D35" s="522"/>
      <c r="E35" s="522"/>
    </row>
  </sheetData>
  <mergeCells count="4">
    <mergeCell ref="C1:F1"/>
    <mergeCell ref="A1:A2"/>
    <mergeCell ref="B1:B2"/>
    <mergeCell ref="G1:G2"/>
  </mergeCells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J485"/>
  <sheetViews>
    <sheetView topLeftCell="A343" zoomScale="80" zoomScaleNormal="80" workbookViewId="0">
      <selection activeCell="E364" sqref="E364"/>
    </sheetView>
  </sheetViews>
  <sheetFormatPr defaultColWidth="14.125" defaultRowHeight="12.6"/>
  <cols>
    <col min="1" max="1" width="11.75" style="378" customWidth="1"/>
    <col min="2" max="3" width="13.75" style="378" customWidth="1"/>
    <col min="4" max="4" width="11" style="378" customWidth="1"/>
    <col min="5" max="5" width="13.5" style="378" customWidth="1"/>
    <col min="6" max="6" width="8" style="378" customWidth="1"/>
    <col min="7" max="7" width="7" style="378" customWidth="1"/>
    <col min="8" max="8" width="9.75" style="378" customWidth="1"/>
    <col min="9" max="9" width="7.875" style="378" customWidth="1"/>
    <col min="10" max="10" width="8.875" style="378" customWidth="1"/>
    <col min="11" max="11" width="11" style="378" customWidth="1"/>
    <col min="12" max="13" width="12.125" style="378" customWidth="1"/>
    <col min="14" max="14" width="8.25" style="378" customWidth="1"/>
    <col min="15" max="15" width="8.5" style="378" customWidth="1"/>
    <col min="16" max="16" width="11" style="378" customWidth="1"/>
    <col min="17" max="17" width="6.875" style="378" customWidth="1"/>
    <col min="18" max="18" width="6.5" style="378" customWidth="1"/>
    <col min="19" max="19" width="8.875" style="378" customWidth="1"/>
    <col min="20" max="20" width="8.75" style="378" customWidth="1"/>
    <col min="21" max="21" width="1.5" style="378" customWidth="1"/>
    <col min="22" max="22" width="1" style="378" customWidth="1"/>
    <col min="23" max="23" width="8.75" style="378" customWidth="1"/>
    <col min="24" max="24" width="9.5" style="378" customWidth="1"/>
    <col min="25" max="25" width="8.25" style="378" customWidth="1"/>
    <col min="26" max="28" width="14.125" style="378"/>
    <col min="29" max="29" width="7.75" style="378" customWidth="1"/>
    <col min="30" max="33" width="14.125" style="378"/>
    <col min="34" max="34" width="19" style="378" customWidth="1"/>
    <col min="35" max="258" width="14.125" style="378"/>
    <col min="259" max="259" width="11.25" style="378" customWidth="1"/>
    <col min="260" max="260" width="13.25" style="378" customWidth="1"/>
    <col min="261" max="261" width="17.25" style="378" customWidth="1"/>
    <col min="262" max="262" width="8.875" style="378" customWidth="1"/>
    <col min="263" max="263" width="10.25" style="378" customWidth="1"/>
    <col min="264" max="264" width="12.5" style="378" customWidth="1"/>
    <col min="265" max="265" width="12.75" style="378" customWidth="1"/>
    <col min="266" max="266" width="6" style="378" customWidth="1"/>
    <col min="267" max="267" width="5" style="378" customWidth="1"/>
    <col min="268" max="268" width="13.875" style="378" customWidth="1"/>
    <col min="269" max="269" width="6" style="378" customWidth="1"/>
    <col min="270" max="270" width="5" style="378" customWidth="1"/>
    <col min="271" max="271" width="13.875" style="378" customWidth="1"/>
    <col min="272" max="272" width="6" style="378" customWidth="1"/>
    <col min="273" max="273" width="5" style="378" customWidth="1"/>
    <col min="274" max="274" width="13.875" style="378" customWidth="1"/>
    <col min="275" max="275" width="6" style="378" customWidth="1"/>
    <col min="276" max="276" width="5" style="378" customWidth="1"/>
    <col min="277" max="277" width="13.875" style="378" customWidth="1"/>
    <col min="278" max="278" width="14" style="378" customWidth="1"/>
    <col min="279" max="514" width="14.125" style="378"/>
    <col min="515" max="515" width="11.25" style="378" customWidth="1"/>
    <col min="516" max="516" width="13.25" style="378" customWidth="1"/>
    <col min="517" max="517" width="17.25" style="378" customWidth="1"/>
    <col min="518" max="518" width="8.875" style="378" customWidth="1"/>
    <col min="519" max="519" width="10.25" style="378" customWidth="1"/>
    <col min="520" max="520" width="12.5" style="378" customWidth="1"/>
    <col min="521" max="521" width="12.75" style="378" customWidth="1"/>
    <col min="522" max="522" width="6" style="378" customWidth="1"/>
    <col min="523" max="523" width="5" style="378" customWidth="1"/>
    <col min="524" max="524" width="13.875" style="378" customWidth="1"/>
    <col min="525" max="525" width="6" style="378" customWidth="1"/>
    <col min="526" max="526" width="5" style="378" customWidth="1"/>
    <col min="527" max="527" width="13.875" style="378" customWidth="1"/>
    <col min="528" max="528" width="6" style="378" customWidth="1"/>
    <col min="529" max="529" width="5" style="378" customWidth="1"/>
    <col min="530" max="530" width="13.875" style="378" customWidth="1"/>
    <col min="531" max="531" width="6" style="378" customWidth="1"/>
    <col min="532" max="532" width="5" style="378" customWidth="1"/>
    <col min="533" max="533" width="13.875" style="378" customWidth="1"/>
    <col min="534" max="534" width="14" style="378" customWidth="1"/>
    <col min="535" max="770" width="14.125" style="378"/>
    <col min="771" max="771" width="11.25" style="378" customWidth="1"/>
    <col min="772" max="772" width="13.25" style="378" customWidth="1"/>
    <col min="773" max="773" width="17.25" style="378" customWidth="1"/>
    <col min="774" max="774" width="8.875" style="378" customWidth="1"/>
    <col min="775" max="775" width="10.25" style="378" customWidth="1"/>
    <col min="776" max="776" width="12.5" style="378" customWidth="1"/>
    <col min="777" max="777" width="12.75" style="378" customWidth="1"/>
    <col min="778" max="778" width="6" style="378" customWidth="1"/>
    <col min="779" max="779" width="5" style="378" customWidth="1"/>
    <col min="780" max="780" width="13.875" style="378" customWidth="1"/>
    <col min="781" max="781" width="6" style="378" customWidth="1"/>
    <col min="782" max="782" width="5" style="378" customWidth="1"/>
    <col min="783" max="783" width="13.875" style="378" customWidth="1"/>
    <col min="784" max="784" width="6" style="378" customWidth="1"/>
    <col min="785" max="785" width="5" style="378" customWidth="1"/>
    <col min="786" max="786" width="13.875" style="378" customWidth="1"/>
    <col min="787" max="787" width="6" style="378" customWidth="1"/>
    <col min="788" max="788" width="5" style="378" customWidth="1"/>
    <col min="789" max="789" width="13.875" style="378" customWidth="1"/>
    <col min="790" max="790" width="14" style="378" customWidth="1"/>
    <col min="791" max="1026" width="14.125" style="378"/>
    <col min="1027" max="1027" width="11.25" style="378" customWidth="1"/>
    <col min="1028" max="1028" width="13.25" style="378" customWidth="1"/>
    <col min="1029" max="1029" width="17.25" style="378" customWidth="1"/>
    <col min="1030" max="1030" width="8.875" style="378" customWidth="1"/>
    <col min="1031" max="1031" width="10.25" style="378" customWidth="1"/>
    <col min="1032" max="1032" width="12.5" style="378" customWidth="1"/>
    <col min="1033" max="1033" width="12.75" style="378" customWidth="1"/>
    <col min="1034" max="1034" width="6" style="378" customWidth="1"/>
    <col min="1035" max="1035" width="5" style="378" customWidth="1"/>
    <col min="1036" max="1036" width="13.875" style="378" customWidth="1"/>
    <col min="1037" max="1037" width="6" style="378" customWidth="1"/>
    <col min="1038" max="1038" width="5" style="378" customWidth="1"/>
    <col min="1039" max="1039" width="13.875" style="378" customWidth="1"/>
    <col min="1040" max="1040" width="6" style="378" customWidth="1"/>
    <col min="1041" max="1041" width="5" style="378" customWidth="1"/>
    <col min="1042" max="1042" width="13.875" style="378" customWidth="1"/>
    <col min="1043" max="1043" width="6" style="378" customWidth="1"/>
    <col min="1044" max="1044" width="5" style="378" customWidth="1"/>
    <col min="1045" max="1045" width="13.875" style="378" customWidth="1"/>
    <col min="1046" max="1046" width="14" style="378" customWidth="1"/>
    <col min="1047" max="1282" width="14.125" style="378"/>
    <col min="1283" max="1283" width="11.25" style="378" customWidth="1"/>
    <col min="1284" max="1284" width="13.25" style="378" customWidth="1"/>
    <col min="1285" max="1285" width="17.25" style="378" customWidth="1"/>
    <col min="1286" max="1286" width="8.875" style="378" customWidth="1"/>
    <col min="1287" max="1287" width="10.25" style="378" customWidth="1"/>
    <col min="1288" max="1288" width="12.5" style="378" customWidth="1"/>
    <col min="1289" max="1289" width="12.75" style="378" customWidth="1"/>
    <col min="1290" max="1290" width="6" style="378" customWidth="1"/>
    <col min="1291" max="1291" width="5" style="378" customWidth="1"/>
    <col min="1292" max="1292" width="13.875" style="378" customWidth="1"/>
    <col min="1293" max="1293" width="6" style="378" customWidth="1"/>
    <col min="1294" max="1294" width="5" style="378" customWidth="1"/>
    <col min="1295" max="1295" width="13.875" style="378" customWidth="1"/>
    <col min="1296" max="1296" width="6" style="378" customWidth="1"/>
    <col min="1297" max="1297" width="5" style="378" customWidth="1"/>
    <col min="1298" max="1298" width="13.875" style="378" customWidth="1"/>
    <col min="1299" max="1299" width="6" style="378" customWidth="1"/>
    <col min="1300" max="1300" width="5" style="378" customWidth="1"/>
    <col min="1301" max="1301" width="13.875" style="378" customWidth="1"/>
    <col min="1302" max="1302" width="14" style="378" customWidth="1"/>
    <col min="1303" max="1538" width="14.125" style="378"/>
    <col min="1539" max="1539" width="11.25" style="378" customWidth="1"/>
    <col min="1540" max="1540" width="13.25" style="378" customWidth="1"/>
    <col min="1541" max="1541" width="17.25" style="378" customWidth="1"/>
    <col min="1542" max="1542" width="8.875" style="378" customWidth="1"/>
    <col min="1543" max="1543" width="10.25" style="378" customWidth="1"/>
    <col min="1544" max="1544" width="12.5" style="378" customWidth="1"/>
    <col min="1545" max="1545" width="12.75" style="378" customWidth="1"/>
    <col min="1546" max="1546" width="6" style="378" customWidth="1"/>
    <col min="1547" max="1547" width="5" style="378" customWidth="1"/>
    <col min="1548" max="1548" width="13.875" style="378" customWidth="1"/>
    <col min="1549" max="1549" width="6" style="378" customWidth="1"/>
    <col min="1550" max="1550" width="5" style="378" customWidth="1"/>
    <col min="1551" max="1551" width="13.875" style="378" customWidth="1"/>
    <col min="1552" max="1552" width="6" style="378" customWidth="1"/>
    <col min="1553" max="1553" width="5" style="378" customWidth="1"/>
    <col min="1554" max="1554" width="13.875" style="378" customWidth="1"/>
    <col min="1555" max="1555" width="6" style="378" customWidth="1"/>
    <col min="1556" max="1556" width="5" style="378" customWidth="1"/>
    <col min="1557" max="1557" width="13.875" style="378" customWidth="1"/>
    <col min="1558" max="1558" width="14" style="378" customWidth="1"/>
    <col min="1559" max="1794" width="14.125" style="378"/>
    <col min="1795" max="1795" width="11.25" style="378" customWidth="1"/>
    <col min="1796" max="1796" width="13.25" style="378" customWidth="1"/>
    <col min="1797" max="1797" width="17.25" style="378" customWidth="1"/>
    <col min="1798" max="1798" width="8.875" style="378" customWidth="1"/>
    <col min="1799" max="1799" width="10.25" style="378" customWidth="1"/>
    <col min="1800" max="1800" width="12.5" style="378" customWidth="1"/>
    <col min="1801" max="1801" width="12.75" style="378" customWidth="1"/>
    <col min="1802" max="1802" width="6" style="378" customWidth="1"/>
    <col min="1803" max="1803" width="5" style="378" customWidth="1"/>
    <col min="1804" max="1804" width="13.875" style="378" customWidth="1"/>
    <col min="1805" max="1805" width="6" style="378" customWidth="1"/>
    <col min="1806" max="1806" width="5" style="378" customWidth="1"/>
    <col min="1807" max="1807" width="13.875" style="378" customWidth="1"/>
    <col min="1808" max="1808" width="6" style="378" customWidth="1"/>
    <col min="1809" max="1809" width="5" style="378" customWidth="1"/>
    <col min="1810" max="1810" width="13.875" style="378" customWidth="1"/>
    <col min="1811" max="1811" width="6" style="378" customWidth="1"/>
    <col min="1812" max="1812" width="5" style="378" customWidth="1"/>
    <col min="1813" max="1813" width="13.875" style="378" customWidth="1"/>
    <col min="1814" max="1814" width="14" style="378" customWidth="1"/>
    <col min="1815" max="2050" width="14.125" style="378"/>
    <col min="2051" max="2051" width="11.25" style="378" customWidth="1"/>
    <col min="2052" max="2052" width="13.25" style="378" customWidth="1"/>
    <col min="2053" max="2053" width="17.25" style="378" customWidth="1"/>
    <col min="2054" max="2054" width="8.875" style="378" customWidth="1"/>
    <col min="2055" max="2055" width="10.25" style="378" customWidth="1"/>
    <col min="2056" max="2056" width="12.5" style="378" customWidth="1"/>
    <col min="2057" max="2057" width="12.75" style="378" customWidth="1"/>
    <col min="2058" max="2058" width="6" style="378" customWidth="1"/>
    <col min="2059" max="2059" width="5" style="378" customWidth="1"/>
    <col min="2060" max="2060" width="13.875" style="378" customWidth="1"/>
    <col min="2061" max="2061" width="6" style="378" customWidth="1"/>
    <col min="2062" max="2062" width="5" style="378" customWidth="1"/>
    <col min="2063" max="2063" width="13.875" style="378" customWidth="1"/>
    <col min="2064" max="2064" width="6" style="378" customWidth="1"/>
    <col min="2065" max="2065" width="5" style="378" customWidth="1"/>
    <col min="2066" max="2066" width="13.875" style="378" customWidth="1"/>
    <col min="2067" max="2067" width="6" style="378" customWidth="1"/>
    <col min="2068" max="2068" width="5" style="378" customWidth="1"/>
    <col min="2069" max="2069" width="13.875" style="378" customWidth="1"/>
    <col min="2070" max="2070" width="14" style="378" customWidth="1"/>
    <col min="2071" max="2306" width="14.125" style="378"/>
    <col min="2307" max="2307" width="11.25" style="378" customWidth="1"/>
    <col min="2308" max="2308" width="13.25" style="378" customWidth="1"/>
    <col min="2309" max="2309" width="17.25" style="378" customWidth="1"/>
    <col min="2310" max="2310" width="8.875" style="378" customWidth="1"/>
    <col min="2311" max="2311" width="10.25" style="378" customWidth="1"/>
    <col min="2312" max="2312" width="12.5" style="378" customWidth="1"/>
    <col min="2313" max="2313" width="12.75" style="378" customWidth="1"/>
    <col min="2314" max="2314" width="6" style="378" customWidth="1"/>
    <col min="2315" max="2315" width="5" style="378" customWidth="1"/>
    <col min="2316" max="2316" width="13.875" style="378" customWidth="1"/>
    <col min="2317" max="2317" width="6" style="378" customWidth="1"/>
    <col min="2318" max="2318" width="5" style="378" customWidth="1"/>
    <col min="2319" max="2319" width="13.875" style="378" customWidth="1"/>
    <col min="2320" max="2320" width="6" style="378" customWidth="1"/>
    <col min="2321" max="2321" width="5" style="378" customWidth="1"/>
    <col min="2322" max="2322" width="13.875" style="378" customWidth="1"/>
    <col min="2323" max="2323" width="6" style="378" customWidth="1"/>
    <col min="2324" max="2324" width="5" style="378" customWidth="1"/>
    <col min="2325" max="2325" width="13.875" style="378" customWidth="1"/>
    <col min="2326" max="2326" width="14" style="378" customWidth="1"/>
    <col min="2327" max="2562" width="14.125" style="378"/>
    <col min="2563" max="2563" width="11.25" style="378" customWidth="1"/>
    <col min="2564" max="2564" width="13.25" style="378" customWidth="1"/>
    <col min="2565" max="2565" width="17.25" style="378" customWidth="1"/>
    <col min="2566" max="2566" width="8.875" style="378" customWidth="1"/>
    <col min="2567" max="2567" width="10.25" style="378" customWidth="1"/>
    <col min="2568" max="2568" width="12.5" style="378" customWidth="1"/>
    <col min="2569" max="2569" width="12.75" style="378" customWidth="1"/>
    <col min="2570" max="2570" width="6" style="378" customWidth="1"/>
    <col min="2571" max="2571" width="5" style="378" customWidth="1"/>
    <col min="2572" max="2572" width="13.875" style="378" customWidth="1"/>
    <col min="2573" max="2573" width="6" style="378" customWidth="1"/>
    <col min="2574" max="2574" width="5" style="378" customWidth="1"/>
    <col min="2575" max="2575" width="13.875" style="378" customWidth="1"/>
    <col min="2576" max="2576" width="6" style="378" customWidth="1"/>
    <col min="2577" max="2577" width="5" style="378" customWidth="1"/>
    <col min="2578" max="2578" width="13.875" style="378" customWidth="1"/>
    <col min="2579" max="2579" width="6" style="378" customWidth="1"/>
    <col min="2580" max="2580" width="5" style="378" customWidth="1"/>
    <col min="2581" max="2581" width="13.875" style="378" customWidth="1"/>
    <col min="2582" max="2582" width="14" style="378" customWidth="1"/>
    <col min="2583" max="2818" width="14.125" style="378"/>
    <col min="2819" max="2819" width="11.25" style="378" customWidth="1"/>
    <col min="2820" max="2820" width="13.25" style="378" customWidth="1"/>
    <col min="2821" max="2821" width="17.25" style="378" customWidth="1"/>
    <col min="2822" max="2822" width="8.875" style="378" customWidth="1"/>
    <col min="2823" max="2823" width="10.25" style="378" customWidth="1"/>
    <col min="2824" max="2824" width="12.5" style="378" customWidth="1"/>
    <col min="2825" max="2825" width="12.75" style="378" customWidth="1"/>
    <col min="2826" max="2826" width="6" style="378" customWidth="1"/>
    <col min="2827" max="2827" width="5" style="378" customWidth="1"/>
    <col min="2828" max="2828" width="13.875" style="378" customWidth="1"/>
    <col min="2829" max="2829" width="6" style="378" customWidth="1"/>
    <col min="2830" max="2830" width="5" style="378" customWidth="1"/>
    <col min="2831" max="2831" width="13.875" style="378" customWidth="1"/>
    <col min="2832" max="2832" width="6" style="378" customWidth="1"/>
    <col min="2833" max="2833" width="5" style="378" customWidth="1"/>
    <col min="2834" max="2834" width="13.875" style="378" customWidth="1"/>
    <col min="2835" max="2835" width="6" style="378" customWidth="1"/>
    <col min="2836" max="2836" width="5" style="378" customWidth="1"/>
    <col min="2837" max="2837" width="13.875" style="378" customWidth="1"/>
    <col min="2838" max="2838" width="14" style="378" customWidth="1"/>
    <col min="2839" max="3074" width="14.125" style="378"/>
    <col min="3075" max="3075" width="11.25" style="378" customWidth="1"/>
    <col min="3076" max="3076" width="13.25" style="378" customWidth="1"/>
    <col min="3077" max="3077" width="17.25" style="378" customWidth="1"/>
    <col min="3078" max="3078" width="8.875" style="378" customWidth="1"/>
    <col min="3079" max="3079" width="10.25" style="378" customWidth="1"/>
    <col min="3080" max="3080" width="12.5" style="378" customWidth="1"/>
    <col min="3081" max="3081" width="12.75" style="378" customWidth="1"/>
    <col min="3082" max="3082" width="6" style="378" customWidth="1"/>
    <col min="3083" max="3083" width="5" style="378" customWidth="1"/>
    <col min="3084" max="3084" width="13.875" style="378" customWidth="1"/>
    <col min="3085" max="3085" width="6" style="378" customWidth="1"/>
    <col min="3086" max="3086" width="5" style="378" customWidth="1"/>
    <col min="3087" max="3087" width="13.875" style="378" customWidth="1"/>
    <col min="3088" max="3088" width="6" style="378" customWidth="1"/>
    <col min="3089" max="3089" width="5" style="378" customWidth="1"/>
    <col min="3090" max="3090" width="13.875" style="378" customWidth="1"/>
    <col min="3091" max="3091" width="6" style="378" customWidth="1"/>
    <col min="3092" max="3092" width="5" style="378" customWidth="1"/>
    <col min="3093" max="3093" width="13.875" style="378" customWidth="1"/>
    <col min="3094" max="3094" width="14" style="378" customWidth="1"/>
    <col min="3095" max="3330" width="14.125" style="378"/>
    <col min="3331" max="3331" width="11.25" style="378" customWidth="1"/>
    <col min="3332" max="3332" width="13.25" style="378" customWidth="1"/>
    <col min="3333" max="3333" width="17.25" style="378" customWidth="1"/>
    <col min="3334" max="3334" width="8.875" style="378" customWidth="1"/>
    <col min="3335" max="3335" width="10.25" style="378" customWidth="1"/>
    <col min="3336" max="3336" width="12.5" style="378" customWidth="1"/>
    <col min="3337" max="3337" width="12.75" style="378" customWidth="1"/>
    <col min="3338" max="3338" width="6" style="378" customWidth="1"/>
    <col min="3339" max="3339" width="5" style="378" customWidth="1"/>
    <col min="3340" max="3340" width="13.875" style="378" customWidth="1"/>
    <col min="3341" max="3341" width="6" style="378" customWidth="1"/>
    <col min="3342" max="3342" width="5" style="378" customWidth="1"/>
    <col min="3343" max="3343" width="13.875" style="378" customWidth="1"/>
    <col min="3344" max="3344" width="6" style="378" customWidth="1"/>
    <col min="3345" max="3345" width="5" style="378" customWidth="1"/>
    <col min="3346" max="3346" width="13.875" style="378" customWidth="1"/>
    <col min="3347" max="3347" width="6" style="378" customWidth="1"/>
    <col min="3348" max="3348" width="5" style="378" customWidth="1"/>
    <col min="3349" max="3349" width="13.875" style="378" customWidth="1"/>
    <col min="3350" max="3350" width="14" style="378" customWidth="1"/>
    <col min="3351" max="3586" width="14.125" style="378"/>
    <col min="3587" max="3587" width="11.25" style="378" customWidth="1"/>
    <col min="3588" max="3588" width="13.25" style="378" customWidth="1"/>
    <col min="3589" max="3589" width="17.25" style="378" customWidth="1"/>
    <col min="3590" max="3590" width="8.875" style="378" customWidth="1"/>
    <col min="3591" max="3591" width="10.25" style="378" customWidth="1"/>
    <col min="3592" max="3592" width="12.5" style="378" customWidth="1"/>
    <col min="3593" max="3593" width="12.75" style="378" customWidth="1"/>
    <col min="3594" max="3594" width="6" style="378" customWidth="1"/>
    <col min="3595" max="3595" width="5" style="378" customWidth="1"/>
    <col min="3596" max="3596" width="13.875" style="378" customWidth="1"/>
    <col min="3597" max="3597" width="6" style="378" customWidth="1"/>
    <col min="3598" max="3598" width="5" style="378" customWidth="1"/>
    <col min="3599" max="3599" width="13.875" style="378" customWidth="1"/>
    <col min="3600" max="3600" width="6" style="378" customWidth="1"/>
    <col min="3601" max="3601" width="5" style="378" customWidth="1"/>
    <col min="3602" max="3602" width="13.875" style="378" customWidth="1"/>
    <col min="3603" max="3603" width="6" style="378" customWidth="1"/>
    <col min="3604" max="3604" width="5" style="378" customWidth="1"/>
    <col min="3605" max="3605" width="13.875" style="378" customWidth="1"/>
    <col min="3606" max="3606" width="14" style="378" customWidth="1"/>
    <col min="3607" max="3842" width="14.125" style="378"/>
    <col min="3843" max="3843" width="11.25" style="378" customWidth="1"/>
    <col min="3844" max="3844" width="13.25" style="378" customWidth="1"/>
    <col min="3845" max="3845" width="17.25" style="378" customWidth="1"/>
    <col min="3846" max="3846" width="8.875" style="378" customWidth="1"/>
    <col min="3847" max="3847" width="10.25" style="378" customWidth="1"/>
    <col min="3848" max="3848" width="12.5" style="378" customWidth="1"/>
    <col min="3849" max="3849" width="12.75" style="378" customWidth="1"/>
    <col min="3850" max="3850" width="6" style="378" customWidth="1"/>
    <col min="3851" max="3851" width="5" style="378" customWidth="1"/>
    <col min="3852" max="3852" width="13.875" style="378" customWidth="1"/>
    <col min="3853" max="3853" width="6" style="378" customWidth="1"/>
    <col min="3854" max="3854" width="5" style="378" customWidth="1"/>
    <col min="3855" max="3855" width="13.875" style="378" customWidth="1"/>
    <col min="3856" max="3856" width="6" style="378" customWidth="1"/>
    <col min="3857" max="3857" width="5" style="378" customWidth="1"/>
    <col min="3858" max="3858" width="13.875" style="378" customWidth="1"/>
    <col min="3859" max="3859" width="6" style="378" customWidth="1"/>
    <col min="3860" max="3860" width="5" style="378" customWidth="1"/>
    <col min="3861" max="3861" width="13.875" style="378" customWidth="1"/>
    <col min="3862" max="3862" width="14" style="378" customWidth="1"/>
    <col min="3863" max="4098" width="14.125" style="378"/>
    <col min="4099" max="4099" width="11.25" style="378" customWidth="1"/>
    <col min="4100" max="4100" width="13.25" style="378" customWidth="1"/>
    <col min="4101" max="4101" width="17.25" style="378" customWidth="1"/>
    <col min="4102" max="4102" width="8.875" style="378" customWidth="1"/>
    <col min="4103" max="4103" width="10.25" style="378" customWidth="1"/>
    <col min="4104" max="4104" width="12.5" style="378" customWidth="1"/>
    <col min="4105" max="4105" width="12.75" style="378" customWidth="1"/>
    <col min="4106" max="4106" width="6" style="378" customWidth="1"/>
    <col min="4107" max="4107" width="5" style="378" customWidth="1"/>
    <col min="4108" max="4108" width="13.875" style="378" customWidth="1"/>
    <col min="4109" max="4109" width="6" style="378" customWidth="1"/>
    <col min="4110" max="4110" width="5" style="378" customWidth="1"/>
    <col min="4111" max="4111" width="13.875" style="378" customWidth="1"/>
    <col min="4112" max="4112" width="6" style="378" customWidth="1"/>
    <col min="4113" max="4113" width="5" style="378" customWidth="1"/>
    <col min="4114" max="4114" width="13.875" style="378" customWidth="1"/>
    <col min="4115" max="4115" width="6" style="378" customWidth="1"/>
    <col min="4116" max="4116" width="5" style="378" customWidth="1"/>
    <col min="4117" max="4117" width="13.875" style="378" customWidth="1"/>
    <col min="4118" max="4118" width="14" style="378" customWidth="1"/>
    <col min="4119" max="4354" width="14.125" style="378"/>
    <col min="4355" max="4355" width="11.25" style="378" customWidth="1"/>
    <col min="4356" max="4356" width="13.25" style="378" customWidth="1"/>
    <col min="4357" max="4357" width="17.25" style="378" customWidth="1"/>
    <col min="4358" max="4358" width="8.875" style="378" customWidth="1"/>
    <col min="4359" max="4359" width="10.25" style="378" customWidth="1"/>
    <col min="4360" max="4360" width="12.5" style="378" customWidth="1"/>
    <col min="4361" max="4361" width="12.75" style="378" customWidth="1"/>
    <col min="4362" max="4362" width="6" style="378" customWidth="1"/>
    <col min="4363" max="4363" width="5" style="378" customWidth="1"/>
    <col min="4364" max="4364" width="13.875" style="378" customWidth="1"/>
    <col min="4365" max="4365" width="6" style="378" customWidth="1"/>
    <col min="4366" max="4366" width="5" style="378" customWidth="1"/>
    <col min="4367" max="4367" width="13.875" style="378" customWidth="1"/>
    <col min="4368" max="4368" width="6" style="378" customWidth="1"/>
    <col min="4369" max="4369" width="5" style="378" customWidth="1"/>
    <col min="4370" max="4370" width="13.875" style="378" customWidth="1"/>
    <col min="4371" max="4371" width="6" style="378" customWidth="1"/>
    <col min="4372" max="4372" width="5" style="378" customWidth="1"/>
    <col min="4373" max="4373" width="13.875" style="378" customWidth="1"/>
    <col min="4374" max="4374" width="14" style="378" customWidth="1"/>
    <col min="4375" max="4610" width="14.125" style="378"/>
    <col min="4611" max="4611" width="11.25" style="378" customWidth="1"/>
    <col min="4612" max="4612" width="13.25" style="378" customWidth="1"/>
    <col min="4613" max="4613" width="17.25" style="378" customWidth="1"/>
    <col min="4614" max="4614" width="8.875" style="378" customWidth="1"/>
    <col min="4615" max="4615" width="10.25" style="378" customWidth="1"/>
    <col min="4616" max="4616" width="12.5" style="378" customWidth="1"/>
    <col min="4617" max="4617" width="12.75" style="378" customWidth="1"/>
    <col min="4618" max="4618" width="6" style="378" customWidth="1"/>
    <col min="4619" max="4619" width="5" style="378" customWidth="1"/>
    <col min="4620" max="4620" width="13.875" style="378" customWidth="1"/>
    <col min="4621" max="4621" width="6" style="378" customWidth="1"/>
    <col min="4622" max="4622" width="5" style="378" customWidth="1"/>
    <col min="4623" max="4623" width="13.875" style="378" customWidth="1"/>
    <col min="4624" max="4624" width="6" style="378" customWidth="1"/>
    <col min="4625" max="4625" width="5" style="378" customWidth="1"/>
    <col min="4626" max="4626" width="13.875" style="378" customWidth="1"/>
    <col min="4627" max="4627" width="6" style="378" customWidth="1"/>
    <col min="4628" max="4628" width="5" style="378" customWidth="1"/>
    <col min="4629" max="4629" width="13.875" style="378" customWidth="1"/>
    <col min="4630" max="4630" width="14" style="378" customWidth="1"/>
    <col min="4631" max="4866" width="14.125" style="378"/>
    <col min="4867" max="4867" width="11.25" style="378" customWidth="1"/>
    <col min="4868" max="4868" width="13.25" style="378" customWidth="1"/>
    <col min="4869" max="4869" width="17.25" style="378" customWidth="1"/>
    <col min="4870" max="4870" width="8.875" style="378" customWidth="1"/>
    <col min="4871" max="4871" width="10.25" style="378" customWidth="1"/>
    <col min="4872" max="4872" width="12.5" style="378" customWidth="1"/>
    <col min="4873" max="4873" width="12.75" style="378" customWidth="1"/>
    <col min="4874" max="4874" width="6" style="378" customWidth="1"/>
    <col min="4875" max="4875" width="5" style="378" customWidth="1"/>
    <col min="4876" max="4876" width="13.875" style="378" customWidth="1"/>
    <col min="4877" max="4877" width="6" style="378" customWidth="1"/>
    <col min="4878" max="4878" width="5" style="378" customWidth="1"/>
    <col min="4879" max="4879" width="13.875" style="378" customWidth="1"/>
    <col min="4880" max="4880" width="6" style="378" customWidth="1"/>
    <col min="4881" max="4881" width="5" style="378" customWidth="1"/>
    <col min="4882" max="4882" width="13.875" style="378" customWidth="1"/>
    <col min="4883" max="4883" width="6" style="378" customWidth="1"/>
    <col min="4884" max="4884" width="5" style="378" customWidth="1"/>
    <col min="4885" max="4885" width="13.875" style="378" customWidth="1"/>
    <col min="4886" max="4886" width="14" style="378" customWidth="1"/>
    <col min="4887" max="5122" width="14.125" style="378"/>
    <col min="5123" max="5123" width="11.25" style="378" customWidth="1"/>
    <col min="5124" max="5124" width="13.25" style="378" customWidth="1"/>
    <col min="5125" max="5125" width="17.25" style="378" customWidth="1"/>
    <col min="5126" max="5126" width="8.875" style="378" customWidth="1"/>
    <col min="5127" max="5127" width="10.25" style="378" customWidth="1"/>
    <col min="5128" max="5128" width="12.5" style="378" customWidth="1"/>
    <col min="5129" max="5129" width="12.75" style="378" customWidth="1"/>
    <col min="5130" max="5130" width="6" style="378" customWidth="1"/>
    <col min="5131" max="5131" width="5" style="378" customWidth="1"/>
    <col min="5132" max="5132" width="13.875" style="378" customWidth="1"/>
    <col min="5133" max="5133" width="6" style="378" customWidth="1"/>
    <col min="5134" max="5134" width="5" style="378" customWidth="1"/>
    <col min="5135" max="5135" width="13.875" style="378" customWidth="1"/>
    <col min="5136" max="5136" width="6" style="378" customWidth="1"/>
    <col min="5137" max="5137" width="5" style="378" customWidth="1"/>
    <col min="5138" max="5138" width="13.875" style="378" customWidth="1"/>
    <col min="5139" max="5139" width="6" style="378" customWidth="1"/>
    <col min="5140" max="5140" width="5" style="378" customWidth="1"/>
    <col min="5141" max="5141" width="13.875" style="378" customWidth="1"/>
    <col min="5142" max="5142" width="14" style="378" customWidth="1"/>
    <col min="5143" max="5378" width="14.125" style="378"/>
    <col min="5379" max="5379" width="11.25" style="378" customWidth="1"/>
    <col min="5380" max="5380" width="13.25" style="378" customWidth="1"/>
    <col min="5381" max="5381" width="17.25" style="378" customWidth="1"/>
    <col min="5382" max="5382" width="8.875" style="378" customWidth="1"/>
    <col min="5383" max="5383" width="10.25" style="378" customWidth="1"/>
    <col min="5384" max="5384" width="12.5" style="378" customWidth="1"/>
    <col min="5385" max="5385" width="12.75" style="378" customWidth="1"/>
    <col min="5386" max="5386" width="6" style="378" customWidth="1"/>
    <col min="5387" max="5387" width="5" style="378" customWidth="1"/>
    <col min="5388" max="5388" width="13.875" style="378" customWidth="1"/>
    <col min="5389" max="5389" width="6" style="378" customWidth="1"/>
    <col min="5390" max="5390" width="5" style="378" customWidth="1"/>
    <col min="5391" max="5391" width="13.875" style="378" customWidth="1"/>
    <col min="5392" max="5392" width="6" style="378" customWidth="1"/>
    <col min="5393" max="5393" width="5" style="378" customWidth="1"/>
    <col min="5394" max="5394" width="13.875" style="378" customWidth="1"/>
    <col min="5395" max="5395" width="6" style="378" customWidth="1"/>
    <col min="5396" max="5396" width="5" style="378" customWidth="1"/>
    <col min="5397" max="5397" width="13.875" style="378" customWidth="1"/>
    <col min="5398" max="5398" width="14" style="378" customWidth="1"/>
    <col min="5399" max="5634" width="14.125" style="378"/>
    <col min="5635" max="5635" width="11.25" style="378" customWidth="1"/>
    <col min="5636" max="5636" width="13.25" style="378" customWidth="1"/>
    <col min="5637" max="5637" width="17.25" style="378" customWidth="1"/>
    <col min="5638" max="5638" width="8.875" style="378" customWidth="1"/>
    <col min="5639" max="5639" width="10.25" style="378" customWidth="1"/>
    <col min="5640" max="5640" width="12.5" style="378" customWidth="1"/>
    <col min="5641" max="5641" width="12.75" style="378" customWidth="1"/>
    <col min="5642" max="5642" width="6" style="378" customWidth="1"/>
    <col min="5643" max="5643" width="5" style="378" customWidth="1"/>
    <col min="5644" max="5644" width="13.875" style="378" customWidth="1"/>
    <col min="5645" max="5645" width="6" style="378" customWidth="1"/>
    <col min="5646" max="5646" width="5" style="378" customWidth="1"/>
    <col min="5647" max="5647" width="13.875" style="378" customWidth="1"/>
    <col min="5648" max="5648" width="6" style="378" customWidth="1"/>
    <col min="5649" max="5649" width="5" style="378" customWidth="1"/>
    <col min="5650" max="5650" width="13.875" style="378" customWidth="1"/>
    <col min="5651" max="5651" width="6" style="378" customWidth="1"/>
    <col min="5652" max="5652" width="5" style="378" customWidth="1"/>
    <col min="5653" max="5653" width="13.875" style="378" customWidth="1"/>
    <col min="5654" max="5654" width="14" style="378" customWidth="1"/>
    <col min="5655" max="5890" width="14.125" style="378"/>
    <col min="5891" max="5891" width="11.25" style="378" customWidth="1"/>
    <col min="5892" max="5892" width="13.25" style="378" customWidth="1"/>
    <col min="5893" max="5893" width="17.25" style="378" customWidth="1"/>
    <col min="5894" max="5894" width="8.875" style="378" customWidth="1"/>
    <col min="5895" max="5895" width="10.25" style="378" customWidth="1"/>
    <col min="5896" max="5896" width="12.5" style="378" customWidth="1"/>
    <col min="5897" max="5897" width="12.75" style="378" customWidth="1"/>
    <col min="5898" max="5898" width="6" style="378" customWidth="1"/>
    <col min="5899" max="5899" width="5" style="378" customWidth="1"/>
    <col min="5900" max="5900" width="13.875" style="378" customWidth="1"/>
    <col min="5901" max="5901" width="6" style="378" customWidth="1"/>
    <col min="5902" max="5902" width="5" style="378" customWidth="1"/>
    <col min="5903" max="5903" width="13.875" style="378" customWidth="1"/>
    <col min="5904" max="5904" width="6" style="378" customWidth="1"/>
    <col min="5905" max="5905" width="5" style="378" customWidth="1"/>
    <col min="5906" max="5906" width="13.875" style="378" customWidth="1"/>
    <col min="5907" max="5907" width="6" style="378" customWidth="1"/>
    <col min="5908" max="5908" width="5" style="378" customWidth="1"/>
    <col min="5909" max="5909" width="13.875" style="378" customWidth="1"/>
    <col min="5910" max="5910" width="14" style="378" customWidth="1"/>
    <col min="5911" max="6146" width="14.125" style="378"/>
    <col min="6147" max="6147" width="11.25" style="378" customWidth="1"/>
    <col min="6148" max="6148" width="13.25" style="378" customWidth="1"/>
    <col min="6149" max="6149" width="17.25" style="378" customWidth="1"/>
    <col min="6150" max="6150" width="8.875" style="378" customWidth="1"/>
    <col min="6151" max="6151" width="10.25" style="378" customWidth="1"/>
    <col min="6152" max="6152" width="12.5" style="378" customWidth="1"/>
    <col min="6153" max="6153" width="12.75" style="378" customWidth="1"/>
    <col min="6154" max="6154" width="6" style="378" customWidth="1"/>
    <col min="6155" max="6155" width="5" style="378" customWidth="1"/>
    <col min="6156" max="6156" width="13.875" style="378" customWidth="1"/>
    <col min="6157" max="6157" width="6" style="378" customWidth="1"/>
    <col min="6158" max="6158" width="5" style="378" customWidth="1"/>
    <col min="6159" max="6159" width="13.875" style="378" customWidth="1"/>
    <col min="6160" max="6160" width="6" style="378" customWidth="1"/>
    <col min="6161" max="6161" width="5" style="378" customWidth="1"/>
    <col min="6162" max="6162" width="13.875" style="378" customWidth="1"/>
    <col min="6163" max="6163" width="6" style="378" customWidth="1"/>
    <col min="6164" max="6164" width="5" style="378" customWidth="1"/>
    <col min="6165" max="6165" width="13.875" style="378" customWidth="1"/>
    <col min="6166" max="6166" width="14" style="378" customWidth="1"/>
    <col min="6167" max="6402" width="14.125" style="378"/>
    <col min="6403" max="6403" width="11.25" style="378" customWidth="1"/>
    <col min="6404" max="6404" width="13.25" style="378" customWidth="1"/>
    <col min="6405" max="6405" width="17.25" style="378" customWidth="1"/>
    <col min="6406" max="6406" width="8.875" style="378" customWidth="1"/>
    <col min="6407" max="6407" width="10.25" style="378" customWidth="1"/>
    <col min="6408" max="6408" width="12.5" style="378" customWidth="1"/>
    <col min="6409" max="6409" width="12.75" style="378" customWidth="1"/>
    <col min="6410" max="6410" width="6" style="378" customWidth="1"/>
    <col min="6411" max="6411" width="5" style="378" customWidth="1"/>
    <col min="6412" max="6412" width="13.875" style="378" customWidth="1"/>
    <col min="6413" max="6413" width="6" style="378" customWidth="1"/>
    <col min="6414" max="6414" width="5" style="378" customWidth="1"/>
    <col min="6415" max="6415" width="13.875" style="378" customWidth="1"/>
    <col min="6416" max="6416" width="6" style="378" customWidth="1"/>
    <col min="6417" max="6417" width="5" style="378" customWidth="1"/>
    <col min="6418" max="6418" width="13.875" style="378" customWidth="1"/>
    <col min="6419" max="6419" width="6" style="378" customWidth="1"/>
    <col min="6420" max="6420" width="5" style="378" customWidth="1"/>
    <col min="6421" max="6421" width="13.875" style="378" customWidth="1"/>
    <col min="6422" max="6422" width="14" style="378" customWidth="1"/>
    <col min="6423" max="6658" width="14.125" style="378"/>
    <col min="6659" max="6659" width="11.25" style="378" customWidth="1"/>
    <col min="6660" max="6660" width="13.25" style="378" customWidth="1"/>
    <col min="6661" max="6661" width="17.25" style="378" customWidth="1"/>
    <col min="6662" max="6662" width="8.875" style="378" customWidth="1"/>
    <col min="6663" max="6663" width="10.25" style="378" customWidth="1"/>
    <col min="6664" max="6664" width="12.5" style="378" customWidth="1"/>
    <col min="6665" max="6665" width="12.75" style="378" customWidth="1"/>
    <col min="6666" max="6666" width="6" style="378" customWidth="1"/>
    <col min="6667" max="6667" width="5" style="378" customWidth="1"/>
    <col min="6668" max="6668" width="13.875" style="378" customWidth="1"/>
    <col min="6669" max="6669" width="6" style="378" customWidth="1"/>
    <col min="6670" max="6670" width="5" style="378" customWidth="1"/>
    <col min="6671" max="6671" width="13.875" style="378" customWidth="1"/>
    <col min="6672" max="6672" width="6" style="378" customWidth="1"/>
    <col min="6673" max="6673" width="5" style="378" customWidth="1"/>
    <col min="6674" max="6674" width="13.875" style="378" customWidth="1"/>
    <col min="6675" max="6675" width="6" style="378" customWidth="1"/>
    <col min="6676" max="6676" width="5" style="378" customWidth="1"/>
    <col min="6677" max="6677" width="13.875" style="378" customWidth="1"/>
    <col min="6678" max="6678" width="14" style="378" customWidth="1"/>
    <col min="6679" max="6914" width="14.125" style="378"/>
    <col min="6915" max="6915" width="11.25" style="378" customWidth="1"/>
    <col min="6916" max="6916" width="13.25" style="378" customWidth="1"/>
    <col min="6917" max="6917" width="17.25" style="378" customWidth="1"/>
    <col min="6918" max="6918" width="8.875" style="378" customWidth="1"/>
    <col min="6919" max="6919" width="10.25" style="378" customWidth="1"/>
    <col min="6920" max="6920" width="12.5" style="378" customWidth="1"/>
    <col min="6921" max="6921" width="12.75" style="378" customWidth="1"/>
    <col min="6922" max="6922" width="6" style="378" customWidth="1"/>
    <col min="6923" max="6923" width="5" style="378" customWidth="1"/>
    <col min="6924" max="6924" width="13.875" style="378" customWidth="1"/>
    <col min="6925" max="6925" width="6" style="378" customWidth="1"/>
    <col min="6926" max="6926" width="5" style="378" customWidth="1"/>
    <col min="6927" max="6927" width="13.875" style="378" customWidth="1"/>
    <col min="6928" max="6928" width="6" style="378" customWidth="1"/>
    <col min="6929" max="6929" width="5" style="378" customWidth="1"/>
    <col min="6930" max="6930" width="13.875" style="378" customWidth="1"/>
    <col min="6931" max="6931" width="6" style="378" customWidth="1"/>
    <col min="6932" max="6932" width="5" style="378" customWidth="1"/>
    <col min="6933" max="6933" width="13.875" style="378" customWidth="1"/>
    <col min="6934" max="6934" width="14" style="378" customWidth="1"/>
    <col min="6935" max="7170" width="14.125" style="378"/>
    <col min="7171" max="7171" width="11.25" style="378" customWidth="1"/>
    <col min="7172" max="7172" width="13.25" style="378" customWidth="1"/>
    <col min="7173" max="7173" width="17.25" style="378" customWidth="1"/>
    <col min="7174" max="7174" width="8.875" style="378" customWidth="1"/>
    <col min="7175" max="7175" width="10.25" style="378" customWidth="1"/>
    <col min="7176" max="7176" width="12.5" style="378" customWidth="1"/>
    <col min="7177" max="7177" width="12.75" style="378" customWidth="1"/>
    <col min="7178" max="7178" width="6" style="378" customWidth="1"/>
    <col min="7179" max="7179" width="5" style="378" customWidth="1"/>
    <col min="7180" max="7180" width="13.875" style="378" customWidth="1"/>
    <col min="7181" max="7181" width="6" style="378" customWidth="1"/>
    <col min="7182" max="7182" width="5" style="378" customWidth="1"/>
    <col min="7183" max="7183" width="13.875" style="378" customWidth="1"/>
    <col min="7184" max="7184" width="6" style="378" customWidth="1"/>
    <col min="7185" max="7185" width="5" style="378" customWidth="1"/>
    <col min="7186" max="7186" width="13.875" style="378" customWidth="1"/>
    <col min="7187" max="7187" width="6" style="378" customWidth="1"/>
    <col min="7188" max="7188" width="5" style="378" customWidth="1"/>
    <col min="7189" max="7189" width="13.875" style="378" customWidth="1"/>
    <col min="7190" max="7190" width="14" style="378" customWidth="1"/>
    <col min="7191" max="7426" width="14.125" style="378"/>
    <col min="7427" max="7427" width="11.25" style="378" customWidth="1"/>
    <col min="7428" max="7428" width="13.25" style="378" customWidth="1"/>
    <col min="7429" max="7429" width="17.25" style="378" customWidth="1"/>
    <col min="7430" max="7430" width="8.875" style="378" customWidth="1"/>
    <col min="7431" max="7431" width="10.25" style="378" customWidth="1"/>
    <col min="7432" max="7432" width="12.5" style="378" customWidth="1"/>
    <col min="7433" max="7433" width="12.75" style="378" customWidth="1"/>
    <col min="7434" max="7434" width="6" style="378" customWidth="1"/>
    <col min="7435" max="7435" width="5" style="378" customWidth="1"/>
    <col min="7436" max="7436" width="13.875" style="378" customWidth="1"/>
    <col min="7437" max="7437" width="6" style="378" customWidth="1"/>
    <col min="7438" max="7438" width="5" style="378" customWidth="1"/>
    <col min="7439" max="7439" width="13.875" style="378" customWidth="1"/>
    <col min="7440" max="7440" width="6" style="378" customWidth="1"/>
    <col min="7441" max="7441" width="5" style="378" customWidth="1"/>
    <col min="7442" max="7442" width="13.875" style="378" customWidth="1"/>
    <col min="7443" max="7443" width="6" style="378" customWidth="1"/>
    <col min="7444" max="7444" width="5" style="378" customWidth="1"/>
    <col min="7445" max="7445" width="13.875" style="378" customWidth="1"/>
    <col min="7446" max="7446" width="14" style="378" customWidth="1"/>
    <col min="7447" max="7682" width="14.125" style="378"/>
    <col min="7683" max="7683" width="11.25" style="378" customWidth="1"/>
    <col min="7684" max="7684" width="13.25" style="378" customWidth="1"/>
    <col min="7685" max="7685" width="17.25" style="378" customWidth="1"/>
    <col min="7686" max="7686" width="8.875" style="378" customWidth="1"/>
    <col min="7687" max="7687" width="10.25" style="378" customWidth="1"/>
    <col min="7688" max="7688" width="12.5" style="378" customWidth="1"/>
    <col min="7689" max="7689" width="12.75" style="378" customWidth="1"/>
    <col min="7690" max="7690" width="6" style="378" customWidth="1"/>
    <col min="7691" max="7691" width="5" style="378" customWidth="1"/>
    <col min="7692" max="7692" width="13.875" style="378" customWidth="1"/>
    <col min="7693" max="7693" width="6" style="378" customWidth="1"/>
    <col min="7694" max="7694" width="5" style="378" customWidth="1"/>
    <col min="7695" max="7695" width="13.875" style="378" customWidth="1"/>
    <col min="7696" max="7696" width="6" style="378" customWidth="1"/>
    <col min="7697" max="7697" width="5" style="378" customWidth="1"/>
    <col min="7698" max="7698" width="13.875" style="378" customWidth="1"/>
    <col min="7699" max="7699" width="6" style="378" customWidth="1"/>
    <col min="7700" max="7700" width="5" style="378" customWidth="1"/>
    <col min="7701" max="7701" width="13.875" style="378" customWidth="1"/>
    <col min="7702" max="7702" width="14" style="378" customWidth="1"/>
    <col min="7703" max="7938" width="14.125" style="378"/>
    <col min="7939" max="7939" width="11.25" style="378" customWidth="1"/>
    <col min="7940" max="7940" width="13.25" style="378" customWidth="1"/>
    <col min="7941" max="7941" width="17.25" style="378" customWidth="1"/>
    <col min="7942" max="7942" width="8.875" style="378" customWidth="1"/>
    <col min="7943" max="7943" width="10.25" style="378" customWidth="1"/>
    <col min="7944" max="7944" width="12.5" style="378" customWidth="1"/>
    <col min="7945" max="7945" width="12.75" style="378" customWidth="1"/>
    <col min="7946" max="7946" width="6" style="378" customWidth="1"/>
    <col min="7947" max="7947" width="5" style="378" customWidth="1"/>
    <col min="7948" max="7948" width="13.875" style="378" customWidth="1"/>
    <col min="7949" max="7949" width="6" style="378" customWidth="1"/>
    <col min="7950" max="7950" width="5" style="378" customWidth="1"/>
    <col min="7951" max="7951" width="13.875" style="378" customWidth="1"/>
    <col min="7952" max="7952" width="6" style="378" customWidth="1"/>
    <col min="7953" max="7953" width="5" style="378" customWidth="1"/>
    <col min="7954" max="7954" width="13.875" style="378" customWidth="1"/>
    <col min="7955" max="7955" width="6" style="378" customWidth="1"/>
    <col min="7956" max="7956" width="5" style="378" customWidth="1"/>
    <col min="7957" max="7957" width="13.875" style="378" customWidth="1"/>
    <col min="7958" max="7958" width="14" style="378" customWidth="1"/>
    <col min="7959" max="8194" width="14.125" style="378"/>
    <col min="8195" max="8195" width="11.25" style="378" customWidth="1"/>
    <col min="8196" max="8196" width="13.25" style="378" customWidth="1"/>
    <col min="8197" max="8197" width="17.25" style="378" customWidth="1"/>
    <col min="8198" max="8198" width="8.875" style="378" customWidth="1"/>
    <col min="8199" max="8199" width="10.25" style="378" customWidth="1"/>
    <col min="8200" max="8200" width="12.5" style="378" customWidth="1"/>
    <col min="8201" max="8201" width="12.75" style="378" customWidth="1"/>
    <col min="8202" max="8202" width="6" style="378" customWidth="1"/>
    <col min="8203" max="8203" width="5" style="378" customWidth="1"/>
    <col min="8204" max="8204" width="13.875" style="378" customWidth="1"/>
    <col min="8205" max="8205" width="6" style="378" customWidth="1"/>
    <col min="8206" max="8206" width="5" style="378" customWidth="1"/>
    <col min="8207" max="8207" width="13.875" style="378" customWidth="1"/>
    <col min="8208" max="8208" width="6" style="378" customWidth="1"/>
    <col min="8209" max="8209" width="5" style="378" customWidth="1"/>
    <col min="8210" max="8210" width="13.875" style="378" customWidth="1"/>
    <col min="8211" max="8211" width="6" style="378" customWidth="1"/>
    <col min="8212" max="8212" width="5" style="378" customWidth="1"/>
    <col min="8213" max="8213" width="13.875" style="378" customWidth="1"/>
    <col min="8214" max="8214" width="14" style="378" customWidth="1"/>
    <col min="8215" max="8450" width="14.125" style="378"/>
    <col min="8451" max="8451" width="11.25" style="378" customWidth="1"/>
    <col min="8452" max="8452" width="13.25" style="378" customWidth="1"/>
    <col min="8453" max="8453" width="17.25" style="378" customWidth="1"/>
    <col min="8454" max="8454" width="8.875" style="378" customWidth="1"/>
    <col min="8455" max="8455" width="10.25" style="378" customWidth="1"/>
    <col min="8456" max="8456" width="12.5" style="378" customWidth="1"/>
    <col min="8457" max="8457" width="12.75" style="378" customWidth="1"/>
    <col min="8458" max="8458" width="6" style="378" customWidth="1"/>
    <col min="8459" max="8459" width="5" style="378" customWidth="1"/>
    <col min="8460" max="8460" width="13.875" style="378" customWidth="1"/>
    <col min="8461" max="8461" width="6" style="378" customWidth="1"/>
    <col min="8462" max="8462" width="5" style="378" customWidth="1"/>
    <col min="8463" max="8463" width="13.875" style="378" customWidth="1"/>
    <col min="8464" max="8464" width="6" style="378" customWidth="1"/>
    <col min="8465" max="8465" width="5" style="378" customWidth="1"/>
    <col min="8466" max="8466" width="13.875" style="378" customWidth="1"/>
    <col min="8467" max="8467" width="6" style="378" customWidth="1"/>
    <col min="8468" max="8468" width="5" style="378" customWidth="1"/>
    <col min="8469" max="8469" width="13.875" style="378" customWidth="1"/>
    <col min="8470" max="8470" width="14" style="378" customWidth="1"/>
    <col min="8471" max="8706" width="14.125" style="378"/>
    <col min="8707" max="8707" width="11.25" style="378" customWidth="1"/>
    <col min="8708" max="8708" width="13.25" style="378" customWidth="1"/>
    <col min="8709" max="8709" width="17.25" style="378" customWidth="1"/>
    <col min="8710" max="8710" width="8.875" style="378" customWidth="1"/>
    <col min="8711" max="8711" width="10.25" style="378" customWidth="1"/>
    <col min="8712" max="8712" width="12.5" style="378" customWidth="1"/>
    <col min="8713" max="8713" width="12.75" style="378" customWidth="1"/>
    <col min="8714" max="8714" width="6" style="378" customWidth="1"/>
    <col min="8715" max="8715" width="5" style="378" customWidth="1"/>
    <col min="8716" max="8716" width="13.875" style="378" customWidth="1"/>
    <col min="8717" max="8717" width="6" style="378" customWidth="1"/>
    <col min="8718" max="8718" width="5" style="378" customWidth="1"/>
    <col min="8719" max="8719" width="13.875" style="378" customWidth="1"/>
    <col min="8720" max="8720" width="6" style="378" customWidth="1"/>
    <col min="8721" max="8721" width="5" style="378" customWidth="1"/>
    <col min="8722" max="8722" width="13.875" style="378" customWidth="1"/>
    <col min="8723" max="8723" width="6" style="378" customWidth="1"/>
    <col min="8724" max="8724" width="5" style="378" customWidth="1"/>
    <col min="8725" max="8725" width="13.875" style="378" customWidth="1"/>
    <col min="8726" max="8726" width="14" style="378" customWidth="1"/>
    <col min="8727" max="8962" width="14.125" style="378"/>
    <col min="8963" max="8963" width="11.25" style="378" customWidth="1"/>
    <col min="8964" max="8964" width="13.25" style="378" customWidth="1"/>
    <col min="8965" max="8965" width="17.25" style="378" customWidth="1"/>
    <col min="8966" max="8966" width="8.875" style="378" customWidth="1"/>
    <col min="8967" max="8967" width="10.25" style="378" customWidth="1"/>
    <col min="8968" max="8968" width="12.5" style="378" customWidth="1"/>
    <col min="8969" max="8969" width="12.75" style="378" customWidth="1"/>
    <col min="8970" max="8970" width="6" style="378" customWidth="1"/>
    <col min="8971" max="8971" width="5" style="378" customWidth="1"/>
    <col min="8972" max="8972" width="13.875" style="378" customWidth="1"/>
    <col min="8973" max="8973" width="6" style="378" customWidth="1"/>
    <col min="8974" max="8974" width="5" style="378" customWidth="1"/>
    <col min="8975" max="8975" width="13.875" style="378" customWidth="1"/>
    <col min="8976" max="8976" width="6" style="378" customWidth="1"/>
    <col min="8977" max="8977" width="5" style="378" customWidth="1"/>
    <col min="8978" max="8978" width="13.875" style="378" customWidth="1"/>
    <col min="8979" max="8979" width="6" style="378" customWidth="1"/>
    <col min="8980" max="8980" width="5" style="378" customWidth="1"/>
    <col min="8981" max="8981" width="13.875" style="378" customWidth="1"/>
    <col min="8982" max="8982" width="14" style="378" customWidth="1"/>
    <col min="8983" max="9218" width="14.125" style="378"/>
    <col min="9219" max="9219" width="11.25" style="378" customWidth="1"/>
    <col min="9220" max="9220" width="13.25" style="378" customWidth="1"/>
    <col min="9221" max="9221" width="17.25" style="378" customWidth="1"/>
    <col min="9222" max="9222" width="8.875" style="378" customWidth="1"/>
    <col min="9223" max="9223" width="10.25" style="378" customWidth="1"/>
    <col min="9224" max="9224" width="12.5" style="378" customWidth="1"/>
    <col min="9225" max="9225" width="12.75" style="378" customWidth="1"/>
    <col min="9226" max="9226" width="6" style="378" customWidth="1"/>
    <col min="9227" max="9227" width="5" style="378" customWidth="1"/>
    <col min="9228" max="9228" width="13.875" style="378" customWidth="1"/>
    <col min="9229" max="9229" width="6" style="378" customWidth="1"/>
    <col min="9230" max="9230" width="5" style="378" customWidth="1"/>
    <col min="9231" max="9231" width="13.875" style="378" customWidth="1"/>
    <col min="9232" max="9232" width="6" style="378" customWidth="1"/>
    <col min="9233" max="9233" width="5" style="378" customWidth="1"/>
    <col min="9234" max="9234" width="13.875" style="378" customWidth="1"/>
    <col min="9235" max="9235" width="6" style="378" customWidth="1"/>
    <col min="9236" max="9236" width="5" style="378" customWidth="1"/>
    <col min="9237" max="9237" width="13.875" style="378" customWidth="1"/>
    <col min="9238" max="9238" width="14" style="378" customWidth="1"/>
    <col min="9239" max="9474" width="14.125" style="378"/>
    <col min="9475" max="9475" width="11.25" style="378" customWidth="1"/>
    <col min="9476" max="9476" width="13.25" style="378" customWidth="1"/>
    <col min="9477" max="9477" width="17.25" style="378" customWidth="1"/>
    <col min="9478" max="9478" width="8.875" style="378" customWidth="1"/>
    <col min="9479" max="9479" width="10.25" style="378" customWidth="1"/>
    <col min="9480" max="9480" width="12.5" style="378" customWidth="1"/>
    <col min="9481" max="9481" width="12.75" style="378" customWidth="1"/>
    <col min="9482" max="9482" width="6" style="378" customWidth="1"/>
    <col min="9483" max="9483" width="5" style="378" customWidth="1"/>
    <col min="9484" max="9484" width="13.875" style="378" customWidth="1"/>
    <col min="9485" max="9485" width="6" style="378" customWidth="1"/>
    <col min="9486" max="9486" width="5" style="378" customWidth="1"/>
    <col min="9487" max="9487" width="13.875" style="378" customWidth="1"/>
    <col min="9488" max="9488" width="6" style="378" customWidth="1"/>
    <col min="9489" max="9489" width="5" style="378" customWidth="1"/>
    <col min="9490" max="9490" width="13.875" style="378" customWidth="1"/>
    <col min="9491" max="9491" width="6" style="378" customWidth="1"/>
    <col min="9492" max="9492" width="5" style="378" customWidth="1"/>
    <col min="9493" max="9493" width="13.875" style="378" customWidth="1"/>
    <col min="9494" max="9494" width="14" style="378" customWidth="1"/>
    <col min="9495" max="9730" width="14.125" style="378"/>
    <col min="9731" max="9731" width="11.25" style="378" customWidth="1"/>
    <col min="9732" max="9732" width="13.25" style="378" customWidth="1"/>
    <col min="9733" max="9733" width="17.25" style="378" customWidth="1"/>
    <col min="9734" max="9734" width="8.875" style="378" customWidth="1"/>
    <col min="9735" max="9735" width="10.25" style="378" customWidth="1"/>
    <col min="9736" max="9736" width="12.5" style="378" customWidth="1"/>
    <col min="9737" max="9737" width="12.75" style="378" customWidth="1"/>
    <col min="9738" max="9738" width="6" style="378" customWidth="1"/>
    <col min="9739" max="9739" width="5" style="378" customWidth="1"/>
    <col min="9740" max="9740" width="13.875" style="378" customWidth="1"/>
    <col min="9741" max="9741" width="6" style="378" customWidth="1"/>
    <col min="9742" max="9742" width="5" style="378" customWidth="1"/>
    <col min="9743" max="9743" width="13.875" style="378" customWidth="1"/>
    <col min="9744" max="9744" width="6" style="378" customWidth="1"/>
    <col min="9745" max="9745" width="5" style="378" customWidth="1"/>
    <col min="9746" max="9746" width="13.875" style="378" customWidth="1"/>
    <col min="9747" max="9747" width="6" style="378" customWidth="1"/>
    <col min="9748" max="9748" width="5" style="378" customWidth="1"/>
    <col min="9749" max="9749" width="13.875" style="378" customWidth="1"/>
    <col min="9750" max="9750" width="14" style="378" customWidth="1"/>
    <col min="9751" max="9986" width="14.125" style="378"/>
    <col min="9987" max="9987" width="11.25" style="378" customWidth="1"/>
    <col min="9988" max="9988" width="13.25" style="378" customWidth="1"/>
    <col min="9989" max="9989" width="17.25" style="378" customWidth="1"/>
    <col min="9990" max="9990" width="8.875" style="378" customWidth="1"/>
    <col min="9991" max="9991" width="10.25" style="378" customWidth="1"/>
    <col min="9992" max="9992" width="12.5" style="378" customWidth="1"/>
    <col min="9993" max="9993" width="12.75" style="378" customWidth="1"/>
    <col min="9994" max="9994" width="6" style="378" customWidth="1"/>
    <col min="9995" max="9995" width="5" style="378" customWidth="1"/>
    <col min="9996" max="9996" width="13.875" style="378" customWidth="1"/>
    <col min="9997" max="9997" width="6" style="378" customWidth="1"/>
    <col min="9998" max="9998" width="5" style="378" customWidth="1"/>
    <col min="9999" max="9999" width="13.875" style="378" customWidth="1"/>
    <col min="10000" max="10000" width="6" style="378" customWidth="1"/>
    <col min="10001" max="10001" width="5" style="378" customWidth="1"/>
    <col min="10002" max="10002" width="13.875" style="378" customWidth="1"/>
    <col min="10003" max="10003" width="6" style="378" customWidth="1"/>
    <col min="10004" max="10004" width="5" style="378" customWidth="1"/>
    <col min="10005" max="10005" width="13.875" style="378" customWidth="1"/>
    <col min="10006" max="10006" width="14" style="378" customWidth="1"/>
    <col min="10007" max="10242" width="14.125" style="378"/>
    <col min="10243" max="10243" width="11.25" style="378" customWidth="1"/>
    <col min="10244" max="10244" width="13.25" style="378" customWidth="1"/>
    <col min="10245" max="10245" width="17.25" style="378" customWidth="1"/>
    <col min="10246" max="10246" width="8.875" style="378" customWidth="1"/>
    <col min="10247" max="10247" width="10.25" style="378" customWidth="1"/>
    <col min="10248" max="10248" width="12.5" style="378" customWidth="1"/>
    <col min="10249" max="10249" width="12.75" style="378" customWidth="1"/>
    <col min="10250" max="10250" width="6" style="378" customWidth="1"/>
    <col min="10251" max="10251" width="5" style="378" customWidth="1"/>
    <col min="10252" max="10252" width="13.875" style="378" customWidth="1"/>
    <col min="10253" max="10253" width="6" style="378" customWidth="1"/>
    <col min="10254" max="10254" width="5" style="378" customWidth="1"/>
    <col min="10255" max="10255" width="13.875" style="378" customWidth="1"/>
    <col min="10256" max="10256" width="6" style="378" customWidth="1"/>
    <col min="10257" max="10257" width="5" style="378" customWidth="1"/>
    <col min="10258" max="10258" width="13.875" style="378" customWidth="1"/>
    <col min="10259" max="10259" width="6" style="378" customWidth="1"/>
    <col min="10260" max="10260" width="5" style="378" customWidth="1"/>
    <col min="10261" max="10261" width="13.875" style="378" customWidth="1"/>
    <col min="10262" max="10262" width="14" style="378" customWidth="1"/>
    <col min="10263" max="10498" width="14.125" style="378"/>
    <col min="10499" max="10499" width="11.25" style="378" customWidth="1"/>
    <col min="10500" max="10500" width="13.25" style="378" customWidth="1"/>
    <col min="10501" max="10501" width="17.25" style="378" customWidth="1"/>
    <col min="10502" max="10502" width="8.875" style="378" customWidth="1"/>
    <col min="10503" max="10503" width="10.25" style="378" customWidth="1"/>
    <col min="10504" max="10504" width="12.5" style="378" customWidth="1"/>
    <col min="10505" max="10505" width="12.75" style="378" customWidth="1"/>
    <col min="10506" max="10506" width="6" style="378" customWidth="1"/>
    <col min="10507" max="10507" width="5" style="378" customWidth="1"/>
    <col min="10508" max="10508" width="13.875" style="378" customWidth="1"/>
    <col min="10509" max="10509" width="6" style="378" customWidth="1"/>
    <col min="10510" max="10510" width="5" style="378" customWidth="1"/>
    <col min="10511" max="10511" width="13.875" style="378" customWidth="1"/>
    <col min="10512" max="10512" width="6" style="378" customWidth="1"/>
    <col min="10513" max="10513" width="5" style="378" customWidth="1"/>
    <col min="10514" max="10514" width="13.875" style="378" customWidth="1"/>
    <col min="10515" max="10515" width="6" style="378" customWidth="1"/>
    <col min="10516" max="10516" width="5" style="378" customWidth="1"/>
    <col min="10517" max="10517" width="13.875" style="378" customWidth="1"/>
    <col min="10518" max="10518" width="14" style="378" customWidth="1"/>
    <col min="10519" max="10754" width="14.125" style="378"/>
    <col min="10755" max="10755" width="11.25" style="378" customWidth="1"/>
    <col min="10756" max="10756" width="13.25" style="378" customWidth="1"/>
    <col min="10757" max="10757" width="17.25" style="378" customWidth="1"/>
    <col min="10758" max="10758" width="8.875" style="378" customWidth="1"/>
    <col min="10759" max="10759" width="10.25" style="378" customWidth="1"/>
    <col min="10760" max="10760" width="12.5" style="378" customWidth="1"/>
    <col min="10761" max="10761" width="12.75" style="378" customWidth="1"/>
    <col min="10762" max="10762" width="6" style="378" customWidth="1"/>
    <col min="10763" max="10763" width="5" style="378" customWidth="1"/>
    <col min="10764" max="10764" width="13.875" style="378" customWidth="1"/>
    <col min="10765" max="10765" width="6" style="378" customWidth="1"/>
    <col min="10766" max="10766" width="5" style="378" customWidth="1"/>
    <col min="10767" max="10767" width="13.875" style="378" customWidth="1"/>
    <col min="10768" max="10768" width="6" style="378" customWidth="1"/>
    <col min="10769" max="10769" width="5" style="378" customWidth="1"/>
    <col min="10770" max="10770" width="13.875" style="378" customWidth="1"/>
    <col min="10771" max="10771" width="6" style="378" customWidth="1"/>
    <col min="10772" max="10772" width="5" style="378" customWidth="1"/>
    <col min="10773" max="10773" width="13.875" style="378" customWidth="1"/>
    <col min="10774" max="10774" width="14" style="378" customWidth="1"/>
    <col min="10775" max="11010" width="14.125" style="378"/>
    <col min="11011" max="11011" width="11.25" style="378" customWidth="1"/>
    <col min="11012" max="11012" width="13.25" style="378" customWidth="1"/>
    <col min="11013" max="11013" width="17.25" style="378" customWidth="1"/>
    <col min="11014" max="11014" width="8.875" style="378" customWidth="1"/>
    <col min="11015" max="11015" width="10.25" style="378" customWidth="1"/>
    <col min="11016" max="11016" width="12.5" style="378" customWidth="1"/>
    <col min="11017" max="11017" width="12.75" style="378" customWidth="1"/>
    <col min="11018" max="11018" width="6" style="378" customWidth="1"/>
    <col min="11019" max="11019" width="5" style="378" customWidth="1"/>
    <col min="11020" max="11020" width="13.875" style="378" customWidth="1"/>
    <col min="11021" max="11021" width="6" style="378" customWidth="1"/>
    <col min="11022" max="11022" width="5" style="378" customWidth="1"/>
    <col min="11023" max="11023" width="13.875" style="378" customWidth="1"/>
    <col min="11024" max="11024" width="6" style="378" customWidth="1"/>
    <col min="11025" max="11025" width="5" style="378" customWidth="1"/>
    <col min="11026" max="11026" width="13.875" style="378" customWidth="1"/>
    <col min="11027" max="11027" width="6" style="378" customWidth="1"/>
    <col min="11028" max="11028" width="5" style="378" customWidth="1"/>
    <col min="11029" max="11029" width="13.875" style="378" customWidth="1"/>
    <col min="11030" max="11030" width="14" style="378" customWidth="1"/>
    <col min="11031" max="11266" width="14.125" style="378"/>
    <col min="11267" max="11267" width="11.25" style="378" customWidth="1"/>
    <col min="11268" max="11268" width="13.25" style="378" customWidth="1"/>
    <col min="11269" max="11269" width="17.25" style="378" customWidth="1"/>
    <col min="11270" max="11270" width="8.875" style="378" customWidth="1"/>
    <col min="11271" max="11271" width="10.25" style="378" customWidth="1"/>
    <col min="11272" max="11272" width="12.5" style="378" customWidth="1"/>
    <col min="11273" max="11273" width="12.75" style="378" customWidth="1"/>
    <col min="11274" max="11274" width="6" style="378" customWidth="1"/>
    <col min="11275" max="11275" width="5" style="378" customWidth="1"/>
    <col min="11276" max="11276" width="13.875" style="378" customWidth="1"/>
    <col min="11277" max="11277" width="6" style="378" customWidth="1"/>
    <col min="11278" max="11278" width="5" style="378" customWidth="1"/>
    <col min="11279" max="11279" width="13.875" style="378" customWidth="1"/>
    <col min="11280" max="11280" width="6" style="378" customWidth="1"/>
    <col min="11281" max="11281" width="5" style="378" customWidth="1"/>
    <col min="11282" max="11282" width="13.875" style="378" customWidth="1"/>
    <col min="11283" max="11283" width="6" style="378" customWidth="1"/>
    <col min="11284" max="11284" width="5" style="378" customWidth="1"/>
    <col min="11285" max="11285" width="13.875" style="378" customWidth="1"/>
    <col min="11286" max="11286" width="14" style="378" customWidth="1"/>
    <col min="11287" max="11522" width="14.125" style="378"/>
    <col min="11523" max="11523" width="11.25" style="378" customWidth="1"/>
    <col min="11524" max="11524" width="13.25" style="378" customWidth="1"/>
    <col min="11525" max="11525" width="17.25" style="378" customWidth="1"/>
    <col min="11526" max="11526" width="8.875" style="378" customWidth="1"/>
    <col min="11527" max="11527" width="10.25" style="378" customWidth="1"/>
    <col min="11528" max="11528" width="12.5" style="378" customWidth="1"/>
    <col min="11529" max="11529" width="12.75" style="378" customWidth="1"/>
    <col min="11530" max="11530" width="6" style="378" customWidth="1"/>
    <col min="11531" max="11531" width="5" style="378" customWidth="1"/>
    <col min="11532" max="11532" width="13.875" style="378" customWidth="1"/>
    <col min="11533" max="11533" width="6" style="378" customWidth="1"/>
    <col min="11534" max="11534" width="5" style="378" customWidth="1"/>
    <col min="11535" max="11535" width="13.875" style="378" customWidth="1"/>
    <col min="11536" max="11536" width="6" style="378" customWidth="1"/>
    <col min="11537" max="11537" width="5" style="378" customWidth="1"/>
    <col min="11538" max="11538" width="13.875" style="378" customWidth="1"/>
    <col min="11539" max="11539" width="6" style="378" customWidth="1"/>
    <col min="11540" max="11540" width="5" style="378" customWidth="1"/>
    <col min="11541" max="11541" width="13.875" style="378" customWidth="1"/>
    <col min="11542" max="11542" width="14" style="378" customWidth="1"/>
    <col min="11543" max="11778" width="14.125" style="378"/>
    <col min="11779" max="11779" width="11.25" style="378" customWidth="1"/>
    <col min="11780" max="11780" width="13.25" style="378" customWidth="1"/>
    <col min="11781" max="11781" width="17.25" style="378" customWidth="1"/>
    <col min="11782" max="11782" width="8.875" style="378" customWidth="1"/>
    <col min="11783" max="11783" width="10.25" style="378" customWidth="1"/>
    <col min="11784" max="11784" width="12.5" style="378" customWidth="1"/>
    <col min="11785" max="11785" width="12.75" style="378" customWidth="1"/>
    <col min="11786" max="11786" width="6" style="378" customWidth="1"/>
    <col min="11787" max="11787" width="5" style="378" customWidth="1"/>
    <col min="11788" max="11788" width="13.875" style="378" customWidth="1"/>
    <col min="11789" max="11789" width="6" style="378" customWidth="1"/>
    <col min="11790" max="11790" width="5" style="378" customWidth="1"/>
    <col min="11791" max="11791" width="13.875" style="378" customWidth="1"/>
    <col min="11792" max="11792" width="6" style="378" customWidth="1"/>
    <col min="11793" max="11793" width="5" style="378" customWidth="1"/>
    <col min="11794" max="11794" width="13.875" style="378" customWidth="1"/>
    <col min="11795" max="11795" width="6" style="378" customWidth="1"/>
    <col min="11796" max="11796" width="5" style="378" customWidth="1"/>
    <col min="11797" max="11797" width="13.875" style="378" customWidth="1"/>
    <col min="11798" max="11798" width="14" style="378" customWidth="1"/>
    <col min="11799" max="12034" width="14.125" style="378"/>
    <col min="12035" max="12035" width="11.25" style="378" customWidth="1"/>
    <col min="12036" max="12036" width="13.25" style="378" customWidth="1"/>
    <col min="12037" max="12037" width="17.25" style="378" customWidth="1"/>
    <col min="12038" max="12038" width="8.875" style="378" customWidth="1"/>
    <col min="12039" max="12039" width="10.25" style="378" customWidth="1"/>
    <col min="12040" max="12040" width="12.5" style="378" customWidth="1"/>
    <col min="12041" max="12041" width="12.75" style="378" customWidth="1"/>
    <col min="12042" max="12042" width="6" style="378" customWidth="1"/>
    <col min="12043" max="12043" width="5" style="378" customWidth="1"/>
    <col min="12044" max="12044" width="13.875" style="378" customWidth="1"/>
    <col min="12045" max="12045" width="6" style="378" customWidth="1"/>
    <col min="12046" max="12046" width="5" style="378" customWidth="1"/>
    <col min="12047" max="12047" width="13.875" style="378" customWidth="1"/>
    <col min="12048" max="12048" width="6" style="378" customWidth="1"/>
    <col min="12049" max="12049" width="5" style="378" customWidth="1"/>
    <col min="12050" max="12050" width="13.875" style="378" customWidth="1"/>
    <col min="12051" max="12051" width="6" style="378" customWidth="1"/>
    <col min="12052" max="12052" width="5" style="378" customWidth="1"/>
    <col min="12053" max="12053" width="13.875" style="378" customWidth="1"/>
    <col min="12054" max="12054" width="14" style="378" customWidth="1"/>
    <col min="12055" max="12290" width="14.125" style="378"/>
    <col min="12291" max="12291" width="11.25" style="378" customWidth="1"/>
    <col min="12292" max="12292" width="13.25" style="378" customWidth="1"/>
    <col min="12293" max="12293" width="17.25" style="378" customWidth="1"/>
    <col min="12294" max="12294" width="8.875" style="378" customWidth="1"/>
    <col min="12295" max="12295" width="10.25" style="378" customWidth="1"/>
    <col min="12296" max="12296" width="12.5" style="378" customWidth="1"/>
    <col min="12297" max="12297" width="12.75" style="378" customWidth="1"/>
    <col min="12298" max="12298" width="6" style="378" customWidth="1"/>
    <col min="12299" max="12299" width="5" style="378" customWidth="1"/>
    <col min="12300" max="12300" width="13.875" style="378" customWidth="1"/>
    <col min="12301" max="12301" width="6" style="378" customWidth="1"/>
    <col min="12302" max="12302" width="5" style="378" customWidth="1"/>
    <col min="12303" max="12303" width="13.875" style="378" customWidth="1"/>
    <col min="12304" max="12304" width="6" style="378" customWidth="1"/>
    <col min="12305" max="12305" width="5" style="378" customWidth="1"/>
    <col min="12306" max="12306" width="13.875" style="378" customWidth="1"/>
    <col min="12307" max="12307" width="6" style="378" customWidth="1"/>
    <col min="12308" max="12308" width="5" style="378" customWidth="1"/>
    <col min="12309" max="12309" width="13.875" style="378" customWidth="1"/>
    <col min="12310" max="12310" width="14" style="378" customWidth="1"/>
    <col min="12311" max="12546" width="14.125" style="378"/>
    <col min="12547" max="12547" width="11.25" style="378" customWidth="1"/>
    <col min="12548" max="12548" width="13.25" style="378" customWidth="1"/>
    <col min="12549" max="12549" width="17.25" style="378" customWidth="1"/>
    <col min="12550" max="12550" width="8.875" style="378" customWidth="1"/>
    <col min="12551" max="12551" width="10.25" style="378" customWidth="1"/>
    <col min="12552" max="12552" width="12.5" style="378" customWidth="1"/>
    <col min="12553" max="12553" width="12.75" style="378" customWidth="1"/>
    <col min="12554" max="12554" width="6" style="378" customWidth="1"/>
    <col min="12555" max="12555" width="5" style="378" customWidth="1"/>
    <col min="12556" max="12556" width="13.875" style="378" customWidth="1"/>
    <col min="12557" max="12557" width="6" style="378" customWidth="1"/>
    <col min="12558" max="12558" width="5" style="378" customWidth="1"/>
    <col min="12559" max="12559" width="13.875" style="378" customWidth="1"/>
    <col min="12560" max="12560" width="6" style="378" customWidth="1"/>
    <col min="12561" max="12561" width="5" style="378" customWidth="1"/>
    <col min="12562" max="12562" width="13.875" style="378" customWidth="1"/>
    <col min="12563" max="12563" width="6" style="378" customWidth="1"/>
    <col min="12564" max="12564" width="5" style="378" customWidth="1"/>
    <col min="12565" max="12565" width="13.875" style="378" customWidth="1"/>
    <col min="12566" max="12566" width="14" style="378" customWidth="1"/>
    <col min="12567" max="12802" width="14.125" style="378"/>
    <col min="12803" max="12803" width="11.25" style="378" customWidth="1"/>
    <col min="12804" max="12804" width="13.25" style="378" customWidth="1"/>
    <col min="12805" max="12805" width="17.25" style="378" customWidth="1"/>
    <col min="12806" max="12806" width="8.875" style="378" customWidth="1"/>
    <col min="12807" max="12807" width="10.25" style="378" customWidth="1"/>
    <col min="12808" max="12808" width="12.5" style="378" customWidth="1"/>
    <col min="12809" max="12809" width="12.75" style="378" customWidth="1"/>
    <col min="12810" max="12810" width="6" style="378" customWidth="1"/>
    <col min="12811" max="12811" width="5" style="378" customWidth="1"/>
    <col min="12812" max="12812" width="13.875" style="378" customWidth="1"/>
    <col min="12813" max="12813" width="6" style="378" customWidth="1"/>
    <col min="12814" max="12814" width="5" style="378" customWidth="1"/>
    <col min="12815" max="12815" width="13.875" style="378" customWidth="1"/>
    <col min="12816" max="12816" width="6" style="378" customWidth="1"/>
    <col min="12817" max="12817" width="5" style="378" customWidth="1"/>
    <col min="12818" max="12818" width="13.875" style="378" customWidth="1"/>
    <col min="12819" max="12819" width="6" style="378" customWidth="1"/>
    <col min="12820" max="12820" width="5" style="378" customWidth="1"/>
    <col min="12821" max="12821" width="13.875" style="378" customWidth="1"/>
    <col min="12822" max="12822" width="14" style="378" customWidth="1"/>
    <col min="12823" max="13058" width="14.125" style="378"/>
    <col min="13059" max="13059" width="11.25" style="378" customWidth="1"/>
    <col min="13060" max="13060" width="13.25" style="378" customWidth="1"/>
    <col min="13061" max="13061" width="17.25" style="378" customWidth="1"/>
    <col min="13062" max="13062" width="8.875" style="378" customWidth="1"/>
    <col min="13063" max="13063" width="10.25" style="378" customWidth="1"/>
    <col min="13064" max="13064" width="12.5" style="378" customWidth="1"/>
    <col min="13065" max="13065" width="12.75" style="378" customWidth="1"/>
    <col min="13066" max="13066" width="6" style="378" customWidth="1"/>
    <col min="13067" max="13067" width="5" style="378" customWidth="1"/>
    <col min="13068" max="13068" width="13.875" style="378" customWidth="1"/>
    <col min="13069" max="13069" width="6" style="378" customWidth="1"/>
    <col min="13070" max="13070" width="5" style="378" customWidth="1"/>
    <col min="13071" max="13071" width="13.875" style="378" customWidth="1"/>
    <col min="13072" max="13072" width="6" style="378" customWidth="1"/>
    <col min="13073" max="13073" width="5" style="378" customWidth="1"/>
    <col min="13074" max="13074" width="13.875" style="378" customWidth="1"/>
    <col min="13075" max="13075" width="6" style="378" customWidth="1"/>
    <col min="13076" max="13076" width="5" style="378" customWidth="1"/>
    <col min="13077" max="13077" width="13.875" style="378" customWidth="1"/>
    <col min="13078" max="13078" width="14" style="378" customWidth="1"/>
    <col min="13079" max="13314" width="14.125" style="378"/>
    <col min="13315" max="13315" width="11.25" style="378" customWidth="1"/>
    <col min="13316" max="13316" width="13.25" style="378" customWidth="1"/>
    <col min="13317" max="13317" width="17.25" style="378" customWidth="1"/>
    <col min="13318" max="13318" width="8.875" style="378" customWidth="1"/>
    <col min="13319" max="13319" width="10.25" style="378" customWidth="1"/>
    <col min="13320" max="13320" width="12.5" style="378" customWidth="1"/>
    <col min="13321" max="13321" width="12.75" style="378" customWidth="1"/>
    <col min="13322" max="13322" width="6" style="378" customWidth="1"/>
    <col min="13323" max="13323" width="5" style="378" customWidth="1"/>
    <col min="13324" max="13324" width="13.875" style="378" customWidth="1"/>
    <col min="13325" max="13325" width="6" style="378" customWidth="1"/>
    <col min="13326" max="13326" width="5" style="378" customWidth="1"/>
    <col min="13327" max="13327" width="13.875" style="378" customWidth="1"/>
    <col min="13328" max="13328" width="6" style="378" customWidth="1"/>
    <col min="13329" max="13329" width="5" style="378" customWidth="1"/>
    <col min="13330" max="13330" width="13.875" style="378" customWidth="1"/>
    <col min="13331" max="13331" width="6" style="378" customWidth="1"/>
    <col min="13332" max="13332" width="5" style="378" customWidth="1"/>
    <col min="13333" max="13333" width="13.875" style="378" customWidth="1"/>
    <col min="13334" max="13334" width="14" style="378" customWidth="1"/>
    <col min="13335" max="13570" width="14.125" style="378"/>
    <col min="13571" max="13571" width="11.25" style="378" customWidth="1"/>
    <col min="13572" max="13572" width="13.25" style="378" customWidth="1"/>
    <col min="13573" max="13573" width="17.25" style="378" customWidth="1"/>
    <col min="13574" max="13574" width="8.875" style="378" customWidth="1"/>
    <col min="13575" max="13575" width="10.25" style="378" customWidth="1"/>
    <col min="13576" max="13576" width="12.5" style="378" customWidth="1"/>
    <col min="13577" max="13577" width="12.75" style="378" customWidth="1"/>
    <col min="13578" max="13578" width="6" style="378" customWidth="1"/>
    <col min="13579" max="13579" width="5" style="378" customWidth="1"/>
    <col min="13580" max="13580" width="13.875" style="378" customWidth="1"/>
    <col min="13581" max="13581" width="6" style="378" customWidth="1"/>
    <col min="13582" max="13582" width="5" style="378" customWidth="1"/>
    <col min="13583" max="13583" width="13.875" style="378" customWidth="1"/>
    <col min="13584" max="13584" width="6" style="378" customWidth="1"/>
    <col min="13585" max="13585" width="5" style="378" customWidth="1"/>
    <col min="13586" max="13586" width="13.875" style="378" customWidth="1"/>
    <col min="13587" max="13587" width="6" style="378" customWidth="1"/>
    <col min="13588" max="13588" width="5" style="378" customWidth="1"/>
    <col min="13589" max="13589" width="13.875" style="378" customWidth="1"/>
    <col min="13590" max="13590" width="14" style="378" customWidth="1"/>
    <col min="13591" max="13826" width="14.125" style="378"/>
    <col min="13827" max="13827" width="11.25" style="378" customWidth="1"/>
    <col min="13828" max="13828" width="13.25" style="378" customWidth="1"/>
    <col min="13829" max="13829" width="17.25" style="378" customWidth="1"/>
    <col min="13830" max="13830" width="8.875" style="378" customWidth="1"/>
    <col min="13831" max="13831" width="10.25" style="378" customWidth="1"/>
    <col min="13832" max="13832" width="12.5" style="378" customWidth="1"/>
    <col min="13833" max="13833" width="12.75" style="378" customWidth="1"/>
    <col min="13834" max="13834" width="6" style="378" customWidth="1"/>
    <col min="13835" max="13835" width="5" style="378" customWidth="1"/>
    <col min="13836" max="13836" width="13.875" style="378" customWidth="1"/>
    <col min="13837" max="13837" width="6" style="378" customWidth="1"/>
    <col min="13838" max="13838" width="5" style="378" customWidth="1"/>
    <col min="13839" max="13839" width="13.875" style="378" customWidth="1"/>
    <col min="13840" max="13840" width="6" style="378" customWidth="1"/>
    <col min="13841" max="13841" width="5" style="378" customWidth="1"/>
    <col min="13842" max="13842" width="13.875" style="378" customWidth="1"/>
    <col min="13843" max="13843" width="6" style="378" customWidth="1"/>
    <col min="13844" max="13844" width="5" style="378" customWidth="1"/>
    <col min="13845" max="13845" width="13.875" style="378" customWidth="1"/>
    <col min="13846" max="13846" width="14" style="378" customWidth="1"/>
    <col min="13847" max="14082" width="14.125" style="378"/>
    <col min="14083" max="14083" width="11.25" style="378" customWidth="1"/>
    <col min="14084" max="14084" width="13.25" style="378" customWidth="1"/>
    <col min="14085" max="14085" width="17.25" style="378" customWidth="1"/>
    <col min="14086" max="14086" width="8.875" style="378" customWidth="1"/>
    <col min="14087" max="14087" width="10.25" style="378" customWidth="1"/>
    <col min="14088" max="14088" width="12.5" style="378" customWidth="1"/>
    <col min="14089" max="14089" width="12.75" style="378" customWidth="1"/>
    <col min="14090" max="14090" width="6" style="378" customWidth="1"/>
    <col min="14091" max="14091" width="5" style="378" customWidth="1"/>
    <col min="14092" max="14092" width="13.875" style="378" customWidth="1"/>
    <col min="14093" max="14093" width="6" style="378" customWidth="1"/>
    <col min="14094" max="14094" width="5" style="378" customWidth="1"/>
    <col min="14095" max="14095" width="13.875" style="378" customWidth="1"/>
    <col min="14096" max="14096" width="6" style="378" customWidth="1"/>
    <col min="14097" max="14097" width="5" style="378" customWidth="1"/>
    <col min="14098" max="14098" width="13.875" style="378" customWidth="1"/>
    <col min="14099" max="14099" width="6" style="378" customWidth="1"/>
    <col min="14100" max="14100" width="5" style="378" customWidth="1"/>
    <col min="14101" max="14101" width="13.875" style="378" customWidth="1"/>
    <col min="14102" max="14102" width="14" style="378" customWidth="1"/>
    <col min="14103" max="14338" width="14.125" style="378"/>
    <col min="14339" max="14339" width="11.25" style="378" customWidth="1"/>
    <col min="14340" max="14340" width="13.25" style="378" customWidth="1"/>
    <col min="14341" max="14341" width="17.25" style="378" customWidth="1"/>
    <col min="14342" max="14342" width="8.875" style="378" customWidth="1"/>
    <col min="14343" max="14343" width="10.25" style="378" customWidth="1"/>
    <col min="14344" max="14344" width="12.5" style="378" customWidth="1"/>
    <col min="14345" max="14345" width="12.75" style="378" customWidth="1"/>
    <col min="14346" max="14346" width="6" style="378" customWidth="1"/>
    <col min="14347" max="14347" width="5" style="378" customWidth="1"/>
    <col min="14348" max="14348" width="13.875" style="378" customWidth="1"/>
    <col min="14349" max="14349" width="6" style="378" customWidth="1"/>
    <col min="14350" max="14350" width="5" style="378" customWidth="1"/>
    <col min="14351" max="14351" width="13.875" style="378" customWidth="1"/>
    <col min="14352" max="14352" width="6" style="378" customWidth="1"/>
    <col min="14353" max="14353" width="5" style="378" customWidth="1"/>
    <col min="14354" max="14354" width="13.875" style="378" customWidth="1"/>
    <col min="14355" max="14355" width="6" style="378" customWidth="1"/>
    <col min="14356" max="14356" width="5" style="378" customWidth="1"/>
    <col min="14357" max="14357" width="13.875" style="378" customWidth="1"/>
    <col min="14358" max="14358" width="14" style="378" customWidth="1"/>
    <col min="14359" max="14594" width="14.125" style="378"/>
    <col min="14595" max="14595" width="11.25" style="378" customWidth="1"/>
    <col min="14596" max="14596" width="13.25" style="378" customWidth="1"/>
    <col min="14597" max="14597" width="17.25" style="378" customWidth="1"/>
    <col min="14598" max="14598" width="8.875" style="378" customWidth="1"/>
    <col min="14599" max="14599" width="10.25" style="378" customWidth="1"/>
    <col min="14600" max="14600" width="12.5" style="378" customWidth="1"/>
    <col min="14601" max="14601" width="12.75" style="378" customWidth="1"/>
    <col min="14602" max="14602" width="6" style="378" customWidth="1"/>
    <col min="14603" max="14603" width="5" style="378" customWidth="1"/>
    <col min="14604" max="14604" width="13.875" style="378" customWidth="1"/>
    <col min="14605" max="14605" width="6" style="378" customWidth="1"/>
    <col min="14606" max="14606" width="5" style="378" customWidth="1"/>
    <col min="14607" max="14607" width="13.875" style="378" customWidth="1"/>
    <col min="14608" max="14608" width="6" style="378" customWidth="1"/>
    <col min="14609" max="14609" width="5" style="378" customWidth="1"/>
    <col min="14610" max="14610" width="13.875" style="378" customWidth="1"/>
    <col min="14611" max="14611" width="6" style="378" customWidth="1"/>
    <col min="14612" max="14612" width="5" style="378" customWidth="1"/>
    <col min="14613" max="14613" width="13.875" style="378" customWidth="1"/>
    <col min="14614" max="14614" width="14" style="378" customWidth="1"/>
    <col min="14615" max="14850" width="14.125" style="378"/>
    <col min="14851" max="14851" width="11.25" style="378" customWidth="1"/>
    <col min="14852" max="14852" width="13.25" style="378" customWidth="1"/>
    <col min="14853" max="14853" width="17.25" style="378" customWidth="1"/>
    <col min="14854" max="14854" width="8.875" style="378" customWidth="1"/>
    <col min="14855" max="14855" width="10.25" style="378" customWidth="1"/>
    <col min="14856" max="14856" width="12.5" style="378" customWidth="1"/>
    <col min="14857" max="14857" width="12.75" style="378" customWidth="1"/>
    <col min="14858" max="14858" width="6" style="378" customWidth="1"/>
    <col min="14859" max="14859" width="5" style="378" customWidth="1"/>
    <col min="14860" max="14860" width="13.875" style="378" customWidth="1"/>
    <col min="14861" max="14861" width="6" style="378" customWidth="1"/>
    <col min="14862" max="14862" width="5" style="378" customWidth="1"/>
    <col min="14863" max="14863" width="13.875" style="378" customWidth="1"/>
    <col min="14864" max="14864" width="6" style="378" customWidth="1"/>
    <col min="14865" max="14865" width="5" style="378" customWidth="1"/>
    <col min="14866" max="14866" width="13.875" style="378" customWidth="1"/>
    <col min="14867" max="14867" width="6" style="378" customWidth="1"/>
    <col min="14868" max="14868" width="5" style="378" customWidth="1"/>
    <col min="14869" max="14869" width="13.875" style="378" customWidth="1"/>
    <col min="14870" max="14870" width="14" style="378" customWidth="1"/>
    <col min="14871" max="15106" width="14.125" style="378"/>
    <col min="15107" max="15107" width="11.25" style="378" customWidth="1"/>
    <col min="15108" max="15108" width="13.25" style="378" customWidth="1"/>
    <col min="15109" max="15109" width="17.25" style="378" customWidth="1"/>
    <col min="15110" max="15110" width="8.875" style="378" customWidth="1"/>
    <col min="15111" max="15111" width="10.25" style="378" customWidth="1"/>
    <col min="15112" max="15112" width="12.5" style="378" customWidth="1"/>
    <col min="15113" max="15113" width="12.75" style="378" customWidth="1"/>
    <col min="15114" max="15114" width="6" style="378" customWidth="1"/>
    <col min="15115" max="15115" width="5" style="378" customWidth="1"/>
    <col min="15116" max="15116" width="13.875" style="378" customWidth="1"/>
    <col min="15117" max="15117" width="6" style="378" customWidth="1"/>
    <col min="15118" max="15118" width="5" style="378" customWidth="1"/>
    <col min="15119" max="15119" width="13.875" style="378" customWidth="1"/>
    <col min="15120" max="15120" width="6" style="378" customWidth="1"/>
    <col min="15121" max="15121" width="5" style="378" customWidth="1"/>
    <col min="15122" max="15122" width="13.875" style="378" customWidth="1"/>
    <col min="15123" max="15123" width="6" style="378" customWidth="1"/>
    <col min="15124" max="15124" width="5" style="378" customWidth="1"/>
    <col min="15125" max="15125" width="13.875" style="378" customWidth="1"/>
    <col min="15126" max="15126" width="14" style="378" customWidth="1"/>
    <col min="15127" max="15362" width="14.125" style="378"/>
    <col min="15363" max="15363" width="11.25" style="378" customWidth="1"/>
    <col min="15364" max="15364" width="13.25" style="378" customWidth="1"/>
    <col min="15365" max="15365" width="17.25" style="378" customWidth="1"/>
    <col min="15366" max="15366" width="8.875" style="378" customWidth="1"/>
    <col min="15367" max="15367" width="10.25" style="378" customWidth="1"/>
    <col min="15368" max="15368" width="12.5" style="378" customWidth="1"/>
    <col min="15369" max="15369" width="12.75" style="378" customWidth="1"/>
    <col min="15370" max="15370" width="6" style="378" customWidth="1"/>
    <col min="15371" max="15371" width="5" style="378" customWidth="1"/>
    <col min="15372" max="15372" width="13.875" style="378" customWidth="1"/>
    <col min="15373" max="15373" width="6" style="378" customWidth="1"/>
    <col min="15374" max="15374" width="5" style="378" customWidth="1"/>
    <col min="15375" max="15375" width="13.875" style="378" customWidth="1"/>
    <col min="15376" max="15376" width="6" style="378" customWidth="1"/>
    <col min="15377" max="15377" width="5" style="378" customWidth="1"/>
    <col min="15378" max="15378" width="13.875" style="378" customWidth="1"/>
    <col min="15379" max="15379" width="6" style="378" customWidth="1"/>
    <col min="15380" max="15380" width="5" style="378" customWidth="1"/>
    <col min="15381" max="15381" width="13.875" style="378" customWidth="1"/>
    <col min="15382" max="15382" width="14" style="378" customWidth="1"/>
    <col min="15383" max="15618" width="14.125" style="378"/>
    <col min="15619" max="15619" width="11.25" style="378" customWidth="1"/>
    <col min="15620" max="15620" width="13.25" style="378" customWidth="1"/>
    <col min="15621" max="15621" width="17.25" style="378" customWidth="1"/>
    <col min="15622" max="15622" width="8.875" style="378" customWidth="1"/>
    <col min="15623" max="15623" width="10.25" style="378" customWidth="1"/>
    <col min="15624" max="15624" width="12.5" style="378" customWidth="1"/>
    <col min="15625" max="15625" width="12.75" style="378" customWidth="1"/>
    <col min="15626" max="15626" width="6" style="378" customWidth="1"/>
    <col min="15627" max="15627" width="5" style="378" customWidth="1"/>
    <col min="15628" max="15628" width="13.875" style="378" customWidth="1"/>
    <col min="15629" max="15629" width="6" style="378" customWidth="1"/>
    <col min="15630" max="15630" width="5" style="378" customWidth="1"/>
    <col min="15631" max="15631" width="13.875" style="378" customWidth="1"/>
    <col min="15632" max="15632" width="6" style="378" customWidth="1"/>
    <col min="15633" max="15633" width="5" style="378" customWidth="1"/>
    <col min="15634" max="15634" width="13.875" style="378" customWidth="1"/>
    <col min="15635" max="15635" width="6" style="378" customWidth="1"/>
    <col min="15636" max="15636" width="5" style="378" customWidth="1"/>
    <col min="15637" max="15637" width="13.875" style="378" customWidth="1"/>
    <col min="15638" max="15638" width="14" style="378" customWidth="1"/>
    <col min="15639" max="15874" width="14.125" style="378"/>
    <col min="15875" max="15875" width="11.25" style="378" customWidth="1"/>
    <col min="15876" max="15876" width="13.25" style="378" customWidth="1"/>
    <col min="15877" max="15877" width="17.25" style="378" customWidth="1"/>
    <col min="15878" max="15878" width="8.875" style="378" customWidth="1"/>
    <col min="15879" max="15879" width="10.25" style="378" customWidth="1"/>
    <col min="15880" max="15880" width="12.5" style="378" customWidth="1"/>
    <col min="15881" max="15881" width="12.75" style="378" customWidth="1"/>
    <col min="15882" max="15882" width="6" style="378" customWidth="1"/>
    <col min="15883" max="15883" width="5" style="378" customWidth="1"/>
    <col min="15884" max="15884" width="13.875" style="378" customWidth="1"/>
    <col min="15885" max="15885" width="6" style="378" customWidth="1"/>
    <col min="15886" max="15886" width="5" style="378" customWidth="1"/>
    <col min="15887" max="15887" width="13.875" style="378" customWidth="1"/>
    <col min="15888" max="15888" width="6" style="378" customWidth="1"/>
    <col min="15889" max="15889" width="5" style="378" customWidth="1"/>
    <col min="15890" max="15890" width="13.875" style="378" customWidth="1"/>
    <col min="15891" max="15891" width="6" style="378" customWidth="1"/>
    <col min="15892" max="15892" width="5" style="378" customWidth="1"/>
    <col min="15893" max="15893" width="13.875" style="378" customWidth="1"/>
    <col min="15894" max="15894" width="14" style="378" customWidth="1"/>
    <col min="15895" max="16130" width="14.125" style="378"/>
    <col min="16131" max="16131" width="11.25" style="378" customWidth="1"/>
    <col min="16132" max="16132" width="13.25" style="378" customWidth="1"/>
    <col min="16133" max="16133" width="17.25" style="378" customWidth="1"/>
    <col min="16134" max="16134" width="8.875" style="378" customWidth="1"/>
    <col min="16135" max="16135" width="10.25" style="378" customWidth="1"/>
    <col min="16136" max="16136" width="12.5" style="378" customWidth="1"/>
    <col min="16137" max="16137" width="12.75" style="378" customWidth="1"/>
    <col min="16138" max="16138" width="6" style="378" customWidth="1"/>
    <col min="16139" max="16139" width="5" style="378" customWidth="1"/>
    <col min="16140" max="16140" width="13.875" style="378" customWidth="1"/>
    <col min="16141" max="16141" width="6" style="378" customWidth="1"/>
    <col min="16142" max="16142" width="5" style="378" customWidth="1"/>
    <col min="16143" max="16143" width="13.875" style="378" customWidth="1"/>
    <col min="16144" max="16144" width="6" style="378" customWidth="1"/>
    <col min="16145" max="16145" width="5" style="378" customWidth="1"/>
    <col min="16146" max="16146" width="13.875" style="378" customWidth="1"/>
    <col min="16147" max="16147" width="6" style="378" customWidth="1"/>
    <col min="16148" max="16148" width="5" style="378" customWidth="1"/>
    <col min="16149" max="16149" width="13.875" style="378" customWidth="1"/>
    <col min="16150" max="16150" width="14" style="378" customWidth="1"/>
    <col min="16151" max="16384" width="14.125" style="378"/>
  </cols>
  <sheetData>
    <row r="1" spans="1:36" ht="15.75" customHeight="1">
      <c r="A1" s="844" t="s">
        <v>0</v>
      </c>
      <c r="B1" s="844" t="s">
        <v>71</v>
      </c>
      <c r="C1" s="844" t="s">
        <v>72</v>
      </c>
      <c r="D1" s="844" t="s">
        <v>73</v>
      </c>
      <c r="E1" s="844" t="s">
        <v>74</v>
      </c>
      <c r="F1" s="855" t="s">
        <v>75</v>
      </c>
      <c r="G1" s="855" t="s">
        <v>76</v>
      </c>
      <c r="H1" s="844" t="s">
        <v>77</v>
      </c>
      <c r="I1" s="844"/>
      <c r="J1" s="844"/>
      <c r="K1" s="844"/>
      <c r="L1" s="844"/>
      <c r="M1" s="844"/>
      <c r="N1" s="844"/>
      <c r="O1" s="844"/>
      <c r="P1" s="844"/>
      <c r="Q1" s="844"/>
      <c r="R1" s="844"/>
      <c r="S1" s="844"/>
      <c r="T1" s="855" t="s">
        <v>78</v>
      </c>
      <c r="U1" s="391"/>
      <c r="V1" s="391"/>
      <c r="W1" s="392"/>
      <c r="X1" s="857" t="s">
        <v>79</v>
      </c>
      <c r="Y1" s="857" t="s">
        <v>80</v>
      </c>
    </row>
    <row r="2" spans="1:36" ht="15" customHeight="1">
      <c r="A2" s="844"/>
      <c r="B2" s="844"/>
      <c r="C2" s="844"/>
      <c r="D2" s="844"/>
      <c r="E2" s="844"/>
      <c r="F2" s="855"/>
      <c r="G2" s="855"/>
      <c r="H2" s="844" t="s">
        <v>81</v>
      </c>
      <c r="I2" s="844"/>
      <c r="J2" s="844"/>
      <c r="K2" s="844" t="s">
        <v>82</v>
      </c>
      <c r="L2" s="844"/>
      <c r="M2" s="844"/>
      <c r="N2" s="844" t="s">
        <v>83</v>
      </c>
      <c r="O2" s="844"/>
      <c r="P2" s="844"/>
      <c r="Q2" s="844" t="s">
        <v>84</v>
      </c>
      <c r="R2" s="844"/>
      <c r="S2" s="844"/>
      <c r="T2" s="855"/>
      <c r="U2" s="391"/>
      <c r="V2" s="391"/>
      <c r="W2" s="392"/>
      <c r="X2" s="857"/>
      <c r="Y2" s="857"/>
      <c r="AD2" s="845" t="s">
        <v>85</v>
      </c>
      <c r="AE2" s="846"/>
      <c r="AF2" s="846"/>
      <c r="AG2" s="846"/>
      <c r="AH2" s="846"/>
      <c r="AI2" s="846"/>
      <c r="AJ2" s="847"/>
    </row>
    <row r="3" spans="1:36" ht="27.75" customHeight="1">
      <c r="A3" s="861"/>
      <c r="B3" s="861"/>
      <c r="C3" s="861"/>
      <c r="D3" s="861"/>
      <c r="E3" s="861"/>
      <c r="F3" s="856"/>
      <c r="G3" s="856"/>
      <c r="H3" s="379" t="s">
        <v>86</v>
      </c>
      <c r="I3" s="379" t="s">
        <v>87</v>
      </c>
      <c r="J3" s="380" t="s">
        <v>88</v>
      </c>
      <c r="K3" s="379" t="s">
        <v>86</v>
      </c>
      <c r="L3" s="379" t="s">
        <v>87</v>
      </c>
      <c r="M3" s="380" t="s">
        <v>88</v>
      </c>
      <c r="N3" s="379" t="s">
        <v>86</v>
      </c>
      <c r="O3" s="379" t="s">
        <v>87</v>
      </c>
      <c r="P3" s="380" t="s">
        <v>88</v>
      </c>
      <c r="Q3" s="379" t="s">
        <v>86</v>
      </c>
      <c r="R3" s="379" t="s">
        <v>87</v>
      </c>
      <c r="S3" s="380" t="s">
        <v>88</v>
      </c>
      <c r="T3" s="856"/>
      <c r="U3" s="391"/>
      <c r="V3" s="391"/>
      <c r="W3" s="392"/>
      <c r="X3" s="857"/>
      <c r="Y3" s="857"/>
      <c r="Z3" s="379" t="s">
        <v>86</v>
      </c>
      <c r="AA3" s="379" t="s">
        <v>87</v>
      </c>
      <c r="AB3" s="379" t="s">
        <v>88</v>
      </c>
      <c r="AC3" s="395" t="s">
        <v>89</v>
      </c>
      <c r="AD3" s="396" t="s">
        <v>86</v>
      </c>
      <c r="AE3" s="397" t="s">
        <v>90</v>
      </c>
      <c r="AF3" s="398" t="s">
        <v>88</v>
      </c>
      <c r="AG3" s="418" t="s">
        <v>91</v>
      </c>
      <c r="AH3" s="419" t="s">
        <v>92</v>
      </c>
      <c r="AI3" s="418" t="s">
        <v>93</v>
      </c>
      <c r="AJ3" s="420" t="s">
        <v>94</v>
      </c>
    </row>
    <row r="4" spans="1:36" ht="12.95">
      <c r="A4" s="468">
        <v>45809</v>
      </c>
      <c r="B4" s="382" t="s">
        <v>95</v>
      </c>
      <c r="C4" s="452">
        <v>9094</v>
      </c>
      <c r="D4" s="452"/>
      <c r="E4" s="452"/>
      <c r="F4" s="452"/>
      <c r="G4" s="452"/>
      <c r="H4" s="452"/>
      <c r="I4" s="452"/>
      <c r="J4" s="452"/>
      <c r="K4" s="452"/>
      <c r="L4" s="469"/>
      <c r="M4" s="469"/>
      <c r="N4" s="452"/>
      <c r="O4" s="452"/>
      <c r="P4" s="452"/>
      <c r="Q4" s="452"/>
      <c r="R4" s="452"/>
      <c r="S4" s="452"/>
      <c r="T4" s="382">
        <v>1</v>
      </c>
      <c r="W4" s="485">
        <f t="shared" ref="W4:W9" si="0">H4+I4+J4+K4+L4+M4+N4+O4+P4+Q4+R4+S4+H10+I10+J10+K10+L10+M10+N10+O10+P10+Q10+R10+S10</f>
        <v>0</v>
      </c>
      <c r="X4" s="394">
        <f>E4+F4+G4+E10+F10+G10</f>
        <v>0</v>
      </c>
      <c r="Y4" s="399">
        <f>H4+I4+J4+K4+L4+M4+N4+O4+P4+Q4+R4+S4+H10+I10+J10+K10+L10+M10+N10+O10+P10+Q10+R10+S10</f>
        <v>0</v>
      </c>
      <c r="Z4" s="400">
        <f>H4+K4+N4+Q4</f>
        <v>0</v>
      </c>
      <c r="AA4" s="400">
        <f>I4+L4+O4+R4</f>
        <v>0</v>
      </c>
      <c r="AB4" s="400">
        <f>J4+M4+P4+S4</f>
        <v>0</v>
      </c>
      <c r="AC4" s="401" t="e">
        <f>C4-X4-Y4-#REF!</f>
        <v>#REF!</v>
      </c>
      <c r="AD4" s="402" t="e">
        <f t="shared" ref="AD4:AF7" si="1">Z4+Z10+Z16+Z22+Z28+Z34+Z40+Z46+Z52+Z58+Z64+Z70+Z76+Z82+Z88+Z94+Z100+Z106+Z112+Z118+Z124+Z130+Z136+Z142+Z148+Z154+Z160+Z166+Z172+Z178+Z184+Z190+Z196+Z202+Z208+Z214+Z220+Z226+Z232+Z238+Z244+Z250+Z256+Z262+Z268+Z274+Z280+Z286+Z292+Z298+Z304+Z310+Z316+Z322+Z328+Z334+Z340+Z346+Z352+Z358</f>
        <v>#REF!</v>
      </c>
      <c r="AE4" s="403" t="e">
        <f t="shared" si="1"/>
        <v>#REF!</v>
      </c>
      <c r="AF4" s="404" t="e">
        <f t="shared" si="1"/>
        <v>#REF!</v>
      </c>
      <c r="AG4" s="421" t="e">
        <f>SUM(AD4:AF4)</f>
        <v>#REF!</v>
      </c>
      <c r="AH4" s="422" t="s">
        <v>96</v>
      </c>
      <c r="AI4" s="423" t="e">
        <f>E438</f>
        <v>#REF!</v>
      </c>
      <c r="AJ4" s="424" t="e">
        <f t="shared" ref="AJ4:AJ10" si="2">AG4/AI4*100</f>
        <v>#REF!</v>
      </c>
    </row>
    <row r="5" spans="1:36" ht="12.95">
      <c r="A5" s="468"/>
      <c r="B5" s="382" t="s">
        <v>97</v>
      </c>
      <c r="C5" s="469">
        <v>0</v>
      </c>
      <c r="D5" s="452"/>
      <c r="E5" s="452"/>
      <c r="F5" s="452"/>
      <c r="G5" s="452"/>
      <c r="H5" s="452"/>
      <c r="I5" s="452"/>
      <c r="J5" s="452"/>
      <c r="K5" s="452"/>
      <c r="L5" s="469"/>
      <c r="M5" s="469"/>
      <c r="N5" s="452"/>
      <c r="O5" s="452"/>
      <c r="P5" s="452"/>
      <c r="Q5" s="452"/>
      <c r="R5" s="452"/>
      <c r="S5" s="452"/>
      <c r="T5" s="382">
        <v>1</v>
      </c>
      <c r="W5" s="485">
        <f t="shared" si="0"/>
        <v>0</v>
      </c>
      <c r="X5" s="394">
        <f>E5+F5+G5+E11+F11+G11</f>
        <v>0</v>
      </c>
      <c r="Y5" s="399">
        <f>H5+I5+J5+K5+L5+M5+N5+O5+P5+Q5+R5+S5+H11+I11+J11+K11+L11+M11+N11+O11+P11+Q11+R11+S11</f>
        <v>0</v>
      </c>
      <c r="Z5" s="400">
        <f t="shared" ref="Z5:AB27" si="3">H5+K5+N5+Q5</f>
        <v>0</v>
      </c>
      <c r="AA5" s="400">
        <f t="shared" si="3"/>
        <v>0</v>
      </c>
      <c r="AB5" s="400">
        <f t="shared" si="3"/>
        <v>0</v>
      </c>
      <c r="AC5" s="401"/>
      <c r="AD5" s="405" t="e">
        <f>Z5+Z11+Z17+Z23+Z29+Z35+Z41+Z47+Z53+Z59+Z65+Z71+Z77+Z83+Z89+Z95+Z101+Z107+Z113+Z119+Z125+Z131+Z137+Z143+Z149+Z155+Z161+Z167+Z173+Z179+Z185+Z191+Z197+Z204+Z209+Z215+Z221+Z227+Z233+Z239+Z245+Z251+Z257+Z263+Z269+Z275+Z281+Z287+Z293+Z299+Z305+Z311+Z317+Z323+Z329+Z335+Z341+Z347+Z353+Z359</f>
        <v>#REF!</v>
      </c>
      <c r="AE5" s="406" t="e">
        <f>AA5+AA11+AA17+AA23+AA29+AA35+AA41+AA47+AA53+AA59+AA65+AA71+AA77+AA83+AA89+AA95+AA101+AA107+AA113+AA119+AA125+AA131+AA137+AA143+AA149+AA155+AA161+AA167+AA173+AA179+AA185+AA191+AA197+AA204+AA209+AA215+AA221+AA227+AA233+AA239+AA245+AA251+AA257+AA263+AA269+AA275+AA281+AA287+AA293+AA299+AA305+AA311+AA317+AA323+AA329+AA335+AA341+AA347+AA353+AA359</f>
        <v>#REF!</v>
      </c>
      <c r="AF5" s="407" t="e">
        <f>AB5+AB11+AB17+AB23+AB29+AB35+AB41+AB47+AB53+AB59+AB65+AB71+AB77+AB83+AB89+AB95+AB101+AB107+AB113+AB119+AB125+AB131+AB137+AB143+AB149+AB155+AB161+AB167+AB173+AB179+AB185+AB191+AB197+AB204+AB209+AB215+AB221+AB227+AB233+AB239+AB245+AB251+AB257+AB263+AB269+AB275+AB281+AB287+AB293+AB299+AB305+AB311+AB317+AB323+AB329+AB335+AB341+AB347+AB353+AB359</f>
        <v>#REF!</v>
      </c>
      <c r="AG5" s="425" t="e">
        <f>SUM(AD5:AF5)</f>
        <v>#REF!</v>
      </c>
      <c r="AH5" s="426" t="s">
        <v>98</v>
      </c>
      <c r="AI5" s="427">
        <v>72700</v>
      </c>
      <c r="AJ5" s="428" t="e">
        <f t="shared" si="2"/>
        <v>#REF!</v>
      </c>
    </row>
    <row r="6" spans="1:36" ht="12.95">
      <c r="A6" s="468"/>
      <c r="B6" s="382" t="s">
        <v>99</v>
      </c>
      <c r="C6" s="452">
        <v>42175</v>
      </c>
      <c r="D6" s="452"/>
      <c r="E6" s="452"/>
      <c r="F6" s="452"/>
      <c r="G6" s="452"/>
      <c r="H6" s="452"/>
      <c r="I6" s="452"/>
      <c r="J6" s="452"/>
      <c r="K6" s="452"/>
      <c r="L6" s="469"/>
      <c r="M6" s="469"/>
      <c r="N6" s="452"/>
      <c r="O6" s="452"/>
      <c r="P6" s="452"/>
      <c r="Q6" s="452"/>
      <c r="R6" s="452"/>
      <c r="S6" s="452"/>
      <c r="T6" s="382">
        <v>1</v>
      </c>
      <c r="W6" s="485">
        <f t="shared" si="0"/>
        <v>0</v>
      </c>
      <c r="X6" s="394">
        <f>E6+F6+G6+E12+F12+G12</f>
        <v>0</v>
      </c>
      <c r="Y6" s="399">
        <f>H6+I6+J6+K6+L6+M6+N6+O6+P6+Q6+R6+S6+H12+I12+J12+K12+L12+M12+N12+O12+P12+Q12+R12+S12</f>
        <v>0</v>
      </c>
      <c r="Z6" s="400">
        <f t="shared" si="3"/>
        <v>0</v>
      </c>
      <c r="AA6" s="400">
        <f t="shared" si="3"/>
        <v>0</v>
      </c>
      <c r="AB6" s="400">
        <f t="shared" si="3"/>
        <v>0</v>
      </c>
      <c r="AD6" s="408" t="e">
        <f t="shared" si="1"/>
        <v>#REF!</v>
      </c>
      <c r="AE6" s="409" t="e">
        <f t="shared" si="1"/>
        <v>#REF!</v>
      </c>
      <c r="AF6" s="410" t="e">
        <f t="shared" si="1"/>
        <v>#REF!</v>
      </c>
      <c r="AG6" s="429" t="e">
        <f>SUM(AD6:AF6)</f>
        <v>#REF!</v>
      </c>
      <c r="AH6" s="430" t="s">
        <v>100</v>
      </c>
      <c r="AI6" s="431" t="e">
        <f>E440</f>
        <v>#REF!</v>
      </c>
      <c r="AJ6" s="432" t="e">
        <f t="shared" si="2"/>
        <v>#REF!</v>
      </c>
    </row>
    <row r="7" spans="1:36" ht="12.95">
      <c r="A7" s="468"/>
      <c r="B7" s="382" t="s">
        <v>101</v>
      </c>
      <c r="C7" s="452">
        <v>14067</v>
      </c>
      <c r="D7" s="452"/>
      <c r="E7" s="452"/>
      <c r="F7" s="452"/>
      <c r="G7" s="452"/>
      <c r="H7" s="452"/>
      <c r="I7" s="452"/>
      <c r="J7" s="452"/>
      <c r="K7" s="452"/>
      <c r="L7" s="469"/>
      <c r="M7" s="469"/>
      <c r="N7" s="452"/>
      <c r="O7" s="452"/>
      <c r="P7" s="452"/>
      <c r="Q7" s="452"/>
      <c r="R7" s="452"/>
      <c r="S7" s="452"/>
      <c r="T7" s="382">
        <v>1</v>
      </c>
      <c r="W7" s="485">
        <f t="shared" si="0"/>
        <v>0</v>
      </c>
      <c r="X7" s="394">
        <f>E7+F7+G7+E13+F13+G13</f>
        <v>0</v>
      </c>
      <c r="Y7" s="486">
        <f>H7+I7+J7+K7+L7+M7+N7+O7+P7+Q7+R7+S7+H13+I13+J13+K13+L13+M13+N13+O13+P13+Q13+R13+S13</f>
        <v>0</v>
      </c>
      <c r="Z7" s="400">
        <f t="shared" si="3"/>
        <v>0</v>
      </c>
      <c r="AA7" s="400">
        <f t="shared" si="3"/>
        <v>0</v>
      </c>
      <c r="AB7" s="400">
        <f t="shared" si="3"/>
        <v>0</v>
      </c>
      <c r="AD7" s="408" t="e">
        <f>Z7+Z13+Z19+Z25+Z31+Z37+Z43+Z49+Z55+Z61+Z67+Z73+Z79+Z85+Z91+Z97+Z104+Z109+Z115+Z121+Z127+Z133+Z139+Z145+Z151+Z157+Z163+Z169+Z175+Z181+Z187+Z193+Z199+Z205+Z211+Z217+Z223+Z229+Z235+Z241+Z247+Z253+Z259+Z265+Z271+Z277+Z283+Z289+Z295+Z301+Z307+Z313+Z319+Z325+Z331+Z337+Z343+Z349+Z355+Z361</f>
        <v>#REF!</v>
      </c>
      <c r="AE7" s="409" t="e">
        <f>AA7+AA13+AA19+AA25+AA31+AA37+AA43+AA49+AA55+AA61+AA67+AA73+AA79+AA85+AA91+AA97+AA104+AA109+AA115+AA121+AA127+AA133+AA139+AA145+AA151+AA157+AA163+AA169+AA175+AA181+AA187+AA193+AA199+AA205+AA211+AA217+AA223+AA229+AA235+AA241+AA247+AA253+AA259+AA265+AA271+AA277+AA283+AA289+AA295+AA301+AA307+AA313+AA319+AA325+AA331+AA337+AA343+AA349+AA355+AA361</f>
        <v>#REF!</v>
      </c>
      <c r="AF7" s="410" t="e">
        <f>AB7+AB13+AB19+AB25+AB31+AB37+AB43+AB49+AB55+AB61+AB67+AB73+AB79+AB85+AB91+AB97+AB104+AB109+AB115+AB121+AB127+AB133+AB139+AB145+AB151+AB157+AB163+AB169+AB175+AB181+AB187+AB193+AB199+AB205+AB211+AB217+AB223+AB229+AB235+AB241+AB247+AB253+AB259+AB265+AB271+AB277+AB283+AB289+AB295+AB301+AB307+AB313+AB319+AB325+AB331+AB337+AB343+AB349+AB355+AB361</f>
        <v>#REF!</v>
      </c>
      <c r="AG7" s="429" t="e">
        <f>SUM(AD7:AF7)</f>
        <v>#REF!</v>
      </c>
      <c r="AH7" s="430" t="s">
        <v>102</v>
      </c>
      <c r="AI7" s="431" t="e">
        <f>E441</f>
        <v>#REF!</v>
      </c>
      <c r="AJ7" s="432" t="e">
        <f t="shared" si="2"/>
        <v>#REF!</v>
      </c>
    </row>
    <row r="8" spans="1:36" ht="12.95">
      <c r="A8" s="468"/>
      <c r="B8" s="382" t="s">
        <v>103</v>
      </c>
      <c r="C8" s="452">
        <v>52887</v>
      </c>
      <c r="D8" s="452"/>
      <c r="E8" s="452"/>
      <c r="F8" s="452"/>
      <c r="G8" s="452"/>
      <c r="H8" s="452"/>
      <c r="I8" s="452"/>
      <c r="J8" s="452"/>
      <c r="K8" s="452"/>
      <c r="L8" s="469"/>
      <c r="M8" s="469"/>
      <c r="N8" s="452"/>
      <c r="O8" s="452"/>
      <c r="P8" s="452"/>
      <c r="Q8" s="452"/>
      <c r="R8" s="452"/>
      <c r="S8" s="452"/>
      <c r="T8" s="382">
        <v>1</v>
      </c>
      <c r="W8" s="485">
        <f t="shared" si="0"/>
        <v>0</v>
      </c>
      <c r="X8" s="394"/>
      <c r="Y8" s="486"/>
      <c r="Z8" s="400"/>
      <c r="AA8" s="400"/>
      <c r="AB8" s="400"/>
      <c r="AD8" s="411"/>
      <c r="AE8" s="412"/>
      <c r="AF8" s="413"/>
      <c r="AG8" s="433"/>
      <c r="AH8" s="434"/>
      <c r="AI8" s="435"/>
      <c r="AJ8" s="436"/>
    </row>
    <row r="9" spans="1:36" ht="13.7">
      <c r="A9" s="468"/>
      <c r="B9" s="382" t="s">
        <v>104</v>
      </c>
      <c r="C9" s="452">
        <v>83055</v>
      </c>
      <c r="D9" s="452"/>
      <c r="E9" s="452"/>
      <c r="F9" s="452"/>
      <c r="G9" s="452"/>
      <c r="H9" s="452"/>
      <c r="I9" s="452"/>
      <c r="J9" s="452"/>
      <c r="K9" s="452"/>
      <c r="L9" s="469"/>
      <c r="M9" s="469"/>
      <c r="N9" s="452"/>
      <c r="O9" s="452"/>
      <c r="P9" s="452"/>
      <c r="Q9" s="452"/>
      <c r="R9" s="452"/>
      <c r="S9" s="452"/>
      <c r="T9" s="382">
        <v>1</v>
      </c>
      <c r="W9" s="485">
        <f t="shared" si="0"/>
        <v>0</v>
      </c>
      <c r="X9" s="394">
        <f>E9+F9+G9+E15+F15+G15</f>
        <v>0</v>
      </c>
      <c r="Y9" s="399">
        <f>H9+I9+J9+K9+L9+M9+N9+O9+P9+Q9+R9+S9+H15+I15+J15+K15+L15+M15+N15+O15+P15+Q15+R15+S15</f>
        <v>0</v>
      </c>
      <c r="Z9" s="400">
        <f t="shared" si="3"/>
        <v>0</v>
      </c>
      <c r="AA9" s="400">
        <f t="shared" si="3"/>
        <v>0</v>
      </c>
      <c r="AB9" s="400">
        <f t="shared" si="3"/>
        <v>0</v>
      </c>
      <c r="AD9" s="411" t="e">
        <f>Z9+Z15+Z21+Z27+Z33+Z39+Z45+Z51+Z57+Z63+Z69+Z75+Z81+Z87+Z93+Z99+Z105+Z111+Z117+Z123+Z129+Z135+Z141+Z147+Z153+Z159+Z163+Z169+Z175+Z181+Z187+Z193+Z199+Z205+Z211+Z217+Z223+Z229+Z235+Z241+Z247+Z253+Z259+Z265+Z271+Z277+Z283+Z289+Z295+Z301+Z307+Z313+Z319+Z325+Z331+Z337+Z343+Z349+Z355+Z361</f>
        <v>#REF!</v>
      </c>
      <c r="AE9" s="412" t="e">
        <f>AA9+AA15+AA21+AA27+AA33+AA39+AA45+AA51+AA57+AA63+AA69+AA75+AA81+AA87+AA93+AA99+AA105+AA111+AA117+AA123+AA129+AA135+AA141+AA147+AA153+AA159+AA163+AA169+AA175+AA181+AA187+AA193+AA199+AA205+AA211+AA217+AA223+AA229+AA235+AA241+AA247+AA253+AA259+AA265+AA271+AA277+AA283+AA289+AA295+AA301+AA307+AA313+AA319+AA325+AA331+AA337+AA343+AA349+AA355+AA361</f>
        <v>#REF!</v>
      </c>
      <c r="AF9" s="413" t="e">
        <f>AB9+AB15+AB21+AB27+AB33+AB39+AB45+AB51+AB57+AB63+AB69+AB75+AB81+AB87+AB93+AB99+AB105+AB111+AB117+AB123+AB129+AB135+AB141+AB147+AB153+AB159+AB163+AB169+AB175+AB181+AB187+AB193+AB199+AB205+AB211+AB217+AB223+AB229+AB235+AB241+AB247+AB253+AB259+AB265+AB271+AB277+AB283+AB289+AB295+AB301+AB307+AB313+AB319+AB325+AB331+AB337+AB343+AB349+AB355+AB361</f>
        <v>#REF!</v>
      </c>
      <c r="AG9" s="433" t="e">
        <f>SUM(AD9:AF9)</f>
        <v>#REF!</v>
      </c>
      <c r="AH9" s="434" t="s">
        <v>105</v>
      </c>
      <c r="AI9" s="437" t="e">
        <f>E441</f>
        <v>#REF!</v>
      </c>
      <c r="AJ9" s="436" t="e">
        <f t="shared" si="2"/>
        <v>#REF!</v>
      </c>
    </row>
    <row r="10" spans="1:36" ht="13.7">
      <c r="A10" s="470"/>
      <c r="B10" s="386" t="s">
        <v>95</v>
      </c>
      <c r="C10" s="450"/>
      <c r="D10" s="450"/>
      <c r="E10" s="450"/>
      <c r="F10" s="450"/>
      <c r="G10" s="450"/>
      <c r="H10" s="450"/>
      <c r="I10" s="450"/>
      <c r="J10" s="450"/>
      <c r="K10" s="450"/>
      <c r="L10" s="483"/>
      <c r="M10" s="483"/>
      <c r="N10" s="450"/>
      <c r="O10" s="450"/>
      <c r="P10" s="450"/>
      <c r="Q10" s="450"/>
      <c r="R10" s="450"/>
      <c r="S10" s="450"/>
      <c r="T10" s="386">
        <v>2</v>
      </c>
      <c r="W10" s="485"/>
      <c r="X10" s="394"/>
      <c r="Y10" s="399"/>
      <c r="Z10" s="400">
        <f t="shared" si="3"/>
        <v>0</v>
      </c>
      <c r="AA10" s="400">
        <f t="shared" si="3"/>
        <v>0</v>
      </c>
      <c r="AB10" s="400">
        <f t="shared" si="3"/>
        <v>0</v>
      </c>
      <c r="AD10" s="414" t="e">
        <f>SUM(AD4:AD9)</f>
        <v>#REF!</v>
      </c>
      <c r="AE10" s="415" t="e">
        <f>SUM(AE4:AE9)</f>
        <v>#REF!</v>
      </c>
      <c r="AF10" s="416" t="e">
        <f>SUM(AF4:AF9)</f>
        <v>#REF!</v>
      </c>
      <c r="AG10" s="415" t="e">
        <f>SUM(AG4:AG9)</f>
        <v>#REF!</v>
      </c>
      <c r="AH10" s="416"/>
      <c r="AI10" s="438" t="e">
        <f>SUM(AI4:AI9)</f>
        <v>#REF!</v>
      </c>
      <c r="AJ10" s="439" t="e">
        <f t="shared" si="2"/>
        <v>#REF!</v>
      </c>
    </row>
    <row r="11" spans="1:36" ht="12.95">
      <c r="A11" s="470"/>
      <c r="B11" s="386" t="s">
        <v>97</v>
      </c>
      <c r="C11" s="450"/>
      <c r="D11" s="450"/>
      <c r="E11" s="450"/>
      <c r="F11" s="450"/>
      <c r="G11" s="450"/>
      <c r="H11" s="450"/>
      <c r="I11" s="450"/>
      <c r="J11" s="450"/>
      <c r="K11" s="450"/>
      <c r="L11" s="483"/>
      <c r="M11" s="483"/>
      <c r="N11" s="450"/>
      <c r="O11" s="450"/>
      <c r="P11" s="450"/>
      <c r="Q11" s="450"/>
      <c r="R11" s="450"/>
      <c r="S11" s="450"/>
      <c r="T11" s="386">
        <v>2</v>
      </c>
      <c r="W11" s="485"/>
      <c r="X11" s="394"/>
      <c r="Y11" s="399"/>
      <c r="Z11" s="400">
        <f t="shared" si="3"/>
        <v>0</v>
      </c>
      <c r="AA11" s="400">
        <f t="shared" si="3"/>
        <v>0</v>
      </c>
      <c r="AB11" s="400">
        <f t="shared" si="3"/>
        <v>0</v>
      </c>
    </row>
    <row r="12" spans="1:36" ht="12.95">
      <c r="A12" s="470"/>
      <c r="B12" s="386" t="s">
        <v>99</v>
      </c>
      <c r="C12" s="450"/>
      <c r="D12" s="450"/>
      <c r="E12" s="450"/>
      <c r="F12" s="450"/>
      <c r="G12" s="450"/>
      <c r="H12" s="450"/>
      <c r="I12" s="450"/>
      <c r="J12" s="450"/>
      <c r="K12" s="450"/>
      <c r="L12" s="483"/>
      <c r="M12" s="483"/>
      <c r="N12" s="450"/>
      <c r="O12" s="450"/>
      <c r="P12" s="450"/>
      <c r="Q12" s="450"/>
      <c r="R12" s="450"/>
      <c r="S12" s="450"/>
      <c r="T12" s="386">
        <v>2</v>
      </c>
      <c r="W12" s="485"/>
      <c r="X12" s="394"/>
      <c r="Y12" s="399"/>
      <c r="Z12" s="400">
        <f t="shared" si="3"/>
        <v>0</v>
      </c>
      <c r="AA12" s="400">
        <f t="shared" si="3"/>
        <v>0</v>
      </c>
      <c r="AB12" s="400">
        <f t="shared" si="3"/>
        <v>0</v>
      </c>
    </row>
    <row r="13" spans="1:36" ht="12.95">
      <c r="A13" s="470"/>
      <c r="B13" s="386" t="s">
        <v>101</v>
      </c>
      <c r="C13" s="450"/>
      <c r="D13" s="450"/>
      <c r="E13" s="450"/>
      <c r="F13" s="450"/>
      <c r="G13" s="450"/>
      <c r="H13" s="450"/>
      <c r="I13" s="450"/>
      <c r="J13" s="450"/>
      <c r="K13" s="450"/>
      <c r="L13" s="483"/>
      <c r="M13" s="483"/>
      <c r="N13" s="450"/>
      <c r="O13" s="450"/>
      <c r="P13" s="450"/>
      <c r="Q13" s="450"/>
      <c r="R13" s="450"/>
      <c r="S13" s="450"/>
      <c r="T13" s="386">
        <v>2</v>
      </c>
      <c r="W13" s="485"/>
      <c r="X13" s="394"/>
      <c r="Y13" s="399"/>
      <c r="Z13" s="400">
        <f t="shared" si="3"/>
        <v>0</v>
      </c>
      <c r="AA13" s="400">
        <f t="shared" si="3"/>
        <v>0</v>
      </c>
      <c r="AB13" s="400">
        <f t="shared" si="3"/>
        <v>0</v>
      </c>
    </row>
    <row r="14" spans="1:36" ht="12.95">
      <c r="A14" s="470"/>
      <c r="B14" s="386" t="s">
        <v>103</v>
      </c>
      <c r="C14" s="450"/>
      <c r="D14" s="450"/>
      <c r="E14" s="450"/>
      <c r="F14" s="450"/>
      <c r="G14" s="450"/>
      <c r="H14" s="450"/>
      <c r="I14" s="450"/>
      <c r="J14" s="450"/>
      <c r="K14" s="450"/>
      <c r="L14" s="483"/>
      <c r="M14" s="483"/>
      <c r="N14" s="450"/>
      <c r="O14" s="450"/>
      <c r="P14" s="450"/>
      <c r="Q14" s="450"/>
      <c r="R14" s="450"/>
      <c r="S14" s="450"/>
      <c r="T14" s="386">
        <v>2</v>
      </c>
      <c r="W14" s="485"/>
      <c r="X14" s="394"/>
      <c r="Y14" s="399"/>
      <c r="Z14" s="400"/>
      <c r="AA14" s="400"/>
      <c r="AB14" s="400"/>
    </row>
    <row r="15" spans="1:36" ht="12.95">
      <c r="A15" s="470"/>
      <c r="B15" s="386" t="s">
        <v>104</v>
      </c>
      <c r="C15" s="450"/>
      <c r="D15" s="450"/>
      <c r="E15" s="450"/>
      <c r="F15" s="450"/>
      <c r="G15" s="450"/>
      <c r="H15" s="450"/>
      <c r="I15" s="450"/>
      <c r="J15" s="450"/>
      <c r="K15" s="450"/>
      <c r="L15" s="483"/>
      <c r="M15" s="483"/>
      <c r="N15" s="450"/>
      <c r="O15" s="450"/>
      <c r="P15" s="450"/>
      <c r="Q15" s="450"/>
      <c r="R15" s="450"/>
      <c r="S15" s="450"/>
      <c r="T15" s="386">
        <v>2</v>
      </c>
      <c r="W15" s="485"/>
      <c r="X15" s="394"/>
      <c r="Y15" s="399"/>
      <c r="Z15" s="400">
        <f t="shared" si="3"/>
        <v>0</v>
      </c>
      <c r="AA15" s="400">
        <f t="shared" si="3"/>
        <v>0</v>
      </c>
      <c r="AB15" s="400">
        <f t="shared" si="3"/>
        <v>0</v>
      </c>
    </row>
    <row r="16" spans="1:36" ht="12.95">
      <c r="A16" s="468">
        <v>45810</v>
      </c>
      <c r="B16" s="382" t="s">
        <v>95</v>
      </c>
      <c r="C16" s="452">
        <v>9094</v>
      </c>
      <c r="D16" s="452"/>
      <c r="E16" s="452"/>
      <c r="F16" s="452"/>
      <c r="G16" s="452"/>
      <c r="H16" s="452"/>
      <c r="I16" s="452"/>
      <c r="J16" s="452"/>
      <c r="K16" s="452"/>
      <c r="L16" s="452"/>
      <c r="M16" s="452"/>
      <c r="N16" s="452"/>
      <c r="O16" s="452"/>
      <c r="P16" s="452"/>
      <c r="Q16" s="452"/>
      <c r="R16" s="452"/>
      <c r="S16" s="452"/>
      <c r="T16" s="382">
        <v>1</v>
      </c>
      <c r="W16" s="485">
        <f t="shared" ref="W16:W21" si="4">H16+I16+J16+K16+L16+M16+N16+O16+P16+Q16+R16+S16+H22+I22+J22+K22+L22+M22+N22+O22+P22+Q22+R22+S22</f>
        <v>0</v>
      </c>
      <c r="X16" s="394">
        <f>E16+F16+G16+E22+F22+G22</f>
        <v>0</v>
      </c>
      <c r="Y16" s="399">
        <f>H16+I16+J16+K16+L16+M16+N16+O16+P16+Q16+R16+S16+H22+I22+J22+K22+L22+M22+N22+O22+P22+Q22+R22+S22</f>
        <v>0</v>
      </c>
      <c r="Z16" s="400">
        <f t="shared" si="3"/>
        <v>0</v>
      </c>
      <c r="AA16" s="400">
        <f t="shared" si="3"/>
        <v>0</v>
      </c>
      <c r="AB16" s="400">
        <f t="shared" si="3"/>
        <v>0</v>
      </c>
      <c r="AC16" s="401">
        <f>C4-X16-Y16</f>
        <v>9094</v>
      </c>
      <c r="AD16" s="417"/>
      <c r="AE16" s="417"/>
      <c r="AF16" s="417"/>
      <c r="AG16" s="417"/>
      <c r="AH16" s="417"/>
    </row>
    <row r="17" spans="1:34" ht="12.95">
      <c r="A17" s="468"/>
      <c r="B17" s="382" t="s">
        <v>97</v>
      </c>
      <c r="C17" s="452">
        <v>0</v>
      </c>
      <c r="D17" s="452"/>
      <c r="E17" s="452"/>
      <c r="F17" s="452"/>
      <c r="G17" s="452"/>
      <c r="H17" s="452"/>
      <c r="I17" s="452"/>
      <c r="J17" s="452"/>
      <c r="K17" s="452"/>
      <c r="L17" s="452"/>
      <c r="M17" s="452"/>
      <c r="N17" s="452"/>
      <c r="O17" s="452"/>
      <c r="P17" s="452"/>
      <c r="Q17" s="452"/>
      <c r="R17" s="452"/>
      <c r="S17" s="452"/>
      <c r="T17" s="382">
        <v>1</v>
      </c>
      <c r="W17" s="485">
        <f t="shared" si="4"/>
        <v>0</v>
      </c>
      <c r="X17" s="394">
        <f>E17+F17+G17+E23+F23+G23</f>
        <v>0</v>
      </c>
      <c r="Y17" s="399">
        <f>H17+I17+J17+K17+L17+M17+N17+O17+P17+Q17+R17+S17+H23+I23+J23+K23+L23+M23+N23+O23+P23+Q23+R23+S23</f>
        <v>0</v>
      </c>
      <c r="Z17" s="400">
        <f t="shared" si="3"/>
        <v>0</v>
      </c>
      <c r="AA17" s="400">
        <f t="shared" si="3"/>
        <v>0</v>
      </c>
      <c r="AB17" s="400">
        <f t="shared" si="3"/>
        <v>0</v>
      </c>
      <c r="AD17" s="417"/>
      <c r="AE17" s="417"/>
      <c r="AF17" s="417"/>
      <c r="AG17" s="417"/>
      <c r="AH17" s="417"/>
    </row>
    <row r="18" spans="1:34" ht="12.95">
      <c r="A18" s="468"/>
      <c r="B18" s="382" t="s">
        <v>99</v>
      </c>
      <c r="C18" s="452">
        <v>42175</v>
      </c>
      <c r="D18" s="452"/>
      <c r="E18" s="452"/>
      <c r="F18" s="452"/>
      <c r="G18" s="452"/>
      <c r="H18" s="452"/>
      <c r="I18" s="452"/>
      <c r="J18" s="452"/>
      <c r="K18" s="452"/>
      <c r="L18" s="452"/>
      <c r="M18" s="452"/>
      <c r="N18" s="452"/>
      <c r="O18" s="452"/>
      <c r="P18" s="452"/>
      <c r="Q18" s="452"/>
      <c r="R18" s="452"/>
      <c r="S18" s="452"/>
      <c r="T18" s="382">
        <v>1</v>
      </c>
      <c r="W18" s="485">
        <f t="shared" si="4"/>
        <v>0</v>
      </c>
      <c r="X18" s="394">
        <f>E18+F18+G18+E24+F24+G24</f>
        <v>0</v>
      </c>
      <c r="Y18" s="399">
        <f>H18+I18+J18+K18+L18+M18+N18+O18+P18+Q18+R18+S18+H24+I24+J24+K24+L24+M24+N24+O24+P24+Q24+R24+S24</f>
        <v>0</v>
      </c>
      <c r="Z18" s="400">
        <f t="shared" si="3"/>
        <v>0</v>
      </c>
      <c r="AA18" s="400">
        <f t="shared" si="3"/>
        <v>0</v>
      </c>
      <c r="AB18" s="400">
        <f t="shared" si="3"/>
        <v>0</v>
      </c>
      <c r="AD18" s="417"/>
      <c r="AE18" s="417"/>
      <c r="AF18" s="417"/>
      <c r="AG18" s="417"/>
      <c r="AH18" s="417"/>
    </row>
    <row r="19" spans="1:34" ht="12.95">
      <c r="A19" s="468"/>
      <c r="B19" s="382" t="s">
        <v>101</v>
      </c>
      <c r="C19" s="452">
        <v>14067</v>
      </c>
      <c r="D19" s="452"/>
      <c r="E19" s="452"/>
      <c r="F19" s="452"/>
      <c r="G19" s="452"/>
      <c r="H19" s="452"/>
      <c r="I19" s="452"/>
      <c r="J19" s="452"/>
      <c r="K19" s="452"/>
      <c r="L19" s="452"/>
      <c r="M19" s="452"/>
      <c r="N19" s="452"/>
      <c r="O19" s="452"/>
      <c r="P19" s="452"/>
      <c r="Q19" s="452"/>
      <c r="R19" s="452"/>
      <c r="S19" s="452"/>
      <c r="T19" s="382">
        <v>1</v>
      </c>
      <c r="W19" s="485">
        <f t="shared" si="4"/>
        <v>0</v>
      </c>
      <c r="X19" s="394">
        <f>E19+F19+G19+E25+F25+G25</f>
        <v>0</v>
      </c>
      <c r="Y19" s="399">
        <f>H19+I19+J19+K19+L19+M19+N19+O19+P19+Q19+R19+S19+H25+I25+J25+K25+L25+M25+N25+O25+P25+Q25+R25+S25</f>
        <v>0</v>
      </c>
      <c r="Z19" s="400">
        <f t="shared" si="3"/>
        <v>0</v>
      </c>
      <c r="AA19" s="400">
        <f t="shared" si="3"/>
        <v>0</v>
      </c>
      <c r="AB19" s="400">
        <f t="shared" si="3"/>
        <v>0</v>
      </c>
      <c r="AD19" s="417"/>
      <c r="AE19" s="417"/>
      <c r="AF19" s="417"/>
      <c r="AG19" s="417"/>
      <c r="AH19" s="417"/>
    </row>
    <row r="20" spans="1:34" ht="12.95">
      <c r="A20" s="468"/>
      <c r="B20" s="382" t="s">
        <v>103</v>
      </c>
      <c r="C20" s="452">
        <v>52887</v>
      </c>
      <c r="D20" s="452"/>
      <c r="E20" s="452"/>
      <c r="F20" s="452"/>
      <c r="G20" s="452"/>
      <c r="H20" s="452"/>
      <c r="I20" s="452"/>
      <c r="J20" s="452"/>
      <c r="K20" s="452"/>
      <c r="L20" s="452"/>
      <c r="M20" s="452"/>
      <c r="N20" s="452"/>
      <c r="O20" s="452"/>
      <c r="P20" s="452"/>
      <c r="Q20" s="452"/>
      <c r="R20" s="452"/>
      <c r="S20" s="452"/>
      <c r="T20" s="382">
        <v>1</v>
      </c>
      <c r="W20" s="485">
        <f t="shared" si="4"/>
        <v>0</v>
      </c>
      <c r="X20" s="394"/>
      <c r="Y20" s="399"/>
      <c r="Z20" s="400"/>
      <c r="AA20" s="400"/>
      <c r="AB20" s="400"/>
      <c r="AD20" s="417"/>
      <c r="AE20" s="417"/>
      <c r="AF20" s="417"/>
      <c r="AG20" s="417"/>
      <c r="AH20" s="417"/>
    </row>
    <row r="21" spans="1:34" ht="12.95">
      <c r="A21" s="468"/>
      <c r="B21" s="382" t="s">
        <v>104</v>
      </c>
      <c r="C21" s="452">
        <v>83055</v>
      </c>
      <c r="D21" s="452"/>
      <c r="E21" s="452"/>
      <c r="F21" s="452"/>
      <c r="G21" s="452"/>
      <c r="H21" s="452"/>
      <c r="I21" s="452"/>
      <c r="J21" s="452"/>
      <c r="K21" s="452"/>
      <c r="L21" s="452"/>
      <c r="M21" s="452"/>
      <c r="N21" s="452"/>
      <c r="O21" s="452"/>
      <c r="P21" s="452"/>
      <c r="Q21" s="452"/>
      <c r="R21" s="452"/>
      <c r="S21" s="452"/>
      <c r="T21" s="382">
        <v>1</v>
      </c>
      <c r="W21" s="485">
        <f t="shared" si="4"/>
        <v>0</v>
      </c>
      <c r="X21" s="394">
        <f>E21+F21+G21+E27+F27+G27</f>
        <v>0</v>
      </c>
      <c r="Y21" s="399">
        <f>H21+I21+J21+K21+L21+M21+N21+O21+P21+Q21+R21+S21+H27+I27+J27+K27+L27+M27+N27+O27+P27+Q27+R27+S27</f>
        <v>0</v>
      </c>
      <c r="Z21" s="400">
        <f t="shared" si="3"/>
        <v>0</v>
      </c>
      <c r="AA21" s="400">
        <f t="shared" si="3"/>
        <v>0</v>
      </c>
      <c r="AB21" s="400">
        <f t="shared" si="3"/>
        <v>0</v>
      </c>
      <c r="AD21" s="417"/>
      <c r="AE21" s="417"/>
      <c r="AF21" s="417"/>
      <c r="AG21" s="417"/>
      <c r="AH21" s="417"/>
    </row>
    <row r="22" spans="1:34" ht="12.95">
      <c r="A22" s="470"/>
      <c r="B22" s="386" t="s">
        <v>95</v>
      </c>
      <c r="C22" s="450"/>
      <c r="D22" s="450"/>
      <c r="E22" s="450"/>
      <c r="F22" s="450"/>
      <c r="G22" s="450"/>
      <c r="H22" s="450"/>
      <c r="I22" s="450"/>
      <c r="J22" s="450"/>
      <c r="K22" s="450"/>
      <c r="L22" s="450"/>
      <c r="M22" s="450"/>
      <c r="N22" s="450"/>
      <c r="O22" s="450"/>
      <c r="P22" s="450"/>
      <c r="Q22" s="450"/>
      <c r="R22" s="450"/>
      <c r="S22" s="450"/>
      <c r="T22" s="386">
        <v>2</v>
      </c>
      <c r="W22" s="485"/>
      <c r="X22" s="394"/>
      <c r="Y22" s="399"/>
      <c r="Z22" s="400">
        <f t="shared" si="3"/>
        <v>0</v>
      </c>
      <c r="AA22" s="400">
        <f t="shared" si="3"/>
        <v>0</v>
      </c>
      <c r="AB22" s="400">
        <f t="shared" si="3"/>
        <v>0</v>
      </c>
      <c r="AD22" s="417"/>
      <c r="AE22" s="417"/>
      <c r="AF22" s="417"/>
      <c r="AG22" s="417"/>
      <c r="AH22" s="417"/>
    </row>
    <row r="23" spans="1:34" ht="12.95">
      <c r="A23" s="470"/>
      <c r="B23" s="386" t="s">
        <v>97</v>
      </c>
      <c r="C23" s="450"/>
      <c r="D23" s="450"/>
      <c r="E23" s="450"/>
      <c r="F23" s="450"/>
      <c r="G23" s="450"/>
      <c r="H23" s="450"/>
      <c r="I23" s="450"/>
      <c r="J23" s="450"/>
      <c r="K23" s="450"/>
      <c r="L23" s="450"/>
      <c r="M23" s="450"/>
      <c r="N23" s="450"/>
      <c r="O23" s="450"/>
      <c r="P23" s="450"/>
      <c r="Q23" s="450"/>
      <c r="R23" s="450"/>
      <c r="S23" s="450"/>
      <c r="T23" s="386">
        <v>2</v>
      </c>
      <c r="W23" s="485"/>
      <c r="X23" s="394"/>
      <c r="Y23" s="399"/>
      <c r="Z23" s="400">
        <f t="shared" si="3"/>
        <v>0</v>
      </c>
      <c r="AA23" s="400">
        <f t="shared" si="3"/>
        <v>0</v>
      </c>
      <c r="AB23" s="400">
        <f t="shared" si="3"/>
        <v>0</v>
      </c>
      <c r="AD23" s="417"/>
      <c r="AE23" s="417"/>
      <c r="AF23" s="417"/>
      <c r="AG23" s="417"/>
      <c r="AH23" s="417"/>
    </row>
    <row r="24" spans="1:34" ht="12.95">
      <c r="A24" s="470"/>
      <c r="B24" s="386" t="s">
        <v>99</v>
      </c>
      <c r="C24" s="450"/>
      <c r="D24" s="450"/>
      <c r="E24" s="450"/>
      <c r="F24" s="450"/>
      <c r="G24" s="450"/>
      <c r="H24" s="450"/>
      <c r="I24" s="450"/>
      <c r="J24" s="450"/>
      <c r="K24" s="450"/>
      <c r="L24" s="450"/>
      <c r="M24" s="450"/>
      <c r="N24" s="450"/>
      <c r="O24" s="450"/>
      <c r="P24" s="450"/>
      <c r="Q24" s="450"/>
      <c r="R24" s="450"/>
      <c r="S24" s="450"/>
      <c r="T24" s="386">
        <v>2</v>
      </c>
      <c r="W24" s="485"/>
      <c r="X24" s="394"/>
      <c r="Y24" s="399"/>
      <c r="Z24" s="400">
        <f t="shared" si="3"/>
        <v>0</v>
      </c>
      <c r="AA24" s="400">
        <f t="shared" si="3"/>
        <v>0</v>
      </c>
      <c r="AB24" s="400">
        <f t="shared" si="3"/>
        <v>0</v>
      </c>
      <c r="AD24" s="417"/>
      <c r="AE24" s="417"/>
      <c r="AF24" s="417"/>
      <c r="AG24" s="417"/>
      <c r="AH24" s="417"/>
    </row>
    <row r="25" spans="1:34" ht="12.95">
      <c r="A25" s="470"/>
      <c r="B25" s="386" t="s">
        <v>101</v>
      </c>
      <c r="C25" s="450"/>
      <c r="D25" s="450"/>
      <c r="E25" s="450"/>
      <c r="F25" s="450"/>
      <c r="G25" s="450"/>
      <c r="H25" s="450"/>
      <c r="I25" s="450"/>
      <c r="J25" s="450"/>
      <c r="K25" s="450"/>
      <c r="L25" s="450"/>
      <c r="M25" s="450"/>
      <c r="N25" s="450"/>
      <c r="O25" s="450"/>
      <c r="P25" s="450"/>
      <c r="Q25" s="450"/>
      <c r="R25" s="450"/>
      <c r="S25" s="450"/>
      <c r="T25" s="386">
        <v>2</v>
      </c>
      <c r="W25" s="485"/>
      <c r="X25" s="394"/>
      <c r="Y25" s="399"/>
      <c r="Z25" s="400">
        <f t="shared" si="3"/>
        <v>0</v>
      </c>
      <c r="AA25" s="400">
        <f t="shared" si="3"/>
        <v>0</v>
      </c>
      <c r="AB25" s="400">
        <f t="shared" si="3"/>
        <v>0</v>
      </c>
      <c r="AD25" s="417"/>
      <c r="AE25" s="417"/>
      <c r="AF25" s="417"/>
      <c r="AG25" s="417"/>
      <c r="AH25" s="417"/>
    </row>
    <row r="26" spans="1:34" ht="12.95">
      <c r="A26" s="470"/>
      <c r="B26" s="386" t="s">
        <v>103</v>
      </c>
      <c r="C26" s="450"/>
      <c r="D26" s="450"/>
      <c r="E26" s="450"/>
      <c r="F26" s="450"/>
      <c r="G26" s="450"/>
      <c r="H26" s="450"/>
      <c r="I26" s="450"/>
      <c r="J26" s="450"/>
      <c r="K26" s="450"/>
      <c r="L26" s="450"/>
      <c r="M26" s="450"/>
      <c r="N26" s="450"/>
      <c r="O26" s="450"/>
      <c r="P26" s="450"/>
      <c r="Q26" s="450"/>
      <c r="R26" s="450"/>
      <c r="S26" s="450"/>
      <c r="T26" s="386">
        <v>2</v>
      </c>
      <c r="W26" s="485"/>
      <c r="X26" s="394"/>
      <c r="Y26" s="399"/>
      <c r="Z26" s="400"/>
      <c r="AA26" s="400"/>
      <c r="AB26" s="400"/>
      <c r="AD26" s="417"/>
      <c r="AE26" s="417"/>
      <c r="AF26" s="417"/>
      <c r="AG26" s="417"/>
      <c r="AH26" s="417"/>
    </row>
    <row r="27" spans="1:34" ht="12.95">
      <c r="A27" s="470"/>
      <c r="B27" s="386" t="s">
        <v>106</v>
      </c>
      <c r="C27" s="450"/>
      <c r="D27" s="450"/>
      <c r="E27" s="450"/>
      <c r="F27" s="450"/>
      <c r="G27" s="450"/>
      <c r="H27" s="450"/>
      <c r="I27" s="450"/>
      <c r="J27" s="450"/>
      <c r="K27" s="450"/>
      <c r="L27" s="450"/>
      <c r="M27" s="450"/>
      <c r="N27" s="450"/>
      <c r="O27" s="450"/>
      <c r="P27" s="450"/>
      <c r="Q27" s="450"/>
      <c r="R27" s="450"/>
      <c r="S27" s="450"/>
      <c r="T27" s="386">
        <v>2</v>
      </c>
      <c r="W27" s="485"/>
      <c r="X27" s="394"/>
      <c r="Y27" s="399"/>
      <c r="Z27" s="400">
        <f t="shared" si="3"/>
        <v>0</v>
      </c>
      <c r="AA27" s="400">
        <f t="shared" si="3"/>
        <v>0</v>
      </c>
      <c r="AB27" s="400">
        <f t="shared" si="3"/>
        <v>0</v>
      </c>
    </row>
    <row r="28" spans="1:34" ht="12.95">
      <c r="A28" s="468">
        <v>45811</v>
      </c>
      <c r="B28" s="382" t="s">
        <v>95</v>
      </c>
      <c r="C28" s="471">
        <v>9094</v>
      </c>
      <c r="D28" s="452"/>
      <c r="E28" s="452"/>
      <c r="F28" s="452"/>
      <c r="G28" s="452"/>
      <c r="H28" s="452"/>
      <c r="I28" s="452"/>
      <c r="J28" s="452"/>
      <c r="K28" s="452"/>
      <c r="L28" s="452"/>
      <c r="M28" s="452"/>
      <c r="N28" s="452"/>
      <c r="O28" s="452"/>
      <c r="P28" s="452"/>
      <c r="Q28" s="452"/>
      <c r="R28" s="452"/>
      <c r="S28" s="452"/>
      <c r="T28" s="382">
        <v>1</v>
      </c>
      <c r="W28" s="485">
        <f t="shared" ref="W28:W33" si="5">H28+I28+J28+K28+L28+M28+N28+O28+P28+Q28+R28+S28+H34+I34+J34+K34+L34+M34+N34+O34+P34+Q34+R34+S34</f>
        <v>0</v>
      </c>
      <c r="X28" s="394">
        <f>E28+F28+G28+E34+F34+G34</f>
        <v>0</v>
      </c>
      <c r="Y28" s="399">
        <f>H28+I28+J28+K28+L28+M28+N28+O28+P28+Q28+R28+S28+H34+I34+J34+K34+L34+M34+N34+O34+P34+Q34+R34+S34</f>
        <v>0</v>
      </c>
      <c r="Z28" s="400">
        <f t="shared" ref="Z28:AB65" si="6">H28+K28+N28+Q28</f>
        <v>0</v>
      </c>
      <c r="AA28" s="400">
        <f t="shared" si="6"/>
        <v>0</v>
      </c>
      <c r="AB28" s="400">
        <f t="shared" si="6"/>
        <v>0</v>
      </c>
    </row>
    <row r="29" spans="1:34" ht="12.95">
      <c r="A29" s="468"/>
      <c r="B29" s="382" t="s">
        <v>97</v>
      </c>
      <c r="C29" s="471">
        <v>0</v>
      </c>
      <c r="D29" s="452"/>
      <c r="E29" s="452"/>
      <c r="F29" s="452"/>
      <c r="G29" s="452"/>
      <c r="H29" s="452"/>
      <c r="I29" s="452"/>
      <c r="J29" s="452"/>
      <c r="K29" s="452"/>
      <c r="L29" s="452"/>
      <c r="M29" s="452"/>
      <c r="N29" s="452"/>
      <c r="O29" s="452"/>
      <c r="P29" s="452"/>
      <c r="Q29" s="452"/>
      <c r="R29" s="452"/>
      <c r="S29" s="452"/>
      <c r="T29" s="382">
        <v>1</v>
      </c>
      <c r="W29" s="485">
        <f t="shared" si="5"/>
        <v>0</v>
      </c>
      <c r="X29" s="394">
        <f>E29+F29+G29+E35+F35+G35</f>
        <v>0</v>
      </c>
      <c r="Y29" s="399">
        <f>H29+I29+J29+K29+L29+M29+N29+O29+P29+Q29+R29+S29+H35+I35+J35+K35+L35+M35+N35+O35+P35+Q35+R35+S35</f>
        <v>0</v>
      </c>
      <c r="Z29" s="400">
        <f t="shared" si="6"/>
        <v>0</v>
      </c>
      <c r="AA29" s="400">
        <f t="shared" si="6"/>
        <v>0</v>
      </c>
      <c r="AB29" s="400">
        <f t="shared" si="6"/>
        <v>0</v>
      </c>
    </row>
    <row r="30" spans="1:34" ht="12.95">
      <c r="A30" s="468"/>
      <c r="B30" s="382" t="s">
        <v>99</v>
      </c>
      <c r="C30" s="471">
        <v>42175</v>
      </c>
      <c r="D30" s="452"/>
      <c r="E30" s="452"/>
      <c r="F30" s="452"/>
      <c r="G30" s="452"/>
      <c r="H30" s="452"/>
      <c r="I30" s="452"/>
      <c r="J30" s="452"/>
      <c r="K30" s="452"/>
      <c r="L30" s="452"/>
      <c r="M30" s="452"/>
      <c r="N30" s="452"/>
      <c r="O30" s="452"/>
      <c r="P30" s="452"/>
      <c r="Q30" s="452"/>
      <c r="R30" s="452"/>
      <c r="S30" s="452"/>
      <c r="T30" s="382">
        <v>1</v>
      </c>
      <c r="W30" s="485">
        <f t="shared" si="5"/>
        <v>0</v>
      </c>
      <c r="X30" s="394">
        <f>E30+F30+G30+E36+F36+G36</f>
        <v>0</v>
      </c>
      <c r="Y30" s="399">
        <f>H30+I30+J30+K30+L30+M30+N30+O30+P30+Q30+R30+S30+H36+I36+J36+K36+L36+M36+N36+O36+P36+Q36+R36+S36</f>
        <v>0</v>
      </c>
      <c r="Z30" s="400">
        <f t="shared" si="6"/>
        <v>0</v>
      </c>
      <c r="AA30" s="400">
        <f t="shared" si="6"/>
        <v>0</v>
      </c>
      <c r="AB30" s="400">
        <f t="shared" si="6"/>
        <v>0</v>
      </c>
    </row>
    <row r="31" spans="1:34" ht="12.95">
      <c r="A31" s="468"/>
      <c r="B31" s="382" t="s">
        <v>101</v>
      </c>
      <c r="C31" s="471">
        <v>14067</v>
      </c>
      <c r="D31" s="452"/>
      <c r="E31" s="452"/>
      <c r="F31" s="452"/>
      <c r="G31" s="452"/>
      <c r="H31" s="452"/>
      <c r="I31" s="452"/>
      <c r="J31" s="452"/>
      <c r="K31" s="452"/>
      <c r="L31" s="452"/>
      <c r="M31" s="452"/>
      <c r="N31" s="452"/>
      <c r="O31" s="452"/>
      <c r="P31" s="452"/>
      <c r="Q31" s="452"/>
      <c r="R31" s="452"/>
      <c r="S31" s="452"/>
      <c r="T31" s="382">
        <v>1</v>
      </c>
      <c r="W31" s="485">
        <f t="shared" si="5"/>
        <v>0</v>
      </c>
      <c r="X31" s="394">
        <f>E31+F31+G31+E37+F37+G37</f>
        <v>1000</v>
      </c>
      <c r="Y31" s="399">
        <f>H31+I31+J31+K31+L31+M31+N31+O31+P31+Q31+R31+S31+H37+I37+J37+K37+L37+M37+N37+O37+P37+Q37+R37+S37</f>
        <v>0</v>
      </c>
      <c r="Z31" s="400">
        <f t="shared" si="6"/>
        <v>0</v>
      </c>
      <c r="AA31" s="400">
        <f t="shared" si="6"/>
        <v>0</v>
      </c>
      <c r="AB31" s="400">
        <f t="shared" si="6"/>
        <v>0</v>
      </c>
    </row>
    <row r="32" spans="1:34" ht="12.95">
      <c r="A32" s="468"/>
      <c r="B32" s="382" t="s">
        <v>103</v>
      </c>
      <c r="C32" s="471">
        <v>52887</v>
      </c>
      <c r="D32" s="452"/>
      <c r="E32" s="452"/>
      <c r="F32" s="452"/>
      <c r="G32" s="452"/>
      <c r="H32" s="452"/>
      <c r="I32" s="452"/>
      <c r="J32" s="452"/>
      <c r="K32" s="452"/>
      <c r="L32" s="452"/>
      <c r="M32" s="452"/>
      <c r="N32" s="452"/>
      <c r="O32" s="452"/>
      <c r="P32" s="452"/>
      <c r="Q32" s="452"/>
      <c r="R32" s="452"/>
      <c r="S32" s="452"/>
      <c r="T32" s="382">
        <v>1</v>
      </c>
      <c r="W32" s="485">
        <f t="shared" si="5"/>
        <v>0</v>
      </c>
      <c r="X32" s="394"/>
      <c r="Y32" s="399"/>
      <c r="Z32" s="400"/>
      <c r="AA32" s="400"/>
      <c r="AB32" s="400"/>
    </row>
    <row r="33" spans="1:28" ht="12.95">
      <c r="A33" s="468"/>
      <c r="B33" s="382" t="s">
        <v>104</v>
      </c>
      <c r="C33" s="471">
        <v>83055</v>
      </c>
      <c r="D33" s="472"/>
      <c r="E33" s="452"/>
      <c r="F33" s="452"/>
      <c r="G33" s="452"/>
      <c r="H33" s="452"/>
      <c r="I33" s="452"/>
      <c r="J33" s="452"/>
      <c r="K33" s="452"/>
      <c r="L33" s="452"/>
      <c r="M33" s="452"/>
      <c r="N33" s="452"/>
      <c r="O33" s="452"/>
      <c r="P33" s="452"/>
      <c r="Q33" s="452"/>
      <c r="R33" s="452"/>
      <c r="S33" s="452"/>
      <c r="T33" s="382">
        <v>1</v>
      </c>
      <c r="W33" s="485">
        <f t="shared" si="5"/>
        <v>15</v>
      </c>
      <c r="X33" s="394">
        <f>E33+F33+G33+E39+F39+G39</f>
        <v>12100</v>
      </c>
      <c r="Y33" s="399">
        <f>H33+I33+J33+K33+L33+M33+N33+O33+P33+Q33+R33+S33+H39+I39+J39+K39+L39+M39+N39+O39+P39+Q39+R39+S39</f>
        <v>15</v>
      </c>
      <c r="Z33" s="400">
        <f t="shared" si="6"/>
        <v>0</v>
      </c>
      <c r="AA33" s="400">
        <f t="shared" si="6"/>
        <v>0</v>
      </c>
      <c r="AB33" s="400">
        <f t="shared" si="6"/>
        <v>0</v>
      </c>
    </row>
    <row r="34" spans="1:28" ht="12.95">
      <c r="A34" s="470"/>
      <c r="B34" s="386" t="s">
        <v>95</v>
      </c>
      <c r="C34" s="450"/>
      <c r="D34" s="450"/>
      <c r="E34" s="450"/>
      <c r="F34" s="450"/>
      <c r="G34" s="450"/>
      <c r="H34" s="450"/>
      <c r="I34" s="450"/>
      <c r="J34" s="450"/>
      <c r="K34" s="450"/>
      <c r="L34" s="450"/>
      <c r="M34" s="450"/>
      <c r="N34" s="450"/>
      <c r="O34" s="450"/>
      <c r="P34" s="450"/>
      <c r="Q34" s="450"/>
      <c r="R34" s="450"/>
      <c r="S34" s="450"/>
      <c r="T34" s="386">
        <v>2</v>
      </c>
      <c r="W34" s="485"/>
      <c r="X34" s="394"/>
      <c r="Y34" s="399"/>
      <c r="Z34" s="400">
        <f t="shared" si="6"/>
        <v>0</v>
      </c>
      <c r="AA34" s="400">
        <f t="shared" si="6"/>
        <v>0</v>
      </c>
      <c r="AB34" s="400">
        <f t="shared" si="6"/>
        <v>0</v>
      </c>
    </row>
    <row r="35" spans="1:28" ht="12.95">
      <c r="A35" s="470"/>
      <c r="B35" s="386" t="s">
        <v>97</v>
      </c>
      <c r="C35" s="450"/>
      <c r="D35" s="450"/>
      <c r="E35" s="450"/>
      <c r="F35" s="450"/>
      <c r="G35" s="450"/>
      <c r="H35" s="450"/>
      <c r="I35" s="450"/>
      <c r="J35" s="450"/>
      <c r="K35" s="450"/>
      <c r="L35" s="450"/>
      <c r="M35" s="450"/>
      <c r="N35" s="450"/>
      <c r="O35" s="450"/>
      <c r="P35" s="450"/>
      <c r="Q35" s="450"/>
      <c r="R35" s="450"/>
      <c r="S35" s="450"/>
      <c r="T35" s="386">
        <v>2</v>
      </c>
      <c r="W35" s="485"/>
      <c r="X35" s="394"/>
      <c r="Y35" s="399"/>
      <c r="Z35" s="400">
        <f t="shared" si="6"/>
        <v>0</v>
      </c>
      <c r="AA35" s="400">
        <f t="shared" si="6"/>
        <v>0</v>
      </c>
      <c r="AB35" s="400">
        <f t="shared" si="6"/>
        <v>0</v>
      </c>
    </row>
    <row r="36" spans="1:28" ht="12.95">
      <c r="A36" s="470"/>
      <c r="B36" s="386" t="s">
        <v>99</v>
      </c>
      <c r="C36" s="450"/>
      <c r="D36" s="450"/>
      <c r="E36" s="450"/>
      <c r="F36" s="450"/>
      <c r="G36" s="450"/>
      <c r="H36" s="450"/>
      <c r="I36" s="450"/>
      <c r="J36" s="450"/>
      <c r="K36" s="450"/>
      <c r="L36" s="450"/>
      <c r="M36" s="450"/>
      <c r="N36" s="450"/>
      <c r="O36" s="450"/>
      <c r="P36" s="450"/>
      <c r="Q36" s="450"/>
      <c r="R36" s="450"/>
      <c r="S36" s="450"/>
      <c r="T36" s="386">
        <v>2</v>
      </c>
      <c r="W36" s="485"/>
      <c r="X36" s="394"/>
      <c r="Y36" s="399"/>
      <c r="Z36" s="400">
        <f t="shared" si="6"/>
        <v>0</v>
      </c>
      <c r="AA36" s="400">
        <f t="shared" si="6"/>
        <v>0</v>
      </c>
      <c r="AB36" s="400">
        <f t="shared" si="6"/>
        <v>0</v>
      </c>
    </row>
    <row r="37" spans="1:28" ht="12.95">
      <c r="A37" s="470"/>
      <c r="B37" s="386" t="s">
        <v>101</v>
      </c>
      <c r="C37" s="450"/>
      <c r="D37" s="450"/>
      <c r="E37" s="450">
        <v>1000</v>
      </c>
      <c r="F37" s="450"/>
      <c r="G37" s="450"/>
      <c r="H37" s="450">
        <v>0</v>
      </c>
      <c r="I37" s="450">
        <v>0</v>
      </c>
      <c r="J37" s="450">
        <v>0</v>
      </c>
      <c r="K37" s="450">
        <v>0</v>
      </c>
      <c r="L37" s="450">
        <v>0</v>
      </c>
      <c r="M37" s="450">
        <v>0</v>
      </c>
      <c r="N37" s="450">
        <v>0</v>
      </c>
      <c r="O37" s="450">
        <v>0</v>
      </c>
      <c r="P37" s="450">
        <v>0</v>
      </c>
      <c r="Q37" s="450">
        <v>0</v>
      </c>
      <c r="R37" s="450">
        <v>0</v>
      </c>
      <c r="S37" s="450">
        <v>0</v>
      </c>
      <c r="T37" s="386">
        <v>2</v>
      </c>
      <c r="W37" s="485"/>
      <c r="X37" s="394"/>
      <c r="Y37" s="399"/>
      <c r="Z37" s="400">
        <f t="shared" si="6"/>
        <v>0</v>
      </c>
      <c r="AA37" s="400">
        <f t="shared" si="6"/>
        <v>0</v>
      </c>
      <c r="AB37" s="400">
        <f t="shared" si="6"/>
        <v>0</v>
      </c>
    </row>
    <row r="38" spans="1:28" ht="12.95">
      <c r="A38" s="470"/>
      <c r="B38" s="386" t="s">
        <v>103</v>
      </c>
      <c r="C38" s="450"/>
      <c r="D38" s="450"/>
      <c r="E38" s="450"/>
      <c r="F38" s="450"/>
      <c r="G38" s="450"/>
      <c r="H38" s="450"/>
      <c r="I38" s="450"/>
      <c r="J38" s="450"/>
      <c r="K38" s="450"/>
      <c r="L38" s="450"/>
      <c r="M38" s="450"/>
      <c r="N38" s="450"/>
      <c r="O38" s="450"/>
      <c r="P38" s="450"/>
      <c r="Q38" s="450"/>
      <c r="R38" s="450"/>
      <c r="S38" s="450"/>
      <c r="T38" s="386">
        <v>2</v>
      </c>
      <c r="W38" s="485"/>
      <c r="X38" s="394"/>
      <c r="Y38" s="399"/>
      <c r="Z38" s="400"/>
      <c r="AA38" s="400"/>
      <c r="AB38" s="400"/>
    </row>
    <row r="39" spans="1:28" ht="12.95">
      <c r="A39" s="470"/>
      <c r="B39" s="386" t="s">
        <v>104</v>
      </c>
      <c r="C39" s="450"/>
      <c r="D39" s="450"/>
      <c r="E39" s="450">
        <v>12100</v>
      </c>
      <c r="F39" s="450"/>
      <c r="G39" s="450"/>
      <c r="H39" s="450">
        <v>1.4999999999999999E-2</v>
      </c>
      <c r="I39" s="450">
        <v>0.15</v>
      </c>
      <c r="J39" s="450">
        <v>5.79</v>
      </c>
      <c r="K39" s="450">
        <v>1.4999999999999999E-2</v>
      </c>
      <c r="L39" s="450">
        <v>0.15</v>
      </c>
      <c r="M39" s="450">
        <v>7.2</v>
      </c>
      <c r="N39" s="450">
        <v>1.4999999999999999E-2</v>
      </c>
      <c r="O39" s="450">
        <v>0.15</v>
      </c>
      <c r="P39" s="450">
        <v>1.5</v>
      </c>
      <c r="Q39" s="450">
        <v>0</v>
      </c>
      <c r="R39" s="450">
        <v>0</v>
      </c>
      <c r="S39" s="450">
        <v>1.4999999999999999E-2</v>
      </c>
      <c r="T39" s="386">
        <v>2</v>
      </c>
      <c r="W39" s="485"/>
      <c r="X39" s="394"/>
      <c r="Y39" s="399"/>
      <c r="Z39" s="400">
        <f t="shared" si="6"/>
        <v>4.4999999999999998E-2</v>
      </c>
      <c r="AA39" s="400">
        <f t="shared" si="6"/>
        <v>0.45</v>
      </c>
      <c r="AB39" s="400">
        <f t="shared" si="6"/>
        <v>14.505000000000001</v>
      </c>
    </row>
    <row r="40" spans="1:28" ht="12.95">
      <c r="A40" s="468">
        <v>45812</v>
      </c>
      <c r="B40" s="382" t="s">
        <v>95</v>
      </c>
      <c r="C40" s="471">
        <v>9094</v>
      </c>
      <c r="D40" s="452"/>
      <c r="E40" s="452"/>
      <c r="F40" s="452"/>
      <c r="G40" s="452"/>
      <c r="H40" s="452"/>
      <c r="I40" s="452"/>
      <c r="J40" s="452"/>
      <c r="K40" s="452"/>
      <c r="L40" s="452"/>
      <c r="M40" s="452"/>
      <c r="N40" s="452"/>
      <c r="O40" s="452"/>
      <c r="P40" s="452"/>
      <c r="Q40" s="452"/>
      <c r="R40" s="452"/>
      <c r="S40" s="452"/>
      <c r="T40" s="382">
        <v>1</v>
      </c>
      <c r="W40" s="485">
        <f t="shared" ref="W40:W45" si="7">H40+I40+J40+K40+L40+M40+N40+O40+P40+Q40+R40+S40+H46+I46+J46+K46+L46+M46+N46+O46+P46+Q46+R46+S46</f>
        <v>0</v>
      </c>
      <c r="X40" s="394">
        <f>E40+F40+G40+E46+F46+G46</f>
        <v>0</v>
      </c>
      <c r="Y40" s="399">
        <f>H40+I40+J40+K40+L40+M40+N40+O40+P40+Q40+R40+S40+H46+I46+J46+K46+L46+M46+N46+O46+P46+Q46+R46+S46</f>
        <v>0</v>
      </c>
      <c r="Z40" s="400">
        <f t="shared" si="6"/>
        <v>0</v>
      </c>
      <c r="AA40" s="400">
        <f t="shared" si="6"/>
        <v>0</v>
      </c>
      <c r="AB40" s="400">
        <f t="shared" si="6"/>
        <v>0</v>
      </c>
    </row>
    <row r="41" spans="1:28" ht="12.95">
      <c r="A41" s="468"/>
      <c r="B41" s="382" t="s">
        <v>97</v>
      </c>
      <c r="C41" s="471">
        <v>0</v>
      </c>
      <c r="D41" s="452"/>
      <c r="E41" s="452"/>
      <c r="F41" s="452"/>
      <c r="G41" s="452"/>
      <c r="H41" s="452"/>
      <c r="I41" s="452"/>
      <c r="J41" s="452"/>
      <c r="K41" s="452"/>
      <c r="L41" s="452"/>
      <c r="M41" s="452"/>
      <c r="N41" s="452"/>
      <c r="O41" s="452"/>
      <c r="P41" s="452"/>
      <c r="Q41" s="452"/>
      <c r="R41" s="452"/>
      <c r="S41" s="452"/>
      <c r="T41" s="382">
        <v>1</v>
      </c>
      <c r="W41" s="485">
        <f t="shared" si="7"/>
        <v>0</v>
      </c>
      <c r="X41" s="394">
        <f>E41+F41+G41+E47+F47+G47</f>
        <v>0</v>
      </c>
      <c r="Y41" s="399">
        <f>H41+I41+J41+K41+L41+M41+N41+O41+P41+Q41+R41+S41+H47+I47+J47+K47+L47+M47+N47+O47+P47+Q47+R47+S47</f>
        <v>0</v>
      </c>
      <c r="Z41" s="400">
        <f t="shared" si="6"/>
        <v>0</v>
      </c>
      <c r="AA41" s="400">
        <f t="shared" si="6"/>
        <v>0</v>
      </c>
      <c r="AB41" s="400">
        <f t="shared" si="6"/>
        <v>0</v>
      </c>
    </row>
    <row r="42" spans="1:28" ht="12.95">
      <c r="A42" s="468"/>
      <c r="B42" s="382" t="s">
        <v>99</v>
      </c>
      <c r="C42" s="471">
        <v>42175</v>
      </c>
      <c r="D42" s="452"/>
      <c r="E42" s="452"/>
      <c r="F42" s="452"/>
      <c r="G42" s="452"/>
      <c r="H42" s="452"/>
      <c r="I42" s="452"/>
      <c r="J42" s="452"/>
      <c r="K42" s="452"/>
      <c r="L42" s="452"/>
      <c r="M42" s="452"/>
      <c r="N42" s="452"/>
      <c r="O42" s="452"/>
      <c r="P42" s="452"/>
      <c r="Q42" s="452"/>
      <c r="R42" s="452"/>
      <c r="S42" s="452"/>
      <c r="T42" s="382">
        <v>1</v>
      </c>
      <c r="W42" s="485">
        <f t="shared" si="7"/>
        <v>0</v>
      </c>
      <c r="X42" s="394">
        <f>E42+F42+G42+E48+F48+G48</f>
        <v>0</v>
      </c>
      <c r="Y42" s="399">
        <f>H42+I42+J42+K42+L42+M42+N42+O42+P42+Q42+R42+S42+H48+I48+J48+K48+L48+M48+N48+O48+P48+Q48+R48+S48</f>
        <v>0</v>
      </c>
      <c r="Z42" s="400">
        <f t="shared" si="6"/>
        <v>0</v>
      </c>
      <c r="AA42" s="400">
        <f t="shared" si="6"/>
        <v>0</v>
      </c>
      <c r="AB42" s="400">
        <f t="shared" si="6"/>
        <v>0</v>
      </c>
    </row>
    <row r="43" spans="1:28" ht="12.95">
      <c r="A43" s="468"/>
      <c r="B43" s="382" t="s">
        <v>101</v>
      </c>
      <c r="C43" s="471">
        <v>13067</v>
      </c>
      <c r="D43" s="452">
        <v>12500</v>
      </c>
      <c r="E43" s="452"/>
      <c r="F43" s="452"/>
      <c r="G43" s="452"/>
      <c r="H43" s="452"/>
      <c r="I43" s="452"/>
      <c r="J43" s="452"/>
      <c r="K43" s="452"/>
      <c r="L43" s="452"/>
      <c r="M43" s="452"/>
      <c r="N43" s="452"/>
      <c r="O43" s="452"/>
      <c r="P43" s="452"/>
      <c r="Q43" s="452"/>
      <c r="R43" s="452"/>
      <c r="S43" s="452"/>
      <c r="T43" s="382">
        <v>1</v>
      </c>
      <c r="W43" s="485">
        <f t="shared" si="7"/>
        <v>14.013999999999999</v>
      </c>
      <c r="X43" s="394">
        <f>E43+F43+G43+E49+F49+G49</f>
        <v>4500</v>
      </c>
      <c r="Y43" s="399">
        <f>H43+I43+J43+K43+L43+M43+N43+O43+P43+Q43+R43+S43+H49+I49+J49+K49+L49+M49+N49+O49+P49+Q49+R49+S49</f>
        <v>14.013999999999999</v>
      </c>
      <c r="Z43" s="400">
        <f t="shared" si="6"/>
        <v>0</v>
      </c>
      <c r="AA43" s="400">
        <f t="shared" si="6"/>
        <v>0</v>
      </c>
      <c r="AB43" s="400">
        <f t="shared" si="6"/>
        <v>0</v>
      </c>
    </row>
    <row r="44" spans="1:28" ht="12.95">
      <c r="A44" s="468"/>
      <c r="B44" s="382" t="s">
        <v>103</v>
      </c>
      <c r="C44" s="471">
        <v>52887</v>
      </c>
      <c r="D44" s="452"/>
      <c r="E44" s="452"/>
      <c r="F44" s="452"/>
      <c r="G44" s="452"/>
      <c r="H44" s="452"/>
      <c r="I44" s="452"/>
      <c r="J44" s="452"/>
      <c r="K44" s="452"/>
      <c r="L44" s="452"/>
      <c r="M44" s="452"/>
      <c r="N44" s="452"/>
      <c r="O44" s="452"/>
      <c r="P44" s="452"/>
      <c r="Q44" s="452"/>
      <c r="R44" s="452"/>
      <c r="S44" s="452"/>
      <c r="T44" s="382">
        <v>1</v>
      </c>
      <c r="W44" s="485">
        <f t="shared" si="7"/>
        <v>0</v>
      </c>
      <c r="X44" s="394"/>
      <c r="Y44" s="399"/>
      <c r="Z44" s="400"/>
      <c r="AA44" s="400"/>
      <c r="AB44" s="400"/>
    </row>
    <row r="45" spans="1:28" ht="12.95">
      <c r="A45" s="468"/>
      <c r="B45" s="382" t="s">
        <v>104</v>
      </c>
      <c r="C45" s="471">
        <v>70927</v>
      </c>
      <c r="D45" s="452">
        <v>32500</v>
      </c>
      <c r="E45" s="452"/>
      <c r="F45" s="452"/>
      <c r="G45" s="452"/>
      <c r="H45" s="452"/>
      <c r="I45" s="452"/>
      <c r="J45" s="452"/>
      <c r="K45" s="452"/>
      <c r="L45" s="452"/>
      <c r="M45" s="452"/>
      <c r="N45" s="452"/>
      <c r="O45" s="452"/>
      <c r="P45" s="452"/>
      <c r="Q45" s="452"/>
      <c r="R45" s="452"/>
      <c r="S45" s="452"/>
      <c r="T45" s="382">
        <v>1</v>
      </c>
      <c r="W45" s="485">
        <f t="shared" si="7"/>
        <v>15</v>
      </c>
      <c r="X45" s="394">
        <f>E45+F45+G45+E51+F51+G51</f>
        <v>8796</v>
      </c>
      <c r="Y45" s="399">
        <f>H45+I45+J45+K45+L45+M45+N45+O45+P45+Q45+R45+S45+H51+I51+J51+K51+L51+M51+N51+O51+P51+Q51+R51+S51</f>
        <v>15</v>
      </c>
      <c r="Z45" s="400">
        <f t="shared" si="6"/>
        <v>0</v>
      </c>
      <c r="AA45" s="400">
        <f t="shared" si="6"/>
        <v>0</v>
      </c>
      <c r="AB45" s="400">
        <f t="shared" si="6"/>
        <v>0</v>
      </c>
    </row>
    <row r="46" spans="1:28" ht="12.95">
      <c r="A46" s="470"/>
      <c r="B46" s="386" t="s">
        <v>95</v>
      </c>
      <c r="C46" s="450"/>
      <c r="D46" s="450"/>
      <c r="E46" s="450"/>
      <c r="F46" s="450"/>
      <c r="G46" s="450"/>
      <c r="H46" s="450"/>
      <c r="I46" s="450"/>
      <c r="J46" s="450"/>
      <c r="K46" s="450"/>
      <c r="L46" s="450"/>
      <c r="M46" s="450"/>
      <c r="N46" s="450"/>
      <c r="O46" s="450"/>
      <c r="P46" s="450"/>
      <c r="Q46" s="450"/>
      <c r="R46" s="450"/>
      <c r="S46" s="450"/>
      <c r="T46" s="386">
        <v>2</v>
      </c>
      <c r="W46" s="485"/>
      <c r="X46" s="394"/>
      <c r="Y46" s="399"/>
      <c r="Z46" s="400">
        <f t="shared" si="6"/>
        <v>0</v>
      </c>
      <c r="AA46" s="400">
        <f t="shared" si="6"/>
        <v>0</v>
      </c>
      <c r="AB46" s="400">
        <f t="shared" si="6"/>
        <v>0</v>
      </c>
    </row>
    <row r="47" spans="1:28" ht="12.95">
      <c r="A47" s="470"/>
      <c r="B47" s="386" t="s">
        <v>97</v>
      </c>
      <c r="C47" s="450"/>
      <c r="D47" s="450"/>
      <c r="E47" s="450"/>
      <c r="F47" s="450"/>
      <c r="G47" s="450"/>
      <c r="H47" s="450"/>
      <c r="I47" s="450"/>
      <c r="J47" s="450"/>
      <c r="K47" s="450"/>
      <c r="L47" s="450"/>
      <c r="M47" s="450"/>
      <c r="N47" s="450"/>
      <c r="O47" s="450"/>
      <c r="P47" s="450"/>
      <c r="Q47" s="450"/>
      <c r="R47" s="450"/>
      <c r="S47" s="450"/>
      <c r="T47" s="386">
        <v>2</v>
      </c>
      <c r="W47" s="485"/>
      <c r="X47" s="394"/>
      <c r="Y47" s="399"/>
      <c r="Z47" s="400">
        <f t="shared" si="6"/>
        <v>0</v>
      </c>
      <c r="AA47" s="400">
        <f t="shared" si="6"/>
        <v>0</v>
      </c>
      <c r="AB47" s="400">
        <f t="shared" si="6"/>
        <v>0</v>
      </c>
    </row>
    <row r="48" spans="1:28" ht="12.95">
      <c r="A48" s="470"/>
      <c r="B48" s="386" t="s">
        <v>99</v>
      </c>
      <c r="C48" s="450"/>
      <c r="D48" s="450"/>
      <c r="E48" s="450"/>
      <c r="F48" s="450"/>
      <c r="G48" s="450"/>
      <c r="H48" s="450"/>
      <c r="I48" s="450"/>
      <c r="J48" s="450"/>
      <c r="K48" s="450"/>
      <c r="L48" s="450"/>
      <c r="M48" s="450"/>
      <c r="N48" s="450"/>
      <c r="O48" s="450"/>
      <c r="P48" s="450"/>
      <c r="Q48" s="450"/>
      <c r="R48" s="450"/>
      <c r="S48" s="450"/>
      <c r="T48" s="386">
        <v>2</v>
      </c>
      <c r="W48" s="485"/>
      <c r="X48" s="394"/>
      <c r="Y48" s="399"/>
      <c r="Z48" s="400">
        <f t="shared" si="6"/>
        <v>0</v>
      </c>
      <c r="AA48" s="400">
        <f t="shared" si="6"/>
        <v>0</v>
      </c>
      <c r="AB48" s="400">
        <f t="shared" si="6"/>
        <v>0</v>
      </c>
    </row>
    <row r="49" spans="1:36" ht="12.95">
      <c r="A49" s="470"/>
      <c r="B49" s="386" t="s">
        <v>101</v>
      </c>
      <c r="C49" s="450"/>
      <c r="D49" s="450"/>
      <c r="E49" s="450">
        <v>4500</v>
      </c>
      <c r="F49" s="450"/>
      <c r="G49" s="450"/>
      <c r="H49" s="450">
        <v>1.4E-2</v>
      </c>
      <c r="I49" s="450">
        <v>0</v>
      </c>
      <c r="J49" s="450">
        <v>2.1</v>
      </c>
      <c r="K49" s="450">
        <v>0</v>
      </c>
      <c r="L49" s="450">
        <v>0</v>
      </c>
      <c r="M49" s="450">
        <v>9.6460000000000008</v>
      </c>
      <c r="N49" s="450">
        <v>0</v>
      </c>
      <c r="O49" s="450">
        <v>0</v>
      </c>
      <c r="P49" s="450">
        <v>2.2400000000000002</v>
      </c>
      <c r="Q49" s="450">
        <v>0</v>
      </c>
      <c r="R49" s="450">
        <v>0</v>
      </c>
      <c r="S49" s="450">
        <v>1.4E-2</v>
      </c>
      <c r="T49" s="386">
        <v>2</v>
      </c>
      <c r="W49" s="485"/>
      <c r="X49" s="394"/>
      <c r="Y49" s="399"/>
      <c r="Z49" s="400">
        <f t="shared" si="6"/>
        <v>1.4E-2</v>
      </c>
      <c r="AA49" s="400">
        <f t="shared" si="6"/>
        <v>0</v>
      </c>
      <c r="AB49" s="400">
        <f t="shared" si="6"/>
        <v>14</v>
      </c>
    </row>
    <row r="50" spans="1:36" ht="12.95">
      <c r="A50" s="470"/>
      <c r="B50" s="386" t="s">
        <v>103</v>
      </c>
      <c r="C50" s="450"/>
      <c r="D50" s="450"/>
      <c r="E50" s="450"/>
      <c r="F50" s="450"/>
      <c r="G50" s="450"/>
      <c r="H50" s="450"/>
      <c r="I50" s="450"/>
      <c r="J50" s="450"/>
      <c r="K50" s="450"/>
      <c r="L50" s="450"/>
      <c r="M50" s="450"/>
      <c r="N50" s="450"/>
      <c r="O50" s="450"/>
      <c r="P50" s="450"/>
      <c r="Q50" s="450"/>
      <c r="R50" s="450"/>
      <c r="S50" s="450"/>
      <c r="T50" s="386">
        <v>2</v>
      </c>
      <c r="W50" s="485"/>
      <c r="X50" s="394"/>
      <c r="Y50" s="399"/>
      <c r="Z50" s="400"/>
      <c r="AA50" s="400"/>
      <c r="AB50" s="400"/>
    </row>
    <row r="51" spans="1:36" ht="12.95">
      <c r="A51" s="470"/>
      <c r="B51" s="386" t="s">
        <v>104</v>
      </c>
      <c r="C51" s="450"/>
      <c r="D51" s="450"/>
      <c r="E51" s="450">
        <v>8796</v>
      </c>
      <c r="F51" s="450"/>
      <c r="G51" s="450"/>
      <c r="H51" s="450">
        <v>1.4999999999999999E-2</v>
      </c>
      <c r="I51" s="450">
        <v>0.15</v>
      </c>
      <c r="J51" s="450">
        <v>5.79</v>
      </c>
      <c r="K51" s="450">
        <v>1.4999999999999999E-2</v>
      </c>
      <c r="L51" s="450">
        <v>0.15</v>
      </c>
      <c r="M51" s="450">
        <v>7.2</v>
      </c>
      <c r="N51" s="450">
        <v>1.4999999999999999E-2</v>
      </c>
      <c r="O51" s="450">
        <v>0.15</v>
      </c>
      <c r="P51" s="450">
        <v>1.5</v>
      </c>
      <c r="Q51" s="450">
        <v>0</v>
      </c>
      <c r="R51" s="450">
        <v>0</v>
      </c>
      <c r="S51" s="450">
        <v>1.4999999999999999E-2</v>
      </c>
      <c r="T51" s="386">
        <v>2</v>
      </c>
      <c r="W51" s="485"/>
      <c r="X51" s="394"/>
      <c r="Y51" s="399"/>
      <c r="Z51" s="400">
        <f t="shared" si="6"/>
        <v>4.4999999999999998E-2</v>
      </c>
      <c r="AA51" s="400">
        <f t="shared" si="6"/>
        <v>0.45</v>
      </c>
      <c r="AB51" s="400">
        <f t="shared" si="6"/>
        <v>14.505000000000001</v>
      </c>
      <c r="AC51" s="487" t="s">
        <v>107</v>
      </c>
      <c r="AD51" s="487" t="s">
        <v>108</v>
      </c>
      <c r="AE51" s="488" t="s">
        <v>109</v>
      </c>
      <c r="AF51" s="488" t="s">
        <v>110</v>
      </c>
      <c r="AG51" s="488" t="s">
        <v>111</v>
      </c>
    </row>
    <row r="52" spans="1:36" ht="12.95">
      <c r="A52" s="468">
        <v>45813</v>
      </c>
      <c r="B52" s="382" t="s">
        <v>95</v>
      </c>
      <c r="C52" s="473">
        <v>9094</v>
      </c>
      <c r="D52" s="474"/>
      <c r="E52" s="474"/>
      <c r="F52" s="452"/>
      <c r="G52" s="452"/>
      <c r="H52" s="475"/>
      <c r="I52" s="475"/>
      <c r="J52" s="484"/>
      <c r="K52" s="484"/>
      <c r="L52" s="484"/>
      <c r="M52" s="484"/>
      <c r="N52" s="484"/>
      <c r="O52" s="484"/>
      <c r="P52" s="484"/>
      <c r="Q52" s="484"/>
      <c r="R52" s="484"/>
      <c r="S52" s="484"/>
      <c r="T52" s="382">
        <v>1</v>
      </c>
      <c r="W52" s="485">
        <f t="shared" ref="W52:W57" si="8">H52+I52+J52+K52+L52+M52+N52+O52+P52+Q52+R52+S52+H58+I58+J58+K58+L58+M58+N58+O58+P58+Q58+R58+S58</f>
        <v>0</v>
      </c>
      <c r="X52" s="394">
        <f>E52+F52+G52+E58+F58+G58</f>
        <v>0</v>
      </c>
      <c r="Y52" s="399">
        <f>H52+I52+J52+K52+L52+M52+N52+O52+P52+Q52+R52+S52+H58+I58+J58+K58+L58+M58+N58+O58+P58+Q58+R58+S58</f>
        <v>0</v>
      </c>
      <c r="Z52" s="400">
        <f t="shared" si="6"/>
        <v>0</v>
      </c>
      <c r="AA52" s="400">
        <f t="shared" si="6"/>
        <v>0</v>
      </c>
      <c r="AB52" s="400">
        <f t="shared" si="6"/>
        <v>0</v>
      </c>
      <c r="AC52" s="489">
        <f>E52</f>
        <v>0</v>
      </c>
      <c r="AD52" s="489">
        <f>D52</f>
        <v>0</v>
      </c>
      <c r="AE52" s="490">
        <f t="shared" ref="AE52:AE64" si="9">SUM(H52:S52)</f>
        <v>0</v>
      </c>
      <c r="AF52" s="490"/>
      <c r="AG52" s="493">
        <f>SUM(C52+AD52)-AC52-AE52-AF52</f>
        <v>9094</v>
      </c>
      <c r="AH52" s="494">
        <f>SUM(AC52:AC63)</f>
        <v>7900</v>
      </c>
      <c r="AI52" s="378" t="s">
        <v>112</v>
      </c>
    </row>
    <row r="53" spans="1:36" ht="12.95">
      <c r="A53" s="468"/>
      <c r="B53" s="382" t="s">
        <v>97</v>
      </c>
      <c r="C53" s="473">
        <v>0</v>
      </c>
      <c r="D53" s="474"/>
      <c r="E53" s="474"/>
      <c r="F53" s="452"/>
      <c r="G53" s="452"/>
      <c r="H53" s="475"/>
      <c r="I53" s="475"/>
      <c r="J53" s="484"/>
      <c r="K53" s="484"/>
      <c r="L53" s="484"/>
      <c r="M53" s="484"/>
      <c r="N53" s="484"/>
      <c r="O53" s="484"/>
      <c r="P53" s="484"/>
      <c r="Q53" s="484"/>
      <c r="R53" s="484"/>
      <c r="S53" s="484"/>
      <c r="T53" s="382">
        <v>1</v>
      </c>
      <c r="W53" s="485">
        <f t="shared" si="8"/>
        <v>0</v>
      </c>
      <c r="X53" s="394">
        <f>E53+F53+G53+E59+F59+G59</f>
        <v>0</v>
      </c>
      <c r="Y53" s="399">
        <f>H53+I53+J53+K53+L53+M53+N53+O53+P53+Q53+R53+S53+H59+I59+J59+K59+L59+M59+N59+O59+P59+Q59+R59+S59</f>
        <v>0</v>
      </c>
      <c r="Z53" s="400">
        <f t="shared" si="6"/>
        <v>0</v>
      </c>
      <c r="AA53" s="400">
        <f t="shared" si="6"/>
        <v>0</v>
      </c>
      <c r="AB53" s="400">
        <f t="shared" si="6"/>
        <v>0</v>
      </c>
      <c r="AC53" s="489">
        <f t="shared" ref="AC53:AC64" si="10">E53</f>
        <v>0</v>
      </c>
      <c r="AD53" s="489">
        <f t="shared" ref="AD53:AD64" si="11">D53</f>
        <v>0</v>
      </c>
      <c r="AE53" s="490">
        <f t="shared" si="9"/>
        <v>0</v>
      </c>
      <c r="AF53" s="490"/>
      <c r="AG53" s="493">
        <f t="shared" ref="AG53:AG57" si="12">SUM(C53+AD53)-AC53-AE53-AF53</f>
        <v>0</v>
      </c>
      <c r="AH53" s="494">
        <f>SUM(AD52:AD63)</f>
        <v>0</v>
      </c>
      <c r="AI53" s="378" t="s">
        <v>108</v>
      </c>
    </row>
    <row r="54" spans="1:36" ht="12.95">
      <c r="A54" s="468"/>
      <c r="B54" s="382" t="s">
        <v>99</v>
      </c>
      <c r="C54" s="473">
        <v>42175</v>
      </c>
      <c r="D54" s="474"/>
      <c r="E54" s="474"/>
      <c r="F54" s="452"/>
      <c r="G54" s="452"/>
      <c r="H54" s="475"/>
      <c r="I54" s="475"/>
      <c r="J54" s="475"/>
      <c r="K54" s="475"/>
      <c r="L54" s="475"/>
      <c r="M54" s="475"/>
      <c r="N54" s="475"/>
      <c r="O54" s="475"/>
      <c r="P54" s="475"/>
      <c r="Q54" s="475"/>
      <c r="R54" s="475"/>
      <c r="S54" s="475"/>
      <c r="T54" s="382">
        <v>1</v>
      </c>
      <c r="W54" s="485">
        <f t="shared" si="8"/>
        <v>0</v>
      </c>
      <c r="X54" s="394">
        <f>E54+F54+G54+E60+F60+G60</f>
        <v>0</v>
      </c>
      <c r="Y54" s="399">
        <f>H54+I54+J54+K54+L54+M54+N54+O54+P54+Q54+R54+S54+H60+I60+J60+K60+L60+M60+N60+O60+P60+Q60+R60+S60</f>
        <v>0</v>
      </c>
      <c r="Z54" s="400">
        <f t="shared" si="6"/>
        <v>0</v>
      </c>
      <c r="AA54" s="400">
        <f t="shared" si="6"/>
        <v>0</v>
      </c>
      <c r="AB54" s="400">
        <f t="shared" si="6"/>
        <v>0</v>
      </c>
      <c r="AC54" s="489">
        <f t="shared" si="10"/>
        <v>0</v>
      </c>
      <c r="AD54" s="489">
        <f t="shared" si="11"/>
        <v>0</v>
      </c>
      <c r="AE54" s="490">
        <f t="shared" si="9"/>
        <v>0</v>
      </c>
      <c r="AF54" s="490"/>
      <c r="AG54" s="493">
        <f t="shared" si="12"/>
        <v>42175</v>
      </c>
      <c r="AH54" s="494">
        <f>SUM(AE52:AE63)</f>
        <v>17.003</v>
      </c>
      <c r="AI54" s="378" t="s">
        <v>109</v>
      </c>
    </row>
    <row r="55" spans="1:36" ht="12.95">
      <c r="A55" s="468"/>
      <c r="B55" s="382" t="s">
        <v>101</v>
      </c>
      <c r="C55" s="473">
        <v>21051</v>
      </c>
      <c r="D55" s="474"/>
      <c r="E55" s="474">
        <v>500</v>
      </c>
      <c r="F55" s="452"/>
      <c r="G55" s="452"/>
      <c r="H55" s="475">
        <v>3.0000000000000001E-3</v>
      </c>
      <c r="I55" s="475">
        <v>0</v>
      </c>
      <c r="J55" s="475">
        <v>0.45</v>
      </c>
      <c r="K55" s="475">
        <v>0</v>
      </c>
      <c r="L55" s="475">
        <v>0</v>
      </c>
      <c r="M55" s="475">
        <v>2.0670000000000002</v>
      </c>
      <c r="N55" s="475">
        <v>0</v>
      </c>
      <c r="O55" s="475">
        <v>0</v>
      </c>
      <c r="P55" s="475">
        <v>0.48</v>
      </c>
      <c r="Q55" s="475">
        <v>0</v>
      </c>
      <c r="R55" s="475">
        <v>0</v>
      </c>
      <c r="S55" s="475">
        <v>3.0000000000000001E-3</v>
      </c>
      <c r="T55" s="382">
        <v>1</v>
      </c>
      <c r="W55" s="485">
        <f t="shared" si="8"/>
        <v>3.0030000000000001</v>
      </c>
      <c r="X55" s="394">
        <f>E55+F55+G55+E61+F61+G61</f>
        <v>1000</v>
      </c>
      <c r="Y55" s="399">
        <f>H55+I55+J55+K55+L55+M55+N55+O55+P55+Q55+R55+S55+H61+I61+J61+K61+L61+M61+N61+O61+P61+Q61+R61+S61</f>
        <v>3.0030000000000001</v>
      </c>
      <c r="Z55" s="400">
        <f t="shared" si="6"/>
        <v>3.0000000000000001E-3</v>
      </c>
      <c r="AA55" s="400">
        <f t="shared" si="6"/>
        <v>0</v>
      </c>
      <c r="AB55" s="400">
        <f t="shared" si="6"/>
        <v>3</v>
      </c>
      <c r="AC55" s="489">
        <f t="shared" si="10"/>
        <v>500</v>
      </c>
      <c r="AD55" s="489">
        <f t="shared" si="11"/>
        <v>0</v>
      </c>
      <c r="AE55" s="490">
        <f t="shared" si="9"/>
        <v>3.0030000000000001</v>
      </c>
      <c r="AF55" s="490"/>
      <c r="AG55" s="493">
        <f t="shared" si="12"/>
        <v>20547.996999999999</v>
      </c>
      <c r="AH55" s="494">
        <f>SUM(AF52:AF63)</f>
        <v>12</v>
      </c>
      <c r="AI55" s="378" t="s">
        <v>113</v>
      </c>
    </row>
    <row r="56" spans="1:36" ht="12.95">
      <c r="A56" s="468"/>
      <c r="B56" s="382" t="s">
        <v>103</v>
      </c>
      <c r="C56" s="473">
        <v>52887</v>
      </c>
      <c r="D56" s="474"/>
      <c r="E56" s="476">
        <v>0</v>
      </c>
      <c r="F56" s="476"/>
      <c r="G56" s="476"/>
      <c r="H56" s="477"/>
      <c r="I56" s="477"/>
      <c r="J56" s="477"/>
      <c r="K56" s="477"/>
      <c r="L56" s="477"/>
      <c r="M56" s="477"/>
      <c r="N56" s="477"/>
      <c r="O56" s="477"/>
      <c r="P56" s="477"/>
      <c r="Q56" s="477"/>
      <c r="R56" s="477"/>
      <c r="S56" s="477"/>
      <c r="T56" s="382">
        <v>1</v>
      </c>
      <c r="W56" s="485">
        <f t="shared" si="8"/>
        <v>0</v>
      </c>
      <c r="X56" s="394"/>
      <c r="Y56" s="399"/>
      <c r="Z56" s="400"/>
      <c r="AA56" s="400"/>
      <c r="AB56" s="400"/>
      <c r="AC56" s="489">
        <f t="shared" si="10"/>
        <v>0</v>
      </c>
      <c r="AD56" s="489">
        <f t="shared" si="11"/>
        <v>0</v>
      </c>
      <c r="AE56" s="490">
        <f t="shared" si="9"/>
        <v>0</v>
      </c>
      <c r="AF56" s="490">
        <v>9</v>
      </c>
      <c r="AG56" s="493">
        <f t="shared" si="12"/>
        <v>52878</v>
      </c>
      <c r="AH56" s="494">
        <f>SUM(AG58:AG63)</f>
        <v>211893.997</v>
      </c>
      <c r="AI56" s="378" t="s">
        <v>114</v>
      </c>
    </row>
    <row r="57" spans="1:36" ht="12.95">
      <c r="A57" s="468"/>
      <c r="B57" s="382" t="s">
        <v>104</v>
      </c>
      <c r="C57" s="473">
        <v>94616</v>
      </c>
      <c r="D57" s="474"/>
      <c r="E57" s="476">
        <v>2000</v>
      </c>
      <c r="F57" s="476"/>
      <c r="G57" s="476"/>
      <c r="H57" s="477">
        <v>5.0000000000000001E-3</v>
      </c>
      <c r="I57" s="477">
        <v>0.05</v>
      </c>
      <c r="J57" s="477">
        <v>1.93</v>
      </c>
      <c r="K57" s="477">
        <v>5.0000000000000001E-3</v>
      </c>
      <c r="L57" s="477">
        <v>0.05</v>
      </c>
      <c r="M57" s="477">
        <v>2.4</v>
      </c>
      <c r="N57" s="477">
        <v>5.0000000000000001E-3</v>
      </c>
      <c r="O57" s="477">
        <v>0.05</v>
      </c>
      <c r="P57" s="477">
        <v>0.5</v>
      </c>
      <c r="Q57" s="477">
        <v>0</v>
      </c>
      <c r="R57" s="477">
        <v>0</v>
      </c>
      <c r="S57" s="477">
        <v>5.0000000000000001E-3</v>
      </c>
      <c r="T57" s="382">
        <v>1</v>
      </c>
      <c r="W57" s="485">
        <f t="shared" si="8"/>
        <v>14</v>
      </c>
      <c r="X57" s="394">
        <f>E57+F57+G57+E63+F63+G63</f>
        <v>6900</v>
      </c>
      <c r="Y57" s="399">
        <f>H57+I57+J57+K57+L57+M57+N57+O57+P57+Q57+R57+S57+H63+I63+J63+K63+L63+M63+N63+O63+P63+Q63+R63+S63</f>
        <v>14</v>
      </c>
      <c r="Z57" s="400">
        <f t="shared" si="6"/>
        <v>1.4999999999999999E-2</v>
      </c>
      <c r="AA57" s="400">
        <f t="shared" si="6"/>
        <v>0.15</v>
      </c>
      <c r="AB57" s="400">
        <f t="shared" si="6"/>
        <v>4.835</v>
      </c>
      <c r="AC57" s="489">
        <f t="shared" si="10"/>
        <v>2000</v>
      </c>
      <c r="AD57" s="489">
        <f t="shared" si="11"/>
        <v>0</v>
      </c>
      <c r="AE57" s="490">
        <f t="shared" si="9"/>
        <v>5</v>
      </c>
      <c r="AF57" s="490"/>
      <c r="AG57" s="493">
        <f t="shared" si="12"/>
        <v>92611</v>
      </c>
    </row>
    <row r="58" spans="1:36" ht="12.95">
      <c r="A58" s="470"/>
      <c r="B58" s="386" t="s">
        <v>95</v>
      </c>
      <c r="C58" s="478"/>
      <c r="D58" s="479"/>
      <c r="E58" s="480"/>
      <c r="F58" s="480"/>
      <c r="G58" s="480"/>
      <c r="H58" s="481"/>
      <c r="I58" s="481"/>
      <c r="J58" s="481"/>
      <c r="K58" s="481"/>
      <c r="L58" s="481"/>
      <c r="M58" s="481"/>
      <c r="N58" s="481"/>
      <c r="O58" s="481"/>
      <c r="P58" s="481"/>
      <c r="Q58" s="481"/>
      <c r="R58" s="481"/>
      <c r="S58" s="481"/>
      <c r="T58" s="386">
        <v>2</v>
      </c>
      <c r="W58" s="485"/>
      <c r="X58" s="394"/>
      <c r="Y58" s="399"/>
      <c r="Z58" s="400">
        <f t="shared" si="6"/>
        <v>0</v>
      </c>
      <c r="AA58" s="400">
        <f t="shared" si="6"/>
        <v>0</v>
      </c>
      <c r="AB58" s="400">
        <f t="shared" si="6"/>
        <v>0</v>
      </c>
      <c r="AC58" s="491">
        <f t="shared" si="10"/>
        <v>0</v>
      </c>
      <c r="AD58" s="491">
        <f t="shared" si="11"/>
        <v>0</v>
      </c>
      <c r="AE58" s="492">
        <f t="shared" si="9"/>
        <v>0</v>
      </c>
      <c r="AF58" s="492"/>
      <c r="AG58" s="495">
        <f>SUM(AG52+AD58)-AC58-AE58-AF58</f>
        <v>9094</v>
      </c>
    </row>
    <row r="59" spans="1:36" ht="12.95">
      <c r="A59" s="470"/>
      <c r="B59" s="386" t="s">
        <v>97</v>
      </c>
      <c r="C59" s="479"/>
      <c r="D59" s="479"/>
      <c r="E59" s="480"/>
      <c r="F59" s="480"/>
      <c r="G59" s="480"/>
      <c r="H59" s="481"/>
      <c r="I59" s="481"/>
      <c r="J59" s="481"/>
      <c r="K59" s="481"/>
      <c r="L59" s="481"/>
      <c r="M59" s="481"/>
      <c r="N59" s="481"/>
      <c r="O59" s="481"/>
      <c r="P59" s="481"/>
      <c r="Q59" s="481"/>
      <c r="R59" s="481"/>
      <c r="S59" s="481"/>
      <c r="T59" s="386">
        <v>2</v>
      </c>
      <c r="W59" s="485"/>
      <c r="X59" s="394"/>
      <c r="Y59" s="399"/>
      <c r="Z59" s="400">
        <f t="shared" si="6"/>
        <v>0</v>
      </c>
      <c r="AA59" s="400">
        <f t="shared" si="6"/>
        <v>0</v>
      </c>
      <c r="AB59" s="400">
        <f t="shared" si="6"/>
        <v>0</v>
      </c>
      <c r="AC59" s="491">
        <f t="shared" si="10"/>
        <v>0</v>
      </c>
      <c r="AD59" s="491">
        <f t="shared" si="11"/>
        <v>0</v>
      </c>
      <c r="AE59" s="492">
        <f t="shared" si="9"/>
        <v>0</v>
      </c>
      <c r="AF59" s="492"/>
      <c r="AG59" s="495">
        <f t="shared" ref="AG59:AG63" si="13">SUM(AG53+AD59)-AC59-AE59-AF59</f>
        <v>0</v>
      </c>
    </row>
    <row r="60" spans="1:36" ht="12.95">
      <c r="A60" s="470"/>
      <c r="B60" s="386" t="s">
        <v>99</v>
      </c>
      <c r="C60" s="478"/>
      <c r="D60" s="479"/>
      <c r="E60" s="480"/>
      <c r="F60" s="480"/>
      <c r="G60" s="480"/>
      <c r="H60" s="481"/>
      <c r="I60" s="481"/>
      <c r="J60" s="481"/>
      <c r="K60" s="481"/>
      <c r="L60" s="481"/>
      <c r="M60" s="481"/>
      <c r="N60" s="481"/>
      <c r="O60" s="481"/>
      <c r="P60" s="481"/>
      <c r="Q60" s="481"/>
      <c r="R60" s="481"/>
      <c r="S60" s="481"/>
      <c r="T60" s="386">
        <v>2</v>
      </c>
      <c r="W60" s="485"/>
      <c r="X60" s="394"/>
      <c r="Y60" s="399"/>
      <c r="Z60" s="400">
        <f t="shared" si="6"/>
        <v>0</v>
      </c>
      <c r="AA60" s="400">
        <f t="shared" si="6"/>
        <v>0</v>
      </c>
      <c r="AB60" s="400">
        <f t="shared" si="6"/>
        <v>0</v>
      </c>
      <c r="AC60" s="491">
        <f t="shared" si="10"/>
        <v>0</v>
      </c>
      <c r="AD60" s="491">
        <f t="shared" si="11"/>
        <v>0</v>
      </c>
      <c r="AE60" s="492">
        <f t="shared" si="9"/>
        <v>0</v>
      </c>
      <c r="AF60" s="492"/>
      <c r="AG60" s="495">
        <f t="shared" si="13"/>
        <v>42175</v>
      </c>
    </row>
    <row r="61" spans="1:36" ht="12.95">
      <c r="A61" s="470"/>
      <c r="B61" s="386" t="s">
        <v>101</v>
      </c>
      <c r="C61" s="478"/>
      <c r="D61" s="479"/>
      <c r="E61" s="480">
        <v>500</v>
      </c>
      <c r="F61" s="480"/>
      <c r="G61" s="480"/>
      <c r="H61" s="481">
        <v>0</v>
      </c>
      <c r="I61" s="481">
        <v>0</v>
      </c>
      <c r="J61" s="481">
        <v>0</v>
      </c>
      <c r="K61" s="481">
        <v>0</v>
      </c>
      <c r="L61" s="481">
        <v>0</v>
      </c>
      <c r="M61" s="481">
        <v>0</v>
      </c>
      <c r="N61" s="481">
        <v>0</v>
      </c>
      <c r="O61" s="481">
        <v>0</v>
      </c>
      <c r="P61" s="481">
        <v>0</v>
      </c>
      <c r="Q61" s="481">
        <v>0</v>
      </c>
      <c r="R61" s="481">
        <v>0</v>
      </c>
      <c r="S61" s="481">
        <v>0</v>
      </c>
      <c r="T61" s="386">
        <v>2</v>
      </c>
      <c r="W61" s="485"/>
      <c r="X61" s="394"/>
      <c r="Y61" s="399"/>
      <c r="Z61" s="400">
        <f t="shared" si="6"/>
        <v>0</v>
      </c>
      <c r="AA61" s="400">
        <f t="shared" si="6"/>
        <v>0</v>
      </c>
      <c r="AB61" s="400">
        <f t="shared" si="6"/>
        <v>0</v>
      </c>
      <c r="AC61" s="491">
        <f t="shared" si="10"/>
        <v>500</v>
      </c>
      <c r="AD61" s="491">
        <f t="shared" si="11"/>
        <v>0</v>
      </c>
      <c r="AE61" s="492">
        <f t="shared" si="9"/>
        <v>0</v>
      </c>
      <c r="AF61" s="492"/>
      <c r="AG61" s="495">
        <f t="shared" si="13"/>
        <v>20047.996999999999</v>
      </c>
    </row>
    <row r="62" spans="1:36" ht="12.95">
      <c r="A62" s="470"/>
      <c r="B62" s="386" t="s">
        <v>103</v>
      </c>
      <c r="C62" s="478"/>
      <c r="D62" s="479"/>
      <c r="E62" s="480"/>
      <c r="F62" s="480"/>
      <c r="G62" s="480"/>
      <c r="H62" s="481"/>
      <c r="I62" s="481"/>
      <c r="J62" s="481"/>
      <c r="K62" s="481"/>
      <c r="L62" s="481"/>
      <c r="M62" s="481"/>
      <c r="N62" s="481"/>
      <c r="O62" s="481"/>
      <c r="P62" s="481"/>
      <c r="Q62" s="481"/>
      <c r="R62" s="481"/>
      <c r="S62" s="481"/>
      <c r="T62" s="386">
        <v>2</v>
      </c>
      <c r="W62" s="485"/>
      <c r="X62" s="394"/>
      <c r="Y62" s="399"/>
      <c r="Z62" s="400"/>
      <c r="AA62" s="400"/>
      <c r="AB62" s="400"/>
      <c r="AC62" s="491">
        <f t="shared" si="10"/>
        <v>0</v>
      </c>
      <c r="AD62" s="491">
        <f t="shared" si="11"/>
        <v>0</v>
      </c>
      <c r="AE62" s="492">
        <f t="shared" si="9"/>
        <v>0</v>
      </c>
      <c r="AF62" s="492"/>
      <c r="AG62" s="495">
        <f t="shared" si="13"/>
        <v>52878</v>
      </c>
    </row>
    <row r="63" spans="1:36" ht="12.95">
      <c r="A63" s="470"/>
      <c r="B63" s="386" t="s">
        <v>104</v>
      </c>
      <c r="C63" s="482"/>
      <c r="D63" s="482"/>
      <c r="E63" s="480">
        <v>4900</v>
      </c>
      <c r="F63" s="480"/>
      <c r="G63" s="480"/>
      <c r="H63" s="481">
        <v>8.9999999999999993E-3</v>
      </c>
      <c r="I63" s="481">
        <v>0.09</v>
      </c>
      <c r="J63" s="481">
        <v>3.4740000000000002</v>
      </c>
      <c r="K63" s="481">
        <v>8.9999999999999993E-3</v>
      </c>
      <c r="L63" s="481">
        <v>0.09</v>
      </c>
      <c r="M63" s="481">
        <v>4.32</v>
      </c>
      <c r="N63" s="481">
        <v>8.9999999999999993E-3</v>
      </c>
      <c r="O63" s="481">
        <v>0.09</v>
      </c>
      <c r="P63" s="481">
        <v>0.9</v>
      </c>
      <c r="Q63" s="481">
        <v>0</v>
      </c>
      <c r="R63" s="481">
        <v>0</v>
      </c>
      <c r="S63" s="481">
        <v>8.9999999999999993E-3</v>
      </c>
      <c r="T63" s="386">
        <v>2</v>
      </c>
      <c r="W63" s="485"/>
      <c r="X63" s="394"/>
      <c r="Y63" s="399"/>
      <c r="Z63" s="400">
        <f t="shared" si="6"/>
        <v>2.7E-2</v>
      </c>
      <c r="AA63" s="400">
        <f t="shared" si="6"/>
        <v>0.27</v>
      </c>
      <c r="AB63" s="400">
        <f t="shared" si="6"/>
        <v>8.7029999999999994</v>
      </c>
      <c r="AC63" s="491">
        <f t="shared" si="10"/>
        <v>4900</v>
      </c>
      <c r="AD63" s="491">
        <f t="shared" si="11"/>
        <v>0</v>
      </c>
      <c r="AE63" s="492">
        <f t="shared" si="9"/>
        <v>9</v>
      </c>
      <c r="AF63" s="492">
        <v>3</v>
      </c>
      <c r="AG63" s="495">
        <f t="shared" si="13"/>
        <v>87699</v>
      </c>
      <c r="AH63" s="417"/>
      <c r="AI63" s="417"/>
      <c r="AJ63" s="417"/>
    </row>
    <row r="64" spans="1:36" ht="12.95">
      <c r="A64" s="468">
        <v>45814</v>
      </c>
      <c r="B64" s="382" t="s">
        <v>95</v>
      </c>
      <c r="C64" s="473">
        <v>9094</v>
      </c>
      <c r="D64" s="475"/>
      <c r="E64" s="475"/>
      <c r="F64" s="475"/>
      <c r="G64" s="475"/>
      <c r="H64" s="475"/>
      <c r="I64" s="475"/>
      <c r="J64" s="475"/>
      <c r="K64" s="475"/>
      <c r="L64" s="475"/>
      <c r="M64" s="475"/>
      <c r="N64" s="475"/>
      <c r="O64" s="475"/>
      <c r="P64" s="475"/>
      <c r="Q64" s="475"/>
      <c r="R64" s="475"/>
      <c r="S64" s="475"/>
      <c r="T64" s="382">
        <v>1</v>
      </c>
      <c r="W64" s="485">
        <f t="shared" ref="W64:W69" si="14">H64+I64+J64+K64+L64+M64+N64+O64+P64+Q64+R64+S64+H70+I70+J70+K70+L70+M70+N70+O70+P70+Q70+R70+S70</f>
        <v>0</v>
      </c>
      <c r="X64" s="394">
        <f>E64+F64+G64+E70+F70+G70</f>
        <v>0</v>
      </c>
      <c r="Y64" s="399">
        <f>H64+I64+J64+K64+L64+M64+N64+O64+P64+Q64+R64+S64+H70+I70+J70+K70+L70+M70+N70+O70+P70+Q70+R70+S70</f>
        <v>0</v>
      </c>
      <c r="Z64" s="400">
        <f t="shared" si="6"/>
        <v>0</v>
      </c>
      <c r="AA64" s="400">
        <f t="shared" si="6"/>
        <v>0</v>
      </c>
      <c r="AB64" s="400">
        <f t="shared" si="6"/>
        <v>0</v>
      </c>
      <c r="AC64" s="489">
        <f t="shared" si="10"/>
        <v>0</v>
      </c>
      <c r="AD64" s="489">
        <f t="shared" si="11"/>
        <v>0</v>
      </c>
      <c r="AE64" s="490">
        <f t="shared" si="9"/>
        <v>0</v>
      </c>
      <c r="AF64" s="490"/>
      <c r="AG64" s="493">
        <f>SUM(C64+AD64)-AC64-AE64-AF64</f>
        <v>9094</v>
      </c>
      <c r="AH64" s="494">
        <f>SUM(AC64:AC75)</f>
        <v>0</v>
      </c>
      <c r="AI64" s="378" t="s">
        <v>112</v>
      </c>
    </row>
    <row r="65" spans="1:35" ht="12.95">
      <c r="A65" s="468"/>
      <c r="B65" s="382" t="s">
        <v>97</v>
      </c>
      <c r="C65" s="473">
        <v>0</v>
      </c>
      <c r="D65" s="475"/>
      <c r="E65" s="475"/>
      <c r="F65" s="475"/>
      <c r="G65" s="475"/>
      <c r="H65" s="475"/>
      <c r="I65" s="475"/>
      <c r="J65" s="475"/>
      <c r="K65" s="475"/>
      <c r="L65" s="475"/>
      <c r="M65" s="475"/>
      <c r="N65" s="475"/>
      <c r="O65" s="475"/>
      <c r="P65" s="475"/>
      <c r="Q65" s="475"/>
      <c r="R65" s="475"/>
      <c r="S65" s="475"/>
      <c r="T65" s="382">
        <v>1</v>
      </c>
      <c r="W65" s="485">
        <f t="shared" si="14"/>
        <v>0</v>
      </c>
      <c r="X65" s="394">
        <f>E65+F65+G65+E71+F71+G71</f>
        <v>0</v>
      </c>
      <c r="Y65" s="399">
        <f>H65+I65+J65+K65+L65+M65+N65+O65+P65+Q65+R65+S65+H71+I71+J71+K71+L71+M71+N71+O71+P71+Q71+R71+S71</f>
        <v>0</v>
      </c>
      <c r="Z65" s="400">
        <f t="shared" si="6"/>
        <v>0</v>
      </c>
      <c r="AA65" s="400">
        <f t="shared" si="6"/>
        <v>0</v>
      </c>
      <c r="AB65" s="400">
        <f t="shared" si="6"/>
        <v>0</v>
      </c>
      <c r="AC65" s="489">
        <f t="shared" ref="AC65:AC70" si="15">E65</f>
        <v>0</v>
      </c>
      <c r="AD65" s="489">
        <f t="shared" ref="AD65:AD70" si="16">D65</f>
        <v>0</v>
      </c>
      <c r="AE65" s="490">
        <f t="shared" ref="AE65:AE70" si="17">SUM(H65:S65)</f>
        <v>0</v>
      </c>
      <c r="AF65" s="490"/>
      <c r="AG65" s="493">
        <f t="shared" ref="AG65:AG69" si="18">SUM(C65+AD65)-AC65-AE65-AF65</f>
        <v>0</v>
      </c>
      <c r="AH65" s="494">
        <f>SUM(AD64:AD75)</f>
        <v>0</v>
      </c>
      <c r="AI65" s="378" t="s">
        <v>108</v>
      </c>
    </row>
    <row r="66" spans="1:35" ht="12.95">
      <c r="A66" s="468"/>
      <c r="B66" s="382" t="s">
        <v>99</v>
      </c>
      <c r="C66" s="473">
        <v>42175</v>
      </c>
      <c r="D66" s="475"/>
      <c r="E66" s="475"/>
      <c r="F66" s="475"/>
      <c r="G66" s="475"/>
      <c r="H66" s="475"/>
      <c r="I66" s="475"/>
      <c r="J66" s="475"/>
      <c r="K66" s="475"/>
      <c r="L66" s="475"/>
      <c r="M66" s="475"/>
      <c r="N66" s="475"/>
      <c r="O66" s="475"/>
      <c r="P66" s="475"/>
      <c r="Q66" s="475"/>
      <c r="R66" s="475"/>
      <c r="S66" s="475"/>
      <c r="T66" s="382">
        <v>1</v>
      </c>
      <c r="W66" s="485">
        <f t="shared" si="14"/>
        <v>0</v>
      </c>
      <c r="X66" s="394">
        <f>E66+F66+G66+E72+F72+G72</f>
        <v>0</v>
      </c>
      <c r="Y66" s="399">
        <f>H66+I66+J66+K66+L66+M66+N66+O66+P66+Q66+R66+S66+H72+I72+J72+K72+L72+M72+N72+O72+P72+Q72+R72+S72</f>
        <v>0</v>
      </c>
      <c r="Z66" s="400">
        <f t="shared" ref="Z66:AB99" si="19">H66+K66+N66+Q66</f>
        <v>0</v>
      </c>
      <c r="AA66" s="400">
        <f t="shared" si="19"/>
        <v>0</v>
      </c>
      <c r="AB66" s="400">
        <f t="shared" si="19"/>
        <v>0</v>
      </c>
      <c r="AC66" s="489">
        <f t="shared" si="15"/>
        <v>0</v>
      </c>
      <c r="AD66" s="489">
        <f t="shared" si="16"/>
        <v>0</v>
      </c>
      <c r="AE66" s="490">
        <f t="shared" si="17"/>
        <v>0</v>
      </c>
      <c r="AF66" s="490">
        <v>21</v>
      </c>
      <c r="AG66" s="493">
        <f t="shared" si="18"/>
        <v>42154</v>
      </c>
      <c r="AH66" s="494">
        <f>SUM(AE64:AE75)</f>
        <v>0</v>
      </c>
      <c r="AI66" s="378" t="s">
        <v>109</v>
      </c>
    </row>
    <row r="67" spans="1:35" ht="12.95">
      <c r="A67" s="468"/>
      <c r="B67" s="382" t="s">
        <v>101</v>
      </c>
      <c r="C67" s="473">
        <v>20048</v>
      </c>
      <c r="D67" s="475"/>
      <c r="E67" s="475"/>
      <c r="F67" s="475"/>
      <c r="G67" s="475"/>
      <c r="H67" s="475"/>
      <c r="I67" s="475"/>
      <c r="J67" s="475"/>
      <c r="K67" s="475"/>
      <c r="L67" s="475"/>
      <c r="M67" s="475"/>
      <c r="N67" s="475"/>
      <c r="O67" s="475"/>
      <c r="P67" s="475"/>
      <c r="Q67" s="475"/>
      <c r="R67" s="475"/>
      <c r="S67" s="475"/>
      <c r="T67" s="382">
        <v>1</v>
      </c>
      <c r="W67" s="485">
        <f t="shared" si="14"/>
        <v>0</v>
      </c>
      <c r="X67" s="394">
        <f>E67+F67+G67+E73+F73+G73</f>
        <v>0</v>
      </c>
      <c r="Y67" s="399">
        <f>H67+I67+J67+K67+L67+M67+N67+O67+P67+Q67+R67+S67+H73+I73+J73+K73+L73+M73+N73+O73+P73+Q73+R73+S73</f>
        <v>0</v>
      </c>
      <c r="Z67" s="400">
        <f t="shared" si="19"/>
        <v>0</v>
      </c>
      <c r="AA67" s="400">
        <f t="shared" si="19"/>
        <v>0</v>
      </c>
      <c r="AB67" s="400">
        <f t="shared" si="19"/>
        <v>0</v>
      </c>
      <c r="AC67" s="489">
        <f t="shared" si="15"/>
        <v>0</v>
      </c>
      <c r="AD67" s="489">
        <f t="shared" si="16"/>
        <v>0</v>
      </c>
      <c r="AE67" s="490">
        <f t="shared" si="17"/>
        <v>0</v>
      </c>
      <c r="AF67" s="490"/>
      <c r="AG67" s="493">
        <f t="shared" si="18"/>
        <v>20048</v>
      </c>
      <c r="AH67" s="494">
        <f>SUM(AF64:AF75)</f>
        <v>26</v>
      </c>
      <c r="AI67" s="378" t="s">
        <v>113</v>
      </c>
    </row>
    <row r="68" spans="1:35" ht="12.95">
      <c r="A68" s="468"/>
      <c r="B68" s="382" t="s">
        <v>103</v>
      </c>
      <c r="C68" s="473">
        <v>52887</v>
      </c>
      <c r="D68" s="475"/>
      <c r="E68" s="475"/>
      <c r="F68" s="475"/>
      <c r="G68" s="475"/>
      <c r="H68" s="475"/>
      <c r="I68" s="475"/>
      <c r="J68" s="475"/>
      <c r="K68" s="475"/>
      <c r="L68" s="475"/>
      <c r="M68" s="475"/>
      <c r="N68" s="475"/>
      <c r="O68" s="475"/>
      <c r="P68" s="475"/>
      <c r="Q68" s="475"/>
      <c r="R68" s="475"/>
      <c r="S68" s="475"/>
      <c r="T68" s="382">
        <v>1</v>
      </c>
      <c r="W68" s="485">
        <f t="shared" si="14"/>
        <v>0</v>
      </c>
      <c r="X68" s="394"/>
      <c r="Y68" s="399"/>
      <c r="Z68" s="400"/>
      <c r="AA68" s="400"/>
      <c r="AB68" s="400"/>
      <c r="AC68" s="489">
        <f t="shared" si="15"/>
        <v>0</v>
      </c>
      <c r="AD68" s="489">
        <f t="shared" si="16"/>
        <v>0</v>
      </c>
      <c r="AE68" s="490">
        <f t="shared" si="17"/>
        <v>0</v>
      </c>
      <c r="AF68" s="490"/>
      <c r="AG68" s="493">
        <f t="shared" si="18"/>
        <v>52887</v>
      </c>
      <c r="AH68" s="494">
        <f>SUM(AG70:AG75)</f>
        <v>211880</v>
      </c>
      <c r="AI68" s="378" t="s">
        <v>114</v>
      </c>
    </row>
    <row r="69" spans="1:35" ht="12.95">
      <c r="A69" s="468"/>
      <c r="B69" s="382" t="s">
        <v>104</v>
      </c>
      <c r="C69" s="473">
        <v>87702</v>
      </c>
      <c r="D69" s="475"/>
      <c r="E69" s="475"/>
      <c r="F69" s="475"/>
      <c r="G69" s="475"/>
      <c r="H69" s="475"/>
      <c r="I69" s="475"/>
      <c r="J69" s="475"/>
      <c r="K69" s="475"/>
      <c r="L69" s="475"/>
      <c r="M69" s="475"/>
      <c r="N69" s="475"/>
      <c r="O69" s="475"/>
      <c r="P69" s="475"/>
      <c r="Q69" s="475"/>
      <c r="R69" s="475"/>
      <c r="S69" s="475"/>
      <c r="T69" s="382">
        <v>1</v>
      </c>
      <c r="W69" s="485">
        <f t="shared" si="14"/>
        <v>0</v>
      </c>
      <c r="X69" s="394">
        <f>E69+F69+G69+E75+F75+G75</f>
        <v>0</v>
      </c>
      <c r="Y69" s="399">
        <f>H69+I69+J69+K69+L69+M69+N69+O69+P69+Q69+R69+S69+H75+I75+J75+K75+L75+M75+N75+O75+P75+Q75+R75+S75</f>
        <v>0</v>
      </c>
      <c r="Z69" s="400">
        <f t="shared" si="19"/>
        <v>0</v>
      </c>
      <c r="AA69" s="400">
        <f t="shared" si="19"/>
        <v>0</v>
      </c>
      <c r="AB69" s="400">
        <f t="shared" si="19"/>
        <v>0</v>
      </c>
      <c r="AC69" s="489">
        <f t="shared" si="15"/>
        <v>0</v>
      </c>
      <c r="AD69" s="489">
        <f t="shared" si="16"/>
        <v>0</v>
      </c>
      <c r="AE69" s="490">
        <f t="shared" si="17"/>
        <v>0</v>
      </c>
      <c r="AF69" s="490"/>
      <c r="AG69" s="493">
        <f t="shared" si="18"/>
        <v>87702</v>
      </c>
    </row>
    <row r="70" spans="1:35" ht="12.95">
      <c r="A70" s="470"/>
      <c r="B70" s="386" t="s">
        <v>95</v>
      </c>
      <c r="C70" s="450"/>
      <c r="D70" s="482"/>
      <c r="E70" s="482"/>
      <c r="F70" s="482"/>
      <c r="G70" s="482"/>
      <c r="H70" s="482"/>
      <c r="I70" s="482"/>
      <c r="J70" s="482"/>
      <c r="K70" s="482"/>
      <c r="L70" s="482"/>
      <c r="M70" s="482"/>
      <c r="N70" s="482"/>
      <c r="O70" s="482"/>
      <c r="P70" s="482"/>
      <c r="Q70" s="482"/>
      <c r="R70" s="482"/>
      <c r="S70" s="482"/>
      <c r="T70" s="386">
        <v>2</v>
      </c>
      <c r="W70" s="485"/>
      <c r="X70" s="394"/>
      <c r="Y70" s="399"/>
      <c r="Z70" s="400">
        <f t="shared" si="19"/>
        <v>0</v>
      </c>
      <c r="AA70" s="400">
        <f t="shared" si="19"/>
        <v>0</v>
      </c>
      <c r="AB70" s="400">
        <f t="shared" si="19"/>
        <v>0</v>
      </c>
      <c r="AC70" s="491">
        <f t="shared" si="15"/>
        <v>0</v>
      </c>
      <c r="AD70" s="491">
        <f t="shared" si="16"/>
        <v>0</v>
      </c>
      <c r="AE70" s="492">
        <f t="shared" si="17"/>
        <v>0</v>
      </c>
      <c r="AF70" s="492"/>
      <c r="AG70" s="495">
        <f>SUM(AG64+AD70)-AC70-AE70-AF70</f>
        <v>9094</v>
      </c>
    </row>
    <row r="71" spans="1:35" ht="12.95">
      <c r="A71" s="470"/>
      <c r="B71" s="386" t="s">
        <v>97</v>
      </c>
      <c r="C71" s="450"/>
      <c r="D71" s="482"/>
      <c r="E71" s="482"/>
      <c r="F71" s="482"/>
      <c r="G71" s="482"/>
      <c r="H71" s="482"/>
      <c r="I71" s="482"/>
      <c r="J71" s="482"/>
      <c r="K71" s="482"/>
      <c r="L71" s="482"/>
      <c r="M71" s="482"/>
      <c r="N71" s="482"/>
      <c r="O71" s="482"/>
      <c r="P71" s="482"/>
      <c r="Q71" s="482"/>
      <c r="R71" s="482"/>
      <c r="S71" s="482"/>
      <c r="T71" s="386">
        <v>2</v>
      </c>
      <c r="W71" s="485"/>
      <c r="X71" s="394"/>
      <c r="Y71" s="399"/>
      <c r="Z71" s="400">
        <f t="shared" si="19"/>
        <v>0</v>
      </c>
      <c r="AA71" s="400">
        <f t="shared" si="19"/>
        <v>0</v>
      </c>
      <c r="AB71" s="400">
        <f t="shared" si="19"/>
        <v>0</v>
      </c>
      <c r="AC71" s="491">
        <f t="shared" ref="AC71:AC76" si="20">E71</f>
        <v>0</v>
      </c>
      <c r="AD71" s="491">
        <f t="shared" ref="AD71:AD76" si="21">D71</f>
        <v>0</v>
      </c>
      <c r="AE71" s="492">
        <f t="shared" ref="AE71:AE76" si="22">SUM(H71:S71)</f>
        <v>0</v>
      </c>
      <c r="AF71" s="492"/>
      <c r="AG71" s="495">
        <f t="shared" ref="AG71:AG75" si="23">SUM(AG65+AD71)-AC71-AE71-AF71</f>
        <v>0</v>
      </c>
    </row>
    <row r="72" spans="1:35" ht="12.95">
      <c r="A72" s="470"/>
      <c r="B72" s="386" t="s">
        <v>99</v>
      </c>
      <c r="C72" s="450"/>
      <c r="D72" s="482"/>
      <c r="E72" s="482"/>
      <c r="F72" s="482"/>
      <c r="G72" s="482"/>
      <c r="H72" s="482"/>
      <c r="I72" s="482"/>
      <c r="J72" s="482"/>
      <c r="K72" s="482"/>
      <c r="L72" s="482"/>
      <c r="M72" s="482"/>
      <c r="N72" s="482"/>
      <c r="O72" s="482"/>
      <c r="P72" s="482"/>
      <c r="Q72" s="482"/>
      <c r="R72" s="482"/>
      <c r="S72" s="482"/>
      <c r="T72" s="386">
        <v>2</v>
      </c>
      <c r="W72" s="485"/>
      <c r="X72" s="394"/>
      <c r="Y72" s="399"/>
      <c r="Z72" s="400">
        <f t="shared" si="19"/>
        <v>0</v>
      </c>
      <c r="AA72" s="400">
        <f t="shared" si="19"/>
        <v>0</v>
      </c>
      <c r="AB72" s="400">
        <f t="shared" si="19"/>
        <v>0</v>
      </c>
      <c r="AC72" s="491">
        <f t="shared" si="20"/>
        <v>0</v>
      </c>
      <c r="AD72" s="491">
        <f t="shared" si="21"/>
        <v>0</v>
      </c>
      <c r="AE72" s="492">
        <f t="shared" si="22"/>
        <v>0</v>
      </c>
      <c r="AF72" s="492"/>
      <c r="AG72" s="495">
        <f t="shared" si="23"/>
        <v>42154</v>
      </c>
    </row>
    <row r="73" spans="1:35" ht="12.95">
      <c r="A73" s="470"/>
      <c r="B73" s="386" t="s">
        <v>101</v>
      </c>
      <c r="C73" s="450"/>
      <c r="D73" s="482"/>
      <c r="E73" s="482"/>
      <c r="F73" s="482"/>
      <c r="G73" s="482"/>
      <c r="H73" s="482"/>
      <c r="I73" s="482"/>
      <c r="J73" s="482"/>
      <c r="K73" s="482"/>
      <c r="L73" s="482"/>
      <c r="M73" s="482"/>
      <c r="N73" s="482"/>
      <c r="O73" s="482"/>
      <c r="P73" s="482"/>
      <c r="Q73" s="482"/>
      <c r="R73" s="482"/>
      <c r="S73" s="482"/>
      <c r="T73" s="386">
        <v>2</v>
      </c>
      <c r="W73" s="485"/>
      <c r="X73" s="394"/>
      <c r="Y73" s="399"/>
      <c r="Z73" s="400">
        <f t="shared" si="19"/>
        <v>0</v>
      </c>
      <c r="AA73" s="400">
        <f t="shared" si="19"/>
        <v>0</v>
      </c>
      <c r="AB73" s="400">
        <f t="shared" si="19"/>
        <v>0</v>
      </c>
      <c r="AC73" s="491">
        <f t="shared" si="20"/>
        <v>0</v>
      </c>
      <c r="AD73" s="491">
        <f t="shared" si="21"/>
        <v>0</v>
      </c>
      <c r="AE73" s="492">
        <f t="shared" si="22"/>
        <v>0</v>
      </c>
      <c r="AF73" s="492"/>
      <c r="AG73" s="495">
        <f t="shared" si="23"/>
        <v>20048</v>
      </c>
    </row>
    <row r="74" spans="1:35" ht="12.95">
      <c r="A74" s="470"/>
      <c r="B74" s="386" t="s">
        <v>103</v>
      </c>
      <c r="C74" s="450"/>
      <c r="D74" s="482"/>
      <c r="E74" s="482"/>
      <c r="F74" s="482"/>
      <c r="G74" s="482"/>
      <c r="H74" s="482"/>
      <c r="I74" s="482"/>
      <c r="J74" s="482"/>
      <c r="K74" s="482"/>
      <c r="L74" s="482"/>
      <c r="M74" s="482"/>
      <c r="N74" s="482"/>
      <c r="O74" s="482"/>
      <c r="P74" s="482"/>
      <c r="Q74" s="482"/>
      <c r="R74" s="482"/>
      <c r="S74" s="482"/>
      <c r="T74" s="386">
        <v>2</v>
      </c>
      <c r="W74" s="485"/>
      <c r="X74" s="394"/>
      <c r="Y74" s="399"/>
      <c r="Z74" s="400"/>
      <c r="AA74" s="400"/>
      <c r="AB74" s="400"/>
      <c r="AC74" s="491">
        <f t="shared" si="20"/>
        <v>0</v>
      </c>
      <c r="AD74" s="491">
        <f t="shared" si="21"/>
        <v>0</v>
      </c>
      <c r="AE74" s="492">
        <f t="shared" si="22"/>
        <v>0</v>
      </c>
      <c r="AF74" s="492"/>
      <c r="AG74" s="495">
        <f t="shared" si="23"/>
        <v>52887</v>
      </c>
    </row>
    <row r="75" spans="1:35" ht="12.95">
      <c r="A75" s="470"/>
      <c r="B75" s="386" t="s">
        <v>104</v>
      </c>
      <c r="C75" s="450"/>
      <c r="D75" s="482"/>
      <c r="E75" s="482"/>
      <c r="F75" s="482"/>
      <c r="G75" s="482"/>
      <c r="H75" s="482"/>
      <c r="I75" s="482"/>
      <c r="J75" s="482"/>
      <c r="K75" s="482"/>
      <c r="L75" s="482"/>
      <c r="M75" s="482"/>
      <c r="N75" s="482"/>
      <c r="O75" s="482"/>
      <c r="P75" s="482"/>
      <c r="Q75" s="482"/>
      <c r="R75" s="482"/>
      <c r="S75" s="482"/>
      <c r="T75" s="386">
        <v>2</v>
      </c>
      <c r="W75" s="485"/>
      <c r="X75" s="394"/>
      <c r="Y75" s="399"/>
      <c r="Z75" s="400">
        <f t="shared" si="19"/>
        <v>0</v>
      </c>
      <c r="AA75" s="400">
        <f t="shared" si="19"/>
        <v>0</v>
      </c>
      <c r="AB75" s="400">
        <f t="shared" si="19"/>
        <v>0</v>
      </c>
      <c r="AC75" s="491">
        <f t="shared" si="20"/>
        <v>0</v>
      </c>
      <c r="AD75" s="491">
        <f t="shared" si="21"/>
        <v>0</v>
      </c>
      <c r="AE75" s="492">
        <f t="shared" si="22"/>
        <v>0</v>
      </c>
      <c r="AF75" s="492">
        <v>5</v>
      </c>
      <c r="AG75" s="495">
        <f t="shared" si="23"/>
        <v>87697</v>
      </c>
      <c r="AH75" s="417"/>
      <c r="AI75" s="417"/>
    </row>
    <row r="76" spans="1:35" ht="12.95">
      <c r="A76" s="468">
        <v>45815</v>
      </c>
      <c r="B76" s="382" t="s">
        <v>95</v>
      </c>
      <c r="C76" s="473">
        <v>9094</v>
      </c>
      <c r="D76" s="475"/>
      <c r="E76" s="475"/>
      <c r="F76" s="475"/>
      <c r="G76" s="475"/>
      <c r="H76" s="475"/>
      <c r="I76" s="475"/>
      <c r="J76" s="475"/>
      <c r="K76" s="475"/>
      <c r="L76" s="475"/>
      <c r="M76" s="475"/>
      <c r="N76" s="475"/>
      <c r="O76" s="475"/>
      <c r="P76" s="475"/>
      <c r="Q76" s="475"/>
      <c r="R76" s="475"/>
      <c r="S76" s="475"/>
      <c r="T76" s="382">
        <v>1</v>
      </c>
      <c r="W76" s="485">
        <f t="shared" ref="W76:W81" si="24">H76+I76+J76+K76+L76+M76+N76+O76+P76+Q76+R76+S76+H82+I82+J82+K82+L82+M82+N82+O82+P82+Q82+R82+S82</f>
        <v>0</v>
      </c>
      <c r="X76" s="394">
        <f>E76+F76+G76+E82+F82+G82</f>
        <v>0</v>
      </c>
      <c r="Y76" s="399">
        <f>H76+I76+J76+K76+L76+M76+N76+O76+P76+Q76+R76+S76+H82+I82+J82+K82+L82+M82+N82+O82+P82+Q82+R82+S82</f>
        <v>0</v>
      </c>
      <c r="Z76" s="400">
        <f t="shared" si="19"/>
        <v>0</v>
      </c>
      <c r="AA76" s="400">
        <f t="shared" si="19"/>
        <v>0</v>
      </c>
      <c r="AB76" s="400">
        <f t="shared" si="19"/>
        <v>0</v>
      </c>
      <c r="AC76" s="489">
        <f t="shared" si="20"/>
        <v>0</v>
      </c>
      <c r="AD76" s="489">
        <f t="shared" si="21"/>
        <v>0</v>
      </c>
      <c r="AE76" s="490">
        <f t="shared" si="22"/>
        <v>0</v>
      </c>
      <c r="AF76" s="490"/>
      <c r="AG76" s="493">
        <f>SUM(C76+AD76)-AC76-AE76-AF76</f>
        <v>9094</v>
      </c>
      <c r="AH76" s="494">
        <f>SUM(AC76:AC87)</f>
        <v>0</v>
      </c>
      <c r="AI76" s="378" t="s">
        <v>112</v>
      </c>
    </row>
    <row r="77" spans="1:35" ht="12.95">
      <c r="A77" s="468"/>
      <c r="B77" s="382" t="s">
        <v>97</v>
      </c>
      <c r="C77" s="473">
        <v>0</v>
      </c>
      <c r="D77" s="475"/>
      <c r="E77" s="475"/>
      <c r="F77" s="475"/>
      <c r="G77" s="475"/>
      <c r="H77" s="475"/>
      <c r="I77" s="475"/>
      <c r="J77" s="475"/>
      <c r="K77" s="475"/>
      <c r="L77" s="475"/>
      <c r="M77" s="475"/>
      <c r="N77" s="475"/>
      <c r="O77" s="475"/>
      <c r="P77" s="475"/>
      <c r="Q77" s="475"/>
      <c r="R77" s="475"/>
      <c r="S77" s="475"/>
      <c r="T77" s="382">
        <v>1</v>
      </c>
      <c r="W77" s="485">
        <f t="shared" si="24"/>
        <v>0</v>
      </c>
      <c r="X77" s="394">
        <f>E77+F77+G77+E83+F83+G83</f>
        <v>0</v>
      </c>
      <c r="Y77" s="399">
        <f>H77+I77+J77+K77+L77+M77+N77+O77+P77+Q77+R77+S77+H83+I83+J83+K83+L83+M83+N83+O83+P83+Q83+R83+S83</f>
        <v>0</v>
      </c>
      <c r="Z77" s="400">
        <f t="shared" si="19"/>
        <v>0</v>
      </c>
      <c r="AA77" s="400">
        <f t="shared" si="19"/>
        <v>0</v>
      </c>
      <c r="AB77" s="400">
        <f t="shared" si="19"/>
        <v>0</v>
      </c>
      <c r="AC77" s="489">
        <f t="shared" ref="AC77:AC82" si="25">E77</f>
        <v>0</v>
      </c>
      <c r="AD77" s="489">
        <f t="shared" ref="AD77:AD82" si="26">D77</f>
        <v>0</v>
      </c>
      <c r="AE77" s="490">
        <f t="shared" ref="AE77:AE82" si="27">SUM(H77:S77)</f>
        <v>0</v>
      </c>
      <c r="AF77" s="490"/>
      <c r="AG77" s="493">
        <f t="shared" ref="AG77:AG81" si="28">SUM(C77+AD77)-AC77-AE77-AF77</f>
        <v>0</v>
      </c>
      <c r="AH77" s="494">
        <f>SUM(AD76:AD87)</f>
        <v>0</v>
      </c>
      <c r="AI77" s="378" t="s">
        <v>108</v>
      </c>
    </row>
    <row r="78" spans="1:35" ht="12.95">
      <c r="A78" s="468"/>
      <c r="B78" s="382" t="s">
        <v>99</v>
      </c>
      <c r="C78" s="473">
        <v>42175</v>
      </c>
      <c r="D78" s="475"/>
      <c r="E78" s="475"/>
      <c r="F78" s="475"/>
      <c r="G78" s="475"/>
      <c r="H78" s="475"/>
      <c r="I78" s="475"/>
      <c r="J78" s="475"/>
      <c r="K78" s="475"/>
      <c r="L78" s="475"/>
      <c r="M78" s="475"/>
      <c r="N78" s="475"/>
      <c r="O78" s="475"/>
      <c r="P78" s="475"/>
      <c r="Q78" s="475"/>
      <c r="R78" s="475"/>
      <c r="S78" s="475"/>
      <c r="T78" s="382">
        <v>1</v>
      </c>
      <c r="W78" s="485">
        <f t="shared" si="24"/>
        <v>0</v>
      </c>
      <c r="X78" s="394">
        <f>E78+F78+G78+E84+F84+G84</f>
        <v>0</v>
      </c>
      <c r="Y78" s="399">
        <f>H78+I78+J78+K78+L78+M78+N78+O78+P78+Q78+R78+S78+H84+I84+J84+K84+L84+M84+N84+O84+P84+Q84+R84+S84</f>
        <v>0</v>
      </c>
      <c r="Z78" s="400">
        <f t="shared" si="19"/>
        <v>0</v>
      </c>
      <c r="AA78" s="400">
        <f t="shared" si="19"/>
        <v>0</v>
      </c>
      <c r="AB78" s="400">
        <f t="shared" si="19"/>
        <v>0</v>
      </c>
      <c r="AC78" s="489">
        <f t="shared" si="25"/>
        <v>0</v>
      </c>
      <c r="AD78" s="489">
        <f t="shared" si="26"/>
        <v>0</v>
      </c>
      <c r="AE78" s="490">
        <f t="shared" si="27"/>
        <v>0</v>
      </c>
      <c r="AF78" s="490"/>
      <c r="AG78" s="493">
        <f t="shared" si="28"/>
        <v>42175</v>
      </c>
      <c r="AH78" s="494">
        <f>SUM(AE76:AE87)</f>
        <v>0</v>
      </c>
      <c r="AI78" s="378" t="s">
        <v>109</v>
      </c>
    </row>
    <row r="79" spans="1:35" ht="12.95">
      <c r="A79" s="468"/>
      <c r="B79" s="382" t="s">
        <v>101</v>
      </c>
      <c r="C79" s="473">
        <v>20048</v>
      </c>
      <c r="D79" s="475"/>
      <c r="E79" s="475"/>
      <c r="F79" s="475"/>
      <c r="G79" s="475"/>
      <c r="H79" s="475"/>
      <c r="I79" s="475"/>
      <c r="J79" s="475"/>
      <c r="K79" s="475"/>
      <c r="L79" s="475"/>
      <c r="M79" s="475"/>
      <c r="N79" s="475"/>
      <c r="O79" s="475"/>
      <c r="P79" s="475"/>
      <c r="Q79" s="475"/>
      <c r="R79" s="475"/>
      <c r="S79" s="475"/>
      <c r="T79" s="382">
        <v>1</v>
      </c>
      <c r="W79" s="485">
        <f t="shared" si="24"/>
        <v>0</v>
      </c>
      <c r="X79" s="394">
        <f>E79+F79+G79+E85+F85+G85</f>
        <v>0</v>
      </c>
      <c r="Y79" s="399">
        <f>H79+I79+J79+K79+L79+M79+N79+O79+P79+Q79+R79+S79+H85+I85+J85+K85+L85+M85+N85+O85+P85+Q85+R85+S85</f>
        <v>0</v>
      </c>
      <c r="Z79" s="400">
        <f t="shared" si="19"/>
        <v>0</v>
      </c>
      <c r="AA79" s="400">
        <f t="shared" si="19"/>
        <v>0</v>
      </c>
      <c r="AB79" s="400">
        <f t="shared" si="19"/>
        <v>0</v>
      </c>
      <c r="AC79" s="489">
        <f t="shared" si="25"/>
        <v>0</v>
      </c>
      <c r="AD79" s="489">
        <f t="shared" si="26"/>
        <v>0</v>
      </c>
      <c r="AE79" s="490">
        <f t="shared" si="27"/>
        <v>0</v>
      </c>
      <c r="AF79" s="490"/>
      <c r="AG79" s="493">
        <f t="shared" si="28"/>
        <v>20048</v>
      </c>
      <c r="AH79" s="494">
        <f>SUM(AF76:AF87)</f>
        <v>44</v>
      </c>
      <c r="AI79" s="378" t="s">
        <v>113</v>
      </c>
    </row>
    <row r="80" spans="1:35" ht="12.95">
      <c r="A80" s="468"/>
      <c r="B80" s="382" t="s">
        <v>103</v>
      </c>
      <c r="C80" s="473">
        <v>52887</v>
      </c>
      <c r="D80" s="475"/>
      <c r="E80" s="475"/>
      <c r="F80" s="475"/>
      <c r="G80" s="475"/>
      <c r="H80" s="475"/>
      <c r="I80" s="475"/>
      <c r="J80" s="475"/>
      <c r="K80" s="475"/>
      <c r="L80" s="475"/>
      <c r="M80" s="475"/>
      <c r="N80" s="475"/>
      <c r="O80" s="475"/>
      <c r="P80" s="475"/>
      <c r="Q80" s="475"/>
      <c r="R80" s="475"/>
      <c r="S80" s="475"/>
      <c r="T80" s="382">
        <v>1</v>
      </c>
      <c r="W80" s="485">
        <f t="shared" si="24"/>
        <v>0</v>
      </c>
      <c r="X80" s="394"/>
      <c r="Y80" s="399"/>
      <c r="Z80" s="400"/>
      <c r="AA80" s="400"/>
      <c r="AB80" s="400"/>
      <c r="AC80" s="489">
        <f t="shared" si="25"/>
        <v>0</v>
      </c>
      <c r="AD80" s="489">
        <f t="shared" si="26"/>
        <v>0</v>
      </c>
      <c r="AE80" s="490">
        <f t="shared" si="27"/>
        <v>0</v>
      </c>
      <c r="AF80" s="490">
        <v>9</v>
      </c>
      <c r="AG80" s="493">
        <f t="shared" si="28"/>
        <v>52878</v>
      </c>
      <c r="AH80" s="494">
        <f>SUM(AG82:AG87)</f>
        <v>211862</v>
      </c>
      <c r="AI80" s="378" t="s">
        <v>114</v>
      </c>
    </row>
    <row r="81" spans="1:35" ht="12.95">
      <c r="A81" s="468"/>
      <c r="B81" s="382" t="s">
        <v>104</v>
      </c>
      <c r="C81" s="473">
        <v>87702</v>
      </c>
      <c r="D81" s="475"/>
      <c r="E81" s="475"/>
      <c r="F81" s="475"/>
      <c r="G81" s="475"/>
      <c r="H81" s="475"/>
      <c r="I81" s="475"/>
      <c r="J81" s="475"/>
      <c r="K81" s="475"/>
      <c r="L81" s="475"/>
      <c r="M81" s="475"/>
      <c r="N81" s="475"/>
      <c r="O81" s="475"/>
      <c r="P81" s="475"/>
      <c r="Q81" s="475"/>
      <c r="R81" s="475"/>
      <c r="S81" s="475"/>
      <c r="T81" s="382">
        <v>1</v>
      </c>
      <c r="W81" s="485">
        <f t="shared" si="24"/>
        <v>0</v>
      </c>
      <c r="X81" s="394">
        <f>E81+F81+G81+E87+F87+G87</f>
        <v>0</v>
      </c>
      <c r="Y81" s="399">
        <f>H81+I81+J81+K81+L81+M81+N81+O81+P81+Q81+R81+S81+H87+I87+J87+K87+L87+M87+N87+O87+P87+Q87+R87+S87</f>
        <v>0</v>
      </c>
      <c r="Z81" s="400">
        <f t="shared" si="19"/>
        <v>0</v>
      </c>
      <c r="AA81" s="400">
        <f t="shared" si="19"/>
        <v>0</v>
      </c>
      <c r="AB81" s="400">
        <f t="shared" si="19"/>
        <v>0</v>
      </c>
      <c r="AC81" s="489">
        <f t="shared" si="25"/>
        <v>0</v>
      </c>
      <c r="AD81" s="489">
        <f t="shared" si="26"/>
        <v>0</v>
      </c>
      <c r="AE81" s="490">
        <f t="shared" si="27"/>
        <v>0</v>
      </c>
      <c r="AF81" s="490">
        <v>3</v>
      </c>
      <c r="AG81" s="493">
        <f t="shared" si="28"/>
        <v>87699</v>
      </c>
    </row>
    <row r="82" spans="1:35" ht="12.95">
      <c r="A82" s="470"/>
      <c r="B82" s="386" t="s">
        <v>95</v>
      </c>
      <c r="C82" s="450"/>
      <c r="D82" s="482"/>
      <c r="E82" s="482"/>
      <c r="F82" s="482"/>
      <c r="G82" s="482"/>
      <c r="H82" s="482"/>
      <c r="I82" s="482"/>
      <c r="J82" s="482"/>
      <c r="K82" s="482"/>
      <c r="L82" s="482"/>
      <c r="M82" s="482"/>
      <c r="N82" s="482"/>
      <c r="O82" s="482"/>
      <c r="P82" s="482"/>
      <c r="Q82" s="482"/>
      <c r="R82" s="482"/>
      <c r="S82" s="482"/>
      <c r="T82" s="386">
        <v>2</v>
      </c>
      <c r="W82" s="485"/>
      <c r="X82" s="394"/>
      <c r="Y82" s="399"/>
      <c r="Z82" s="400">
        <f t="shared" si="19"/>
        <v>0</v>
      </c>
      <c r="AA82" s="400">
        <f t="shared" si="19"/>
        <v>0</v>
      </c>
      <c r="AB82" s="400">
        <f t="shared" si="19"/>
        <v>0</v>
      </c>
      <c r="AC82" s="491">
        <f t="shared" si="25"/>
        <v>0</v>
      </c>
      <c r="AD82" s="491">
        <f t="shared" si="26"/>
        <v>0</v>
      </c>
      <c r="AE82" s="492">
        <f t="shared" si="27"/>
        <v>0</v>
      </c>
      <c r="AF82" s="492"/>
      <c r="AG82" s="495">
        <f>SUM(AG76+AD82)-AC82-AE82-AF82</f>
        <v>9094</v>
      </c>
    </row>
    <row r="83" spans="1:35" ht="12.95">
      <c r="A83" s="470"/>
      <c r="B83" s="386" t="s">
        <v>97</v>
      </c>
      <c r="C83" s="450"/>
      <c r="D83" s="482"/>
      <c r="E83" s="482"/>
      <c r="F83" s="482"/>
      <c r="G83" s="482"/>
      <c r="H83" s="482"/>
      <c r="I83" s="482"/>
      <c r="J83" s="482"/>
      <c r="K83" s="482"/>
      <c r="L83" s="482"/>
      <c r="M83" s="482"/>
      <c r="N83" s="482"/>
      <c r="O83" s="482"/>
      <c r="P83" s="482"/>
      <c r="Q83" s="482"/>
      <c r="R83" s="482"/>
      <c r="S83" s="482"/>
      <c r="T83" s="386">
        <v>2</v>
      </c>
      <c r="W83" s="485"/>
      <c r="X83" s="394"/>
      <c r="Y83" s="399"/>
      <c r="Z83" s="400">
        <f t="shared" si="19"/>
        <v>0</v>
      </c>
      <c r="AA83" s="400">
        <f t="shared" si="19"/>
        <v>0</v>
      </c>
      <c r="AB83" s="400">
        <f t="shared" si="19"/>
        <v>0</v>
      </c>
      <c r="AC83" s="491">
        <f t="shared" ref="AC83:AC88" si="29">E83</f>
        <v>0</v>
      </c>
      <c r="AD83" s="491">
        <f t="shared" ref="AD83:AD88" si="30">D83</f>
        <v>0</v>
      </c>
      <c r="AE83" s="492">
        <f t="shared" ref="AE83:AE88" si="31">SUM(H83:S83)</f>
        <v>0</v>
      </c>
      <c r="AF83" s="492"/>
      <c r="AG83" s="495">
        <f t="shared" ref="AG83:AG87" si="32">SUM(AG77+AD83)-AC83-AE83-AF83</f>
        <v>0</v>
      </c>
    </row>
    <row r="84" spans="1:35" ht="12.95">
      <c r="A84" s="470"/>
      <c r="B84" s="386" t="s">
        <v>99</v>
      </c>
      <c r="C84" s="450"/>
      <c r="D84" s="482"/>
      <c r="E84" s="482"/>
      <c r="F84" s="482"/>
      <c r="G84" s="482"/>
      <c r="H84" s="482"/>
      <c r="I84" s="482"/>
      <c r="J84" s="482"/>
      <c r="K84" s="482"/>
      <c r="L84" s="482"/>
      <c r="M84" s="482"/>
      <c r="N84" s="482"/>
      <c r="O84" s="482"/>
      <c r="P84" s="482"/>
      <c r="Q84" s="482"/>
      <c r="R84" s="482"/>
      <c r="S84" s="482"/>
      <c r="T84" s="386">
        <v>2</v>
      </c>
      <c r="W84" s="485"/>
      <c r="X84" s="394"/>
      <c r="Y84" s="399"/>
      <c r="Z84" s="400">
        <f t="shared" si="19"/>
        <v>0</v>
      </c>
      <c r="AA84" s="400">
        <f t="shared" si="19"/>
        <v>0</v>
      </c>
      <c r="AB84" s="400">
        <f t="shared" si="19"/>
        <v>0</v>
      </c>
      <c r="AC84" s="491">
        <f t="shared" si="29"/>
        <v>0</v>
      </c>
      <c r="AD84" s="491">
        <f t="shared" si="30"/>
        <v>0</v>
      </c>
      <c r="AE84" s="492">
        <f t="shared" si="31"/>
        <v>0</v>
      </c>
      <c r="AF84" s="492"/>
      <c r="AG84" s="495">
        <f t="shared" si="32"/>
        <v>42175</v>
      </c>
    </row>
    <row r="85" spans="1:35" ht="12.95">
      <c r="A85" s="470"/>
      <c r="B85" s="386" t="s">
        <v>101</v>
      </c>
      <c r="C85" s="450"/>
      <c r="D85" s="482"/>
      <c r="E85" s="482"/>
      <c r="F85" s="482"/>
      <c r="G85" s="482"/>
      <c r="H85" s="482"/>
      <c r="I85" s="482"/>
      <c r="J85" s="482"/>
      <c r="K85" s="482"/>
      <c r="L85" s="482"/>
      <c r="M85" s="482"/>
      <c r="N85" s="482"/>
      <c r="O85" s="482"/>
      <c r="P85" s="482"/>
      <c r="Q85" s="482"/>
      <c r="R85" s="482"/>
      <c r="S85" s="482"/>
      <c r="T85" s="386">
        <v>2</v>
      </c>
      <c r="W85" s="485"/>
      <c r="X85" s="394"/>
      <c r="Y85" s="399"/>
      <c r="Z85" s="400">
        <f t="shared" si="19"/>
        <v>0</v>
      </c>
      <c r="AA85" s="400">
        <f t="shared" si="19"/>
        <v>0</v>
      </c>
      <c r="AB85" s="400">
        <f t="shared" si="19"/>
        <v>0</v>
      </c>
      <c r="AC85" s="491">
        <f t="shared" si="29"/>
        <v>0</v>
      </c>
      <c r="AD85" s="491">
        <f t="shared" si="30"/>
        <v>0</v>
      </c>
      <c r="AE85" s="492">
        <f t="shared" si="31"/>
        <v>0</v>
      </c>
      <c r="AF85" s="492">
        <v>13</v>
      </c>
      <c r="AG85" s="495">
        <f t="shared" si="32"/>
        <v>20035</v>
      </c>
    </row>
    <row r="86" spans="1:35" ht="12.95">
      <c r="A86" s="470"/>
      <c r="B86" s="386" t="s">
        <v>103</v>
      </c>
      <c r="C86" s="450"/>
      <c r="D86" s="482"/>
      <c r="E86" s="482"/>
      <c r="F86" s="482"/>
      <c r="G86" s="482"/>
      <c r="H86" s="482"/>
      <c r="I86" s="482"/>
      <c r="J86" s="482"/>
      <c r="K86" s="482"/>
      <c r="L86" s="482"/>
      <c r="M86" s="482"/>
      <c r="N86" s="482"/>
      <c r="O86" s="482"/>
      <c r="P86" s="482"/>
      <c r="Q86" s="482"/>
      <c r="R86" s="482"/>
      <c r="S86" s="482"/>
      <c r="T86" s="386">
        <v>2</v>
      </c>
      <c r="W86" s="485"/>
      <c r="X86" s="394"/>
      <c r="Y86" s="399"/>
      <c r="Z86" s="400"/>
      <c r="AA86" s="400"/>
      <c r="AB86" s="400"/>
      <c r="AC86" s="491">
        <f t="shared" si="29"/>
        <v>0</v>
      </c>
      <c r="AD86" s="491">
        <f t="shared" si="30"/>
        <v>0</v>
      </c>
      <c r="AE86" s="492">
        <f t="shared" si="31"/>
        <v>0</v>
      </c>
      <c r="AF86" s="492"/>
      <c r="AG86" s="495">
        <f t="shared" si="32"/>
        <v>52878</v>
      </c>
    </row>
    <row r="87" spans="1:35" ht="12.95">
      <c r="A87" s="470"/>
      <c r="B87" s="386" t="s">
        <v>104</v>
      </c>
      <c r="C87" s="450"/>
      <c r="D87" s="482"/>
      <c r="E87" s="482"/>
      <c r="F87" s="482"/>
      <c r="G87" s="482"/>
      <c r="H87" s="482"/>
      <c r="I87" s="482"/>
      <c r="J87" s="482"/>
      <c r="K87" s="482"/>
      <c r="L87" s="482"/>
      <c r="M87" s="482"/>
      <c r="N87" s="482"/>
      <c r="O87" s="482"/>
      <c r="P87" s="482"/>
      <c r="Q87" s="482"/>
      <c r="R87" s="482"/>
      <c r="S87" s="482"/>
      <c r="T87" s="386">
        <v>2</v>
      </c>
      <c r="W87" s="485"/>
      <c r="X87" s="394"/>
      <c r="Y87" s="399"/>
      <c r="Z87" s="400">
        <f t="shared" si="19"/>
        <v>0</v>
      </c>
      <c r="AA87" s="400">
        <f t="shared" si="19"/>
        <v>0</v>
      </c>
      <c r="AB87" s="400">
        <f t="shared" si="19"/>
        <v>0</v>
      </c>
      <c r="AC87" s="491">
        <f t="shared" si="29"/>
        <v>0</v>
      </c>
      <c r="AD87" s="491">
        <f t="shared" si="30"/>
        <v>0</v>
      </c>
      <c r="AE87" s="492">
        <f t="shared" si="31"/>
        <v>0</v>
      </c>
      <c r="AF87" s="492">
        <v>19</v>
      </c>
      <c r="AG87" s="495">
        <f t="shared" si="32"/>
        <v>87680</v>
      </c>
      <c r="AH87" s="417"/>
      <c r="AI87" s="417"/>
    </row>
    <row r="88" spans="1:35" ht="12.95">
      <c r="A88" s="468">
        <v>45816</v>
      </c>
      <c r="B88" s="382" t="s">
        <v>95</v>
      </c>
      <c r="C88" s="496">
        <v>9094</v>
      </c>
      <c r="D88" s="476"/>
      <c r="E88" s="476"/>
      <c r="F88" s="497"/>
      <c r="G88" s="497"/>
      <c r="H88" s="497"/>
      <c r="I88" s="497"/>
      <c r="J88" s="497"/>
      <c r="K88" s="497"/>
      <c r="L88" s="497"/>
      <c r="M88" s="497"/>
      <c r="N88" s="497"/>
      <c r="O88" s="497"/>
      <c r="P88" s="497"/>
      <c r="Q88" s="497"/>
      <c r="R88" s="452"/>
      <c r="S88" s="452"/>
      <c r="T88" s="382">
        <v>1</v>
      </c>
      <c r="W88" s="485">
        <f t="shared" ref="W88:W93" si="33">H88+I88+J88+K88+L88+M88+N88+O88+P88+Q88+R88+S88+H94+I94+J94+K94+L94+M94+N94+O94+P94+Q94+R94+S94</f>
        <v>0</v>
      </c>
      <c r="X88" s="394">
        <f>E88+F88+G88+E94+F94+G94</f>
        <v>0</v>
      </c>
      <c r="Y88" s="399">
        <f>H88+I88+J88+K88+L88+M88+N88+O88+P88+Q88+R88+S88+H94+I94+J94+K94+L94+M94+N94+O94+P94+Q94+R94+S94</f>
        <v>0</v>
      </c>
      <c r="Z88" s="400">
        <f t="shared" si="19"/>
        <v>0</v>
      </c>
      <c r="AA88" s="400">
        <f t="shared" si="19"/>
        <v>0</v>
      </c>
      <c r="AB88" s="400">
        <f t="shared" si="19"/>
        <v>0</v>
      </c>
      <c r="AC88" s="489">
        <f t="shared" si="29"/>
        <v>0</v>
      </c>
      <c r="AD88" s="489">
        <f t="shared" si="30"/>
        <v>0</v>
      </c>
      <c r="AE88" s="490">
        <f t="shared" si="31"/>
        <v>0</v>
      </c>
      <c r="AF88" s="490"/>
      <c r="AG88" s="493">
        <f>SUM(C88+AD88)-AC88-AE88-AF88</f>
        <v>9094</v>
      </c>
      <c r="AH88" s="494">
        <f>SUM(AC88:AC99)</f>
        <v>12040</v>
      </c>
      <c r="AI88" s="378" t="s">
        <v>112</v>
      </c>
    </row>
    <row r="89" spans="1:35" ht="12.95">
      <c r="A89" s="468"/>
      <c r="B89" s="382" t="s">
        <v>97</v>
      </c>
      <c r="C89" s="496">
        <v>0</v>
      </c>
      <c r="D89" s="476"/>
      <c r="E89" s="476"/>
      <c r="F89" s="497"/>
      <c r="G89" s="497"/>
      <c r="H89" s="497"/>
      <c r="I89" s="497"/>
      <c r="J89" s="497"/>
      <c r="K89" s="497"/>
      <c r="L89" s="497"/>
      <c r="M89" s="497"/>
      <c r="N89" s="497"/>
      <c r="O89" s="497"/>
      <c r="P89" s="497"/>
      <c r="Q89" s="497"/>
      <c r="R89" s="452"/>
      <c r="S89" s="452"/>
      <c r="T89" s="382">
        <v>1</v>
      </c>
      <c r="W89" s="485">
        <f t="shared" si="33"/>
        <v>0</v>
      </c>
      <c r="X89" s="394">
        <f>E89+F89+G89+E95+F95+G95</f>
        <v>0</v>
      </c>
      <c r="Y89" s="399">
        <f>H89+I89+J89+K89+L89+M89+N89+O89+P89+Q89+R89+S89+H95+I95+J95+K95+L95+M95+N95+O95+P95+Q95+R95+S95</f>
        <v>0</v>
      </c>
      <c r="Z89" s="400">
        <f t="shared" si="19"/>
        <v>0</v>
      </c>
      <c r="AA89" s="400">
        <f t="shared" si="19"/>
        <v>0</v>
      </c>
      <c r="AB89" s="400">
        <f t="shared" si="19"/>
        <v>0</v>
      </c>
      <c r="AC89" s="489">
        <f t="shared" ref="AC89:AC94" si="34">E89</f>
        <v>0</v>
      </c>
      <c r="AD89" s="489">
        <f t="shared" ref="AD89:AD94" si="35">D89</f>
        <v>0</v>
      </c>
      <c r="AE89" s="490">
        <f t="shared" ref="AE89:AE94" si="36">SUM(H89:S89)</f>
        <v>0</v>
      </c>
      <c r="AF89" s="490"/>
      <c r="AG89" s="493">
        <f t="shared" ref="AG89:AG93" si="37">SUM(C89+AD89)-AC89-AE89-AF89</f>
        <v>0</v>
      </c>
      <c r="AH89" s="494">
        <f>SUM(AD88:AD99)</f>
        <v>0</v>
      </c>
      <c r="AI89" s="378" t="s">
        <v>108</v>
      </c>
    </row>
    <row r="90" spans="1:35" ht="12.95">
      <c r="A90" s="468"/>
      <c r="B90" s="382" t="s">
        <v>99</v>
      </c>
      <c r="C90" s="496">
        <v>42175</v>
      </c>
      <c r="D90" s="476"/>
      <c r="E90" s="476"/>
      <c r="F90" s="497"/>
      <c r="G90" s="497"/>
      <c r="H90" s="497"/>
      <c r="I90" s="497"/>
      <c r="J90" s="497"/>
      <c r="K90" s="497"/>
      <c r="L90" s="497"/>
      <c r="M90" s="497"/>
      <c r="N90" s="497"/>
      <c r="O90" s="497"/>
      <c r="P90" s="497"/>
      <c r="Q90" s="497"/>
      <c r="R90" s="452"/>
      <c r="S90" s="452"/>
      <c r="T90" s="382">
        <v>1</v>
      </c>
      <c r="W90" s="485">
        <f t="shared" si="33"/>
        <v>0</v>
      </c>
      <c r="X90" s="394">
        <f>E90+F90+G90+E96+F96+G96</f>
        <v>0</v>
      </c>
      <c r="Y90" s="399">
        <f>H90+I90+J90+K90+L90+M90+N90+O90+P90+Q90+R90+S90+H96+I96+J96+K96+L96+M96+N96+O96+P96+Q96+R96+S96</f>
        <v>0</v>
      </c>
      <c r="Z90" s="400">
        <f t="shared" si="19"/>
        <v>0</v>
      </c>
      <c r="AA90" s="400">
        <f t="shared" si="19"/>
        <v>0</v>
      </c>
      <c r="AB90" s="400">
        <f t="shared" si="19"/>
        <v>0</v>
      </c>
      <c r="AC90" s="489">
        <f t="shared" si="34"/>
        <v>0</v>
      </c>
      <c r="AD90" s="489">
        <f t="shared" si="35"/>
        <v>0</v>
      </c>
      <c r="AE90" s="490">
        <f t="shared" si="36"/>
        <v>0</v>
      </c>
      <c r="AF90" s="490"/>
      <c r="AG90" s="493">
        <f t="shared" si="37"/>
        <v>42175</v>
      </c>
      <c r="AH90" s="494">
        <f>SUM(AE88:AE99)</f>
        <v>28.007000000000001</v>
      </c>
      <c r="AI90" s="378" t="s">
        <v>109</v>
      </c>
    </row>
    <row r="91" spans="1:35" ht="12.95">
      <c r="A91" s="468"/>
      <c r="B91" s="382" t="s">
        <v>101</v>
      </c>
      <c r="C91" s="496">
        <v>20048</v>
      </c>
      <c r="D91" s="476"/>
      <c r="E91" s="476"/>
      <c r="F91" s="497"/>
      <c r="G91" s="497"/>
      <c r="H91" s="497"/>
      <c r="I91" s="497"/>
      <c r="J91" s="497"/>
      <c r="K91" s="497"/>
      <c r="L91" s="497"/>
      <c r="M91" s="497"/>
      <c r="N91" s="497"/>
      <c r="O91" s="497"/>
      <c r="P91" s="497"/>
      <c r="Q91" s="497"/>
      <c r="R91" s="452"/>
      <c r="S91" s="452"/>
      <c r="T91" s="382">
        <v>1</v>
      </c>
      <c r="W91" s="485">
        <f t="shared" si="33"/>
        <v>7.0069999999999997</v>
      </c>
      <c r="X91" s="394">
        <f>E91+F91+G91+E97+F97+G97</f>
        <v>4000</v>
      </c>
      <c r="Y91" s="399">
        <f>H91+I91+J91+K91+L91+M91+N91+O91+P91+Q91+R91+S91+H97+I97+J97+K97+L97+M97+N97+O97+P97+Q97+R97+S97</f>
        <v>7.0069999999999997</v>
      </c>
      <c r="Z91" s="400">
        <f t="shared" si="19"/>
        <v>0</v>
      </c>
      <c r="AA91" s="400">
        <f t="shared" si="19"/>
        <v>0</v>
      </c>
      <c r="AB91" s="400">
        <f t="shared" si="19"/>
        <v>0</v>
      </c>
      <c r="AC91" s="489">
        <f t="shared" si="34"/>
        <v>0</v>
      </c>
      <c r="AD91" s="489">
        <f t="shared" si="35"/>
        <v>0</v>
      </c>
      <c r="AE91" s="490">
        <f t="shared" si="36"/>
        <v>0</v>
      </c>
      <c r="AF91" s="490"/>
      <c r="AG91" s="493">
        <f t="shared" si="37"/>
        <v>20048</v>
      </c>
      <c r="AH91" s="494">
        <f>SUM(AF88:AF99)</f>
        <v>0</v>
      </c>
      <c r="AI91" s="378" t="s">
        <v>113</v>
      </c>
    </row>
    <row r="92" spans="1:35" ht="12.95">
      <c r="A92" s="468"/>
      <c r="B92" s="382" t="s">
        <v>103</v>
      </c>
      <c r="C92" s="496">
        <v>37246</v>
      </c>
      <c r="D92" s="476"/>
      <c r="E92" s="476"/>
      <c r="F92" s="497"/>
      <c r="G92" s="497"/>
      <c r="H92" s="497"/>
      <c r="I92" s="497"/>
      <c r="J92" s="497"/>
      <c r="K92" s="497"/>
      <c r="L92" s="497"/>
      <c r="M92" s="497"/>
      <c r="N92" s="497"/>
      <c r="O92" s="497"/>
      <c r="P92" s="497"/>
      <c r="Q92" s="497"/>
      <c r="R92" s="452"/>
      <c r="S92" s="452"/>
      <c r="T92" s="382">
        <v>1</v>
      </c>
      <c r="W92" s="485">
        <f t="shared" si="33"/>
        <v>0</v>
      </c>
      <c r="X92" s="394"/>
      <c r="Y92" s="399"/>
      <c r="Z92" s="400"/>
      <c r="AA92" s="400"/>
      <c r="AB92" s="400"/>
      <c r="AC92" s="489">
        <f t="shared" si="34"/>
        <v>0</v>
      </c>
      <c r="AD92" s="489">
        <f t="shared" si="35"/>
        <v>0</v>
      </c>
      <c r="AE92" s="490">
        <f t="shared" si="36"/>
        <v>0</v>
      </c>
      <c r="AF92" s="490"/>
      <c r="AG92" s="493">
        <f t="shared" si="37"/>
        <v>37246</v>
      </c>
      <c r="AH92" s="494">
        <f>SUM(AG94:AG99)</f>
        <v>175974.99299999999</v>
      </c>
      <c r="AI92" s="378" t="s">
        <v>114</v>
      </c>
    </row>
    <row r="93" spans="1:35" ht="12.95">
      <c r="A93" s="468"/>
      <c r="B93" s="382" t="s">
        <v>104</v>
      </c>
      <c r="C93" s="496">
        <v>79480</v>
      </c>
      <c r="D93" s="476"/>
      <c r="E93" s="476"/>
      <c r="F93" s="497"/>
      <c r="G93" s="497"/>
      <c r="H93" s="497"/>
      <c r="I93" s="497"/>
      <c r="J93" s="497"/>
      <c r="K93" s="497"/>
      <c r="L93" s="497"/>
      <c r="M93" s="497"/>
      <c r="N93" s="497"/>
      <c r="O93" s="497"/>
      <c r="P93" s="497"/>
      <c r="Q93" s="497"/>
      <c r="R93" s="452"/>
      <c r="S93" s="452"/>
      <c r="T93" s="382">
        <v>1</v>
      </c>
      <c r="W93" s="485">
        <f t="shared" si="33"/>
        <v>21</v>
      </c>
      <c r="X93" s="394">
        <f>E93+F93+G93+E99+F99+G99</f>
        <v>8040</v>
      </c>
      <c r="Y93" s="399">
        <f>H93+I93+J93+K93+L93+M93+N93+O93+P93+Q93+R93+S93+H99+I99+J99+K99+L99+M99+N99+O99+P99+Q99+R99+S99</f>
        <v>21</v>
      </c>
      <c r="Z93" s="400">
        <f t="shared" si="19"/>
        <v>0</v>
      </c>
      <c r="AA93" s="400">
        <f t="shared" si="19"/>
        <v>0</v>
      </c>
      <c r="AB93" s="400">
        <f t="shared" si="19"/>
        <v>0</v>
      </c>
      <c r="AC93" s="489">
        <f t="shared" si="34"/>
        <v>0</v>
      </c>
      <c r="AD93" s="489">
        <f t="shared" si="35"/>
        <v>0</v>
      </c>
      <c r="AE93" s="490">
        <f t="shared" si="36"/>
        <v>0</v>
      </c>
      <c r="AF93" s="490"/>
      <c r="AG93" s="493">
        <f t="shared" si="37"/>
        <v>79480</v>
      </c>
    </row>
    <row r="94" spans="1:35" ht="12.95">
      <c r="A94" s="470"/>
      <c r="B94" s="386" t="s">
        <v>95</v>
      </c>
      <c r="C94" s="480"/>
      <c r="D94" s="480"/>
      <c r="E94" s="480"/>
      <c r="F94" s="498"/>
      <c r="G94" s="498"/>
      <c r="H94" s="498"/>
      <c r="I94" s="498"/>
      <c r="J94" s="498"/>
      <c r="K94" s="498"/>
      <c r="L94" s="498"/>
      <c r="M94" s="498"/>
      <c r="N94" s="498"/>
      <c r="O94" s="498"/>
      <c r="P94" s="498"/>
      <c r="Q94" s="498"/>
      <c r="R94" s="388"/>
      <c r="S94" s="388"/>
      <c r="T94" s="386">
        <v>2</v>
      </c>
      <c r="W94" s="485"/>
      <c r="X94" s="394"/>
      <c r="Y94" s="399"/>
      <c r="Z94" s="400">
        <f t="shared" si="19"/>
        <v>0</v>
      </c>
      <c r="AA94" s="400">
        <f t="shared" si="19"/>
        <v>0</v>
      </c>
      <c r="AB94" s="400">
        <f t="shared" si="19"/>
        <v>0</v>
      </c>
      <c r="AC94" s="491">
        <f t="shared" si="34"/>
        <v>0</v>
      </c>
      <c r="AD94" s="491">
        <f t="shared" si="35"/>
        <v>0</v>
      </c>
      <c r="AE94" s="492">
        <f t="shared" si="36"/>
        <v>0</v>
      </c>
      <c r="AF94" s="492"/>
      <c r="AG94" s="495">
        <f>SUM(AG88+AD94)-AC94-AE94-AF94</f>
        <v>9094</v>
      </c>
    </row>
    <row r="95" spans="1:35" ht="12.95">
      <c r="A95" s="470"/>
      <c r="B95" s="386" t="s">
        <v>97</v>
      </c>
      <c r="C95" s="480"/>
      <c r="D95" s="480"/>
      <c r="E95" s="480"/>
      <c r="F95" s="498"/>
      <c r="G95" s="498"/>
      <c r="H95" s="498"/>
      <c r="I95" s="498"/>
      <c r="J95" s="498"/>
      <c r="K95" s="498"/>
      <c r="L95" s="498"/>
      <c r="M95" s="498"/>
      <c r="N95" s="498"/>
      <c r="O95" s="498"/>
      <c r="P95" s="498"/>
      <c r="Q95" s="498"/>
      <c r="R95" s="388"/>
      <c r="S95" s="388"/>
      <c r="T95" s="386">
        <v>2</v>
      </c>
      <c r="W95" s="485"/>
      <c r="X95" s="394"/>
      <c r="Y95" s="399"/>
      <c r="Z95" s="400">
        <f t="shared" si="19"/>
        <v>0</v>
      </c>
      <c r="AA95" s="400">
        <f t="shared" si="19"/>
        <v>0</v>
      </c>
      <c r="AB95" s="400">
        <f t="shared" si="19"/>
        <v>0</v>
      </c>
      <c r="AC95" s="491">
        <f t="shared" ref="AC95:AC99" si="38">E95</f>
        <v>0</v>
      </c>
      <c r="AD95" s="491">
        <f t="shared" ref="AD95:AD99" si="39">D95</f>
        <v>0</v>
      </c>
      <c r="AE95" s="492">
        <f t="shared" ref="AE95:AE99" si="40">SUM(H95:S95)</f>
        <v>0</v>
      </c>
      <c r="AF95" s="492"/>
      <c r="AG95" s="495">
        <f t="shared" ref="AG95:AG99" si="41">SUM(AG89+AD95)-AC95-AE95-AF95</f>
        <v>0</v>
      </c>
    </row>
    <row r="96" spans="1:35" ht="12.95">
      <c r="A96" s="470"/>
      <c r="B96" s="386" t="s">
        <v>99</v>
      </c>
      <c r="C96" s="480"/>
      <c r="D96" s="480"/>
      <c r="E96" s="480"/>
      <c r="F96" s="498"/>
      <c r="G96" s="498"/>
      <c r="H96" s="498"/>
      <c r="I96" s="498"/>
      <c r="J96" s="498"/>
      <c r="K96" s="498"/>
      <c r="L96" s="498"/>
      <c r="M96" s="498"/>
      <c r="N96" s="498"/>
      <c r="O96" s="498"/>
      <c r="P96" s="498"/>
      <c r="Q96" s="498"/>
      <c r="R96" s="388"/>
      <c r="S96" s="388"/>
      <c r="T96" s="386">
        <v>2</v>
      </c>
      <c r="W96" s="485"/>
      <c r="X96" s="394"/>
      <c r="Y96" s="399"/>
      <c r="Z96" s="400">
        <f t="shared" si="19"/>
        <v>0</v>
      </c>
      <c r="AA96" s="400">
        <f t="shared" si="19"/>
        <v>0</v>
      </c>
      <c r="AB96" s="400">
        <f t="shared" si="19"/>
        <v>0</v>
      </c>
      <c r="AC96" s="491">
        <f t="shared" si="38"/>
        <v>0</v>
      </c>
      <c r="AD96" s="491">
        <f t="shared" si="39"/>
        <v>0</v>
      </c>
      <c r="AE96" s="492">
        <f t="shared" si="40"/>
        <v>0</v>
      </c>
      <c r="AF96" s="492"/>
      <c r="AG96" s="495">
        <f t="shared" si="41"/>
        <v>42175</v>
      </c>
    </row>
    <row r="97" spans="1:35" ht="12.95">
      <c r="A97" s="470"/>
      <c r="B97" s="386" t="s">
        <v>101</v>
      </c>
      <c r="C97" s="480"/>
      <c r="D97" s="480"/>
      <c r="E97" s="480">
        <v>4000</v>
      </c>
      <c r="F97" s="498"/>
      <c r="G97" s="498"/>
      <c r="H97" s="498">
        <v>7.0000000000000001E-3</v>
      </c>
      <c r="I97" s="498">
        <v>0</v>
      </c>
      <c r="J97" s="498">
        <v>1.05</v>
      </c>
      <c r="K97" s="498">
        <v>0</v>
      </c>
      <c r="L97" s="498">
        <v>0</v>
      </c>
      <c r="M97" s="498">
        <v>4.8230000000000004</v>
      </c>
      <c r="N97" s="498">
        <v>0</v>
      </c>
      <c r="O97" s="498">
        <v>0</v>
      </c>
      <c r="P97" s="498">
        <v>1.1200000000000001</v>
      </c>
      <c r="Q97" s="498">
        <v>0</v>
      </c>
      <c r="R97" s="388">
        <v>0</v>
      </c>
      <c r="S97" s="500">
        <v>7.0000000000000001E-3</v>
      </c>
      <c r="T97" s="386">
        <v>2</v>
      </c>
      <c r="W97" s="485"/>
      <c r="X97" s="394"/>
      <c r="Y97" s="399"/>
      <c r="Z97" s="400">
        <f t="shared" si="19"/>
        <v>7.0000000000000001E-3</v>
      </c>
      <c r="AA97" s="400">
        <f t="shared" si="19"/>
        <v>0</v>
      </c>
      <c r="AB97" s="400">
        <f t="shared" si="19"/>
        <v>7</v>
      </c>
      <c r="AC97" s="491">
        <f t="shared" si="38"/>
        <v>4000</v>
      </c>
      <c r="AD97" s="491">
        <f t="shared" si="39"/>
        <v>0</v>
      </c>
      <c r="AE97" s="492">
        <f t="shared" si="40"/>
        <v>7.0069999999999997</v>
      </c>
      <c r="AF97" s="492"/>
      <c r="AG97" s="495">
        <f t="shared" si="41"/>
        <v>16040.993</v>
      </c>
    </row>
    <row r="98" spans="1:35" ht="12.95">
      <c r="A98" s="470"/>
      <c r="B98" s="386" t="s">
        <v>103</v>
      </c>
      <c r="C98" s="480"/>
      <c r="D98" s="480"/>
      <c r="E98" s="480"/>
      <c r="F98" s="498"/>
      <c r="G98" s="498"/>
      <c r="H98" s="498"/>
      <c r="I98" s="498"/>
      <c r="J98" s="498"/>
      <c r="K98" s="498"/>
      <c r="L98" s="498"/>
      <c r="M98" s="498"/>
      <c r="N98" s="498"/>
      <c r="O98" s="498"/>
      <c r="P98" s="498"/>
      <c r="Q98" s="498"/>
      <c r="R98" s="388"/>
      <c r="S98" s="500"/>
      <c r="T98" s="386">
        <v>2</v>
      </c>
      <c r="W98" s="485"/>
      <c r="X98" s="394"/>
      <c r="Y98" s="399"/>
      <c r="Z98" s="400"/>
      <c r="AA98" s="400"/>
      <c r="AB98" s="400"/>
      <c r="AC98" s="491">
        <f t="shared" si="38"/>
        <v>0</v>
      </c>
      <c r="AD98" s="491">
        <f t="shared" si="39"/>
        <v>0</v>
      </c>
      <c r="AE98" s="492">
        <f t="shared" si="40"/>
        <v>0</v>
      </c>
      <c r="AF98" s="492"/>
      <c r="AG98" s="495">
        <f t="shared" si="41"/>
        <v>37246</v>
      </c>
    </row>
    <row r="99" spans="1:35" ht="12.95">
      <c r="A99" s="470"/>
      <c r="B99" s="386" t="s">
        <v>104</v>
      </c>
      <c r="C99" s="480"/>
      <c r="D99" s="480"/>
      <c r="E99" s="480">
        <v>8040</v>
      </c>
      <c r="F99" s="498"/>
      <c r="G99" s="498"/>
      <c r="H99" s="498">
        <v>2.1000000000000001E-2</v>
      </c>
      <c r="I99" s="498">
        <v>0.21</v>
      </c>
      <c r="J99" s="498">
        <v>8.1059999999999999</v>
      </c>
      <c r="K99" s="498">
        <v>2.1000000000000001E-2</v>
      </c>
      <c r="L99" s="498">
        <v>0.21</v>
      </c>
      <c r="M99" s="498">
        <v>10.08</v>
      </c>
      <c r="N99" s="498">
        <v>2.1000000000000001E-2</v>
      </c>
      <c r="O99" s="498">
        <v>0.21</v>
      </c>
      <c r="P99" s="498">
        <v>2.1</v>
      </c>
      <c r="Q99" s="498">
        <v>0</v>
      </c>
      <c r="R99" s="388">
        <v>0</v>
      </c>
      <c r="S99" s="500">
        <v>2.1000000000000001E-2</v>
      </c>
      <c r="T99" s="386">
        <v>2</v>
      </c>
      <c r="W99" s="485"/>
      <c r="X99" s="394"/>
      <c r="Y99" s="399"/>
      <c r="Z99" s="400">
        <f t="shared" si="19"/>
        <v>6.3E-2</v>
      </c>
      <c r="AA99" s="400">
        <f t="shared" si="19"/>
        <v>0.63</v>
      </c>
      <c r="AB99" s="400">
        <f t="shared" si="19"/>
        <v>20.306999999999999</v>
      </c>
      <c r="AC99" s="491">
        <f t="shared" si="38"/>
        <v>8040</v>
      </c>
      <c r="AD99" s="491">
        <f t="shared" si="39"/>
        <v>0</v>
      </c>
      <c r="AE99" s="492">
        <f t="shared" si="40"/>
        <v>21</v>
      </c>
      <c r="AF99" s="492"/>
      <c r="AG99" s="495">
        <f t="shared" si="41"/>
        <v>71419</v>
      </c>
      <c r="AH99" s="417"/>
      <c r="AI99" s="417"/>
    </row>
    <row r="100" spans="1:35" ht="12.95">
      <c r="A100" s="468">
        <v>45817</v>
      </c>
      <c r="B100" s="382" t="s">
        <v>95</v>
      </c>
      <c r="C100" s="452">
        <v>9094</v>
      </c>
      <c r="D100" s="452"/>
      <c r="E100" s="452"/>
      <c r="F100" s="452"/>
      <c r="G100" s="452"/>
      <c r="H100" s="452"/>
      <c r="I100" s="452"/>
      <c r="J100" s="452"/>
      <c r="K100" s="452"/>
      <c r="L100" s="452"/>
      <c r="M100" s="452"/>
      <c r="N100" s="452"/>
      <c r="O100" s="452"/>
      <c r="P100" s="452"/>
      <c r="Q100" s="452"/>
      <c r="R100" s="452"/>
      <c r="S100" s="452"/>
      <c r="T100" s="382">
        <v>1</v>
      </c>
      <c r="W100" s="485" t="e">
        <f>J100+K100+L100+M100+N100+O100+P100+Q100+R100+S100+#REF!+#REF!+J106+K106+L106+M106+N106+O106+P106+Q106+R106+S106+#REF!+#REF!</f>
        <v>#REF!</v>
      </c>
      <c r="X100" s="394">
        <f>E100+H100+I100+E106+H106+I106</f>
        <v>0</v>
      </c>
      <c r="Y100" s="442" t="e">
        <f>J100+K100+L100+M100+N100+O100+P100+Q100+R100+S100+#REF!+#REF!+J106+K106+L106+M106+N106+O106+P106+Q106+R106+S106+#REF!+#REF!</f>
        <v>#REF!</v>
      </c>
      <c r="Z100" s="400">
        <f>J100+M100+P100+S100</f>
        <v>0</v>
      </c>
      <c r="AA100" s="400" t="e">
        <f>K100+N100+Q100+#REF!</f>
        <v>#REF!</v>
      </c>
      <c r="AB100" s="400" t="e">
        <f>L100+O100+R100+#REF!</f>
        <v>#REF!</v>
      </c>
      <c r="AD100" s="417"/>
      <c r="AE100" s="417"/>
      <c r="AF100" s="417"/>
      <c r="AG100" s="417"/>
      <c r="AH100" s="417"/>
    </row>
    <row r="101" spans="1:35" ht="12.95">
      <c r="A101" s="468"/>
      <c r="B101" s="382" t="s">
        <v>97</v>
      </c>
      <c r="C101" s="452">
        <v>0</v>
      </c>
      <c r="D101" s="452"/>
      <c r="E101" s="452"/>
      <c r="F101" s="452"/>
      <c r="G101" s="452"/>
      <c r="H101" s="452"/>
      <c r="I101" s="452"/>
      <c r="J101" s="452"/>
      <c r="K101" s="452"/>
      <c r="L101" s="452"/>
      <c r="M101" s="452"/>
      <c r="N101" s="452"/>
      <c r="O101" s="452"/>
      <c r="P101" s="452"/>
      <c r="Q101" s="452"/>
      <c r="R101" s="452"/>
      <c r="S101" s="452"/>
      <c r="T101" s="382">
        <v>1</v>
      </c>
      <c r="W101" s="485" t="e">
        <f>J101+K101+L101+M101+N101+O101+P101+Q101+R101+S101+#REF!+#REF!+J107+K107+L107+M107+N107+O107+P107+Q107+R107+S107+#REF!+#REF!</f>
        <v>#REF!</v>
      </c>
      <c r="X101" s="394">
        <f>E101+H101+I101+E107+H107+I107</f>
        <v>0</v>
      </c>
      <c r="Y101" s="442" t="e">
        <f>J101+K101+L101+M101+N101+O101+P101+Q101+R101+S101+#REF!+#REF!+J107+K107+L107+M107+N107+O107+P107+Q107+R107+S107+#REF!+#REF!</f>
        <v>#REF!</v>
      </c>
      <c r="Z101" s="400">
        <f>J101+M101+P101+S101</f>
        <v>0</v>
      </c>
      <c r="AA101" s="400" t="e">
        <f>K101+N101+Q101+#REF!</f>
        <v>#REF!</v>
      </c>
      <c r="AB101" s="400" t="e">
        <f>L101+O101+R101+#REF!</f>
        <v>#REF!</v>
      </c>
      <c r="AD101" s="417"/>
      <c r="AE101" s="417"/>
      <c r="AF101" s="417"/>
      <c r="AG101" s="417"/>
      <c r="AH101" s="417"/>
    </row>
    <row r="102" spans="1:35" ht="12.95">
      <c r="A102" s="468"/>
      <c r="B102" s="382" t="s">
        <v>99</v>
      </c>
      <c r="C102" s="452">
        <v>42175</v>
      </c>
      <c r="D102" s="452"/>
      <c r="E102" s="452"/>
      <c r="F102" s="452"/>
      <c r="G102" s="452"/>
      <c r="H102" s="452"/>
      <c r="I102" s="452"/>
      <c r="J102" s="452"/>
      <c r="K102" s="452"/>
      <c r="L102" s="452"/>
      <c r="M102" s="452"/>
      <c r="N102" s="452"/>
      <c r="O102" s="452"/>
      <c r="P102" s="452"/>
      <c r="Q102" s="452"/>
      <c r="R102" s="452"/>
      <c r="S102" s="452"/>
      <c r="T102" s="382">
        <v>1</v>
      </c>
      <c r="W102" s="485" t="e">
        <f>J102+K102+L102+M102+N102+O102+P102+Q102+R102+S102+#REF!+#REF!+J108+K108+L108+M108+N108+O108+P108+Q108+R108+S108+#REF!+#REF!</f>
        <v>#REF!</v>
      </c>
      <c r="X102" s="394">
        <f>E102+H102+I102+E108+H108+I108</f>
        <v>0</v>
      </c>
      <c r="Y102" s="442" t="e">
        <f>J102+K102+L102+M102+N102+O102+P102+Q102+R102+S102+#REF!+#REF!+J108+K108+L108+M108+N108+O108+P108+Q108+R108+S108+#REF!+#REF!</f>
        <v>#REF!</v>
      </c>
      <c r="Z102" s="400">
        <f>J102+M102+P102+S102</f>
        <v>0</v>
      </c>
      <c r="AA102" s="400" t="e">
        <f>K102+N102+Q102+#REF!</f>
        <v>#REF!</v>
      </c>
      <c r="AB102" s="400" t="e">
        <f>L102+O102+R102+#REF!</f>
        <v>#REF!</v>
      </c>
      <c r="AD102" s="417"/>
      <c r="AE102" s="417"/>
      <c r="AF102" s="417"/>
      <c r="AG102" s="417"/>
      <c r="AH102" s="417"/>
    </row>
    <row r="103" spans="1:35" ht="12.95">
      <c r="A103" s="468"/>
      <c r="B103" s="382" t="s">
        <v>101</v>
      </c>
      <c r="C103" s="452">
        <v>16041</v>
      </c>
      <c r="D103" s="452"/>
      <c r="E103" s="452"/>
      <c r="F103" s="452"/>
      <c r="G103" s="452"/>
      <c r="H103" s="452"/>
      <c r="I103" s="452"/>
      <c r="J103" s="452"/>
      <c r="K103" s="452"/>
      <c r="L103" s="452"/>
      <c r="M103" s="452"/>
      <c r="N103" s="452"/>
      <c r="O103" s="452"/>
      <c r="P103" s="452"/>
      <c r="Q103" s="452"/>
      <c r="R103" s="452"/>
      <c r="S103" s="452"/>
      <c r="T103" s="382">
        <v>1</v>
      </c>
      <c r="W103" s="485" t="e">
        <f>J104+K104+L104+M104+N104+O104+P104+Q104+R104+S104+#REF!+#REF!+J109+K109+L109+M109+N109+O109+P109+Q109+R109+S109+#REF!+#REF!</f>
        <v>#REF!</v>
      </c>
      <c r="X103" s="394">
        <f>E104+H104+I104+E109+H109+I109</f>
        <v>8500.027</v>
      </c>
      <c r="Y103" s="442" t="e">
        <f>J104+K104+L104+M104+N104+O104+P104+Q104+R104+S104+#REF!+#REF!+J109+K109+L109+M109+N109+O109+P109+Q109+R109+S109+#REF!+#REF!</f>
        <v>#REF!</v>
      </c>
      <c r="Z103" s="400">
        <f>J104+M104+P104+S104</f>
        <v>0</v>
      </c>
      <c r="AA103" s="400" t="e">
        <f>K104+N104+Q104+#REF!</f>
        <v>#REF!</v>
      </c>
      <c r="AB103" s="400" t="e">
        <f>L104+O104+R104+#REF!</f>
        <v>#REF!</v>
      </c>
      <c r="AD103" s="417"/>
      <c r="AE103" s="417"/>
      <c r="AF103" s="417"/>
      <c r="AG103" s="417"/>
      <c r="AH103" s="417"/>
    </row>
    <row r="104" spans="1:35" ht="12.95">
      <c r="A104" s="468"/>
      <c r="B104" s="382" t="s">
        <v>103</v>
      </c>
      <c r="C104" s="452">
        <v>37246</v>
      </c>
      <c r="D104" s="452"/>
      <c r="E104" s="452"/>
      <c r="F104" s="452"/>
      <c r="G104" s="452"/>
      <c r="H104" s="452"/>
      <c r="I104" s="452"/>
      <c r="J104" s="452"/>
      <c r="K104" s="452"/>
      <c r="L104" s="452"/>
      <c r="M104" s="452"/>
      <c r="N104" s="452"/>
      <c r="O104" s="452"/>
      <c r="P104" s="452"/>
      <c r="Q104" s="452"/>
      <c r="R104" s="452"/>
      <c r="S104" s="452"/>
      <c r="T104" s="382">
        <v>1</v>
      </c>
      <c r="W104" s="485" t="e">
        <f>J104+K104+L104+M104+N104+O104+P104+Q104+R104+S104+#REF!+#REF!+J110+K110+L110+M110+N110+O110+P110+Q110+R110+S110+#REF!+#REF!</f>
        <v>#REF!</v>
      </c>
      <c r="X104" s="394"/>
      <c r="Y104" s="442"/>
      <c r="Z104" s="400"/>
      <c r="AA104" s="400"/>
      <c r="AB104" s="400"/>
      <c r="AD104" s="417"/>
      <c r="AE104" s="417"/>
      <c r="AF104" s="417"/>
      <c r="AG104" s="417"/>
      <c r="AH104" s="417"/>
    </row>
    <row r="105" spans="1:35" ht="12.95">
      <c r="A105" s="468"/>
      <c r="B105" s="382" t="s">
        <v>104</v>
      </c>
      <c r="C105" s="452">
        <v>71413</v>
      </c>
      <c r="D105" s="452"/>
      <c r="E105" s="452"/>
      <c r="F105" s="452"/>
      <c r="G105" s="452"/>
      <c r="H105" s="452"/>
      <c r="I105" s="452"/>
      <c r="J105" s="452"/>
      <c r="K105" s="452"/>
      <c r="L105" s="452"/>
      <c r="M105" s="452"/>
      <c r="N105" s="452"/>
      <c r="O105" s="452"/>
      <c r="P105" s="452"/>
      <c r="Q105" s="452"/>
      <c r="R105" s="452"/>
      <c r="S105" s="452"/>
      <c r="T105" s="382">
        <v>1</v>
      </c>
      <c r="W105" s="485" t="e">
        <f>J105+K105+L105+M105+N105+O105+P105+Q105+R105+S105+#REF!+#REF!+J111+K111+L111+M111+N111+O111+P111+Q111+R111+S111+#REF!+#REF!</f>
        <v>#REF!</v>
      </c>
      <c r="X105" s="394">
        <f>E105+H105+I105+E111+H111+I111</f>
        <v>4760.0770000000002</v>
      </c>
      <c r="Y105" s="442" t="e">
        <f>J105+K105+L105+M105+N105+O105+P105+Q105+R105+S105+#REF!+#REF!+J111+K111+L111+M111+N111+O111+P111+Q111+R111+S111+#REF!+#REF!</f>
        <v>#REF!</v>
      </c>
      <c r="Z105" s="400">
        <f>J105+M105+P105+S105</f>
        <v>0</v>
      </c>
      <c r="AA105" s="400" t="e">
        <f>K105+N105+Q105+#REF!</f>
        <v>#REF!</v>
      </c>
      <c r="AB105" s="400" t="e">
        <f>L105+O105+R105+#REF!</f>
        <v>#REF!</v>
      </c>
      <c r="AD105" s="417"/>
      <c r="AE105" s="417"/>
      <c r="AF105" s="417"/>
      <c r="AG105" s="417"/>
      <c r="AH105" s="417"/>
    </row>
    <row r="106" spans="1:35" ht="12.95">
      <c r="A106" s="470"/>
      <c r="B106" s="386" t="s">
        <v>95</v>
      </c>
      <c r="C106" s="450"/>
      <c r="D106" s="450"/>
      <c r="E106" s="450"/>
      <c r="F106" s="450"/>
      <c r="G106" s="450"/>
      <c r="H106" s="450"/>
      <c r="I106" s="450"/>
      <c r="J106" s="450"/>
      <c r="K106" s="450"/>
      <c r="L106" s="450"/>
      <c r="M106" s="450"/>
      <c r="N106" s="450"/>
      <c r="O106" s="450"/>
      <c r="P106" s="450"/>
      <c r="Q106" s="450"/>
      <c r="R106" s="450"/>
      <c r="S106" s="450"/>
      <c r="T106" s="386">
        <v>2</v>
      </c>
      <c r="W106" s="485"/>
      <c r="X106" s="394"/>
      <c r="Y106" s="399"/>
      <c r="Z106" s="400">
        <f>J106+M106+P106+S106</f>
        <v>0</v>
      </c>
      <c r="AA106" s="400" t="e">
        <f>K106+N106+Q106+#REF!</f>
        <v>#REF!</v>
      </c>
      <c r="AB106" s="400" t="e">
        <f>L106+O106+R106+#REF!</f>
        <v>#REF!</v>
      </c>
      <c r="AD106" s="417"/>
      <c r="AE106" s="417"/>
      <c r="AF106" s="417"/>
      <c r="AG106" s="417"/>
      <c r="AH106" s="417"/>
    </row>
    <row r="107" spans="1:35" ht="12.95">
      <c r="A107" s="470"/>
      <c r="B107" s="386" t="s">
        <v>97</v>
      </c>
      <c r="C107" s="450"/>
      <c r="D107" s="450"/>
      <c r="E107" s="450"/>
      <c r="F107" s="450"/>
      <c r="G107" s="450"/>
      <c r="H107" s="450"/>
      <c r="I107" s="450"/>
      <c r="J107" s="450"/>
      <c r="K107" s="450"/>
      <c r="L107" s="450"/>
      <c r="M107" s="450"/>
      <c r="N107" s="450"/>
      <c r="O107" s="450"/>
      <c r="P107" s="450"/>
      <c r="Q107" s="450"/>
      <c r="R107" s="450"/>
      <c r="S107" s="450"/>
      <c r="T107" s="386">
        <v>2</v>
      </c>
      <c r="W107" s="485"/>
      <c r="X107" s="394"/>
      <c r="Y107" s="399"/>
      <c r="Z107" s="400">
        <f>J107+M107+P107+S107</f>
        <v>0</v>
      </c>
      <c r="AA107" s="400" t="e">
        <f>K107+N107+Q107+#REF!</f>
        <v>#REF!</v>
      </c>
      <c r="AB107" s="400" t="e">
        <f>L107+O107+R107+#REF!</f>
        <v>#REF!</v>
      </c>
      <c r="AD107" s="417"/>
      <c r="AE107" s="417"/>
      <c r="AF107" s="417"/>
      <c r="AG107" s="417"/>
      <c r="AH107" s="417"/>
    </row>
    <row r="108" spans="1:35" ht="12.95">
      <c r="A108" s="470"/>
      <c r="B108" s="386" t="s">
        <v>99</v>
      </c>
      <c r="C108" s="450"/>
      <c r="D108" s="450"/>
      <c r="E108" s="450"/>
      <c r="F108" s="450"/>
      <c r="G108" s="450"/>
      <c r="H108" s="450"/>
      <c r="I108" s="450"/>
      <c r="J108" s="450"/>
      <c r="K108" s="450"/>
      <c r="L108" s="450"/>
      <c r="M108" s="450"/>
      <c r="N108" s="450"/>
      <c r="O108" s="450"/>
      <c r="P108" s="450"/>
      <c r="Q108" s="450"/>
      <c r="R108" s="450"/>
      <c r="S108" s="450"/>
      <c r="T108" s="386">
        <v>2</v>
      </c>
      <c r="W108" s="485"/>
      <c r="X108" s="394"/>
      <c r="Y108" s="399"/>
      <c r="Z108" s="400">
        <f>J108+M108+P108+S108</f>
        <v>0</v>
      </c>
      <c r="AA108" s="400" t="e">
        <f>K108+N108+Q108+#REF!</f>
        <v>#REF!</v>
      </c>
      <c r="AB108" s="400" t="e">
        <f>L108+O108+R108+#REF!</f>
        <v>#REF!</v>
      </c>
      <c r="AD108" s="417"/>
      <c r="AE108" s="417"/>
      <c r="AF108" s="417"/>
      <c r="AG108" s="417"/>
      <c r="AH108" s="417"/>
    </row>
    <row r="109" spans="1:35" ht="12.95">
      <c r="A109" s="470"/>
      <c r="B109" s="386" t="s">
        <v>101</v>
      </c>
      <c r="C109" s="450"/>
      <c r="D109" s="450"/>
      <c r="E109" s="450">
        <v>8500</v>
      </c>
      <c r="F109" s="450"/>
      <c r="G109" s="450"/>
      <c r="H109" s="450">
        <v>2.7E-2</v>
      </c>
      <c r="I109" s="450">
        <v>0</v>
      </c>
      <c r="J109" s="450">
        <v>4.05</v>
      </c>
      <c r="K109" s="450">
        <v>0</v>
      </c>
      <c r="L109" s="450">
        <v>0</v>
      </c>
      <c r="M109" s="450">
        <v>18.603000000000002</v>
      </c>
      <c r="N109" s="450">
        <v>0</v>
      </c>
      <c r="O109" s="450">
        <v>0</v>
      </c>
      <c r="P109" s="450">
        <v>4.32</v>
      </c>
      <c r="Q109" s="450">
        <v>0</v>
      </c>
      <c r="R109" s="450">
        <v>0</v>
      </c>
      <c r="S109" s="450">
        <v>2.7E-2</v>
      </c>
      <c r="T109" s="386">
        <v>2</v>
      </c>
      <c r="W109" s="485"/>
      <c r="X109" s="394"/>
      <c r="Y109" s="399"/>
      <c r="Z109" s="400">
        <f>J109+M109+P109+S109</f>
        <v>27</v>
      </c>
      <c r="AA109" s="400" t="e">
        <f>K109+N109+Q109+#REF!</f>
        <v>#REF!</v>
      </c>
      <c r="AB109" s="400" t="e">
        <f>L109+O109+R109+#REF!</f>
        <v>#REF!</v>
      </c>
      <c r="AD109" s="417"/>
      <c r="AE109" s="417"/>
      <c r="AF109" s="417"/>
      <c r="AG109" s="417"/>
      <c r="AH109" s="417"/>
    </row>
    <row r="110" spans="1:35" ht="12.95">
      <c r="A110" s="470"/>
      <c r="B110" s="386" t="s">
        <v>103</v>
      </c>
      <c r="C110" s="450"/>
      <c r="D110" s="450"/>
      <c r="E110" s="450"/>
      <c r="F110" s="450"/>
      <c r="G110" s="450"/>
      <c r="H110" s="450"/>
      <c r="I110" s="450"/>
      <c r="J110" s="450"/>
      <c r="K110" s="450"/>
      <c r="L110" s="450"/>
      <c r="M110" s="450"/>
      <c r="N110" s="450"/>
      <c r="O110" s="450"/>
      <c r="P110" s="450"/>
      <c r="Q110" s="450"/>
      <c r="R110" s="450"/>
      <c r="S110" s="450"/>
      <c r="T110" s="386">
        <v>2</v>
      </c>
      <c r="W110" s="485"/>
      <c r="X110" s="394"/>
      <c r="Y110" s="399"/>
      <c r="Z110" s="400"/>
      <c r="AA110" s="400"/>
      <c r="AB110" s="400"/>
    </row>
    <row r="111" spans="1:35" ht="12.95">
      <c r="A111" s="470"/>
      <c r="B111" s="386" t="s">
        <v>104</v>
      </c>
      <c r="C111" s="450"/>
      <c r="D111" s="450"/>
      <c r="E111" s="450">
        <v>4760</v>
      </c>
      <c r="F111" s="450"/>
      <c r="G111" s="450"/>
      <c r="H111" s="450">
        <v>7.0000000000000001E-3</v>
      </c>
      <c r="I111" s="450">
        <v>7.0000000000000007E-2</v>
      </c>
      <c r="J111" s="450">
        <v>2.702</v>
      </c>
      <c r="K111" s="450">
        <v>7.0000000000000001E-3</v>
      </c>
      <c r="L111" s="450">
        <v>7.0000000000000007E-2</v>
      </c>
      <c r="M111" s="450">
        <v>3.36</v>
      </c>
      <c r="N111" s="450">
        <v>7.0000000000000001E-3</v>
      </c>
      <c r="O111" s="450">
        <v>7.0000000000000007E-2</v>
      </c>
      <c r="P111" s="450">
        <v>0.7</v>
      </c>
      <c r="Q111" s="450">
        <v>0</v>
      </c>
      <c r="R111" s="450">
        <v>0</v>
      </c>
      <c r="S111" s="450">
        <v>7.0000000000000001E-3</v>
      </c>
      <c r="T111" s="386">
        <v>2</v>
      </c>
      <c r="W111" s="485"/>
      <c r="X111" s="394"/>
      <c r="Y111" s="399"/>
      <c r="Z111" s="400">
        <f>J111+M111+P111+S111</f>
        <v>6.7690000000000001</v>
      </c>
      <c r="AA111" s="400" t="e">
        <f>K111+N111+Q111+#REF!</f>
        <v>#REF!</v>
      </c>
      <c r="AB111" s="400" t="e">
        <f>L111+O111+R111+#REF!</f>
        <v>#REF!</v>
      </c>
    </row>
    <row r="112" spans="1:35" ht="12.95">
      <c r="A112" s="468">
        <v>45818</v>
      </c>
      <c r="B112" s="382" t="s">
        <v>95</v>
      </c>
      <c r="C112" s="452">
        <v>9094</v>
      </c>
      <c r="D112" s="452"/>
      <c r="E112" s="452"/>
      <c r="F112" s="452"/>
      <c r="G112" s="452"/>
      <c r="H112" s="452"/>
      <c r="I112" s="452"/>
      <c r="J112" s="452"/>
      <c r="K112" s="452"/>
      <c r="L112" s="452"/>
      <c r="M112" s="452"/>
      <c r="N112" s="452"/>
      <c r="O112" s="452"/>
      <c r="P112" s="452"/>
      <c r="Q112" s="452"/>
      <c r="R112" s="452"/>
      <c r="S112" s="452"/>
      <c r="T112" s="383">
        <v>1</v>
      </c>
      <c r="W112" s="485" t="e">
        <f>#REF!+#REF!+#REF!+#REF!+#REF!+#REF!+#REF!+#REF!+#REF!+#REF!+#REF!+#REF!+#REF!+#REF!+#REF!+#REF!+#REF!+#REF!+#REF!+#REF!+#REF!+#REF!+#REF!+#REF!</f>
        <v>#REF!</v>
      </c>
      <c r="X112" s="394" t="e">
        <f>#REF!+#REF!+#REF!+#REF!+#REF!+#REF!</f>
        <v>#REF!</v>
      </c>
      <c r="Y112" s="399" t="e">
        <f>#REF!+#REF!+#REF!+#REF!+#REF!+#REF!+#REF!+#REF!+#REF!+#REF!+#REF!+#REF!+#REF!+#REF!+#REF!+#REF!+#REF!+#REF!+#REF!+#REF!+#REF!+#REF!+#REF!+#REF!</f>
        <v>#REF!</v>
      </c>
      <c r="Z112" s="400" t="e">
        <f>#REF!+#REF!+#REF!+#REF!</f>
        <v>#REF!</v>
      </c>
      <c r="AA112" s="400" t="e">
        <f>#REF!+#REF!+#REF!+#REF!</f>
        <v>#REF!</v>
      </c>
      <c r="AB112" s="400" t="e">
        <f>#REF!+#REF!+#REF!+#REF!</f>
        <v>#REF!</v>
      </c>
    </row>
    <row r="113" spans="1:28" ht="12.95">
      <c r="A113" s="468"/>
      <c r="B113" s="382" t="s">
        <v>97</v>
      </c>
      <c r="C113" s="452">
        <v>0</v>
      </c>
      <c r="D113" s="452"/>
      <c r="E113" s="452"/>
      <c r="F113" s="452"/>
      <c r="G113" s="452"/>
      <c r="H113" s="452"/>
      <c r="I113" s="452"/>
      <c r="J113" s="452"/>
      <c r="K113" s="452"/>
      <c r="L113" s="452"/>
      <c r="M113" s="452"/>
      <c r="N113" s="452"/>
      <c r="O113" s="452"/>
      <c r="P113" s="452"/>
      <c r="Q113" s="452"/>
      <c r="R113" s="452"/>
      <c r="S113" s="452"/>
      <c r="T113" s="383">
        <v>1</v>
      </c>
      <c r="W113" s="485" t="e">
        <f>#REF!+#REF!+#REF!+#REF!+#REF!+#REF!+#REF!+#REF!+#REF!+#REF!+#REF!+#REF!+#REF!+#REF!+#REF!+#REF!+#REF!+#REF!+#REF!+#REF!+#REF!+#REF!+#REF!+#REF!</f>
        <v>#REF!</v>
      </c>
      <c r="X113" s="394" t="e">
        <f>#REF!+#REF!+#REF!+#REF!+#REF!+#REF!</f>
        <v>#REF!</v>
      </c>
      <c r="Y113" s="399" t="e">
        <f>#REF!+#REF!+#REF!+#REF!+#REF!+#REF!+#REF!+#REF!+#REF!+#REF!+#REF!+#REF!+#REF!+#REF!+#REF!+#REF!+#REF!+#REF!+#REF!+#REF!+#REF!+#REF!+#REF!+#REF!</f>
        <v>#REF!</v>
      </c>
      <c r="Z113" s="400" t="e">
        <f>#REF!+#REF!+#REF!+#REF!</f>
        <v>#REF!</v>
      </c>
      <c r="AA113" s="400" t="e">
        <f>#REF!+#REF!+#REF!+#REF!</f>
        <v>#REF!</v>
      </c>
      <c r="AB113" s="400" t="e">
        <f>#REF!+#REF!+#REF!+#REF!</f>
        <v>#REF!</v>
      </c>
    </row>
    <row r="114" spans="1:28" ht="12.95">
      <c r="A114" s="468"/>
      <c r="B114" s="382" t="s">
        <v>99</v>
      </c>
      <c r="C114" s="452">
        <v>42175</v>
      </c>
      <c r="D114" s="452"/>
      <c r="E114" s="452"/>
      <c r="F114" s="452"/>
      <c r="G114" s="452"/>
      <c r="H114" s="452"/>
      <c r="I114" s="452"/>
      <c r="J114" s="452"/>
      <c r="K114" s="452"/>
      <c r="L114" s="452"/>
      <c r="M114" s="452"/>
      <c r="N114" s="452"/>
      <c r="O114" s="452"/>
      <c r="P114" s="452"/>
      <c r="Q114" s="452"/>
      <c r="R114" s="452"/>
      <c r="S114" s="452"/>
      <c r="T114" s="383">
        <v>1</v>
      </c>
      <c r="W114" s="485" t="e">
        <f>#REF!+#REF!+#REF!+#REF!+#REF!+#REF!+#REF!+#REF!+#REF!+#REF!+#REF!+#REF!+#REF!+#REF!+#REF!+#REF!+#REF!+#REF!+#REF!+#REF!+#REF!+#REF!+#REF!+#REF!</f>
        <v>#REF!</v>
      </c>
      <c r="X114" s="394" t="e">
        <f>#REF!+#REF!+#REF!+#REF!+#REF!+#REF!</f>
        <v>#REF!</v>
      </c>
      <c r="Y114" s="399" t="e">
        <f>#REF!+#REF!+#REF!+#REF!+#REF!+#REF!+#REF!+#REF!+#REF!+#REF!+#REF!+#REF!+#REF!+#REF!+#REF!+#REF!+#REF!+#REF!+#REF!+#REF!+#REF!+#REF!+#REF!+#REF!</f>
        <v>#REF!</v>
      </c>
      <c r="Z114" s="400" t="e">
        <f>#REF!+#REF!+#REF!+#REF!</f>
        <v>#REF!</v>
      </c>
      <c r="AA114" s="400" t="e">
        <f>#REF!+#REF!+#REF!+#REF!</f>
        <v>#REF!</v>
      </c>
      <c r="AB114" s="400" t="e">
        <f>#REF!+#REF!+#REF!+#REF!</f>
        <v>#REF!</v>
      </c>
    </row>
    <row r="115" spans="1:28" ht="12.95">
      <c r="A115" s="468"/>
      <c r="B115" s="382" t="s">
        <v>101</v>
      </c>
      <c r="C115" s="452">
        <v>7510</v>
      </c>
      <c r="D115" s="452">
        <v>12500</v>
      </c>
      <c r="E115" s="452">
        <v>1000</v>
      </c>
      <c r="F115" s="452"/>
      <c r="G115" s="452"/>
      <c r="H115" s="452">
        <v>4.0000000000000001E-3</v>
      </c>
      <c r="I115" s="452">
        <v>0</v>
      </c>
      <c r="J115" s="452">
        <v>0.6</v>
      </c>
      <c r="K115" s="452">
        <v>0</v>
      </c>
      <c r="L115" s="452">
        <v>0</v>
      </c>
      <c r="M115" s="452">
        <v>2.7559999999999998</v>
      </c>
      <c r="N115" s="452">
        <v>0</v>
      </c>
      <c r="O115" s="452">
        <v>0</v>
      </c>
      <c r="P115" s="452">
        <v>0.64</v>
      </c>
      <c r="Q115" s="452">
        <v>0</v>
      </c>
      <c r="R115" s="452">
        <v>0</v>
      </c>
      <c r="S115" s="452">
        <v>4.0000000000000001E-3</v>
      </c>
      <c r="T115" s="383">
        <v>1</v>
      </c>
      <c r="W115" s="485" t="e">
        <f>#REF!+#REF!+#REF!+#REF!+#REF!+#REF!+#REF!+#REF!+#REF!+#REF!+#REF!+#REF!+#REF!+#REF!+#REF!+#REF!+#REF!+#REF!+#REF!+#REF!+#REF!+#REF!+#REF!+#REF!</f>
        <v>#REF!</v>
      </c>
      <c r="X115" s="394" t="e">
        <f>#REF!+#REF!+#REF!+#REF!+#REF!+#REF!</f>
        <v>#REF!</v>
      </c>
      <c r="Y115" s="399" t="e">
        <f>#REF!+#REF!+#REF!+#REF!+#REF!+#REF!+#REF!+#REF!+#REF!+#REF!+#REF!+#REF!+#REF!+#REF!+#REF!+#REF!+#REF!+#REF!+#REF!+#REF!+#REF!+#REF!+#REF!+#REF!</f>
        <v>#REF!</v>
      </c>
      <c r="Z115" s="400" t="e">
        <f>#REF!+#REF!+#REF!+#REF!</f>
        <v>#REF!</v>
      </c>
      <c r="AA115" s="400" t="e">
        <f>#REF!+#REF!+#REF!+#REF!</f>
        <v>#REF!</v>
      </c>
      <c r="AB115" s="400" t="e">
        <f>#REF!+#REF!+#REF!+#REF!</f>
        <v>#REF!</v>
      </c>
    </row>
    <row r="116" spans="1:28" ht="12.95">
      <c r="A116" s="468"/>
      <c r="B116" s="382" t="s">
        <v>103</v>
      </c>
      <c r="C116" s="452">
        <v>37246</v>
      </c>
      <c r="D116" s="452"/>
      <c r="E116" s="452"/>
      <c r="F116" s="452"/>
      <c r="G116" s="452"/>
      <c r="H116" s="452"/>
      <c r="I116" s="452"/>
      <c r="J116" s="452"/>
      <c r="K116" s="452"/>
      <c r="L116" s="452"/>
      <c r="M116" s="452"/>
      <c r="N116" s="452"/>
      <c r="O116" s="452"/>
      <c r="P116" s="452"/>
      <c r="Q116" s="452"/>
      <c r="R116" s="452"/>
      <c r="S116" s="452"/>
      <c r="T116" s="383">
        <v>1</v>
      </c>
      <c r="W116" s="485" t="e">
        <f>#REF!+#REF!+#REF!+#REF!+#REF!+#REF!+#REF!+#REF!+#REF!+#REF!+#REF!+#REF!+#REF!+#REF!+#REF!+#REF!+#REF!+#REF!+#REF!+#REF!+#REF!+#REF!+#REF!+#REF!</f>
        <v>#REF!</v>
      </c>
      <c r="X116" s="394"/>
      <c r="Y116" s="399"/>
      <c r="Z116" s="400"/>
      <c r="AA116" s="400"/>
      <c r="AB116" s="400"/>
    </row>
    <row r="117" spans="1:28" ht="12.95">
      <c r="A117" s="468"/>
      <c r="B117" s="382" t="s">
        <v>104</v>
      </c>
      <c r="C117" s="452">
        <v>66644</v>
      </c>
      <c r="D117" s="452">
        <v>32500</v>
      </c>
      <c r="E117" s="452">
        <v>3020</v>
      </c>
      <c r="F117" s="452"/>
      <c r="G117" s="452"/>
      <c r="H117" s="452">
        <v>5.0000000000000001E-3</v>
      </c>
      <c r="I117" s="452">
        <v>0.05</v>
      </c>
      <c r="J117" s="452">
        <v>1.93</v>
      </c>
      <c r="K117" s="452">
        <v>5.0000000000000001E-3</v>
      </c>
      <c r="L117" s="452">
        <v>0.05</v>
      </c>
      <c r="M117" s="452">
        <v>2.4</v>
      </c>
      <c r="N117" s="452">
        <v>5.0000000000000001E-3</v>
      </c>
      <c r="O117" s="452">
        <v>0.05</v>
      </c>
      <c r="P117" s="452">
        <v>0.5</v>
      </c>
      <c r="Q117" s="452">
        <v>0</v>
      </c>
      <c r="R117" s="452">
        <v>0</v>
      </c>
      <c r="S117" s="452">
        <v>5.0000000000000001E-3</v>
      </c>
      <c r="T117" s="383">
        <v>1</v>
      </c>
      <c r="W117" s="485" t="e">
        <f>#REF!+#REF!+#REF!+#REF!+#REF!+#REF!+#REF!+#REF!+#REF!+#REF!+#REF!+#REF!+#REF!+#REF!+#REF!+#REF!+#REF!+#REF!+#REF!+#REF!+#REF!+#REF!+#REF!+#REF!</f>
        <v>#REF!</v>
      </c>
      <c r="X117" s="394" t="e">
        <f>#REF!+#REF!+#REF!+#REF!+#REF!+#REF!</f>
        <v>#REF!</v>
      </c>
      <c r="Y117" s="399" t="e">
        <f>#REF!+#REF!+#REF!+#REF!+#REF!+#REF!+#REF!+#REF!+#REF!+#REF!+#REF!+#REF!+#REF!+#REF!+#REF!+#REF!+#REF!+#REF!+#REF!+#REF!+#REF!+#REF!+#REF!+#REF!</f>
        <v>#REF!</v>
      </c>
      <c r="Z117" s="400" t="e">
        <f>#REF!+#REF!+#REF!+#REF!</f>
        <v>#REF!</v>
      </c>
      <c r="AA117" s="400" t="e">
        <f>#REF!+#REF!+#REF!+#REF!</f>
        <v>#REF!</v>
      </c>
      <c r="AB117" s="400" t="e">
        <f>#REF!+#REF!+#REF!+#REF!</f>
        <v>#REF!</v>
      </c>
    </row>
    <row r="118" spans="1:28" ht="12.95">
      <c r="A118" s="470"/>
      <c r="B118" s="386" t="s">
        <v>95</v>
      </c>
      <c r="C118" s="450"/>
      <c r="D118" s="450"/>
      <c r="E118" s="450"/>
      <c r="F118" s="450"/>
      <c r="G118" s="450"/>
      <c r="H118" s="450"/>
      <c r="I118" s="450"/>
      <c r="J118" s="450"/>
      <c r="K118" s="450"/>
      <c r="L118" s="450"/>
      <c r="M118" s="450"/>
      <c r="N118" s="450"/>
      <c r="O118" s="450"/>
      <c r="P118" s="450"/>
      <c r="Q118" s="450"/>
      <c r="R118" s="450"/>
      <c r="S118" s="450"/>
      <c r="T118" s="501">
        <v>2</v>
      </c>
      <c r="W118" s="485"/>
      <c r="X118" s="394"/>
      <c r="Y118" s="399"/>
      <c r="Z118" s="400" t="e">
        <f>#REF!+#REF!+#REF!+#REF!</f>
        <v>#REF!</v>
      </c>
      <c r="AA118" s="400" t="e">
        <f>#REF!+#REF!+#REF!+#REF!</f>
        <v>#REF!</v>
      </c>
      <c r="AB118" s="400" t="e">
        <f>#REF!+#REF!+#REF!+#REF!</f>
        <v>#REF!</v>
      </c>
    </row>
    <row r="119" spans="1:28" ht="12.95">
      <c r="A119" s="470"/>
      <c r="B119" s="386" t="s">
        <v>97</v>
      </c>
      <c r="C119" s="450"/>
      <c r="D119" s="450"/>
      <c r="E119" s="450"/>
      <c r="F119" s="450"/>
      <c r="G119" s="450"/>
      <c r="H119" s="450"/>
      <c r="I119" s="450"/>
      <c r="J119" s="450"/>
      <c r="K119" s="450"/>
      <c r="L119" s="450"/>
      <c r="M119" s="450"/>
      <c r="N119" s="450"/>
      <c r="O119" s="450"/>
      <c r="P119" s="450"/>
      <c r="Q119" s="450"/>
      <c r="R119" s="450"/>
      <c r="S119" s="450"/>
      <c r="T119" s="501">
        <v>2</v>
      </c>
      <c r="W119" s="485"/>
      <c r="X119" s="394"/>
      <c r="Y119" s="399"/>
      <c r="Z119" s="400" t="e">
        <f>#REF!+#REF!+#REF!+#REF!</f>
        <v>#REF!</v>
      </c>
      <c r="AA119" s="400" t="e">
        <f>#REF!+#REF!+#REF!+#REF!</f>
        <v>#REF!</v>
      </c>
      <c r="AB119" s="400" t="e">
        <f>#REF!+#REF!+#REF!+#REF!</f>
        <v>#REF!</v>
      </c>
    </row>
    <row r="120" spans="1:28" ht="12.95">
      <c r="A120" s="470"/>
      <c r="B120" s="386" t="s">
        <v>99</v>
      </c>
      <c r="C120" s="450"/>
      <c r="D120" s="450"/>
      <c r="E120" s="450"/>
      <c r="F120" s="450"/>
      <c r="G120" s="450"/>
      <c r="H120" s="450"/>
      <c r="I120" s="450"/>
      <c r="J120" s="450"/>
      <c r="K120" s="450"/>
      <c r="L120" s="450"/>
      <c r="M120" s="450"/>
      <c r="N120" s="450"/>
      <c r="O120" s="450"/>
      <c r="P120" s="450"/>
      <c r="Q120" s="450"/>
      <c r="R120" s="450"/>
      <c r="S120" s="450"/>
      <c r="T120" s="501">
        <v>2</v>
      </c>
      <c r="W120" s="485"/>
      <c r="X120" s="394"/>
      <c r="Y120" s="399"/>
      <c r="Z120" s="400" t="e">
        <f>#REF!+#REF!+#REF!+#REF!</f>
        <v>#REF!</v>
      </c>
      <c r="AA120" s="400" t="e">
        <f>#REF!+#REF!+#REF!+#REF!</f>
        <v>#REF!</v>
      </c>
      <c r="AB120" s="400" t="e">
        <f>#REF!+#REF!+#REF!+#REF!</f>
        <v>#REF!</v>
      </c>
    </row>
    <row r="121" spans="1:28" ht="12.95">
      <c r="A121" s="470"/>
      <c r="B121" s="386" t="s">
        <v>101</v>
      </c>
      <c r="C121" s="450"/>
      <c r="D121" s="450"/>
      <c r="E121" s="450"/>
      <c r="F121" s="450"/>
      <c r="G121" s="450"/>
      <c r="H121" s="450"/>
      <c r="I121" s="450"/>
      <c r="J121" s="450"/>
      <c r="K121" s="450"/>
      <c r="L121" s="450"/>
      <c r="M121" s="450"/>
      <c r="N121" s="450"/>
      <c r="O121" s="450"/>
      <c r="P121" s="450"/>
      <c r="Q121" s="450"/>
      <c r="R121" s="450"/>
      <c r="S121" s="450"/>
      <c r="T121" s="501">
        <v>2</v>
      </c>
      <c r="W121" s="485"/>
      <c r="X121" s="394"/>
      <c r="Y121" s="399"/>
      <c r="Z121" s="400" t="e">
        <f>#REF!+#REF!+#REF!+#REF!</f>
        <v>#REF!</v>
      </c>
      <c r="AA121" s="400" t="e">
        <f>#REF!+#REF!+#REF!+#REF!</f>
        <v>#REF!</v>
      </c>
      <c r="AB121" s="400" t="e">
        <f>#REF!+#REF!+#REF!+#REF!</f>
        <v>#REF!</v>
      </c>
    </row>
    <row r="122" spans="1:28" ht="12.95">
      <c r="A122" s="470"/>
      <c r="B122" s="386" t="s">
        <v>103</v>
      </c>
      <c r="C122" s="450"/>
      <c r="D122" s="450"/>
      <c r="E122" s="450"/>
      <c r="F122" s="450"/>
      <c r="G122" s="450"/>
      <c r="H122" s="450"/>
      <c r="I122" s="450"/>
      <c r="J122" s="450"/>
      <c r="K122" s="450"/>
      <c r="L122" s="450"/>
      <c r="M122" s="450"/>
      <c r="N122" s="450"/>
      <c r="O122" s="450"/>
      <c r="P122" s="450"/>
      <c r="Q122" s="450"/>
      <c r="R122" s="450"/>
      <c r="S122" s="450"/>
      <c r="T122" s="501">
        <v>2</v>
      </c>
      <c r="W122" s="485"/>
      <c r="X122" s="394"/>
      <c r="Y122" s="399"/>
      <c r="Z122" s="400"/>
      <c r="AA122" s="400"/>
      <c r="AB122" s="400"/>
    </row>
    <row r="123" spans="1:28" ht="12.95">
      <c r="A123" s="470"/>
      <c r="B123" s="386" t="s">
        <v>104</v>
      </c>
      <c r="C123" s="450"/>
      <c r="D123" s="450"/>
      <c r="E123" s="450">
        <v>7460</v>
      </c>
      <c r="F123" s="450"/>
      <c r="G123" s="450"/>
      <c r="H123" s="450">
        <v>0</v>
      </c>
      <c r="I123" s="450">
        <v>0</v>
      </c>
      <c r="J123" s="450">
        <v>0</v>
      </c>
      <c r="K123" s="450">
        <v>0</v>
      </c>
      <c r="L123" s="450">
        <v>0</v>
      </c>
      <c r="M123" s="450">
        <v>0</v>
      </c>
      <c r="N123" s="450">
        <v>0</v>
      </c>
      <c r="O123" s="450">
        <v>0</v>
      </c>
      <c r="P123" s="450">
        <v>0</v>
      </c>
      <c r="Q123" s="450">
        <v>0</v>
      </c>
      <c r="R123" s="450">
        <v>0</v>
      </c>
      <c r="S123" s="450">
        <v>0</v>
      </c>
      <c r="T123" s="501">
        <v>2</v>
      </c>
      <c r="W123" s="485"/>
      <c r="X123" s="394"/>
      <c r="Y123" s="399"/>
      <c r="Z123" s="400" t="e">
        <f>#REF!+#REF!+#REF!+#REF!</f>
        <v>#REF!</v>
      </c>
      <c r="AA123" s="400" t="e">
        <f>#REF!+#REF!+#REF!+#REF!</f>
        <v>#REF!</v>
      </c>
      <c r="AB123" s="400" t="e">
        <f>#REF!+#REF!+#REF!+#REF!</f>
        <v>#REF!</v>
      </c>
    </row>
    <row r="124" spans="1:28" ht="12.95">
      <c r="A124" s="468">
        <v>45819</v>
      </c>
      <c r="B124" s="382" t="s">
        <v>95</v>
      </c>
      <c r="C124" s="477">
        <v>9094</v>
      </c>
      <c r="D124" s="477"/>
      <c r="E124" s="477"/>
      <c r="F124" s="499"/>
      <c r="G124" s="499"/>
      <c r="H124" s="499"/>
      <c r="I124" s="499"/>
      <c r="J124" s="499"/>
      <c r="K124" s="499"/>
      <c r="L124" s="499"/>
      <c r="M124" s="499"/>
      <c r="N124" s="499"/>
      <c r="O124" s="499"/>
      <c r="P124" s="499"/>
      <c r="Q124" s="502"/>
      <c r="R124" s="502"/>
      <c r="S124" s="502"/>
      <c r="T124" s="383">
        <v>1</v>
      </c>
      <c r="W124" s="485" t="e">
        <f>#REF!+#REF!+#REF!+#REF!+#REF!+#REF!+#REF!+#REF!+#REF!+#REF!+#REF!+#REF!+H130+I130+J130+K130+L130+M130+N130+O130+P130+Q130+R130+S130</f>
        <v>#REF!</v>
      </c>
      <c r="X124" s="394" t="e">
        <f>#REF!+#REF!+#REF!+E130+F130+G130</f>
        <v>#REF!</v>
      </c>
      <c r="Y124" s="399" t="e">
        <f>#REF!+#REF!+#REF!+#REF!+#REF!+#REF!+#REF!+#REF!+#REF!+#REF!+#REF!+#REF!+H130+I130+J130+K130+L130+M130+N130+O130+P130+Q130+R130+S130</f>
        <v>#REF!</v>
      </c>
      <c r="Z124" s="400" t="e">
        <f>#REF!+#REF!+#REF!+#REF!</f>
        <v>#REF!</v>
      </c>
      <c r="AA124" s="400" t="e">
        <f>#REF!+#REF!+#REF!+#REF!</f>
        <v>#REF!</v>
      </c>
      <c r="AB124" s="400" t="e">
        <f>#REF!+#REF!+#REF!+#REF!</f>
        <v>#REF!</v>
      </c>
    </row>
    <row r="125" spans="1:28" ht="12.95">
      <c r="A125" s="468"/>
      <c r="B125" s="382" t="s">
        <v>97</v>
      </c>
      <c r="C125" s="477">
        <v>0</v>
      </c>
      <c r="D125" s="477"/>
      <c r="E125" s="477"/>
      <c r="F125" s="499"/>
      <c r="G125" s="499"/>
      <c r="H125" s="499"/>
      <c r="I125" s="499"/>
      <c r="J125" s="499"/>
      <c r="K125" s="499"/>
      <c r="L125" s="499"/>
      <c r="M125" s="499"/>
      <c r="N125" s="499"/>
      <c r="O125" s="499"/>
      <c r="P125" s="499"/>
      <c r="Q125" s="502"/>
      <c r="R125" s="502"/>
      <c r="S125" s="502"/>
      <c r="T125" s="383">
        <v>1</v>
      </c>
      <c r="W125" s="485" t="e">
        <f>#REF!+#REF!+#REF!+#REF!+#REF!+#REF!+#REF!+#REF!+#REF!+#REF!+#REF!+#REF!+H131+I131+J131+K131+L131+M131+N131+O131+P131+Q131+R131+S131</f>
        <v>#REF!</v>
      </c>
      <c r="X125" s="394" t="e">
        <f>#REF!+#REF!+#REF!+E131+F131+G131</f>
        <v>#REF!</v>
      </c>
      <c r="Y125" s="399" t="e">
        <f>#REF!+#REF!+#REF!+#REF!+#REF!+#REF!+#REF!+#REF!+#REF!+#REF!+#REF!+#REF!+H131+I131+J131+K131+L131+M131+N131+O131+P131+Q131+R131+S131</f>
        <v>#REF!</v>
      </c>
      <c r="Z125" s="400" t="e">
        <f>#REF!+#REF!+#REF!+#REF!</f>
        <v>#REF!</v>
      </c>
      <c r="AA125" s="400" t="e">
        <f>#REF!+#REF!+#REF!+#REF!</f>
        <v>#REF!</v>
      </c>
      <c r="AB125" s="400" t="e">
        <f>#REF!+#REF!+#REF!+#REF!</f>
        <v>#REF!</v>
      </c>
    </row>
    <row r="126" spans="1:28" ht="12.95">
      <c r="A126" s="468"/>
      <c r="B126" s="382" t="s">
        <v>99</v>
      </c>
      <c r="C126" s="477">
        <v>42175</v>
      </c>
      <c r="D126" s="477"/>
      <c r="E126" s="477"/>
      <c r="F126" s="499"/>
      <c r="G126" s="499"/>
      <c r="H126" s="499"/>
      <c r="I126" s="499"/>
      <c r="J126" s="499"/>
      <c r="K126" s="499"/>
      <c r="L126" s="499"/>
      <c r="M126" s="499"/>
      <c r="N126" s="499"/>
      <c r="O126" s="499"/>
      <c r="P126" s="499"/>
      <c r="Q126" s="502"/>
      <c r="R126" s="502"/>
      <c r="S126" s="502"/>
      <c r="T126" s="383">
        <v>1</v>
      </c>
      <c r="W126" s="485" t="e">
        <f>#REF!+#REF!+#REF!+#REF!+#REF!+#REF!+#REF!+#REF!+#REF!+#REF!+#REF!+#REF!+H132+I132+J132+K132+L132+M132+N132+O132+P132+Q132+R132+S132</f>
        <v>#REF!</v>
      </c>
      <c r="X126" s="394" t="e">
        <f>#REF!+#REF!+#REF!+E132+F132+G132</f>
        <v>#REF!</v>
      </c>
      <c r="Y126" s="399" t="e">
        <f>#REF!+#REF!+#REF!+#REF!+#REF!+#REF!+#REF!+#REF!+#REF!+#REF!+#REF!+#REF!+H132+I132+J132+K132+L132+M132+N132+O132+P132+Q132+R132+S132</f>
        <v>#REF!</v>
      </c>
      <c r="Z126" s="400" t="e">
        <f>#REF!+#REF!+#REF!+#REF!</f>
        <v>#REF!</v>
      </c>
      <c r="AA126" s="400" t="e">
        <f>#REF!+#REF!+#REF!+#REF!</f>
        <v>#REF!</v>
      </c>
      <c r="AB126" s="400" t="e">
        <f>#REF!+#REF!+#REF!+#REF!</f>
        <v>#REF!</v>
      </c>
    </row>
    <row r="127" spans="1:28" ht="12.95">
      <c r="A127" s="468"/>
      <c r="B127" s="382" t="s">
        <v>101</v>
      </c>
      <c r="C127" s="477">
        <v>19006</v>
      </c>
      <c r="D127" s="477"/>
      <c r="E127" s="477"/>
      <c r="F127" s="499"/>
      <c r="G127" s="499"/>
      <c r="H127" s="499"/>
      <c r="I127" s="499"/>
      <c r="J127" s="499"/>
      <c r="K127" s="499"/>
      <c r="L127" s="499"/>
      <c r="M127" s="499"/>
      <c r="N127" s="499"/>
      <c r="O127" s="499"/>
      <c r="P127" s="499"/>
      <c r="Q127" s="502"/>
      <c r="R127" s="502"/>
      <c r="S127" s="502"/>
      <c r="T127" s="383">
        <v>1</v>
      </c>
      <c r="W127" s="485" t="e">
        <f>#REF!+#REF!+#REF!+#REF!+#REF!+#REF!+#REF!+#REF!+#REF!+#REF!+#REF!+#REF!+H133+I133+J133+K133+L133+M133+N133+O133+P133+Q133+R133+S133</f>
        <v>#REF!</v>
      </c>
      <c r="X127" s="394" t="e">
        <f>#REF!+#REF!+#REF!+E133+F133+G133</f>
        <v>#REF!</v>
      </c>
      <c r="Y127" s="399" t="e">
        <f>#REF!+#REF!+#REF!+#REF!+#REF!+#REF!+#REF!+#REF!+#REF!+#REF!+#REF!+#REF!+H133+I133+J133+K133+L133+M133+N133+O133+P133+Q133+R133+S133</f>
        <v>#REF!</v>
      </c>
      <c r="Z127" s="400" t="e">
        <f>#REF!+#REF!+#REF!+#REF!</f>
        <v>#REF!</v>
      </c>
      <c r="AA127" s="400" t="e">
        <f>#REF!+#REF!+#REF!+#REF!</f>
        <v>#REF!</v>
      </c>
      <c r="AB127" s="400" t="e">
        <f>#REF!+#REF!+#REF!+#REF!</f>
        <v>#REF!</v>
      </c>
    </row>
    <row r="128" spans="1:28" ht="12.95">
      <c r="A128" s="468"/>
      <c r="B128" s="382" t="s">
        <v>103</v>
      </c>
      <c r="C128" s="477">
        <v>37246</v>
      </c>
      <c r="D128" s="477"/>
      <c r="E128" s="477"/>
      <c r="F128" s="499"/>
      <c r="G128" s="499"/>
      <c r="H128" s="499"/>
      <c r="I128" s="499"/>
      <c r="J128" s="499"/>
      <c r="K128" s="499"/>
      <c r="L128" s="499"/>
      <c r="M128" s="499"/>
      <c r="N128" s="499"/>
      <c r="O128" s="499"/>
      <c r="P128" s="499"/>
      <c r="Q128" s="502"/>
      <c r="R128" s="502"/>
      <c r="S128" s="502"/>
      <c r="T128" s="383">
        <v>1</v>
      </c>
      <c r="W128" s="485" t="e">
        <f>#REF!+#REF!+#REF!+#REF!+#REF!+#REF!+#REF!+#REF!+#REF!+#REF!+#REF!+#REF!+H134+I134+J134+K134+L134+M134+N134+O134+P134+Q134+R134+S134</f>
        <v>#REF!</v>
      </c>
      <c r="X128" s="394"/>
      <c r="Y128" s="399"/>
      <c r="Z128" s="400"/>
      <c r="AA128" s="400"/>
      <c r="AB128" s="400"/>
    </row>
    <row r="129" spans="1:28" ht="12.95">
      <c r="A129" s="468"/>
      <c r="B129" s="382" t="s">
        <v>104</v>
      </c>
      <c r="C129" s="477">
        <v>88656</v>
      </c>
      <c r="D129" s="477"/>
      <c r="E129" s="477">
        <v>4890</v>
      </c>
      <c r="F129" s="499"/>
      <c r="G129" s="499"/>
      <c r="H129" s="477">
        <v>3.9E-2</v>
      </c>
      <c r="I129" s="477">
        <v>0.39</v>
      </c>
      <c r="J129" s="477">
        <v>15.054</v>
      </c>
      <c r="K129" s="477">
        <v>3.9E-2</v>
      </c>
      <c r="L129" s="477">
        <v>0.39</v>
      </c>
      <c r="M129" s="477">
        <v>18.72</v>
      </c>
      <c r="N129" s="477">
        <v>3.9E-2</v>
      </c>
      <c r="O129" s="477">
        <v>0.39</v>
      </c>
      <c r="P129" s="477">
        <v>3.9</v>
      </c>
      <c r="Q129" s="477">
        <v>0</v>
      </c>
      <c r="R129" s="477">
        <v>0</v>
      </c>
      <c r="S129" s="477">
        <v>3.9E-2</v>
      </c>
      <c r="T129" s="383">
        <v>1</v>
      </c>
      <c r="W129" s="485" t="e">
        <f>#REF!+#REF!+#REF!+#REF!+#REF!+#REF!+#REF!+#REF!+#REF!+#REF!+#REF!+#REF!+H135+I135+J135+K135+L135+M135+N135+O135+P135+Q135+R135+S135</f>
        <v>#REF!</v>
      </c>
      <c r="X129" s="394" t="e">
        <f>#REF!+#REF!+#REF!+E135+F135+G135</f>
        <v>#REF!</v>
      </c>
      <c r="Y129" s="399" t="e">
        <f>#REF!+#REF!+#REF!+#REF!+#REF!+#REF!+#REF!+#REF!+#REF!+#REF!+#REF!+#REF!+H135+I135+J135+K135+L135+M135+N135+O135+P135+Q135+R135+S135</f>
        <v>#REF!</v>
      </c>
      <c r="Z129" s="400" t="e">
        <f>#REF!+#REF!+#REF!+#REF!</f>
        <v>#REF!</v>
      </c>
      <c r="AA129" s="400" t="e">
        <f>#REF!+#REF!+#REF!+#REF!</f>
        <v>#REF!</v>
      </c>
      <c r="AB129" s="400" t="e">
        <f>#REF!+#REF!+#REF!+#REF!</f>
        <v>#REF!</v>
      </c>
    </row>
    <row r="130" spans="1:28" ht="12.95">
      <c r="A130" s="470"/>
      <c r="B130" s="386" t="s">
        <v>95</v>
      </c>
      <c r="C130" s="481"/>
      <c r="D130" s="481"/>
      <c r="E130" s="481"/>
      <c r="F130" s="503"/>
      <c r="G130" s="503"/>
      <c r="H130" s="481"/>
      <c r="I130" s="481"/>
      <c r="J130" s="481"/>
      <c r="K130" s="481"/>
      <c r="L130" s="481"/>
      <c r="M130" s="481"/>
      <c r="N130" s="481"/>
      <c r="O130" s="481"/>
      <c r="P130" s="481"/>
      <c r="Q130" s="481"/>
      <c r="R130" s="481"/>
      <c r="S130" s="481"/>
      <c r="T130" s="501">
        <v>2</v>
      </c>
      <c r="W130" s="485"/>
      <c r="X130" s="394"/>
      <c r="Y130" s="399"/>
      <c r="Z130" s="400">
        <f t="shared" ref="Z130:AB157" si="42">H130+K130+N130+Q130</f>
        <v>0</v>
      </c>
      <c r="AA130" s="400">
        <f t="shared" si="42"/>
        <v>0</v>
      </c>
      <c r="AB130" s="400">
        <f t="shared" si="42"/>
        <v>0</v>
      </c>
    </row>
    <row r="131" spans="1:28" ht="12.95">
      <c r="A131" s="470"/>
      <c r="B131" s="386" t="s">
        <v>97</v>
      </c>
      <c r="C131" s="481"/>
      <c r="D131" s="481"/>
      <c r="E131" s="481"/>
      <c r="F131" s="503"/>
      <c r="G131" s="503"/>
      <c r="H131" s="481"/>
      <c r="I131" s="481"/>
      <c r="J131" s="481"/>
      <c r="K131" s="481"/>
      <c r="L131" s="481"/>
      <c r="M131" s="481"/>
      <c r="N131" s="481"/>
      <c r="O131" s="481"/>
      <c r="P131" s="481"/>
      <c r="Q131" s="481"/>
      <c r="R131" s="481"/>
      <c r="S131" s="481"/>
      <c r="T131" s="501">
        <v>2</v>
      </c>
      <c r="W131" s="485"/>
      <c r="X131" s="394"/>
      <c r="Y131" s="399"/>
      <c r="Z131" s="400">
        <f t="shared" si="42"/>
        <v>0</v>
      </c>
      <c r="AA131" s="400">
        <f t="shared" si="42"/>
        <v>0</v>
      </c>
      <c r="AB131" s="400">
        <f t="shared" si="42"/>
        <v>0</v>
      </c>
    </row>
    <row r="132" spans="1:28" ht="12.95">
      <c r="A132" s="470"/>
      <c r="B132" s="386" t="s">
        <v>99</v>
      </c>
      <c r="C132" s="481"/>
      <c r="D132" s="481"/>
      <c r="E132" s="481"/>
      <c r="F132" s="503"/>
      <c r="G132" s="503"/>
      <c r="H132" s="481"/>
      <c r="I132" s="481"/>
      <c r="J132" s="481"/>
      <c r="K132" s="481"/>
      <c r="L132" s="481"/>
      <c r="M132" s="481"/>
      <c r="N132" s="481"/>
      <c r="O132" s="481"/>
      <c r="P132" s="481"/>
      <c r="Q132" s="481"/>
      <c r="R132" s="481"/>
      <c r="S132" s="481"/>
      <c r="T132" s="501">
        <v>2</v>
      </c>
      <c r="W132" s="485"/>
      <c r="X132" s="394"/>
      <c r="Y132" s="399"/>
      <c r="Z132" s="400">
        <f t="shared" si="42"/>
        <v>0</v>
      </c>
      <c r="AA132" s="400">
        <f t="shared" si="42"/>
        <v>0</v>
      </c>
      <c r="AB132" s="400">
        <f t="shared" si="42"/>
        <v>0</v>
      </c>
    </row>
    <row r="133" spans="1:28" ht="12.95">
      <c r="A133" s="470"/>
      <c r="B133" s="386" t="s">
        <v>101</v>
      </c>
      <c r="C133" s="481"/>
      <c r="D133" s="481"/>
      <c r="E133" s="481"/>
      <c r="F133" s="503"/>
      <c r="G133" s="503"/>
      <c r="H133" s="481"/>
      <c r="I133" s="481"/>
      <c r="J133" s="481"/>
      <c r="K133" s="481"/>
      <c r="L133" s="481"/>
      <c r="M133" s="481"/>
      <c r="N133" s="481"/>
      <c r="O133" s="481"/>
      <c r="P133" s="481"/>
      <c r="Q133" s="481"/>
      <c r="R133" s="481"/>
      <c r="S133" s="481"/>
      <c r="T133" s="501">
        <v>2</v>
      </c>
      <c r="W133" s="485"/>
      <c r="X133" s="394"/>
      <c r="Y133" s="399"/>
      <c r="Z133" s="400">
        <f t="shared" si="42"/>
        <v>0</v>
      </c>
      <c r="AA133" s="400">
        <f t="shared" si="42"/>
        <v>0</v>
      </c>
      <c r="AB133" s="400">
        <f t="shared" si="42"/>
        <v>0</v>
      </c>
    </row>
    <row r="134" spans="1:28" ht="12.95">
      <c r="A134" s="470"/>
      <c r="B134" s="386" t="s">
        <v>103</v>
      </c>
      <c r="C134" s="481"/>
      <c r="D134" s="481"/>
      <c r="E134" s="481"/>
      <c r="F134" s="503"/>
      <c r="G134" s="503"/>
      <c r="H134" s="481"/>
      <c r="I134" s="481"/>
      <c r="J134" s="481"/>
      <c r="K134" s="481"/>
      <c r="L134" s="481"/>
      <c r="M134" s="481"/>
      <c r="N134" s="481"/>
      <c r="O134" s="481"/>
      <c r="P134" s="481"/>
      <c r="Q134" s="481"/>
      <c r="R134" s="481"/>
      <c r="S134" s="481"/>
      <c r="T134" s="501">
        <v>2</v>
      </c>
      <c r="W134" s="485"/>
      <c r="X134" s="394"/>
      <c r="Y134" s="399"/>
      <c r="Z134" s="400"/>
      <c r="AA134" s="400"/>
      <c r="AB134" s="400"/>
    </row>
    <row r="135" spans="1:28" ht="12.95">
      <c r="A135" s="470"/>
      <c r="B135" s="386" t="s">
        <v>104</v>
      </c>
      <c r="C135" s="481"/>
      <c r="D135" s="481"/>
      <c r="E135" s="481">
        <v>8560</v>
      </c>
      <c r="F135" s="503"/>
      <c r="G135" s="503"/>
      <c r="H135" s="481">
        <v>4.1000000000000002E-2</v>
      </c>
      <c r="I135" s="481">
        <v>0.41</v>
      </c>
      <c r="J135" s="481">
        <v>15.826000000000001</v>
      </c>
      <c r="K135" s="481">
        <v>4.1000000000000002E-2</v>
      </c>
      <c r="L135" s="481">
        <v>0.41</v>
      </c>
      <c r="M135" s="481">
        <v>19.68</v>
      </c>
      <c r="N135" s="481">
        <v>4.1000000000000002E-2</v>
      </c>
      <c r="O135" s="481">
        <v>0.41</v>
      </c>
      <c r="P135" s="481">
        <v>4.0999999999999996</v>
      </c>
      <c r="Q135" s="481">
        <v>0</v>
      </c>
      <c r="R135" s="481">
        <v>0</v>
      </c>
      <c r="S135" s="481">
        <v>4.1000000000000002E-2</v>
      </c>
      <c r="T135" s="501">
        <v>2</v>
      </c>
      <c r="W135" s="485"/>
      <c r="X135" s="394"/>
      <c r="Y135" s="399"/>
      <c r="Z135" s="400">
        <f t="shared" si="42"/>
        <v>0.123</v>
      </c>
      <c r="AA135" s="400">
        <f t="shared" si="42"/>
        <v>1.23</v>
      </c>
      <c r="AB135" s="400">
        <f t="shared" si="42"/>
        <v>39.646999999999998</v>
      </c>
    </row>
    <row r="136" spans="1:28" ht="12.95">
      <c r="A136" s="468">
        <v>45820</v>
      </c>
      <c r="B136" s="382" t="s">
        <v>95</v>
      </c>
      <c r="C136" s="382">
        <v>9094</v>
      </c>
      <c r="D136" s="382"/>
      <c r="E136" s="382"/>
      <c r="F136" s="382"/>
      <c r="G136" s="382"/>
      <c r="H136" s="382"/>
      <c r="I136" s="382"/>
      <c r="J136" s="382"/>
      <c r="K136" s="382"/>
      <c r="L136" s="382"/>
      <c r="M136" s="382"/>
      <c r="N136" s="382"/>
      <c r="O136" s="382"/>
      <c r="P136" s="382"/>
      <c r="Q136" s="382"/>
      <c r="R136" s="382"/>
      <c r="S136" s="382"/>
      <c r="T136" s="382">
        <v>1</v>
      </c>
      <c r="W136" s="485">
        <f t="shared" ref="W136:W141" si="43">H136+I136+J136+K136+L136+M136+N136+O136+P136+Q136+R136+S136+H142+I142+J142+K142+L142+M142+N142+O142+P142+Q142+R142+S142</f>
        <v>0</v>
      </c>
      <c r="X136" s="394">
        <f>E136+F136+G136+E142+F142+G142</f>
        <v>0</v>
      </c>
      <c r="Y136" s="399">
        <f>H136+I136+J136+K136+L136+M136+N136+O136+P136+Q136+R136+S136+H142+I142+J142+K142+L142+M142+N142+O142+P142+Q142+R142+S142</f>
        <v>0</v>
      </c>
      <c r="Z136" s="400">
        <f t="shared" si="42"/>
        <v>0</v>
      </c>
      <c r="AA136" s="400">
        <f t="shared" si="42"/>
        <v>0</v>
      </c>
      <c r="AB136" s="400">
        <f t="shared" si="42"/>
        <v>0</v>
      </c>
    </row>
    <row r="137" spans="1:28" ht="12.95">
      <c r="A137" s="468"/>
      <c r="B137" s="382" t="s">
        <v>97</v>
      </c>
      <c r="C137" s="382">
        <v>0</v>
      </c>
      <c r="D137" s="382"/>
      <c r="E137" s="382"/>
      <c r="F137" s="382"/>
      <c r="G137" s="382"/>
      <c r="H137" s="382"/>
      <c r="I137" s="382"/>
      <c r="J137" s="382"/>
      <c r="K137" s="382"/>
      <c r="L137" s="382"/>
      <c r="M137" s="382"/>
      <c r="N137" s="382"/>
      <c r="O137" s="382"/>
      <c r="P137" s="382"/>
      <c r="Q137" s="382"/>
      <c r="R137" s="382"/>
      <c r="S137" s="382"/>
      <c r="T137" s="382">
        <v>1</v>
      </c>
      <c r="W137" s="485">
        <f t="shared" si="43"/>
        <v>0</v>
      </c>
      <c r="X137" s="394">
        <f>E137+F137+G137+E143+F143+G143</f>
        <v>0</v>
      </c>
      <c r="Y137" s="442">
        <f>H137+I137+J137+K137+L137+M137+N137+O137+P137+Q137+R137+S137+H143+I143+J143+K143+L143+M143+N143+O143+P143+Q143+R143+S143</f>
        <v>0</v>
      </c>
      <c r="Z137" s="400">
        <f t="shared" si="42"/>
        <v>0</v>
      </c>
      <c r="AA137" s="400">
        <f t="shared" si="42"/>
        <v>0</v>
      </c>
      <c r="AB137" s="400">
        <f t="shared" si="42"/>
        <v>0</v>
      </c>
    </row>
    <row r="138" spans="1:28" ht="12.95">
      <c r="A138" s="468"/>
      <c r="B138" s="382" t="s">
        <v>99</v>
      </c>
      <c r="C138" s="382">
        <v>42175</v>
      </c>
      <c r="D138" s="382"/>
      <c r="E138" s="382"/>
      <c r="F138" s="382"/>
      <c r="G138" s="382"/>
      <c r="H138" s="382"/>
      <c r="I138" s="382"/>
      <c r="J138" s="382"/>
      <c r="K138" s="382"/>
      <c r="L138" s="382"/>
      <c r="M138" s="382"/>
      <c r="N138" s="382"/>
      <c r="O138" s="382"/>
      <c r="P138" s="382"/>
      <c r="Q138" s="382"/>
      <c r="R138" s="382"/>
      <c r="S138" s="382"/>
      <c r="T138" s="382">
        <v>1</v>
      </c>
      <c r="W138" s="485">
        <f t="shared" si="43"/>
        <v>0</v>
      </c>
      <c r="X138" s="394">
        <f>E138+F138+G138+E144+F144+G144</f>
        <v>0</v>
      </c>
      <c r="Y138" s="442">
        <f>H138+I138+J138+K138+L138+M138+N138+O138+P138+Q138+R138+S138+H144+I144+J144+K144+L144+M144+N144+O144+P144+Q144+R144+S144</f>
        <v>0</v>
      </c>
      <c r="Z138" s="400">
        <f t="shared" si="42"/>
        <v>0</v>
      </c>
      <c r="AA138" s="400">
        <f t="shared" si="42"/>
        <v>0</v>
      </c>
      <c r="AB138" s="400">
        <f t="shared" si="42"/>
        <v>0</v>
      </c>
    </row>
    <row r="139" spans="1:28" ht="12.95">
      <c r="A139" s="468"/>
      <c r="B139" s="382" t="s">
        <v>101</v>
      </c>
      <c r="C139" s="382">
        <v>19006</v>
      </c>
      <c r="D139" s="382"/>
      <c r="E139" s="382"/>
      <c r="F139" s="382"/>
      <c r="G139" s="382"/>
      <c r="H139" s="382"/>
      <c r="I139" s="382"/>
      <c r="J139" s="382"/>
      <c r="K139" s="382"/>
      <c r="L139" s="382"/>
      <c r="M139" s="382"/>
      <c r="N139" s="382"/>
      <c r="O139" s="382"/>
      <c r="P139" s="382"/>
      <c r="Q139" s="382"/>
      <c r="R139" s="382"/>
      <c r="S139" s="382"/>
      <c r="T139" s="382">
        <v>1</v>
      </c>
      <c r="W139" s="485">
        <f t="shared" si="43"/>
        <v>0</v>
      </c>
      <c r="X139" s="394">
        <f>E139+F139+G139+E145+F145+G145</f>
        <v>0</v>
      </c>
      <c r="Y139" s="399">
        <f>H139+I139+J139+K139+L139+M139+N139+O139+P139+Q139+R139+S139+H145+I145+J145+K145+L145+M145+N145+O145+P145+Q145+R145+S145</f>
        <v>0</v>
      </c>
      <c r="Z139" s="400">
        <f t="shared" si="42"/>
        <v>0</v>
      </c>
      <c r="AA139" s="400">
        <f t="shared" si="42"/>
        <v>0</v>
      </c>
      <c r="AB139" s="400">
        <f t="shared" si="42"/>
        <v>0</v>
      </c>
    </row>
    <row r="140" spans="1:28" ht="12.95">
      <c r="A140" s="468"/>
      <c r="B140" s="382" t="s">
        <v>103</v>
      </c>
      <c r="C140" s="382">
        <v>37246</v>
      </c>
      <c r="D140" s="382"/>
      <c r="E140" s="382"/>
      <c r="F140" s="382"/>
      <c r="G140" s="382"/>
      <c r="H140" s="382"/>
      <c r="I140" s="382"/>
      <c r="J140" s="382"/>
      <c r="K140" s="382"/>
      <c r="L140" s="382"/>
      <c r="M140" s="382"/>
      <c r="N140" s="382"/>
      <c r="O140" s="382"/>
      <c r="P140" s="382"/>
      <c r="Q140" s="382"/>
      <c r="R140" s="382"/>
      <c r="S140" s="382"/>
      <c r="T140" s="382">
        <v>1</v>
      </c>
      <c r="W140" s="485">
        <f t="shared" si="43"/>
        <v>19</v>
      </c>
      <c r="X140" s="394"/>
      <c r="Y140" s="399"/>
      <c r="Z140" s="400"/>
      <c r="AA140" s="400"/>
      <c r="AB140" s="400"/>
    </row>
    <row r="141" spans="1:28" ht="12.95">
      <c r="A141" s="468"/>
      <c r="B141" s="382" t="s">
        <v>104</v>
      </c>
      <c r="C141" s="382">
        <v>75120</v>
      </c>
      <c r="D141" s="382"/>
      <c r="E141" s="382"/>
      <c r="F141" s="382"/>
      <c r="G141" s="382"/>
      <c r="H141" s="382"/>
      <c r="I141" s="382"/>
      <c r="J141" s="382"/>
      <c r="K141" s="382"/>
      <c r="L141" s="382"/>
      <c r="M141" s="382"/>
      <c r="N141" s="382"/>
      <c r="O141" s="382"/>
      <c r="P141" s="382"/>
      <c r="Q141" s="382"/>
      <c r="R141" s="382"/>
      <c r="S141" s="382"/>
      <c r="T141" s="382">
        <v>1</v>
      </c>
      <c r="W141" s="485">
        <f t="shared" si="43"/>
        <v>0</v>
      </c>
      <c r="X141" s="394">
        <f>E141+F141+G141+E147+F147+G147</f>
        <v>0</v>
      </c>
      <c r="Y141" s="399">
        <f>H141+I141+J141+K141+L141+M141+N141+O141+P141+Q141+R141+S141+H147+I147+J147+K147+L147+M147+N147+O147+P147+Q147+R147+S147</f>
        <v>0</v>
      </c>
      <c r="Z141" s="400">
        <f t="shared" si="42"/>
        <v>0</v>
      </c>
      <c r="AA141" s="400">
        <f t="shared" si="42"/>
        <v>0</v>
      </c>
      <c r="AB141" s="400">
        <f t="shared" si="42"/>
        <v>0</v>
      </c>
    </row>
    <row r="142" spans="1:28" ht="12.95">
      <c r="A142" s="470"/>
      <c r="B142" s="386" t="s">
        <v>95</v>
      </c>
      <c r="C142" s="388"/>
      <c r="D142" s="388"/>
      <c r="E142" s="388"/>
      <c r="F142" s="388"/>
      <c r="G142" s="388"/>
      <c r="H142" s="388"/>
      <c r="I142" s="388"/>
      <c r="J142" s="388"/>
      <c r="K142" s="388"/>
      <c r="L142" s="388"/>
      <c r="M142" s="388"/>
      <c r="N142" s="388"/>
      <c r="O142" s="388"/>
      <c r="P142" s="388"/>
      <c r="Q142" s="388"/>
      <c r="R142" s="388"/>
      <c r="S142" s="388"/>
      <c r="T142" s="386">
        <v>2</v>
      </c>
      <c r="W142" s="485"/>
      <c r="X142" s="394"/>
      <c r="Y142" s="399"/>
      <c r="Z142" s="400">
        <f t="shared" si="42"/>
        <v>0</v>
      </c>
      <c r="AA142" s="400">
        <f t="shared" si="42"/>
        <v>0</v>
      </c>
      <c r="AB142" s="400">
        <f t="shared" si="42"/>
        <v>0</v>
      </c>
    </row>
    <row r="143" spans="1:28" ht="12.95">
      <c r="A143" s="470"/>
      <c r="B143" s="386" t="s">
        <v>97</v>
      </c>
      <c r="C143" s="388"/>
      <c r="D143" s="388"/>
      <c r="E143" s="388"/>
      <c r="F143" s="388"/>
      <c r="G143" s="388"/>
      <c r="H143" s="388"/>
      <c r="I143" s="388"/>
      <c r="J143" s="388"/>
      <c r="K143" s="388"/>
      <c r="L143" s="388"/>
      <c r="M143" s="388"/>
      <c r="N143" s="388"/>
      <c r="O143" s="388"/>
      <c r="P143" s="388"/>
      <c r="Q143" s="388"/>
      <c r="R143" s="388"/>
      <c r="S143" s="388"/>
      <c r="T143" s="386">
        <v>2</v>
      </c>
      <c r="W143" s="485"/>
      <c r="X143" s="394"/>
      <c r="Y143" s="399"/>
      <c r="Z143" s="400">
        <f t="shared" si="42"/>
        <v>0</v>
      </c>
      <c r="AA143" s="400">
        <f t="shared" si="42"/>
        <v>0</v>
      </c>
      <c r="AB143" s="400">
        <f t="shared" si="42"/>
        <v>0</v>
      </c>
    </row>
    <row r="144" spans="1:28" ht="12.95">
      <c r="A144" s="470"/>
      <c r="B144" s="386" t="s">
        <v>99</v>
      </c>
      <c r="C144" s="388"/>
      <c r="D144" s="388"/>
      <c r="E144" s="388"/>
      <c r="F144" s="388"/>
      <c r="G144" s="388"/>
      <c r="H144" s="388"/>
      <c r="I144" s="388"/>
      <c r="J144" s="388"/>
      <c r="K144" s="388"/>
      <c r="L144" s="388"/>
      <c r="M144" s="388"/>
      <c r="N144" s="388"/>
      <c r="O144" s="388"/>
      <c r="P144" s="388"/>
      <c r="Q144" s="388"/>
      <c r="R144" s="388"/>
      <c r="S144" s="388"/>
      <c r="T144" s="386">
        <v>2</v>
      </c>
      <c r="W144" s="485"/>
      <c r="X144" s="394"/>
      <c r="Y144" s="399"/>
      <c r="Z144" s="400">
        <f t="shared" si="42"/>
        <v>0</v>
      </c>
      <c r="AA144" s="400">
        <f t="shared" si="42"/>
        <v>0</v>
      </c>
      <c r="AB144" s="400">
        <f t="shared" si="42"/>
        <v>0</v>
      </c>
    </row>
    <row r="145" spans="1:28" ht="12.95">
      <c r="A145" s="470"/>
      <c r="B145" s="386" t="s">
        <v>101</v>
      </c>
      <c r="C145" s="388"/>
      <c r="D145" s="388"/>
      <c r="E145" s="388"/>
      <c r="F145" s="388"/>
      <c r="G145" s="388"/>
      <c r="H145" s="388"/>
      <c r="I145" s="388"/>
      <c r="J145" s="388"/>
      <c r="K145" s="388"/>
      <c r="L145" s="388"/>
      <c r="M145" s="388"/>
      <c r="N145" s="388"/>
      <c r="O145" s="388"/>
      <c r="P145" s="388"/>
      <c r="Q145" s="388"/>
      <c r="R145" s="388"/>
      <c r="S145" s="388"/>
      <c r="T145" s="386">
        <v>2</v>
      </c>
      <c r="W145" s="485"/>
      <c r="X145" s="394"/>
      <c r="Y145" s="399"/>
      <c r="Z145" s="400">
        <f t="shared" si="42"/>
        <v>0</v>
      </c>
      <c r="AA145" s="400">
        <f t="shared" si="42"/>
        <v>0</v>
      </c>
      <c r="AB145" s="400">
        <f t="shared" si="42"/>
        <v>0</v>
      </c>
    </row>
    <row r="146" spans="1:28" ht="12.95">
      <c r="A146" s="470"/>
      <c r="B146" s="386" t="s">
        <v>103</v>
      </c>
      <c r="C146" s="388"/>
      <c r="D146" s="388"/>
      <c r="E146" s="388">
        <v>16250</v>
      </c>
      <c r="F146" s="388"/>
      <c r="G146" s="388"/>
      <c r="H146" s="504">
        <v>1.9E-2</v>
      </c>
      <c r="I146" s="504">
        <v>0.19</v>
      </c>
      <c r="J146" s="504">
        <v>7.3339999999999996</v>
      </c>
      <c r="K146" s="504">
        <v>1.9E-2</v>
      </c>
      <c r="L146" s="504">
        <v>0.19</v>
      </c>
      <c r="M146" s="504">
        <v>9.1199999999999992</v>
      </c>
      <c r="N146" s="504">
        <v>1.9E-2</v>
      </c>
      <c r="O146" s="504">
        <v>0.19</v>
      </c>
      <c r="P146" s="504">
        <v>1.9</v>
      </c>
      <c r="Q146" s="504">
        <v>0</v>
      </c>
      <c r="R146" s="504">
        <v>0</v>
      </c>
      <c r="S146" s="504">
        <v>1.9E-2</v>
      </c>
      <c r="T146" s="386">
        <v>2</v>
      </c>
      <c r="W146" s="485"/>
      <c r="X146" s="394"/>
      <c r="Y146" s="399"/>
      <c r="Z146" s="400"/>
      <c r="AA146" s="400"/>
      <c r="AB146" s="400"/>
    </row>
    <row r="147" spans="1:28" ht="12.95">
      <c r="A147" s="470"/>
      <c r="B147" s="386" t="s">
        <v>104</v>
      </c>
      <c r="C147" s="388"/>
      <c r="D147" s="388"/>
      <c r="E147" s="388"/>
      <c r="F147" s="388"/>
      <c r="G147" s="388"/>
      <c r="H147" s="388"/>
      <c r="I147" s="388"/>
      <c r="J147" s="388"/>
      <c r="K147" s="388"/>
      <c r="L147" s="388"/>
      <c r="M147" s="388"/>
      <c r="N147" s="388"/>
      <c r="O147" s="388"/>
      <c r="P147" s="388"/>
      <c r="Q147" s="388"/>
      <c r="R147" s="388"/>
      <c r="S147" s="388"/>
      <c r="T147" s="386">
        <v>2</v>
      </c>
      <c r="W147" s="485"/>
      <c r="X147" s="394"/>
      <c r="Y147" s="399"/>
      <c r="Z147" s="400">
        <f t="shared" si="42"/>
        <v>0</v>
      </c>
      <c r="AA147" s="400">
        <f t="shared" si="42"/>
        <v>0</v>
      </c>
      <c r="AB147" s="400">
        <f t="shared" si="42"/>
        <v>0</v>
      </c>
    </row>
    <row r="148" spans="1:28" ht="12.95">
      <c r="A148" s="468">
        <v>45821</v>
      </c>
      <c r="B148" s="382" t="s">
        <v>95</v>
      </c>
      <c r="C148" s="452">
        <v>9094</v>
      </c>
      <c r="D148" s="452"/>
      <c r="E148" s="452"/>
      <c r="F148" s="452"/>
      <c r="G148" s="452"/>
      <c r="H148" s="452"/>
      <c r="I148" s="452"/>
      <c r="J148" s="452"/>
      <c r="K148" s="452"/>
      <c r="L148" s="452"/>
      <c r="M148" s="452"/>
      <c r="N148" s="452"/>
      <c r="O148" s="452"/>
      <c r="P148" s="452"/>
      <c r="Q148" s="452"/>
      <c r="R148" s="452"/>
      <c r="S148" s="452"/>
      <c r="T148" s="382">
        <v>1</v>
      </c>
      <c r="W148" s="485">
        <f t="shared" ref="W148:W153" si="44">H148+I148+J148+K148+L148+M148+N148+O148+P148+Q148+R148+S148+H154+I154+J154+K154+L154+M154+N154+O154+P154+Q154+R154+S154</f>
        <v>0</v>
      </c>
      <c r="X148" s="394">
        <f>E148+F148+G148+E154+F154+G154</f>
        <v>0</v>
      </c>
      <c r="Y148" s="399">
        <f>H148+I148+J148+K148+L148+M148+N148+O148+P148+Q148+R148+S148+H154+I154+J154+K154+L154+M154+N154+O154+P154+Q154+R154+S154</f>
        <v>0</v>
      </c>
      <c r="Z148" s="400">
        <f t="shared" si="42"/>
        <v>0</v>
      </c>
      <c r="AA148" s="400">
        <f t="shared" si="42"/>
        <v>0</v>
      </c>
      <c r="AB148" s="400">
        <f t="shared" si="42"/>
        <v>0</v>
      </c>
    </row>
    <row r="149" spans="1:28" ht="12.95">
      <c r="A149" s="468"/>
      <c r="B149" s="382" t="s">
        <v>97</v>
      </c>
      <c r="C149" s="452">
        <v>0</v>
      </c>
      <c r="D149" s="452"/>
      <c r="E149" s="452"/>
      <c r="F149" s="452"/>
      <c r="G149" s="452"/>
      <c r="H149" s="452"/>
      <c r="I149" s="452"/>
      <c r="J149" s="452"/>
      <c r="K149" s="452"/>
      <c r="L149" s="452"/>
      <c r="M149" s="452"/>
      <c r="N149" s="452"/>
      <c r="O149" s="452"/>
      <c r="P149" s="452"/>
      <c r="Q149" s="452"/>
      <c r="R149" s="452"/>
      <c r="S149" s="452"/>
      <c r="T149" s="382">
        <v>1</v>
      </c>
      <c r="W149" s="485">
        <f t="shared" si="44"/>
        <v>0</v>
      </c>
      <c r="X149" s="394">
        <f>E149+F149+G149+E155+F155+G155</f>
        <v>0</v>
      </c>
      <c r="Y149" s="442">
        <f>H149+I149+J149+K149+L149+M149+N149+O149+P149+Q149+R149+S149+H155+I155+J155+K155+L155+M155+N155+O155+P155+Q155+R155+S155</f>
        <v>0</v>
      </c>
      <c r="Z149" s="400">
        <f t="shared" si="42"/>
        <v>0</v>
      </c>
      <c r="AA149" s="400">
        <f t="shared" si="42"/>
        <v>0</v>
      </c>
      <c r="AB149" s="400">
        <f t="shared" si="42"/>
        <v>0</v>
      </c>
    </row>
    <row r="150" spans="1:28" ht="12.95">
      <c r="A150" s="468"/>
      <c r="B150" s="382" t="s">
        <v>99</v>
      </c>
      <c r="C150" s="452">
        <v>42175</v>
      </c>
      <c r="D150" s="452"/>
      <c r="E150" s="452"/>
      <c r="F150" s="452"/>
      <c r="G150" s="452"/>
      <c r="H150" s="452"/>
      <c r="I150" s="452"/>
      <c r="J150" s="452"/>
      <c r="K150" s="452"/>
      <c r="L150" s="452"/>
      <c r="M150" s="452"/>
      <c r="N150" s="452"/>
      <c r="O150" s="452"/>
      <c r="P150" s="452"/>
      <c r="Q150" s="452"/>
      <c r="R150" s="452"/>
      <c r="S150" s="452"/>
      <c r="T150" s="382">
        <v>1</v>
      </c>
      <c r="W150" s="485">
        <f t="shared" si="44"/>
        <v>0</v>
      </c>
      <c r="X150" s="394">
        <f>E150+F150+G150+E156+F156+G156</f>
        <v>0</v>
      </c>
      <c r="Y150" s="399">
        <f>H150+I150+J150+K150+L150+M150+N150+O150+P150+Q150+R150+S150+H156+I156+J156+K156+L156+M156+N156+O156+P156+Q156+R156+S156</f>
        <v>0</v>
      </c>
      <c r="Z150" s="400">
        <f t="shared" si="42"/>
        <v>0</v>
      </c>
      <c r="AA150" s="400">
        <f t="shared" si="42"/>
        <v>0</v>
      </c>
      <c r="AB150" s="400">
        <f t="shared" si="42"/>
        <v>0</v>
      </c>
    </row>
    <row r="151" spans="1:28" ht="12.95">
      <c r="A151" s="468"/>
      <c r="B151" s="382" t="s">
        <v>101</v>
      </c>
      <c r="C151" s="452">
        <v>19006</v>
      </c>
      <c r="D151" s="452"/>
      <c r="E151" s="452">
        <v>2500</v>
      </c>
      <c r="F151" s="452"/>
      <c r="G151" s="452"/>
      <c r="H151" s="452">
        <v>1.4999999999999999E-2</v>
      </c>
      <c r="I151" s="452">
        <v>0</v>
      </c>
      <c r="J151" s="452">
        <v>2.25</v>
      </c>
      <c r="K151" s="452">
        <v>0</v>
      </c>
      <c r="L151" s="452">
        <v>0</v>
      </c>
      <c r="M151" s="452">
        <v>10.335000000000001</v>
      </c>
      <c r="N151" s="452">
        <v>0</v>
      </c>
      <c r="O151" s="452">
        <v>0</v>
      </c>
      <c r="P151" s="452">
        <v>2.4</v>
      </c>
      <c r="Q151" s="452">
        <v>0</v>
      </c>
      <c r="R151" s="452">
        <v>0</v>
      </c>
      <c r="S151" s="452">
        <v>1.4999999999999999E-2</v>
      </c>
      <c r="T151" s="382">
        <v>1</v>
      </c>
      <c r="W151" s="485">
        <f t="shared" si="44"/>
        <v>15.015000000000001</v>
      </c>
      <c r="X151" s="394">
        <f>E151+F151+G151+E157+F157+G157</f>
        <v>2500</v>
      </c>
      <c r="Y151" s="442">
        <f>H151+I151+J151+K151+L151+M151+N151+O151+P151+Q151+R151+S151+H157+I157+J157+K157+L157+M157+N157+O157+P157+Q157+R157+S157</f>
        <v>15.015000000000001</v>
      </c>
      <c r="Z151" s="400">
        <f t="shared" si="42"/>
        <v>1.4999999999999999E-2</v>
      </c>
      <c r="AA151" s="400">
        <f t="shared" si="42"/>
        <v>0</v>
      </c>
      <c r="AB151" s="400">
        <f t="shared" si="42"/>
        <v>15</v>
      </c>
    </row>
    <row r="152" spans="1:28" ht="12.95">
      <c r="A152" s="468"/>
      <c r="B152" s="382" t="s">
        <v>103</v>
      </c>
      <c r="C152" s="452">
        <v>20968</v>
      </c>
      <c r="D152" s="452">
        <v>65000</v>
      </c>
      <c r="E152" s="452"/>
      <c r="F152" s="452"/>
      <c r="G152" s="452"/>
      <c r="H152" s="452"/>
      <c r="I152" s="452"/>
      <c r="J152" s="452"/>
      <c r="K152" s="452"/>
      <c r="L152" s="452"/>
      <c r="M152" s="452"/>
      <c r="N152" s="452"/>
      <c r="O152" s="452"/>
      <c r="P152" s="452"/>
      <c r="Q152" s="452"/>
      <c r="R152" s="452"/>
      <c r="S152" s="452"/>
      <c r="T152" s="382">
        <v>1</v>
      </c>
      <c r="W152" s="485">
        <f t="shared" si="44"/>
        <v>11</v>
      </c>
      <c r="X152" s="394"/>
      <c r="Y152" s="442"/>
      <c r="Z152" s="400"/>
      <c r="AA152" s="400"/>
      <c r="AB152" s="400"/>
    </row>
    <row r="153" spans="1:28" ht="12.95">
      <c r="A153" s="468"/>
      <c r="B153" s="382" t="s">
        <v>104</v>
      </c>
      <c r="C153" s="452">
        <v>75120</v>
      </c>
      <c r="D153" s="452"/>
      <c r="E153" s="452">
        <v>4600</v>
      </c>
      <c r="F153" s="452"/>
      <c r="G153" s="452"/>
      <c r="H153" s="452">
        <v>7.0000000000000001E-3</v>
      </c>
      <c r="I153" s="452">
        <v>7.0000000000000007E-2</v>
      </c>
      <c r="J153" s="452">
        <v>2.702</v>
      </c>
      <c r="K153" s="452">
        <v>7.0000000000000001E-3</v>
      </c>
      <c r="L153" s="452">
        <v>7.0000000000000007E-2</v>
      </c>
      <c r="M153" s="452">
        <v>3.36</v>
      </c>
      <c r="N153" s="452">
        <v>7.0000000000000001E-3</v>
      </c>
      <c r="O153" s="452">
        <v>7.0000000000000007E-2</v>
      </c>
      <c r="P153" s="452">
        <v>0.7</v>
      </c>
      <c r="Q153" s="452">
        <v>0</v>
      </c>
      <c r="R153" s="452">
        <v>0</v>
      </c>
      <c r="S153" s="452">
        <v>7.0000000000000001E-3</v>
      </c>
      <c r="T153" s="382">
        <v>1</v>
      </c>
      <c r="W153" s="485">
        <f t="shared" si="44"/>
        <v>7</v>
      </c>
      <c r="X153" s="394">
        <f>E153+F153+G153+E159+F159+G159</f>
        <v>4600</v>
      </c>
      <c r="Y153" s="399">
        <f>H153+I153+J153+K153+L153+M153+N153+O153+P153+Q153+R153+S153+H159+I159+J159+K159+L159+M159+N159+O159+P159+Q159+R159+S159</f>
        <v>7</v>
      </c>
      <c r="Z153" s="400">
        <f t="shared" si="42"/>
        <v>2.1000000000000001E-2</v>
      </c>
      <c r="AA153" s="400">
        <f t="shared" si="42"/>
        <v>0.21</v>
      </c>
      <c r="AB153" s="400">
        <f t="shared" si="42"/>
        <v>6.7690000000000001</v>
      </c>
    </row>
    <row r="154" spans="1:28" ht="12.95">
      <c r="A154" s="470"/>
      <c r="B154" s="386" t="s">
        <v>95</v>
      </c>
      <c r="C154" s="450"/>
      <c r="D154" s="450"/>
      <c r="E154" s="450"/>
      <c r="F154" s="450"/>
      <c r="G154" s="450"/>
      <c r="H154" s="450"/>
      <c r="I154" s="450"/>
      <c r="J154" s="450"/>
      <c r="K154" s="450"/>
      <c r="L154" s="450"/>
      <c r="M154" s="450"/>
      <c r="N154" s="450"/>
      <c r="O154" s="450"/>
      <c r="P154" s="450"/>
      <c r="Q154" s="450"/>
      <c r="R154" s="450"/>
      <c r="S154" s="450"/>
      <c r="T154" s="386">
        <v>2</v>
      </c>
      <c r="W154" s="485"/>
      <c r="X154" s="394"/>
      <c r="Y154" s="399"/>
      <c r="Z154" s="400">
        <f t="shared" si="42"/>
        <v>0</v>
      </c>
      <c r="AA154" s="400">
        <f t="shared" si="42"/>
        <v>0</v>
      </c>
      <c r="AB154" s="400">
        <f t="shared" si="42"/>
        <v>0</v>
      </c>
    </row>
    <row r="155" spans="1:28" ht="12.95">
      <c r="A155" s="470"/>
      <c r="B155" s="386" t="s">
        <v>97</v>
      </c>
      <c r="C155" s="450"/>
      <c r="D155" s="450"/>
      <c r="E155" s="450"/>
      <c r="F155" s="450"/>
      <c r="G155" s="450"/>
      <c r="H155" s="450"/>
      <c r="I155" s="450"/>
      <c r="J155" s="450"/>
      <c r="K155" s="450"/>
      <c r="L155" s="450"/>
      <c r="M155" s="450"/>
      <c r="N155" s="450"/>
      <c r="O155" s="450"/>
      <c r="P155" s="450"/>
      <c r="Q155" s="450"/>
      <c r="R155" s="450"/>
      <c r="S155" s="450"/>
      <c r="T155" s="386">
        <v>2</v>
      </c>
      <c r="W155" s="485"/>
      <c r="X155" s="394"/>
      <c r="Y155" s="399"/>
      <c r="Z155" s="400">
        <f t="shared" si="42"/>
        <v>0</v>
      </c>
      <c r="AA155" s="400">
        <f t="shared" si="42"/>
        <v>0</v>
      </c>
      <c r="AB155" s="400">
        <f t="shared" si="42"/>
        <v>0</v>
      </c>
    </row>
    <row r="156" spans="1:28" ht="12.95">
      <c r="A156" s="470"/>
      <c r="B156" s="386" t="s">
        <v>99</v>
      </c>
      <c r="C156" s="450"/>
      <c r="D156" s="450"/>
      <c r="E156" s="450"/>
      <c r="F156" s="450"/>
      <c r="G156" s="450"/>
      <c r="H156" s="450"/>
      <c r="I156" s="450"/>
      <c r="J156" s="450"/>
      <c r="K156" s="450"/>
      <c r="L156" s="450"/>
      <c r="M156" s="450"/>
      <c r="N156" s="450"/>
      <c r="O156" s="450"/>
      <c r="P156" s="450"/>
      <c r="Q156" s="450"/>
      <c r="R156" s="450"/>
      <c r="S156" s="450"/>
      <c r="T156" s="386">
        <v>2</v>
      </c>
      <c r="W156" s="485"/>
      <c r="X156" s="394"/>
      <c r="Y156" s="399"/>
      <c r="Z156" s="400">
        <f t="shared" si="42"/>
        <v>0</v>
      </c>
      <c r="AA156" s="400">
        <f t="shared" si="42"/>
        <v>0</v>
      </c>
      <c r="AB156" s="400">
        <f t="shared" si="42"/>
        <v>0</v>
      </c>
    </row>
    <row r="157" spans="1:28" ht="12.95">
      <c r="A157" s="470"/>
      <c r="B157" s="386" t="s">
        <v>101</v>
      </c>
      <c r="C157" s="450"/>
      <c r="D157" s="450"/>
      <c r="E157" s="450"/>
      <c r="F157" s="450"/>
      <c r="G157" s="450"/>
      <c r="H157" s="450"/>
      <c r="I157" s="450"/>
      <c r="J157" s="450"/>
      <c r="K157" s="450"/>
      <c r="L157" s="450"/>
      <c r="M157" s="450"/>
      <c r="N157" s="450"/>
      <c r="O157" s="450"/>
      <c r="P157" s="450"/>
      <c r="Q157" s="450"/>
      <c r="R157" s="450"/>
      <c r="S157" s="450"/>
      <c r="T157" s="386">
        <v>2</v>
      </c>
      <c r="W157" s="485"/>
      <c r="X157" s="394"/>
      <c r="Y157" s="399"/>
      <c r="Z157" s="400">
        <f t="shared" si="42"/>
        <v>0</v>
      </c>
      <c r="AA157" s="400">
        <f t="shared" si="42"/>
        <v>0</v>
      </c>
      <c r="AB157" s="400">
        <f t="shared" si="42"/>
        <v>0</v>
      </c>
    </row>
    <row r="158" spans="1:28" ht="12.95">
      <c r="A158" s="470"/>
      <c r="B158" s="386" t="s">
        <v>103</v>
      </c>
      <c r="C158" s="450"/>
      <c r="D158" s="450"/>
      <c r="E158" s="450">
        <v>14375</v>
      </c>
      <c r="F158" s="450"/>
      <c r="G158" s="450"/>
      <c r="H158" s="450">
        <v>1.0999999999999999E-2</v>
      </c>
      <c r="I158" s="450">
        <v>0.11</v>
      </c>
      <c r="J158" s="450">
        <v>4.2460000000000004</v>
      </c>
      <c r="K158" s="450">
        <v>1.0999999999999999E-2</v>
      </c>
      <c r="L158" s="450">
        <v>0.11</v>
      </c>
      <c r="M158" s="450">
        <v>5.28</v>
      </c>
      <c r="N158" s="450">
        <v>1.0999999999999999E-2</v>
      </c>
      <c r="O158" s="450">
        <v>0.11</v>
      </c>
      <c r="P158" s="450">
        <v>1.1000000000000001</v>
      </c>
      <c r="Q158" s="450">
        <v>0</v>
      </c>
      <c r="R158" s="450">
        <v>0</v>
      </c>
      <c r="S158" s="450">
        <v>1.0999999999999999E-2</v>
      </c>
      <c r="T158" s="386">
        <v>2</v>
      </c>
      <c r="W158" s="485"/>
      <c r="X158" s="394"/>
      <c r="Y158" s="399"/>
      <c r="Z158" s="400"/>
      <c r="AA158" s="400"/>
      <c r="AB158" s="400"/>
    </row>
    <row r="159" spans="1:28" ht="12.95">
      <c r="A159" s="470"/>
      <c r="B159" s="386" t="s">
        <v>104</v>
      </c>
      <c r="C159" s="450"/>
      <c r="D159" s="450"/>
      <c r="E159" s="450"/>
      <c r="F159" s="450"/>
      <c r="G159" s="450"/>
      <c r="H159" s="450"/>
      <c r="I159" s="450"/>
      <c r="J159" s="450"/>
      <c r="K159" s="450"/>
      <c r="L159" s="450"/>
      <c r="M159" s="450"/>
      <c r="N159" s="450"/>
      <c r="O159" s="450"/>
      <c r="P159" s="450"/>
      <c r="Q159" s="450"/>
      <c r="R159" s="450"/>
      <c r="S159" s="450"/>
      <c r="T159" s="386">
        <v>2</v>
      </c>
      <c r="W159" s="485"/>
      <c r="X159" s="394"/>
      <c r="Y159" s="399"/>
      <c r="Z159" s="400">
        <f t="shared" ref="Z159:AB234" si="45">H159+K159+N159+Q159</f>
        <v>0</v>
      </c>
      <c r="AA159" s="400">
        <f t="shared" si="45"/>
        <v>0</v>
      </c>
      <c r="AB159" s="400">
        <f t="shared" si="45"/>
        <v>0</v>
      </c>
    </row>
    <row r="160" spans="1:28" ht="12.95">
      <c r="A160" s="468">
        <v>45822</v>
      </c>
      <c r="B160" s="382" t="s">
        <v>95</v>
      </c>
      <c r="C160" s="452">
        <v>9094</v>
      </c>
      <c r="D160" s="452"/>
      <c r="E160" s="452"/>
      <c r="F160" s="452"/>
      <c r="G160" s="452"/>
      <c r="H160" s="452"/>
      <c r="I160" s="452"/>
      <c r="J160" s="452"/>
      <c r="K160" s="452"/>
      <c r="L160" s="452"/>
      <c r="M160" s="452"/>
      <c r="N160" s="452"/>
      <c r="O160" s="452"/>
      <c r="P160" s="452"/>
      <c r="Q160" s="452"/>
      <c r="R160" s="452"/>
      <c r="S160" s="452"/>
      <c r="T160" s="382">
        <v>1</v>
      </c>
      <c r="W160" s="485">
        <f t="shared" ref="W160:W165" si="46">H160+I160+J160+K160+L160+M160+N160+O160+P160+Q160+R160+S160+H166+I166+J166+K166+L166+M166+N166+O166+P166+Q166+R166+S166</f>
        <v>0</v>
      </c>
      <c r="X160" s="394">
        <f>E160+F160+G160+E166+F166+G166</f>
        <v>0</v>
      </c>
      <c r="Y160" s="399">
        <f>H160+I160+J160+K160+L160+M160+N160+O160+P160+Q160+R160+S160+H166+I166+J166+K166+L166+M166+N166+O166+P166+Q166+R166+S166</f>
        <v>0</v>
      </c>
      <c r="Z160" s="400">
        <f t="shared" si="45"/>
        <v>0</v>
      </c>
      <c r="AA160" s="400">
        <f t="shared" si="45"/>
        <v>0</v>
      </c>
      <c r="AB160" s="400">
        <f t="shared" si="45"/>
        <v>0</v>
      </c>
    </row>
    <row r="161" spans="1:28" ht="12.95">
      <c r="A161" s="468"/>
      <c r="B161" s="382" t="s">
        <v>97</v>
      </c>
      <c r="C161" s="452">
        <v>0</v>
      </c>
      <c r="D161" s="452"/>
      <c r="E161" s="452"/>
      <c r="F161" s="452"/>
      <c r="G161" s="452"/>
      <c r="H161" s="452"/>
      <c r="I161" s="452"/>
      <c r="J161" s="452"/>
      <c r="K161" s="452"/>
      <c r="L161" s="452"/>
      <c r="M161" s="452"/>
      <c r="N161" s="452"/>
      <c r="O161" s="452"/>
      <c r="P161" s="452"/>
      <c r="Q161" s="452"/>
      <c r="R161" s="452"/>
      <c r="S161" s="452"/>
      <c r="T161" s="382">
        <v>1</v>
      </c>
      <c r="W161" s="485">
        <f t="shared" si="46"/>
        <v>0</v>
      </c>
      <c r="X161" s="394">
        <f>E161+F161+G161+E167+F167+G167</f>
        <v>0</v>
      </c>
      <c r="Y161" s="442">
        <f>H161+I161+J161+K161+L161+M161+N161+O161+P161+Q161+R161+S161+H167+I167+J167+K167+L167+M167+N167+O167+P167+Q167+R167+S167</f>
        <v>0</v>
      </c>
      <c r="Z161" s="400">
        <f t="shared" si="45"/>
        <v>0</v>
      </c>
      <c r="AA161" s="400">
        <f t="shared" si="45"/>
        <v>0</v>
      </c>
      <c r="AB161" s="400">
        <f t="shared" si="45"/>
        <v>0</v>
      </c>
    </row>
    <row r="162" spans="1:28" ht="12.95">
      <c r="A162" s="468"/>
      <c r="B162" s="382" t="s">
        <v>99</v>
      </c>
      <c r="C162" s="452">
        <v>42175</v>
      </c>
      <c r="D162" s="452"/>
      <c r="E162" s="452"/>
      <c r="F162" s="452"/>
      <c r="G162" s="452"/>
      <c r="H162" s="452"/>
      <c r="I162" s="452"/>
      <c r="J162" s="452"/>
      <c r="K162" s="452"/>
      <c r="L162" s="452"/>
      <c r="M162" s="452"/>
      <c r="N162" s="452"/>
      <c r="O162" s="452"/>
      <c r="P162" s="452"/>
      <c r="Q162" s="452"/>
      <c r="R162" s="452"/>
      <c r="S162" s="452"/>
      <c r="T162" s="382">
        <v>1</v>
      </c>
      <c r="W162" s="485">
        <f t="shared" si="46"/>
        <v>0</v>
      </c>
      <c r="X162" s="394">
        <f>E162+F162+G162+E168+F168+G168</f>
        <v>0</v>
      </c>
      <c r="Y162" s="399">
        <f>H162+I162+J162+K162+L162+M162+N162+O162+P162+Q162+R162+S162+H168+I168+J168+K168+L168+M168+N168+O168+P168+Q168+R168+S168</f>
        <v>0</v>
      </c>
      <c r="Z162" s="400">
        <f t="shared" si="45"/>
        <v>0</v>
      </c>
      <c r="AA162" s="400">
        <f t="shared" si="45"/>
        <v>0</v>
      </c>
      <c r="AB162" s="400">
        <f t="shared" si="45"/>
        <v>0</v>
      </c>
    </row>
    <row r="163" spans="1:28" ht="12.95">
      <c r="A163" s="468"/>
      <c r="B163" s="382" t="s">
        <v>101</v>
      </c>
      <c r="C163" s="452">
        <v>16486</v>
      </c>
      <c r="D163" s="452"/>
      <c r="E163" s="452">
        <v>1500</v>
      </c>
      <c r="F163" s="452"/>
      <c r="G163" s="452"/>
      <c r="H163" s="452">
        <v>1E-3</v>
      </c>
      <c r="I163" s="452">
        <v>0</v>
      </c>
      <c r="J163" s="452">
        <v>0.15</v>
      </c>
      <c r="K163" s="452">
        <v>0</v>
      </c>
      <c r="L163" s="452">
        <v>0</v>
      </c>
      <c r="M163" s="452">
        <v>0.68899999999999995</v>
      </c>
      <c r="N163" s="452">
        <v>0</v>
      </c>
      <c r="O163" s="452">
        <v>0</v>
      </c>
      <c r="P163" s="452">
        <v>0.16</v>
      </c>
      <c r="Q163" s="452">
        <v>0</v>
      </c>
      <c r="R163" s="452">
        <v>0</v>
      </c>
      <c r="S163" s="452">
        <v>1E-3</v>
      </c>
      <c r="T163" s="382">
        <v>1</v>
      </c>
      <c r="W163" s="485">
        <f t="shared" si="46"/>
        <v>1.0009999999999999</v>
      </c>
      <c r="X163" s="394">
        <f>E163+F163+G163+E169+F169+G169</f>
        <v>1500</v>
      </c>
      <c r="Y163" s="442">
        <f>H163+I163+J163+K163+L163+M163+N163+O163+P163+Q163+R163+S163+H169+I169+J169+K169+L169+M169+N169+O169+P169+Q169+R169+S169</f>
        <v>1.0009999999999999</v>
      </c>
      <c r="Z163" s="400">
        <f t="shared" si="45"/>
        <v>1E-3</v>
      </c>
      <c r="AA163" s="400">
        <f t="shared" si="45"/>
        <v>0</v>
      </c>
      <c r="AB163" s="400">
        <f t="shared" si="45"/>
        <v>1</v>
      </c>
    </row>
    <row r="164" spans="1:28" ht="12.95">
      <c r="A164" s="468"/>
      <c r="B164" s="382" t="s">
        <v>103</v>
      </c>
      <c r="C164" s="452">
        <v>71578</v>
      </c>
      <c r="D164" s="452"/>
      <c r="E164" s="452"/>
      <c r="F164" s="452"/>
      <c r="G164" s="452"/>
      <c r="H164" s="452"/>
      <c r="I164" s="452"/>
      <c r="J164" s="452"/>
      <c r="K164" s="452"/>
      <c r="L164" s="452"/>
      <c r="M164" s="452"/>
      <c r="N164" s="452"/>
      <c r="O164" s="452"/>
      <c r="P164" s="452"/>
      <c r="Q164" s="452"/>
      <c r="R164" s="452"/>
      <c r="S164" s="452"/>
      <c r="T164" s="382">
        <v>1</v>
      </c>
      <c r="W164" s="485">
        <f t="shared" si="46"/>
        <v>19</v>
      </c>
      <c r="X164" s="394"/>
      <c r="Y164" s="442"/>
      <c r="Z164" s="400"/>
      <c r="AA164" s="400"/>
      <c r="AB164" s="400"/>
    </row>
    <row r="165" spans="1:28" ht="12.95">
      <c r="A165" s="468"/>
      <c r="B165" s="382" t="s">
        <v>104</v>
      </c>
      <c r="C165" s="452">
        <v>70510</v>
      </c>
      <c r="D165" s="452"/>
      <c r="E165" s="452">
        <v>5100</v>
      </c>
      <c r="F165" s="452"/>
      <c r="G165" s="452"/>
      <c r="H165" s="452">
        <v>2.5999999999999999E-2</v>
      </c>
      <c r="I165" s="452">
        <v>0.26</v>
      </c>
      <c r="J165" s="452">
        <v>10.036</v>
      </c>
      <c r="K165" s="452">
        <v>2.5999999999999999E-2</v>
      </c>
      <c r="L165" s="452">
        <v>0.26</v>
      </c>
      <c r="M165" s="452">
        <v>12.48</v>
      </c>
      <c r="N165" s="452">
        <v>2.5999999999999999E-2</v>
      </c>
      <c r="O165" s="452">
        <v>0.26</v>
      </c>
      <c r="P165" s="452">
        <v>2.6</v>
      </c>
      <c r="Q165" s="452">
        <v>0</v>
      </c>
      <c r="R165" s="452">
        <v>0</v>
      </c>
      <c r="S165" s="452">
        <v>2.5999999999999999E-2</v>
      </c>
      <c r="T165" s="382">
        <v>1</v>
      </c>
      <c r="W165" s="485">
        <f t="shared" si="46"/>
        <v>26</v>
      </c>
      <c r="X165" s="394">
        <f>E165+F165+G165+E171+F171+G171</f>
        <v>5100</v>
      </c>
      <c r="Y165" s="442">
        <f>H165+I165+J165+K165+L165+M165+N165+O165+P165+Q165+R165+S165+H171+I171+J171+K171+L171+M171+N171+O171+P171+Q171+R171+S171</f>
        <v>26</v>
      </c>
      <c r="Z165" s="400">
        <f t="shared" si="45"/>
        <v>7.8E-2</v>
      </c>
      <c r="AA165" s="400">
        <f t="shared" si="45"/>
        <v>0.78</v>
      </c>
      <c r="AB165" s="400">
        <f t="shared" si="45"/>
        <v>25.141999999999999</v>
      </c>
    </row>
    <row r="166" spans="1:28" ht="12.95">
      <c r="A166" s="470"/>
      <c r="B166" s="386" t="s">
        <v>95</v>
      </c>
      <c r="C166" s="450"/>
      <c r="D166" s="450"/>
      <c r="E166" s="450"/>
      <c r="F166" s="450"/>
      <c r="G166" s="450"/>
      <c r="H166" s="450"/>
      <c r="I166" s="450"/>
      <c r="J166" s="450"/>
      <c r="K166" s="450"/>
      <c r="L166" s="450"/>
      <c r="M166" s="450"/>
      <c r="N166" s="450"/>
      <c r="O166" s="450"/>
      <c r="P166" s="450"/>
      <c r="Q166" s="450"/>
      <c r="R166" s="450"/>
      <c r="S166" s="450"/>
      <c r="T166" s="386">
        <v>2</v>
      </c>
      <c r="W166" s="485"/>
      <c r="X166" s="394"/>
      <c r="Y166" s="399"/>
      <c r="Z166" s="400">
        <f t="shared" si="45"/>
        <v>0</v>
      </c>
      <c r="AA166" s="400">
        <f t="shared" si="45"/>
        <v>0</v>
      </c>
      <c r="AB166" s="400">
        <f t="shared" si="45"/>
        <v>0</v>
      </c>
    </row>
    <row r="167" spans="1:28" ht="12.95">
      <c r="A167" s="470"/>
      <c r="B167" s="386" t="s">
        <v>97</v>
      </c>
      <c r="C167" s="450"/>
      <c r="D167" s="450"/>
      <c r="E167" s="450"/>
      <c r="F167" s="450"/>
      <c r="G167" s="450"/>
      <c r="H167" s="450"/>
      <c r="I167" s="450"/>
      <c r="J167" s="450"/>
      <c r="K167" s="450"/>
      <c r="L167" s="450"/>
      <c r="M167" s="450"/>
      <c r="N167" s="450"/>
      <c r="O167" s="450"/>
      <c r="P167" s="450"/>
      <c r="Q167" s="450"/>
      <c r="R167" s="450"/>
      <c r="S167" s="450"/>
      <c r="T167" s="386">
        <v>2</v>
      </c>
      <c r="W167" s="485"/>
      <c r="X167" s="394"/>
      <c r="Y167" s="399"/>
      <c r="Z167" s="400">
        <f t="shared" si="45"/>
        <v>0</v>
      </c>
      <c r="AA167" s="400">
        <f t="shared" si="45"/>
        <v>0</v>
      </c>
      <c r="AB167" s="400">
        <f t="shared" si="45"/>
        <v>0</v>
      </c>
    </row>
    <row r="168" spans="1:28" ht="12.95">
      <c r="A168" s="470"/>
      <c r="B168" s="386" t="s">
        <v>99</v>
      </c>
      <c r="C168" s="450"/>
      <c r="D168" s="450"/>
      <c r="E168" s="450"/>
      <c r="F168" s="450"/>
      <c r="G168" s="450"/>
      <c r="H168" s="450"/>
      <c r="I168" s="450"/>
      <c r="J168" s="450"/>
      <c r="K168" s="450"/>
      <c r="L168" s="450"/>
      <c r="M168" s="450"/>
      <c r="N168" s="450"/>
      <c r="O168" s="450"/>
      <c r="P168" s="450"/>
      <c r="Q168" s="450"/>
      <c r="R168" s="450"/>
      <c r="S168" s="450"/>
      <c r="T168" s="386">
        <v>2</v>
      </c>
      <c r="W168" s="485"/>
      <c r="X168" s="394"/>
      <c r="Y168" s="399"/>
      <c r="Z168" s="400">
        <f t="shared" si="45"/>
        <v>0</v>
      </c>
      <c r="AA168" s="400">
        <f t="shared" si="45"/>
        <v>0</v>
      </c>
      <c r="AB168" s="400">
        <f t="shared" si="45"/>
        <v>0</v>
      </c>
    </row>
    <row r="169" spans="1:28" ht="12.95">
      <c r="A169" s="470"/>
      <c r="B169" s="386" t="s">
        <v>101</v>
      </c>
      <c r="C169" s="450"/>
      <c r="D169" s="450"/>
      <c r="E169" s="450"/>
      <c r="F169" s="450"/>
      <c r="G169" s="450"/>
      <c r="H169" s="450"/>
      <c r="I169" s="450"/>
      <c r="J169" s="450"/>
      <c r="K169" s="450"/>
      <c r="L169" s="450"/>
      <c r="M169" s="450"/>
      <c r="N169" s="450"/>
      <c r="O169" s="450"/>
      <c r="P169" s="450"/>
      <c r="Q169" s="450"/>
      <c r="R169" s="450"/>
      <c r="S169" s="450"/>
      <c r="T169" s="386">
        <v>2</v>
      </c>
      <c r="W169" s="485"/>
      <c r="X169" s="394"/>
      <c r="Y169" s="399"/>
      <c r="Z169" s="400">
        <f t="shared" si="45"/>
        <v>0</v>
      </c>
      <c r="AA169" s="400">
        <f t="shared" si="45"/>
        <v>0</v>
      </c>
      <c r="AB169" s="400">
        <f t="shared" si="45"/>
        <v>0</v>
      </c>
    </row>
    <row r="170" spans="1:28" ht="12.95">
      <c r="A170" s="470"/>
      <c r="B170" s="386" t="s">
        <v>103</v>
      </c>
      <c r="C170" s="450"/>
      <c r="D170" s="450"/>
      <c r="E170" s="450">
        <v>13750</v>
      </c>
      <c r="F170" s="450"/>
      <c r="G170" s="450"/>
      <c r="H170" s="450">
        <v>1.9E-2</v>
      </c>
      <c r="I170" s="450">
        <v>0.19</v>
      </c>
      <c r="J170" s="450">
        <v>7.3339999999999996</v>
      </c>
      <c r="K170" s="450">
        <v>1.9E-2</v>
      </c>
      <c r="L170" s="450">
        <v>0.19</v>
      </c>
      <c r="M170" s="450">
        <v>9.1199999999999992</v>
      </c>
      <c r="N170" s="450">
        <v>1.9E-2</v>
      </c>
      <c r="O170" s="450">
        <v>0.19</v>
      </c>
      <c r="P170" s="450">
        <v>1.9</v>
      </c>
      <c r="Q170" s="450">
        <v>0</v>
      </c>
      <c r="R170" s="450">
        <v>0</v>
      </c>
      <c r="S170" s="450">
        <v>1.9E-2</v>
      </c>
      <c r="T170" s="386">
        <v>2</v>
      </c>
      <c r="W170" s="485"/>
      <c r="X170" s="394"/>
      <c r="Y170" s="399"/>
      <c r="Z170" s="400"/>
      <c r="AA170" s="400"/>
      <c r="AB170" s="400"/>
    </row>
    <row r="171" spans="1:28" ht="12.95">
      <c r="A171" s="470"/>
      <c r="B171" s="386" t="s">
        <v>104</v>
      </c>
      <c r="C171" s="450"/>
      <c r="D171" s="450"/>
      <c r="E171" s="450"/>
      <c r="F171" s="450"/>
      <c r="G171" s="450"/>
      <c r="H171" s="450"/>
      <c r="I171" s="450"/>
      <c r="J171" s="450"/>
      <c r="K171" s="450"/>
      <c r="L171" s="450"/>
      <c r="M171" s="450"/>
      <c r="N171" s="450"/>
      <c r="O171" s="450"/>
      <c r="P171" s="450"/>
      <c r="Q171" s="450"/>
      <c r="R171" s="450"/>
      <c r="S171" s="450"/>
      <c r="T171" s="386">
        <v>2</v>
      </c>
      <c r="W171" s="485"/>
      <c r="X171" s="394"/>
      <c r="Y171" s="399"/>
      <c r="Z171" s="400">
        <f t="shared" si="45"/>
        <v>0</v>
      </c>
      <c r="AA171" s="400">
        <f t="shared" si="45"/>
        <v>0</v>
      </c>
      <c r="AB171" s="400">
        <f t="shared" si="45"/>
        <v>0</v>
      </c>
    </row>
    <row r="172" spans="1:28" ht="12.95">
      <c r="A172" s="468">
        <v>45823</v>
      </c>
      <c r="B172" s="382" t="s">
        <v>95</v>
      </c>
      <c r="C172" s="452">
        <v>9094</v>
      </c>
      <c r="D172" s="452"/>
      <c r="E172" s="452"/>
      <c r="F172" s="452"/>
      <c r="G172" s="452"/>
      <c r="H172" s="452"/>
      <c r="I172" s="452"/>
      <c r="J172" s="452"/>
      <c r="K172" s="452"/>
      <c r="L172" s="452"/>
      <c r="M172" s="452"/>
      <c r="N172" s="452"/>
      <c r="O172" s="452"/>
      <c r="P172" s="452"/>
      <c r="Q172" s="452"/>
      <c r="R172" s="452"/>
      <c r="S172" s="452"/>
      <c r="T172" s="382">
        <v>1</v>
      </c>
      <c r="W172" s="485">
        <f t="shared" ref="W172:W177" si="47">H172+I172+J172+K172+L172+M172+N172+O172+P172+Q172+R172+S172+H178+I178+J178+K178+L178+M178+N178+O178+P178+Q178+R178+S178</f>
        <v>0</v>
      </c>
      <c r="X172" s="394">
        <f>E172+F172+G172+E178+F178+G178</f>
        <v>0</v>
      </c>
      <c r="Y172" s="399">
        <f>H172+I172+J172+K172+L172+M172+N172+O172+P172+Q172+R172+S172+H178+I178+J178+K178+L178+M178+N178+O178+P178+Q178+R178+S178</f>
        <v>0</v>
      </c>
      <c r="Z172" s="400">
        <f t="shared" si="45"/>
        <v>0</v>
      </c>
      <c r="AA172" s="400">
        <f t="shared" si="45"/>
        <v>0</v>
      </c>
      <c r="AB172" s="400">
        <f t="shared" si="45"/>
        <v>0</v>
      </c>
    </row>
    <row r="173" spans="1:28" ht="12.95">
      <c r="A173" s="468"/>
      <c r="B173" s="382" t="s">
        <v>97</v>
      </c>
      <c r="C173" s="452">
        <v>0</v>
      </c>
      <c r="D173" s="452"/>
      <c r="E173" s="452"/>
      <c r="F173" s="452"/>
      <c r="G173" s="452"/>
      <c r="H173" s="452"/>
      <c r="I173" s="452"/>
      <c r="J173" s="452"/>
      <c r="K173" s="452"/>
      <c r="L173" s="452"/>
      <c r="M173" s="452"/>
      <c r="N173" s="452"/>
      <c r="O173" s="452"/>
      <c r="P173" s="452"/>
      <c r="Q173" s="452"/>
      <c r="R173" s="452"/>
      <c r="S173" s="452"/>
      <c r="T173" s="382">
        <v>1</v>
      </c>
      <c r="W173" s="485">
        <f t="shared" si="47"/>
        <v>0</v>
      </c>
      <c r="X173" s="394">
        <f>E173+F173+G173+E179+F179+G179</f>
        <v>0</v>
      </c>
      <c r="Y173" s="442">
        <f>H173+I173+J173+K173+L173+M173+N173+O173+P173+Q173+R173+S173+H179+I179+J179+K179+L179+M179+N179+O179+P179+Q179+R179+S179</f>
        <v>0</v>
      </c>
      <c r="Z173" s="400">
        <f t="shared" si="45"/>
        <v>0</v>
      </c>
      <c r="AA173" s="400">
        <f t="shared" si="45"/>
        <v>0</v>
      </c>
      <c r="AB173" s="400">
        <f t="shared" si="45"/>
        <v>0</v>
      </c>
    </row>
    <row r="174" spans="1:28" ht="12.95">
      <c r="A174" s="468"/>
      <c r="B174" s="382" t="s">
        <v>99</v>
      </c>
      <c r="C174" s="452">
        <v>42175</v>
      </c>
      <c r="D174" s="452"/>
      <c r="E174" s="452"/>
      <c r="F174" s="452"/>
      <c r="G174" s="452"/>
      <c r="H174" s="452"/>
      <c r="I174" s="452"/>
      <c r="J174" s="452"/>
      <c r="K174" s="452"/>
      <c r="L174" s="452"/>
      <c r="M174" s="452"/>
      <c r="N174" s="452"/>
      <c r="O174" s="452"/>
      <c r="P174" s="452"/>
      <c r="Q174" s="452"/>
      <c r="R174" s="452"/>
      <c r="S174" s="452"/>
      <c r="T174" s="382">
        <v>1</v>
      </c>
      <c r="W174" s="485">
        <f t="shared" si="47"/>
        <v>0</v>
      </c>
      <c r="X174" s="394">
        <f>E174+F174+G174+E180+F180+G180</f>
        <v>0</v>
      </c>
      <c r="Y174" s="399">
        <f>H174+I174+J174+K174+L174+M174+N174+O174+P174+Q174+R174+S174+H180+I180+J180+K180+L180+M180+N180+O180+P180+Q180+R180+S180</f>
        <v>0</v>
      </c>
      <c r="Z174" s="400">
        <f t="shared" si="45"/>
        <v>0</v>
      </c>
      <c r="AA174" s="400">
        <f t="shared" si="45"/>
        <v>0</v>
      </c>
      <c r="AB174" s="400">
        <f t="shared" si="45"/>
        <v>0</v>
      </c>
    </row>
    <row r="175" spans="1:28" ht="12.95">
      <c r="A175" s="468"/>
      <c r="B175" s="382" t="s">
        <v>101</v>
      </c>
      <c r="C175" s="452">
        <v>14985</v>
      </c>
      <c r="D175" s="452"/>
      <c r="E175" s="452"/>
      <c r="F175" s="452"/>
      <c r="G175" s="452"/>
      <c r="H175" s="452"/>
      <c r="I175" s="452"/>
      <c r="J175" s="452"/>
      <c r="K175" s="452"/>
      <c r="L175" s="452"/>
      <c r="M175" s="452"/>
      <c r="N175" s="452"/>
      <c r="O175" s="452"/>
      <c r="P175" s="452"/>
      <c r="Q175" s="452"/>
      <c r="R175" s="452"/>
      <c r="S175" s="452"/>
      <c r="T175" s="382">
        <v>1</v>
      </c>
      <c r="W175" s="485">
        <f t="shared" si="47"/>
        <v>2.0019999999999998</v>
      </c>
      <c r="X175" s="394">
        <f>E175+F175+G175+E181+F181+G181</f>
        <v>500</v>
      </c>
      <c r="Y175" s="442">
        <f>H175+I175+J175+K175+L175+M175+N175+O175+P175+Q175+R175+S175+H181+I181+J181+K181+L181+M181+N181+O181+P181+Q181+R181+S181</f>
        <v>2.0019999999999998</v>
      </c>
      <c r="Z175" s="400">
        <f t="shared" si="45"/>
        <v>0</v>
      </c>
      <c r="AA175" s="400">
        <f t="shared" si="45"/>
        <v>0</v>
      </c>
      <c r="AB175" s="400">
        <f t="shared" si="45"/>
        <v>0</v>
      </c>
    </row>
    <row r="176" spans="1:28" ht="12.95">
      <c r="A176" s="468"/>
      <c r="B176" s="382" t="s">
        <v>103</v>
      </c>
      <c r="C176" s="452">
        <v>57796</v>
      </c>
      <c r="D176" s="452"/>
      <c r="E176" s="452"/>
      <c r="F176" s="452"/>
      <c r="G176" s="452"/>
      <c r="H176" s="452"/>
      <c r="I176" s="452"/>
      <c r="J176" s="452"/>
      <c r="K176" s="452"/>
      <c r="L176" s="452"/>
      <c r="M176" s="452"/>
      <c r="N176" s="452"/>
      <c r="O176" s="452"/>
      <c r="P176" s="452"/>
      <c r="Q176" s="452"/>
      <c r="R176" s="452"/>
      <c r="S176" s="452"/>
      <c r="T176" s="382">
        <v>1</v>
      </c>
      <c r="W176" s="485">
        <f t="shared" si="47"/>
        <v>2</v>
      </c>
      <c r="X176" s="394"/>
      <c r="Y176" s="442"/>
      <c r="Z176" s="400"/>
      <c r="AA176" s="400"/>
      <c r="AB176" s="400"/>
    </row>
    <row r="177" spans="1:28" ht="12.95">
      <c r="A177" s="468"/>
      <c r="B177" s="382" t="s">
        <v>104</v>
      </c>
      <c r="C177" s="452">
        <v>65378</v>
      </c>
      <c r="D177" s="452"/>
      <c r="E177" s="452"/>
      <c r="F177" s="452"/>
      <c r="G177" s="452"/>
      <c r="H177" s="452"/>
      <c r="I177" s="452"/>
      <c r="J177" s="452"/>
      <c r="K177" s="452"/>
      <c r="L177" s="452"/>
      <c r="M177" s="452"/>
      <c r="N177" s="452"/>
      <c r="O177" s="452"/>
      <c r="P177" s="452"/>
      <c r="Q177" s="452"/>
      <c r="R177" s="452"/>
      <c r="S177" s="452"/>
      <c r="T177" s="382">
        <v>1</v>
      </c>
      <c r="W177" s="485">
        <f t="shared" si="47"/>
        <v>18</v>
      </c>
      <c r="X177" s="394">
        <f>E177+F177+G177+E183+F183+G183</f>
        <v>9530</v>
      </c>
      <c r="Y177" s="399">
        <f>H177+I177+J177+K177+L177+M177+N177+O177+P177+Q177+R177+S177+H183+I183+J183+K183+L183+M183+N183+O183+P183+Q183+R183+S183</f>
        <v>18</v>
      </c>
      <c r="Z177" s="400">
        <f t="shared" si="45"/>
        <v>0</v>
      </c>
      <c r="AA177" s="400">
        <f t="shared" si="45"/>
        <v>0</v>
      </c>
      <c r="AB177" s="400">
        <f t="shared" si="45"/>
        <v>0</v>
      </c>
    </row>
    <row r="178" spans="1:28" ht="12.95">
      <c r="A178" s="470"/>
      <c r="B178" s="386" t="s">
        <v>95</v>
      </c>
      <c r="C178" s="450"/>
      <c r="D178" s="450"/>
      <c r="E178" s="450"/>
      <c r="F178" s="450"/>
      <c r="G178" s="450"/>
      <c r="H178" s="450"/>
      <c r="I178" s="450"/>
      <c r="J178" s="450"/>
      <c r="K178" s="450"/>
      <c r="L178" s="450"/>
      <c r="M178" s="450"/>
      <c r="N178" s="450"/>
      <c r="O178" s="450"/>
      <c r="P178" s="450"/>
      <c r="Q178" s="450"/>
      <c r="R178" s="450"/>
      <c r="S178" s="450"/>
      <c r="T178" s="386">
        <v>2</v>
      </c>
      <c r="W178" s="485"/>
      <c r="X178" s="394"/>
      <c r="Y178" s="399"/>
      <c r="Z178" s="400">
        <f t="shared" si="45"/>
        <v>0</v>
      </c>
      <c r="AA178" s="400">
        <f t="shared" si="45"/>
        <v>0</v>
      </c>
      <c r="AB178" s="400">
        <f t="shared" si="45"/>
        <v>0</v>
      </c>
    </row>
    <row r="179" spans="1:28" ht="12.95">
      <c r="A179" s="470"/>
      <c r="B179" s="386" t="s">
        <v>97</v>
      </c>
      <c r="C179" s="450"/>
      <c r="D179" s="450"/>
      <c r="E179" s="450"/>
      <c r="F179" s="450"/>
      <c r="G179" s="450"/>
      <c r="H179" s="450"/>
      <c r="I179" s="450"/>
      <c r="J179" s="450"/>
      <c r="K179" s="450"/>
      <c r="L179" s="450"/>
      <c r="M179" s="450"/>
      <c r="N179" s="450"/>
      <c r="O179" s="450"/>
      <c r="P179" s="450"/>
      <c r="Q179" s="450"/>
      <c r="R179" s="450"/>
      <c r="S179" s="450"/>
      <c r="T179" s="386">
        <v>2</v>
      </c>
      <c r="W179" s="485"/>
      <c r="X179" s="394"/>
      <c r="Y179" s="399"/>
      <c r="Z179" s="400">
        <f t="shared" si="45"/>
        <v>0</v>
      </c>
      <c r="AA179" s="400">
        <f t="shared" si="45"/>
        <v>0</v>
      </c>
      <c r="AB179" s="400">
        <f t="shared" si="45"/>
        <v>0</v>
      </c>
    </row>
    <row r="180" spans="1:28" ht="12.95">
      <c r="A180" s="470"/>
      <c r="B180" s="386" t="s">
        <v>99</v>
      </c>
      <c r="C180" s="450"/>
      <c r="D180" s="450"/>
      <c r="E180" s="450"/>
      <c r="F180" s="450"/>
      <c r="G180" s="450"/>
      <c r="H180" s="450"/>
      <c r="I180" s="450"/>
      <c r="J180" s="450"/>
      <c r="K180" s="450"/>
      <c r="L180" s="450"/>
      <c r="M180" s="450"/>
      <c r="N180" s="450"/>
      <c r="O180" s="450"/>
      <c r="P180" s="450"/>
      <c r="Q180" s="450"/>
      <c r="R180" s="450"/>
      <c r="S180" s="450"/>
      <c r="T180" s="386">
        <v>2</v>
      </c>
      <c r="W180" s="485"/>
      <c r="X180" s="394"/>
      <c r="Y180" s="399"/>
      <c r="Z180" s="400">
        <f t="shared" si="45"/>
        <v>0</v>
      </c>
      <c r="AA180" s="400">
        <f t="shared" si="45"/>
        <v>0</v>
      </c>
      <c r="AB180" s="400">
        <f t="shared" si="45"/>
        <v>0</v>
      </c>
    </row>
    <row r="181" spans="1:28" ht="12.95">
      <c r="A181" s="470"/>
      <c r="B181" s="386" t="s">
        <v>101</v>
      </c>
      <c r="C181" s="450"/>
      <c r="D181" s="450"/>
      <c r="E181" s="450">
        <v>500</v>
      </c>
      <c r="F181" s="450"/>
      <c r="G181" s="450"/>
      <c r="H181" s="450">
        <v>2E-3</v>
      </c>
      <c r="I181" s="450">
        <v>0</v>
      </c>
      <c r="J181" s="450">
        <v>0.3</v>
      </c>
      <c r="K181" s="450">
        <v>0</v>
      </c>
      <c r="L181" s="450">
        <v>0</v>
      </c>
      <c r="M181" s="450">
        <v>1.3779999999999999</v>
      </c>
      <c r="N181" s="450">
        <v>0</v>
      </c>
      <c r="O181" s="450">
        <v>0</v>
      </c>
      <c r="P181" s="450">
        <v>0.32</v>
      </c>
      <c r="Q181" s="450">
        <v>0</v>
      </c>
      <c r="R181" s="450">
        <v>0</v>
      </c>
      <c r="S181" s="450">
        <v>2E-3</v>
      </c>
      <c r="T181" s="386">
        <v>2</v>
      </c>
      <c r="W181" s="485"/>
      <c r="X181" s="394"/>
      <c r="Y181" s="399"/>
      <c r="Z181" s="400">
        <f t="shared" si="45"/>
        <v>2E-3</v>
      </c>
      <c r="AA181" s="400">
        <f t="shared" si="45"/>
        <v>0</v>
      </c>
      <c r="AB181" s="400">
        <f t="shared" si="45"/>
        <v>2</v>
      </c>
    </row>
    <row r="182" spans="1:28" ht="12.95">
      <c r="A182" s="470"/>
      <c r="B182" s="386" t="s">
        <v>103</v>
      </c>
      <c r="C182" s="450"/>
      <c r="D182" s="450"/>
      <c r="E182" s="450">
        <v>1250</v>
      </c>
      <c r="F182" s="450"/>
      <c r="G182" s="450"/>
      <c r="H182" s="450">
        <v>2E-3</v>
      </c>
      <c r="I182" s="450">
        <v>0.02</v>
      </c>
      <c r="J182" s="450">
        <v>0.77200000000000002</v>
      </c>
      <c r="K182" s="450">
        <v>2E-3</v>
      </c>
      <c r="L182" s="450">
        <v>0.02</v>
      </c>
      <c r="M182" s="450">
        <v>0.96</v>
      </c>
      <c r="N182" s="450">
        <v>2E-3</v>
      </c>
      <c r="O182" s="450">
        <v>0.02</v>
      </c>
      <c r="P182" s="450">
        <v>0.2</v>
      </c>
      <c r="Q182" s="450">
        <v>0</v>
      </c>
      <c r="R182" s="450">
        <v>0</v>
      </c>
      <c r="S182" s="450">
        <v>2E-3</v>
      </c>
      <c r="T182" s="386">
        <v>2</v>
      </c>
      <c r="W182" s="485"/>
      <c r="X182" s="394"/>
      <c r="Y182" s="399"/>
      <c r="Z182" s="400"/>
      <c r="AA182" s="400"/>
      <c r="AB182" s="400"/>
    </row>
    <row r="183" spans="1:28" ht="12.95">
      <c r="A183" s="470"/>
      <c r="B183" s="386" t="s">
        <v>104</v>
      </c>
      <c r="C183" s="450"/>
      <c r="D183" s="450"/>
      <c r="E183" s="450">
        <v>9530</v>
      </c>
      <c r="F183" s="450"/>
      <c r="G183" s="450"/>
      <c r="H183" s="450">
        <v>1.7999999999999999E-2</v>
      </c>
      <c r="I183" s="450">
        <v>0.18</v>
      </c>
      <c r="J183" s="450">
        <v>6.9480000000000004</v>
      </c>
      <c r="K183" s="450">
        <v>1.7999999999999999E-2</v>
      </c>
      <c r="L183" s="450">
        <v>0.18</v>
      </c>
      <c r="M183" s="450">
        <v>8.64</v>
      </c>
      <c r="N183" s="450">
        <v>1.7999999999999999E-2</v>
      </c>
      <c r="O183" s="450">
        <v>0.18</v>
      </c>
      <c r="P183" s="450">
        <v>1.8</v>
      </c>
      <c r="Q183" s="450">
        <v>0</v>
      </c>
      <c r="R183" s="450">
        <v>0</v>
      </c>
      <c r="S183" s="450">
        <v>1.7999999999999999E-2</v>
      </c>
      <c r="T183" s="386">
        <v>2</v>
      </c>
      <c r="W183" s="485"/>
      <c r="X183" s="394"/>
      <c r="Y183" s="399"/>
      <c r="Z183" s="400">
        <f t="shared" si="45"/>
        <v>5.3999999999999999E-2</v>
      </c>
      <c r="AA183" s="400">
        <f t="shared" si="45"/>
        <v>0.54</v>
      </c>
      <c r="AB183" s="400">
        <f t="shared" si="45"/>
        <v>17.405999999999999</v>
      </c>
    </row>
    <row r="184" spans="1:28" ht="12.95">
      <c r="A184" s="468">
        <v>45824</v>
      </c>
      <c r="B184" s="382" t="s">
        <v>95</v>
      </c>
      <c r="C184" s="452">
        <v>9094</v>
      </c>
      <c r="D184" s="452"/>
      <c r="E184" s="452"/>
      <c r="F184" s="452"/>
      <c r="G184" s="452"/>
      <c r="H184" s="452"/>
      <c r="I184" s="452"/>
      <c r="J184" s="452"/>
      <c r="K184" s="452"/>
      <c r="L184" s="452"/>
      <c r="M184" s="452"/>
      <c r="N184" s="452"/>
      <c r="O184" s="452"/>
      <c r="P184" s="452"/>
      <c r="Q184" s="452"/>
      <c r="R184" s="452"/>
      <c r="S184" s="452"/>
      <c r="T184" s="382">
        <v>1</v>
      </c>
      <c r="W184" s="485">
        <f t="shared" ref="W184:W189" si="48">H184+I184+J184+K184+L184+M184+N184+O184+P184+Q184+R184+S184+H190+I190+J190+K190+L190+M190+N190+O190+P190+Q190+R190+S190</f>
        <v>0</v>
      </c>
      <c r="X184" s="394">
        <f>E184+F184+G184+E190+F190+G190</f>
        <v>0</v>
      </c>
      <c r="Y184" s="399">
        <f>H184+I184+J184+K184+L184+M184+N184+O184+P184+Q184+R184+S184+H190+I190+J190+K190+L190+M190+N190+O190+P190+Q190+R190+S190</f>
        <v>0</v>
      </c>
      <c r="Z184" s="400">
        <f t="shared" si="45"/>
        <v>0</v>
      </c>
      <c r="AA184" s="400">
        <f t="shared" si="45"/>
        <v>0</v>
      </c>
      <c r="AB184" s="400">
        <f t="shared" si="45"/>
        <v>0</v>
      </c>
    </row>
    <row r="185" spans="1:28" ht="12.95">
      <c r="A185" s="468"/>
      <c r="B185" s="382" t="s">
        <v>97</v>
      </c>
      <c r="C185" s="452">
        <v>0</v>
      </c>
      <c r="D185" s="452"/>
      <c r="E185" s="452"/>
      <c r="F185" s="452"/>
      <c r="G185" s="452"/>
      <c r="H185" s="452"/>
      <c r="I185" s="452"/>
      <c r="J185" s="452"/>
      <c r="K185" s="452"/>
      <c r="L185" s="452"/>
      <c r="M185" s="452"/>
      <c r="N185" s="452"/>
      <c r="O185" s="452"/>
      <c r="P185" s="452"/>
      <c r="Q185" s="452"/>
      <c r="R185" s="452"/>
      <c r="S185" s="452"/>
      <c r="T185" s="382">
        <v>1</v>
      </c>
      <c r="W185" s="485">
        <f t="shared" si="48"/>
        <v>0</v>
      </c>
      <c r="X185" s="394">
        <f>E185+F185+G185+E191+F191+G191</f>
        <v>0</v>
      </c>
      <c r="Y185" s="399">
        <f>H185+I185+J185+K185+L185+M185+N185+O185+P185+Q185+R185+S185+H191+I191+J191+K191+L191+M191+N191+O191+P191+Q191+R191+S191</f>
        <v>0</v>
      </c>
      <c r="Z185" s="400">
        <f t="shared" si="45"/>
        <v>0</v>
      </c>
      <c r="AA185" s="400">
        <f t="shared" si="45"/>
        <v>0</v>
      </c>
      <c r="AB185" s="400">
        <f t="shared" si="45"/>
        <v>0</v>
      </c>
    </row>
    <row r="186" spans="1:28" ht="12.95">
      <c r="A186" s="468"/>
      <c r="B186" s="382" t="s">
        <v>99</v>
      </c>
      <c r="C186" s="452">
        <v>42175</v>
      </c>
      <c r="D186" s="452"/>
      <c r="E186" s="452"/>
      <c r="F186" s="452"/>
      <c r="G186" s="452"/>
      <c r="H186" s="452"/>
      <c r="I186" s="452"/>
      <c r="J186" s="452"/>
      <c r="K186" s="452"/>
      <c r="L186" s="452"/>
      <c r="M186" s="452"/>
      <c r="N186" s="452"/>
      <c r="O186" s="452"/>
      <c r="P186" s="452"/>
      <c r="Q186" s="452"/>
      <c r="R186" s="452"/>
      <c r="S186" s="452"/>
      <c r="T186" s="382">
        <v>1</v>
      </c>
      <c r="W186" s="485">
        <f t="shared" si="48"/>
        <v>0</v>
      </c>
      <c r="X186" s="394">
        <f>E186+F186+G186+E192+F192+G192</f>
        <v>0</v>
      </c>
      <c r="Y186" s="399">
        <f>H186+I186+J186+K186+L186+M186+N186+O186+P186+Q186+R186+S186+H192+I192+J192+K192+L192+M192+N192+O192+P192+Q192+R192+S192</f>
        <v>0</v>
      </c>
      <c r="Z186" s="400">
        <f t="shared" si="45"/>
        <v>0</v>
      </c>
      <c r="AA186" s="400">
        <f t="shared" si="45"/>
        <v>0</v>
      </c>
      <c r="AB186" s="400">
        <f t="shared" si="45"/>
        <v>0</v>
      </c>
    </row>
    <row r="187" spans="1:28" ht="12.95">
      <c r="A187" s="468"/>
      <c r="B187" s="382" t="s">
        <v>101</v>
      </c>
      <c r="C187" s="452">
        <v>14480</v>
      </c>
      <c r="D187" s="452"/>
      <c r="E187" s="452"/>
      <c r="F187" s="452"/>
      <c r="G187" s="452"/>
      <c r="H187" s="452"/>
      <c r="I187" s="452"/>
      <c r="J187" s="452"/>
      <c r="K187" s="452"/>
      <c r="L187" s="452"/>
      <c r="M187" s="452"/>
      <c r="N187" s="452"/>
      <c r="O187" s="452"/>
      <c r="P187" s="452"/>
      <c r="Q187" s="452"/>
      <c r="R187" s="452"/>
      <c r="S187" s="452"/>
      <c r="T187" s="382">
        <v>1</v>
      </c>
      <c r="W187" s="485">
        <f t="shared" si="48"/>
        <v>0</v>
      </c>
      <c r="X187" s="394">
        <f>E187+F187+G187+E193+F193+G193</f>
        <v>1000</v>
      </c>
      <c r="Y187" s="399">
        <f>H187+I187+J187+K187+L187+M187+N187+O187+P187+Q187+R187+S187+H193+I193+J193+K193+L193+M193+N193+O193+P193+Q193+R193+S193</f>
        <v>0</v>
      </c>
      <c r="Z187" s="400">
        <f t="shared" si="45"/>
        <v>0</v>
      </c>
      <c r="AA187" s="400">
        <f t="shared" si="45"/>
        <v>0</v>
      </c>
      <c r="AB187" s="400">
        <f t="shared" si="45"/>
        <v>0</v>
      </c>
    </row>
    <row r="188" spans="1:28" ht="12.95">
      <c r="A188" s="468"/>
      <c r="B188" s="382" t="s">
        <v>103</v>
      </c>
      <c r="C188" s="452">
        <v>56544</v>
      </c>
      <c r="D188" s="452"/>
      <c r="E188" s="452"/>
      <c r="F188" s="452"/>
      <c r="G188" s="452"/>
      <c r="H188" s="452"/>
      <c r="I188" s="452"/>
      <c r="J188" s="452"/>
      <c r="K188" s="452"/>
      <c r="L188" s="452"/>
      <c r="M188" s="452"/>
      <c r="N188" s="452"/>
      <c r="O188" s="452"/>
      <c r="P188" s="452"/>
      <c r="Q188" s="452"/>
      <c r="R188" s="452"/>
      <c r="S188" s="452"/>
      <c r="T188" s="382">
        <v>1</v>
      </c>
      <c r="W188" s="485">
        <f t="shared" si="48"/>
        <v>0</v>
      </c>
      <c r="X188" s="394"/>
      <c r="Y188" s="399"/>
      <c r="Z188" s="400"/>
      <c r="AA188" s="400"/>
      <c r="AB188" s="400"/>
    </row>
    <row r="189" spans="1:28" ht="12.95">
      <c r="A189" s="468"/>
      <c r="B189" s="382" t="s">
        <v>104</v>
      </c>
      <c r="C189" s="452">
        <v>55828</v>
      </c>
      <c r="D189" s="452"/>
      <c r="E189" s="452"/>
      <c r="F189" s="452"/>
      <c r="G189" s="452"/>
      <c r="H189" s="452"/>
      <c r="I189" s="452"/>
      <c r="J189" s="452"/>
      <c r="K189" s="452"/>
      <c r="L189" s="452"/>
      <c r="M189" s="452"/>
      <c r="N189" s="452"/>
      <c r="O189" s="452"/>
      <c r="P189" s="452"/>
      <c r="Q189" s="452"/>
      <c r="R189" s="452"/>
      <c r="S189" s="452"/>
      <c r="T189" s="382">
        <v>1</v>
      </c>
      <c r="W189" s="485">
        <f t="shared" si="48"/>
        <v>27</v>
      </c>
      <c r="X189" s="394">
        <f>E189+F189+G189+E195+F195+G195</f>
        <v>13950</v>
      </c>
      <c r="Y189" s="399">
        <f>H189+I189+J189+K189+L189+M189+N189+O189+P189+Q189+R189+S189+H195+I195+J195+K195+L195+M195+N195+O195+P195+Q195+R195+S195</f>
        <v>27</v>
      </c>
      <c r="Z189" s="400">
        <f t="shared" si="45"/>
        <v>0</v>
      </c>
      <c r="AA189" s="400">
        <f t="shared" si="45"/>
        <v>0</v>
      </c>
      <c r="AB189" s="400">
        <f t="shared" si="45"/>
        <v>0</v>
      </c>
    </row>
    <row r="190" spans="1:28" ht="12.95">
      <c r="A190" s="470"/>
      <c r="B190" s="386" t="s">
        <v>95</v>
      </c>
      <c r="C190" s="450"/>
      <c r="D190" s="450"/>
      <c r="E190" s="450"/>
      <c r="F190" s="450"/>
      <c r="G190" s="450"/>
      <c r="H190" s="450"/>
      <c r="I190" s="450"/>
      <c r="J190" s="450"/>
      <c r="K190" s="450"/>
      <c r="L190" s="450"/>
      <c r="M190" s="450"/>
      <c r="N190" s="450"/>
      <c r="O190" s="450"/>
      <c r="P190" s="450"/>
      <c r="Q190" s="450"/>
      <c r="R190" s="450"/>
      <c r="S190" s="450"/>
      <c r="T190" s="386">
        <v>2</v>
      </c>
      <c r="W190" s="485"/>
      <c r="X190" s="394"/>
      <c r="Y190" s="399"/>
      <c r="Z190" s="400">
        <f t="shared" si="45"/>
        <v>0</v>
      </c>
      <c r="AA190" s="400">
        <f t="shared" si="45"/>
        <v>0</v>
      </c>
      <c r="AB190" s="400">
        <f t="shared" si="45"/>
        <v>0</v>
      </c>
    </row>
    <row r="191" spans="1:28" ht="12.95">
      <c r="A191" s="470"/>
      <c r="B191" s="386" t="s">
        <v>97</v>
      </c>
      <c r="C191" s="450"/>
      <c r="D191" s="450"/>
      <c r="E191" s="450"/>
      <c r="F191" s="450"/>
      <c r="G191" s="450"/>
      <c r="H191" s="450"/>
      <c r="I191" s="450"/>
      <c r="J191" s="450"/>
      <c r="K191" s="450"/>
      <c r="L191" s="450"/>
      <c r="M191" s="450"/>
      <c r="N191" s="450"/>
      <c r="O191" s="450"/>
      <c r="P191" s="450"/>
      <c r="Q191" s="450"/>
      <c r="R191" s="450"/>
      <c r="S191" s="450"/>
      <c r="T191" s="386">
        <v>2</v>
      </c>
      <c r="W191" s="485"/>
      <c r="X191" s="394"/>
      <c r="Y191" s="399"/>
      <c r="Z191" s="400">
        <f t="shared" si="45"/>
        <v>0</v>
      </c>
      <c r="AA191" s="400">
        <f t="shared" si="45"/>
        <v>0</v>
      </c>
      <c r="AB191" s="400">
        <f t="shared" si="45"/>
        <v>0</v>
      </c>
    </row>
    <row r="192" spans="1:28" ht="12.95">
      <c r="A192" s="470"/>
      <c r="B192" s="386" t="s">
        <v>99</v>
      </c>
      <c r="C192" s="450"/>
      <c r="D192" s="450"/>
      <c r="E192" s="450"/>
      <c r="F192" s="450"/>
      <c r="G192" s="450"/>
      <c r="H192" s="450"/>
      <c r="I192" s="450"/>
      <c r="J192" s="450"/>
      <c r="K192" s="450"/>
      <c r="L192" s="450"/>
      <c r="M192" s="450"/>
      <c r="N192" s="450"/>
      <c r="O192" s="450"/>
      <c r="P192" s="450"/>
      <c r="Q192" s="450"/>
      <c r="R192" s="450"/>
      <c r="S192" s="450"/>
      <c r="T192" s="386">
        <v>2</v>
      </c>
      <c r="W192" s="485"/>
      <c r="X192" s="394"/>
      <c r="Y192" s="399"/>
      <c r="Z192" s="400">
        <f t="shared" si="45"/>
        <v>0</v>
      </c>
      <c r="AA192" s="400">
        <f t="shared" si="45"/>
        <v>0</v>
      </c>
      <c r="AB192" s="400">
        <f t="shared" si="45"/>
        <v>0</v>
      </c>
    </row>
    <row r="193" spans="1:29" ht="12.95">
      <c r="A193" s="470"/>
      <c r="B193" s="386" t="s">
        <v>101</v>
      </c>
      <c r="C193" s="450"/>
      <c r="D193" s="450"/>
      <c r="E193" s="450">
        <v>1000</v>
      </c>
      <c r="F193" s="450"/>
      <c r="G193" s="450"/>
      <c r="H193" s="450">
        <v>0</v>
      </c>
      <c r="I193" s="450">
        <v>0</v>
      </c>
      <c r="J193" s="450">
        <v>0</v>
      </c>
      <c r="K193" s="450">
        <v>0</v>
      </c>
      <c r="L193" s="450">
        <v>0</v>
      </c>
      <c r="M193" s="450">
        <v>0</v>
      </c>
      <c r="N193" s="450">
        <v>0</v>
      </c>
      <c r="O193" s="450">
        <v>0</v>
      </c>
      <c r="P193" s="450">
        <v>0</v>
      </c>
      <c r="Q193" s="450">
        <v>0</v>
      </c>
      <c r="R193" s="450">
        <v>0</v>
      </c>
      <c r="S193" s="450">
        <v>0</v>
      </c>
      <c r="T193" s="386">
        <v>2</v>
      </c>
      <c r="W193" s="485"/>
      <c r="X193" s="394"/>
      <c r="Y193" s="399"/>
      <c r="Z193" s="400">
        <f t="shared" si="45"/>
        <v>0</v>
      </c>
      <c r="AA193" s="400">
        <f t="shared" si="45"/>
        <v>0</v>
      </c>
      <c r="AB193" s="400">
        <f t="shared" si="45"/>
        <v>0</v>
      </c>
    </row>
    <row r="194" spans="1:29" ht="12.95">
      <c r="A194" s="470"/>
      <c r="B194" s="386" t="s">
        <v>103</v>
      </c>
      <c r="C194" s="450"/>
      <c r="D194" s="450"/>
      <c r="E194" s="450"/>
      <c r="F194" s="450"/>
      <c r="G194" s="450"/>
      <c r="H194" s="450"/>
      <c r="I194" s="450"/>
      <c r="J194" s="450"/>
      <c r="K194" s="450"/>
      <c r="L194" s="450"/>
      <c r="M194" s="450"/>
      <c r="N194" s="450"/>
      <c r="O194" s="450"/>
      <c r="P194" s="450"/>
      <c r="Q194" s="450"/>
      <c r="R194" s="450"/>
      <c r="S194" s="450"/>
      <c r="T194" s="386">
        <v>2</v>
      </c>
      <c r="W194" s="485"/>
      <c r="X194" s="394"/>
      <c r="Y194" s="399"/>
      <c r="Z194" s="400"/>
      <c r="AA194" s="400"/>
      <c r="AB194" s="400"/>
    </row>
    <row r="195" spans="1:29" ht="12.95">
      <c r="A195" s="470"/>
      <c r="B195" s="386" t="s">
        <v>104</v>
      </c>
      <c r="C195" s="450"/>
      <c r="D195" s="450"/>
      <c r="E195" s="450">
        <v>13950</v>
      </c>
      <c r="F195" s="450"/>
      <c r="G195" s="450"/>
      <c r="H195" s="450">
        <v>2.7E-2</v>
      </c>
      <c r="I195" s="450">
        <v>0.27</v>
      </c>
      <c r="J195" s="450">
        <v>10.422000000000001</v>
      </c>
      <c r="K195" s="450">
        <v>2.7E-2</v>
      </c>
      <c r="L195" s="450">
        <v>0.27</v>
      </c>
      <c r="M195" s="450">
        <v>12.96</v>
      </c>
      <c r="N195" s="450">
        <v>2.7E-2</v>
      </c>
      <c r="O195" s="450">
        <v>0.27</v>
      </c>
      <c r="P195" s="450">
        <v>2.7</v>
      </c>
      <c r="Q195" s="450">
        <v>0</v>
      </c>
      <c r="R195" s="450">
        <v>0</v>
      </c>
      <c r="S195" s="450">
        <v>2.7E-2</v>
      </c>
      <c r="T195" s="386">
        <v>2</v>
      </c>
      <c r="W195" s="485"/>
      <c r="X195" s="394"/>
      <c r="Y195" s="399"/>
      <c r="Z195" s="400">
        <f t="shared" si="45"/>
        <v>8.1000000000000003E-2</v>
      </c>
      <c r="AA195" s="400">
        <f t="shared" si="45"/>
        <v>0.81</v>
      </c>
      <c r="AB195" s="400">
        <f t="shared" si="45"/>
        <v>26.109000000000002</v>
      </c>
    </row>
    <row r="196" spans="1:29" ht="12.95">
      <c r="A196" s="505">
        <v>45825</v>
      </c>
      <c r="B196" s="382" t="s">
        <v>95</v>
      </c>
      <c r="C196" s="469">
        <v>9094</v>
      </c>
      <c r="D196" s="452"/>
      <c r="E196" s="452"/>
      <c r="F196" s="452"/>
      <c r="G196" s="452"/>
      <c r="H196" s="452"/>
      <c r="I196" s="452"/>
      <c r="J196" s="452"/>
      <c r="K196" s="452"/>
      <c r="L196" s="452"/>
      <c r="M196" s="452"/>
      <c r="N196" s="452"/>
      <c r="O196" s="452"/>
      <c r="P196" s="452"/>
      <c r="Q196" s="452"/>
      <c r="R196" s="452"/>
      <c r="S196" s="452"/>
      <c r="T196" s="382">
        <v>1</v>
      </c>
      <c r="W196" s="485">
        <f t="shared" ref="W196:W201" si="49">H196+I196+J196+K196+L196+M196+N196+O196+P196+Q196+R196+S196+H202+I202+J202+K202+L202+M202+N202+O202+P202+Q202+R202+S202</f>
        <v>0</v>
      </c>
      <c r="X196" s="394">
        <f>E196+F196+G196+E202+F202+G202</f>
        <v>0</v>
      </c>
      <c r="Y196" s="399">
        <f>H196+I196+J196+K196+L196+M196+N196+O196+P196+Q196+R196+S196+H202+I202+J202+K202+L202+M202+N202+O202+P202+Q202+R202+S202</f>
        <v>0</v>
      </c>
      <c r="Z196" s="400">
        <f t="shared" si="45"/>
        <v>0</v>
      </c>
      <c r="AA196" s="400">
        <f t="shared" si="45"/>
        <v>0</v>
      </c>
      <c r="AB196" s="400">
        <f t="shared" si="45"/>
        <v>0</v>
      </c>
    </row>
    <row r="197" spans="1:29" ht="12.95">
      <c r="A197" s="505"/>
      <c r="B197" s="382" t="s">
        <v>97</v>
      </c>
      <c r="C197" s="452">
        <v>0</v>
      </c>
      <c r="D197" s="452"/>
      <c r="E197" s="452"/>
      <c r="F197" s="452"/>
      <c r="G197" s="452"/>
      <c r="H197" s="452"/>
      <c r="I197" s="452"/>
      <c r="J197" s="452"/>
      <c r="K197" s="452"/>
      <c r="L197" s="452"/>
      <c r="M197" s="452"/>
      <c r="N197" s="452"/>
      <c r="O197" s="452"/>
      <c r="P197" s="452"/>
      <c r="Q197" s="452"/>
      <c r="R197" s="452"/>
      <c r="S197" s="452"/>
      <c r="T197" s="382">
        <v>1</v>
      </c>
      <c r="W197" s="485">
        <f>H197+I197+J197+K197+L197+M197+N197+O197+P197+Q197+R197+S197+H204+I204+J204+K204+L204+M204+N204+O204+P204+Q204+R204+S204</f>
        <v>0</v>
      </c>
      <c r="X197" s="394">
        <f>E197+F197+G197+E204+F204+G204</f>
        <v>0</v>
      </c>
      <c r="Y197" s="399">
        <f>H197+I197+J197+K197+L197+M197+N197+O197+P197+Q197+R197+S197+H204+I204+J204+K204+L204+M204+N204+O204+P204+Q204+R204+S204</f>
        <v>0</v>
      </c>
      <c r="Z197" s="400">
        <f t="shared" si="45"/>
        <v>0</v>
      </c>
      <c r="AA197" s="400">
        <f t="shared" si="45"/>
        <v>0</v>
      </c>
      <c r="AB197" s="400">
        <f t="shared" si="45"/>
        <v>0</v>
      </c>
    </row>
    <row r="198" spans="1:29" ht="12.95">
      <c r="A198" s="505"/>
      <c r="B198" s="382" t="s">
        <v>99</v>
      </c>
      <c r="C198" s="452">
        <v>42175</v>
      </c>
      <c r="D198" s="452"/>
      <c r="E198" s="452"/>
      <c r="F198" s="452"/>
      <c r="G198" s="452"/>
      <c r="H198" s="452"/>
      <c r="I198" s="452"/>
      <c r="J198" s="452"/>
      <c r="K198" s="452"/>
      <c r="L198" s="452"/>
      <c r="M198" s="452"/>
      <c r="N198" s="452"/>
      <c r="O198" s="452"/>
      <c r="P198" s="452"/>
      <c r="Q198" s="452"/>
      <c r="R198" s="452"/>
      <c r="S198" s="452"/>
      <c r="T198" s="382">
        <v>1</v>
      </c>
      <c r="W198" s="485">
        <f t="shared" si="49"/>
        <v>0</v>
      </c>
      <c r="X198" s="394">
        <f>E198+F198+G198+E204+F204+G204</f>
        <v>0</v>
      </c>
      <c r="Y198" s="399">
        <f>H198+I198+J198+K198+L198+M198+N198+O198+P198+Q198+R198+S198+H204+I204+J204+K204+L204+M204+N204+O204+P204+Q204+R204+S204</f>
        <v>0</v>
      </c>
      <c r="Z198" s="400">
        <f t="shared" si="45"/>
        <v>0</v>
      </c>
      <c r="AA198" s="400">
        <f t="shared" si="45"/>
        <v>0</v>
      </c>
      <c r="AB198" s="400">
        <f t="shared" si="45"/>
        <v>0</v>
      </c>
    </row>
    <row r="199" spans="1:29" ht="12.95">
      <c r="A199" s="505"/>
      <c r="B199" s="382" t="s">
        <v>101</v>
      </c>
      <c r="C199" s="452">
        <v>13480</v>
      </c>
      <c r="D199" s="452">
        <v>10000</v>
      </c>
      <c r="E199" s="452"/>
      <c r="F199" s="452"/>
      <c r="G199" s="452"/>
      <c r="H199" s="452"/>
      <c r="I199" s="452"/>
      <c r="J199" s="452"/>
      <c r="K199" s="452"/>
      <c r="L199" s="452"/>
      <c r="M199" s="452"/>
      <c r="N199" s="452"/>
      <c r="O199" s="452"/>
      <c r="P199" s="452"/>
      <c r="Q199" s="452"/>
      <c r="R199" s="452"/>
      <c r="S199" s="452"/>
      <c r="T199" s="382">
        <v>1</v>
      </c>
      <c r="W199" s="485">
        <f t="shared" si="49"/>
        <v>3.0030000000000001</v>
      </c>
      <c r="X199" s="394">
        <f>E199+F199+G199+E205+F205+G205</f>
        <v>500</v>
      </c>
      <c r="Y199" s="399">
        <f>H199+I199+J199+K199+L199+M199+N199+O199+P199+Q199+R199+S199+H205+I205+J205+K205+L205+M205+N205+O205+P205+Q205+R205+S205</f>
        <v>3.0030000000000001</v>
      </c>
      <c r="Z199" s="400">
        <f t="shared" si="45"/>
        <v>0</v>
      </c>
      <c r="AA199" s="400">
        <f t="shared" si="45"/>
        <v>0</v>
      </c>
      <c r="AB199" s="400">
        <f t="shared" si="45"/>
        <v>0</v>
      </c>
    </row>
    <row r="200" spans="1:29" ht="12.95">
      <c r="A200" s="505"/>
      <c r="B200" s="382" t="s">
        <v>103</v>
      </c>
      <c r="C200" s="452">
        <v>56544</v>
      </c>
      <c r="D200" s="452"/>
      <c r="E200" s="452"/>
      <c r="F200" s="452"/>
      <c r="G200" s="452"/>
      <c r="H200" s="452"/>
      <c r="I200" s="452"/>
      <c r="J200" s="452"/>
      <c r="K200" s="452"/>
      <c r="L200" s="452"/>
      <c r="M200" s="452"/>
      <c r="N200" s="452"/>
      <c r="O200" s="452"/>
      <c r="P200" s="452"/>
      <c r="Q200" s="452"/>
      <c r="R200" s="452"/>
      <c r="S200" s="452"/>
      <c r="T200" s="382">
        <v>1</v>
      </c>
      <c r="W200" s="485">
        <f t="shared" si="49"/>
        <v>2</v>
      </c>
      <c r="X200" s="394"/>
      <c r="Y200" s="399"/>
      <c r="Z200" s="400"/>
      <c r="AA200" s="400"/>
      <c r="AB200" s="400"/>
    </row>
    <row r="201" spans="1:29" ht="12.95">
      <c r="A201" s="506"/>
      <c r="B201" s="447" t="s">
        <v>104</v>
      </c>
      <c r="C201" s="471">
        <v>41844</v>
      </c>
      <c r="D201" s="452">
        <v>39000</v>
      </c>
      <c r="E201" s="452"/>
      <c r="F201" s="452"/>
      <c r="G201" s="452"/>
      <c r="H201" s="452"/>
      <c r="I201" s="452"/>
      <c r="J201" s="452"/>
      <c r="K201" s="452"/>
      <c r="L201" s="452"/>
      <c r="M201" s="452"/>
      <c r="N201" s="452"/>
      <c r="O201" s="452"/>
      <c r="P201" s="452"/>
      <c r="Q201" s="452"/>
      <c r="R201" s="452"/>
      <c r="S201" s="452"/>
      <c r="T201" s="382">
        <v>1</v>
      </c>
      <c r="W201" s="485">
        <f t="shared" si="49"/>
        <v>16</v>
      </c>
      <c r="X201" s="394">
        <f>E201+F201+G201+E207+F207+G207</f>
        <v>7020</v>
      </c>
      <c r="Y201" s="399">
        <f>H201+I201+J201+K201+L201+M201+N201+O201+P201+Q201+R201+S201+H207+I207+J207+K207+L207+M207+N207+O207+P207+Q207+R207+S207</f>
        <v>16</v>
      </c>
      <c r="Z201" s="400">
        <f t="shared" si="45"/>
        <v>0</v>
      </c>
      <c r="AA201" s="400">
        <f t="shared" si="45"/>
        <v>0</v>
      </c>
      <c r="AB201" s="400">
        <f t="shared" si="45"/>
        <v>0</v>
      </c>
    </row>
    <row r="202" spans="1:29" ht="12.95">
      <c r="A202" s="470"/>
      <c r="B202" s="386" t="s">
        <v>95</v>
      </c>
      <c r="C202" s="450"/>
      <c r="D202" s="450"/>
      <c r="E202" s="450"/>
      <c r="F202" s="450"/>
      <c r="G202" s="450"/>
      <c r="H202" s="450"/>
      <c r="I202" s="450"/>
      <c r="J202" s="450"/>
      <c r="K202" s="450"/>
      <c r="L202" s="450"/>
      <c r="M202" s="450"/>
      <c r="N202" s="450"/>
      <c r="O202" s="450"/>
      <c r="P202" s="450"/>
      <c r="Q202" s="450"/>
      <c r="R202" s="450"/>
      <c r="S202" s="450"/>
      <c r="T202" s="386">
        <v>2</v>
      </c>
      <c r="W202" s="485"/>
      <c r="X202" s="394"/>
      <c r="Y202" s="399"/>
      <c r="Z202" s="400">
        <f t="shared" si="45"/>
        <v>0</v>
      </c>
      <c r="AA202" s="400">
        <f t="shared" si="45"/>
        <v>0</v>
      </c>
      <c r="AB202" s="400">
        <f t="shared" si="45"/>
        <v>0</v>
      </c>
    </row>
    <row r="203" spans="1:29" ht="12.95">
      <c r="A203" s="470"/>
      <c r="B203" s="386" t="s">
        <v>97</v>
      </c>
      <c r="C203" s="450"/>
      <c r="D203" s="450"/>
      <c r="E203" s="450"/>
      <c r="F203" s="450"/>
      <c r="G203" s="450"/>
      <c r="H203" s="450"/>
      <c r="I203" s="450"/>
      <c r="J203" s="450"/>
      <c r="K203" s="450"/>
      <c r="L203" s="450"/>
      <c r="M203" s="450"/>
      <c r="N203" s="450"/>
      <c r="O203" s="450"/>
      <c r="P203" s="450"/>
      <c r="Q203" s="450"/>
      <c r="R203" s="450"/>
      <c r="S203" s="450"/>
      <c r="T203" s="386">
        <v>2</v>
      </c>
      <c r="W203" s="485"/>
      <c r="X203" s="394"/>
      <c r="Y203" s="399"/>
      <c r="Z203" s="400">
        <f>H204+K204+N204+Q204</f>
        <v>0</v>
      </c>
      <c r="AA203" s="400">
        <f>I204+L204+O204+R204</f>
        <v>0</v>
      </c>
      <c r="AB203" s="400">
        <f>J204+M204+P204+S204</f>
        <v>0</v>
      </c>
    </row>
    <row r="204" spans="1:29" ht="12.95">
      <c r="A204" s="470"/>
      <c r="B204" s="386" t="s">
        <v>99</v>
      </c>
      <c r="C204" s="450"/>
      <c r="D204" s="450"/>
      <c r="E204" s="450"/>
      <c r="F204" s="450"/>
      <c r="G204" s="450"/>
      <c r="H204" s="450"/>
      <c r="I204" s="450"/>
      <c r="J204" s="450"/>
      <c r="K204" s="450"/>
      <c r="L204" s="450"/>
      <c r="M204" s="450"/>
      <c r="N204" s="450"/>
      <c r="O204" s="450"/>
      <c r="P204" s="450"/>
      <c r="Q204" s="450"/>
      <c r="R204" s="450"/>
      <c r="S204" s="450"/>
      <c r="T204" s="386">
        <v>2</v>
      </c>
      <c r="W204" s="485"/>
      <c r="X204" s="394"/>
      <c r="Y204" s="399"/>
      <c r="Z204" s="400">
        <f t="shared" si="45"/>
        <v>0</v>
      </c>
      <c r="AA204" s="400">
        <f t="shared" si="45"/>
        <v>0</v>
      </c>
      <c r="AB204" s="400">
        <f t="shared" si="45"/>
        <v>0</v>
      </c>
    </row>
    <row r="205" spans="1:29" ht="12.95">
      <c r="A205" s="470"/>
      <c r="B205" s="386" t="s">
        <v>101</v>
      </c>
      <c r="C205" s="450"/>
      <c r="D205" s="450"/>
      <c r="E205" s="450">
        <v>500</v>
      </c>
      <c r="F205" s="450"/>
      <c r="G205" s="450"/>
      <c r="H205" s="450">
        <v>3.0000000000000001E-3</v>
      </c>
      <c r="I205" s="450">
        <v>0</v>
      </c>
      <c r="J205" s="450">
        <v>0.45</v>
      </c>
      <c r="K205" s="450">
        <v>0</v>
      </c>
      <c r="L205" s="450">
        <v>0</v>
      </c>
      <c r="M205" s="450">
        <v>2.0670000000000002</v>
      </c>
      <c r="N205" s="450">
        <v>0</v>
      </c>
      <c r="O205" s="450">
        <v>0</v>
      </c>
      <c r="P205" s="450">
        <v>0.48</v>
      </c>
      <c r="Q205" s="450">
        <v>0</v>
      </c>
      <c r="R205" s="450">
        <v>0</v>
      </c>
      <c r="S205" s="450">
        <v>3.0000000000000001E-3</v>
      </c>
      <c r="T205" s="386">
        <v>2</v>
      </c>
      <c r="W205" s="485"/>
      <c r="X205" s="394"/>
      <c r="Y205" s="399"/>
      <c r="Z205" s="400">
        <f t="shared" si="45"/>
        <v>3.0000000000000001E-3</v>
      </c>
      <c r="AA205" s="400">
        <f t="shared" si="45"/>
        <v>0</v>
      </c>
      <c r="AB205" s="400">
        <f t="shared" si="45"/>
        <v>3</v>
      </c>
    </row>
    <row r="206" spans="1:29" ht="12.95">
      <c r="A206" s="470"/>
      <c r="B206" s="386" t="s">
        <v>103</v>
      </c>
      <c r="C206" s="450"/>
      <c r="D206" s="450"/>
      <c r="E206" s="450">
        <v>6250</v>
      </c>
      <c r="F206" s="450"/>
      <c r="G206" s="450"/>
      <c r="H206" s="450">
        <v>2E-3</v>
      </c>
      <c r="I206" s="450">
        <v>0.02</v>
      </c>
      <c r="J206" s="450">
        <v>0.77200000000000002</v>
      </c>
      <c r="K206" s="450">
        <v>2E-3</v>
      </c>
      <c r="L206" s="450">
        <v>0.02</v>
      </c>
      <c r="M206" s="450">
        <v>0.96</v>
      </c>
      <c r="N206" s="450">
        <v>2E-3</v>
      </c>
      <c r="O206" s="450">
        <v>0.02</v>
      </c>
      <c r="P206" s="450">
        <v>0.2</v>
      </c>
      <c r="Q206" s="450">
        <v>0</v>
      </c>
      <c r="R206" s="450">
        <v>0</v>
      </c>
      <c r="S206" s="450">
        <v>2E-3</v>
      </c>
      <c r="T206" s="386">
        <v>2</v>
      </c>
      <c r="W206" s="485"/>
      <c r="X206" s="394"/>
      <c r="Y206" s="399"/>
      <c r="Z206" s="400"/>
      <c r="AA206" s="400"/>
      <c r="AB206" s="400"/>
    </row>
    <row r="207" spans="1:29" ht="12.95">
      <c r="A207" s="470"/>
      <c r="B207" s="386" t="s">
        <v>104</v>
      </c>
      <c r="C207" s="450"/>
      <c r="D207" s="450"/>
      <c r="E207" s="450">
        <v>7020</v>
      </c>
      <c r="F207" s="450"/>
      <c r="G207" s="450"/>
      <c r="H207" s="450">
        <v>1.6E-2</v>
      </c>
      <c r="I207" s="450">
        <v>0.16</v>
      </c>
      <c r="J207" s="450">
        <v>6.1760000000000002</v>
      </c>
      <c r="K207" s="450">
        <v>1.6E-2</v>
      </c>
      <c r="L207" s="450">
        <v>0.16</v>
      </c>
      <c r="M207" s="450">
        <v>7.68</v>
      </c>
      <c r="N207" s="450">
        <v>1.6E-2</v>
      </c>
      <c r="O207" s="450">
        <v>0.16</v>
      </c>
      <c r="P207" s="450">
        <v>1.6</v>
      </c>
      <c r="Q207" s="450">
        <v>0</v>
      </c>
      <c r="R207" s="450">
        <v>0</v>
      </c>
      <c r="S207" s="450">
        <v>1.6E-2</v>
      </c>
      <c r="T207" s="386">
        <v>2</v>
      </c>
      <c r="W207" s="485"/>
      <c r="X207" s="394"/>
      <c r="Y207" s="399"/>
      <c r="Z207" s="400">
        <f t="shared" si="45"/>
        <v>4.8000000000000001E-2</v>
      </c>
      <c r="AA207" s="400">
        <f t="shared" si="45"/>
        <v>0.48</v>
      </c>
      <c r="AB207" s="400">
        <f t="shared" si="45"/>
        <v>15.472</v>
      </c>
      <c r="AC207" s="417"/>
    </row>
    <row r="208" spans="1:29" ht="12.95">
      <c r="A208" s="468">
        <v>45826</v>
      </c>
      <c r="B208" s="382" t="s">
        <v>95</v>
      </c>
      <c r="C208" s="469">
        <v>9094</v>
      </c>
      <c r="D208" s="452"/>
      <c r="E208" s="452"/>
      <c r="F208" s="452"/>
      <c r="G208" s="452"/>
      <c r="H208" s="452"/>
      <c r="I208" s="452"/>
      <c r="J208" s="452"/>
      <c r="K208" s="452"/>
      <c r="L208" s="452"/>
      <c r="M208" s="452"/>
      <c r="N208" s="452"/>
      <c r="O208" s="452"/>
      <c r="P208" s="452"/>
      <c r="Q208" s="452"/>
      <c r="R208" s="452"/>
      <c r="S208" s="452"/>
      <c r="T208" s="382">
        <v>1</v>
      </c>
      <c r="W208" s="485">
        <f t="shared" ref="W208:W213" si="50">H208+I208+J208+K208+L208+M208+N208+O208+P208+Q208+R208+S208+H214+I214+J214+K214+L214+M214+N214+O214+P214+Q214+R214+S214</f>
        <v>0</v>
      </c>
      <c r="X208" s="394">
        <f>E208+F208+G208+E214+F214+G214</f>
        <v>0</v>
      </c>
      <c r="Y208" s="399">
        <f>H208+I208+J208+K208+L208+M208+N208+O208+P208+Q208+R208+S208+H214+I214+J214+K214+L214+M214+N214+O214+P214+Q214+R214+S214</f>
        <v>0</v>
      </c>
      <c r="Z208" s="400">
        <f t="shared" si="45"/>
        <v>0</v>
      </c>
      <c r="AA208" s="400">
        <f t="shared" si="45"/>
        <v>0</v>
      </c>
      <c r="AB208" s="400">
        <f t="shared" si="45"/>
        <v>0</v>
      </c>
      <c r="AC208" s="417"/>
    </row>
    <row r="209" spans="1:29" ht="12.95">
      <c r="A209" s="468"/>
      <c r="B209" s="382" t="s">
        <v>97</v>
      </c>
      <c r="C209" s="452">
        <v>0</v>
      </c>
      <c r="D209" s="452"/>
      <c r="E209" s="452"/>
      <c r="F209" s="452"/>
      <c r="G209" s="452"/>
      <c r="H209" s="452"/>
      <c r="I209" s="452"/>
      <c r="J209" s="452"/>
      <c r="K209" s="452"/>
      <c r="L209" s="452"/>
      <c r="M209" s="452"/>
      <c r="N209" s="452"/>
      <c r="O209" s="452"/>
      <c r="P209" s="452"/>
      <c r="Q209" s="452"/>
      <c r="R209" s="452"/>
      <c r="S209" s="452"/>
      <c r="T209" s="382">
        <v>1</v>
      </c>
      <c r="W209" s="485">
        <f t="shared" si="50"/>
        <v>0</v>
      </c>
      <c r="X209" s="394">
        <f>E209+F209+G209+E215+F215+G215</f>
        <v>0</v>
      </c>
      <c r="Y209" s="399">
        <f>H209+I209+J209+K209+L209+M209+N209+O209+P209+Q209+R209+S209+H215+I215+J215+K215+L215+M215+N215+O215+P215+Q215+R215+S215</f>
        <v>0</v>
      </c>
      <c r="Z209" s="400">
        <f t="shared" si="45"/>
        <v>0</v>
      </c>
      <c r="AA209" s="400">
        <f t="shared" si="45"/>
        <v>0</v>
      </c>
      <c r="AB209" s="400">
        <f t="shared" si="45"/>
        <v>0</v>
      </c>
      <c r="AC209" s="417"/>
    </row>
    <row r="210" spans="1:29" ht="12.95">
      <c r="A210" s="468"/>
      <c r="B210" s="382" t="s">
        <v>99</v>
      </c>
      <c r="C210" s="452">
        <v>42175</v>
      </c>
      <c r="D210" s="452"/>
      <c r="E210" s="452"/>
      <c r="F210" s="452"/>
      <c r="G210" s="452"/>
      <c r="H210" s="452"/>
      <c r="I210" s="452"/>
      <c r="J210" s="452"/>
      <c r="K210" s="452"/>
      <c r="L210" s="452"/>
      <c r="M210" s="452"/>
      <c r="N210" s="452"/>
      <c r="O210" s="452"/>
      <c r="P210" s="452"/>
      <c r="Q210" s="452"/>
      <c r="R210" s="452"/>
      <c r="S210" s="452"/>
      <c r="T210" s="382">
        <v>1</v>
      </c>
      <c r="W210" s="485">
        <f t="shared" si="50"/>
        <v>0</v>
      </c>
      <c r="X210" s="394">
        <f>E210+F210+G210+E216+F216+G216</f>
        <v>0</v>
      </c>
      <c r="Y210" s="399">
        <f>H210+I210+J210+K210+L210+M210+N210+O210+P210+Q210+R210+S210+H216+I216+J216+K216+L216+M216+N216+O216+P216+Q216+R216+S216</f>
        <v>0</v>
      </c>
      <c r="Z210" s="400">
        <f t="shared" si="45"/>
        <v>0</v>
      </c>
      <c r="AA210" s="400">
        <f t="shared" si="45"/>
        <v>0</v>
      </c>
      <c r="AB210" s="400">
        <f t="shared" si="45"/>
        <v>0</v>
      </c>
      <c r="AC210" s="417"/>
    </row>
    <row r="211" spans="1:29" ht="12.95">
      <c r="A211" s="468"/>
      <c r="B211" s="382" t="s">
        <v>101</v>
      </c>
      <c r="C211" s="452">
        <v>22977</v>
      </c>
      <c r="D211" s="452"/>
      <c r="E211" s="452"/>
      <c r="F211" s="452"/>
      <c r="G211" s="452"/>
      <c r="H211" s="452"/>
      <c r="I211" s="452"/>
      <c r="J211" s="452"/>
      <c r="K211" s="452"/>
      <c r="L211" s="452"/>
      <c r="M211" s="452"/>
      <c r="N211" s="452"/>
      <c r="O211" s="452"/>
      <c r="P211" s="452"/>
      <c r="Q211" s="452"/>
      <c r="R211" s="452"/>
      <c r="S211" s="452"/>
      <c r="T211" s="382">
        <v>1</v>
      </c>
      <c r="W211" s="485">
        <f t="shared" si="50"/>
        <v>0</v>
      </c>
      <c r="X211" s="394">
        <f>E211+F211+G211+E217+F217+G217</f>
        <v>0</v>
      </c>
      <c r="Y211" s="399">
        <f>H211+I211+J211+K211+L211+M211+N211+O211+P211+Q211+R211+S211+H217+I217+J217+K217+L217+M217+N217+O217+P217+Q217+R217+S217</f>
        <v>0</v>
      </c>
      <c r="Z211" s="400">
        <f t="shared" si="45"/>
        <v>0</v>
      </c>
      <c r="AA211" s="400">
        <f t="shared" si="45"/>
        <v>0</v>
      </c>
      <c r="AB211" s="400">
        <f t="shared" si="45"/>
        <v>0</v>
      </c>
      <c r="AC211" s="417"/>
    </row>
    <row r="212" spans="1:29" ht="12.95">
      <c r="A212" s="468"/>
      <c r="B212" s="382" t="s">
        <v>103</v>
      </c>
      <c r="C212" s="452">
        <v>50292</v>
      </c>
      <c r="D212" s="452"/>
      <c r="E212" s="452"/>
      <c r="F212" s="452"/>
      <c r="G212" s="452"/>
      <c r="H212" s="452"/>
      <c r="I212" s="452"/>
      <c r="J212" s="452"/>
      <c r="K212" s="452"/>
      <c r="L212" s="452"/>
      <c r="M212" s="452"/>
      <c r="N212" s="452"/>
      <c r="O212" s="452"/>
      <c r="P212" s="452"/>
      <c r="Q212" s="452"/>
      <c r="R212" s="452"/>
      <c r="S212" s="452"/>
      <c r="T212" s="382">
        <v>1</v>
      </c>
      <c r="W212" s="485">
        <f t="shared" si="50"/>
        <v>0</v>
      </c>
      <c r="X212" s="394"/>
      <c r="Y212" s="399"/>
      <c r="Z212" s="400"/>
      <c r="AA212" s="400"/>
      <c r="AB212" s="400"/>
      <c r="AC212" s="417"/>
    </row>
    <row r="213" spans="1:29" ht="12.95">
      <c r="A213" s="507"/>
      <c r="B213" s="447" t="s">
        <v>104</v>
      </c>
      <c r="C213" s="471">
        <v>73802</v>
      </c>
      <c r="D213" s="452"/>
      <c r="E213" s="452"/>
      <c r="F213" s="452"/>
      <c r="G213" s="452"/>
      <c r="H213" s="452"/>
      <c r="I213" s="452"/>
      <c r="J213" s="452"/>
      <c r="K213" s="452"/>
      <c r="L213" s="452"/>
      <c r="M213" s="452"/>
      <c r="N213" s="452"/>
      <c r="O213" s="452"/>
      <c r="P213" s="452"/>
      <c r="Q213" s="452"/>
      <c r="R213" s="452"/>
      <c r="S213" s="452"/>
      <c r="T213" s="382">
        <v>1</v>
      </c>
      <c r="W213" s="485">
        <f t="shared" si="50"/>
        <v>1</v>
      </c>
      <c r="X213" s="394">
        <f>E213+F213+G213+E219+F219+G219</f>
        <v>2000</v>
      </c>
      <c r="Y213" s="399">
        <f>H213+I213+J213+K213+L213+M213+N213+O213+P213+Q213+R213+S213+H219+I219+J219+K219+L219+M219+N219+O219+P219+Q219+R219+S219</f>
        <v>1</v>
      </c>
      <c r="Z213" s="400">
        <f t="shared" si="45"/>
        <v>0</v>
      </c>
      <c r="AA213" s="400">
        <f t="shared" si="45"/>
        <v>0</v>
      </c>
      <c r="AB213" s="400">
        <f t="shared" si="45"/>
        <v>0</v>
      </c>
      <c r="AC213" s="417"/>
    </row>
    <row r="214" spans="1:29" ht="12.95">
      <c r="A214" s="470"/>
      <c r="B214" s="386" t="s">
        <v>95</v>
      </c>
      <c r="C214" s="450"/>
      <c r="D214" s="450"/>
      <c r="E214" s="450"/>
      <c r="F214" s="450"/>
      <c r="G214" s="450"/>
      <c r="H214" s="450"/>
      <c r="I214" s="450"/>
      <c r="J214" s="450"/>
      <c r="K214" s="450"/>
      <c r="L214" s="450"/>
      <c r="M214" s="450"/>
      <c r="N214" s="450"/>
      <c r="O214" s="450"/>
      <c r="P214" s="450"/>
      <c r="Q214" s="450"/>
      <c r="R214" s="450"/>
      <c r="S214" s="450"/>
      <c r="T214" s="386">
        <v>2</v>
      </c>
      <c r="W214" s="485"/>
      <c r="X214" s="394"/>
      <c r="Y214" s="399"/>
      <c r="Z214" s="400">
        <f t="shared" si="45"/>
        <v>0</v>
      </c>
      <c r="AA214" s="400">
        <f t="shared" si="45"/>
        <v>0</v>
      </c>
      <c r="AB214" s="400">
        <f t="shared" si="45"/>
        <v>0</v>
      </c>
      <c r="AC214" s="417"/>
    </row>
    <row r="215" spans="1:29" ht="12.95">
      <c r="A215" s="470"/>
      <c r="B215" s="386" t="s">
        <v>97</v>
      </c>
      <c r="C215" s="450"/>
      <c r="D215" s="450"/>
      <c r="E215" s="450"/>
      <c r="F215" s="450"/>
      <c r="G215" s="450"/>
      <c r="H215" s="450"/>
      <c r="I215" s="450"/>
      <c r="J215" s="450"/>
      <c r="K215" s="450"/>
      <c r="L215" s="450"/>
      <c r="M215" s="450"/>
      <c r="N215" s="450"/>
      <c r="O215" s="450"/>
      <c r="P215" s="450"/>
      <c r="Q215" s="450"/>
      <c r="R215" s="450"/>
      <c r="S215" s="450"/>
      <c r="T215" s="386">
        <v>2</v>
      </c>
      <c r="W215" s="485"/>
      <c r="X215" s="394"/>
      <c r="Y215" s="399"/>
      <c r="Z215" s="400">
        <f t="shared" si="45"/>
        <v>0</v>
      </c>
      <c r="AA215" s="400">
        <f t="shared" si="45"/>
        <v>0</v>
      </c>
      <c r="AB215" s="400">
        <f t="shared" si="45"/>
        <v>0</v>
      </c>
      <c r="AC215" s="417"/>
    </row>
    <row r="216" spans="1:29" ht="12.95">
      <c r="A216" s="470"/>
      <c r="B216" s="386" t="s">
        <v>99</v>
      </c>
      <c r="C216" s="450"/>
      <c r="D216" s="450"/>
      <c r="E216" s="450"/>
      <c r="F216" s="450"/>
      <c r="G216" s="450"/>
      <c r="H216" s="450"/>
      <c r="I216" s="450"/>
      <c r="J216" s="450"/>
      <c r="K216" s="450"/>
      <c r="L216" s="450"/>
      <c r="M216" s="450"/>
      <c r="N216" s="450"/>
      <c r="O216" s="450"/>
      <c r="P216" s="450"/>
      <c r="Q216" s="450"/>
      <c r="R216" s="450"/>
      <c r="S216" s="450"/>
      <c r="T216" s="386">
        <v>2</v>
      </c>
      <c r="W216" s="485"/>
      <c r="X216" s="394"/>
      <c r="Y216" s="399"/>
      <c r="Z216" s="400">
        <f t="shared" si="45"/>
        <v>0</v>
      </c>
      <c r="AA216" s="400">
        <f t="shared" si="45"/>
        <v>0</v>
      </c>
      <c r="AB216" s="400">
        <f t="shared" si="45"/>
        <v>0</v>
      </c>
      <c r="AC216" s="417"/>
    </row>
    <row r="217" spans="1:29" ht="12.95">
      <c r="A217" s="470"/>
      <c r="B217" s="386" t="s">
        <v>101</v>
      </c>
      <c r="C217" s="450"/>
      <c r="D217" s="450"/>
      <c r="E217" s="450"/>
      <c r="F217" s="450"/>
      <c r="G217" s="450"/>
      <c r="H217" s="450"/>
      <c r="I217" s="450"/>
      <c r="J217" s="450"/>
      <c r="K217" s="450"/>
      <c r="L217" s="450"/>
      <c r="M217" s="450"/>
      <c r="N217" s="450"/>
      <c r="O217" s="450"/>
      <c r="P217" s="450"/>
      <c r="Q217" s="450"/>
      <c r="R217" s="450"/>
      <c r="S217" s="450"/>
      <c r="T217" s="386">
        <v>2</v>
      </c>
      <c r="W217" s="485"/>
      <c r="X217" s="394"/>
      <c r="Y217" s="399"/>
      <c r="Z217" s="400">
        <f t="shared" si="45"/>
        <v>0</v>
      </c>
      <c r="AA217" s="400">
        <f t="shared" si="45"/>
        <v>0</v>
      </c>
      <c r="AB217" s="400">
        <f t="shared" si="45"/>
        <v>0</v>
      </c>
      <c r="AC217" s="417"/>
    </row>
    <row r="218" spans="1:29" ht="12.95">
      <c r="A218" s="470"/>
      <c r="B218" s="386" t="s">
        <v>103</v>
      </c>
      <c r="C218" s="450"/>
      <c r="D218" s="450"/>
      <c r="E218" s="450"/>
      <c r="F218" s="450"/>
      <c r="G218" s="450"/>
      <c r="H218" s="450"/>
      <c r="I218" s="450"/>
      <c r="J218" s="450"/>
      <c r="K218" s="450"/>
      <c r="L218" s="450"/>
      <c r="M218" s="450"/>
      <c r="N218" s="450"/>
      <c r="O218" s="450"/>
      <c r="P218" s="450"/>
      <c r="Q218" s="450"/>
      <c r="R218" s="450"/>
      <c r="S218" s="450"/>
      <c r="T218" s="386">
        <v>2</v>
      </c>
      <c r="W218" s="485"/>
      <c r="X218" s="394"/>
      <c r="Y218" s="399"/>
      <c r="Z218" s="400"/>
      <c r="AA218" s="400"/>
      <c r="AB218" s="400"/>
      <c r="AC218" s="417"/>
    </row>
    <row r="219" spans="1:29" ht="12.95">
      <c r="A219" s="470"/>
      <c r="B219" s="386" t="s">
        <v>104</v>
      </c>
      <c r="C219" s="450"/>
      <c r="D219" s="450"/>
      <c r="E219" s="450">
        <v>2000</v>
      </c>
      <c r="F219" s="450"/>
      <c r="G219" s="450"/>
      <c r="H219" s="450">
        <v>1E-3</v>
      </c>
      <c r="I219" s="450">
        <v>0.01</v>
      </c>
      <c r="J219" s="450">
        <v>0.38600000000000001</v>
      </c>
      <c r="K219" s="450">
        <v>1E-3</v>
      </c>
      <c r="L219" s="450">
        <v>0.01</v>
      </c>
      <c r="M219" s="450">
        <v>0.48</v>
      </c>
      <c r="N219" s="450">
        <v>1E-3</v>
      </c>
      <c r="O219" s="450">
        <v>0.01</v>
      </c>
      <c r="P219" s="450">
        <v>0.1</v>
      </c>
      <c r="Q219" s="450">
        <v>0</v>
      </c>
      <c r="R219" s="450">
        <v>0</v>
      </c>
      <c r="S219" s="450">
        <v>1E-3</v>
      </c>
      <c r="T219" s="386">
        <v>2</v>
      </c>
      <c r="W219" s="485"/>
      <c r="X219" s="394"/>
      <c r="Y219" s="399"/>
      <c r="Z219" s="400">
        <f t="shared" si="45"/>
        <v>3.0000000000000001E-3</v>
      </c>
      <c r="AA219" s="400">
        <f t="shared" si="45"/>
        <v>0.03</v>
      </c>
      <c r="AB219" s="400">
        <f t="shared" si="45"/>
        <v>0.96699999999999997</v>
      </c>
      <c r="AC219" s="417"/>
    </row>
    <row r="220" spans="1:29" ht="12.95">
      <c r="A220" s="468">
        <v>45827</v>
      </c>
      <c r="B220" s="382" t="s">
        <v>95</v>
      </c>
      <c r="C220" s="469">
        <v>9094</v>
      </c>
      <c r="D220" s="452"/>
      <c r="E220" s="452"/>
      <c r="F220" s="452"/>
      <c r="G220" s="452"/>
      <c r="H220" s="452"/>
      <c r="I220" s="452"/>
      <c r="J220" s="452"/>
      <c r="K220" s="452"/>
      <c r="L220" s="452"/>
      <c r="M220" s="452"/>
      <c r="N220" s="452"/>
      <c r="O220" s="452"/>
      <c r="P220" s="452"/>
      <c r="Q220" s="452"/>
      <c r="R220" s="452"/>
      <c r="S220" s="452"/>
      <c r="T220" s="382">
        <v>1</v>
      </c>
      <c r="W220" s="485">
        <f t="shared" ref="W220:W225" si="51">H220+I220+J220+K220+L220+M220+N220+O220+P220+Q220+R220+S220+H226+I226+J226+K226+L226+M226+N226+O226+P226+Q226+R226+S226</f>
        <v>0</v>
      </c>
      <c r="X220" s="394">
        <f>E220+F220+G220+E226+F226+G226</f>
        <v>0</v>
      </c>
      <c r="Y220" s="399">
        <f>H220+I220+J220+K220+L220+M220+N220+O220+P220+Q220+R220+S220+H226+I226+J226+K226+L226+M226+N226+O226+P226+Q226+R226+S226</f>
        <v>0</v>
      </c>
      <c r="Z220" s="400">
        <f t="shared" si="45"/>
        <v>0</v>
      </c>
      <c r="AA220" s="400">
        <f t="shared" si="45"/>
        <v>0</v>
      </c>
      <c r="AB220" s="400">
        <f t="shared" si="45"/>
        <v>0</v>
      </c>
      <c r="AC220" s="417"/>
    </row>
    <row r="221" spans="1:29" ht="12.95">
      <c r="A221" s="468"/>
      <c r="B221" s="382" t="s">
        <v>97</v>
      </c>
      <c r="C221" s="452">
        <v>0</v>
      </c>
      <c r="D221" s="452"/>
      <c r="E221" s="452"/>
      <c r="F221" s="452"/>
      <c r="G221" s="452"/>
      <c r="H221" s="452"/>
      <c r="I221" s="452"/>
      <c r="J221" s="452"/>
      <c r="K221" s="452"/>
      <c r="L221" s="452"/>
      <c r="M221" s="452"/>
      <c r="N221" s="452"/>
      <c r="O221" s="452"/>
      <c r="P221" s="452"/>
      <c r="Q221" s="452"/>
      <c r="R221" s="452"/>
      <c r="S221" s="452"/>
      <c r="T221" s="382">
        <v>1</v>
      </c>
      <c r="W221" s="485">
        <f t="shared" si="51"/>
        <v>0</v>
      </c>
      <c r="X221" s="394">
        <f>E221+F221+G221+E227+F227+G227</f>
        <v>0</v>
      </c>
      <c r="Y221" s="399">
        <f>H221+I221+J221+K221+L221+M221+N221+O221+P221+Q221+R221+S221+H227+I227+J227+K227+L227+M227+N227+O227+P227+Q227+R227+S227</f>
        <v>0</v>
      </c>
      <c r="Z221" s="400">
        <f t="shared" si="45"/>
        <v>0</v>
      </c>
      <c r="AA221" s="400">
        <f t="shared" si="45"/>
        <v>0</v>
      </c>
      <c r="AB221" s="400">
        <f t="shared" si="45"/>
        <v>0</v>
      </c>
      <c r="AC221" s="417"/>
    </row>
    <row r="222" spans="1:29" ht="12.95">
      <c r="A222" s="468"/>
      <c r="B222" s="382" t="s">
        <v>99</v>
      </c>
      <c r="C222" s="452">
        <v>42175</v>
      </c>
      <c r="D222" s="452"/>
      <c r="E222" s="452"/>
      <c r="F222" s="452"/>
      <c r="G222" s="452"/>
      <c r="H222" s="452"/>
      <c r="I222" s="452"/>
      <c r="J222" s="452"/>
      <c r="K222" s="452"/>
      <c r="L222" s="452"/>
      <c r="M222" s="452"/>
      <c r="N222" s="452"/>
      <c r="O222" s="452"/>
      <c r="P222" s="452"/>
      <c r="Q222" s="452"/>
      <c r="R222" s="452"/>
      <c r="S222" s="452"/>
      <c r="T222" s="382">
        <v>1</v>
      </c>
      <c r="W222" s="485">
        <f t="shared" si="51"/>
        <v>0</v>
      </c>
      <c r="X222" s="394">
        <f>E222+F222+G222+E228+F228+G228</f>
        <v>0</v>
      </c>
      <c r="Y222" s="399">
        <f>H222+I222+J222+K222+L222+M222+N222+O222+P222+Q222+R222+S222+H228+I228+J228+K228+L228+M228+N228+O228+P228+Q228+R228+S228</f>
        <v>0</v>
      </c>
      <c r="Z222" s="400">
        <f t="shared" si="45"/>
        <v>0</v>
      </c>
      <c r="AA222" s="400">
        <f t="shared" si="45"/>
        <v>0</v>
      </c>
      <c r="AB222" s="400">
        <f t="shared" si="45"/>
        <v>0</v>
      </c>
      <c r="AC222" s="417"/>
    </row>
    <row r="223" spans="1:29" ht="12.95">
      <c r="A223" s="468"/>
      <c r="B223" s="382" t="s">
        <v>101</v>
      </c>
      <c r="C223" s="452">
        <v>22977</v>
      </c>
      <c r="D223" s="452"/>
      <c r="E223" s="452"/>
      <c r="F223" s="452"/>
      <c r="G223" s="452"/>
      <c r="H223" s="452"/>
      <c r="I223" s="452"/>
      <c r="J223" s="452"/>
      <c r="K223" s="452"/>
      <c r="L223" s="452"/>
      <c r="M223" s="452"/>
      <c r="N223" s="452"/>
      <c r="O223" s="452"/>
      <c r="P223" s="452"/>
      <c r="Q223" s="452"/>
      <c r="R223" s="452"/>
      <c r="S223" s="452"/>
      <c r="T223" s="382">
        <v>1</v>
      </c>
      <c r="W223" s="485">
        <f t="shared" si="51"/>
        <v>0</v>
      </c>
      <c r="X223" s="394">
        <f>E223+F223+G223+E229+F229+G229</f>
        <v>0</v>
      </c>
      <c r="Y223" s="399">
        <f>H223+I223+J223+K223+L223+M223+N223+O223+P223+Q223+R223+S223+H229+I229+J229+K229+L229+M229+N229+O229+P229+Q229+R229+S229</f>
        <v>0</v>
      </c>
      <c r="Z223" s="400">
        <f t="shared" si="45"/>
        <v>0</v>
      </c>
      <c r="AA223" s="400">
        <f t="shared" si="45"/>
        <v>0</v>
      </c>
      <c r="AB223" s="400">
        <f t="shared" si="45"/>
        <v>0</v>
      </c>
      <c r="AC223" s="417"/>
    </row>
    <row r="224" spans="1:29" ht="12.95">
      <c r="A224" s="468"/>
      <c r="B224" s="382" t="s">
        <v>103</v>
      </c>
      <c r="C224" s="452">
        <v>50292</v>
      </c>
      <c r="D224" s="452"/>
      <c r="E224" s="452"/>
      <c r="F224" s="452"/>
      <c r="G224" s="452"/>
      <c r="H224" s="452"/>
      <c r="I224" s="452"/>
      <c r="J224" s="452"/>
      <c r="K224" s="452"/>
      <c r="L224" s="452"/>
      <c r="M224" s="452"/>
      <c r="N224" s="452"/>
      <c r="O224" s="452"/>
      <c r="P224" s="452"/>
      <c r="Q224" s="452"/>
      <c r="R224" s="452"/>
      <c r="S224" s="452"/>
      <c r="T224" s="382">
        <v>1</v>
      </c>
      <c r="W224" s="485">
        <f t="shared" si="51"/>
        <v>0</v>
      </c>
      <c r="X224" s="394"/>
      <c r="Y224" s="399"/>
      <c r="Z224" s="400"/>
      <c r="AA224" s="400"/>
      <c r="AB224" s="400"/>
      <c r="AC224" s="417"/>
    </row>
    <row r="225" spans="1:29" ht="12.95">
      <c r="A225" s="468"/>
      <c r="B225" s="382" t="s">
        <v>104</v>
      </c>
      <c r="C225" s="452">
        <v>71798</v>
      </c>
      <c r="D225" s="452"/>
      <c r="E225" s="452"/>
      <c r="F225" s="452"/>
      <c r="G225" s="452"/>
      <c r="H225" s="452"/>
      <c r="I225" s="452"/>
      <c r="J225" s="452"/>
      <c r="K225" s="452"/>
      <c r="L225" s="452"/>
      <c r="M225" s="452"/>
      <c r="N225" s="452"/>
      <c r="O225" s="452"/>
      <c r="P225" s="452"/>
      <c r="Q225" s="452"/>
      <c r="R225" s="452"/>
      <c r="S225" s="452"/>
      <c r="T225" s="382">
        <v>1</v>
      </c>
      <c r="W225" s="485">
        <f t="shared" si="51"/>
        <v>0</v>
      </c>
      <c r="X225" s="394">
        <f>E225+F225+G225+E231+F231+G231</f>
        <v>0</v>
      </c>
      <c r="Y225" s="399">
        <f>H225+I225+J225+K225+L225+M225+N225+O225+P225+Q225+R225+S225+H231+I231+J231+K231+L231+M231+N231+O231+P231+Q231+R231+S231</f>
        <v>0</v>
      </c>
      <c r="Z225" s="400">
        <f t="shared" si="45"/>
        <v>0</v>
      </c>
      <c r="AA225" s="400">
        <f t="shared" si="45"/>
        <v>0</v>
      </c>
      <c r="AB225" s="400">
        <f t="shared" si="45"/>
        <v>0</v>
      </c>
      <c r="AC225" s="417"/>
    </row>
    <row r="226" spans="1:29" ht="12.95">
      <c r="A226" s="508"/>
      <c r="B226" s="386" t="s">
        <v>95</v>
      </c>
      <c r="C226" s="450"/>
      <c r="D226" s="450"/>
      <c r="E226" s="450"/>
      <c r="F226" s="450"/>
      <c r="G226" s="450"/>
      <c r="H226" s="450"/>
      <c r="I226" s="450"/>
      <c r="J226" s="450"/>
      <c r="K226" s="450"/>
      <c r="L226" s="450"/>
      <c r="M226" s="450"/>
      <c r="N226" s="450"/>
      <c r="O226" s="450"/>
      <c r="P226" s="450"/>
      <c r="Q226" s="450"/>
      <c r="R226" s="450"/>
      <c r="S226" s="450"/>
      <c r="T226" s="386">
        <v>2</v>
      </c>
      <c r="W226" s="485"/>
      <c r="X226" s="394"/>
      <c r="Y226" s="399"/>
      <c r="Z226" s="400">
        <f t="shared" si="45"/>
        <v>0</v>
      </c>
      <c r="AA226" s="400">
        <f t="shared" si="45"/>
        <v>0</v>
      </c>
      <c r="AB226" s="400">
        <f t="shared" si="45"/>
        <v>0</v>
      </c>
      <c r="AC226" s="417"/>
    </row>
    <row r="227" spans="1:29" ht="12.95">
      <c r="A227" s="508"/>
      <c r="B227" s="386" t="s">
        <v>97</v>
      </c>
      <c r="C227" s="450"/>
      <c r="D227" s="450"/>
      <c r="E227" s="450"/>
      <c r="F227" s="450"/>
      <c r="G227" s="450"/>
      <c r="H227" s="450"/>
      <c r="I227" s="450"/>
      <c r="J227" s="450"/>
      <c r="K227" s="450"/>
      <c r="L227" s="450"/>
      <c r="M227" s="450"/>
      <c r="N227" s="450"/>
      <c r="O227" s="450"/>
      <c r="P227" s="450"/>
      <c r="Q227" s="450"/>
      <c r="R227" s="450"/>
      <c r="S227" s="450"/>
      <c r="T227" s="386">
        <v>2</v>
      </c>
      <c r="W227" s="485"/>
      <c r="X227" s="394"/>
      <c r="Y227" s="399"/>
      <c r="Z227" s="400">
        <f t="shared" si="45"/>
        <v>0</v>
      </c>
      <c r="AA227" s="400">
        <f t="shared" si="45"/>
        <v>0</v>
      </c>
      <c r="AB227" s="400">
        <f t="shared" si="45"/>
        <v>0</v>
      </c>
      <c r="AC227" s="417"/>
    </row>
    <row r="228" spans="1:29" ht="12.95">
      <c r="A228" s="508"/>
      <c r="B228" s="386" t="s">
        <v>99</v>
      </c>
      <c r="C228" s="450"/>
      <c r="D228" s="450"/>
      <c r="E228" s="450"/>
      <c r="F228" s="450"/>
      <c r="G228" s="450"/>
      <c r="H228" s="450"/>
      <c r="I228" s="450"/>
      <c r="J228" s="450"/>
      <c r="K228" s="450"/>
      <c r="L228" s="450"/>
      <c r="M228" s="450"/>
      <c r="N228" s="450"/>
      <c r="O228" s="450"/>
      <c r="P228" s="450"/>
      <c r="Q228" s="450"/>
      <c r="R228" s="450"/>
      <c r="S228" s="450"/>
      <c r="T228" s="386">
        <v>2</v>
      </c>
      <c r="W228" s="485"/>
      <c r="X228" s="394"/>
      <c r="Y228" s="399"/>
      <c r="Z228" s="400">
        <f t="shared" si="45"/>
        <v>0</v>
      </c>
      <c r="AA228" s="400">
        <f t="shared" si="45"/>
        <v>0</v>
      </c>
      <c r="AB228" s="400">
        <f t="shared" si="45"/>
        <v>0</v>
      </c>
      <c r="AC228" s="417"/>
    </row>
    <row r="229" spans="1:29" ht="12.95">
      <c r="A229" s="508"/>
      <c r="B229" s="386" t="s">
        <v>101</v>
      </c>
      <c r="C229" s="450"/>
      <c r="D229" s="450"/>
      <c r="E229" s="450"/>
      <c r="F229" s="450"/>
      <c r="G229" s="450"/>
      <c r="H229" s="450"/>
      <c r="I229" s="450"/>
      <c r="J229" s="450"/>
      <c r="K229" s="450"/>
      <c r="L229" s="450"/>
      <c r="M229" s="450"/>
      <c r="N229" s="450"/>
      <c r="O229" s="450"/>
      <c r="P229" s="450"/>
      <c r="Q229" s="450"/>
      <c r="R229" s="450"/>
      <c r="S229" s="450"/>
      <c r="T229" s="386">
        <v>2</v>
      </c>
      <c r="W229" s="485"/>
      <c r="X229" s="394"/>
      <c r="Y229" s="399"/>
      <c r="Z229" s="400">
        <f t="shared" si="45"/>
        <v>0</v>
      </c>
      <c r="AA229" s="400">
        <f t="shared" si="45"/>
        <v>0</v>
      </c>
      <c r="AB229" s="400">
        <f t="shared" si="45"/>
        <v>0</v>
      </c>
      <c r="AC229" s="417"/>
    </row>
    <row r="230" spans="1:29" ht="12.95">
      <c r="A230" s="508"/>
      <c r="B230" s="386" t="s">
        <v>103</v>
      </c>
      <c r="C230" s="450"/>
      <c r="D230" s="450"/>
      <c r="E230" s="450"/>
      <c r="F230" s="450"/>
      <c r="G230" s="450"/>
      <c r="H230" s="450"/>
      <c r="I230" s="450"/>
      <c r="J230" s="450"/>
      <c r="K230" s="450"/>
      <c r="L230" s="450"/>
      <c r="M230" s="450"/>
      <c r="N230" s="450"/>
      <c r="O230" s="450"/>
      <c r="P230" s="450"/>
      <c r="Q230" s="450"/>
      <c r="R230" s="450"/>
      <c r="S230" s="450"/>
      <c r="T230" s="386">
        <v>2</v>
      </c>
      <c r="W230" s="485"/>
      <c r="X230" s="394"/>
      <c r="Y230" s="399"/>
      <c r="Z230" s="400"/>
      <c r="AA230" s="400"/>
      <c r="AB230" s="400"/>
      <c r="AC230" s="417"/>
    </row>
    <row r="231" spans="1:29" ht="12.95">
      <c r="A231" s="508"/>
      <c r="B231" s="386" t="s">
        <v>104</v>
      </c>
      <c r="C231" s="450"/>
      <c r="D231" s="450"/>
      <c r="E231" s="450"/>
      <c r="F231" s="450"/>
      <c r="G231" s="450"/>
      <c r="H231" s="450"/>
      <c r="I231" s="450"/>
      <c r="J231" s="450"/>
      <c r="K231" s="450"/>
      <c r="L231" s="450"/>
      <c r="M231" s="450"/>
      <c r="N231" s="450"/>
      <c r="O231" s="450"/>
      <c r="P231" s="450"/>
      <c r="Q231" s="450"/>
      <c r="R231" s="450"/>
      <c r="S231" s="450"/>
      <c r="T231" s="386">
        <v>2</v>
      </c>
      <c r="W231" s="485"/>
      <c r="X231" s="394"/>
      <c r="Y231" s="399"/>
      <c r="Z231" s="400">
        <f t="shared" si="45"/>
        <v>0</v>
      </c>
      <c r="AA231" s="400">
        <f t="shared" si="45"/>
        <v>0</v>
      </c>
      <c r="AB231" s="400">
        <f t="shared" si="45"/>
        <v>0</v>
      </c>
    </row>
    <row r="232" spans="1:29" ht="12.95">
      <c r="A232" s="468">
        <v>45828</v>
      </c>
      <c r="B232" s="382" t="s">
        <v>95</v>
      </c>
      <c r="C232" s="469">
        <v>9094</v>
      </c>
      <c r="D232" s="452"/>
      <c r="E232" s="452"/>
      <c r="F232" s="452"/>
      <c r="G232" s="452"/>
      <c r="H232" s="452"/>
      <c r="I232" s="452"/>
      <c r="J232" s="452"/>
      <c r="K232" s="452"/>
      <c r="L232" s="452"/>
      <c r="M232" s="452"/>
      <c r="N232" s="452"/>
      <c r="O232" s="452"/>
      <c r="P232" s="452"/>
      <c r="Q232" s="452"/>
      <c r="R232" s="452"/>
      <c r="S232" s="452"/>
      <c r="T232" s="382">
        <v>1</v>
      </c>
      <c r="W232" s="485">
        <f t="shared" ref="W232:W237" si="52">H232+I232+J232+K232+L232+M232+N232+O232+P232+Q232+R232+S232+H238+I238+J238+K238+L238+M238+N238+O238+P238+Q238+R238+S238</f>
        <v>0</v>
      </c>
      <c r="X232" s="394">
        <f>E232+F232+G232+E238+F238+G238</f>
        <v>0</v>
      </c>
      <c r="Y232" s="399">
        <f>H232+I232+J232+K232+L232+M232+N232+O232+P232+Q232+R232+S232+H238+I238+J238+K238+L238+M238+N238+O238+P238+Q238+R238+S238</f>
        <v>0</v>
      </c>
      <c r="Z232" s="400">
        <f t="shared" si="45"/>
        <v>0</v>
      </c>
      <c r="AA232" s="400">
        <f t="shared" si="45"/>
        <v>0</v>
      </c>
      <c r="AB232" s="400">
        <f t="shared" si="45"/>
        <v>0</v>
      </c>
    </row>
    <row r="233" spans="1:29" ht="12.95">
      <c r="A233" s="468"/>
      <c r="B233" s="382" t="s">
        <v>97</v>
      </c>
      <c r="C233" s="452">
        <v>0</v>
      </c>
      <c r="D233" s="452"/>
      <c r="E233" s="452"/>
      <c r="F233" s="452"/>
      <c r="G233" s="452"/>
      <c r="H233" s="452"/>
      <c r="I233" s="452"/>
      <c r="J233" s="452"/>
      <c r="K233" s="452"/>
      <c r="L233" s="452"/>
      <c r="M233" s="452"/>
      <c r="N233" s="452"/>
      <c r="O233" s="452"/>
      <c r="P233" s="452"/>
      <c r="Q233" s="452"/>
      <c r="R233" s="452"/>
      <c r="S233" s="452"/>
      <c r="T233" s="382">
        <v>1</v>
      </c>
      <c r="W233" s="485">
        <f t="shared" si="52"/>
        <v>0</v>
      </c>
      <c r="X233" s="394">
        <f>E233+F233+G233+E239+F239+G239</f>
        <v>0</v>
      </c>
      <c r="Y233" s="399">
        <f>H233+I233+J233+K233+L233+M233+N233+O233+P233+Q233+R233+S233+H239+I239+J239+K239+L239+M239+N239+O239+P239+Q239+R239+S239</f>
        <v>0</v>
      </c>
      <c r="Z233" s="400">
        <f t="shared" si="45"/>
        <v>0</v>
      </c>
      <c r="AA233" s="400">
        <f t="shared" si="45"/>
        <v>0</v>
      </c>
      <c r="AB233" s="400">
        <f t="shared" si="45"/>
        <v>0</v>
      </c>
    </row>
    <row r="234" spans="1:29" ht="12.95">
      <c r="A234" s="468"/>
      <c r="B234" s="382" t="s">
        <v>99</v>
      </c>
      <c r="C234" s="452">
        <v>42175</v>
      </c>
      <c r="D234" s="452"/>
      <c r="E234" s="452"/>
      <c r="F234" s="452"/>
      <c r="G234" s="452"/>
      <c r="H234" s="452"/>
      <c r="I234" s="452"/>
      <c r="J234" s="452"/>
      <c r="K234" s="452"/>
      <c r="L234" s="452"/>
      <c r="M234" s="452"/>
      <c r="N234" s="452"/>
      <c r="O234" s="452"/>
      <c r="P234" s="452"/>
      <c r="Q234" s="452"/>
      <c r="R234" s="452"/>
      <c r="S234" s="452"/>
      <c r="T234" s="382">
        <v>1</v>
      </c>
      <c r="W234" s="485">
        <f t="shared" si="52"/>
        <v>0</v>
      </c>
      <c r="X234" s="394">
        <f>E234+F234+G234+E240+F240+G240</f>
        <v>0</v>
      </c>
      <c r="Y234" s="399">
        <f>H234+I234+J234+K234+L234+M234+N234+O234+P234+Q234+R234+S234+H240+I240+J240+K240+L240+M240+N240+O240+P240+Q240+R240+S240</f>
        <v>0</v>
      </c>
      <c r="Z234" s="400">
        <f t="shared" si="45"/>
        <v>0</v>
      </c>
      <c r="AA234" s="400">
        <f t="shared" si="45"/>
        <v>0</v>
      </c>
      <c r="AB234" s="400">
        <f t="shared" si="45"/>
        <v>0</v>
      </c>
    </row>
    <row r="235" spans="1:29" ht="12.95">
      <c r="A235" s="468"/>
      <c r="B235" s="382" t="s">
        <v>101</v>
      </c>
      <c r="C235" s="452">
        <v>22977</v>
      </c>
      <c r="D235" s="452"/>
      <c r="E235" s="452"/>
      <c r="F235" s="452"/>
      <c r="G235" s="452"/>
      <c r="H235" s="452"/>
      <c r="I235" s="452"/>
      <c r="J235" s="452"/>
      <c r="K235" s="452"/>
      <c r="L235" s="452"/>
      <c r="M235" s="452"/>
      <c r="N235" s="452"/>
      <c r="O235" s="452"/>
      <c r="P235" s="452"/>
      <c r="Q235" s="452"/>
      <c r="R235" s="452"/>
      <c r="S235" s="452"/>
      <c r="T235" s="382">
        <v>1</v>
      </c>
      <c r="W235" s="485">
        <f t="shared" si="52"/>
        <v>0</v>
      </c>
      <c r="X235" s="394">
        <f>E235+F235+G235+E241+F241+G241</f>
        <v>0</v>
      </c>
      <c r="Y235" s="399">
        <f>H235+I235+J235+K235+L235+M235+N235+O235+P235+Q235+R235+S235+H241+I241+J241+K241+L241+M241+N241+O241+P241+Q241+R241+S241</f>
        <v>0</v>
      </c>
      <c r="Z235" s="400">
        <f t="shared" ref="Z235:AB311" si="53">H235+K235+N235+Q235</f>
        <v>0</v>
      </c>
      <c r="AA235" s="400">
        <f t="shared" si="53"/>
        <v>0</v>
      </c>
      <c r="AB235" s="400">
        <f t="shared" si="53"/>
        <v>0</v>
      </c>
    </row>
    <row r="236" spans="1:29" ht="12.95">
      <c r="A236" s="468"/>
      <c r="B236" s="382" t="s">
        <v>103</v>
      </c>
      <c r="C236" s="452">
        <v>50292</v>
      </c>
      <c r="D236" s="452"/>
      <c r="E236" s="452"/>
      <c r="F236" s="452"/>
      <c r="G236" s="452"/>
      <c r="H236" s="452"/>
      <c r="I236" s="452"/>
      <c r="J236" s="452"/>
      <c r="K236" s="452"/>
      <c r="L236" s="452"/>
      <c r="M236" s="452"/>
      <c r="N236" s="452"/>
      <c r="O236" s="452"/>
      <c r="P236" s="452"/>
      <c r="Q236" s="452"/>
      <c r="R236" s="452"/>
      <c r="S236" s="452"/>
      <c r="T236" s="382">
        <v>1</v>
      </c>
      <c r="W236" s="485">
        <f t="shared" si="52"/>
        <v>0</v>
      </c>
      <c r="X236" s="394"/>
      <c r="Y236" s="399"/>
      <c r="Z236" s="400"/>
      <c r="AA236" s="400"/>
      <c r="AB236" s="400"/>
    </row>
    <row r="237" spans="1:29" ht="12.95">
      <c r="A237" s="468"/>
      <c r="B237" s="382" t="s">
        <v>104</v>
      </c>
      <c r="C237" s="452">
        <v>71798</v>
      </c>
      <c r="D237" s="452"/>
      <c r="E237" s="452">
        <v>3500</v>
      </c>
      <c r="F237" s="452"/>
      <c r="G237" s="452"/>
      <c r="H237" s="452">
        <v>1.2E-2</v>
      </c>
      <c r="I237" s="452">
        <v>0.12</v>
      </c>
      <c r="J237" s="452">
        <v>4.6319999999999997</v>
      </c>
      <c r="K237" s="452">
        <v>1.2E-2</v>
      </c>
      <c r="L237" s="452">
        <v>0.12</v>
      </c>
      <c r="M237" s="452">
        <v>5.76</v>
      </c>
      <c r="N237" s="452">
        <v>1.2E-2</v>
      </c>
      <c r="O237" s="452">
        <v>0.12</v>
      </c>
      <c r="P237" s="452">
        <v>1.2</v>
      </c>
      <c r="Q237" s="452">
        <v>0</v>
      </c>
      <c r="R237" s="452">
        <v>0</v>
      </c>
      <c r="S237" s="452">
        <v>1.2E-2</v>
      </c>
      <c r="T237" s="382">
        <v>1</v>
      </c>
      <c r="W237" s="485">
        <f t="shared" si="52"/>
        <v>16</v>
      </c>
      <c r="X237" s="394">
        <f>E237+F237+G237+E243+F243+G243</f>
        <v>5500</v>
      </c>
      <c r="Y237" s="399">
        <f>H237+I237+J237+K237+L237+M237+N237+O237+P237+Q237+R237+S237+H243+I243+J243+K243+L243+M243+N243+O243+P243+Q243+R243+S243</f>
        <v>16</v>
      </c>
      <c r="Z237" s="400">
        <f t="shared" si="53"/>
        <v>3.5999999999999997E-2</v>
      </c>
      <c r="AA237" s="400">
        <f t="shared" si="53"/>
        <v>0.36</v>
      </c>
      <c r="AB237" s="400">
        <f t="shared" si="53"/>
        <v>11.603999999999999</v>
      </c>
    </row>
    <row r="238" spans="1:29" ht="12.95">
      <c r="A238" s="470"/>
      <c r="B238" s="386" t="s">
        <v>95</v>
      </c>
      <c r="C238" s="450"/>
      <c r="D238" s="450"/>
      <c r="E238" s="450"/>
      <c r="F238" s="450"/>
      <c r="G238" s="450"/>
      <c r="H238" s="450"/>
      <c r="I238" s="450"/>
      <c r="J238" s="450"/>
      <c r="K238" s="450"/>
      <c r="L238" s="450"/>
      <c r="M238" s="450"/>
      <c r="N238" s="450"/>
      <c r="O238" s="450"/>
      <c r="P238" s="450"/>
      <c r="Q238" s="450"/>
      <c r="R238" s="450"/>
      <c r="S238" s="450"/>
      <c r="T238" s="386">
        <v>2</v>
      </c>
      <c r="W238" s="485"/>
      <c r="X238" s="394"/>
      <c r="Y238" s="399"/>
      <c r="Z238" s="400">
        <f t="shared" si="53"/>
        <v>0</v>
      </c>
      <c r="AA238" s="400">
        <f t="shared" si="53"/>
        <v>0</v>
      </c>
      <c r="AB238" s="400">
        <f t="shared" si="53"/>
        <v>0</v>
      </c>
    </row>
    <row r="239" spans="1:29" ht="12.95">
      <c r="A239" s="470"/>
      <c r="B239" s="386" t="s">
        <v>97</v>
      </c>
      <c r="C239" s="450"/>
      <c r="D239" s="450"/>
      <c r="E239" s="450"/>
      <c r="F239" s="450"/>
      <c r="G239" s="450"/>
      <c r="H239" s="450"/>
      <c r="I239" s="450"/>
      <c r="J239" s="450"/>
      <c r="K239" s="450"/>
      <c r="L239" s="450"/>
      <c r="M239" s="450"/>
      <c r="N239" s="450"/>
      <c r="O239" s="450"/>
      <c r="P239" s="450"/>
      <c r="Q239" s="450"/>
      <c r="R239" s="450"/>
      <c r="S239" s="450"/>
      <c r="T239" s="386">
        <v>2</v>
      </c>
      <c r="W239" s="485"/>
      <c r="X239" s="394"/>
      <c r="Y239" s="399"/>
      <c r="Z239" s="400">
        <f t="shared" si="53"/>
        <v>0</v>
      </c>
      <c r="AA239" s="400">
        <f t="shared" si="53"/>
        <v>0</v>
      </c>
      <c r="AB239" s="400">
        <f t="shared" si="53"/>
        <v>0</v>
      </c>
    </row>
    <row r="240" spans="1:29" ht="12.95">
      <c r="A240" s="470"/>
      <c r="B240" s="386" t="s">
        <v>99</v>
      </c>
      <c r="C240" s="450"/>
      <c r="D240" s="450"/>
      <c r="E240" s="450"/>
      <c r="F240" s="450"/>
      <c r="G240" s="450"/>
      <c r="H240" s="450"/>
      <c r="I240" s="450"/>
      <c r="J240" s="450"/>
      <c r="K240" s="450"/>
      <c r="L240" s="450"/>
      <c r="M240" s="450"/>
      <c r="N240" s="450"/>
      <c r="O240" s="450"/>
      <c r="P240" s="450"/>
      <c r="Q240" s="450"/>
      <c r="R240" s="450"/>
      <c r="S240" s="450"/>
      <c r="T240" s="386">
        <v>2</v>
      </c>
      <c r="W240" s="485"/>
      <c r="X240" s="394"/>
      <c r="Y240" s="399"/>
      <c r="Z240" s="400">
        <f t="shared" si="53"/>
        <v>0</v>
      </c>
      <c r="AA240" s="400">
        <f t="shared" si="53"/>
        <v>0</v>
      </c>
      <c r="AB240" s="400">
        <f t="shared" si="53"/>
        <v>0</v>
      </c>
    </row>
    <row r="241" spans="1:28" ht="12.95">
      <c r="A241" s="470"/>
      <c r="B241" s="386" t="s">
        <v>101</v>
      </c>
      <c r="C241" s="450"/>
      <c r="D241" s="450"/>
      <c r="E241" s="450"/>
      <c r="F241" s="450"/>
      <c r="G241" s="450"/>
      <c r="H241" s="450"/>
      <c r="I241" s="450"/>
      <c r="J241" s="450"/>
      <c r="K241" s="450"/>
      <c r="L241" s="450"/>
      <c r="M241" s="450"/>
      <c r="N241" s="450"/>
      <c r="O241" s="450"/>
      <c r="P241" s="450"/>
      <c r="Q241" s="450"/>
      <c r="R241" s="450"/>
      <c r="S241" s="450"/>
      <c r="T241" s="386">
        <v>2</v>
      </c>
      <c r="W241" s="485"/>
      <c r="X241" s="394"/>
      <c r="Y241" s="399"/>
      <c r="Z241" s="400">
        <f t="shared" si="53"/>
        <v>0</v>
      </c>
      <c r="AA241" s="400">
        <f t="shared" si="53"/>
        <v>0</v>
      </c>
      <c r="AB241" s="400">
        <f t="shared" si="53"/>
        <v>0</v>
      </c>
    </row>
    <row r="242" spans="1:28" ht="12.95">
      <c r="A242" s="470"/>
      <c r="B242" s="386" t="s">
        <v>103</v>
      </c>
      <c r="C242" s="450"/>
      <c r="D242" s="450"/>
      <c r="E242" s="450"/>
      <c r="F242" s="450"/>
      <c r="G242" s="450"/>
      <c r="H242" s="450"/>
      <c r="I242" s="450"/>
      <c r="J242" s="450"/>
      <c r="K242" s="450"/>
      <c r="L242" s="450"/>
      <c r="M242" s="450"/>
      <c r="N242" s="450"/>
      <c r="O242" s="450"/>
      <c r="P242" s="450"/>
      <c r="Q242" s="450"/>
      <c r="R242" s="450"/>
      <c r="S242" s="450"/>
      <c r="T242" s="386">
        <v>2</v>
      </c>
      <c r="W242" s="485"/>
      <c r="X242" s="394"/>
      <c r="Y242" s="399"/>
      <c r="Z242" s="400"/>
      <c r="AA242" s="400"/>
      <c r="AB242" s="400"/>
    </row>
    <row r="243" spans="1:28" ht="12.95">
      <c r="A243" s="470"/>
      <c r="B243" s="386" t="s">
        <v>104</v>
      </c>
      <c r="C243" s="450"/>
      <c r="D243" s="450"/>
      <c r="E243" s="450">
        <v>2000</v>
      </c>
      <c r="F243" s="450"/>
      <c r="G243" s="450"/>
      <c r="H243" s="450">
        <v>4.0000000000000001E-3</v>
      </c>
      <c r="I243" s="450">
        <v>0.04</v>
      </c>
      <c r="J243" s="450">
        <v>1.544</v>
      </c>
      <c r="K243" s="450">
        <v>4.0000000000000001E-3</v>
      </c>
      <c r="L243" s="450">
        <v>0.04</v>
      </c>
      <c r="M243" s="450">
        <v>1.92</v>
      </c>
      <c r="N243" s="450">
        <v>4.0000000000000001E-3</v>
      </c>
      <c r="O243" s="450">
        <v>0.04</v>
      </c>
      <c r="P243" s="450">
        <v>0.4</v>
      </c>
      <c r="Q243" s="450">
        <v>0</v>
      </c>
      <c r="R243" s="450">
        <v>0</v>
      </c>
      <c r="S243" s="450">
        <v>4.0000000000000001E-3</v>
      </c>
      <c r="T243" s="386">
        <v>2</v>
      </c>
      <c r="W243" s="485"/>
      <c r="X243" s="394"/>
      <c r="Y243" s="399"/>
      <c r="Z243" s="400">
        <f t="shared" si="53"/>
        <v>1.2E-2</v>
      </c>
      <c r="AA243" s="400">
        <f t="shared" si="53"/>
        <v>0.12</v>
      </c>
      <c r="AB243" s="400">
        <f t="shared" si="53"/>
        <v>3.8679999999999999</v>
      </c>
    </row>
    <row r="244" spans="1:28" ht="12.95">
      <c r="A244" s="468">
        <v>45829</v>
      </c>
      <c r="B244" s="382" t="s">
        <v>95</v>
      </c>
      <c r="C244" s="452">
        <v>9094</v>
      </c>
      <c r="D244" s="452"/>
      <c r="E244" s="452"/>
      <c r="F244" s="452"/>
      <c r="G244" s="452"/>
      <c r="H244" s="452"/>
      <c r="I244" s="452"/>
      <c r="J244" s="452"/>
      <c r="K244" s="452"/>
      <c r="L244" s="452"/>
      <c r="M244" s="452"/>
      <c r="N244" s="452"/>
      <c r="O244" s="452"/>
      <c r="P244" s="452"/>
      <c r="Q244" s="452"/>
      <c r="R244" s="452"/>
      <c r="S244" s="452"/>
      <c r="T244" s="382">
        <v>1</v>
      </c>
      <c r="W244" s="485">
        <f t="shared" ref="W244:W249" si="54">H244+I244+J244+K244+L244+M244+N244+O244+P244+Q244+R244+S244+H250+I250+J250+K250+L250+M250+N250+O250+P250+Q250+R250+S250</f>
        <v>0</v>
      </c>
      <c r="X244" s="394">
        <f>E244+F244+G244+E250+F250+G250</f>
        <v>0</v>
      </c>
      <c r="Y244" s="399">
        <f>H244+I244+J244+K244+L244+M244+N244+O244+P244+Q244+R244+S244+H250+I250+J250+K250+L250+M250+N250+O250+P250+Q250+R250+S250</f>
        <v>0</v>
      </c>
      <c r="Z244" s="400">
        <f t="shared" si="53"/>
        <v>0</v>
      </c>
      <c r="AA244" s="400">
        <f t="shared" si="53"/>
        <v>0</v>
      </c>
      <c r="AB244" s="400">
        <f t="shared" si="53"/>
        <v>0</v>
      </c>
    </row>
    <row r="245" spans="1:28" ht="12.95">
      <c r="A245" s="468"/>
      <c r="B245" s="382" t="s">
        <v>97</v>
      </c>
      <c r="C245" s="452">
        <v>0</v>
      </c>
      <c r="D245" s="452"/>
      <c r="E245" s="452"/>
      <c r="F245" s="452"/>
      <c r="G245" s="452"/>
      <c r="H245" s="452"/>
      <c r="I245" s="452"/>
      <c r="J245" s="452"/>
      <c r="K245" s="452"/>
      <c r="L245" s="452"/>
      <c r="M245" s="452"/>
      <c r="N245" s="452"/>
      <c r="O245" s="452"/>
      <c r="P245" s="452"/>
      <c r="Q245" s="452"/>
      <c r="R245" s="452"/>
      <c r="S245" s="452"/>
      <c r="T245" s="382">
        <v>1</v>
      </c>
      <c r="W245" s="485">
        <f t="shared" si="54"/>
        <v>0</v>
      </c>
      <c r="X245" s="394">
        <f>E245+F245+G245+E251+F251+G251</f>
        <v>0</v>
      </c>
      <c r="Y245" s="399">
        <f>H245+I245+J245+K245+L245+M245+N245+O245+P245+Q245+R245+S245+H251+I251+J251+K251+L251+M251+N251+O251+P251+Q251+R251+S251</f>
        <v>0</v>
      </c>
      <c r="Z245" s="400">
        <f t="shared" si="53"/>
        <v>0</v>
      </c>
      <c r="AA245" s="400">
        <f t="shared" si="53"/>
        <v>0</v>
      </c>
      <c r="AB245" s="400">
        <f t="shared" si="53"/>
        <v>0</v>
      </c>
    </row>
    <row r="246" spans="1:28" ht="12.95">
      <c r="A246" s="468"/>
      <c r="B246" s="382" t="s">
        <v>99</v>
      </c>
      <c r="C246" s="452">
        <v>42175</v>
      </c>
      <c r="D246" s="452"/>
      <c r="E246" s="452"/>
      <c r="F246" s="452"/>
      <c r="G246" s="452"/>
      <c r="H246" s="452"/>
      <c r="I246" s="452"/>
      <c r="J246" s="452"/>
      <c r="K246" s="452"/>
      <c r="L246" s="452"/>
      <c r="M246" s="452"/>
      <c r="N246" s="452"/>
      <c r="O246" s="452"/>
      <c r="P246" s="452"/>
      <c r="Q246" s="452"/>
      <c r="R246" s="452"/>
      <c r="S246" s="452"/>
      <c r="T246" s="382">
        <v>1</v>
      </c>
      <c r="W246" s="485">
        <f t="shared" si="54"/>
        <v>0</v>
      </c>
      <c r="X246" s="394">
        <f>E246+F246+G246+E252+F252+G252</f>
        <v>0</v>
      </c>
      <c r="Y246" s="399">
        <f>H246+I246+J246+K246+L246+M246+N246+O246+P246+Q246+R246+S246+H252+I252+J252+K252+L252+M252+N252+O252+P252+Q252+R252+S252</f>
        <v>0</v>
      </c>
      <c r="Z246" s="400">
        <f t="shared" si="53"/>
        <v>0</v>
      </c>
      <c r="AA246" s="400">
        <f t="shared" si="53"/>
        <v>0</v>
      </c>
      <c r="AB246" s="400">
        <f t="shared" si="53"/>
        <v>0</v>
      </c>
    </row>
    <row r="247" spans="1:28" ht="12.95">
      <c r="A247" s="468"/>
      <c r="B247" s="382" t="s">
        <v>101</v>
      </c>
      <c r="C247" s="452">
        <v>22977</v>
      </c>
      <c r="D247" s="452"/>
      <c r="E247" s="452"/>
      <c r="F247" s="452"/>
      <c r="G247" s="452"/>
      <c r="H247" s="452"/>
      <c r="I247" s="452"/>
      <c r="J247" s="452"/>
      <c r="K247" s="452"/>
      <c r="L247" s="452"/>
      <c r="M247" s="452"/>
      <c r="N247" s="452"/>
      <c r="O247" s="452"/>
      <c r="P247" s="452"/>
      <c r="Q247" s="452"/>
      <c r="R247" s="452"/>
      <c r="S247" s="452"/>
      <c r="T247" s="382">
        <v>1</v>
      </c>
      <c r="W247" s="485">
        <f t="shared" si="54"/>
        <v>13.013</v>
      </c>
      <c r="X247" s="394">
        <f>E247+F247+G247+E253+F253+G253</f>
        <v>7500</v>
      </c>
      <c r="Y247" s="399">
        <f>H247+I247+J247+K247+L247+M247+N247+O247+P247+Q247+R247+S247+H253+I253+J253+K253+L253+M253+N253+O253+P253+Q253+R253+S253</f>
        <v>13.013</v>
      </c>
      <c r="Z247" s="400">
        <f t="shared" si="53"/>
        <v>0</v>
      </c>
      <c r="AA247" s="400">
        <f t="shared" si="53"/>
        <v>0</v>
      </c>
      <c r="AB247" s="400">
        <f t="shared" si="53"/>
        <v>0</v>
      </c>
    </row>
    <row r="248" spans="1:28" ht="12.95">
      <c r="A248" s="468"/>
      <c r="B248" s="382" t="s">
        <v>103</v>
      </c>
      <c r="C248" s="452">
        <v>50292</v>
      </c>
      <c r="D248" s="452"/>
      <c r="E248" s="452"/>
      <c r="F248" s="452"/>
      <c r="G248" s="452"/>
      <c r="H248" s="452"/>
      <c r="I248" s="452"/>
      <c r="J248" s="452"/>
      <c r="K248" s="452"/>
      <c r="L248" s="452"/>
      <c r="M248" s="452"/>
      <c r="N248" s="452"/>
      <c r="O248" s="452"/>
      <c r="P248" s="452"/>
      <c r="Q248" s="452"/>
      <c r="R248" s="452"/>
      <c r="S248" s="452"/>
      <c r="T248" s="382">
        <v>1</v>
      </c>
      <c r="W248" s="485">
        <f t="shared" si="54"/>
        <v>0</v>
      </c>
      <c r="X248" s="394"/>
      <c r="Y248" s="399"/>
      <c r="Z248" s="400"/>
      <c r="AA248" s="400"/>
      <c r="AB248" s="400"/>
    </row>
    <row r="249" spans="1:28" ht="12.95">
      <c r="A249" s="468"/>
      <c r="B249" s="382" t="s">
        <v>104</v>
      </c>
      <c r="C249" s="452">
        <v>66274</v>
      </c>
      <c r="D249" s="452"/>
      <c r="E249" s="452"/>
      <c r="F249" s="452"/>
      <c r="G249" s="452"/>
      <c r="H249" s="452"/>
      <c r="I249" s="452"/>
      <c r="J249" s="452"/>
      <c r="K249" s="452"/>
      <c r="L249" s="452"/>
      <c r="M249" s="452"/>
      <c r="N249" s="452"/>
      <c r="O249" s="452"/>
      <c r="P249" s="452"/>
      <c r="Q249" s="452"/>
      <c r="R249" s="452"/>
      <c r="S249" s="452"/>
      <c r="T249" s="382">
        <v>1</v>
      </c>
      <c r="W249" s="485">
        <f t="shared" si="54"/>
        <v>29</v>
      </c>
      <c r="X249" s="394">
        <f>E249+F249+G249+E255+F255+G255</f>
        <v>2500</v>
      </c>
      <c r="Y249" s="399">
        <f>H249+I249+J249+K249+L249+M249+N249+O249+P249+Q249+R249+S249+H255+I255+J255+K255+L255+M255+N255+O255+P255+Q255+R255+S255</f>
        <v>29</v>
      </c>
      <c r="Z249" s="400">
        <f t="shared" si="53"/>
        <v>0</v>
      </c>
      <c r="AA249" s="400">
        <f t="shared" si="53"/>
        <v>0</v>
      </c>
      <c r="AB249" s="400">
        <f t="shared" si="53"/>
        <v>0</v>
      </c>
    </row>
    <row r="250" spans="1:28" ht="12.95">
      <c r="A250" s="470"/>
      <c r="B250" s="386" t="s">
        <v>95</v>
      </c>
      <c r="C250" s="450"/>
      <c r="D250" s="450"/>
      <c r="E250" s="450"/>
      <c r="F250" s="450"/>
      <c r="G250" s="450"/>
      <c r="H250" s="450"/>
      <c r="I250" s="450"/>
      <c r="J250" s="450"/>
      <c r="K250" s="450"/>
      <c r="L250" s="450"/>
      <c r="M250" s="450"/>
      <c r="N250" s="450"/>
      <c r="O250" s="450"/>
      <c r="P250" s="450"/>
      <c r="Q250" s="450"/>
      <c r="R250" s="450"/>
      <c r="S250" s="450"/>
      <c r="T250" s="386">
        <v>2</v>
      </c>
      <c r="W250" s="485"/>
      <c r="X250" s="394"/>
      <c r="Y250" s="399"/>
      <c r="Z250" s="400">
        <f t="shared" si="53"/>
        <v>0</v>
      </c>
      <c r="AA250" s="400">
        <f t="shared" si="53"/>
        <v>0</v>
      </c>
      <c r="AB250" s="400">
        <f t="shared" si="53"/>
        <v>0</v>
      </c>
    </row>
    <row r="251" spans="1:28" ht="12.95">
      <c r="A251" s="470"/>
      <c r="B251" s="386" t="s">
        <v>97</v>
      </c>
      <c r="C251" s="450"/>
      <c r="D251" s="450"/>
      <c r="E251" s="450"/>
      <c r="F251" s="450"/>
      <c r="G251" s="450"/>
      <c r="H251" s="450"/>
      <c r="I251" s="450"/>
      <c r="J251" s="450"/>
      <c r="K251" s="450"/>
      <c r="L251" s="450"/>
      <c r="M251" s="450"/>
      <c r="N251" s="450"/>
      <c r="O251" s="450"/>
      <c r="P251" s="450"/>
      <c r="Q251" s="450"/>
      <c r="R251" s="450"/>
      <c r="S251" s="450"/>
      <c r="T251" s="386">
        <v>2</v>
      </c>
      <c r="W251" s="485"/>
      <c r="X251" s="394"/>
      <c r="Y251" s="399"/>
      <c r="Z251" s="400">
        <f t="shared" si="53"/>
        <v>0</v>
      </c>
      <c r="AA251" s="400">
        <f t="shared" si="53"/>
        <v>0</v>
      </c>
      <c r="AB251" s="400">
        <f t="shared" si="53"/>
        <v>0</v>
      </c>
    </row>
    <row r="252" spans="1:28" ht="12.95">
      <c r="A252" s="470"/>
      <c r="B252" s="386" t="s">
        <v>99</v>
      </c>
      <c r="C252" s="450"/>
      <c r="D252" s="450"/>
      <c r="E252" s="450"/>
      <c r="F252" s="450"/>
      <c r="G252" s="450"/>
      <c r="H252" s="450"/>
      <c r="I252" s="450"/>
      <c r="J252" s="450"/>
      <c r="K252" s="450"/>
      <c r="L252" s="450"/>
      <c r="M252" s="450"/>
      <c r="N252" s="450"/>
      <c r="O252" s="450"/>
      <c r="P252" s="450"/>
      <c r="Q252" s="450"/>
      <c r="R252" s="450"/>
      <c r="S252" s="450"/>
      <c r="T252" s="386">
        <v>2</v>
      </c>
      <c r="W252" s="485"/>
      <c r="X252" s="394"/>
      <c r="Y252" s="399"/>
      <c r="Z252" s="400">
        <f t="shared" si="53"/>
        <v>0</v>
      </c>
      <c r="AA252" s="400">
        <f t="shared" si="53"/>
        <v>0</v>
      </c>
      <c r="AB252" s="400">
        <f t="shared" si="53"/>
        <v>0</v>
      </c>
    </row>
    <row r="253" spans="1:28" ht="12.95">
      <c r="A253" s="470"/>
      <c r="B253" s="386" t="s">
        <v>103</v>
      </c>
      <c r="C253" s="450"/>
      <c r="D253" s="450"/>
      <c r="E253" s="450">
        <v>7500</v>
      </c>
      <c r="F253" s="450"/>
      <c r="G253" s="450"/>
      <c r="H253" s="450">
        <v>1.2999999999999999E-2</v>
      </c>
      <c r="I253" s="450">
        <v>0</v>
      </c>
      <c r="J253" s="450">
        <v>1.95</v>
      </c>
      <c r="K253" s="450">
        <v>0</v>
      </c>
      <c r="L253" s="450">
        <v>0</v>
      </c>
      <c r="M253" s="450">
        <v>8.9570000000000007</v>
      </c>
      <c r="N253" s="450">
        <v>0</v>
      </c>
      <c r="O253" s="450">
        <v>0</v>
      </c>
      <c r="P253" s="450">
        <v>2.08</v>
      </c>
      <c r="Q253" s="450">
        <v>0</v>
      </c>
      <c r="R253" s="450">
        <v>0</v>
      </c>
      <c r="S253" s="450">
        <v>1.2999999999999999E-2</v>
      </c>
      <c r="T253" s="386">
        <v>2</v>
      </c>
      <c r="W253" s="485"/>
      <c r="X253" s="394"/>
      <c r="Y253" s="399"/>
      <c r="Z253" s="400">
        <f t="shared" si="53"/>
        <v>1.2999999999999999E-2</v>
      </c>
      <c r="AA253" s="400">
        <f t="shared" si="53"/>
        <v>0</v>
      </c>
      <c r="AB253" s="400">
        <f t="shared" si="53"/>
        <v>13</v>
      </c>
    </row>
    <row r="254" spans="1:28" ht="12.95">
      <c r="A254" s="470"/>
      <c r="B254" s="386" t="s">
        <v>103</v>
      </c>
      <c r="C254" s="450"/>
      <c r="D254" s="450"/>
      <c r="E254" s="450"/>
      <c r="F254" s="450"/>
      <c r="G254" s="450"/>
      <c r="H254" s="450"/>
      <c r="I254" s="450"/>
      <c r="J254" s="450"/>
      <c r="K254" s="450"/>
      <c r="L254" s="450"/>
      <c r="M254" s="450"/>
      <c r="N254" s="450"/>
      <c r="O254" s="450"/>
      <c r="P254" s="450"/>
      <c r="Q254" s="450"/>
      <c r="R254" s="450"/>
      <c r="S254" s="450"/>
      <c r="T254" s="386">
        <v>2</v>
      </c>
      <c r="W254" s="485"/>
      <c r="X254" s="394"/>
      <c r="Y254" s="399"/>
      <c r="Z254" s="400"/>
      <c r="AA254" s="400"/>
      <c r="AB254" s="400"/>
    </row>
    <row r="255" spans="1:28" ht="12.95">
      <c r="A255" s="470"/>
      <c r="B255" s="386" t="s">
        <v>104</v>
      </c>
      <c r="C255" s="450"/>
      <c r="D255" s="450"/>
      <c r="E255" s="450">
        <v>2500</v>
      </c>
      <c r="F255" s="450"/>
      <c r="G255" s="450"/>
      <c r="H255" s="450">
        <v>2.9000000000000001E-2</v>
      </c>
      <c r="I255" s="450">
        <v>0.28999999999999998</v>
      </c>
      <c r="J255" s="450">
        <v>11.194000000000001</v>
      </c>
      <c r="K255" s="450">
        <v>2.9000000000000001E-2</v>
      </c>
      <c r="L255" s="450">
        <v>0.28999999999999998</v>
      </c>
      <c r="M255" s="450">
        <v>13.92</v>
      </c>
      <c r="N255" s="450">
        <v>2.9000000000000001E-2</v>
      </c>
      <c r="O255" s="450">
        <v>0.28999999999999998</v>
      </c>
      <c r="P255" s="450">
        <v>2.9</v>
      </c>
      <c r="Q255" s="450">
        <v>0</v>
      </c>
      <c r="R255" s="450">
        <v>0</v>
      </c>
      <c r="S255" s="450">
        <v>2.9000000000000001E-2</v>
      </c>
      <c r="T255" s="386">
        <v>2</v>
      </c>
      <c r="W255" s="485"/>
      <c r="X255" s="394"/>
      <c r="Y255" s="399"/>
      <c r="Z255" s="400">
        <f t="shared" si="53"/>
        <v>8.6999999999999994E-2</v>
      </c>
      <c r="AA255" s="400">
        <f t="shared" si="53"/>
        <v>0.87</v>
      </c>
      <c r="AB255" s="400">
        <f t="shared" si="53"/>
        <v>28.042999999999999</v>
      </c>
    </row>
    <row r="256" spans="1:28" ht="12.95">
      <c r="A256" s="468">
        <v>45830</v>
      </c>
      <c r="B256" s="382" t="s">
        <v>95</v>
      </c>
      <c r="C256" s="452">
        <v>9094</v>
      </c>
      <c r="D256" s="452"/>
      <c r="E256" s="452"/>
      <c r="F256" s="452"/>
      <c r="G256" s="452"/>
      <c r="H256" s="452"/>
      <c r="I256" s="452"/>
      <c r="J256" s="452"/>
      <c r="K256" s="452"/>
      <c r="L256" s="452"/>
      <c r="M256" s="452"/>
      <c r="N256" s="452"/>
      <c r="O256" s="452"/>
      <c r="P256" s="452"/>
      <c r="Q256" s="452"/>
      <c r="R256" s="452"/>
      <c r="S256" s="452"/>
      <c r="T256" s="382">
        <v>1</v>
      </c>
      <c r="W256" s="485">
        <f t="shared" ref="W256:W261" si="55">H256+I256+J256+K256+L256+M256+N256+O256+P256+Q256+R256+S256+H262+I262+J262+K262+L262+M262+N262+O262+P262+Q262+R262+S262</f>
        <v>0</v>
      </c>
      <c r="X256" s="394">
        <f>E256+F256+G256+E262+F262+G262</f>
        <v>0</v>
      </c>
      <c r="Y256" s="399">
        <f>H256+I256+J256+K256+L256+M256+N256+O256+P256+Q256+R256+S256+H262+I262+J262+K262+L262+M262+N262+O262+P262+Q262+R262+S262</f>
        <v>0</v>
      </c>
      <c r="Z256" s="400">
        <f t="shared" si="53"/>
        <v>0</v>
      </c>
      <c r="AA256" s="400">
        <f t="shared" si="53"/>
        <v>0</v>
      </c>
      <c r="AB256" s="400">
        <f t="shared" si="53"/>
        <v>0</v>
      </c>
    </row>
    <row r="257" spans="1:28" ht="12.95">
      <c r="A257" s="468"/>
      <c r="B257" s="382" t="s">
        <v>97</v>
      </c>
      <c r="C257" s="452">
        <v>0</v>
      </c>
      <c r="D257" s="452"/>
      <c r="E257" s="452"/>
      <c r="F257" s="452"/>
      <c r="G257" s="452"/>
      <c r="H257" s="452"/>
      <c r="I257" s="452"/>
      <c r="J257" s="452"/>
      <c r="K257" s="452"/>
      <c r="L257" s="452"/>
      <c r="M257" s="452"/>
      <c r="N257" s="452"/>
      <c r="O257" s="452"/>
      <c r="P257" s="452"/>
      <c r="Q257" s="452"/>
      <c r="R257" s="452"/>
      <c r="S257" s="452"/>
      <c r="T257" s="382">
        <v>1</v>
      </c>
      <c r="W257" s="485">
        <f t="shared" si="55"/>
        <v>0</v>
      </c>
      <c r="X257" s="394">
        <f>E257+F257+G257+E263+F263+G263</f>
        <v>0</v>
      </c>
      <c r="Y257" s="399">
        <f>H257+I257+J257+K257+L257+M257+N257+O257+P257+Q257+R257+S257+H263+I263+J263+K263+L263+M263+N263+O263+P263+Q263+R263+S263</f>
        <v>0</v>
      </c>
      <c r="Z257" s="400">
        <f t="shared" si="53"/>
        <v>0</v>
      </c>
      <c r="AA257" s="400">
        <f t="shared" si="53"/>
        <v>0</v>
      </c>
      <c r="AB257" s="400">
        <f t="shared" si="53"/>
        <v>0</v>
      </c>
    </row>
    <row r="258" spans="1:28" ht="12.95">
      <c r="A258" s="468"/>
      <c r="B258" s="382" t="s">
        <v>99</v>
      </c>
      <c r="C258" s="452">
        <v>42175</v>
      </c>
      <c r="D258" s="452"/>
      <c r="E258" s="452"/>
      <c r="F258" s="452"/>
      <c r="G258" s="452"/>
      <c r="H258" s="452"/>
      <c r="I258" s="452"/>
      <c r="J258" s="452"/>
      <c r="K258" s="452"/>
      <c r="L258" s="452"/>
      <c r="M258" s="452"/>
      <c r="N258" s="452"/>
      <c r="O258" s="452"/>
      <c r="P258" s="452"/>
      <c r="Q258" s="452"/>
      <c r="R258" s="452"/>
      <c r="S258" s="452"/>
      <c r="T258" s="382">
        <v>1</v>
      </c>
      <c r="W258" s="485">
        <f t="shared" si="55"/>
        <v>0</v>
      </c>
      <c r="X258" s="394">
        <f>E258+F258+G258+E264+F264+G264</f>
        <v>0</v>
      </c>
      <c r="Y258" s="399">
        <f>H258+I258+J258+K258+L258+M258+N258+O258+P258+Q258+R258+S258+H264+I264+J264+K264+L264+M264+N264+O264+P264+Q264+R264+S264</f>
        <v>0</v>
      </c>
      <c r="Z258" s="400">
        <f t="shared" si="53"/>
        <v>0</v>
      </c>
      <c r="AA258" s="400">
        <f t="shared" si="53"/>
        <v>0</v>
      </c>
      <c r="AB258" s="400">
        <f t="shared" si="53"/>
        <v>0</v>
      </c>
    </row>
    <row r="259" spans="1:28" ht="12.95">
      <c r="A259" s="468"/>
      <c r="B259" s="382" t="s">
        <v>101</v>
      </c>
      <c r="C259" s="452">
        <v>15457</v>
      </c>
      <c r="D259" s="452"/>
      <c r="E259" s="452"/>
      <c r="F259" s="452"/>
      <c r="G259" s="452"/>
      <c r="H259" s="452"/>
      <c r="I259" s="452"/>
      <c r="J259" s="452"/>
      <c r="K259" s="452"/>
      <c r="L259" s="452"/>
      <c r="M259" s="452"/>
      <c r="N259" s="452"/>
      <c r="O259" s="452"/>
      <c r="P259" s="452"/>
      <c r="Q259" s="452"/>
      <c r="R259" s="452"/>
      <c r="S259" s="452"/>
      <c r="T259" s="382">
        <v>1</v>
      </c>
      <c r="W259" s="485">
        <f t="shared" si="55"/>
        <v>0</v>
      </c>
      <c r="X259" s="394">
        <f>E259+F259+G259+E265+F265+G265</f>
        <v>0</v>
      </c>
      <c r="Y259" s="399">
        <f>H259+I259+J259+K259+L259+M259+N259+O259+P259+Q259+R259+S259+H265+I265+J265+K265+L265+M265+N265+O265+P265+Q265+R265+S265</f>
        <v>0</v>
      </c>
      <c r="Z259" s="400">
        <f t="shared" si="53"/>
        <v>0</v>
      </c>
      <c r="AA259" s="400">
        <f t="shared" si="53"/>
        <v>0</v>
      </c>
      <c r="AB259" s="400">
        <f t="shared" si="53"/>
        <v>0</v>
      </c>
    </row>
    <row r="260" spans="1:28" ht="12.95">
      <c r="A260" s="468"/>
      <c r="B260" s="382" t="s">
        <v>103</v>
      </c>
      <c r="C260" s="452">
        <v>50292</v>
      </c>
      <c r="D260" s="452"/>
      <c r="E260" s="452"/>
      <c r="F260" s="452"/>
      <c r="G260" s="452"/>
      <c r="H260" s="452"/>
      <c r="I260" s="452"/>
      <c r="J260" s="452"/>
      <c r="K260" s="452"/>
      <c r="L260" s="452"/>
      <c r="M260" s="452"/>
      <c r="N260" s="452"/>
      <c r="O260" s="452"/>
      <c r="P260" s="452"/>
      <c r="Q260" s="452"/>
      <c r="R260" s="452"/>
      <c r="S260" s="452"/>
      <c r="T260" s="382">
        <v>1</v>
      </c>
      <c r="W260" s="485">
        <f t="shared" si="55"/>
        <v>0</v>
      </c>
      <c r="X260" s="394"/>
      <c r="Y260" s="399"/>
      <c r="Z260" s="400"/>
      <c r="AA260" s="400"/>
      <c r="AB260" s="400"/>
    </row>
    <row r="261" spans="1:28" ht="12.95">
      <c r="A261" s="468"/>
      <c r="B261" s="382" t="s">
        <v>104</v>
      </c>
      <c r="C261" s="452">
        <v>63745</v>
      </c>
      <c r="D261" s="452"/>
      <c r="E261" s="452"/>
      <c r="F261" s="452"/>
      <c r="G261" s="452"/>
      <c r="H261" s="452"/>
      <c r="I261" s="452"/>
      <c r="J261" s="452"/>
      <c r="K261" s="452"/>
      <c r="L261" s="452"/>
      <c r="M261" s="452"/>
      <c r="N261" s="452"/>
      <c r="O261" s="452"/>
      <c r="P261" s="452"/>
      <c r="Q261" s="452"/>
      <c r="R261" s="452"/>
      <c r="S261" s="452"/>
      <c r="T261" s="382">
        <v>1</v>
      </c>
      <c r="W261" s="485">
        <f t="shared" si="55"/>
        <v>0</v>
      </c>
      <c r="X261" s="394">
        <f>E261+F261+G261+E267+F267+G267</f>
        <v>0</v>
      </c>
      <c r="Y261" s="399">
        <f>H261+I261+J261+K261+L261+M261+N261+O261+P261+Q261+R261+S261+H267+I267+J267+K267+L267+M267+N267+O267+P267+Q267+R267+S267</f>
        <v>0</v>
      </c>
      <c r="Z261" s="400">
        <f t="shared" si="53"/>
        <v>0</v>
      </c>
      <c r="AA261" s="400">
        <f t="shared" si="53"/>
        <v>0</v>
      </c>
      <c r="AB261" s="400">
        <f t="shared" si="53"/>
        <v>0</v>
      </c>
    </row>
    <row r="262" spans="1:28" ht="12.95">
      <c r="A262" s="470"/>
      <c r="B262" s="386" t="s">
        <v>95</v>
      </c>
      <c r="C262" s="450"/>
      <c r="D262" s="450"/>
      <c r="E262" s="450"/>
      <c r="F262" s="450"/>
      <c r="G262" s="450"/>
      <c r="H262" s="450"/>
      <c r="I262" s="450"/>
      <c r="J262" s="450"/>
      <c r="K262" s="450"/>
      <c r="L262" s="450"/>
      <c r="M262" s="450"/>
      <c r="N262" s="450"/>
      <c r="O262" s="450"/>
      <c r="P262" s="450"/>
      <c r="Q262" s="450"/>
      <c r="R262" s="450"/>
      <c r="S262" s="450"/>
      <c r="T262" s="386">
        <v>2</v>
      </c>
      <c r="W262" s="485"/>
      <c r="X262" s="394"/>
      <c r="Y262" s="399"/>
      <c r="Z262" s="400">
        <f t="shared" si="53"/>
        <v>0</v>
      </c>
      <c r="AA262" s="400">
        <f t="shared" si="53"/>
        <v>0</v>
      </c>
      <c r="AB262" s="400">
        <f t="shared" si="53"/>
        <v>0</v>
      </c>
    </row>
    <row r="263" spans="1:28" ht="12.95">
      <c r="A263" s="470"/>
      <c r="B263" s="386" t="s">
        <v>97</v>
      </c>
      <c r="C263" s="450"/>
      <c r="D263" s="450"/>
      <c r="E263" s="450"/>
      <c r="F263" s="450"/>
      <c r="G263" s="450"/>
      <c r="H263" s="450"/>
      <c r="I263" s="450"/>
      <c r="J263" s="450"/>
      <c r="K263" s="450"/>
      <c r="L263" s="450"/>
      <c r="M263" s="450"/>
      <c r="N263" s="450"/>
      <c r="O263" s="450"/>
      <c r="P263" s="450"/>
      <c r="Q263" s="450"/>
      <c r="R263" s="450"/>
      <c r="S263" s="450"/>
      <c r="T263" s="386">
        <v>2</v>
      </c>
      <c r="W263" s="485"/>
      <c r="X263" s="394"/>
      <c r="Y263" s="399"/>
      <c r="Z263" s="400">
        <f t="shared" si="53"/>
        <v>0</v>
      </c>
      <c r="AA263" s="400">
        <f t="shared" si="53"/>
        <v>0</v>
      </c>
      <c r="AB263" s="400">
        <f t="shared" si="53"/>
        <v>0</v>
      </c>
    </row>
    <row r="264" spans="1:28" ht="12.95">
      <c r="A264" s="470"/>
      <c r="B264" s="386" t="s">
        <v>99</v>
      </c>
      <c r="C264" s="450"/>
      <c r="D264" s="450"/>
      <c r="E264" s="450"/>
      <c r="F264" s="450"/>
      <c r="G264" s="450"/>
      <c r="H264" s="450"/>
      <c r="I264" s="450"/>
      <c r="J264" s="450"/>
      <c r="K264" s="450"/>
      <c r="L264" s="450"/>
      <c r="M264" s="450"/>
      <c r="N264" s="450"/>
      <c r="O264" s="450"/>
      <c r="P264" s="450"/>
      <c r="Q264" s="450"/>
      <c r="R264" s="450"/>
      <c r="S264" s="450"/>
      <c r="T264" s="386">
        <v>2</v>
      </c>
      <c r="W264" s="485"/>
      <c r="X264" s="394"/>
      <c r="Y264" s="399"/>
      <c r="Z264" s="400">
        <f t="shared" si="53"/>
        <v>0</v>
      </c>
      <c r="AA264" s="400">
        <f t="shared" si="53"/>
        <v>0</v>
      </c>
      <c r="AB264" s="400">
        <f t="shared" si="53"/>
        <v>0</v>
      </c>
    </row>
    <row r="265" spans="1:28" ht="12.95">
      <c r="A265" s="470"/>
      <c r="B265" s="386" t="s">
        <v>101</v>
      </c>
      <c r="C265" s="450"/>
      <c r="D265" s="450"/>
      <c r="E265" s="450"/>
      <c r="F265" s="450"/>
      <c r="G265" s="450"/>
      <c r="H265" s="450"/>
      <c r="I265" s="450"/>
      <c r="J265" s="450"/>
      <c r="K265" s="450"/>
      <c r="L265" s="450"/>
      <c r="M265" s="450"/>
      <c r="N265" s="450"/>
      <c r="O265" s="450"/>
      <c r="P265" s="450"/>
      <c r="Q265" s="450"/>
      <c r="R265" s="450"/>
      <c r="S265" s="450"/>
      <c r="T265" s="386">
        <v>2</v>
      </c>
      <c r="W265" s="485"/>
      <c r="X265" s="394"/>
      <c r="Y265" s="399"/>
      <c r="Z265" s="400">
        <f t="shared" si="53"/>
        <v>0</v>
      </c>
      <c r="AA265" s="400">
        <f t="shared" si="53"/>
        <v>0</v>
      </c>
      <c r="AB265" s="400">
        <f t="shared" si="53"/>
        <v>0</v>
      </c>
    </row>
    <row r="266" spans="1:28" ht="12.95">
      <c r="A266" s="470"/>
      <c r="B266" s="386" t="s">
        <v>103</v>
      </c>
      <c r="C266" s="450"/>
      <c r="D266" s="450"/>
      <c r="E266" s="450"/>
      <c r="F266" s="450"/>
      <c r="G266" s="450"/>
      <c r="H266" s="450"/>
      <c r="I266" s="450"/>
      <c r="J266" s="450"/>
      <c r="K266" s="450"/>
      <c r="L266" s="450"/>
      <c r="M266" s="450"/>
      <c r="N266" s="450"/>
      <c r="O266" s="450"/>
      <c r="P266" s="450"/>
      <c r="Q266" s="450"/>
      <c r="R266" s="450"/>
      <c r="S266" s="450"/>
      <c r="T266" s="386">
        <v>2</v>
      </c>
      <c r="W266" s="485"/>
      <c r="X266" s="394"/>
      <c r="Y266" s="399"/>
      <c r="Z266" s="400"/>
      <c r="AA266" s="400"/>
      <c r="AB266" s="400"/>
    </row>
    <row r="267" spans="1:28" ht="12.95">
      <c r="A267" s="470"/>
      <c r="B267" s="386" t="s">
        <v>104</v>
      </c>
      <c r="C267" s="450"/>
      <c r="D267" s="450"/>
      <c r="E267" s="450"/>
      <c r="F267" s="450"/>
      <c r="G267" s="450"/>
      <c r="H267" s="450"/>
      <c r="I267" s="450"/>
      <c r="J267" s="450"/>
      <c r="K267" s="450"/>
      <c r="L267" s="450"/>
      <c r="M267" s="450"/>
      <c r="N267" s="450"/>
      <c r="O267" s="450"/>
      <c r="P267" s="450"/>
      <c r="Q267" s="450"/>
      <c r="R267" s="450"/>
      <c r="S267" s="450"/>
      <c r="T267" s="386">
        <v>2</v>
      </c>
      <c r="W267" s="485"/>
      <c r="X267" s="394"/>
      <c r="Y267" s="399"/>
      <c r="Z267" s="400">
        <f t="shared" si="53"/>
        <v>0</v>
      </c>
      <c r="AA267" s="400">
        <f t="shared" si="53"/>
        <v>0</v>
      </c>
      <c r="AB267" s="400">
        <f t="shared" si="53"/>
        <v>0</v>
      </c>
    </row>
    <row r="268" spans="1:28" ht="12.95">
      <c r="A268" s="468">
        <v>45831</v>
      </c>
      <c r="B268" s="382" t="s">
        <v>95</v>
      </c>
      <c r="C268" s="452">
        <v>9094</v>
      </c>
      <c r="D268" s="452"/>
      <c r="E268" s="452"/>
      <c r="F268" s="452"/>
      <c r="G268" s="452"/>
      <c r="H268" s="452"/>
      <c r="I268" s="452"/>
      <c r="J268" s="452"/>
      <c r="K268" s="452"/>
      <c r="L268" s="452"/>
      <c r="M268" s="452"/>
      <c r="N268" s="452"/>
      <c r="O268" s="452"/>
      <c r="P268" s="452"/>
      <c r="Q268" s="452"/>
      <c r="R268" s="452"/>
      <c r="S268" s="452"/>
      <c r="T268" s="382">
        <v>1</v>
      </c>
      <c r="W268" s="485">
        <f t="shared" ref="W268:W273" si="56">H268+I268+J268+K268+L268+M268+N268+O268+P268+Q268+R268+S268+H274+I274+J274+K274+L274+M274+N274+O274+P274+Q274+R274+S274</f>
        <v>0</v>
      </c>
      <c r="X268" s="394">
        <f>E268+F268+G268+E274+F274+G274</f>
        <v>0</v>
      </c>
      <c r="Y268" s="399">
        <f>H268+I268+J268+K268+L268+M268+N268+O268+P268+Q268+R268+S268+H274+I274+J274+K274+L274+M274+N274+O274+P274+Q274+R274+S274</f>
        <v>0</v>
      </c>
      <c r="Z268" s="400">
        <f t="shared" si="53"/>
        <v>0</v>
      </c>
      <c r="AA268" s="400">
        <f t="shared" si="53"/>
        <v>0</v>
      </c>
      <c r="AB268" s="400">
        <f t="shared" si="53"/>
        <v>0</v>
      </c>
    </row>
    <row r="269" spans="1:28" ht="12.95">
      <c r="A269" s="468"/>
      <c r="B269" s="382" t="s">
        <v>97</v>
      </c>
      <c r="C269" s="452">
        <v>0</v>
      </c>
      <c r="D269" s="452"/>
      <c r="E269" s="452"/>
      <c r="F269" s="452"/>
      <c r="G269" s="452"/>
      <c r="H269" s="452"/>
      <c r="I269" s="452"/>
      <c r="J269" s="452"/>
      <c r="K269" s="452"/>
      <c r="L269" s="452"/>
      <c r="M269" s="452"/>
      <c r="N269" s="452"/>
      <c r="O269" s="452"/>
      <c r="P269" s="452"/>
      <c r="Q269" s="452"/>
      <c r="R269" s="452"/>
      <c r="S269" s="452"/>
      <c r="T269" s="382">
        <v>1</v>
      </c>
      <c r="W269" s="485">
        <f t="shared" si="56"/>
        <v>0</v>
      </c>
      <c r="X269" s="394">
        <f>E269+F269+G269+E275+F275+G275</f>
        <v>0</v>
      </c>
      <c r="Y269" s="399">
        <f>H269+I269+J269+K269+L269+M269+N269+O269+P269+Q269+R269+S269+H275+I275+J275+K275+L275+M275+N275+O275+P275+Q275+R275+S275</f>
        <v>0</v>
      </c>
      <c r="Z269" s="400">
        <f t="shared" si="53"/>
        <v>0</v>
      </c>
      <c r="AA269" s="400">
        <f t="shared" si="53"/>
        <v>0</v>
      </c>
      <c r="AB269" s="400">
        <f t="shared" si="53"/>
        <v>0</v>
      </c>
    </row>
    <row r="270" spans="1:28" ht="12.95">
      <c r="A270" s="468"/>
      <c r="B270" s="382" t="s">
        <v>99</v>
      </c>
      <c r="C270" s="452">
        <v>42175</v>
      </c>
      <c r="D270" s="452"/>
      <c r="E270" s="452"/>
      <c r="F270" s="452"/>
      <c r="G270" s="452"/>
      <c r="H270" s="452"/>
      <c r="I270" s="452"/>
      <c r="J270" s="452"/>
      <c r="K270" s="452"/>
      <c r="L270" s="452"/>
      <c r="M270" s="452"/>
      <c r="N270" s="452"/>
      <c r="O270" s="452"/>
      <c r="P270" s="452"/>
      <c r="Q270" s="452"/>
      <c r="R270" s="452"/>
      <c r="S270" s="452"/>
      <c r="T270" s="382">
        <v>1</v>
      </c>
      <c r="W270" s="485">
        <f t="shared" si="56"/>
        <v>0</v>
      </c>
      <c r="X270" s="394">
        <f>E270+F270+G270+E276+F276+G276</f>
        <v>0</v>
      </c>
      <c r="Y270" s="399">
        <f>H270+I270+J270+K270+L270+M270+N270+O270+P270+Q270+R270+S270+H276+I276+J276+K276+L276+M276+N276+O276+P276+Q276+R276+S276</f>
        <v>0</v>
      </c>
      <c r="Z270" s="400">
        <f t="shared" si="53"/>
        <v>0</v>
      </c>
      <c r="AA270" s="400">
        <f t="shared" si="53"/>
        <v>0</v>
      </c>
      <c r="AB270" s="400">
        <f t="shared" si="53"/>
        <v>0</v>
      </c>
    </row>
    <row r="271" spans="1:28" ht="12.95">
      <c r="A271" s="468"/>
      <c r="B271" s="382" t="s">
        <v>101</v>
      </c>
      <c r="C271" s="452">
        <v>15457</v>
      </c>
      <c r="D271" s="452"/>
      <c r="E271" s="452"/>
      <c r="F271" s="452"/>
      <c r="G271" s="452"/>
      <c r="H271" s="452"/>
      <c r="I271" s="452"/>
      <c r="J271" s="452"/>
      <c r="K271" s="452"/>
      <c r="L271" s="452"/>
      <c r="M271" s="452"/>
      <c r="N271" s="452"/>
      <c r="O271" s="452"/>
      <c r="P271" s="452"/>
      <c r="Q271" s="452"/>
      <c r="R271" s="452"/>
      <c r="S271" s="452"/>
      <c r="T271" s="382">
        <v>1</v>
      </c>
      <c r="W271" s="485">
        <f t="shared" si="56"/>
        <v>0</v>
      </c>
      <c r="X271" s="394">
        <f>E271+F271+G271+E277+F277+G277</f>
        <v>0</v>
      </c>
      <c r="Y271" s="399">
        <f>H271+I271+J271+K271+L271+M271+N271+O271+P271+Q271+R271+S271+H277+I277+J277+K277+L277+M277+N277+O277+P277+Q277+R277+S277</f>
        <v>0</v>
      </c>
      <c r="Z271" s="400">
        <f t="shared" si="53"/>
        <v>0</v>
      </c>
      <c r="AA271" s="400">
        <f t="shared" si="53"/>
        <v>0</v>
      </c>
      <c r="AB271" s="400">
        <f t="shared" si="53"/>
        <v>0</v>
      </c>
    </row>
    <row r="272" spans="1:28" ht="12.95">
      <c r="A272" s="468"/>
      <c r="B272" s="382" t="s">
        <v>103</v>
      </c>
      <c r="C272" s="452">
        <v>50292</v>
      </c>
      <c r="D272" s="452"/>
      <c r="E272" s="452"/>
      <c r="F272" s="452"/>
      <c r="G272" s="452"/>
      <c r="H272" s="452"/>
      <c r="I272" s="452"/>
      <c r="J272" s="452"/>
      <c r="K272" s="452"/>
      <c r="L272" s="452"/>
      <c r="M272" s="452"/>
      <c r="N272" s="452"/>
      <c r="O272" s="452"/>
      <c r="P272" s="452"/>
      <c r="Q272" s="452"/>
      <c r="R272" s="452"/>
      <c r="S272" s="452"/>
      <c r="T272" s="382">
        <v>1</v>
      </c>
      <c r="W272" s="485">
        <f t="shared" si="56"/>
        <v>0</v>
      </c>
      <c r="X272" s="394"/>
      <c r="Y272" s="399"/>
      <c r="Z272" s="400"/>
      <c r="AA272" s="400"/>
      <c r="AB272" s="400"/>
    </row>
    <row r="273" spans="1:28" ht="12.95">
      <c r="A273" s="468"/>
      <c r="B273" s="382" t="s">
        <v>104</v>
      </c>
      <c r="C273" s="452">
        <v>63745</v>
      </c>
      <c r="D273" s="452"/>
      <c r="E273" s="452"/>
      <c r="F273" s="452"/>
      <c r="G273" s="452"/>
      <c r="H273" s="452"/>
      <c r="I273" s="452"/>
      <c r="J273" s="452"/>
      <c r="K273" s="452"/>
      <c r="L273" s="452"/>
      <c r="M273" s="452"/>
      <c r="N273" s="452"/>
      <c r="O273" s="452"/>
      <c r="P273" s="452"/>
      <c r="Q273" s="452"/>
      <c r="R273" s="452"/>
      <c r="S273" s="452"/>
      <c r="T273" s="382">
        <v>1</v>
      </c>
      <c r="W273" s="485">
        <f t="shared" si="56"/>
        <v>16</v>
      </c>
      <c r="X273" s="394">
        <f>E273+F273+G273+E279+F279+G279</f>
        <v>10500</v>
      </c>
      <c r="Y273" s="399">
        <f>H273+I273+J273+K273+L273+M273+N273+O273+P273+Q273+R273+S273+H279+I279+J279+K279+L279+M279+N279+O279+P279+Q279+R279+S279</f>
        <v>16</v>
      </c>
      <c r="Z273" s="400">
        <f t="shared" si="53"/>
        <v>0</v>
      </c>
      <c r="AA273" s="400">
        <f t="shared" si="53"/>
        <v>0</v>
      </c>
      <c r="AB273" s="400">
        <f t="shared" si="53"/>
        <v>0</v>
      </c>
    </row>
    <row r="274" spans="1:28" ht="12.95">
      <c r="A274" s="470"/>
      <c r="B274" s="386" t="s">
        <v>95</v>
      </c>
      <c r="C274" s="450"/>
      <c r="D274" s="450"/>
      <c r="E274" s="450"/>
      <c r="F274" s="450"/>
      <c r="G274" s="450"/>
      <c r="H274" s="450"/>
      <c r="I274" s="450"/>
      <c r="J274" s="450"/>
      <c r="K274" s="450"/>
      <c r="L274" s="450"/>
      <c r="M274" s="450"/>
      <c r="N274" s="450"/>
      <c r="O274" s="450"/>
      <c r="P274" s="450"/>
      <c r="Q274" s="450"/>
      <c r="R274" s="450"/>
      <c r="S274" s="450"/>
      <c r="T274" s="386">
        <v>2</v>
      </c>
      <c r="W274" s="485"/>
      <c r="X274" s="394"/>
      <c r="Y274" s="399"/>
      <c r="Z274" s="400">
        <f t="shared" si="53"/>
        <v>0</v>
      </c>
      <c r="AA274" s="400">
        <f t="shared" si="53"/>
        <v>0</v>
      </c>
      <c r="AB274" s="400">
        <f t="shared" si="53"/>
        <v>0</v>
      </c>
    </row>
    <row r="275" spans="1:28" ht="12.95">
      <c r="A275" s="470"/>
      <c r="B275" s="386" t="s">
        <v>97</v>
      </c>
      <c r="C275" s="450"/>
      <c r="D275" s="450"/>
      <c r="E275" s="450"/>
      <c r="F275" s="450"/>
      <c r="G275" s="450"/>
      <c r="H275" s="450"/>
      <c r="I275" s="450"/>
      <c r="J275" s="450"/>
      <c r="K275" s="450"/>
      <c r="L275" s="450"/>
      <c r="M275" s="450"/>
      <c r="N275" s="450"/>
      <c r="O275" s="450"/>
      <c r="P275" s="450"/>
      <c r="Q275" s="450"/>
      <c r="R275" s="450"/>
      <c r="S275" s="450"/>
      <c r="T275" s="386">
        <v>2</v>
      </c>
      <c r="W275" s="485"/>
      <c r="X275" s="394"/>
      <c r="Y275" s="399"/>
      <c r="Z275" s="400">
        <f t="shared" si="53"/>
        <v>0</v>
      </c>
      <c r="AA275" s="400">
        <f t="shared" si="53"/>
        <v>0</v>
      </c>
      <c r="AB275" s="400">
        <f t="shared" si="53"/>
        <v>0</v>
      </c>
    </row>
    <row r="276" spans="1:28" ht="12.95">
      <c r="A276" s="470"/>
      <c r="B276" s="386" t="s">
        <v>99</v>
      </c>
      <c r="C276" s="450"/>
      <c r="D276" s="450"/>
      <c r="E276" s="450"/>
      <c r="F276" s="450"/>
      <c r="G276" s="450"/>
      <c r="H276" s="450"/>
      <c r="I276" s="450"/>
      <c r="J276" s="450"/>
      <c r="K276" s="450"/>
      <c r="L276" s="450"/>
      <c r="M276" s="450"/>
      <c r="N276" s="450"/>
      <c r="O276" s="450"/>
      <c r="P276" s="450"/>
      <c r="Q276" s="450"/>
      <c r="R276" s="450"/>
      <c r="S276" s="450"/>
      <c r="T276" s="386">
        <v>2</v>
      </c>
      <c r="W276" s="485"/>
      <c r="X276" s="394"/>
      <c r="Y276" s="399"/>
      <c r="Z276" s="400">
        <f t="shared" si="53"/>
        <v>0</v>
      </c>
      <c r="AA276" s="400">
        <f t="shared" si="53"/>
        <v>0</v>
      </c>
      <c r="AB276" s="400">
        <f t="shared" si="53"/>
        <v>0</v>
      </c>
    </row>
    <row r="277" spans="1:28" ht="12.95">
      <c r="A277" s="470"/>
      <c r="B277" s="386" t="s">
        <v>101</v>
      </c>
      <c r="C277" s="450"/>
      <c r="D277" s="450"/>
      <c r="E277" s="450"/>
      <c r="F277" s="450"/>
      <c r="G277" s="450"/>
      <c r="H277" s="450"/>
      <c r="I277" s="450"/>
      <c r="J277" s="450"/>
      <c r="K277" s="450"/>
      <c r="L277" s="450"/>
      <c r="M277" s="450"/>
      <c r="N277" s="450"/>
      <c r="O277" s="450"/>
      <c r="P277" s="450"/>
      <c r="Q277" s="450"/>
      <c r="R277" s="450"/>
      <c r="S277" s="450"/>
      <c r="T277" s="386">
        <v>2</v>
      </c>
      <c r="W277" s="485"/>
      <c r="X277" s="394"/>
      <c r="Y277" s="399"/>
      <c r="Z277" s="400">
        <f t="shared" si="53"/>
        <v>0</v>
      </c>
      <c r="AA277" s="400">
        <f t="shared" si="53"/>
        <v>0</v>
      </c>
      <c r="AB277" s="400">
        <f t="shared" si="53"/>
        <v>0</v>
      </c>
    </row>
    <row r="278" spans="1:28" ht="12.95">
      <c r="A278" s="470"/>
      <c r="B278" s="386" t="s">
        <v>103</v>
      </c>
      <c r="C278" s="450"/>
      <c r="D278" s="450"/>
      <c r="E278" s="450"/>
      <c r="F278" s="450"/>
      <c r="G278" s="450"/>
      <c r="H278" s="450"/>
      <c r="I278" s="450"/>
      <c r="J278" s="450"/>
      <c r="K278" s="450"/>
      <c r="L278" s="450"/>
      <c r="M278" s="450"/>
      <c r="N278" s="450"/>
      <c r="O278" s="450"/>
      <c r="P278" s="450"/>
      <c r="Q278" s="450"/>
      <c r="R278" s="450"/>
      <c r="S278" s="450"/>
      <c r="T278" s="386">
        <v>2</v>
      </c>
      <c r="W278" s="485"/>
      <c r="X278" s="394"/>
      <c r="Y278" s="399"/>
      <c r="Z278" s="400"/>
      <c r="AA278" s="400"/>
      <c r="AB278" s="400"/>
    </row>
    <row r="279" spans="1:28" ht="12.95">
      <c r="A279" s="470"/>
      <c r="B279" s="386" t="s">
        <v>104</v>
      </c>
      <c r="C279" s="450"/>
      <c r="D279" s="450"/>
      <c r="E279" s="450">
        <v>10500</v>
      </c>
      <c r="F279" s="450"/>
      <c r="G279" s="450"/>
      <c r="H279" s="450">
        <v>1.6E-2</v>
      </c>
      <c r="I279" s="450">
        <v>0.16</v>
      </c>
      <c r="J279" s="450">
        <v>6.1760000000000002</v>
      </c>
      <c r="K279" s="450">
        <v>1.6E-2</v>
      </c>
      <c r="L279" s="450">
        <v>0.16</v>
      </c>
      <c r="M279" s="450">
        <v>7.68</v>
      </c>
      <c r="N279" s="450">
        <v>1.6E-2</v>
      </c>
      <c r="O279" s="450">
        <v>0.16</v>
      </c>
      <c r="P279" s="450">
        <v>1.6</v>
      </c>
      <c r="Q279" s="450">
        <v>0</v>
      </c>
      <c r="R279" s="450">
        <v>0</v>
      </c>
      <c r="S279" s="450">
        <v>1.6E-2</v>
      </c>
      <c r="T279" s="386">
        <v>2</v>
      </c>
      <c r="W279" s="485"/>
      <c r="X279" s="394"/>
      <c r="Y279" s="399"/>
      <c r="Z279" s="400">
        <f t="shared" si="53"/>
        <v>4.8000000000000001E-2</v>
      </c>
      <c r="AA279" s="400">
        <f t="shared" si="53"/>
        <v>0.48</v>
      </c>
      <c r="AB279" s="400">
        <f t="shared" si="53"/>
        <v>15.472</v>
      </c>
    </row>
    <row r="280" spans="1:28" ht="12.95">
      <c r="A280" s="468">
        <v>45832</v>
      </c>
      <c r="B280" s="382" t="s">
        <v>95</v>
      </c>
      <c r="C280" s="452">
        <v>9094</v>
      </c>
      <c r="D280" s="452"/>
      <c r="E280" s="452"/>
      <c r="F280" s="452"/>
      <c r="G280" s="452"/>
      <c r="H280" s="452"/>
      <c r="I280" s="452"/>
      <c r="J280" s="452"/>
      <c r="K280" s="452"/>
      <c r="L280" s="452"/>
      <c r="M280" s="452"/>
      <c r="N280" s="452"/>
      <c r="O280" s="452"/>
      <c r="P280" s="452"/>
      <c r="Q280" s="452"/>
      <c r="R280" s="452"/>
      <c r="S280" s="452"/>
      <c r="T280" s="382">
        <v>1</v>
      </c>
      <c r="W280" s="485">
        <f t="shared" ref="W280:W285" si="57">H280+I280+J280+K280+L280+M280+N280+O280+P280+Q280+R280+S280+H286+I286+J286+K286+L286+M286+N286+O286+P286+Q286+R286+S286</f>
        <v>0</v>
      </c>
      <c r="X280" s="394">
        <f>E280+F280+G280+E286+F286+G286</f>
        <v>0</v>
      </c>
      <c r="Y280" s="399">
        <f>H280+I280+J280+K280+L280+M280+N280+O280+P280+Q280+R280+S280+H286+I286+J286+K286+L286+M286+N286+O286+P286+Q286+R286+S286</f>
        <v>0</v>
      </c>
      <c r="Z280" s="400">
        <f t="shared" si="53"/>
        <v>0</v>
      </c>
      <c r="AA280" s="400">
        <f t="shared" si="53"/>
        <v>0</v>
      </c>
      <c r="AB280" s="400">
        <f t="shared" si="53"/>
        <v>0</v>
      </c>
    </row>
    <row r="281" spans="1:28" ht="12.95">
      <c r="A281" s="468"/>
      <c r="B281" s="382" t="s">
        <v>97</v>
      </c>
      <c r="C281" s="452">
        <v>0</v>
      </c>
      <c r="D281" s="452"/>
      <c r="E281" s="452"/>
      <c r="F281" s="452"/>
      <c r="G281" s="452"/>
      <c r="H281" s="452"/>
      <c r="I281" s="452"/>
      <c r="J281" s="452"/>
      <c r="K281" s="452"/>
      <c r="L281" s="452"/>
      <c r="M281" s="452"/>
      <c r="N281" s="452"/>
      <c r="O281" s="452"/>
      <c r="P281" s="452"/>
      <c r="Q281" s="452"/>
      <c r="R281" s="452"/>
      <c r="S281" s="452"/>
      <c r="T281" s="382">
        <v>1</v>
      </c>
      <c r="W281" s="485">
        <f t="shared" si="57"/>
        <v>0</v>
      </c>
      <c r="X281" s="394">
        <f>E281+F281+G281+E287+F287+G287</f>
        <v>0</v>
      </c>
      <c r="Y281" s="399">
        <f>H281+I281+J281+K281+L281+M281+N281+O281+P281+Q281+R281+S281+H287+I287+J287+K287+L287+M287+N287+O287+P287+Q287+R287+S287</f>
        <v>0</v>
      </c>
      <c r="Z281" s="400">
        <f t="shared" si="53"/>
        <v>0</v>
      </c>
      <c r="AA281" s="400">
        <f t="shared" si="53"/>
        <v>0</v>
      </c>
      <c r="AB281" s="400">
        <f t="shared" si="53"/>
        <v>0</v>
      </c>
    </row>
    <row r="282" spans="1:28" ht="12.95">
      <c r="A282" s="468"/>
      <c r="B282" s="382" t="s">
        <v>99</v>
      </c>
      <c r="C282" s="452">
        <v>42175</v>
      </c>
      <c r="D282" s="452"/>
      <c r="E282" s="452"/>
      <c r="F282" s="452"/>
      <c r="G282" s="452"/>
      <c r="H282" s="452"/>
      <c r="I282" s="452"/>
      <c r="J282" s="452"/>
      <c r="K282" s="452"/>
      <c r="L282" s="452"/>
      <c r="M282" s="452"/>
      <c r="N282" s="452"/>
      <c r="O282" s="452"/>
      <c r="P282" s="452"/>
      <c r="Q282" s="452"/>
      <c r="R282" s="452"/>
      <c r="S282" s="452"/>
      <c r="T282" s="382">
        <v>1</v>
      </c>
      <c r="W282" s="485">
        <f t="shared" si="57"/>
        <v>0</v>
      </c>
      <c r="X282" s="394">
        <f>E282+F282+G282+E288+F288+G288</f>
        <v>0</v>
      </c>
      <c r="Y282" s="399">
        <f>H282+I282+J282+K282+L282+M282+N282+O282+P282+Q282+R282+S282+H288+I288+J288+K288+L288+M288+N288+O288+P288+Q288+R288+S288</f>
        <v>0</v>
      </c>
      <c r="Z282" s="400">
        <f t="shared" si="53"/>
        <v>0</v>
      </c>
      <c r="AA282" s="400">
        <f t="shared" si="53"/>
        <v>0</v>
      </c>
      <c r="AB282" s="400">
        <f t="shared" si="53"/>
        <v>0</v>
      </c>
    </row>
    <row r="283" spans="1:28" ht="12.95">
      <c r="A283" s="468"/>
      <c r="B283" s="382" t="s">
        <v>101</v>
      </c>
      <c r="C283" s="452">
        <v>15457</v>
      </c>
      <c r="D283" s="452"/>
      <c r="E283" s="452">
        <v>1500</v>
      </c>
      <c r="F283" s="452"/>
      <c r="G283" s="452"/>
      <c r="H283" s="452">
        <v>4.0000000000000001E-3</v>
      </c>
      <c r="I283" s="452">
        <v>0</v>
      </c>
      <c r="J283" s="452">
        <v>0.6</v>
      </c>
      <c r="K283" s="452">
        <v>0</v>
      </c>
      <c r="L283" s="452">
        <v>0</v>
      </c>
      <c r="M283" s="452">
        <v>2.7559999999999998</v>
      </c>
      <c r="N283" s="452">
        <v>0</v>
      </c>
      <c r="O283" s="452">
        <v>0</v>
      </c>
      <c r="P283" s="452">
        <v>0.64</v>
      </c>
      <c r="Q283" s="452">
        <v>0</v>
      </c>
      <c r="R283" s="452">
        <v>0</v>
      </c>
      <c r="S283" s="452">
        <v>4.0000000000000001E-3</v>
      </c>
      <c r="T283" s="382">
        <v>1</v>
      </c>
      <c r="W283" s="485">
        <f t="shared" si="57"/>
        <v>4.0039999999999996</v>
      </c>
      <c r="X283" s="394">
        <f>E283+F283+G283+E289+F289+G289</f>
        <v>1500</v>
      </c>
      <c r="Y283" s="399">
        <f>H283+I283+J283+K283+L283+M283+N283+O283+P283+Q283+R283+S283+H289+I289+J289+K289+L289+M289+N289+O289+P289+Q289+R289+S289</f>
        <v>4.0039999999999996</v>
      </c>
      <c r="Z283" s="400">
        <f t="shared" si="53"/>
        <v>4.0000000000000001E-3</v>
      </c>
      <c r="AA283" s="400">
        <f t="shared" si="53"/>
        <v>0</v>
      </c>
      <c r="AB283" s="400">
        <f t="shared" si="53"/>
        <v>4</v>
      </c>
    </row>
    <row r="284" spans="1:28" ht="12.95">
      <c r="A284" s="468"/>
      <c r="B284" s="382" t="s">
        <v>103</v>
      </c>
      <c r="C284" s="452">
        <v>50292</v>
      </c>
      <c r="D284" s="452"/>
      <c r="E284" s="452"/>
      <c r="F284" s="452"/>
      <c r="G284" s="452"/>
      <c r="H284" s="452"/>
      <c r="I284" s="452"/>
      <c r="J284" s="452"/>
      <c r="K284" s="452"/>
      <c r="L284" s="452"/>
      <c r="M284" s="452"/>
      <c r="N284" s="452"/>
      <c r="O284" s="452"/>
      <c r="P284" s="452"/>
      <c r="Q284" s="452"/>
      <c r="R284" s="452"/>
      <c r="S284" s="452"/>
      <c r="T284" s="382">
        <v>1</v>
      </c>
      <c r="W284" s="485">
        <f t="shared" si="57"/>
        <v>25</v>
      </c>
      <c r="X284" s="394"/>
      <c r="Y284" s="399"/>
      <c r="Z284" s="400"/>
      <c r="AA284" s="400"/>
      <c r="AB284" s="400"/>
    </row>
    <row r="285" spans="1:28" ht="12.95">
      <c r="A285" s="468"/>
      <c r="B285" s="382" t="s">
        <v>104</v>
      </c>
      <c r="C285" s="452">
        <v>53229</v>
      </c>
      <c r="D285" s="452"/>
      <c r="E285" s="452">
        <v>5700</v>
      </c>
      <c r="F285" s="452"/>
      <c r="G285" s="452"/>
      <c r="H285" s="452">
        <v>1.6E-2</v>
      </c>
      <c r="I285" s="452">
        <v>0.16</v>
      </c>
      <c r="J285" s="452">
        <v>6.1760000000000002</v>
      </c>
      <c r="K285" s="452">
        <v>1.6E-2</v>
      </c>
      <c r="L285" s="452">
        <v>0.16</v>
      </c>
      <c r="M285" s="452">
        <v>7.68</v>
      </c>
      <c r="N285" s="452">
        <v>1.6E-2</v>
      </c>
      <c r="O285" s="452">
        <v>0.16</v>
      </c>
      <c r="P285" s="452">
        <v>1.6</v>
      </c>
      <c r="Q285" s="452">
        <v>0</v>
      </c>
      <c r="R285" s="452">
        <v>0</v>
      </c>
      <c r="S285" s="452">
        <v>1.6E-2</v>
      </c>
      <c r="T285" s="382">
        <v>1</v>
      </c>
      <c r="W285" s="485">
        <f t="shared" si="57"/>
        <v>16</v>
      </c>
      <c r="X285" s="394">
        <f>E285+F285+G285+E291+F291+G291</f>
        <v>5700</v>
      </c>
      <c r="Y285" s="399">
        <f>H285+I285+J285+K285+L285+M285+N285+O285+P285+Q285+R285+S285+H291+I291+J291+K291+L291+M291+N291+O291+P291+Q291+R291+S291</f>
        <v>16</v>
      </c>
      <c r="Z285" s="400">
        <f t="shared" si="53"/>
        <v>4.8000000000000001E-2</v>
      </c>
      <c r="AA285" s="400">
        <f t="shared" si="53"/>
        <v>0.48</v>
      </c>
      <c r="AB285" s="400">
        <f t="shared" si="53"/>
        <v>15.472</v>
      </c>
    </row>
    <row r="286" spans="1:28" ht="12.95">
      <c r="A286" s="470"/>
      <c r="B286" s="386" t="s">
        <v>95</v>
      </c>
      <c r="C286" s="450"/>
      <c r="D286" s="450"/>
      <c r="E286" s="450"/>
      <c r="F286" s="450"/>
      <c r="G286" s="450"/>
      <c r="H286" s="450"/>
      <c r="I286" s="450"/>
      <c r="J286" s="450"/>
      <c r="K286" s="450"/>
      <c r="L286" s="450"/>
      <c r="M286" s="450"/>
      <c r="N286" s="450"/>
      <c r="O286" s="450"/>
      <c r="P286" s="450"/>
      <c r="Q286" s="450"/>
      <c r="R286" s="450"/>
      <c r="S286" s="450"/>
      <c r="T286" s="386">
        <v>2</v>
      </c>
      <c r="W286" s="485"/>
      <c r="X286" s="394"/>
      <c r="Y286" s="399"/>
      <c r="Z286" s="400">
        <f t="shared" si="53"/>
        <v>0</v>
      </c>
      <c r="AA286" s="400">
        <f t="shared" si="53"/>
        <v>0</v>
      </c>
      <c r="AB286" s="400">
        <f t="shared" si="53"/>
        <v>0</v>
      </c>
    </row>
    <row r="287" spans="1:28" ht="12.95">
      <c r="A287" s="470"/>
      <c r="B287" s="386" t="s">
        <v>97</v>
      </c>
      <c r="C287" s="450"/>
      <c r="D287" s="450"/>
      <c r="E287" s="450"/>
      <c r="F287" s="450"/>
      <c r="G287" s="450"/>
      <c r="H287" s="450"/>
      <c r="I287" s="450"/>
      <c r="J287" s="450"/>
      <c r="K287" s="450"/>
      <c r="L287" s="450"/>
      <c r="M287" s="450"/>
      <c r="N287" s="450"/>
      <c r="O287" s="450"/>
      <c r="P287" s="450"/>
      <c r="Q287" s="450"/>
      <c r="R287" s="450"/>
      <c r="S287" s="450"/>
      <c r="T287" s="386">
        <v>2</v>
      </c>
      <c r="W287" s="485"/>
      <c r="X287" s="394"/>
      <c r="Y287" s="399"/>
      <c r="Z287" s="400">
        <f t="shared" si="53"/>
        <v>0</v>
      </c>
      <c r="AA287" s="400">
        <f t="shared" si="53"/>
        <v>0</v>
      </c>
      <c r="AB287" s="400">
        <f t="shared" si="53"/>
        <v>0</v>
      </c>
    </row>
    <row r="288" spans="1:28" ht="12.95">
      <c r="A288" s="470"/>
      <c r="B288" s="386" t="s">
        <v>99</v>
      </c>
      <c r="C288" s="450"/>
      <c r="D288" s="450"/>
      <c r="E288" s="450"/>
      <c r="F288" s="450"/>
      <c r="G288" s="450"/>
      <c r="H288" s="450"/>
      <c r="I288" s="450"/>
      <c r="J288" s="450"/>
      <c r="K288" s="450"/>
      <c r="L288" s="450"/>
      <c r="M288" s="450"/>
      <c r="N288" s="450"/>
      <c r="O288" s="450"/>
      <c r="P288" s="450"/>
      <c r="Q288" s="450"/>
      <c r="R288" s="450"/>
      <c r="S288" s="450"/>
      <c r="T288" s="386">
        <v>2</v>
      </c>
      <c r="W288" s="485"/>
      <c r="X288" s="394"/>
      <c r="Y288" s="399"/>
      <c r="Z288" s="400">
        <f t="shared" si="53"/>
        <v>0</v>
      </c>
      <c r="AA288" s="400">
        <f t="shared" si="53"/>
        <v>0</v>
      </c>
      <c r="AB288" s="400">
        <f t="shared" si="53"/>
        <v>0</v>
      </c>
    </row>
    <row r="289" spans="1:28" ht="12.95">
      <c r="A289" s="470"/>
      <c r="B289" s="386" t="s">
        <v>101</v>
      </c>
      <c r="C289" s="450"/>
      <c r="D289" s="450"/>
      <c r="E289" s="450"/>
      <c r="F289" s="450"/>
      <c r="G289" s="450"/>
      <c r="H289" s="450"/>
      <c r="I289" s="450"/>
      <c r="J289" s="450"/>
      <c r="K289" s="450"/>
      <c r="L289" s="450"/>
      <c r="M289" s="450"/>
      <c r="N289" s="450"/>
      <c r="O289" s="450"/>
      <c r="P289" s="450"/>
      <c r="Q289" s="450"/>
      <c r="R289" s="450"/>
      <c r="S289" s="450"/>
      <c r="T289" s="386">
        <v>2</v>
      </c>
      <c r="W289" s="485"/>
      <c r="X289" s="394"/>
      <c r="Y289" s="399"/>
      <c r="Z289" s="400">
        <f t="shared" si="53"/>
        <v>0</v>
      </c>
      <c r="AA289" s="400">
        <f t="shared" si="53"/>
        <v>0</v>
      </c>
      <c r="AB289" s="400">
        <f t="shared" si="53"/>
        <v>0</v>
      </c>
    </row>
    <row r="290" spans="1:28" ht="12.95">
      <c r="A290" s="470"/>
      <c r="B290" s="386" t="s">
        <v>103</v>
      </c>
      <c r="C290" s="450"/>
      <c r="D290" s="450"/>
      <c r="E290" s="450">
        <v>12500</v>
      </c>
      <c r="F290" s="450"/>
      <c r="G290" s="450"/>
      <c r="H290" s="450">
        <v>2.5000000000000001E-2</v>
      </c>
      <c r="I290" s="450">
        <v>0.25</v>
      </c>
      <c r="J290" s="450">
        <v>9.65</v>
      </c>
      <c r="K290" s="450">
        <v>2.5000000000000001E-2</v>
      </c>
      <c r="L290" s="450">
        <v>0.25</v>
      </c>
      <c r="M290" s="450">
        <v>12</v>
      </c>
      <c r="N290" s="450">
        <v>2.5000000000000001E-2</v>
      </c>
      <c r="O290" s="450">
        <v>0.25</v>
      </c>
      <c r="P290" s="450">
        <v>2.5</v>
      </c>
      <c r="Q290" s="450">
        <v>0</v>
      </c>
      <c r="R290" s="450">
        <v>0</v>
      </c>
      <c r="S290" s="450">
        <v>2.5000000000000001E-2</v>
      </c>
      <c r="T290" s="386">
        <v>2</v>
      </c>
      <c r="W290" s="485"/>
      <c r="X290" s="394"/>
      <c r="Y290" s="399"/>
      <c r="Z290" s="400"/>
      <c r="AA290" s="400"/>
      <c r="AB290" s="400"/>
    </row>
    <row r="291" spans="1:28" ht="12.95">
      <c r="A291" s="470"/>
      <c r="B291" s="386" t="s">
        <v>104</v>
      </c>
      <c r="C291" s="450"/>
      <c r="D291" s="450"/>
      <c r="E291" s="450"/>
      <c r="F291" s="450"/>
      <c r="G291" s="450"/>
      <c r="H291" s="450"/>
      <c r="I291" s="450"/>
      <c r="J291" s="450"/>
      <c r="K291" s="450"/>
      <c r="L291" s="450"/>
      <c r="M291" s="450"/>
      <c r="N291" s="450"/>
      <c r="O291" s="450"/>
      <c r="P291" s="450"/>
      <c r="Q291" s="450"/>
      <c r="R291" s="450"/>
      <c r="S291" s="450"/>
      <c r="T291" s="386">
        <v>2</v>
      </c>
      <c r="W291" s="485"/>
      <c r="X291" s="394"/>
      <c r="Y291" s="399"/>
      <c r="Z291" s="400">
        <f t="shared" si="53"/>
        <v>0</v>
      </c>
      <c r="AA291" s="400">
        <f t="shared" si="53"/>
        <v>0</v>
      </c>
      <c r="AB291" s="400">
        <f t="shared" si="53"/>
        <v>0</v>
      </c>
    </row>
    <row r="292" spans="1:28" ht="12.95">
      <c r="A292" s="468">
        <v>45833</v>
      </c>
      <c r="B292" s="382" t="s">
        <v>95</v>
      </c>
      <c r="C292" s="452">
        <v>9094</v>
      </c>
      <c r="D292" s="452"/>
      <c r="E292" s="452"/>
      <c r="F292" s="452"/>
      <c r="G292" s="452"/>
      <c r="H292" s="452"/>
      <c r="I292" s="452"/>
      <c r="J292" s="452"/>
      <c r="K292" s="452"/>
      <c r="L292" s="452"/>
      <c r="M292" s="452"/>
      <c r="N292" s="452"/>
      <c r="O292" s="452"/>
      <c r="P292" s="452"/>
      <c r="Q292" s="452"/>
      <c r="R292" s="452"/>
      <c r="S292" s="452"/>
      <c r="T292" s="382">
        <v>1</v>
      </c>
      <c r="W292" s="485">
        <f t="shared" ref="W292:W297" si="58">H292+I292+J292+K292+L292+M292+N292+O292+P292+Q292+R292+S292+H298+I298+J298+K298+L298+M298+N298+O298+P298+Q298+R298+S298</f>
        <v>0</v>
      </c>
      <c r="X292" s="394">
        <f>E292+F292+G292+E298+F298+G298</f>
        <v>0</v>
      </c>
      <c r="Y292" s="399">
        <f>H292+I292+J292+K292+L292+M292+N292+O292+P292+Q292+R292+S292+H298+I298+J298+K298+L298+M298+N298+O298+P298+Q298+R298+S298</f>
        <v>0</v>
      </c>
      <c r="Z292" s="400">
        <f t="shared" si="53"/>
        <v>0</v>
      </c>
      <c r="AA292" s="400">
        <f t="shared" si="53"/>
        <v>0</v>
      </c>
      <c r="AB292" s="400">
        <f t="shared" si="53"/>
        <v>0</v>
      </c>
    </row>
    <row r="293" spans="1:28" ht="12.95">
      <c r="A293" s="468"/>
      <c r="B293" s="382" t="s">
        <v>97</v>
      </c>
      <c r="C293" s="452">
        <v>0</v>
      </c>
      <c r="D293" s="452"/>
      <c r="E293" s="452"/>
      <c r="F293" s="452"/>
      <c r="G293" s="452"/>
      <c r="H293" s="452"/>
      <c r="I293" s="452"/>
      <c r="J293" s="452"/>
      <c r="K293" s="452"/>
      <c r="L293" s="452"/>
      <c r="M293" s="452"/>
      <c r="N293" s="452"/>
      <c r="O293" s="452"/>
      <c r="P293" s="452"/>
      <c r="Q293" s="452"/>
      <c r="R293" s="452"/>
      <c r="S293" s="452"/>
      <c r="T293" s="382">
        <v>1</v>
      </c>
      <c r="W293" s="485">
        <f t="shared" si="58"/>
        <v>0</v>
      </c>
      <c r="X293" s="394">
        <f>E293+F293+G293+E299+F299+G299</f>
        <v>0</v>
      </c>
      <c r="Y293" s="399">
        <f>H293+I293+J293+K293+L293+M293+N293+O293+P293+Q293+R293+S293+H299+I299+J299+K299+L299+M299+N299+O299+P299+Q299+R299+S299</f>
        <v>0</v>
      </c>
      <c r="Z293" s="400">
        <f t="shared" si="53"/>
        <v>0</v>
      </c>
      <c r="AA293" s="400">
        <f t="shared" si="53"/>
        <v>0</v>
      </c>
      <c r="AB293" s="400">
        <f t="shared" si="53"/>
        <v>0</v>
      </c>
    </row>
    <row r="294" spans="1:28" ht="12.95">
      <c r="A294" s="468"/>
      <c r="B294" s="382" t="s">
        <v>99</v>
      </c>
      <c r="C294" s="452">
        <v>42175</v>
      </c>
      <c r="D294" s="452"/>
      <c r="E294" s="452"/>
      <c r="F294" s="452"/>
      <c r="G294" s="452"/>
      <c r="H294" s="452"/>
      <c r="I294" s="452"/>
      <c r="J294" s="452"/>
      <c r="K294" s="452"/>
      <c r="L294" s="452"/>
      <c r="M294" s="452"/>
      <c r="N294" s="452"/>
      <c r="O294" s="452"/>
      <c r="P294" s="452"/>
      <c r="Q294" s="452"/>
      <c r="R294" s="452"/>
      <c r="S294" s="452"/>
      <c r="T294" s="382">
        <v>1</v>
      </c>
      <c r="W294" s="485">
        <f t="shared" si="58"/>
        <v>0</v>
      </c>
      <c r="X294" s="394">
        <f>E294+F294+G294+E300+F300+G300</f>
        <v>0</v>
      </c>
      <c r="Y294" s="399">
        <f>H294+I294+J294+K294+L294+M294+N294+O294+P294+Q294+R294+S294+H300+I300+J300+K300+L300+M300+N300+O300+P300+Q300+R300+S300</f>
        <v>0</v>
      </c>
      <c r="Z294" s="400">
        <f t="shared" si="53"/>
        <v>0</v>
      </c>
      <c r="AA294" s="400">
        <f t="shared" si="53"/>
        <v>0</v>
      </c>
      <c r="AB294" s="400">
        <f t="shared" si="53"/>
        <v>0</v>
      </c>
    </row>
    <row r="295" spans="1:28" ht="12.95">
      <c r="A295" s="468"/>
      <c r="B295" s="382" t="s">
        <v>101</v>
      </c>
      <c r="C295" s="452">
        <v>13953</v>
      </c>
      <c r="D295" s="452"/>
      <c r="E295" s="452">
        <v>500</v>
      </c>
      <c r="F295" s="452"/>
      <c r="G295" s="452"/>
      <c r="H295" s="452">
        <v>0</v>
      </c>
      <c r="I295" s="452">
        <v>0</v>
      </c>
      <c r="J295" s="452">
        <v>0</v>
      </c>
      <c r="K295" s="452">
        <v>0</v>
      </c>
      <c r="L295" s="452">
        <v>0</v>
      </c>
      <c r="M295" s="452">
        <v>0</v>
      </c>
      <c r="N295" s="452">
        <v>0</v>
      </c>
      <c r="O295" s="452">
        <v>0</v>
      </c>
      <c r="P295" s="452">
        <v>0</v>
      </c>
      <c r="Q295" s="452">
        <v>0</v>
      </c>
      <c r="R295" s="452">
        <v>0</v>
      </c>
      <c r="S295" s="452">
        <v>0</v>
      </c>
      <c r="T295" s="382">
        <v>1</v>
      </c>
      <c r="W295" s="485">
        <f t="shared" si="58"/>
        <v>0</v>
      </c>
      <c r="X295" s="394">
        <f>E295+F295+G295+E301+F301+G301</f>
        <v>500</v>
      </c>
      <c r="Y295" s="399">
        <f>H295+I295+J295+K295+L295+M295+N295+O295+P295+Q295+R295+S295+H301+I301+J301+K301+L301+M301+N301+O301+P301+Q301+R301+S301</f>
        <v>0</v>
      </c>
      <c r="Z295" s="400">
        <f t="shared" si="53"/>
        <v>0</v>
      </c>
      <c r="AA295" s="400">
        <f t="shared" si="53"/>
        <v>0</v>
      </c>
      <c r="AB295" s="400">
        <f t="shared" si="53"/>
        <v>0</v>
      </c>
    </row>
    <row r="296" spans="1:28" ht="12.95">
      <c r="A296" s="468"/>
      <c r="B296" s="382" t="s">
        <v>103</v>
      </c>
      <c r="C296" s="452">
        <v>37760</v>
      </c>
      <c r="D296" s="452">
        <v>65000</v>
      </c>
      <c r="E296" s="452">
        <v>0</v>
      </c>
      <c r="F296" s="452"/>
      <c r="G296" s="452"/>
      <c r="H296" s="452">
        <v>0</v>
      </c>
      <c r="I296" s="452">
        <v>0</v>
      </c>
      <c r="J296" s="452">
        <v>0</v>
      </c>
      <c r="K296" s="452">
        <v>0</v>
      </c>
      <c r="L296" s="452">
        <v>0</v>
      </c>
      <c r="M296" s="452">
        <v>0</v>
      </c>
      <c r="N296" s="452">
        <v>0</v>
      </c>
      <c r="O296" s="452">
        <v>0</v>
      </c>
      <c r="P296" s="452">
        <v>0</v>
      </c>
      <c r="Q296" s="452">
        <v>0</v>
      </c>
      <c r="R296" s="452">
        <v>0</v>
      </c>
      <c r="S296" s="452">
        <v>0</v>
      </c>
      <c r="T296" s="382">
        <v>1</v>
      </c>
      <c r="W296" s="485">
        <f t="shared" si="58"/>
        <v>9</v>
      </c>
      <c r="X296" s="394"/>
      <c r="Y296" s="399"/>
      <c r="Z296" s="400"/>
      <c r="AA296" s="400"/>
      <c r="AB296" s="400"/>
    </row>
    <row r="297" spans="1:28" ht="12.95">
      <c r="A297" s="468"/>
      <c r="B297" s="382" t="s">
        <v>104</v>
      </c>
      <c r="C297" s="452">
        <v>47507</v>
      </c>
      <c r="D297" s="452"/>
      <c r="E297" s="452">
        <v>3000</v>
      </c>
      <c r="F297" s="452"/>
      <c r="G297" s="452"/>
      <c r="H297" s="452">
        <v>2E-3</v>
      </c>
      <c r="I297" s="452">
        <v>0.02</v>
      </c>
      <c r="J297" s="452">
        <v>0.77200000000000002</v>
      </c>
      <c r="K297" s="452">
        <v>2E-3</v>
      </c>
      <c r="L297" s="452">
        <v>0.02</v>
      </c>
      <c r="M297" s="452">
        <v>0.96</v>
      </c>
      <c r="N297" s="452">
        <v>2E-3</v>
      </c>
      <c r="O297" s="452">
        <v>0.02</v>
      </c>
      <c r="P297" s="452">
        <v>0.2</v>
      </c>
      <c r="Q297" s="452">
        <v>0</v>
      </c>
      <c r="R297" s="452">
        <v>0</v>
      </c>
      <c r="S297" s="452">
        <v>2E-3</v>
      </c>
      <c r="T297" s="382">
        <v>1</v>
      </c>
      <c r="W297" s="485">
        <f>H297+I297+J297+K297+L297+M297+N297+O297+P297+Q297+R297+S297+H304+I304+J304+K304+L304+M304+N304+O304+P304+Q304+R304+S304</f>
        <v>2</v>
      </c>
      <c r="X297" s="394">
        <f>E297+F297+G297+E304+F304+G304</f>
        <v>3000</v>
      </c>
      <c r="Y297" s="399">
        <f>H297+I297+J297+K297+L297+M297+N297+O297+P297+Q297+R297+S297+H304+I304+J304+K304+L304+M304+N304+O304+P304+Q304+R304+S304</f>
        <v>2</v>
      </c>
      <c r="Z297" s="400">
        <f t="shared" si="53"/>
        <v>6.0000000000000001E-3</v>
      </c>
      <c r="AA297" s="400">
        <f t="shared" si="53"/>
        <v>0.06</v>
      </c>
      <c r="AB297" s="400">
        <f t="shared" si="53"/>
        <v>1.9339999999999999</v>
      </c>
    </row>
    <row r="298" spans="1:28" ht="12.95">
      <c r="A298" s="470"/>
      <c r="B298" s="386" t="s">
        <v>95</v>
      </c>
      <c r="C298" s="450"/>
      <c r="D298" s="450"/>
      <c r="E298" s="450"/>
      <c r="F298" s="450"/>
      <c r="G298" s="450"/>
      <c r="H298" s="450"/>
      <c r="I298" s="450"/>
      <c r="J298" s="450"/>
      <c r="K298" s="450"/>
      <c r="L298" s="450"/>
      <c r="M298" s="450"/>
      <c r="N298" s="450"/>
      <c r="O298" s="450"/>
      <c r="P298" s="450"/>
      <c r="Q298" s="450"/>
      <c r="R298" s="450"/>
      <c r="S298" s="450"/>
      <c r="T298" s="386">
        <v>2</v>
      </c>
      <c r="W298" s="485"/>
      <c r="X298" s="394"/>
      <c r="Y298" s="399"/>
      <c r="Z298" s="400">
        <f t="shared" si="53"/>
        <v>0</v>
      </c>
      <c r="AA298" s="400">
        <f t="shared" si="53"/>
        <v>0</v>
      </c>
      <c r="AB298" s="400">
        <f t="shared" si="53"/>
        <v>0</v>
      </c>
    </row>
    <row r="299" spans="1:28" ht="12.95">
      <c r="A299" s="470"/>
      <c r="B299" s="386" t="s">
        <v>97</v>
      </c>
      <c r="C299" s="450"/>
      <c r="D299" s="450"/>
      <c r="E299" s="450"/>
      <c r="F299" s="450"/>
      <c r="G299" s="450"/>
      <c r="H299" s="450"/>
      <c r="I299" s="450"/>
      <c r="J299" s="450"/>
      <c r="K299" s="450"/>
      <c r="L299" s="450"/>
      <c r="M299" s="450"/>
      <c r="N299" s="450"/>
      <c r="O299" s="450"/>
      <c r="P299" s="450"/>
      <c r="Q299" s="450"/>
      <c r="R299" s="450"/>
      <c r="S299" s="450"/>
      <c r="T299" s="386">
        <v>2</v>
      </c>
      <c r="W299" s="485"/>
      <c r="X299" s="394"/>
      <c r="Y299" s="399"/>
      <c r="Z299" s="400">
        <f t="shared" si="53"/>
        <v>0</v>
      </c>
      <c r="AA299" s="400">
        <f t="shared" si="53"/>
        <v>0</v>
      </c>
      <c r="AB299" s="400">
        <f t="shared" si="53"/>
        <v>0</v>
      </c>
    </row>
    <row r="300" spans="1:28" ht="12.95">
      <c r="A300" s="470"/>
      <c r="B300" s="386" t="s">
        <v>99</v>
      </c>
      <c r="C300" s="450"/>
      <c r="D300" s="450"/>
      <c r="E300" s="450"/>
      <c r="F300" s="450"/>
      <c r="G300" s="450"/>
      <c r="H300" s="450"/>
      <c r="I300" s="450"/>
      <c r="J300" s="450"/>
      <c r="K300" s="450"/>
      <c r="L300" s="450"/>
      <c r="M300" s="450"/>
      <c r="N300" s="450"/>
      <c r="O300" s="450"/>
      <c r="P300" s="450"/>
      <c r="Q300" s="450"/>
      <c r="R300" s="450"/>
      <c r="S300" s="450"/>
      <c r="T300" s="386">
        <v>2</v>
      </c>
      <c r="W300" s="485"/>
      <c r="X300" s="394"/>
      <c r="Y300" s="399"/>
      <c r="Z300" s="400">
        <f t="shared" si="53"/>
        <v>0</v>
      </c>
      <c r="AA300" s="400">
        <f t="shared" si="53"/>
        <v>0</v>
      </c>
      <c r="AB300" s="400">
        <f t="shared" si="53"/>
        <v>0</v>
      </c>
    </row>
    <row r="301" spans="1:28" ht="12.95">
      <c r="A301" s="470"/>
      <c r="B301" s="386" t="s">
        <v>101</v>
      </c>
      <c r="C301" s="450"/>
      <c r="D301" s="450"/>
      <c r="E301" s="450"/>
      <c r="F301" s="450"/>
      <c r="G301" s="450"/>
      <c r="H301" s="450"/>
      <c r="I301" s="450"/>
      <c r="J301" s="450"/>
      <c r="K301" s="450"/>
      <c r="L301" s="450"/>
      <c r="M301" s="450"/>
      <c r="N301" s="450"/>
      <c r="O301" s="450"/>
      <c r="P301" s="450"/>
      <c r="Q301" s="450"/>
      <c r="R301" s="450"/>
      <c r="S301" s="450"/>
      <c r="T301" s="386">
        <v>2</v>
      </c>
      <c r="W301" s="485"/>
      <c r="X301" s="394"/>
      <c r="Y301" s="399"/>
      <c r="Z301" s="400">
        <f t="shared" si="53"/>
        <v>0</v>
      </c>
      <c r="AA301" s="400">
        <f t="shared" si="53"/>
        <v>0</v>
      </c>
      <c r="AB301" s="400">
        <f t="shared" si="53"/>
        <v>0</v>
      </c>
    </row>
    <row r="302" spans="1:28" ht="12.95">
      <c r="A302" s="470"/>
      <c r="B302" s="386" t="s">
        <v>103</v>
      </c>
      <c r="C302" s="450"/>
      <c r="D302" s="450"/>
      <c r="E302" s="450">
        <v>13125</v>
      </c>
      <c r="F302" s="450"/>
      <c r="G302" s="450"/>
      <c r="H302" s="450">
        <v>8.9999999999999993E-3</v>
      </c>
      <c r="I302" s="450">
        <v>0.09</v>
      </c>
      <c r="J302" s="450">
        <v>3.4740000000000002</v>
      </c>
      <c r="K302" s="450">
        <v>8.9999999999999993E-3</v>
      </c>
      <c r="L302" s="450">
        <v>0.09</v>
      </c>
      <c r="M302" s="450">
        <v>4.32</v>
      </c>
      <c r="N302" s="450">
        <v>8.9999999999999993E-3</v>
      </c>
      <c r="O302" s="450">
        <v>0.09</v>
      </c>
      <c r="P302" s="450">
        <v>0.9</v>
      </c>
      <c r="Q302" s="450">
        <v>0</v>
      </c>
      <c r="R302" s="450">
        <v>0</v>
      </c>
      <c r="S302" s="450">
        <v>8.9999999999999993E-3</v>
      </c>
      <c r="T302" s="386">
        <v>2</v>
      </c>
      <c r="W302" s="485"/>
      <c r="X302" s="394"/>
      <c r="Y302" s="399"/>
      <c r="Z302" s="400"/>
      <c r="AA302" s="400"/>
      <c r="AB302" s="400"/>
    </row>
    <row r="303" spans="1:28" ht="12.95">
      <c r="A303" s="470"/>
      <c r="B303" s="386" t="s">
        <v>104</v>
      </c>
      <c r="C303" s="450"/>
      <c r="D303" s="450"/>
      <c r="E303" s="450"/>
      <c r="F303" s="450"/>
      <c r="G303" s="450"/>
      <c r="H303" s="450"/>
      <c r="I303" s="450"/>
      <c r="J303" s="450"/>
      <c r="K303" s="450"/>
      <c r="L303" s="450"/>
      <c r="M303" s="450"/>
      <c r="N303" s="450"/>
      <c r="O303" s="450"/>
      <c r="P303" s="450"/>
      <c r="Q303" s="450"/>
      <c r="R303" s="450"/>
      <c r="S303" s="450"/>
      <c r="T303" s="386">
        <v>2</v>
      </c>
      <c r="W303" s="485"/>
      <c r="X303" s="394"/>
      <c r="Y303" s="399"/>
      <c r="Z303" s="400">
        <f>H304+K304+N304+Q304</f>
        <v>0</v>
      </c>
      <c r="AA303" s="400">
        <f>I304+L304+O304+R304</f>
        <v>0</v>
      </c>
      <c r="AB303" s="400">
        <f>J304+M304+P304+S304</f>
        <v>0</v>
      </c>
    </row>
    <row r="304" spans="1:28" ht="12.95">
      <c r="A304" s="468">
        <v>45834</v>
      </c>
      <c r="B304" s="382" t="s">
        <v>95</v>
      </c>
      <c r="C304" s="452">
        <v>9094</v>
      </c>
      <c r="D304" s="452"/>
      <c r="E304" s="452"/>
      <c r="F304" s="452"/>
      <c r="G304" s="452"/>
      <c r="H304" s="452"/>
      <c r="I304" s="452"/>
      <c r="J304" s="452"/>
      <c r="K304" s="452"/>
      <c r="L304" s="452"/>
      <c r="M304" s="452"/>
      <c r="N304" s="452"/>
      <c r="O304" s="452"/>
      <c r="P304" s="452"/>
      <c r="Q304" s="452"/>
      <c r="R304" s="452"/>
      <c r="S304" s="452"/>
      <c r="T304" s="382">
        <v>1</v>
      </c>
      <c r="W304" s="485">
        <f t="shared" ref="W304:W309" si="59">H304+I304+J304+K304+L304+M304+N304+O304+P304+Q304+R304+S304+H310+I310+J310+K310+L310+M310+N310+O310+P310+Q310+R310+S310</f>
        <v>0</v>
      </c>
      <c r="X304" s="394">
        <f>E304+F304+G304+E310+F310+G310</f>
        <v>0</v>
      </c>
      <c r="Y304" s="399">
        <f>H304+I304+J304+K304+L304+M304+N304+O304+P304+Q304+R304+S304+H310+I310+J310+K310+L310+M310+N310+O310+P310+Q310+R310+S310</f>
        <v>0</v>
      </c>
      <c r="Z304" s="400">
        <f t="shared" si="53"/>
        <v>0</v>
      </c>
      <c r="AA304" s="400">
        <f t="shared" si="53"/>
        <v>0</v>
      </c>
      <c r="AB304" s="400">
        <f t="shared" si="53"/>
        <v>0</v>
      </c>
    </row>
    <row r="305" spans="1:28" ht="12.95">
      <c r="A305" s="468"/>
      <c r="B305" s="382" t="s">
        <v>97</v>
      </c>
      <c r="C305" s="452">
        <v>0</v>
      </c>
      <c r="D305" s="452"/>
      <c r="E305" s="452"/>
      <c r="F305" s="452"/>
      <c r="G305" s="452"/>
      <c r="H305" s="452"/>
      <c r="I305" s="452"/>
      <c r="J305" s="452"/>
      <c r="K305" s="452"/>
      <c r="L305" s="452"/>
      <c r="M305" s="452"/>
      <c r="N305" s="452"/>
      <c r="O305" s="452"/>
      <c r="P305" s="452"/>
      <c r="Q305" s="452"/>
      <c r="R305" s="452"/>
      <c r="S305" s="452"/>
      <c r="T305" s="382">
        <v>1</v>
      </c>
      <c r="W305" s="485">
        <f t="shared" si="59"/>
        <v>0</v>
      </c>
      <c r="X305" s="394">
        <f>E305+F305+G305+E311+F311+G311</f>
        <v>0</v>
      </c>
      <c r="Y305" s="399">
        <f>H305+I305+J305+K305+L305+M305+N305+O305+P305+Q305+R305+S305+H311+I311+J311+K311+L311+M311+N311+O311+P311+Q311+R311+S311</f>
        <v>0</v>
      </c>
      <c r="Z305" s="400">
        <f t="shared" si="53"/>
        <v>0</v>
      </c>
      <c r="AA305" s="400">
        <f t="shared" si="53"/>
        <v>0</v>
      </c>
      <c r="AB305" s="400">
        <f t="shared" si="53"/>
        <v>0</v>
      </c>
    </row>
    <row r="306" spans="1:28" ht="12.95">
      <c r="A306" s="468"/>
      <c r="B306" s="382" t="s">
        <v>99</v>
      </c>
      <c r="C306" s="452">
        <v>42175</v>
      </c>
      <c r="D306" s="452"/>
      <c r="E306" s="452"/>
      <c r="F306" s="452"/>
      <c r="G306" s="452"/>
      <c r="H306" s="452"/>
      <c r="I306" s="452"/>
      <c r="J306" s="452"/>
      <c r="K306" s="452"/>
      <c r="L306" s="452"/>
      <c r="M306" s="452"/>
      <c r="N306" s="452"/>
      <c r="O306" s="452"/>
      <c r="P306" s="452"/>
      <c r="Q306" s="452"/>
      <c r="R306" s="452"/>
      <c r="S306" s="452"/>
      <c r="T306" s="382">
        <v>1</v>
      </c>
      <c r="W306" s="485">
        <f t="shared" si="59"/>
        <v>0</v>
      </c>
      <c r="X306" s="394">
        <f>E306+F306+G306+E312+F312+G312</f>
        <v>0</v>
      </c>
      <c r="Y306" s="399">
        <f>H306+I306+J306+K306+L306+M306+N306+O306+P306+Q306+R306+S306+H312+I312+J312+K312+L312+M312+N312+O312+P312+Q312+R312+S312</f>
        <v>0</v>
      </c>
      <c r="Z306" s="400">
        <f t="shared" si="53"/>
        <v>0</v>
      </c>
      <c r="AA306" s="400">
        <f t="shared" si="53"/>
        <v>0</v>
      </c>
      <c r="AB306" s="400">
        <f t="shared" si="53"/>
        <v>0</v>
      </c>
    </row>
    <row r="307" spans="1:28" ht="12.95">
      <c r="A307" s="468"/>
      <c r="B307" s="382" t="s">
        <v>101</v>
      </c>
      <c r="C307" s="452">
        <v>13453</v>
      </c>
      <c r="D307" s="452">
        <v>7500</v>
      </c>
      <c r="E307" s="452">
        <v>500</v>
      </c>
      <c r="F307" s="452"/>
      <c r="G307" s="452"/>
      <c r="H307" s="452">
        <v>6.0000000000000001E-3</v>
      </c>
      <c r="I307" s="452">
        <v>0</v>
      </c>
      <c r="J307" s="452">
        <v>0.9</v>
      </c>
      <c r="K307" s="452">
        <v>0</v>
      </c>
      <c r="L307" s="452">
        <v>0</v>
      </c>
      <c r="M307" s="452">
        <v>4.1340000000000003</v>
      </c>
      <c r="N307" s="452">
        <v>0</v>
      </c>
      <c r="O307" s="452">
        <v>0</v>
      </c>
      <c r="P307" s="452">
        <v>0.96</v>
      </c>
      <c r="Q307" s="452">
        <v>0</v>
      </c>
      <c r="R307" s="452">
        <v>0</v>
      </c>
      <c r="S307" s="452">
        <v>6.0000000000000001E-3</v>
      </c>
      <c r="T307" s="382">
        <v>1</v>
      </c>
      <c r="W307" s="485">
        <f t="shared" si="59"/>
        <v>6.0060000000000002</v>
      </c>
      <c r="X307" s="394">
        <f>E307+F307+G307+E313+F313+G313</f>
        <v>500</v>
      </c>
      <c r="Y307" s="399">
        <f>H307+I307+J307+K307+L307+M307+N307+O307+P307+Q307+R307+S307+H313+I313+J313+K313+L313+M313+N313+O313+P313+Q313+R313+S313</f>
        <v>6.0060000000000002</v>
      </c>
      <c r="Z307" s="400">
        <f t="shared" si="53"/>
        <v>6.0000000000000001E-3</v>
      </c>
      <c r="AA307" s="400">
        <f t="shared" si="53"/>
        <v>0</v>
      </c>
      <c r="AB307" s="400">
        <f t="shared" si="53"/>
        <v>6</v>
      </c>
    </row>
    <row r="308" spans="1:28" ht="12.95">
      <c r="A308" s="468"/>
      <c r="B308" s="382" t="s">
        <v>103</v>
      </c>
      <c r="C308" s="452">
        <v>89626</v>
      </c>
      <c r="D308" s="452"/>
      <c r="E308" s="452"/>
      <c r="F308" s="452"/>
      <c r="G308" s="452"/>
      <c r="H308" s="452"/>
      <c r="I308" s="452"/>
      <c r="J308" s="452"/>
      <c r="K308" s="452"/>
      <c r="L308" s="452"/>
      <c r="M308" s="452"/>
      <c r="N308" s="452"/>
      <c r="O308" s="452"/>
      <c r="P308" s="452"/>
      <c r="Q308" s="452"/>
      <c r="R308" s="452"/>
      <c r="S308" s="452"/>
      <c r="T308" s="382">
        <v>2</v>
      </c>
      <c r="W308" s="485">
        <f t="shared" si="59"/>
        <v>20</v>
      </c>
      <c r="X308" s="394"/>
      <c r="Y308" s="399"/>
      <c r="Z308" s="400"/>
      <c r="AA308" s="400"/>
      <c r="AB308" s="400"/>
    </row>
    <row r="309" spans="1:28" ht="12.95">
      <c r="A309" s="468"/>
      <c r="B309" s="382" t="s">
        <v>104</v>
      </c>
      <c r="C309" s="452">
        <v>44505</v>
      </c>
      <c r="D309" s="452">
        <v>45500</v>
      </c>
      <c r="E309" s="452">
        <v>5500</v>
      </c>
      <c r="F309" s="452"/>
      <c r="G309" s="452"/>
      <c r="H309" s="452">
        <v>2.5999999999999999E-2</v>
      </c>
      <c r="I309" s="452">
        <v>0.26</v>
      </c>
      <c r="J309" s="452">
        <v>10.036</v>
      </c>
      <c r="K309" s="452">
        <v>2.5999999999999999E-2</v>
      </c>
      <c r="L309" s="452">
        <v>0.26</v>
      </c>
      <c r="M309" s="452">
        <v>12.48</v>
      </c>
      <c r="N309" s="452">
        <v>2.5999999999999999E-2</v>
      </c>
      <c r="O309" s="452">
        <v>0.26</v>
      </c>
      <c r="P309" s="452">
        <v>2.6</v>
      </c>
      <c r="Q309" s="452">
        <v>0</v>
      </c>
      <c r="R309" s="452">
        <v>0</v>
      </c>
      <c r="S309" s="452">
        <v>2.5999999999999999E-2</v>
      </c>
      <c r="T309" s="382">
        <v>2</v>
      </c>
      <c r="W309" s="485">
        <f t="shared" si="59"/>
        <v>30</v>
      </c>
      <c r="X309" s="394"/>
      <c r="Y309" s="399"/>
      <c r="Z309" s="400"/>
      <c r="AA309" s="400"/>
      <c r="AB309" s="400"/>
    </row>
    <row r="310" spans="1:28" ht="12.95">
      <c r="A310" s="470"/>
      <c r="B310" s="386" t="s">
        <v>95</v>
      </c>
      <c r="C310" s="450"/>
      <c r="D310" s="450"/>
      <c r="E310" s="450"/>
      <c r="F310" s="450"/>
      <c r="G310" s="450"/>
      <c r="H310" s="450"/>
      <c r="I310" s="450"/>
      <c r="J310" s="450"/>
      <c r="K310" s="450"/>
      <c r="L310" s="450"/>
      <c r="M310" s="450"/>
      <c r="N310" s="450"/>
      <c r="O310" s="450"/>
      <c r="P310" s="450"/>
      <c r="Q310" s="450"/>
      <c r="R310" s="450"/>
      <c r="S310" s="450"/>
      <c r="T310" s="386">
        <v>2</v>
      </c>
      <c r="W310" s="485"/>
      <c r="X310" s="394"/>
      <c r="Y310" s="399"/>
      <c r="Z310" s="400">
        <f t="shared" si="53"/>
        <v>0</v>
      </c>
      <c r="AA310" s="400">
        <f t="shared" si="53"/>
        <v>0</v>
      </c>
      <c r="AB310" s="400">
        <f t="shared" si="53"/>
        <v>0</v>
      </c>
    </row>
    <row r="311" spans="1:28" ht="12.95">
      <c r="A311" s="470"/>
      <c r="B311" s="386" t="s">
        <v>97</v>
      </c>
      <c r="C311" s="450"/>
      <c r="D311" s="450"/>
      <c r="E311" s="450"/>
      <c r="F311" s="450"/>
      <c r="G311" s="450"/>
      <c r="H311" s="450"/>
      <c r="I311" s="450"/>
      <c r="J311" s="450"/>
      <c r="K311" s="450"/>
      <c r="L311" s="450"/>
      <c r="M311" s="450"/>
      <c r="N311" s="450"/>
      <c r="O311" s="450"/>
      <c r="P311" s="450"/>
      <c r="Q311" s="450"/>
      <c r="R311" s="450"/>
      <c r="S311" s="450"/>
      <c r="T311" s="386">
        <v>2</v>
      </c>
      <c r="W311" s="485"/>
      <c r="X311" s="394"/>
      <c r="Y311" s="399"/>
      <c r="Z311" s="400">
        <f t="shared" si="53"/>
        <v>0</v>
      </c>
      <c r="AA311" s="400">
        <f t="shared" si="53"/>
        <v>0</v>
      </c>
      <c r="AB311" s="400">
        <f t="shared" si="53"/>
        <v>0</v>
      </c>
    </row>
    <row r="312" spans="1:28" ht="12.95">
      <c r="A312" s="470"/>
      <c r="B312" s="386" t="s">
        <v>99</v>
      </c>
      <c r="C312" s="450"/>
      <c r="D312" s="450"/>
      <c r="E312" s="450"/>
      <c r="F312" s="450"/>
      <c r="G312" s="450"/>
      <c r="H312" s="450"/>
      <c r="I312" s="450"/>
      <c r="J312" s="450"/>
      <c r="K312" s="450"/>
      <c r="L312" s="450"/>
      <c r="M312" s="450"/>
      <c r="N312" s="450"/>
      <c r="O312" s="450"/>
      <c r="P312" s="450"/>
      <c r="Q312" s="450"/>
      <c r="R312" s="450"/>
      <c r="S312" s="450"/>
      <c r="T312" s="386">
        <v>2</v>
      </c>
      <c r="W312" s="485"/>
      <c r="X312" s="394"/>
      <c r="Y312" s="399"/>
      <c r="Z312" s="400">
        <f t="shared" ref="Z312:AB374" si="60">H312+K312+N312+Q312</f>
        <v>0</v>
      </c>
      <c r="AA312" s="400">
        <f t="shared" si="60"/>
        <v>0</v>
      </c>
      <c r="AB312" s="400">
        <f t="shared" si="60"/>
        <v>0</v>
      </c>
    </row>
    <row r="313" spans="1:28" ht="12.95">
      <c r="A313" s="470"/>
      <c r="B313" s="386" t="s">
        <v>101</v>
      </c>
      <c r="C313" s="450"/>
      <c r="D313" s="450"/>
      <c r="E313" s="450"/>
      <c r="F313" s="450"/>
      <c r="G313" s="450"/>
      <c r="H313" s="450"/>
      <c r="I313" s="450"/>
      <c r="J313" s="450"/>
      <c r="K313" s="450"/>
      <c r="L313" s="450"/>
      <c r="M313" s="450"/>
      <c r="N313" s="450"/>
      <c r="O313" s="450"/>
      <c r="P313" s="450"/>
      <c r="Q313" s="450"/>
      <c r="R313" s="450"/>
      <c r="S313" s="450"/>
      <c r="T313" s="386">
        <v>2</v>
      </c>
      <c r="W313" s="485"/>
      <c r="X313" s="394"/>
      <c r="Y313" s="399"/>
      <c r="Z313" s="400">
        <f t="shared" si="60"/>
        <v>0</v>
      </c>
      <c r="AA313" s="400">
        <f t="shared" si="60"/>
        <v>0</v>
      </c>
      <c r="AB313" s="400">
        <f t="shared" si="60"/>
        <v>0</v>
      </c>
    </row>
    <row r="314" spans="1:28" ht="12.95">
      <c r="A314" s="470"/>
      <c r="B314" s="386" t="s">
        <v>103</v>
      </c>
      <c r="C314" s="450"/>
      <c r="D314" s="450"/>
      <c r="E314" s="450">
        <v>13125</v>
      </c>
      <c r="F314" s="450"/>
      <c r="G314" s="450"/>
      <c r="H314" s="450">
        <v>0.02</v>
      </c>
      <c r="I314" s="450">
        <v>0.2</v>
      </c>
      <c r="J314" s="450">
        <v>7.72</v>
      </c>
      <c r="K314" s="450">
        <v>0.02</v>
      </c>
      <c r="L314" s="450">
        <v>0.2</v>
      </c>
      <c r="M314" s="450">
        <v>9.6</v>
      </c>
      <c r="N314" s="450">
        <v>0.02</v>
      </c>
      <c r="O314" s="450">
        <v>0.2</v>
      </c>
      <c r="P314" s="450">
        <v>2</v>
      </c>
      <c r="Q314" s="450">
        <v>0</v>
      </c>
      <c r="R314" s="450">
        <v>0</v>
      </c>
      <c r="S314" s="450">
        <v>0.02</v>
      </c>
      <c r="T314" s="386">
        <v>2</v>
      </c>
      <c r="W314" s="485"/>
      <c r="X314" s="394"/>
      <c r="Y314" s="399"/>
      <c r="Z314" s="400">
        <f t="shared" si="60"/>
        <v>0.06</v>
      </c>
      <c r="AA314" s="400">
        <f t="shared" si="60"/>
        <v>0.6</v>
      </c>
      <c r="AB314" s="400">
        <f t="shared" si="60"/>
        <v>19.34</v>
      </c>
    </row>
    <row r="315" spans="1:28" ht="12.95">
      <c r="A315" s="470"/>
      <c r="B315" s="386" t="s">
        <v>104</v>
      </c>
      <c r="C315" s="450"/>
      <c r="D315" s="450"/>
      <c r="E315" s="450">
        <v>800</v>
      </c>
      <c r="F315" s="450"/>
      <c r="G315" s="450"/>
      <c r="H315" s="450">
        <v>4.0000000000000001E-3</v>
      </c>
      <c r="I315" s="450">
        <v>0.04</v>
      </c>
      <c r="J315" s="450">
        <v>1.544</v>
      </c>
      <c r="K315" s="450">
        <v>4.0000000000000001E-3</v>
      </c>
      <c r="L315" s="450">
        <v>0.04</v>
      </c>
      <c r="M315" s="450">
        <v>1.92</v>
      </c>
      <c r="N315" s="450">
        <v>4.0000000000000001E-3</v>
      </c>
      <c r="O315" s="450">
        <v>0.04</v>
      </c>
      <c r="P315" s="450">
        <v>0.4</v>
      </c>
      <c r="Q315" s="450">
        <v>0</v>
      </c>
      <c r="R315" s="450">
        <v>0</v>
      </c>
      <c r="S315" s="450">
        <v>4.0000000000000001E-3</v>
      </c>
      <c r="T315" s="386">
        <v>2</v>
      </c>
      <c r="W315" s="485"/>
      <c r="X315" s="394"/>
      <c r="Y315" s="399"/>
      <c r="Z315" s="400"/>
      <c r="AA315" s="400"/>
      <c r="AB315" s="400"/>
    </row>
    <row r="316" spans="1:28" ht="12.95">
      <c r="A316" s="468">
        <v>45835</v>
      </c>
      <c r="B316" s="382" t="s">
        <v>95</v>
      </c>
      <c r="C316" s="452">
        <v>9094</v>
      </c>
      <c r="D316" s="452"/>
      <c r="E316" s="452"/>
      <c r="F316" s="452"/>
      <c r="G316" s="452"/>
      <c r="H316" s="452"/>
      <c r="I316" s="452"/>
      <c r="J316" s="452"/>
      <c r="K316" s="452"/>
      <c r="L316" s="452"/>
      <c r="M316" s="452"/>
      <c r="N316" s="452"/>
      <c r="O316" s="452"/>
      <c r="P316" s="452"/>
      <c r="Q316" s="452"/>
      <c r="R316" s="452"/>
      <c r="S316" s="452"/>
      <c r="T316" s="382">
        <v>1</v>
      </c>
      <c r="W316" s="485">
        <f t="shared" ref="W316:W321" si="61">H316+I316+J316+K316+L316+M316+N316+O316+P316+Q316+R316+S316+H322+I322+J322+K322+L322+M322+N322+O322+P322+Q322+R322+S322</f>
        <v>0</v>
      </c>
      <c r="X316" s="394">
        <f>E316+F316+G316+E322+F322+G322</f>
        <v>0</v>
      </c>
      <c r="Y316" s="399">
        <f>H316+I316+J316+K316+L316+M316+N316+O316+P316+Q316+R316+S316+H322+I322+J322+K322+L322+M322+N322+O322+P322+Q322+R322+S322</f>
        <v>0</v>
      </c>
      <c r="Z316" s="400">
        <f t="shared" si="60"/>
        <v>0</v>
      </c>
      <c r="AA316" s="400">
        <f t="shared" si="60"/>
        <v>0</v>
      </c>
      <c r="AB316" s="400">
        <f t="shared" si="60"/>
        <v>0</v>
      </c>
    </row>
    <row r="317" spans="1:28" ht="12.95">
      <c r="A317" s="468"/>
      <c r="B317" s="382" t="s">
        <v>97</v>
      </c>
      <c r="C317" s="452">
        <v>0</v>
      </c>
      <c r="D317" s="452"/>
      <c r="E317" s="452"/>
      <c r="F317" s="452"/>
      <c r="G317" s="452"/>
      <c r="H317" s="452"/>
      <c r="I317" s="452"/>
      <c r="J317" s="452"/>
      <c r="K317" s="452"/>
      <c r="L317" s="452"/>
      <c r="M317" s="452"/>
      <c r="N317" s="452"/>
      <c r="O317" s="452"/>
      <c r="P317" s="452"/>
      <c r="Q317" s="452"/>
      <c r="R317" s="452"/>
      <c r="S317" s="452"/>
      <c r="T317" s="382">
        <v>1</v>
      </c>
      <c r="W317" s="485">
        <f t="shared" si="61"/>
        <v>0</v>
      </c>
      <c r="X317" s="394">
        <f>E317+F317+G317+E323+F323+G323</f>
        <v>0</v>
      </c>
      <c r="Y317" s="399">
        <f>H317+I317+J317+K317+L317+M317+N317+O317+P317+Q317+R317+S317+H323+I323+J323+K323+L323+M323+N323+O323+P323+Q323+R323+S323</f>
        <v>0</v>
      </c>
      <c r="Z317" s="400">
        <f t="shared" si="60"/>
        <v>0</v>
      </c>
      <c r="AA317" s="400">
        <f t="shared" si="60"/>
        <v>0</v>
      </c>
      <c r="AB317" s="400">
        <f t="shared" si="60"/>
        <v>0</v>
      </c>
    </row>
    <row r="318" spans="1:28" ht="12.95">
      <c r="A318" s="468"/>
      <c r="B318" s="382" t="s">
        <v>99</v>
      </c>
      <c r="C318" s="452">
        <v>42175</v>
      </c>
      <c r="D318" s="452"/>
      <c r="E318" s="452"/>
      <c r="F318" s="452"/>
      <c r="G318" s="452"/>
      <c r="H318" s="452"/>
      <c r="I318" s="452"/>
      <c r="J318" s="452"/>
      <c r="K318" s="452"/>
      <c r="L318" s="452"/>
      <c r="M318" s="452"/>
      <c r="N318" s="452"/>
      <c r="O318" s="452"/>
      <c r="P318" s="452"/>
      <c r="Q318" s="452"/>
      <c r="R318" s="452"/>
      <c r="S318" s="452"/>
      <c r="T318" s="382">
        <v>1</v>
      </c>
      <c r="W318" s="485">
        <f t="shared" si="61"/>
        <v>0</v>
      </c>
      <c r="X318" s="394">
        <f>E318+F318+G318+E324+F324+G324</f>
        <v>0</v>
      </c>
      <c r="Y318" s="399">
        <f>H318+I318+J318+K318+L318+M318+N318+O318+P318+Q318+R318+S318+H324+I324+J324+K324+L324+M324+N324+O324+P324+Q324+R324+S324</f>
        <v>0</v>
      </c>
      <c r="Z318" s="400">
        <f t="shared" si="60"/>
        <v>0</v>
      </c>
      <c r="AA318" s="400">
        <f t="shared" si="60"/>
        <v>0</v>
      </c>
      <c r="AB318" s="400">
        <f t="shared" si="60"/>
        <v>0</v>
      </c>
    </row>
    <row r="319" spans="1:28" ht="12.95">
      <c r="A319" s="468"/>
      <c r="B319" s="382" t="s">
        <v>101</v>
      </c>
      <c r="C319" s="452">
        <v>20447</v>
      </c>
      <c r="D319" s="452"/>
      <c r="E319" s="452"/>
      <c r="F319" s="452"/>
      <c r="G319" s="452"/>
      <c r="H319" s="452"/>
      <c r="I319" s="452"/>
      <c r="J319" s="452"/>
      <c r="K319" s="452"/>
      <c r="L319" s="452"/>
      <c r="M319" s="452"/>
      <c r="N319" s="452"/>
      <c r="O319" s="452"/>
      <c r="P319" s="452"/>
      <c r="Q319" s="452"/>
      <c r="R319" s="452"/>
      <c r="S319" s="452"/>
      <c r="T319" s="382">
        <v>1</v>
      </c>
      <c r="W319" s="485">
        <f t="shared" si="61"/>
        <v>0</v>
      </c>
      <c r="X319" s="394">
        <f>E319+F319+G319+E325+F325+G325</f>
        <v>0</v>
      </c>
      <c r="Y319" s="399">
        <f>H319+I319+J319+K319+L319+M319+N319+O319+P319+Q319+R319+S319+H325+I325+J325+K325+L325+M325+N325+O325+P325+Q325+R325+S325</f>
        <v>0</v>
      </c>
      <c r="Z319" s="400">
        <f t="shared" si="60"/>
        <v>0</v>
      </c>
      <c r="AA319" s="400">
        <f t="shared" si="60"/>
        <v>0</v>
      </c>
      <c r="AB319" s="400">
        <f t="shared" si="60"/>
        <v>0</v>
      </c>
    </row>
    <row r="320" spans="1:28" ht="12.95">
      <c r="A320" s="468"/>
      <c r="B320" s="382" t="s">
        <v>103</v>
      </c>
      <c r="C320" s="452">
        <v>76467</v>
      </c>
      <c r="D320" s="452"/>
      <c r="E320" s="452"/>
      <c r="F320" s="452"/>
      <c r="G320" s="452"/>
      <c r="H320" s="452"/>
      <c r="I320" s="452"/>
      <c r="J320" s="452"/>
      <c r="K320" s="452"/>
      <c r="L320" s="452"/>
      <c r="M320" s="452"/>
      <c r="N320" s="452"/>
      <c r="O320" s="452"/>
      <c r="P320" s="452"/>
      <c r="Q320" s="452"/>
      <c r="R320" s="452"/>
      <c r="S320" s="452"/>
      <c r="T320" s="382">
        <v>1</v>
      </c>
      <c r="W320" s="485">
        <f t="shared" si="61"/>
        <v>0</v>
      </c>
      <c r="X320" s="394">
        <f>E320+F320+G320+E326+F326+G326</f>
        <v>0</v>
      </c>
      <c r="Y320" s="399">
        <f>H320+I320+J320+K320+L320+M320+N320+O320+P320+Q320+R320+S320+H326+I326+J326+K326+L326+M326+N326+O326+P326+Q326+R326+S326</f>
        <v>0</v>
      </c>
      <c r="Z320" s="400">
        <f t="shared" si="60"/>
        <v>0</v>
      </c>
      <c r="AA320" s="400">
        <f t="shared" si="60"/>
        <v>0</v>
      </c>
      <c r="AB320" s="400">
        <f t="shared" si="60"/>
        <v>0</v>
      </c>
    </row>
    <row r="321" spans="1:28" ht="12.95">
      <c r="A321" s="468"/>
      <c r="B321" s="382" t="s">
        <v>104</v>
      </c>
      <c r="C321" s="452">
        <v>83671</v>
      </c>
      <c r="D321" s="452"/>
      <c r="E321" s="452"/>
      <c r="F321" s="452"/>
      <c r="G321" s="452"/>
      <c r="H321" s="452"/>
      <c r="I321" s="452"/>
      <c r="J321" s="452"/>
      <c r="K321" s="452"/>
      <c r="L321" s="452"/>
      <c r="M321" s="452"/>
      <c r="N321" s="452"/>
      <c r="O321" s="452"/>
      <c r="P321" s="452"/>
      <c r="Q321" s="452"/>
      <c r="R321" s="452"/>
      <c r="S321" s="452"/>
      <c r="T321" s="382">
        <v>1</v>
      </c>
      <c r="W321" s="485">
        <f t="shared" si="61"/>
        <v>49</v>
      </c>
      <c r="X321" s="394"/>
      <c r="Y321" s="399"/>
      <c r="Z321" s="400"/>
      <c r="AA321" s="400"/>
      <c r="AB321" s="400"/>
    </row>
    <row r="322" spans="1:28" ht="12.95">
      <c r="A322" s="470"/>
      <c r="B322" s="386" t="s">
        <v>95</v>
      </c>
      <c r="C322" s="450"/>
      <c r="D322" s="450"/>
      <c r="E322" s="450"/>
      <c r="F322" s="450"/>
      <c r="G322" s="450"/>
      <c r="H322" s="450"/>
      <c r="I322" s="450"/>
      <c r="J322" s="450"/>
      <c r="K322" s="450"/>
      <c r="L322" s="450"/>
      <c r="M322" s="450"/>
      <c r="N322" s="450"/>
      <c r="O322" s="450"/>
      <c r="P322" s="450"/>
      <c r="Q322" s="450"/>
      <c r="R322" s="450"/>
      <c r="S322" s="450"/>
      <c r="T322" s="386">
        <v>2</v>
      </c>
      <c r="W322" s="485"/>
      <c r="X322" s="394"/>
      <c r="Y322" s="399"/>
      <c r="Z322" s="400">
        <f t="shared" si="60"/>
        <v>0</v>
      </c>
      <c r="AA322" s="400">
        <f t="shared" si="60"/>
        <v>0</v>
      </c>
      <c r="AB322" s="400">
        <f t="shared" si="60"/>
        <v>0</v>
      </c>
    </row>
    <row r="323" spans="1:28" ht="12.95">
      <c r="A323" s="470"/>
      <c r="B323" s="386" t="s">
        <v>97</v>
      </c>
      <c r="C323" s="450"/>
      <c r="D323" s="450"/>
      <c r="E323" s="450"/>
      <c r="F323" s="450"/>
      <c r="G323" s="450"/>
      <c r="H323" s="450"/>
      <c r="I323" s="450"/>
      <c r="J323" s="450"/>
      <c r="K323" s="450"/>
      <c r="L323" s="450"/>
      <c r="M323" s="450"/>
      <c r="N323" s="450"/>
      <c r="O323" s="450"/>
      <c r="P323" s="450"/>
      <c r="Q323" s="450"/>
      <c r="R323" s="450"/>
      <c r="S323" s="450"/>
      <c r="T323" s="386">
        <v>2</v>
      </c>
      <c r="W323" s="485"/>
      <c r="X323" s="394"/>
      <c r="Y323" s="399"/>
      <c r="Z323" s="400">
        <f t="shared" si="60"/>
        <v>0</v>
      </c>
      <c r="AA323" s="400">
        <f t="shared" si="60"/>
        <v>0</v>
      </c>
      <c r="AB323" s="400">
        <f t="shared" si="60"/>
        <v>0</v>
      </c>
    </row>
    <row r="324" spans="1:28" ht="12.95">
      <c r="A324" s="470"/>
      <c r="B324" s="386" t="s">
        <v>99</v>
      </c>
      <c r="C324" s="450"/>
      <c r="D324" s="450"/>
      <c r="E324" s="450"/>
      <c r="F324" s="450"/>
      <c r="G324" s="450"/>
      <c r="H324" s="450"/>
      <c r="I324" s="450"/>
      <c r="J324" s="450"/>
      <c r="K324" s="450"/>
      <c r="L324" s="450"/>
      <c r="M324" s="450"/>
      <c r="N324" s="450"/>
      <c r="O324" s="450"/>
      <c r="P324" s="450"/>
      <c r="Q324" s="450"/>
      <c r="R324" s="450"/>
      <c r="S324" s="450"/>
      <c r="T324" s="386">
        <v>2</v>
      </c>
      <c r="W324" s="485"/>
      <c r="X324" s="394"/>
      <c r="Y324" s="399"/>
      <c r="Z324" s="400">
        <f t="shared" si="60"/>
        <v>0</v>
      </c>
      <c r="AA324" s="400">
        <f t="shared" si="60"/>
        <v>0</v>
      </c>
      <c r="AB324" s="400">
        <f t="shared" si="60"/>
        <v>0</v>
      </c>
    </row>
    <row r="325" spans="1:28" ht="12.95">
      <c r="A325" s="470"/>
      <c r="B325" s="386" t="s">
        <v>101</v>
      </c>
      <c r="C325" s="450"/>
      <c r="D325" s="450"/>
      <c r="E325" s="450"/>
      <c r="F325" s="450"/>
      <c r="G325" s="450"/>
      <c r="H325" s="450"/>
      <c r="I325" s="450"/>
      <c r="J325" s="450"/>
      <c r="K325" s="450"/>
      <c r="L325" s="450"/>
      <c r="M325" s="450"/>
      <c r="N325" s="450"/>
      <c r="O325" s="450"/>
      <c r="P325" s="450"/>
      <c r="Q325" s="450"/>
      <c r="R325" s="450"/>
      <c r="S325" s="450"/>
      <c r="T325" s="386">
        <v>2</v>
      </c>
      <c r="W325" s="485"/>
      <c r="X325" s="394"/>
      <c r="Y325" s="399"/>
      <c r="Z325" s="400">
        <f t="shared" si="60"/>
        <v>0</v>
      </c>
      <c r="AA325" s="400">
        <f t="shared" si="60"/>
        <v>0</v>
      </c>
      <c r="AB325" s="400">
        <f t="shared" si="60"/>
        <v>0</v>
      </c>
    </row>
    <row r="326" spans="1:28" ht="12.95">
      <c r="A326" s="470"/>
      <c r="B326" s="386" t="s">
        <v>103</v>
      </c>
      <c r="C326" s="450"/>
      <c r="D326" s="450"/>
      <c r="E326" s="450"/>
      <c r="F326" s="450"/>
      <c r="G326" s="450"/>
      <c r="H326" s="450"/>
      <c r="I326" s="450"/>
      <c r="J326" s="450"/>
      <c r="K326" s="450"/>
      <c r="L326" s="450"/>
      <c r="M326" s="450"/>
      <c r="N326" s="450"/>
      <c r="O326" s="450"/>
      <c r="P326" s="450"/>
      <c r="Q326" s="450"/>
      <c r="R326" s="450"/>
      <c r="S326" s="450"/>
      <c r="T326" s="386">
        <v>2</v>
      </c>
      <c r="W326" s="485"/>
      <c r="X326" s="394"/>
      <c r="Y326" s="399"/>
      <c r="Z326" s="400">
        <f t="shared" si="60"/>
        <v>0</v>
      </c>
      <c r="AA326" s="400">
        <f t="shared" si="60"/>
        <v>0</v>
      </c>
      <c r="AB326" s="400">
        <f t="shared" si="60"/>
        <v>0</v>
      </c>
    </row>
    <row r="327" spans="1:28" ht="12.95">
      <c r="A327" s="470"/>
      <c r="B327" s="386" t="s">
        <v>104</v>
      </c>
      <c r="C327" s="450"/>
      <c r="D327" s="450"/>
      <c r="E327" s="450">
        <v>11100</v>
      </c>
      <c r="F327" s="450"/>
      <c r="G327" s="450"/>
      <c r="H327" s="450">
        <v>4.9000000000000002E-2</v>
      </c>
      <c r="I327" s="450">
        <v>0.49</v>
      </c>
      <c r="J327" s="450">
        <v>18.914000000000001</v>
      </c>
      <c r="K327" s="450">
        <v>4.9000000000000002E-2</v>
      </c>
      <c r="L327" s="450">
        <v>0.49</v>
      </c>
      <c r="M327" s="450">
        <v>23.52</v>
      </c>
      <c r="N327" s="450">
        <v>4.9000000000000002E-2</v>
      </c>
      <c r="O327" s="450">
        <v>0.49</v>
      </c>
      <c r="P327" s="450">
        <v>4.9000000000000004</v>
      </c>
      <c r="Q327" s="450">
        <v>0</v>
      </c>
      <c r="R327" s="450">
        <v>0</v>
      </c>
      <c r="S327" s="450">
        <v>4.9000000000000002E-2</v>
      </c>
      <c r="T327" s="386">
        <v>2</v>
      </c>
      <c r="W327" s="485"/>
      <c r="X327" s="394"/>
      <c r="Y327" s="399"/>
      <c r="Z327" s="400"/>
      <c r="AA327" s="400"/>
      <c r="AB327" s="400"/>
    </row>
    <row r="328" spans="1:28" ht="12.95">
      <c r="A328" s="468">
        <v>45836</v>
      </c>
      <c r="B328" s="382" t="s">
        <v>95</v>
      </c>
      <c r="C328" s="452">
        <v>9094</v>
      </c>
      <c r="D328" s="452"/>
      <c r="E328" s="452"/>
      <c r="F328" s="452"/>
      <c r="G328" s="452"/>
      <c r="H328" s="452"/>
      <c r="I328" s="452"/>
      <c r="J328" s="452"/>
      <c r="K328" s="452"/>
      <c r="L328" s="452"/>
      <c r="M328" s="452"/>
      <c r="N328" s="452"/>
      <c r="O328" s="452"/>
      <c r="P328" s="452"/>
      <c r="Q328" s="452"/>
      <c r="R328" s="452"/>
      <c r="S328" s="452"/>
      <c r="T328" s="382">
        <v>1</v>
      </c>
      <c r="W328" s="485">
        <f t="shared" ref="W328:W333" si="62">H328+I328+J328+K328+L328+M328+N328+O328+P328+Q328+R328+S328+H334+I334+J334+K334+L334+M334+N334+O334+P334+Q334+R334+S334</f>
        <v>0</v>
      </c>
      <c r="X328" s="394">
        <f>E328+F328+G328+E334+F334+G334</f>
        <v>0</v>
      </c>
      <c r="Y328" s="399">
        <f>H328+I328+J328+K328+L328+M328+N328+O328+P328+Q328+R328+S328+H334+I334+J334+K334+L334+M334+N334+O334+P334+Q334+R334+S334</f>
        <v>0</v>
      </c>
      <c r="Z328" s="400">
        <f t="shared" si="60"/>
        <v>0</v>
      </c>
      <c r="AA328" s="400">
        <f t="shared" si="60"/>
        <v>0</v>
      </c>
      <c r="AB328" s="400">
        <f t="shared" si="60"/>
        <v>0</v>
      </c>
    </row>
    <row r="329" spans="1:28" ht="12.95">
      <c r="A329" s="468"/>
      <c r="B329" s="382" t="s">
        <v>97</v>
      </c>
      <c r="C329" s="452">
        <v>0</v>
      </c>
      <c r="D329" s="452"/>
      <c r="E329" s="452"/>
      <c r="F329" s="452"/>
      <c r="G329" s="452"/>
      <c r="H329" s="452"/>
      <c r="I329" s="452"/>
      <c r="J329" s="452"/>
      <c r="K329" s="452"/>
      <c r="L329" s="452"/>
      <c r="M329" s="452"/>
      <c r="N329" s="452"/>
      <c r="O329" s="452"/>
      <c r="P329" s="452"/>
      <c r="Q329" s="452"/>
      <c r="R329" s="452"/>
      <c r="S329" s="452"/>
      <c r="T329" s="382">
        <v>1</v>
      </c>
      <c r="W329" s="485">
        <f t="shared" si="62"/>
        <v>0</v>
      </c>
      <c r="X329" s="394">
        <f>E329+F329+G329+E335+F335+G335</f>
        <v>0</v>
      </c>
      <c r="Y329" s="399">
        <f>H329+I329+J329+K329+L329+M329+N329+O329+P329+Q329+R329+S329+H335+I335+J335+K335+L335+M335+N335+O335+P335+Q335+R335+S335</f>
        <v>0</v>
      </c>
      <c r="Z329" s="400">
        <f t="shared" si="60"/>
        <v>0</v>
      </c>
      <c r="AA329" s="400">
        <f t="shared" si="60"/>
        <v>0</v>
      </c>
      <c r="AB329" s="400">
        <f t="shared" si="60"/>
        <v>0</v>
      </c>
    </row>
    <row r="330" spans="1:28" ht="12.95">
      <c r="A330" s="468"/>
      <c r="B330" s="382" t="s">
        <v>99</v>
      </c>
      <c r="C330" s="452">
        <v>42175</v>
      </c>
      <c r="D330" s="452"/>
      <c r="E330" s="452"/>
      <c r="F330" s="452"/>
      <c r="G330" s="452"/>
      <c r="H330" s="452"/>
      <c r="I330" s="452"/>
      <c r="J330" s="452"/>
      <c r="K330" s="452"/>
      <c r="L330" s="452"/>
      <c r="M330" s="452"/>
      <c r="N330" s="452"/>
      <c r="O330" s="452"/>
      <c r="P330" s="452"/>
      <c r="Q330" s="452"/>
      <c r="R330" s="452"/>
      <c r="S330" s="452"/>
      <c r="T330" s="382">
        <v>1</v>
      </c>
      <c r="W330" s="485">
        <f t="shared" si="62"/>
        <v>0</v>
      </c>
      <c r="X330" s="394">
        <f>E330+F330+G330+E336+F336+G336</f>
        <v>0</v>
      </c>
      <c r="Y330" s="399">
        <f>H330+I330+J330+K330+L330+M330+N330+O330+P330+Q330+R330+S330+H336+I336+J336+K336+L336+M336+N336+O336+P336+Q336+R336+S336</f>
        <v>0</v>
      </c>
      <c r="Z330" s="400">
        <f t="shared" si="60"/>
        <v>0</v>
      </c>
      <c r="AA330" s="400">
        <f t="shared" si="60"/>
        <v>0</v>
      </c>
      <c r="AB330" s="400">
        <f t="shared" si="60"/>
        <v>0</v>
      </c>
    </row>
    <row r="331" spans="1:28" ht="12.95">
      <c r="A331" s="468"/>
      <c r="B331" s="382" t="s">
        <v>101</v>
      </c>
      <c r="C331" s="452">
        <v>20447</v>
      </c>
      <c r="D331" s="452"/>
      <c r="E331" s="452">
        <v>3000</v>
      </c>
      <c r="F331" s="452"/>
      <c r="G331" s="452"/>
      <c r="H331" s="452">
        <v>0.02</v>
      </c>
      <c r="I331" s="452">
        <v>0</v>
      </c>
      <c r="J331" s="452">
        <v>3</v>
      </c>
      <c r="K331" s="452">
        <v>0</v>
      </c>
      <c r="L331" s="452">
        <v>0</v>
      </c>
      <c r="M331" s="452">
        <v>13.78</v>
      </c>
      <c r="N331" s="452">
        <v>0</v>
      </c>
      <c r="O331" s="452">
        <v>0</v>
      </c>
      <c r="P331" s="452">
        <v>3.2</v>
      </c>
      <c r="Q331" s="452">
        <v>0</v>
      </c>
      <c r="R331" s="452">
        <v>0</v>
      </c>
      <c r="S331" s="452">
        <v>0.02</v>
      </c>
      <c r="T331" s="382">
        <v>1</v>
      </c>
      <c r="W331" s="485">
        <f t="shared" si="62"/>
        <v>27.027000000000001</v>
      </c>
      <c r="X331" s="394">
        <f>E331+F331+G331+E337+F337+G337</f>
        <v>7000</v>
      </c>
      <c r="Y331" s="399">
        <f>H331+I331+J331+K331+L331+M331+N331+O331+P331+Q331+R331+S331+H337+I337+J337+K337+L337+M337+N337+O337+P337+Q337+R337+S337</f>
        <v>27.027000000000001</v>
      </c>
      <c r="Z331" s="400">
        <f t="shared" si="60"/>
        <v>0.02</v>
      </c>
      <c r="AA331" s="400">
        <f t="shared" si="60"/>
        <v>0</v>
      </c>
      <c r="AB331" s="400">
        <f t="shared" si="60"/>
        <v>20</v>
      </c>
    </row>
    <row r="332" spans="1:28" ht="12.95">
      <c r="A332" s="468"/>
      <c r="B332" s="382" t="s">
        <v>103</v>
      </c>
      <c r="C332" s="452">
        <v>76467</v>
      </c>
      <c r="D332" s="452"/>
      <c r="E332" s="452"/>
      <c r="F332" s="452"/>
      <c r="G332" s="452"/>
      <c r="H332" s="452"/>
      <c r="I332" s="452"/>
      <c r="J332" s="452"/>
      <c r="K332" s="452"/>
      <c r="L332" s="452"/>
      <c r="M332" s="452"/>
      <c r="N332" s="452"/>
      <c r="O332" s="452"/>
      <c r="P332" s="452"/>
      <c r="Q332" s="452"/>
      <c r="R332" s="452"/>
      <c r="S332" s="452"/>
      <c r="T332" s="382">
        <v>1</v>
      </c>
      <c r="W332" s="485">
        <f t="shared" si="62"/>
        <v>0</v>
      </c>
      <c r="X332" s="394">
        <f>E332+F332+G332+E338+F338+G338</f>
        <v>0</v>
      </c>
      <c r="Y332" s="399">
        <f>H332+I332+J332+K332+L332+M332+N332+O332+P332+Q332+R332+S332+H338+I338+J338+K338+L338+M338+N338+O338+P338+Q338+R338+S338</f>
        <v>0</v>
      </c>
      <c r="Z332" s="400">
        <f t="shared" si="60"/>
        <v>0</v>
      </c>
      <c r="AA332" s="400">
        <f t="shared" si="60"/>
        <v>0</v>
      </c>
      <c r="AB332" s="400">
        <f t="shared" si="60"/>
        <v>0</v>
      </c>
    </row>
    <row r="333" spans="1:28" ht="12.95">
      <c r="A333" s="468"/>
      <c r="B333" s="382" t="s">
        <v>104</v>
      </c>
      <c r="C333" s="452">
        <v>72509</v>
      </c>
      <c r="D333" s="452"/>
      <c r="E333" s="452">
        <v>5500</v>
      </c>
      <c r="F333" s="452"/>
      <c r="G333" s="452"/>
      <c r="H333" s="452">
        <v>0.01</v>
      </c>
      <c r="I333" s="452">
        <v>0.1</v>
      </c>
      <c r="J333" s="452">
        <v>3.86</v>
      </c>
      <c r="K333" s="452">
        <v>0.01</v>
      </c>
      <c r="L333" s="452">
        <v>0.1</v>
      </c>
      <c r="M333" s="452">
        <v>4.8</v>
      </c>
      <c r="N333" s="452">
        <v>0.01</v>
      </c>
      <c r="O333" s="452">
        <v>0.1</v>
      </c>
      <c r="P333" s="452">
        <v>1</v>
      </c>
      <c r="Q333" s="452">
        <v>0</v>
      </c>
      <c r="R333" s="452">
        <v>0</v>
      </c>
      <c r="S333" s="452">
        <v>0.01</v>
      </c>
      <c r="T333" s="382">
        <v>1</v>
      </c>
      <c r="W333" s="485">
        <f t="shared" si="62"/>
        <v>20</v>
      </c>
      <c r="X333" s="394"/>
      <c r="Y333" s="399"/>
      <c r="Z333" s="400"/>
      <c r="AA333" s="400"/>
      <c r="AB333" s="400"/>
    </row>
    <row r="334" spans="1:28" ht="12.95">
      <c r="A334" s="470"/>
      <c r="B334" s="386" t="s">
        <v>95</v>
      </c>
      <c r="C334" s="450"/>
      <c r="D334" s="450"/>
      <c r="E334" s="450"/>
      <c r="F334" s="450"/>
      <c r="G334" s="450"/>
      <c r="H334" s="450"/>
      <c r="I334" s="450"/>
      <c r="J334" s="450"/>
      <c r="K334" s="450"/>
      <c r="L334" s="450"/>
      <c r="M334" s="450"/>
      <c r="N334" s="450"/>
      <c r="O334" s="450"/>
      <c r="P334" s="450"/>
      <c r="Q334" s="450"/>
      <c r="R334" s="450"/>
      <c r="S334" s="450"/>
      <c r="T334" s="386">
        <v>2</v>
      </c>
      <c r="W334" s="485"/>
      <c r="X334" s="394"/>
      <c r="Y334" s="399"/>
      <c r="Z334" s="400">
        <f t="shared" si="60"/>
        <v>0</v>
      </c>
      <c r="AA334" s="400">
        <f t="shared" si="60"/>
        <v>0</v>
      </c>
      <c r="AB334" s="400">
        <f t="shared" si="60"/>
        <v>0</v>
      </c>
    </row>
    <row r="335" spans="1:28" ht="12.95">
      <c r="A335" s="470"/>
      <c r="B335" s="386" t="s">
        <v>97</v>
      </c>
      <c r="C335" s="450"/>
      <c r="D335" s="450"/>
      <c r="E335" s="450"/>
      <c r="F335" s="450"/>
      <c r="G335" s="450"/>
      <c r="H335" s="450"/>
      <c r="I335" s="450"/>
      <c r="J335" s="450"/>
      <c r="K335" s="450"/>
      <c r="L335" s="450"/>
      <c r="M335" s="450"/>
      <c r="N335" s="450"/>
      <c r="O335" s="450"/>
      <c r="P335" s="450"/>
      <c r="Q335" s="450"/>
      <c r="R335" s="450"/>
      <c r="S335" s="450"/>
      <c r="T335" s="386">
        <v>2</v>
      </c>
      <c r="W335" s="485"/>
      <c r="X335" s="394"/>
      <c r="Y335" s="399"/>
      <c r="Z335" s="400">
        <f t="shared" si="60"/>
        <v>0</v>
      </c>
      <c r="AA335" s="400">
        <f t="shared" si="60"/>
        <v>0</v>
      </c>
      <c r="AB335" s="400">
        <f t="shared" si="60"/>
        <v>0</v>
      </c>
    </row>
    <row r="336" spans="1:28" ht="12.95">
      <c r="A336" s="470"/>
      <c r="B336" s="386" t="s">
        <v>99</v>
      </c>
      <c r="C336" s="450"/>
      <c r="D336" s="450"/>
      <c r="E336" s="450"/>
      <c r="F336" s="450"/>
      <c r="G336" s="450"/>
      <c r="H336" s="450"/>
      <c r="I336" s="450"/>
      <c r="J336" s="450"/>
      <c r="K336" s="450"/>
      <c r="L336" s="450"/>
      <c r="M336" s="450"/>
      <c r="N336" s="450"/>
      <c r="O336" s="450"/>
      <c r="P336" s="450"/>
      <c r="Q336" s="450"/>
      <c r="R336" s="450"/>
      <c r="S336" s="450"/>
      <c r="T336" s="386">
        <v>2</v>
      </c>
      <c r="W336" s="485"/>
      <c r="X336" s="394"/>
      <c r="Y336" s="399"/>
      <c r="Z336" s="400">
        <f t="shared" si="60"/>
        <v>0</v>
      </c>
      <c r="AA336" s="400">
        <f t="shared" si="60"/>
        <v>0</v>
      </c>
      <c r="AB336" s="400">
        <f t="shared" si="60"/>
        <v>0</v>
      </c>
    </row>
    <row r="337" spans="1:28" ht="12.95">
      <c r="A337" s="470"/>
      <c r="B337" s="386" t="s">
        <v>101</v>
      </c>
      <c r="C337" s="450"/>
      <c r="D337" s="450"/>
      <c r="E337" s="450">
        <v>4000</v>
      </c>
      <c r="F337" s="450"/>
      <c r="G337" s="450"/>
      <c r="H337" s="450">
        <v>7.0000000000000001E-3</v>
      </c>
      <c r="I337" s="450">
        <v>0</v>
      </c>
      <c r="J337" s="450">
        <v>1.05</v>
      </c>
      <c r="K337" s="450">
        <v>0</v>
      </c>
      <c r="L337" s="450">
        <v>0</v>
      </c>
      <c r="M337" s="450">
        <v>4.8230000000000004</v>
      </c>
      <c r="N337" s="450">
        <v>0</v>
      </c>
      <c r="O337" s="450">
        <v>0</v>
      </c>
      <c r="P337" s="450">
        <v>1.1200000000000001</v>
      </c>
      <c r="Q337" s="450">
        <v>0</v>
      </c>
      <c r="R337" s="450">
        <v>0</v>
      </c>
      <c r="S337" s="450">
        <v>7.0000000000000001E-3</v>
      </c>
      <c r="T337" s="386">
        <v>2</v>
      </c>
      <c r="W337" s="485"/>
      <c r="X337" s="394"/>
      <c r="Y337" s="399"/>
      <c r="Z337" s="400">
        <f t="shared" si="60"/>
        <v>7.0000000000000001E-3</v>
      </c>
      <c r="AA337" s="400">
        <f t="shared" si="60"/>
        <v>0</v>
      </c>
      <c r="AB337" s="400">
        <f t="shared" si="60"/>
        <v>7</v>
      </c>
    </row>
    <row r="338" spans="1:28" ht="12.95">
      <c r="A338" s="470"/>
      <c r="B338" s="386" t="s">
        <v>103</v>
      </c>
      <c r="C338" s="450"/>
      <c r="D338" s="450"/>
      <c r="E338" s="450"/>
      <c r="F338" s="450"/>
      <c r="G338" s="450"/>
      <c r="H338" s="450"/>
      <c r="I338" s="450"/>
      <c r="J338" s="450"/>
      <c r="K338" s="450"/>
      <c r="L338" s="450"/>
      <c r="M338" s="450"/>
      <c r="N338" s="450"/>
      <c r="O338" s="450"/>
      <c r="P338" s="450"/>
      <c r="Q338" s="450"/>
      <c r="R338" s="450"/>
      <c r="S338" s="450"/>
      <c r="T338" s="386">
        <v>2</v>
      </c>
      <c r="W338" s="485"/>
      <c r="X338" s="394"/>
      <c r="Y338" s="399"/>
      <c r="Z338" s="400">
        <f t="shared" si="60"/>
        <v>0</v>
      </c>
      <c r="AA338" s="400">
        <f t="shared" si="60"/>
        <v>0</v>
      </c>
      <c r="AB338" s="400">
        <f t="shared" si="60"/>
        <v>0</v>
      </c>
    </row>
    <row r="339" spans="1:28" ht="12.95">
      <c r="A339" s="470"/>
      <c r="B339" s="386" t="s">
        <v>104</v>
      </c>
      <c r="C339" s="450"/>
      <c r="D339" s="450"/>
      <c r="E339" s="450">
        <v>5520</v>
      </c>
      <c r="F339" s="450"/>
      <c r="G339" s="450"/>
      <c r="H339" s="450">
        <v>0.01</v>
      </c>
      <c r="I339" s="450">
        <v>0.1</v>
      </c>
      <c r="J339" s="450">
        <v>3.86</v>
      </c>
      <c r="K339" s="450">
        <v>0.01</v>
      </c>
      <c r="L339" s="450">
        <v>0.1</v>
      </c>
      <c r="M339" s="450">
        <v>4.8</v>
      </c>
      <c r="N339" s="450">
        <v>0.01</v>
      </c>
      <c r="O339" s="450">
        <v>0.1</v>
      </c>
      <c r="P339" s="450">
        <v>1</v>
      </c>
      <c r="Q339" s="450">
        <v>0</v>
      </c>
      <c r="R339" s="450">
        <v>0</v>
      </c>
      <c r="S339" s="450">
        <v>0.01</v>
      </c>
      <c r="T339" s="386">
        <v>2</v>
      </c>
      <c r="W339" s="485"/>
      <c r="X339" s="394"/>
      <c r="Y339" s="399"/>
      <c r="Z339" s="400"/>
      <c r="AA339" s="400"/>
      <c r="AB339" s="400"/>
    </row>
    <row r="340" spans="1:28" ht="12.95">
      <c r="A340" s="468">
        <v>45837</v>
      </c>
      <c r="B340" s="382" t="s">
        <v>95</v>
      </c>
      <c r="C340" s="452">
        <v>9094</v>
      </c>
      <c r="D340" s="452"/>
      <c r="E340" s="452"/>
      <c r="F340" s="452"/>
      <c r="G340" s="452"/>
      <c r="H340" s="452"/>
      <c r="I340" s="452"/>
      <c r="J340" s="452"/>
      <c r="K340" s="452"/>
      <c r="L340" s="452"/>
      <c r="M340" s="452"/>
      <c r="N340" s="452"/>
      <c r="O340" s="452"/>
      <c r="P340" s="452"/>
      <c r="Q340" s="452"/>
      <c r="R340" s="452"/>
      <c r="S340" s="452"/>
      <c r="T340" s="382">
        <v>1</v>
      </c>
      <c r="W340" s="485">
        <f t="shared" ref="W340:W345" si="63">H340+I340+J340+K340+L340+M340+N340+O340+P340+Q340+R340+S340+H346+I346+J346+K346+L346+M346+N346+O346+P346+Q346+R346+S346</f>
        <v>0</v>
      </c>
      <c r="X340" s="394">
        <f>E340+F340+G340+E346+F346+G346</f>
        <v>0</v>
      </c>
      <c r="Y340" s="399">
        <f>H340+I340+J340+K340+L340+M340+N340+O340+P340+Q340+R340+S340+H346+I346+J346+K346+L346+M346+N346+O346+P346+Q346+R346+S346</f>
        <v>0</v>
      </c>
      <c r="Z340" s="400">
        <f t="shared" si="60"/>
        <v>0</v>
      </c>
      <c r="AA340" s="400">
        <f t="shared" si="60"/>
        <v>0</v>
      </c>
      <c r="AB340" s="400">
        <f t="shared" si="60"/>
        <v>0</v>
      </c>
    </row>
    <row r="341" spans="1:28" ht="12.95">
      <c r="A341" s="468"/>
      <c r="B341" s="382" t="s">
        <v>97</v>
      </c>
      <c r="C341" s="452">
        <v>0</v>
      </c>
      <c r="D341" s="452"/>
      <c r="E341" s="452"/>
      <c r="F341" s="452"/>
      <c r="G341" s="452"/>
      <c r="H341" s="452"/>
      <c r="I341" s="452"/>
      <c r="J341" s="452"/>
      <c r="K341" s="452"/>
      <c r="L341" s="452"/>
      <c r="M341" s="452"/>
      <c r="N341" s="452"/>
      <c r="O341" s="452"/>
      <c r="P341" s="452"/>
      <c r="Q341" s="452"/>
      <c r="R341" s="452"/>
      <c r="S341" s="452"/>
      <c r="T341" s="382">
        <v>1</v>
      </c>
      <c r="W341" s="485">
        <f t="shared" si="63"/>
        <v>0</v>
      </c>
      <c r="X341" s="394">
        <f>E341+F341+G341+E347+F347+G347</f>
        <v>0</v>
      </c>
      <c r="Y341" s="399">
        <f>H341+I341+J341+K341+L341+M341+N341+O341+P341+Q341+R341+S341+H347+I347+J347+K347+L347+M347+N347+O347+P347+Q347+R347+S347</f>
        <v>0</v>
      </c>
      <c r="Z341" s="400">
        <f t="shared" si="60"/>
        <v>0</v>
      </c>
      <c r="AA341" s="400">
        <f t="shared" si="60"/>
        <v>0</v>
      </c>
      <c r="AB341" s="400">
        <f t="shared" si="60"/>
        <v>0</v>
      </c>
    </row>
    <row r="342" spans="1:28" ht="12.95">
      <c r="A342" s="468"/>
      <c r="B342" s="382" t="s">
        <v>99</v>
      </c>
      <c r="C342" s="452">
        <v>42175</v>
      </c>
      <c r="D342" s="452"/>
      <c r="E342" s="452"/>
      <c r="F342" s="452"/>
      <c r="G342" s="452"/>
      <c r="H342" s="452"/>
      <c r="I342" s="452"/>
      <c r="J342" s="452"/>
      <c r="K342" s="452"/>
      <c r="L342" s="452"/>
      <c r="M342" s="452"/>
      <c r="N342" s="452"/>
      <c r="O342" s="452"/>
      <c r="P342" s="452"/>
      <c r="Q342" s="452"/>
      <c r="R342" s="452"/>
      <c r="S342" s="452"/>
      <c r="T342" s="382">
        <v>1</v>
      </c>
      <c r="W342" s="485">
        <f t="shared" si="63"/>
        <v>0</v>
      </c>
      <c r="X342" s="394">
        <f>E342+F342+G342+E348+F348+G348</f>
        <v>0</v>
      </c>
      <c r="Y342" s="399">
        <f>H342+I342+J342+K342+L342+M342+N342+O342+P342+Q342+R342+S342+H348+I348+J348+K348+L348+M348+N348+O348+P348+Q348+R348+S348</f>
        <v>0</v>
      </c>
      <c r="Z342" s="400">
        <f t="shared" si="60"/>
        <v>0</v>
      </c>
      <c r="AA342" s="400">
        <f t="shared" si="60"/>
        <v>0</v>
      </c>
      <c r="AB342" s="400">
        <f t="shared" si="60"/>
        <v>0</v>
      </c>
    </row>
    <row r="343" spans="1:28" ht="12.95">
      <c r="A343" s="468"/>
      <c r="B343" s="382" t="s">
        <v>101</v>
      </c>
      <c r="C343" s="452">
        <v>13412</v>
      </c>
      <c r="D343" s="452"/>
      <c r="E343" s="452">
        <v>1500</v>
      </c>
      <c r="F343" s="452"/>
      <c r="G343" s="452"/>
      <c r="H343" s="452">
        <v>1.0999999999999999E-2</v>
      </c>
      <c r="I343" s="452">
        <v>0</v>
      </c>
      <c r="J343" s="452">
        <v>1.65</v>
      </c>
      <c r="K343" s="452">
        <v>0</v>
      </c>
      <c r="L343" s="452">
        <v>0</v>
      </c>
      <c r="M343" s="452">
        <v>7.5789999999999997</v>
      </c>
      <c r="N343" s="452">
        <v>0</v>
      </c>
      <c r="O343" s="452">
        <v>0</v>
      </c>
      <c r="P343" s="452">
        <v>1.76</v>
      </c>
      <c r="Q343" s="452">
        <v>0</v>
      </c>
      <c r="R343" s="452">
        <v>0</v>
      </c>
      <c r="S343" s="452">
        <v>1.0999999999999999E-2</v>
      </c>
      <c r="T343" s="382">
        <v>1</v>
      </c>
      <c r="W343" s="485">
        <f t="shared" si="63"/>
        <v>14.013999999999999</v>
      </c>
      <c r="X343" s="394">
        <f>E343+F343+G343+E349+F349+G349</f>
        <v>5500</v>
      </c>
      <c r="Y343" s="399">
        <f>H343+I343+J343+K343+L343+M343+N343+O343+P343+Q343+R343+S343+H349+I349+J349+K349+L349+M349+N349+O349+P349+Q349+R349+S349</f>
        <v>14.013999999999999</v>
      </c>
      <c r="Z343" s="400">
        <f t="shared" si="60"/>
        <v>1.0999999999999999E-2</v>
      </c>
      <c r="AA343" s="400">
        <f t="shared" si="60"/>
        <v>0</v>
      </c>
      <c r="AB343" s="400">
        <f t="shared" si="60"/>
        <v>11</v>
      </c>
    </row>
    <row r="344" spans="1:28" ht="12.95">
      <c r="A344" s="468"/>
      <c r="B344" s="382" t="s">
        <v>103</v>
      </c>
      <c r="C344" s="452">
        <v>76467</v>
      </c>
      <c r="D344" s="452"/>
      <c r="E344" s="452"/>
      <c r="F344" s="452"/>
      <c r="G344" s="452"/>
      <c r="H344" s="452"/>
      <c r="I344" s="452"/>
      <c r="J344" s="452"/>
      <c r="K344" s="452"/>
      <c r="L344" s="452"/>
      <c r="M344" s="452"/>
      <c r="N344" s="452"/>
      <c r="O344" s="452"/>
      <c r="P344" s="452"/>
      <c r="Q344" s="452"/>
      <c r="R344" s="452"/>
      <c r="S344" s="452"/>
      <c r="T344" s="382">
        <v>1</v>
      </c>
      <c r="W344" s="485">
        <f t="shared" si="63"/>
        <v>0</v>
      </c>
      <c r="X344" s="394">
        <f>E344+F344+G344+E350+F350+G350</f>
        <v>0</v>
      </c>
      <c r="Y344" s="399">
        <f>H344+I344+J344+K344+L344+M344+N344+O344+P344+Q344+R344+S344+H350+I350+J350+K350+L350+M350+N350+O350+P350+Q350+R350+S350</f>
        <v>0</v>
      </c>
      <c r="Z344" s="400">
        <f t="shared" si="60"/>
        <v>0</v>
      </c>
      <c r="AA344" s="400">
        <f t="shared" si="60"/>
        <v>0</v>
      </c>
      <c r="AB344" s="400">
        <f t="shared" si="60"/>
        <v>0</v>
      </c>
    </row>
    <row r="345" spans="1:28" ht="12.95">
      <c r="A345" s="468"/>
      <c r="B345" s="382" t="s">
        <v>104</v>
      </c>
      <c r="C345" s="452">
        <v>61459</v>
      </c>
      <c r="D345" s="452"/>
      <c r="E345" s="452">
        <v>5240</v>
      </c>
      <c r="F345" s="452"/>
      <c r="G345" s="452"/>
      <c r="H345" s="452">
        <v>1.4E-2</v>
      </c>
      <c r="I345" s="452">
        <v>0.14000000000000001</v>
      </c>
      <c r="J345" s="452">
        <v>5.4039999999999999</v>
      </c>
      <c r="K345" s="452">
        <v>1.4E-2</v>
      </c>
      <c r="L345" s="452">
        <v>0.14000000000000001</v>
      </c>
      <c r="M345" s="452">
        <v>6.72</v>
      </c>
      <c r="N345" s="452">
        <v>1.4E-2</v>
      </c>
      <c r="O345" s="452">
        <v>0.14000000000000001</v>
      </c>
      <c r="P345" s="452">
        <v>1.4</v>
      </c>
      <c r="Q345" s="452">
        <v>0</v>
      </c>
      <c r="R345" s="452">
        <v>0</v>
      </c>
      <c r="S345" s="452">
        <v>1.4E-2</v>
      </c>
      <c r="T345" s="382">
        <v>1</v>
      </c>
      <c r="W345" s="485">
        <f t="shared" si="63"/>
        <v>27</v>
      </c>
      <c r="X345" s="394"/>
      <c r="Y345" s="399"/>
      <c r="Z345" s="400"/>
      <c r="AA345" s="400"/>
      <c r="AB345" s="400"/>
    </row>
    <row r="346" spans="1:28" ht="12.95">
      <c r="A346" s="470"/>
      <c r="B346" s="386" t="s">
        <v>95</v>
      </c>
      <c r="C346" s="450"/>
      <c r="D346" s="450"/>
      <c r="E346" s="450"/>
      <c r="F346" s="450"/>
      <c r="G346" s="450"/>
      <c r="H346" s="450"/>
      <c r="I346" s="450"/>
      <c r="J346" s="450"/>
      <c r="K346" s="450"/>
      <c r="L346" s="450"/>
      <c r="M346" s="450"/>
      <c r="N346" s="450"/>
      <c r="O346" s="450"/>
      <c r="P346" s="450"/>
      <c r="Q346" s="450"/>
      <c r="R346" s="450"/>
      <c r="S346" s="450"/>
      <c r="T346" s="386">
        <v>2</v>
      </c>
      <c r="W346" s="485"/>
      <c r="X346" s="394"/>
      <c r="Y346" s="399"/>
      <c r="Z346" s="400">
        <f t="shared" si="60"/>
        <v>0</v>
      </c>
      <c r="AA346" s="400">
        <f t="shared" si="60"/>
        <v>0</v>
      </c>
      <c r="AB346" s="400">
        <f t="shared" si="60"/>
        <v>0</v>
      </c>
    </row>
    <row r="347" spans="1:28" ht="12.95">
      <c r="A347" s="470"/>
      <c r="B347" s="386" t="s">
        <v>97</v>
      </c>
      <c r="C347" s="450"/>
      <c r="D347" s="450"/>
      <c r="E347" s="450"/>
      <c r="F347" s="450"/>
      <c r="G347" s="450"/>
      <c r="H347" s="450"/>
      <c r="I347" s="450"/>
      <c r="J347" s="450"/>
      <c r="K347" s="450"/>
      <c r="L347" s="450"/>
      <c r="M347" s="450"/>
      <c r="N347" s="450"/>
      <c r="O347" s="450"/>
      <c r="P347" s="450"/>
      <c r="Q347" s="450"/>
      <c r="R347" s="450"/>
      <c r="S347" s="450"/>
      <c r="T347" s="386">
        <v>2</v>
      </c>
      <c r="W347" s="485"/>
      <c r="X347" s="394"/>
      <c r="Y347" s="399"/>
      <c r="Z347" s="400">
        <f t="shared" si="60"/>
        <v>0</v>
      </c>
      <c r="AA347" s="400">
        <f t="shared" si="60"/>
        <v>0</v>
      </c>
      <c r="AB347" s="400">
        <f t="shared" si="60"/>
        <v>0</v>
      </c>
    </row>
    <row r="348" spans="1:28" ht="12.95">
      <c r="A348" s="470"/>
      <c r="B348" s="386" t="s">
        <v>99</v>
      </c>
      <c r="C348" s="450"/>
      <c r="D348" s="450"/>
      <c r="E348" s="450"/>
      <c r="F348" s="450"/>
      <c r="G348" s="450"/>
      <c r="H348" s="450"/>
      <c r="I348" s="450"/>
      <c r="J348" s="450"/>
      <c r="K348" s="450"/>
      <c r="L348" s="450"/>
      <c r="M348" s="450"/>
      <c r="N348" s="450"/>
      <c r="O348" s="450"/>
      <c r="P348" s="450"/>
      <c r="Q348" s="450"/>
      <c r="R348" s="450"/>
      <c r="S348" s="450"/>
      <c r="T348" s="386">
        <v>2</v>
      </c>
      <c r="W348" s="485"/>
      <c r="X348" s="394"/>
      <c r="Y348" s="399"/>
      <c r="Z348" s="400">
        <f t="shared" si="60"/>
        <v>0</v>
      </c>
      <c r="AA348" s="400">
        <f t="shared" si="60"/>
        <v>0</v>
      </c>
      <c r="AB348" s="400">
        <f t="shared" si="60"/>
        <v>0</v>
      </c>
    </row>
    <row r="349" spans="1:28" ht="12.95">
      <c r="A349" s="470"/>
      <c r="B349" s="386" t="s">
        <v>101</v>
      </c>
      <c r="C349" s="450"/>
      <c r="D349" s="450"/>
      <c r="E349" s="450">
        <v>4000</v>
      </c>
      <c r="F349" s="450"/>
      <c r="G349" s="450"/>
      <c r="H349" s="450">
        <v>3.0000000000000001E-3</v>
      </c>
      <c r="I349" s="450">
        <v>0</v>
      </c>
      <c r="J349" s="450">
        <v>0.45</v>
      </c>
      <c r="K349" s="450">
        <v>0</v>
      </c>
      <c r="L349" s="450">
        <v>0</v>
      </c>
      <c r="M349" s="450">
        <v>2.0670000000000002</v>
      </c>
      <c r="N349" s="450">
        <v>0</v>
      </c>
      <c r="O349" s="450">
        <v>0</v>
      </c>
      <c r="P349" s="450">
        <v>0.48</v>
      </c>
      <c r="Q349" s="450">
        <v>0</v>
      </c>
      <c r="R349" s="450">
        <v>0</v>
      </c>
      <c r="S349" s="450">
        <v>3.0000000000000001E-3</v>
      </c>
      <c r="T349" s="386">
        <v>2</v>
      </c>
      <c r="W349" s="485"/>
      <c r="X349" s="394"/>
      <c r="Y349" s="399"/>
      <c r="Z349" s="400">
        <f t="shared" si="60"/>
        <v>3.0000000000000001E-3</v>
      </c>
      <c r="AA349" s="400">
        <f t="shared" si="60"/>
        <v>0</v>
      </c>
      <c r="AB349" s="400">
        <f t="shared" si="60"/>
        <v>3</v>
      </c>
    </row>
    <row r="350" spans="1:28" ht="12.95">
      <c r="A350" s="470"/>
      <c r="B350" s="386" t="s">
        <v>103</v>
      </c>
      <c r="C350" s="450"/>
      <c r="D350" s="450"/>
      <c r="E350" s="450"/>
      <c r="F350" s="450"/>
      <c r="G350" s="450"/>
      <c r="H350" s="450"/>
      <c r="I350" s="450"/>
      <c r="J350" s="450"/>
      <c r="K350" s="450"/>
      <c r="L350" s="450"/>
      <c r="M350" s="450"/>
      <c r="N350" s="450"/>
      <c r="O350" s="450"/>
      <c r="P350" s="450"/>
      <c r="Q350" s="450"/>
      <c r="R350" s="450"/>
      <c r="S350" s="450"/>
      <c r="T350" s="386">
        <v>2</v>
      </c>
      <c r="W350" s="485"/>
      <c r="X350" s="394"/>
      <c r="Y350" s="399"/>
      <c r="Z350" s="400">
        <f t="shared" si="60"/>
        <v>0</v>
      </c>
      <c r="AA350" s="400">
        <f t="shared" si="60"/>
        <v>0</v>
      </c>
      <c r="AB350" s="400">
        <f t="shared" si="60"/>
        <v>0</v>
      </c>
    </row>
    <row r="351" spans="1:28" ht="12.95">
      <c r="A351" s="470"/>
      <c r="B351" s="386" t="s">
        <v>104</v>
      </c>
      <c r="C351" s="450"/>
      <c r="D351" s="450"/>
      <c r="E351" s="450">
        <v>4710</v>
      </c>
      <c r="F351" s="450"/>
      <c r="G351" s="450"/>
      <c r="H351" s="450">
        <v>1.2999999999999999E-2</v>
      </c>
      <c r="I351" s="450">
        <v>0.13</v>
      </c>
      <c r="J351" s="450">
        <v>5.0179999999999998</v>
      </c>
      <c r="K351" s="450">
        <v>1.2999999999999999E-2</v>
      </c>
      <c r="L351" s="450">
        <v>0.13</v>
      </c>
      <c r="M351" s="450">
        <v>6.24</v>
      </c>
      <c r="N351" s="450">
        <v>1.2999999999999999E-2</v>
      </c>
      <c r="O351" s="450">
        <v>0.13</v>
      </c>
      <c r="P351" s="450">
        <v>1.3</v>
      </c>
      <c r="Q351" s="450">
        <v>0</v>
      </c>
      <c r="R351" s="450">
        <v>0</v>
      </c>
      <c r="S351" s="450">
        <v>1.2999999999999999E-2</v>
      </c>
      <c r="T351" s="386">
        <v>2</v>
      </c>
      <c r="W351" s="485"/>
      <c r="X351" s="394"/>
      <c r="Y351" s="399"/>
      <c r="Z351" s="400"/>
      <c r="AA351" s="400"/>
      <c r="AB351" s="400"/>
    </row>
    <row r="352" spans="1:28" ht="12.95">
      <c r="A352" s="468">
        <v>45838</v>
      </c>
      <c r="B352" s="382" t="s">
        <v>95</v>
      </c>
      <c r="C352" s="452">
        <v>9094</v>
      </c>
      <c r="D352" s="452"/>
      <c r="E352" s="452"/>
      <c r="F352" s="452"/>
      <c r="G352" s="452"/>
      <c r="H352" s="452"/>
      <c r="I352" s="452"/>
      <c r="J352" s="452"/>
      <c r="K352" s="452"/>
      <c r="L352" s="452"/>
      <c r="M352" s="452"/>
      <c r="N352" s="452"/>
      <c r="O352" s="452"/>
      <c r="P352" s="452"/>
      <c r="Q352" s="452"/>
      <c r="R352" s="452"/>
      <c r="S352" s="452"/>
      <c r="T352" s="382">
        <v>1</v>
      </c>
      <c r="W352" s="485">
        <f t="shared" ref="W352:W357" si="64">H352+I352+J352+K352+L352+M352+N352+O352+P352+Q352+R352+S352+H358+I358+J358+K358+L358+M358+N358+O358+P358+Q358+R358+S358</f>
        <v>0</v>
      </c>
      <c r="X352" s="394">
        <f>E352+F352+G352+E358+F358+G358</f>
        <v>0</v>
      </c>
      <c r="Y352" s="399">
        <f>H352+I352+J352+K352+L352+M352+N352+O352+P352+Q352+R352+S352+H358+I358+J358+K358+L358+M358+N358+O358+P358+Q358+R358+S358</f>
        <v>0</v>
      </c>
      <c r="Z352" s="400">
        <f t="shared" si="60"/>
        <v>0</v>
      </c>
      <c r="AA352" s="400">
        <f t="shared" si="60"/>
        <v>0</v>
      </c>
      <c r="AB352" s="400">
        <f t="shared" si="60"/>
        <v>0</v>
      </c>
    </row>
    <row r="353" spans="1:28" ht="12.95">
      <c r="A353" s="468"/>
      <c r="B353" s="382" t="s">
        <v>97</v>
      </c>
      <c r="C353" s="452">
        <v>0</v>
      </c>
      <c r="D353" s="452"/>
      <c r="E353" s="452"/>
      <c r="F353" s="452"/>
      <c r="G353" s="452"/>
      <c r="H353" s="452"/>
      <c r="I353" s="452"/>
      <c r="J353" s="452"/>
      <c r="K353" s="452"/>
      <c r="L353" s="452"/>
      <c r="M353" s="452"/>
      <c r="N353" s="452"/>
      <c r="O353" s="452"/>
      <c r="P353" s="452"/>
      <c r="Q353" s="452"/>
      <c r="R353" s="452"/>
      <c r="S353" s="452"/>
      <c r="T353" s="382">
        <v>1</v>
      </c>
      <c r="W353" s="485">
        <f t="shared" si="64"/>
        <v>0</v>
      </c>
      <c r="X353" s="394">
        <f>E353+F353+G353+E359+F359+G359</f>
        <v>0</v>
      </c>
      <c r="Y353" s="399">
        <f>H353+I353+J353+K353+L353+M353+N353+O353+P353+Q353+R353+S353+H359+I359+J359+K359+L359+M359+N359+O359+P359+Q359+R359+S359</f>
        <v>0</v>
      </c>
      <c r="Z353" s="400">
        <f t="shared" si="60"/>
        <v>0</v>
      </c>
      <c r="AA353" s="400">
        <f t="shared" si="60"/>
        <v>0</v>
      </c>
      <c r="AB353" s="400">
        <f t="shared" si="60"/>
        <v>0</v>
      </c>
    </row>
    <row r="354" spans="1:28" ht="12.95">
      <c r="A354" s="468"/>
      <c r="B354" s="382" t="s">
        <v>99</v>
      </c>
      <c r="C354" s="452">
        <v>42175</v>
      </c>
      <c r="D354" s="452"/>
      <c r="E354" s="452"/>
      <c r="F354" s="452"/>
      <c r="G354" s="452"/>
      <c r="H354" s="452"/>
      <c r="I354" s="452"/>
      <c r="J354" s="452"/>
      <c r="K354" s="452"/>
      <c r="L354" s="452"/>
      <c r="M354" s="452"/>
      <c r="N354" s="452"/>
      <c r="O354" s="452"/>
      <c r="P354" s="452"/>
      <c r="Q354" s="452"/>
      <c r="R354" s="452"/>
      <c r="S354" s="452"/>
      <c r="T354" s="382">
        <v>1</v>
      </c>
      <c r="W354" s="485">
        <f t="shared" si="64"/>
        <v>0</v>
      </c>
      <c r="X354" s="394">
        <f>E354+F354+G354+E360+F360+G360</f>
        <v>0</v>
      </c>
      <c r="Y354" s="399">
        <f>H354+I354+J354+K354+L354+M354+N354+O354+P354+Q354+R354+S354+H360+I360+J360+K360+L360+M360+N360+O360+P360+Q360+R360+S360</f>
        <v>0</v>
      </c>
      <c r="Z354" s="400">
        <f t="shared" si="60"/>
        <v>0</v>
      </c>
      <c r="AA354" s="400">
        <f t="shared" si="60"/>
        <v>0</v>
      </c>
      <c r="AB354" s="400">
        <f t="shared" si="60"/>
        <v>0</v>
      </c>
    </row>
    <row r="355" spans="1:28" ht="12.95">
      <c r="A355" s="468"/>
      <c r="B355" s="382" t="s">
        <v>101</v>
      </c>
      <c r="C355" s="452">
        <v>7898</v>
      </c>
      <c r="D355" s="452"/>
      <c r="E355" s="452">
        <v>1500</v>
      </c>
      <c r="F355" s="452"/>
      <c r="G355" s="452"/>
      <c r="H355" s="452">
        <v>5.0000000000000001E-3</v>
      </c>
      <c r="I355" s="452">
        <v>0</v>
      </c>
      <c r="J355" s="452">
        <v>0.75</v>
      </c>
      <c r="K355" s="452">
        <v>0</v>
      </c>
      <c r="L355" s="452">
        <v>0</v>
      </c>
      <c r="M355" s="452">
        <v>3.4449999999999998</v>
      </c>
      <c r="N355" s="452">
        <v>0</v>
      </c>
      <c r="O355" s="452">
        <v>0</v>
      </c>
      <c r="P355" s="452">
        <v>0.8</v>
      </c>
      <c r="Q355" s="452">
        <v>0</v>
      </c>
      <c r="R355" s="452">
        <v>0</v>
      </c>
      <c r="S355" s="452">
        <v>5.0000000000000001E-3</v>
      </c>
      <c r="T355" s="382">
        <v>1</v>
      </c>
      <c r="W355" s="485">
        <f t="shared" si="64"/>
        <v>14.013999999999999</v>
      </c>
      <c r="X355" s="394">
        <f>E355+F355+G355+E361+F361+G361</f>
        <v>3500</v>
      </c>
      <c r="Y355" s="399">
        <f>H355+I355+J355+K355+L355+M355+N355+O355+P355+Q355+R355+S355+H361+I361+J361+K361+L361+M361+N361+O361+P361+Q361+R361+S361</f>
        <v>14.013999999999999</v>
      </c>
      <c r="Z355" s="400">
        <f t="shared" si="60"/>
        <v>5.0000000000000001E-3</v>
      </c>
      <c r="AA355" s="400">
        <f t="shared" si="60"/>
        <v>0</v>
      </c>
      <c r="AB355" s="400">
        <f t="shared" si="60"/>
        <v>5</v>
      </c>
    </row>
    <row r="356" spans="1:28" ht="12.95">
      <c r="A356" s="468"/>
      <c r="B356" s="382" t="s">
        <v>103</v>
      </c>
      <c r="C356" s="452">
        <v>76467</v>
      </c>
      <c r="D356" s="452"/>
      <c r="E356" s="452"/>
      <c r="F356" s="452"/>
      <c r="G356" s="452"/>
      <c r="H356" s="452"/>
      <c r="I356" s="452"/>
      <c r="J356" s="452"/>
      <c r="K356" s="452"/>
      <c r="L356" s="452"/>
      <c r="M356" s="452"/>
      <c r="N356" s="452"/>
      <c r="O356" s="452"/>
      <c r="P356" s="452"/>
      <c r="Q356" s="452"/>
      <c r="R356" s="452"/>
      <c r="S356" s="452"/>
      <c r="T356" s="382">
        <v>1</v>
      </c>
      <c r="W356" s="485">
        <f t="shared" si="64"/>
        <v>0</v>
      </c>
      <c r="X356" s="394">
        <f>E356+F356+G356+E362+F362+G362</f>
        <v>0</v>
      </c>
      <c r="Y356" s="399">
        <f>H356+I356+J356+K356+L356+M356+N356+O356+P356+Q356+R356+S356+H362+I362+J362+K362+L362+M362+N362+O362+P362+Q362+R362+S362</f>
        <v>0</v>
      </c>
      <c r="Z356" s="400">
        <f t="shared" si="60"/>
        <v>0</v>
      </c>
      <c r="AA356" s="400">
        <f t="shared" si="60"/>
        <v>0</v>
      </c>
      <c r="AB356" s="400">
        <f t="shared" si="60"/>
        <v>0</v>
      </c>
    </row>
    <row r="357" spans="1:28" ht="12.95">
      <c r="A357" s="468"/>
      <c r="B357" s="382" t="s">
        <v>104</v>
      </c>
      <c r="C357" s="452">
        <v>51469</v>
      </c>
      <c r="D357" s="452"/>
      <c r="E357" s="452">
        <v>6210</v>
      </c>
      <c r="F357" s="452"/>
      <c r="G357" s="452"/>
      <c r="H357" s="452">
        <v>5.0000000000000001E-3</v>
      </c>
      <c r="I357" s="452">
        <v>0.05</v>
      </c>
      <c r="J357" s="452">
        <v>1.93</v>
      </c>
      <c r="K357" s="452">
        <v>5.0000000000000001E-3</v>
      </c>
      <c r="L357" s="452">
        <v>0.05</v>
      </c>
      <c r="M357" s="452">
        <v>2.4</v>
      </c>
      <c r="N357" s="452">
        <v>5.0000000000000001E-3</v>
      </c>
      <c r="O357" s="452">
        <v>0.05</v>
      </c>
      <c r="P357" s="452">
        <v>0.5</v>
      </c>
      <c r="Q357" s="452">
        <v>0</v>
      </c>
      <c r="R357" s="452">
        <v>0</v>
      </c>
      <c r="S357" s="452">
        <v>5.0000000000000001E-3</v>
      </c>
      <c r="T357" s="382">
        <v>1</v>
      </c>
      <c r="W357" s="485">
        <f t="shared" si="64"/>
        <v>20</v>
      </c>
      <c r="X357" s="394"/>
      <c r="Y357" s="399"/>
      <c r="Z357" s="400"/>
      <c r="AA357" s="400"/>
      <c r="AB357" s="400"/>
    </row>
    <row r="358" spans="1:28" ht="12.95">
      <c r="A358" s="470"/>
      <c r="B358" s="386" t="s">
        <v>95</v>
      </c>
      <c r="C358" s="450"/>
      <c r="D358" s="450"/>
      <c r="E358" s="450"/>
      <c r="F358" s="450"/>
      <c r="G358" s="450"/>
      <c r="H358" s="450"/>
      <c r="I358" s="450"/>
      <c r="J358" s="450"/>
      <c r="K358" s="450"/>
      <c r="L358" s="450"/>
      <c r="M358" s="450"/>
      <c r="N358" s="450"/>
      <c r="O358" s="450"/>
      <c r="P358" s="450"/>
      <c r="Q358" s="450"/>
      <c r="R358" s="450"/>
      <c r="S358" s="450"/>
      <c r="T358" s="386">
        <v>2</v>
      </c>
      <c r="W358" s="485"/>
      <c r="X358" s="394"/>
      <c r="Y358" s="399"/>
      <c r="Z358" s="400">
        <f t="shared" si="60"/>
        <v>0</v>
      </c>
      <c r="AA358" s="400">
        <f t="shared" si="60"/>
        <v>0</v>
      </c>
      <c r="AB358" s="400">
        <f t="shared" si="60"/>
        <v>0</v>
      </c>
    </row>
    <row r="359" spans="1:28" ht="12.95">
      <c r="A359" s="470"/>
      <c r="B359" s="386" t="s">
        <v>97</v>
      </c>
      <c r="C359" s="450"/>
      <c r="D359" s="450"/>
      <c r="E359" s="450"/>
      <c r="F359" s="450"/>
      <c r="G359" s="450"/>
      <c r="H359" s="450"/>
      <c r="I359" s="450"/>
      <c r="J359" s="450"/>
      <c r="K359" s="450"/>
      <c r="L359" s="450"/>
      <c r="M359" s="450"/>
      <c r="N359" s="450"/>
      <c r="O359" s="450"/>
      <c r="P359" s="450"/>
      <c r="Q359" s="450"/>
      <c r="R359" s="450"/>
      <c r="S359" s="450"/>
      <c r="T359" s="386">
        <v>2</v>
      </c>
      <c r="W359" s="485"/>
      <c r="X359" s="394"/>
      <c r="Y359" s="399"/>
      <c r="Z359" s="400">
        <f t="shared" si="60"/>
        <v>0</v>
      </c>
      <c r="AA359" s="400">
        <f t="shared" si="60"/>
        <v>0</v>
      </c>
      <c r="AB359" s="400">
        <f t="shared" si="60"/>
        <v>0</v>
      </c>
    </row>
    <row r="360" spans="1:28" ht="12.95">
      <c r="A360" s="470"/>
      <c r="B360" s="386" t="s">
        <v>99</v>
      </c>
      <c r="C360" s="450"/>
      <c r="D360" s="450"/>
      <c r="E360" s="450"/>
      <c r="F360" s="450"/>
      <c r="G360" s="450"/>
      <c r="H360" s="450"/>
      <c r="I360" s="450"/>
      <c r="J360" s="450"/>
      <c r="K360" s="450"/>
      <c r="L360" s="450"/>
      <c r="M360" s="450"/>
      <c r="N360" s="450"/>
      <c r="O360" s="450"/>
      <c r="P360" s="450"/>
      <c r="Q360" s="450"/>
      <c r="R360" s="450"/>
      <c r="S360" s="450"/>
      <c r="T360" s="386">
        <v>2</v>
      </c>
      <c r="W360" s="485"/>
      <c r="X360" s="394"/>
      <c r="Y360" s="399"/>
      <c r="Z360" s="400">
        <f t="shared" si="60"/>
        <v>0</v>
      </c>
      <c r="AA360" s="400">
        <f t="shared" si="60"/>
        <v>0</v>
      </c>
      <c r="AB360" s="400">
        <f t="shared" si="60"/>
        <v>0</v>
      </c>
    </row>
    <row r="361" spans="1:28" ht="12.95">
      <c r="A361" s="470"/>
      <c r="B361" s="386" t="s">
        <v>101</v>
      </c>
      <c r="C361" s="450"/>
      <c r="D361" s="450"/>
      <c r="E361" s="450">
        <v>2000</v>
      </c>
      <c r="F361" s="450"/>
      <c r="G361" s="450"/>
      <c r="H361" s="450">
        <v>8.9999999999999993E-3</v>
      </c>
      <c r="I361" s="450">
        <v>0</v>
      </c>
      <c r="J361" s="450">
        <v>1.35</v>
      </c>
      <c r="K361" s="450">
        <v>0</v>
      </c>
      <c r="L361" s="450">
        <v>0</v>
      </c>
      <c r="M361" s="450">
        <v>6.2009999999999996</v>
      </c>
      <c r="N361" s="450">
        <v>0</v>
      </c>
      <c r="O361" s="450">
        <v>0</v>
      </c>
      <c r="P361" s="450">
        <v>1.44</v>
      </c>
      <c r="Q361" s="450">
        <v>0</v>
      </c>
      <c r="R361" s="450">
        <v>0</v>
      </c>
      <c r="S361" s="450">
        <v>8.9999999999999993E-3</v>
      </c>
      <c r="T361" s="386">
        <v>2</v>
      </c>
      <c r="W361" s="485"/>
      <c r="X361" s="394"/>
      <c r="Y361" s="399"/>
      <c r="Z361" s="400">
        <f t="shared" si="60"/>
        <v>8.9999999999999993E-3</v>
      </c>
      <c r="AA361" s="400">
        <f t="shared" si="60"/>
        <v>0</v>
      </c>
      <c r="AB361" s="400">
        <f t="shared" si="60"/>
        <v>9</v>
      </c>
    </row>
    <row r="362" spans="1:28" ht="12.95">
      <c r="A362" s="470"/>
      <c r="B362" s="386" t="s">
        <v>103</v>
      </c>
      <c r="C362" s="450"/>
      <c r="D362" s="450"/>
      <c r="E362" s="450"/>
      <c r="F362" s="450"/>
      <c r="G362" s="450"/>
      <c r="H362" s="450"/>
      <c r="I362" s="450"/>
      <c r="J362" s="450"/>
      <c r="K362" s="450"/>
      <c r="L362" s="450"/>
      <c r="M362" s="450"/>
      <c r="N362" s="450"/>
      <c r="O362" s="450"/>
      <c r="P362" s="450"/>
      <c r="Q362" s="450"/>
      <c r="R362" s="450"/>
      <c r="S362" s="450"/>
      <c r="T362" s="386">
        <v>2</v>
      </c>
      <c r="W362" s="485"/>
      <c r="X362" s="394"/>
      <c r="Y362" s="399"/>
      <c r="Z362" s="400">
        <f t="shared" si="60"/>
        <v>0</v>
      </c>
      <c r="AA362" s="400">
        <f t="shared" si="60"/>
        <v>0</v>
      </c>
      <c r="AB362" s="400">
        <f t="shared" si="60"/>
        <v>0</v>
      </c>
    </row>
    <row r="363" spans="1:28" ht="12.95">
      <c r="A363" s="470"/>
      <c r="B363" s="386" t="s">
        <v>104</v>
      </c>
      <c r="C363" s="450"/>
      <c r="D363" s="450"/>
      <c r="E363" s="450">
        <v>5620</v>
      </c>
      <c r="F363" s="450"/>
      <c r="G363" s="450"/>
      <c r="H363" s="450">
        <v>1.4999999999999999E-2</v>
      </c>
      <c r="I363" s="450">
        <v>0.15</v>
      </c>
      <c r="J363" s="450">
        <v>5.79</v>
      </c>
      <c r="K363" s="450">
        <v>1.4999999999999999E-2</v>
      </c>
      <c r="L363" s="450">
        <v>0.15</v>
      </c>
      <c r="M363" s="450">
        <v>7.2</v>
      </c>
      <c r="N363" s="450">
        <v>1.4999999999999999E-2</v>
      </c>
      <c r="O363" s="450">
        <v>0.15</v>
      </c>
      <c r="P363" s="450">
        <v>1.5</v>
      </c>
      <c r="Q363" s="450">
        <v>0</v>
      </c>
      <c r="R363" s="450">
        <v>0</v>
      </c>
      <c r="S363" s="450">
        <v>1.4999999999999999E-2</v>
      </c>
      <c r="T363" s="386">
        <v>2</v>
      </c>
      <c r="W363" s="485"/>
      <c r="X363" s="394"/>
      <c r="Y363" s="399"/>
      <c r="Z363" s="400"/>
      <c r="AA363" s="400"/>
      <c r="AB363" s="400"/>
    </row>
    <row r="364" spans="1:28" ht="12.95">
      <c r="A364" s="468" t="s">
        <v>115</v>
      </c>
      <c r="B364" s="382" t="s">
        <v>95</v>
      </c>
      <c r="C364" s="452">
        <v>9094</v>
      </c>
      <c r="D364" s="452"/>
      <c r="E364" s="452"/>
      <c r="F364" s="452"/>
      <c r="G364" s="452"/>
      <c r="H364" s="452"/>
      <c r="I364" s="452"/>
      <c r="J364" s="452"/>
      <c r="K364" s="452"/>
      <c r="L364" s="452"/>
      <c r="M364" s="452"/>
      <c r="N364" s="452"/>
      <c r="O364" s="452"/>
      <c r="P364" s="452"/>
      <c r="Q364" s="452"/>
      <c r="R364" s="452"/>
      <c r="S364" s="452"/>
      <c r="T364" s="382">
        <v>1</v>
      </c>
      <c r="W364" s="485">
        <f t="shared" ref="W364:W369" si="65">H364+I364+J364+K364+L364+M364+N364+O364+P364+Q364+R364+S364+H370+I370+J370+K370+L370+M370+N370+O370+P370+Q370+R370+S370</f>
        <v>0</v>
      </c>
      <c r="X364" s="394">
        <f>E364+F364+G364+E370+F370+G370</f>
        <v>0</v>
      </c>
      <c r="Y364" s="399">
        <f>H364+I364+J364+K364+L364+M364+N364+O364+P364+Q364+R364+S364+H370+I370+J370+K370+L370+M370+N370+O370+P370+Q370+R370+S370</f>
        <v>0</v>
      </c>
      <c r="Z364" s="400">
        <f t="shared" si="60"/>
        <v>0</v>
      </c>
      <c r="AA364" s="400">
        <f t="shared" si="60"/>
        <v>0</v>
      </c>
      <c r="AB364" s="400">
        <f t="shared" si="60"/>
        <v>0</v>
      </c>
    </row>
    <row r="365" spans="1:28" ht="12.95">
      <c r="A365" s="506"/>
      <c r="B365" s="382" t="s">
        <v>97</v>
      </c>
      <c r="C365" s="452">
        <v>0</v>
      </c>
      <c r="D365" s="452"/>
      <c r="E365" s="452"/>
      <c r="F365" s="452"/>
      <c r="G365" s="452"/>
      <c r="H365" s="452"/>
      <c r="I365" s="452"/>
      <c r="J365" s="452"/>
      <c r="K365" s="452"/>
      <c r="L365" s="452"/>
      <c r="M365" s="452"/>
      <c r="N365" s="452"/>
      <c r="O365" s="452"/>
      <c r="P365" s="452"/>
      <c r="Q365" s="452"/>
      <c r="R365" s="452"/>
      <c r="S365" s="452"/>
      <c r="T365" s="382">
        <v>1</v>
      </c>
      <c r="W365" s="485">
        <f t="shared" si="65"/>
        <v>0</v>
      </c>
      <c r="X365" s="394">
        <f>E365+F365+G365+E371+F371+G371</f>
        <v>0</v>
      </c>
      <c r="Y365" s="399">
        <f>H365+I365+J365+K365+L365+M365+N365+O365+P365+Q365+R365+S365+H371+I371+J371+K371+L371+M371+N371+O371+P371+Q371+R371+S371</f>
        <v>0</v>
      </c>
      <c r="Z365" s="400">
        <f t="shared" si="60"/>
        <v>0</v>
      </c>
      <c r="AA365" s="400">
        <f t="shared" si="60"/>
        <v>0</v>
      </c>
      <c r="AB365" s="400">
        <f t="shared" si="60"/>
        <v>0</v>
      </c>
    </row>
    <row r="366" spans="1:28" ht="12.95">
      <c r="A366" s="506"/>
      <c r="B366" s="382" t="s">
        <v>99</v>
      </c>
      <c r="C366" s="452">
        <v>42175</v>
      </c>
      <c r="D366" s="452"/>
      <c r="E366" s="452"/>
      <c r="F366" s="452"/>
      <c r="G366" s="452"/>
      <c r="H366" s="452"/>
      <c r="I366" s="452"/>
      <c r="J366" s="452"/>
      <c r="K366" s="452"/>
      <c r="L366" s="452"/>
      <c r="M366" s="452"/>
      <c r="N366" s="452"/>
      <c r="O366" s="452"/>
      <c r="P366" s="452"/>
      <c r="Q366" s="452"/>
      <c r="R366" s="452"/>
      <c r="S366" s="452"/>
      <c r="T366" s="382">
        <v>1</v>
      </c>
      <c r="W366" s="485">
        <f t="shared" si="65"/>
        <v>0</v>
      </c>
      <c r="X366" s="394">
        <f>E366+F366+G366+E372+F372+G372</f>
        <v>0</v>
      </c>
      <c r="Y366" s="399">
        <f>H366+I366+J366+K366+L366+M366+N366+O366+P366+Q366+R366+S366+H372+I372+J372+K372+L372+M372+N372+O372+P372+Q372+R372+S372</f>
        <v>0</v>
      </c>
      <c r="Z366" s="400">
        <f t="shared" si="60"/>
        <v>0</v>
      </c>
      <c r="AA366" s="400">
        <f t="shared" si="60"/>
        <v>0</v>
      </c>
      <c r="AB366" s="400">
        <f t="shared" si="60"/>
        <v>0</v>
      </c>
    </row>
    <row r="367" spans="1:28" ht="12.95">
      <c r="A367" s="506"/>
      <c r="B367" s="382" t="s">
        <v>101</v>
      </c>
      <c r="C367" s="452">
        <v>4384</v>
      </c>
      <c r="D367" s="452"/>
      <c r="E367" s="452"/>
      <c r="F367" s="452"/>
      <c r="G367" s="452"/>
      <c r="H367" s="452"/>
      <c r="I367" s="452"/>
      <c r="J367" s="452"/>
      <c r="K367" s="452"/>
      <c r="L367" s="452"/>
      <c r="M367" s="452"/>
      <c r="N367" s="452"/>
      <c r="O367" s="452"/>
      <c r="P367" s="452"/>
      <c r="Q367" s="452"/>
      <c r="R367" s="452"/>
      <c r="S367" s="452"/>
      <c r="T367" s="382">
        <v>1</v>
      </c>
      <c r="W367" s="485">
        <f t="shared" si="65"/>
        <v>0</v>
      </c>
      <c r="X367" s="394">
        <f>E367+F367+G367+E373+F373+G373</f>
        <v>0</v>
      </c>
      <c r="Y367" s="399">
        <f>H367+I367+J367+K367+L367+M367+N367+O367+P367+Q367+R367+S367+H373+I373+J373+K373+L373+M373+N373+O373+P373+Q373+R373+S373</f>
        <v>0</v>
      </c>
      <c r="Z367" s="400">
        <f t="shared" si="60"/>
        <v>0</v>
      </c>
      <c r="AA367" s="400">
        <f t="shared" si="60"/>
        <v>0</v>
      </c>
      <c r="AB367" s="400">
        <f t="shared" si="60"/>
        <v>0</v>
      </c>
    </row>
    <row r="368" spans="1:28" ht="12.95">
      <c r="A368" s="506"/>
      <c r="B368" s="382" t="s">
        <v>103</v>
      </c>
      <c r="C368" s="452">
        <v>76467</v>
      </c>
      <c r="D368" s="452"/>
      <c r="E368" s="452"/>
      <c r="F368" s="452"/>
      <c r="G368" s="452"/>
      <c r="H368" s="452"/>
      <c r="I368" s="452"/>
      <c r="J368" s="452"/>
      <c r="K368" s="452"/>
      <c r="L368" s="452"/>
      <c r="M368" s="452"/>
      <c r="N368" s="452"/>
      <c r="O368" s="452"/>
      <c r="P368" s="452"/>
      <c r="Q368" s="452"/>
      <c r="R368" s="452"/>
      <c r="S368" s="452"/>
      <c r="T368" s="382">
        <v>1</v>
      </c>
      <c r="W368" s="485">
        <f t="shared" si="65"/>
        <v>0</v>
      </c>
      <c r="X368" s="394">
        <f>E368+F368+G368+E374+F374+G374</f>
        <v>0</v>
      </c>
      <c r="Y368" s="399">
        <f>H368+I368+J368+K368+L368+M368+N368+O368+P368+Q368+R368+S368+H374+I374+J374+K374+L374+M374+N374+O374+P374+Q374+R374+S374</f>
        <v>0</v>
      </c>
      <c r="Z368" s="400">
        <f t="shared" si="60"/>
        <v>0</v>
      </c>
      <c r="AA368" s="400">
        <f t="shared" si="60"/>
        <v>0</v>
      </c>
      <c r="AB368" s="400">
        <f t="shared" si="60"/>
        <v>0</v>
      </c>
    </row>
    <row r="369" spans="1:28" ht="12.95">
      <c r="A369" s="506"/>
      <c r="B369" s="382" t="s">
        <v>104</v>
      </c>
      <c r="C369" s="452">
        <v>39614</v>
      </c>
      <c r="D369" s="452"/>
      <c r="E369" s="452"/>
      <c r="F369" s="452"/>
      <c r="G369" s="452"/>
      <c r="H369" s="452"/>
      <c r="I369" s="452"/>
      <c r="J369" s="452"/>
      <c r="K369" s="452"/>
      <c r="L369" s="452"/>
      <c r="M369" s="452"/>
      <c r="N369" s="452"/>
      <c r="O369" s="452"/>
      <c r="P369" s="452"/>
      <c r="Q369" s="452"/>
      <c r="R369" s="452"/>
      <c r="S369" s="452"/>
      <c r="T369" s="382">
        <v>1</v>
      </c>
      <c r="W369" s="485">
        <f t="shared" si="65"/>
        <v>0</v>
      </c>
      <c r="X369" s="394"/>
      <c r="Y369" s="399"/>
      <c r="Z369" s="400"/>
      <c r="AA369" s="400"/>
      <c r="AB369" s="400"/>
    </row>
    <row r="370" spans="1:28" ht="12.95">
      <c r="A370" s="470"/>
      <c r="B370" s="386" t="s">
        <v>95</v>
      </c>
      <c r="C370" s="450"/>
      <c r="D370" s="450"/>
      <c r="E370" s="450"/>
      <c r="F370" s="450"/>
      <c r="G370" s="450"/>
      <c r="H370" s="450"/>
      <c r="I370" s="450"/>
      <c r="J370" s="450"/>
      <c r="K370" s="450"/>
      <c r="L370" s="450"/>
      <c r="M370" s="450"/>
      <c r="N370" s="450"/>
      <c r="O370" s="450"/>
      <c r="P370" s="450"/>
      <c r="Q370" s="450"/>
      <c r="R370" s="450"/>
      <c r="S370" s="450"/>
      <c r="T370" s="386">
        <v>2</v>
      </c>
      <c r="W370" s="485"/>
      <c r="X370" s="394"/>
      <c r="Y370" s="399"/>
      <c r="Z370" s="400">
        <f t="shared" si="60"/>
        <v>0</v>
      </c>
      <c r="AA370" s="400">
        <f t="shared" si="60"/>
        <v>0</v>
      </c>
      <c r="AB370" s="400">
        <f t="shared" si="60"/>
        <v>0</v>
      </c>
    </row>
    <row r="371" spans="1:28" ht="12.95">
      <c r="A371" s="470"/>
      <c r="B371" s="386" t="s">
        <v>97</v>
      </c>
      <c r="C371" s="450"/>
      <c r="D371" s="450"/>
      <c r="E371" s="450"/>
      <c r="F371" s="450"/>
      <c r="G371" s="450"/>
      <c r="H371" s="450"/>
      <c r="I371" s="450"/>
      <c r="J371" s="450"/>
      <c r="K371" s="450"/>
      <c r="L371" s="450"/>
      <c r="M371" s="450"/>
      <c r="N371" s="450"/>
      <c r="O371" s="450"/>
      <c r="P371" s="450"/>
      <c r="Q371" s="450"/>
      <c r="R371" s="450"/>
      <c r="S371" s="450"/>
      <c r="T371" s="386">
        <v>2</v>
      </c>
      <c r="W371" s="485"/>
      <c r="X371" s="394"/>
      <c r="Y371" s="399"/>
      <c r="Z371" s="400">
        <f t="shared" si="60"/>
        <v>0</v>
      </c>
      <c r="AA371" s="400">
        <f t="shared" si="60"/>
        <v>0</v>
      </c>
      <c r="AB371" s="400">
        <f t="shared" si="60"/>
        <v>0</v>
      </c>
    </row>
    <row r="372" spans="1:28" ht="12.95">
      <c r="A372" s="470"/>
      <c r="B372" s="386" t="s">
        <v>99</v>
      </c>
      <c r="C372" s="450"/>
      <c r="D372" s="450"/>
      <c r="E372" s="450"/>
      <c r="F372" s="450"/>
      <c r="G372" s="450"/>
      <c r="H372" s="450"/>
      <c r="I372" s="450"/>
      <c r="J372" s="450"/>
      <c r="K372" s="450"/>
      <c r="L372" s="450"/>
      <c r="M372" s="450"/>
      <c r="N372" s="450"/>
      <c r="O372" s="450"/>
      <c r="P372" s="450"/>
      <c r="Q372" s="450"/>
      <c r="R372" s="450"/>
      <c r="S372" s="450"/>
      <c r="T372" s="386">
        <v>2</v>
      </c>
      <c r="W372" s="485"/>
      <c r="X372" s="394"/>
      <c r="Y372" s="399"/>
      <c r="Z372" s="400">
        <f t="shared" si="60"/>
        <v>0</v>
      </c>
      <c r="AA372" s="400">
        <f t="shared" si="60"/>
        <v>0</v>
      </c>
      <c r="AB372" s="400">
        <f t="shared" si="60"/>
        <v>0</v>
      </c>
    </row>
    <row r="373" spans="1:28" ht="12.95">
      <c r="A373" s="470"/>
      <c r="B373" s="386" t="s">
        <v>101</v>
      </c>
      <c r="C373" s="450"/>
      <c r="D373" s="450"/>
      <c r="E373" s="450"/>
      <c r="F373" s="450"/>
      <c r="G373" s="450"/>
      <c r="H373" s="450"/>
      <c r="I373" s="450"/>
      <c r="J373" s="450"/>
      <c r="K373" s="450"/>
      <c r="L373" s="450"/>
      <c r="M373" s="450"/>
      <c r="N373" s="450"/>
      <c r="O373" s="450"/>
      <c r="P373" s="450"/>
      <c r="Q373" s="450"/>
      <c r="R373" s="450"/>
      <c r="S373" s="450"/>
      <c r="T373" s="386">
        <v>2</v>
      </c>
      <c r="W373" s="485"/>
      <c r="X373" s="394"/>
      <c r="Y373" s="399"/>
      <c r="Z373" s="400">
        <f t="shared" si="60"/>
        <v>0</v>
      </c>
      <c r="AA373" s="400">
        <f t="shared" si="60"/>
        <v>0</v>
      </c>
      <c r="AB373" s="400">
        <f t="shared" si="60"/>
        <v>0</v>
      </c>
    </row>
    <row r="374" spans="1:28" ht="12.95">
      <c r="A374" s="509"/>
      <c r="B374" s="386" t="s">
        <v>103</v>
      </c>
      <c r="C374" s="450"/>
      <c r="D374" s="450"/>
      <c r="E374" s="450"/>
      <c r="F374" s="450"/>
      <c r="G374" s="450"/>
      <c r="H374" s="450"/>
      <c r="I374" s="450"/>
      <c r="J374" s="450"/>
      <c r="K374" s="450"/>
      <c r="L374" s="450"/>
      <c r="M374" s="450"/>
      <c r="N374" s="450"/>
      <c r="O374" s="450"/>
      <c r="P374" s="450"/>
      <c r="Q374" s="450"/>
      <c r="R374" s="450"/>
      <c r="S374" s="450"/>
      <c r="T374" s="386">
        <v>2</v>
      </c>
      <c r="W374" s="485"/>
      <c r="X374" s="394"/>
      <c r="Y374" s="399"/>
      <c r="Z374" s="400">
        <f t="shared" si="60"/>
        <v>0</v>
      </c>
      <c r="AA374" s="400">
        <f t="shared" si="60"/>
        <v>0</v>
      </c>
      <c r="AB374" s="400">
        <f t="shared" si="60"/>
        <v>0</v>
      </c>
    </row>
    <row r="375" spans="1:28" ht="12.95">
      <c r="A375" s="509"/>
      <c r="B375" s="386" t="s">
        <v>104</v>
      </c>
      <c r="C375" s="510"/>
      <c r="D375" s="510"/>
      <c r="E375" s="510"/>
      <c r="F375" s="510"/>
      <c r="G375" s="510"/>
      <c r="H375" s="510"/>
      <c r="I375" s="510"/>
      <c r="J375" s="510"/>
      <c r="K375" s="510"/>
      <c r="L375" s="510"/>
      <c r="M375" s="510"/>
      <c r="N375" s="510"/>
      <c r="O375" s="510"/>
      <c r="P375" s="510"/>
      <c r="Q375" s="510"/>
      <c r="R375" s="510"/>
      <c r="S375" s="510"/>
      <c r="T375" s="454">
        <v>2</v>
      </c>
      <c r="W375" s="485"/>
      <c r="X375" s="394"/>
      <c r="Y375" s="399"/>
      <c r="Z375" s="400"/>
      <c r="AA375" s="400"/>
      <c r="AB375" s="400"/>
    </row>
    <row r="376" spans="1:28">
      <c r="A376" s="455"/>
      <c r="C376" s="401"/>
      <c r="D376" s="401"/>
      <c r="E376" s="401"/>
      <c r="F376" s="401"/>
      <c r="G376" s="401"/>
      <c r="H376" s="401"/>
      <c r="I376" s="401"/>
      <c r="J376" s="401"/>
      <c r="K376" s="401"/>
      <c r="L376" s="401"/>
      <c r="M376" s="401"/>
      <c r="N376" s="401"/>
      <c r="O376" s="401"/>
      <c r="P376" s="401"/>
      <c r="Q376" s="401"/>
      <c r="R376" s="401"/>
      <c r="S376" s="401"/>
    </row>
    <row r="377" spans="1:28">
      <c r="A377" s="455"/>
      <c r="C377" s="401"/>
      <c r="D377" s="401"/>
      <c r="E377" s="401"/>
      <c r="F377" s="401"/>
      <c r="G377" s="401"/>
      <c r="H377" s="401"/>
      <c r="I377" s="401"/>
      <c r="J377" s="401"/>
      <c r="K377" s="401"/>
      <c r="L377" s="401"/>
      <c r="M377" s="401"/>
      <c r="N377" s="401"/>
      <c r="O377" s="401"/>
      <c r="P377" s="401"/>
      <c r="Q377" s="401"/>
      <c r="R377" s="401"/>
      <c r="S377" s="401"/>
    </row>
    <row r="378" spans="1:28">
      <c r="A378" s="455"/>
      <c r="C378" s="401"/>
      <c r="D378" s="401"/>
      <c r="E378" s="401"/>
      <c r="F378" s="401"/>
      <c r="G378" s="401"/>
      <c r="H378" s="401"/>
      <c r="I378" s="401"/>
      <c r="J378" s="401"/>
      <c r="K378" s="401"/>
      <c r="L378" s="401"/>
      <c r="M378" s="401"/>
      <c r="N378" s="401"/>
      <c r="O378" s="401"/>
      <c r="P378" s="401"/>
      <c r="Q378" s="401"/>
      <c r="R378" s="401"/>
      <c r="S378" s="401"/>
    </row>
    <row r="379" spans="1:28">
      <c r="A379" s="455"/>
      <c r="C379" s="401"/>
      <c r="D379" s="401"/>
      <c r="E379" s="401"/>
      <c r="F379" s="401"/>
      <c r="G379" s="401"/>
      <c r="H379" s="401"/>
      <c r="I379" s="401"/>
      <c r="J379" s="401"/>
      <c r="K379" s="401"/>
      <c r="L379" s="401"/>
      <c r="M379" s="401"/>
      <c r="N379" s="401"/>
      <c r="O379" s="401"/>
      <c r="P379" s="401"/>
      <c r="Q379" s="401"/>
      <c r="R379" s="401"/>
      <c r="S379" s="401"/>
    </row>
    <row r="380" spans="1:28">
      <c r="A380" s="455"/>
      <c r="C380" s="401"/>
      <c r="D380" s="401"/>
      <c r="E380" s="401"/>
      <c r="F380" s="401"/>
      <c r="G380" s="401"/>
      <c r="H380" s="401"/>
      <c r="I380" s="401"/>
      <c r="J380" s="401"/>
      <c r="K380" s="401"/>
      <c r="L380" s="401"/>
      <c r="M380" s="401"/>
      <c r="N380" s="401"/>
      <c r="O380" s="401"/>
      <c r="P380" s="401"/>
      <c r="Q380" s="401"/>
      <c r="R380" s="401"/>
      <c r="S380" s="401"/>
    </row>
    <row r="381" spans="1:28">
      <c r="A381" s="455"/>
      <c r="C381" s="401"/>
      <c r="D381" s="401"/>
      <c r="E381" s="401"/>
      <c r="F381" s="401"/>
      <c r="G381" s="401"/>
      <c r="H381" s="401"/>
      <c r="I381" s="401"/>
      <c r="J381" s="401"/>
      <c r="K381" s="401"/>
      <c r="L381" s="401"/>
      <c r="M381" s="401"/>
      <c r="N381" s="401"/>
      <c r="O381" s="401"/>
      <c r="P381" s="401"/>
      <c r="Q381" s="401"/>
      <c r="R381" s="401"/>
      <c r="S381" s="401"/>
    </row>
    <row r="382" spans="1:28">
      <c r="A382" s="455"/>
    </row>
    <row r="383" spans="1:28">
      <c r="A383" s="455"/>
    </row>
    <row r="384" spans="1:28">
      <c r="A384" s="455"/>
    </row>
    <row r="385" spans="1:1">
      <c r="A385" s="455"/>
    </row>
    <row r="386" spans="1:1">
      <c r="A386" s="455"/>
    </row>
    <row r="387" spans="1:1">
      <c r="A387" s="455"/>
    </row>
    <row r="388" spans="1:1">
      <c r="A388" s="455"/>
    </row>
    <row r="389" spans="1:1">
      <c r="A389" s="455"/>
    </row>
    <row r="390" spans="1:1">
      <c r="A390" s="455"/>
    </row>
    <row r="391" spans="1:1">
      <c r="A391" s="455"/>
    </row>
    <row r="392" spans="1:1">
      <c r="A392" s="455"/>
    </row>
    <row r="393" spans="1:1">
      <c r="A393" s="455"/>
    </row>
    <row r="394" spans="1:1">
      <c r="A394" s="455"/>
    </row>
    <row r="395" spans="1:1">
      <c r="A395" s="455"/>
    </row>
    <row r="396" spans="1:1">
      <c r="A396" s="455"/>
    </row>
    <row r="397" spans="1:1">
      <c r="A397" s="455"/>
    </row>
    <row r="398" spans="1:1">
      <c r="A398" s="455"/>
    </row>
    <row r="399" spans="1:1">
      <c r="A399" s="455"/>
    </row>
    <row r="400" spans="1:1">
      <c r="A400" s="455"/>
    </row>
    <row r="401" spans="1:1">
      <c r="A401" s="455"/>
    </row>
    <row r="402" spans="1:1">
      <c r="A402" s="455"/>
    </row>
    <row r="403" spans="1:1">
      <c r="A403" s="455"/>
    </row>
    <row r="404" spans="1:1">
      <c r="A404" s="455"/>
    </row>
    <row r="405" spans="1:1">
      <c r="A405" s="455"/>
    </row>
    <row r="406" spans="1:1">
      <c r="A406" s="455"/>
    </row>
    <row r="407" spans="1:1">
      <c r="A407" s="455"/>
    </row>
    <row r="408" spans="1:1">
      <c r="A408" s="455"/>
    </row>
    <row r="409" spans="1:1">
      <c r="A409" s="455"/>
    </row>
    <row r="410" spans="1:1">
      <c r="A410" s="455"/>
    </row>
    <row r="411" spans="1:1">
      <c r="A411" s="455"/>
    </row>
    <row r="412" spans="1:1">
      <c r="A412" s="455"/>
    </row>
    <row r="413" spans="1:1">
      <c r="A413" s="455"/>
    </row>
    <row r="414" spans="1:1">
      <c r="A414" s="455"/>
    </row>
    <row r="415" spans="1:1">
      <c r="A415" s="455"/>
    </row>
    <row r="416" spans="1:1">
      <c r="A416" s="455"/>
    </row>
    <row r="417" spans="1:1">
      <c r="A417" s="455"/>
    </row>
    <row r="418" spans="1:1">
      <c r="A418" s="455"/>
    </row>
    <row r="419" spans="1:1">
      <c r="A419" s="455"/>
    </row>
    <row r="420" spans="1:1">
      <c r="A420" s="455"/>
    </row>
    <row r="421" spans="1:1">
      <c r="A421" s="455"/>
    </row>
    <row r="422" spans="1:1">
      <c r="A422" s="455"/>
    </row>
    <row r="423" spans="1:1">
      <c r="A423" s="455"/>
    </row>
    <row r="424" spans="1:1">
      <c r="A424" s="455"/>
    </row>
    <row r="425" spans="1:1">
      <c r="A425" s="455"/>
    </row>
    <row r="426" spans="1:1">
      <c r="A426" s="455"/>
    </row>
    <row r="427" spans="1:1">
      <c r="A427" s="455"/>
    </row>
    <row r="428" spans="1:1">
      <c r="A428" s="455"/>
    </row>
    <row r="429" spans="1:1">
      <c r="A429" s="455"/>
    </row>
    <row r="430" spans="1:1">
      <c r="A430" s="455"/>
    </row>
    <row r="431" spans="1:1">
      <c r="A431" s="455"/>
    </row>
    <row r="432" spans="1:1">
      <c r="A432" s="455"/>
    </row>
    <row r="433" spans="1:25">
      <c r="A433" s="455"/>
    </row>
    <row r="434" spans="1:25">
      <c r="A434" s="455"/>
    </row>
    <row r="435" spans="1:25">
      <c r="A435" s="455"/>
      <c r="C435" s="417"/>
      <c r="D435" s="417"/>
      <c r="E435" s="417"/>
      <c r="F435" s="417"/>
    </row>
    <row r="436" spans="1:25">
      <c r="C436" s="417"/>
      <c r="D436" s="417"/>
      <c r="E436" s="417"/>
      <c r="F436" s="417"/>
      <c r="H436" s="417">
        <f>SUM(H4:H374)</f>
        <v>0.73799999999999999</v>
      </c>
      <c r="I436" s="417">
        <f t="shared" ref="I436:S436" si="66">SUM(I4:I374)</f>
        <v>5.84</v>
      </c>
      <c r="J436" s="417">
        <f t="shared" si="66"/>
        <v>248.524</v>
      </c>
      <c r="K436" s="417">
        <f t="shared" si="66"/>
        <v>0.58399999999999996</v>
      </c>
      <c r="L436" s="417">
        <f t="shared" si="66"/>
        <v>5.84</v>
      </c>
      <c r="M436" s="417">
        <f t="shared" si="66"/>
        <v>386.42599999999999</v>
      </c>
      <c r="N436" s="417">
        <f t="shared" si="66"/>
        <v>0.58399999999999996</v>
      </c>
      <c r="O436" s="417">
        <f t="shared" si="66"/>
        <v>5.84</v>
      </c>
      <c r="P436" s="417">
        <f t="shared" si="66"/>
        <v>83.04</v>
      </c>
      <c r="Q436" s="417">
        <f t="shared" si="66"/>
        <v>0</v>
      </c>
      <c r="R436" s="417">
        <f t="shared" si="66"/>
        <v>0</v>
      </c>
      <c r="S436" s="417">
        <f t="shared" si="66"/>
        <v>0.73799999999999999</v>
      </c>
      <c r="Y436" s="378">
        <f>H436+I436+J436+K436+L436+M436+N436+O436+P436+Q436+R436+S436</f>
        <v>738.154</v>
      </c>
    </row>
    <row r="437" spans="1:25">
      <c r="C437" s="417"/>
      <c r="D437" s="417"/>
      <c r="E437" s="417"/>
      <c r="F437" s="417"/>
    </row>
    <row r="438" spans="1:25">
      <c r="B438" s="454" t="s">
        <v>95</v>
      </c>
      <c r="C438" s="417"/>
      <c r="D438" s="417"/>
      <c r="E438" s="417" t="e">
        <f>E4+E10+E16+E22+E28+E34+E40+E46+E52+E58+E64+E70+E76+E82+E88+E94+E100+E106+#REF!+#REF!+#REF!+E130+E136+E142+E148+E154+E160+E166+E172+E178+E184+E190+E196+E202+E208+E214+E220+E226+E232+E238+E244+E250+E256+E262+E268+E274+E280+E286+E292+E298+E304+E310+E316+E322+E328+E334+E340+E346+E352+E358</f>
        <v>#REF!</v>
      </c>
      <c r="F438" s="417"/>
      <c r="H438" s="378" t="s">
        <v>86</v>
      </c>
      <c r="I438" s="378">
        <f>H436+K436+N436+Q436</f>
        <v>1.9059999999999999</v>
      </c>
    </row>
    <row r="439" spans="1:25">
      <c r="B439" s="454" t="s">
        <v>97</v>
      </c>
      <c r="C439" s="417"/>
      <c r="D439" s="417"/>
      <c r="E439" s="417" t="e">
        <f>E5+E11+E17+E23+E29+E35+E41+E47+E53+E59+E65+E71+E77+E83+E89+E95+E101+E107+#REF!+#REF!+#REF!+E131+E137+E143+E149+E155+E161+E167+E173+E179+E185+E191+E197+E204+E209+E215+E221+E227+E233+E239+E245+E251+E257+E263+E269+E275+E281+E287+E293+E299+E305+E311+E317+E323+E329+E335+E341+E347+E353+E359</f>
        <v>#REF!</v>
      </c>
      <c r="F439" s="417"/>
      <c r="H439" s="378" t="s">
        <v>87</v>
      </c>
      <c r="I439" s="378">
        <f>I436+L436+O436+R436</f>
        <v>17.52</v>
      </c>
    </row>
    <row r="440" spans="1:25">
      <c r="B440" s="454" t="s">
        <v>99</v>
      </c>
      <c r="C440" s="417"/>
      <c r="D440" s="417"/>
      <c r="E440" s="417" t="e">
        <f>E6+E12+E18+E24+E30+E36+E42+E48+E54+E60+E66+E72+E78+E84+E90+E96+E102+E108+#REF!+#REF!+#REF!+E132+E138+E144+E150+E156+E162+E168+E174+E180+E186+E192+E198+E204+E210+E216+E222+E228+E234+E240+E246+E252+E258+E264+E270+E276+E282+E288+E294+E300+E306+E312+E318+E324+E330+E336+E342+E348+E354+E360</f>
        <v>#REF!</v>
      </c>
      <c r="F440" s="417"/>
      <c r="H440" s="378" t="s">
        <v>116</v>
      </c>
      <c r="I440" s="378">
        <f>J436+M436+P436+S436</f>
        <v>718.72799999999995</v>
      </c>
    </row>
    <row r="441" spans="1:25">
      <c r="B441" s="454" t="s">
        <v>101</v>
      </c>
      <c r="C441" s="417"/>
      <c r="D441" s="417"/>
      <c r="E441" s="417" t="e">
        <f>E9+E15+E21+E27+E33+E39+E45+E51+E57+E63+E69+E75+E81+E87+E93+E99+E105+E111+#REF!+#REF!+#REF!+E135+E141+E147+E153+E159+E163+E169+E175+E181+E187+E193+E199+E205+E211+E217+E223+E229+E235+E241+E247+E253+E259+E265+E271+E277+E283+E289+E295+E301+E307+E313+E319+E325+E331+E337+E343+E349+E355+E361</f>
        <v>#REF!</v>
      </c>
      <c r="F441" s="417"/>
      <c r="I441" s="378">
        <f>SUM(I438:I440)</f>
        <v>738.154</v>
      </c>
    </row>
    <row r="442" spans="1:25">
      <c r="B442" s="454" t="s">
        <v>104</v>
      </c>
      <c r="C442" s="417"/>
      <c r="D442" s="417"/>
      <c r="E442" s="417" t="e">
        <f>E10+E16+E22+E28+E34+E40+E46+E52+E58+E64+E70+E76+E82+E88+E94+E100+E106+#REF!+#REF!+#REF!+E130+E136+E142+E148+E154+E160+E165+E171+E177+E183+E189+E195+E201+E207+E213+E219+E225+E231+E237+E243+E249+E255+E261+E267+E273+E279+E285+E291+E297+E304+#REF!+E314+E320+E326+E332+E338+E344+E350+E356+E362+E368+E374</f>
        <v>#REF!</v>
      </c>
      <c r="F442" s="417"/>
    </row>
    <row r="443" spans="1:25">
      <c r="C443" s="417"/>
      <c r="D443" s="417"/>
      <c r="E443" s="417"/>
      <c r="F443" s="417"/>
    </row>
    <row r="464" ht="13.35"/>
    <row r="465" spans="2:8" ht="17.100000000000001">
      <c r="B465" s="848" t="s">
        <v>117</v>
      </c>
      <c r="C465" s="848"/>
      <c r="D465" s="456" t="s">
        <v>118</v>
      </c>
      <c r="E465" s="457" t="s">
        <v>119</v>
      </c>
      <c r="F465" s="458">
        <v>40</v>
      </c>
      <c r="G465" s="458">
        <v>50</v>
      </c>
      <c r="H465" s="459" t="s">
        <v>120</v>
      </c>
    </row>
    <row r="466" spans="2:8" ht="14.45">
      <c r="B466" s="858" t="s">
        <v>121</v>
      </c>
      <c r="C466" s="858"/>
      <c r="D466" s="859" t="s">
        <v>122</v>
      </c>
      <c r="E466" s="859"/>
      <c r="F466" s="461">
        <v>0</v>
      </c>
      <c r="G466" s="461">
        <v>0</v>
      </c>
      <c r="H466" s="461">
        <v>0</v>
      </c>
    </row>
    <row r="467" spans="2:8" ht="14.45">
      <c r="B467" s="858"/>
      <c r="C467" s="858"/>
      <c r="D467" s="859"/>
      <c r="E467" s="859"/>
      <c r="F467" s="462">
        <v>0</v>
      </c>
      <c r="G467" s="462">
        <v>0</v>
      </c>
      <c r="H467" s="463"/>
    </row>
    <row r="468" spans="2:8" ht="14.45">
      <c r="B468" s="858"/>
      <c r="C468" s="858"/>
      <c r="D468" s="860" t="s">
        <v>123</v>
      </c>
      <c r="E468" s="860"/>
      <c r="F468" s="461">
        <v>0</v>
      </c>
      <c r="G468" s="464">
        <v>0</v>
      </c>
      <c r="H468" s="461">
        <v>0</v>
      </c>
    </row>
    <row r="469" spans="2:8" ht="14.45">
      <c r="B469" s="858"/>
      <c r="C469" s="858"/>
      <c r="D469" s="860"/>
      <c r="E469" s="860"/>
      <c r="F469" s="462">
        <v>3750</v>
      </c>
      <c r="G469" s="462">
        <v>1500</v>
      </c>
      <c r="H469" s="463"/>
    </row>
    <row r="470" spans="2:8" ht="14.45">
      <c r="B470" s="858" t="s">
        <v>124</v>
      </c>
      <c r="C470" s="858"/>
      <c r="D470" s="859" t="s">
        <v>122</v>
      </c>
      <c r="E470" s="859"/>
      <c r="F470" s="464">
        <v>0</v>
      </c>
      <c r="G470" s="464">
        <v>0</v>
      </c>
      <c r="H470" s="461">
        <v>0</v>
      </c>
    </row>
    <row r="471" spans="2:8" ht="14.45">
      <c r="B471" s="858"/>
      <c r="C471" s="858"/>
      <c r="D471" s="859"/>
      <c r="E471" s="859"/>
      <c r="F471" s="462">
        <v>0</v>
      </c>
      <c r="G471" s="462">
        <v>0</v>
      </c>
      <c r="H471" s="463"/>
    </row>
    <row r="472" spans="2:8" ht="14.45">
      <c r="B472" s="858"/>
      <c r="C472" s="858"/>
      <c r="D472" s="860" t="s">
        <v>123</v>
      </c>
      <c r="E472" s="860"/>
      <c r="F472" s="464">
        <v>0</v>
      </c>
      <c r="G472" s="464">
        <v>1000</v>
      </c>
      <c r="H472" s="461">
        <v>0</v>
      </c>
    </row>
    <row r="473" spans="2:8" ht="14.45">
      <c r="B473" s="858"/>
      <c r="C473" s="858"/>
      <c r="D473" s="860"/>
      <c r="E473" s="860"/>
      <c r="F473" s="462">
        <v>0</v>
      </c>
      <c r="G473" s="462">
        <v>4500</v>
      </c>
      <c r="H473" s="463"/>
    </row>
    <row r="474" spans="2:8" ht="14.45">
      <c r="B474" s="849" t="s">
        <v>125</v>
      </c>
      <c r="C474" s="850"/>
      <c r="D474" s="850"/>
      <c r="E474" s="851"/>
      <c r="F474" s="465">
        <v>3750</v>
      </c>
      <c r="G474" s="465">
        <v>7000</v>
      </c>
      <c r="H474" s="465">
        <v>0</v>
      </c>
    </row>
    <row r="475" spans="2:8" ht="17.100000000000001">
      <c r="B475" s="852" t="s">
        <v>126</v>
      </c>
      <c r="C475" s="853"/>
      <c r="D475" s="460" t="s">
        <v>118</v>
      </c>
      <c r="E475" s="457" t="s">
        <v>127</v>
      </c>
      <c r="F475" s="466">
        <v>40</v>
      </c>
      <c r="G475" s="466">
        <v>50</v>
      </c>
      <c r="H475" s="458" t="s">
        <v>120</v>
      </c>
    </row>
    <row r="476" spans="2:8" ht="14.45">
      <c r="B476" s="858" t="s">
        <v>121</v>
      </c>
      <c r="C476" s="858"/>
      <c r="D476" s="859" t="s">
        <v>122</v>
      </c>
      <c r="E476" s="859"/>
      <c r="F476" s="464">
        <v>0</v>
      </c>
      <c r="G476" s="464">
        <v>0</v>
      </c>
      <c r="H476" s="464">
        <v>0</v>
      </c>
    </row>
    <row r="477" spans="2:8" ht="14.45">
      <c r="B477" s="858"/>
      <c r="C477" s="858"/>
      <c r="D477" s="859"/>
      <c r="E477" s="859"/>
      <c r="F477" s="462">
        <v>0</v>
      </c>
      <c r="G477" s="462">
        <v>0</v>
      </c>
      <c r="H477" s="467"/>
    </row>
    <row r="478" spans="2:8" ht="14.45">
      <c r="B478" s="858"/>
      <c r="C478" s="858"/>
      <c r="D478" s="860" t="s">
        <v>123</v>
      </c>
      <c r="E478" s="860"/>
      <c r="F478" s="464">
        <v>0</v>
      </c>
      <c r="G478" s="464">
        <v>1500</v>
      </c>
      <c r="H478" s="464">
        <v>0</v>
      </c>
    </row>
    <row r="479" spans="2:8" ht="14.45">
      <c r="B479" s="858"/>
      <c r="C479" s="858"/>
      <c r="D479" s="860"/>
      <c r="E479" s="860"/>
      <c r="F479" s="462">
        <v>0</v>
      </c>
      <c r="G479" s="462">
        <v>3000</v>
      </c>
      <c r="H479" s="467"/>
    </row>
    <row r="480" spans="2:8" ht="14.45">
      <c r="B480" s="858" t="s">
        <v>124</v>
      </c>
      <c r="C480" s="858"/>
      <c r="D480" s="859" t="s">
        <v>122</v>
      </c>
      <c r="E480" s="859"/>
      <c r="F480" s="464">
        <v>0</v>
      </c>
      <c r="G480" s="464">
        <v>0</v>
      </c>
      <c r="H480" s="464"/>
    </row>
    <row r="481" spans="2:8" ht="14.45">
      <c r="B481" s="858"/>
      <c r="C481" s="858"/>
      <c r="D481" s="859"/>
      <c r="E481" s="859"/>
      <c r="F481" s="462">
        <v>0</v>
      </c>
      <c r="G481" s="462">
        <v>0</v>
      </c>
      <c r="H481" s="467"/>
    </row>
    <row r="482" spans="2:8" ht="14.45">
      <c r="B482" s="858"/>
      <c r="C482" s="858"/>
      <c r="D482" s="860" t="s">
        <v>123</v>
      </c>
      <c r="E482" s="860"/>
      <c r="F482" s="464">
        <v>0</v>
      </c>
      <c r="G482" s="464">
        <v>1000</v>
      </c>
      <c r="H482" s="464">
        <v>0</v>
      </c>
    </row>
    <row r="483" spans="2:8" ht="14.45">
      <c r="B483" s="858"/>
      <c r="C483" s="858"/>
      <c r="D483" s="860"/>
      <c r="E483" s="860"/>
      <c r="F483" s="462">
        <v>0</v>
      </c>
      <c r="G483" s="462">
        <v>4000</v>
      </c>
      <c r="H483" s="467"/>
    </row>
    <row r="484" spans="2:8" ht="14.45">
      <c r="B484" s="854" t="s">
        <v>125</v>
      </c>
      <c r="C484" s="854"/>
      <c r="D484" s="854"/>
      <c r="E484" s="854"/>
      <c r="F484" s="465">
        <v>0</v>
      </c>
      <c r="G484" s="465">
        <v>9500</v>
      </c>
      <c r="H484" s="465">
        <v>0</v>
      </c>
    </row>
    <row r="485" spans="2:8" ht="13.35"/>
  </sheetData>
  <mergeCells count="32">
    <mergeCell ref="B466:C469"/>
    <mergeCell ref="D466:E467"/>
    <mergeCell ref="D468:E469"/>
    <mergeCell ref="B470:C473"/>
    <mergeCell ref="D470:E471"/>
    <mergeCell ref="D472:E473"/>
    <mergeCell ref="A1:A3"/>
    <mergeCell ref="B1:B3"/>
    <mergeCell ref="C1:C3"/>
    <mergeCell ref="D1:D3"/>
    <mergeCell ref="E1:E3"/>
    <mergeCell ref="AD2:AJ2"/>
    <mergeCell ref="B465:C465"/>
    <mergeCell ref="B474:E474"/>
    <mergeCell ref="B475:C475"/>
    <mergeCell ref="B484:E484"/>
    <mergeCell ref="F1:F3"/>
    <mergeCell ref="G1:G3"/>
    <mergeCell ref="T1:T3"/>
    <mergeCell ref="X1:X3"/>
    <mergeCell ref="Y1:Y3"/>
    <mergeCell ref="B480:C483"/>
    <mergeCell ref="D480:E481"/>
    <mergeCell ref="D482:E483"/>
    <mergeCell ref="B476:C479"/>
    <mergeCell ref="D476:E477"/>
    <mergeCell ref="D478:E479"/>
    <mergeCell ref="H1:S1"/>
    <mergeCell ref="H2:J2"/>
    <mergeCell ref="K2:M2"/>
    <mergeCell ref="N2:P2"/>
    <mergeCell ref="Q2:S2"/>
  </mergeCells>
  <pageMargins left="0.7" right="0.7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J423"/>
  <sheetViews>
    <sheetView zoomScale="80" zoomScaleNormal="80" workbookViewId="0">
      <pane ySplit="3" topLeftCell="A172" activePane="bottomLeft" state="frozen"/>
      <selection pane="bottomLeft" activeCell="P157" sqref="P157"/>
    </sheetView>
  </sheetViews>
  <sheetFormatPr defaultColWidth="14.125" defaultRowHeight="12.6"/>
  <cols>
    <col min="1" max="1" width="13.125" style="378" customWidth="1"/>
    <col min="2" max="2" width="12.5" style="378" customWidth="1"/>
    <col min="3" max="3" width="13.75" style="378" customWidth="1"/>
    <col min="4" max="4" width="11" style="378" customWidth="1"/>
    <col min="5" max="5" width="13.5" style="378" customWidth="1"/>
    <col min="6" max="6" width="12.875" style="378" customWidth="1"/>
    <col min="7" max="7" width="14" style="378" customWidth="1"/>
    <col min="8" max="8" width="11.75" style="378" customWidth="1"/>
    <col min="9" max="9" width="7.875" style="378" customWidth="1"/>
    <col min="10" max="10" width="8.875" style="378" customWidth="1"/>
    <col min="11" max="11" width="13.875" style="378" customWidth="1"/>
    <col min="12" max="12" width="12.125" style="378" customWidth="1"/>
    <col min="13" max="13" width="13.875" style="378" customWidth="1"/>
    <col min="14" max="14" width="8.25" style="378" customWidth="1"/>
    <col min="15" max="15" width="8.5" style="378" customWidth="1"/>
    <col min="16" max="16" width="13.875" style="378" customWidth="1"/>
    <col min="17" max="17" width="6" style="378" customWidth="1"/>
    <col min="18" max="18" width="5" style="378" customWidth="1"/>
    <col min="19" max="19" width="8.875" style="378" customWidth="1"/>
    <col min="20" max="20" width="8.75" style="378" customWidth="1"/>
    <col min="21" max="21" width="1.5" style="378" customWidth="1"/>
    <col min="22" max="22" width="1" style="378" customWidth="1"/>
    <col min="23" max="23" width="4" style="378" customWidth="1"/>
    <col min="24" max="24" width="9.5" style="378" customWidth="1"/>
    <col min="25" max="25" width="8.25" style="378" customWidth="1"/>
    <col min="26" max="28" width="14.125" style="378"/>
    <col min="29" max="29" width="7.75" style="378" customWidth="1"/>
    <col min="30" max="33" width="14.125" style="378"/>
    <col min="34" max="34" width="19" style="378" customWidth="1"/>
    <col min="35" max="258" width="14.125" style="378"/>
    <col min="259" max="259" width="11.25" style="378" customWidth="1"/>
    <col min="260" max="260" width="13.25" style="378" customWidth="1"/>
    <col min="261" max="261" width="17.25" style="378" customWidth="1"/>
    <col min="262" max="262" width="8.875" style="378" customWidth="1"/>
    <col min="263" max="263" width="10.25" style="378" customWidth="1"/>
    <col min="264" max="264" width="12.5" style="378" customWidth="1"/>
    <col min="265" max="265" width="12.75" style="378" customWidth="1"/>
    <col min="266" max="266" width="6" style="378" customWidth="1"/>
    <col min="267" max="267" width="5" style="378" customWidth="1"/>
    <col min="268" max="268" width="13.875" style="378" customWidth="1"/>
    <col min="269" max="269" width="6" style="378" customWidth="1"/>
    <col min="270" max="270" width="5" style="378" customWidth="1"/>
    <col min="271" max="271" width="13.875" style="378" customWidth="1"/>
    <col min="272" max="272" width="6" style="378" customWidth="1"/>
    <col min="273" max="273" width="5" style="378" customWidth="1"/>
    <col min="274" max="274" width="13.875" style="378" customWidth="1"/>
    <col min="275" max="275" width="6" style="378" customWidth="1"/>
    <col min="276" max="276" width="5" style="378" customWidth="1"/>
    <col min="277" max="277" width="13.875" style="378" customWidth="1"/>
    <col min="278" max="278" width="14" style="378" customWidth="1"/>
    <col min="279" max="514" width="14.125" style="378"/>
    <col min="515" max="515" width="11.25" style="378" customWidth="1"/>
    <col min="516" max="516" width="13.25" style="378" customWidth="1"/>
    <col min="517" max="517" width="17.25" style="378" customWidth="1"/>
    <col min="518" max="518" width="8.875" style="378" customWidth="1"/>
    <col min="519" max="519" width="10.25" style="378" customWidth="1"/>
    <col min="520" max="520" width="12.5" style="378" customWidth="1"/>
    <col min="521" max="521" width="12.75" style="378" customWidth="1"/>
    <col min="522" max="522" width="6" style="378" customWidth="1"/>
    <col min="523" max="523" width="5" style="378" customWidth="1"/>
    <col min="524" max="524" width="13.875" style="378" customWidth="1"/>
    <col min="525" max="525" width="6" style="378" customWidth="1"/>
    <col min="526" max="526" width="5" style="378" customWidth="1"/>
    <col min="527" max="527" width="13.875" style="378" customWidth="1"/>
    <col min="528" max="528" width="6" style="378" customWidth="1"/>
    <col min="529" max="529" width="5" style="378" customWidth="1"/>
    <col min="530" max="530" width="13.875" style="378" customWidth="1"/>
    <col min="531" max="531" width="6" style="378" customWidth="1"/>
    <col min="532" max="532" width="5" style="378" customWidth="1"/>
    <col min="533" max="533" width="13.875" style="378" customWidth="1"/>
    <col min="534" max="534" width="14" style="378" customWidth="1"/>
    <col min="535" max="770" width="14.125" style="378"/>
    <col min="771" max="771" width="11.25" style="378" customWidth="1"/>
    <col min="772" max="772" width="13.25" style="378" customWidth="1"/>
    <col min="773" max="773" width="17.25" style="378" customWidth="1"/>
    <col min="774" max="774" width="8.875" style="378" customWidth="1"/>
    <col min="775" max="775" width="10.25" style="378" customWidth="1"/>
    <col min="776" max="776" width="12.5" style="378" customWidth="1"/>
    <col min="777" max="777" width="12.75" style="378" customWidth="1"/>
    <col min="778" max="778" width="6" style="378" customWidth="1"/>
    <col min="779" max="779" width="5" style="378" customWidth="1"/>
    <col min="780" max="780" width="13.875" style="378" customWidth="1"/>
    <col min="781" max="781" width="6" style="378" customWidth="1"/>
    <col min="782" max="782" width="5" style="378" customWidth="1"/>
    <col min="783" max="783" width="13.875" style="378" customWidth="1"/>
    <col min="784" max="784" width="6" style="378" customWidth="1"/>
    <col min="785" max="785" width="5" style="378" customWidth="1"/>
    <col min="786" max="786" width="13.875" style="378" customWidth="1"/>
    <col min="787" max="787" width="6" style="378" customWidth="1"/>
    <col min="788" max="788" width="5" style="378" customWidth="1"/>
    <col min="789" max="789" width="13.875" style="378" customWidth="1"/>
    <col min="790" max="790" width="14" style="378" customWidth="1"/>
    <col min="791" max="1026" width="14.125" style="378"/>
    <col min="1027" max="1027" width="11.25" style="378" customWidth="1"/>
    <col min="1028" max="1028" width="13.25" style="378" customWidth="1"/>
    <col min="1029" max="1029" width="17.25" style="378" customWidth="1"/>
    <col min="1030" max="1030" width="8.875" style="378" customWidth="1"/>
    <col min="1031" max="1031" width="10.25" style="378" customWidth="1"/>
    <col min="1032" max="1032" width="12.5" style="378" customWidth="1"/>
    <col min="1033" max="1033" width="12.75" style="378" customWidth="1"/>
    <col min="1034" max="1034" width="6" style="378" customWidth="1"/>
    <col min="1035" max="1035" width="5" style="378" customWidth="1"/>
    <col min="1036" max="1036" width="13.875" style="378" customWidth="1"/>
    <col min="1037" max="1037" width="6" style="378" customWidth="1"/>
    <col min="1038" max="1038" width="5" style="378" customWidth="1"/>
    <col min="1039" max="1039" width="13.875" style="378" customWidth="1"/>
    <col min="1040" max="1040" width="6" style="378" customWidth="1"/>
    <col min="1041" max="1041" width="5" style="378" customWidth="1"/>
    <col min="1042" max="1042" width="13.875" style="378" customWidth="1"/>
    <col min="1043" max="1043" width="6" style="378" customWidth="1"/>
    <col min="1044" max="1044" width="5" style="378" customWidth="1"/>
    <col min="1045" max="1045" width="13.875" style="378" customWidth="1"/>
    <col min="1046" max="1046" width="14" style="378" customWidth="1"/>
    <col min="1047" max="1282" width="14.125" style="378"/>
    <col min="1283" max="1283" width="11.25" style="378" customWidth="1"/>
    <col min="1284" max="1284" width="13.25" style="378" customWidth="1"/>
    <col min="1285" max="1285" width="17.25" style="378" customWidth="1"/>
    <col min="1286" max="1286" width="8.875" style="378" customWidth="1"/>
    <col min="1287" max="1287" width="10.25" style="378" customWidth="1"/>
    <col min="1288" max="1288" width="12.5" style="378" customWidth="1"/>
    <col min="1289" max="1289" width="12.75" style="378" customWidth="1"/>
    <col min="1290" max="1290" width="6" style="378" customWidth="1"/>
    <col min="1291" max="1291" width="5" style="378" customWidth="1"/>
    <col min="1292" max="1292" width="13.875" style="378" customWidth="1"/>
    <col min="1293" max="1293" width="6" style="378" customWidth="1"/>
    <col min="1294" max="1294" width="5" style="378" customWidth="1"/>
    <col min="1295" max="1295" width="13.875" style="378" customWidth="1"/>
    <col min="1296" max="1296" width="6" style="378" customWidth="1"/>
    <col min="1297" max="1297" width="5" style="378" customWidth="1"/>
    <col min="1298" max="1298" width="13.875" style="378" customWidth="1"/>
    <col min="1299" max="1299" width="6" style="378" customWidth="1"/>
    <col min="1300" max="1300" width="5" style="378" customWidth="1"/>
    <col min="1301" max="1301" width="13.875" style="378" customWidth="1"/>
    <col min="1302" max="1302" width="14" style="378" customWidth="1"/>
    <col min="1303" max="1538" width="14.125" style="378"/>
    <col min="1539" max="1539" width="11.25" style="378" customWidth="1"/>
    <col min="1540" max="1540" width="13.25" style="378" customWidth="1"/>
    <col min="1541" max="1541" width="17.25" style="378" customWidth="1"/>
    <col min="1542" max="1542" width="8.875" style="378" customWidth="1"/>
    <col min="1543" max="1543" width="10.25" style="378" customWidth="1"/>
    <col min="1544" max="1544" width="12.5" style="378" customWidth="1"/>
    <col min="1545" max="1545" width="12.75" style="378" customWidth="1"/>
    <col min="1546" max="1546" width="6" style="378" customWidth="1"/>
    <col min="1547" max="1547" width="5" style="378" customWidth="1"/>
    <col min="1548" max="1548" width="13.875" style="378" customWidth="1"/>
    <col min="1549" max="1549" width="6" style="378" customWidth="1"/>
    <col min="1550" max="1550" width="5" style="378" customWidth="1"/>
    <col min="1551" max="1551" width="13.875" style="378" customWidth="1"/>
    <col min="1552" max="1552" width="6" style="378" customWidth="1"/>
    <col min="1553" max="1553" width="5" style="378" customWidth="1"/>
    <col min="1554" max="1554" width="13.875" style="378" customWidth="1"/>
    <col min="1555" max="1555" width="6" style="378" customWidth="1"/>
    <col min="1556" max="1556" width="5" style="378" customWidth="1"/>
    <col min="1557" max="1557" width="13.875" style="378" customWidth="1"/>
    <col min="1558" max="1558" width="14" style="378" customWidth="1"/>
    <col min="1559" max="1794" width="14.125" style="378"/>
    <col min="1795" max="1795" width="11.25" style="378" customWidth="1"/>
    <col min="1796" max="1796" width="13.25" style="378" customWidth="1"/>
    <col min="1797" max="1797" width="17.25" style="378" customWidth="1"/>
    <col min="1798" max="1798" width="8.875" style="378" customWidth="1"/>
    <col min="1799" max="1799" width="10.25" style="378" customWidth="1"/>
    <col min="1800" max="1800" width="12.5" style="378" customWidth="1"/>
    <col min="1801" max="1801" width="12.75" style="378" customWidth="1"/>
    <col min="1802" max="1802" width="6" style="378" customWidth="1"/>
    <col min="1803" max="1803" width="5" style="378" customWidth="1"/>
    <col min="1804" max="1804" width="13.875" style="378" customWidth="1"/>
    <col min="1805" max="1805" width="6" style="378" customWidth="1"/>
    <col min="1806" max="1806" width="5" style="378" customWidth="1"/>
    <col min="1807" max="1807" width="13.875" style="378" customWidth="1"/>
    <col min="1808" max="1808" width="6" style="378" customWidth="1"/>
    <col min="1809" max="1809" width="5" style="378" customWidth="1"/>
    <col min="1810" max="1810" width="13.875" style="378" customWidth="1"/>
    <col min="1811" max="1811" width="6" style="378" customWidth="1"/>
    <col min="1812" max="1812" width="5" style="378" customWidth="1"/>
    <col min="1813" max="1813" width="13.875" style="378" customWidth="1"/>
    <col min="1814" max="1814" width="14" style="378" customWidth="1"/>
    <col min="1815" max="2050" width="14.125" style="378"/>
    <col min="2051" max="2051" width="11.25" style="378" customWidth="1"/>
    <col min="2052" max="2052" width="13.25" style="378" customWidth="1"/>
    <col min="2053" max="2053" width="17.25" style="378" customWidth="1"/>
    <col min="2054" max="2054" width="8.875" style="378" customWidth="1"/>
    <col min="2055" max="2055" width="10.25" style="378" customWidth="1"/>
    <col min="2056" max="2056" width="12.5" style="378" customWidth="1"/>
    <col min="2057" max="2057" width="12.75" style="378" customWidth="1"/>
    <col min="2058" max="2058" width="6" style="378" customWidth="1"/>
    <col min="2059" max="2059" width="5" style="378" customWidth="1"/>
    <col min="2060" max="2060" width="13.875" style="378" customWidth="1"/>
    <col min="2061" max="2061" width="6" style="378" customWidth="1"/>
    <col min="2062" max="2062" width="5" style="378" customWidth="1"/>
    <col min="2063" max="2063" width="13.875" style="378" customWidth="1"/>
    <col min="2064" max="2064" width="6" style="378" customWidth="1"/>
    <col min="2065" max="2065" width="5" style="378" customWidth="1"/>
    <col min="2066" max="2066" width="13.875" style="378" customWidth="1"/>
    <col min="2067" max="2067" width="6" style="378" customWidth="1"/>
    <col min="2068" max="2068" width="5" style="378" customWidth="1"/>
    <col min="2069" max="2069" width="13.875" style="378" customWidth="1"/>
    <col min="2070" max="2070" width="14" style="378" customWidth="1"/>
    <col min="2071" max="2306" width="14.125" style="378"/>
    <col min="2307" max="2307" width="11.25" style="378" customWidth="1"/>
    <col min="2308" max="2308" width="13.25" style="378" customWidth="1"/>
    <col min="2309" max="2309" width="17.25" style="378" customWidth="1"/>
    <col min="2310" max="2310" width="8.875" style="378" customWidth="1"/>
    <col min="2311" max="2311" width="10.25" style="378" customWidth="1"/>
    <col min="2312" max="2312" width="12.5" style="378" customWidth="1"/>
    <col min="2313" max="2313" width="12.75" style="378" customWidth="1"/>
    <col min="2314" max="2314" width="6" style="378" customWidth="1"/>
    <col min="2315" max="2315" width="5" style="378" customWidth="1"/>
    <col min="2316" max="2316" width="13.875" style="378" customWidth="1"/>
    <col min="2317" max="2317" width="6" style="378" customWidth="1"/>
    <col min="2318" max="2318" width="5" style="378" customWidth="1"/>
    <col min="2319" max="2319" width="13.875" style="378" customWidth="1"/>
    <col min="2320" max="2320" width="6" style="378" customWidth="1"/>
    <col min="2321" max="2321" width="5" style="378" customWidth="1"/>
    <col min="2322" max="2322" width="13.875" style="378" customWidth="1"/>
    <col min="2323" max="2323" width="6" style="378" customWidth="1"/>
    <col min="2324" max="2324" width="5" style="378" customWidth="1"/>
    <col min="2325" max="2325" width="13.875" style="378" customWidth="1"/>
    <col min="2326" max="2326" width="14" style="378" customWidth="1"/>
    <col min="2327" max="2562" width="14.125" style="378"/>
    <col min="2563" max="2563" width="11.25" style="378" customWidth="1"/>
    <col min="2564" max="2564" width="13.25" style="378" customWidth="1"/>
    <col min="2565" max="2565" width="17.25" style="378" customWidth="1"/>
    <col min="2566" max="2566" width="8.875" style="378" customWidth="1"/>
    <col min="2567" max="2567" width="10.25" style="378" customWidth="1"/>
    <col min="2568" max="2568" width="12.5" style="378" customWidth="1"/>
    <col min="2569" max="2569" width="12.75" style="378" customWidth="1"/>
    <col min="2570" max="2570" width="6" style="378" customWidth="1"/>
    <col min="2571" max="2571" width="5" style="378" customWidth="1"/>
    <col min="2572" max="2572" width="13.875" style="378" customWidth="1"/>
    <col min="2573" max="2573" width="6" style="378" customWidth="1"/>
    <col min="2574" max="2574" width="5" style="378" customWidth="1"/>
    <col min="2575" max="2575" width="13.875" style="378" customWidth="1"/>
    <col min="2576" max="2576" width="6" style="378" customWidth="1"/>
    <col min="2577" max="2577" width="5" style="378" customWidth="1"/>
    <col min="2578" max="2578" width="13.875" style="378" customWidth="1"/>
    <col min="2579" max="2579" width="6" style="378" customWidth="1"/>
    <col min="2580" max="2580" width="5" style="378" customWidth="1"/>
    <col min="2581" max="2581" width="13.875" style="378" customWidth="1"/>
    <col min="2582" max="2582" width="14" style="378" customWidth="1"/>
    <col min="2583" max="2818" width="14.125" style="378"/>
    <col min="2819" max="2819" width="11.25" style="378" customWidth="1"/>
    <col min="2820" max="2820" width="13.25" style="378" customWidth="1"/>
    <col min="2821" max="2821" width="17.25" style="378" customWidth="1"/>
    <col min="2822" max="2822" width="8.875" style="378" customWidth="1"/>
    <col min="2823" max="2823" width="10.25" style="378" customWidth="1"/>
    <col min="2824" max="2824" width="12.5" style="378" customWidth="1"/>
    <col min="2825" max="2825" width="12.75" style="378" customWidth="1"/>
    <col min="2826" max="2826" width="6" style="378" customWidth="1"/>
    <col min="2827" max="2827" width="5" style="378" customWidth="1"/>
    <col min="2828" max="2828" width="13.875" style="378" customWidth="1"/>
    <col min="2829" max="2829" width="6" style="378" customWidth="1"/>
    <col min="2830" max="2830" width="5" style="378" customWidth="1"/>
    <col min="2831" max="2831" width="13.875" style="378" customWidth="1"/>
    <col min="2832" max="2832" width="6" style="378" customWidth="1"/>
    <col min="2833" max="2833" width="5" style="378" customWidth="1"/>
    <col min="2834" max="2834" width="13.875" style="378" customWidth="1"/>
    <col min="2835" max="2835" width="6" style="378" customWidth="1"/>
    <col min="2836" max="2836" width="5" style="378" customWidth="1"/>
    <col min="2837" max="2837" width="13.875" style="378" customWidth="1"/>
    <col min="2838" max="2838" width="14" style="378" customWidth="1"/>
    <col min="2839" max="3074" width="14.125" style="378"/>
    <col min="3075" max="3075" width="11.25" style="378" customWidth="1"/>
    <col min="3076" max="3076" width="13.25" style="378" customWidth="1"/>
    <col min="3077" max="3077" width="17.25" style="378" customWidth="1"/>
    <col min="3078" max="3078" width="8.875" style="378" customWidth="1"/>
    <col min="3079" max="3079" width="10.25" style="378" customWidth="1"/>
    <col min="3080" max="3080" width="12.5" style="378" customWidth="1"/>
    <col min="3081" max="3081" width="12.75" style="378" customWidth="1"/>
    <col min="3082" max="3082" width="6" style="378" customWidth="1"/>
    <col min="3083" max="3083" width="5" style="378" customWidth="1"/>
    <col min="3084" max="3084" width="13.875" style="378" customWidth="1"/>
    <col min="3085" max="3085" width="6" style="378" customWidth="1"/>
    <col min="3086" max="3086" width="5" style="378" customWidth="1"/>
    <col min="3087" max="3087" width="13.875" style="378" customWidth="1"/>
    <col min="3088" max="3088" width="6" style="378" customWidth="1"/>
    <col min="3089" max="3089" width="5" style="378" customWidth="1"/>
    <col min="3090" max="3090" width="13.875" style="378" customWidth="1"/>
    <col min="3091" max="3091" width="6" style="378" customWidth="1"/>
    <col min="3092" max="3092" width="5" style="378" customWidth="1"/>
    <col min="3093" max="3093" width="13.875" style="378" customWidth="1"/>
    <col min="3094" max="3094" width="14" style="378" customWidth="1"/>
    <col min="3095" max="3330" width="14.125" style="378"/>
    <col min="3331" max="3331" width="11.25" style="378" customWidth="1"/>
    <col min="3332" max="3332" width="13.25" style="378" customWidth="1"/>
    <col min="3333" max="3333" width="17.25" style="378" customWidth="1"/>
    <col min="3334" max="3334" width="8.875" style="378" customWidth="1"/>
    <col min="3335" max="3335" width="10.25" style="378" customWidth="1"/>
    <col min="3336" max="3336" width="12.5" style="378" customWidth="1"/>
    <col min="3337" max="3337" width="12.75" style="378" customWidth="1"/>
    <col min="3338" max="3338" width="6" style="378" customWidth="1"/>
    <col min="3339" max="3339" width="5" style="378" customWidth="1"/>
    <col min="3340" max="3340" width="13.875" style="378" customWidth="1"/>
    <col min="3341" max="3341" width="6" style="378" customWidth="1"/>
    <col min="3342" max="3342" width="5" style="378" customWidth="1"/>
    <col min="3343" max="3343" width="13.875" style="378" customWidth="1"/>
    <col min="3344" max="3344" width="6" style="378" customWidth="1"/>
    <col min="3345" max="3345" width="5" style="378" customWidth="1"/>
    <col min="3346" max="3346" width="13.875" style="378" customWidth="1"/>
    <col min="3347" max="3347" width="6" style="378" customWidth="1"/>
    <col min="3348" max="3348" width="5" style="378" customWidth="1"/>
    <col min="3349" max="3349" width="13.875" style="378" customWidth="1"/>
    <col min="3350" max="3350" width="14" style="378" customWidth="1"/>
    <col min="3351" max="3586" width="14.125" style="378"/>
    <col min="3587" max="3587" width="11.25" style="378" customWidth="1"/>
    <col min="3588" max="3588" width="13.25" style="378" customWidth="1"/>
    <col min="3589" max="3589" width="17.25" style="378" customWidth="1"/>
    <col min="3590" max="3590" width="8.875" style="378" customWidth="1"/>
    <col min="3591" max="3591" width="10.25" style="378" customWidth="1"/>
    <col min="3592" max="3592" width="12.5" style="378" customWidth="1"/>
    <col min="3593" max="3593" width="12.75" style="378" customWidth="1"/>
    <col min="3594" max="3594" width="6" style="378" customWidth="1"/>
    <col min="3595" max="3595" width="5" style="378" customWidth="1"/>
    <col min="3596" max="3596" width="13.875" style="378" customWidth="1"/>
    <col min="3597" max="3597" width="6" style="378" customWidth="1"/>
    <col min="3598" max="3598" width="5" style="378" customWidth="1"/>
    <col min="3599" max="3599" width="13.875" style="378" customWidth="1"/>
    <col min="3600" max="3600" width="6" style="378" customWidth="1"/>
    <col min="3601" max="3601" width="5" style="378" customWidth="1"/>
    <col min="3602" max="3602" width="13.875" style="378" customWidth="1"/>
    <col min="3603" max="3603" width="6" style="378" customWidth="1"/>
    <col min="3604" max="3604" width="5" style="378" customWidth="1"/>
    <col min="3605" max="3605" width="13.875" style="378" customWidth="1"/>
    <col min="3606" max="3606" width="14" style="378" customWidth="1"/>
    <col min="3607" max="3842" width="14.125" style="378"/>
    <col min="3843" max="3843" width="11.25" style="378" customWidth="1"/>
    <col min="3844" max="3844" width="13.25" style="378" customWidth="1"/>
    <col min="3845" max="3845" width="17.25" style="378" customWidth="1"/>
    <col min="3846" max="3846" width="8.875" style="378" customWidth="1"/>
    <col min="3847" max="3847" width="10.25" style="378" customWidth="1"/>
    <col min="3848" max="3848" width="12.5" style="378" customWidth="1"/>
    <col min="3849" max="3849" width="12.75" style="378" customWidth="1"/>
    <col min="3850" max="3850" width="6" style="378" customWidth="1"/>
    <col min="3851" max="3851" width="5" style="378" customWidth="1"/>
    <col min="3852" max="3852" width="13.875" style="378" customWidth="1"/>
    <col min="3853" max="3853" width="6" style="378" customWidth="1"/>
    <col min="3854" max="3854" width="5" style="378" customWidth="1"/>
    <col min="3855" max="3855" width="13.875" style="378" customWidth="1"/>
    <col min="3856" max="3856" width="6" style="378" customWidth="1"/>
    <col min="3857" max="3857" width="5" style="378" customWidth="1"/>
    <col min="3858" max="3858" width="13.875" style="378" customWidth="1"/>
    <col min="3859" max="3859" width="6" style="378" customWidth="1"/>
    <col min="3860" max="3860" width="5" style="378" customWidth="1"/>
    <col min="3861" max="3861" width="13.875" style="378" customWidth="1"/>
    <col min="3862" max="3862" width="14" style="378" customWidth="1"/>
    <col min="3863" max="4098" width="14.125" style="378"/>
    <col min="4099" max="4099" width="11.25" style="378" customWidth="1"/>
    <col min="4100" max="4100" width="13.25" style="378" customWidth="1"/>
    <col min="4101" max="4101" width="17.25" style="378" customWidth="1"/>
    <col min="4102" max="4102" width="8.875" style="378" customWidth="1"/>
    <col min="4103" max="4103" width="10.25" style="378" customWidth="1"/>
    <col min="4104" max="4104" width="12.5" style="378" customWidth="1"/>
    <col min="4105" max="4105" width="12.75" style="378" customWidth="1"/>
    <col min="4106" max="4106" width="6" style="378" customWidth="1"/>
    <col min="4107" max="4107" width="5" style="378" customWidth="1"/>
    <col min="4108" max="4108" width="13.875" style="378" customWidth="1"/>
    <col min="4109" max="4109" width="6" style="378" customWidth="1"/>
    <col min="4110" max="4110" width="5" style="378" customWidth="1"/>
    <col min="4111" max="4111" width="13.875" style="378" customWidth="1"/>
    <col min="4112" max="4112" width="6" style="378" customWidth="1"/>
    <col min="4113" max="4113" width="5" style="378" customWidth="1"/>
    <col min="4114" max="4114" width="13.875" style="378" customWidth="1"/>
    <col min="4115" max="4115" width="6" style="378" customWidth="1"/>
    <col min="4116" max="4116" width="5" style="378" customWidth="1"/>
    <col min="4117" max="4117" width="13.875" style="378" customWidth="1"/>
    <col min="4118" max="4118" width="14" style="378" customWidth="1"/>
    <col min="4119" max="4354" width="14.125" style="378"/>
    <col min="4355" max="4355" width="11.25" style="378" customWidth="1"/>
    <col min="4356" max="4356" width="13.25" style="378" customWidth="1"/>
    <col min="4357" max="4357" width="17.25" style="378" customWidth="1"/>
    <col min="4358" max="4358" width="8.875" style="378" customWidth="1"/>
    <col min="4359" max="4359" width="10.25" style="378" customWidth="1"/>
    <col min="4360" max="4360" width="12.5" style="378" customWidth="1"/>
    <col min="4361" max="4361" width="12.75" style="378" customWidth="1"/>
    <col min="4362" max="4362" width="6" style="378" customWidth="1"/>
    <col min="4363" max="4363" width="5" style="378" customWidth="1"/>
    <col min="4364" max="4364" width="13.875" style="378" customWidth="1"/>
    <col min="4365" max="4365" width="6" style="378" customWidth="1"/>
    <col min="4366" max="4366" width="5" style="378" customWidth="1"/>
    <col min="4367" max="4367" width="13.875" style="378" customWidth="1"/>
    <col min="4368" max="4368" width="6" style="378" customWidth="1"/>
    <col min="4369" max="4369" width="5" style="378" customWidth="1"/>
    <col min="4370" max="4370" width="13.875" style="378" customWidth="1"/>
    <col min="4371" max="4371" width="6" style="378" customWidth="1"/>
    <col min="4372" max="4372" width="5" style="378" customWidth="1"/>
    <col min="4373" max="4373" width="13.875" style="378" customWidth="1"/>
    <col min="4374" max="4374" width="14" style="378" customWidth="1"/>
    <col min="4375" max="4610" width="14.125" style="378"/>
    <col min="4611" max="4611" width="11.25" style="378" customWidth="1"/>
    <col min="4612" max="4612" width="13.25" style="378" customWidth="1"/>
    <col min="4613" max="4613" width="17.25" style="378" customWidth="1"/>
    <col min="4614" max="4614" width="8.875" style="378" customWidth="1"/>
    <col min="4615" max="4615" width="10.25" style="378" customWidth="1"/>
    <col min="4616" max="4616" width="12.5" style="378" customWidth="1"/>
    <col min="4617" max="4617" width="12.75" style="378" customWidth="1"/>
    <col min="4618" max="4618" width="6" style="378" customWidth="1"/>
    <col min="4619" max="4619" width="5" style="378" customWidth="1"/>
    <col min="4620" max="4620" width="13.875" style="378" customWidth="1"/>
    <col min="4621" max="4621" width="6" style="378" customWidth="1"/>
    <col min="4622" max="4622" width="5" style="378" customWidth="1"/>
    <col min="4623" max="4623" width="13.875" style="378" customWidth="1"/>
    <col min="4624" max="4624" width="6" style="378" customWidth="1"/>
    <col min="4625" max="4625" width="5" style="378" customWidth="1"/>
    <col min="4626" max="4626" width="13.875" style="378" customWidth="1"/>
    <col min="4627" max="4627" width="6" style="378" customWidth="1"/>
    <col min="4628" max="4628" width="5" style="378" customWidth="1"/>
    <col min="4629" max="4629" width="13.875" style="378" customWidth="1"/>
    <col min="4630" max="4630" width="14" style="378" customWidth="1"/>
    <col min="4631" max="4866" width="14.125" style="378"/>
    <col min="4867" max="4867" width="11.25" style="378" customWidth="1"/>
    <col min="4868" max="4868" width="13.25" style="378" customWidth="1"/>
    <col min="4869" max="4869" width="17.25" style="378" customWidth="1"/>
    <col min="4870" max="4870" width="8.875" style="378" customWidth="1"/>
    <col min="4871" max="4871" width="10.25" style="378" customWidth="1"/>
    <col min="4872" max="4872" width="12.5" style="378" customWidth="1"/>
    <col min="4873" max="4873" width="12.75" style="378" customWidth="1"/>
    <col min="4874" max="4874" width="6" style="378" customWidth="1"/>
    <col min="4875" max="4875" width="5" style="378" customWidth="1"/>
    <col min="4876" max="4876" width="13.875" style="378" customWidth="1"/>
    <col min="4877" max="4877" width="6" style="378" customWidth="1"/>
    <col min="4878" max="4878" width="5" style="378" customWidth="1"/>
    <col min="4879" max="4879" width="13.875" style="378" customWidth="1"/>
    <col min="4880" max="4880" width="6" style="378" customWidth="1"/>
    <col min="4881" max="4881" width="5" style="378" customWidth="1"/>
    <col min="4882" max="4882" width="13.875" style="378" customWidth="1"/>
    <col min="4883" max="4883" width="6" style="378" customWidth="1"/>
    <col min="4884" max="4884" width="5" style="378" customWidth="1"/>
    <col min="4885" max="4885" width="13.875" style="378" customWidth="1"/>
    <col min="4886" max="4886" width="14" style="378" customWidth="1"/>
    <col min="4887" max="5122" width="14.125" style="378"/>
    <col min="5123" max="5123" width="11.25" style="378" customWidth="1"/>
    <col min="5124" max="5124" width="13.25" style="378" customWidth="1"/>
    <col min="5125" max="5125" width="17.25" style="378" customWidth="1"/>
    <col min="5126" max="5126" width="8.875" style="378" customWidth="1"/>
    <col min="5127" max="5127" width="10.25" style="378" customWidth="1"/>
    <col min="5128" max="5128" width="12.5" style="378" customWidth="1"/>
    <col min="5129" max="5129" width="12.75" style="378" customWidth="1"/>
    <col min="5130" max="5130" width="6" style="378" customWidth="1"/>
    <col min="5131" max="5131" width="5" style="378" customWidth="1"/>
    <col min="5132" max="5132" width="13.875" style="378" customWidth="1"/>
    <col min="5133" max="5133" width="6" style="378" customWidth="1"/>
    <col min="5134" max="5134" width="5" style="378" customWidth="1"/>
    <col min="5135" max="5135" width="13.875" style="378" customWidth="1"/>
    <col min="5136" max="5136" width="6" style="378" customWidth="1"/>
    <col min="5137" max="5137" width="5" style="378" customWidth="1"/>
    <col min="5138" max="5138" width="13.875" style="378" customWidth="1"/>
    <col min="5139" max="5139" width="6" style="378" customWidth="1"/>
    <col min="5140" max="5140" width="5" style="378" customWidth="1"/>
    <col min="5141" max="5141" width="13.875" style="378" customWidth="1"/>
    <col min="5142" max="5142" width="14" style="378" customWidth="1"/>
    <col min="5143" max="5378" width="14.125" style="378"/>
    <col min="5379" max="5379" width="11.25" style="378" customWidth="1"/>
    <col min="5380" max="5380" width="13.25" style="378" customWidth="1"/>
    <col min="5381" max="5381" width="17.25" style="378" customWidth="1"/>
    <col min="5382" max="5382" width="8.875" style="378" customWidth="1"/>
    <col min="5383" max="5383" width="10.25" style="378" customWidth="1"/>
    <col min="5384" max="5384" width="12.5" style="378" customWidth="1"/>
    <col min="5385" max="5385" width="12.75" style="378" customWidth="1"/>
    <col min="5386" max="5386" width="6" style="378" customWidth="1"/>
    <col min="5387" max="5387" width="5" style="378" customWidth="1"/>
    <col min="5388" max="5388" width="13.875" style="378" customWidth="1"/>
    <col min="5389" max="5389" width="6" style="378" customWidth="1"/>
    <col min="5390" max="5390" width="5" style="378" customWidth="1"/>
    <col min="5391" max="5391" width="13.875" style="378" customWidth="1"/>
    <col min="5392" max="5392" width="6" style="378" customWidth="1"/>
    <col min="5393" max="5393" width="5" style="378" customWidth="1"/>
    <col min="5394" max="5394" width="13.875" style="378" customWidth="1"/>
    <col min="5395" max="5395" width="6" style="378" customWidth="1"/>
    <col min="5396" max="5396" width="5" style="378" customWidth="1"/>
    <col min="5397" max="5397" width="13.875" style="378" customWidth="1"/>
    <col min="5398" max="5398" width="14" style="378" customWidth="1"/>
    <col min="5399" max="5634" width="14.125" style="378"/>
    <col min="5635" max="5635" width="11.25" style="378" customWidth="1"/>
    <col min="5636" max="5636" width="13.25" style="378" customWidth="1"/>
    <col min="5637" max="5637" width="17.25" style="378" customWidth="1"/>
    <col min="5638" max="5638" width="8.875" style="378" customWidth="1"/>
    <col min="5639" max="5639" width="10.25" style="378" customWidth="1"/>
    <col min="5640" max="5640" width="12.5" style="378" customWidth="1"/>
    <col min="5641" max="5641" width="12.75" style="378" customWidth="1"/>
    <col min="5642" max="5642" width="6" style="378" customWidth="1"/>
    <col min="5643" max="5643" width="5" style="378" customWidth="1"/>
    <col min="5644" max="5644" width="13.875" style="378" customWidth="1"/>
    <col min="5645" max="5645" width="6" style="378" customWidth="1"/>
    <col min="5646" max="5646" width="5" style="378" customWidth="1"/>
    <col min="5647" max="5647" width="13.875" style="378" customWidth="1"/>
    <col min="5648" max="5648" width="6" style="378" customWidth="1"/>
    <col min="5649" max="5649" width="5" style="378" customWidth="1"/>
    <col min="5650" max="5650" width="13.875" style="378" customWidth="1"/>
    <col min="5651" max="5651" width="6" style="378" customWidth="1"/>
    <col min="5652" max="5652" width="5" style="378" customWidth="1"/>
    <col min="5653" max="5653" width="13.875" style="378" customWidth="1"/>
    <col min="5654" max="5654" width="14" style="378" customWidth="1"/>
    <col min="5655" max="5890" width="14.125" style="378"/>
    <col min="5891" max="5891" width="11.25" style="378" customWidth="1"/>
    <col min="5892" max="5892" width="13.25" style="378" customWidth="1"/>
    <col min="5893" max="5893" width="17.25" style="378" customWidth="1"/>
    <col min="5894" max="5894" width="8.875" style="378" customWidth="1"/>
    <col min="5895" max="5895" width="10.25" style="378" customWidth="1"/>
    <col min="5896" max="5896" width="12.5" style="378" customWidth="1"/>
    <col min="5897" max="5897" width="12.75" style="378" customWidth="1"/>
    <col min="5898" max="5898" width="6" style="378" customWidth="1"/>
    <col min="5899" max="5899" width="5" style="378" customWidth="1"/>
    <col min="5900" max="5900" width="13.875" style="378" customWidth="1"/>
    <col min="5901" max="5901" width="6" style="378" customWidth="1"/>
    <col min="5902" max="5902" width="5" style="378" customWidth="1"/>
    <col min="5903" max="5903" width="13.875" style="378" customWidth="1"/>
    <col min="5904" max="5904" width="6" style="378" customWidth="1"/>
    <col min="5905" max="5905" width="5" style="378" customWidth="1"/>
    <col min="5906" max="5906" width="13.875" style="378" customWidth="1"/>
    <col min="5907" max="5907" width="6" style="378" customWidth="1"/>
    <col min="5908" max="5908" width="5" style="378" customWidth="1"/>
    <col min="5909" max="5909" width="13.875" style="378" customWidth="1"/>
    <col min="5910" max="5910" width="14" style="378" customWidth="1"/>
    <col min="5911" max="6146" width="14.125" style="378"/>
    <col min="6147" max="6147" width="11.25" style="378" customWidth="1"/>
    <col min="6148" max="6148" width="13.25" style="378" customWidth="1"/>
    <col min="6149" max="6149" width="17.25" style="378" customWidth="1"/>
    <col min="6150" max="6150" width="8.875" style="378" customWidth="1"/>
    <col min="6151" max="6151" width="10.25" style="378" customWidth="1"/>
    <col min="6152" max="6152" width="12.5" style="378" customWidth="1"/>
    <col min="6153" max="6153" width="12.75" style="378" customWidth="1"/>
    <col min="6154" max="6154" width="6" style="378" customWidth="1"/>
    <col min="6155" max="6155" width="5" style="378" customWidth="1"/>
    <col min="6156" max="6156" width="13.875" style="378" customWidth="1"/>
    <col min="6157" max="6157" width="6" style="378" customWidth="1"/>
    <col min="6158" max="6158" width="5" style="378" customWidth="1"/>
    <col min="6159" max="6159" width="13.875" style="378" customWidth="1"/>
    <col min="6160" max="6160" width="6" style="378" customWidth="1"/>
    <col min="6161" max="6161" width="5" style="378" customWidth="1"/>
    <col min="6162" max="6162" width="13.875" style="378" customWidth="1"/>
    <col min="6163" max="6163" width="6" style="378" customWidth="1"/>
    <col min="6164" max="6164" width="5" style="378" customWidth="1"/>
    <col min="6165" max="6165" width="13.875" style="378" customWidth="1"/>
    <col min="6166" max="6166" width="14" style="378" customWidth="1"/>
    <col min="6167" max="6402" width="14.125" style="378"/>
    <col min="6403" max="6403" width="11.25" style="378" customWidth="1"/>
    <col min="6404" max="6404" width="13.25" style="378" customWidth="1"/>
    <col min="6405" max="6405" width="17.25" style="378" customWidth="1"/>
    <col min="6406" max="6406" width="8.875" style="378" customWidth="1"/>
    <col min="6407" max="6407" width="10.25" style="378" customWidth="1"/>
    <col min="6408" max="6408" width="12.5" style="378" customWidth="1"/>
    <col min="6409" max="6409" width="12.75" style="378" customWidth="1"/>
    <col min="6410" max="6410" width="6" style="378" customWidth="1"/>
    <col min="6411" max="6411" width="5" style="378" customWidth="1"/>
    <col min="6412" max="6412" width="13.875" style="378" customWidth="1"/>
    <col min="6413" max="6413" width="6" style="378" customWidth="1"/>
    <col min="6414" max="6414" width="5" style="378" customWidth="1"/>
    <col min="6415" max="6415" width="13.875" style="378" customWidth="1"/>
    <col min="6416" max="6416" width="6" style="378" customWidth="1"/>
    <col min="6417" max="6417" width="5" style="378" customWidth="1"/>
    <col min="6418" max="6418" width="13.875" style="378" customWidth="1"/>
    <col min="6419" max="6419" width="6" style="378" customWidth="1"/>
    <col min="6420" max="6420" width="5" style="378" customWidth="1"/>
    <col min="6421" max="6421" width="13.875" style="378" customWidth="1"/>
    <col min="6422" max="6422" width="14" style="378" customWidth="1"/>
    <col min="6423" max="6658" width="14.125" style="378"/>
    <col min="6659" max="6659" width="11.25" style="378" customWidth="1"/>
    <col min="6660" max="6660" width="13.25" style="378" customWidth="1"/>
    <col min="6661" max="6661" width="17.25" style="378" customWidth="1"/>
    <col min="6662" max="6662" width="8.875" style="378" customWidth="1"/>
    <col min="6663" max="6663" width="10.25" style="378" customWidth="1"/>
    <col min="6664" max="6664" width="12.5" style="378" customWidth="1"/>
    <col min="6665" max="6665" width="12.75" style="378" customWidth="1"/>
    <col min="6666" max="6666" width="6" style="378" customWidth="1"/>
    <col min="6667" max="6667" width="5" style="378" customWidth="1"/>
    <col min="6668" max="6668" width="13.875" style="378" customWidth="1"/>
    <col min="6669" max="6669" width="6" style="378" customWidth="1"/>
    <col min="6670" max="6670" width="5" style="378" customWidth="1"/>
    <col min="6671" max="6671" width="13.875" style="378" customWidth="1"/>
    <col min="6672" max="6672" width="6" style="378" customWidth="1"/>
    <col min="6673" max="6673" width="5" style="378" customWidth="1"/>
    <col min="6674" max="6674" width="13.875" style="378" customWidth="1"/>
    <col min="6675" max="6675" width="6" style="378" customWidth="1"/>
    <col min="6676" max="6676" width="5" style="378" customWidth="1"/>
    <col min="6677" max="6677" width="13.875" style="378" customWidth="1"/>
    <col min="6678" max="6678" width="14" style="378" customWidth="1"/>
    <col min="6679" max="6914" width="14.125" style="378"/>
    <col min="6915" max="6915" width="11.25" style="378" customWidth="1"/>
    <col min="6916" max="6916" width="13.25" style="378" customWidth="1"/>
    <col min="6917" max="6917" width="17.25" style="378" customWidth="1"/>
    <col min="6918" max="6918" width="8.875" style="378" customWidth="1"/>
    <col min="6919" max="6919" width="10.25" style="378" customWidth="1"/>
    <col min="6920" max="6920" width="12.5" style="378" customWidth="1"/>
    <col min="6921" max="6921" width="12.75" style="378" customWidth="1"/>
    <col min="6922" max="6922" width="6" style="378" customWidth="1"/>
    <col min="6923" max="6923" width="5" style="378" customWidth="1"/>
    <col min="6924" max="6924" width="13.875" style="378" customWidth="1"/>
    <col min="6925" max="6925" width="6" style="378" customWidth="1"/>
    <col min="6926" max="6926" width="5" style="378" customWidth="1"/>
    <col min="6927" max="6927" width="13.875" style="378" customWidth="1"/>
    <col min="6928" max="6928" width="6" style="378" customWidth="1"/>
    <col min="6929" max="6929" width="5" style="378" customWidth="1"/>
    <col min="6930" max="6930" width="13.875" style="378" customWidth="1"/>
    <col min="6931" max="6931" width="6" style="378" customWidth="1"/>
    <col min="6932" max="6932" width="5" style="378" customWidth="1"/>
    <col min="6933" max="6933" width="13.875" style="378" customWidth="1"/>
    <col min="6934" max="6934" width="14" style="378" customWidth="1"/>
    <col min="6935" max="7170" width="14.125" style="378"/>
    <col min="7171" max="7171" width="11.25" style="378" customWidth="1"/>
    <col min="7172" max="7172" width="13.25" style="378" customWidth="1"/>
    <col min="7173" max="7173" width="17.25" style="378" customWidth="1"/>
    <col min="7174" max="7174" width="8.875" style="378" customWidth="1"/>
    <col min="7175" max="7175" width="10.25" style="378" customWidth="1"/>
    <col min="7176" max="7176" width="12.5" style="378" customWidth="1"/>
    <col min="7177" max="7177" width="12.75" style="378" customWidth="1"/>
    <col min="7178" max="7178" width="6" style="378" customWidth="1"/>
    <col min="7179" max="7179" width="5" style="378" customWidth="1"/>
    <col min="7180" max="7180" width="13.875" style="378" customWidth="1"/>
    <col min="7181" max="7181" width="6" style="378" customWidth="1"/>
    <col min="7182" max="7182" width="5" style="378" customWidth="1"/>
    <col min="7183" max="7183" width="13.875" style="378" customWidth="1"/>
    <col min="7184" max="7184" width="6" style="378" customWidth="1"/>
    <col min="7185" max="7185" width="5" style="378" customWidth="1"/>
    <col min="7186" max="7186" width="13.875" style="378" customWidth="1"/>
    <col min="7187" max="7187" width="6" style="378" customWidth="1"/>
    <col min="7188" max="7188" width="5" style="378" customWidth="1"/>
    <col min="7189" max="7189" width="13.875" style="378" customWidth="1"/>
    <col min="7190" max="7190" width="14" style="378" customWidth="1"/>
    <col min="7191" max="7426" width="14.125" style="378"/>
    <col min="7427" max="7427" width="11.25" style="378" customWidth="1"/>
    <col min="7428" max="7428" width="13.25" style="378" customWidth="1"/>
    <col min="7429" max="7429" width="17.25" style="378" customWidth="1"/>
    <col min="7430" max="7430" width="8.875" style="378" customWidth="1"/>
    <col min="7431" max="7431" width="10.25" style="378" customWidth="1"/>
    <col min="7432" max="7432" width="12.5" style="378" customWidth="1"/>
    <col min="7433" max="7433" width="12.75" style="378" customWidth="1"/>
    <col min="7434" max="7434" width="6" style="378" customWidth="1"/>
    <col min="7435" max="7435" width="5" style="378" customWidth="1"/>
    <col min="7436" max="7436" width="13.875" style="378" customWidth="1"/>
    <col min="7437" max="7437" width="6" style="378" customWidth="1"/>
    <col min="7438" max="7438" width="5" style="378" customWidth="1"/>
    <col min="7439" max="7439" width="13.875" style="378" customWidth="1"/>
    <col min="7440" max="7440" width="6" style="378" customWidth="1"/>
    <col min="7441" max="7441" width="5" style="378" customWidth="1"/>
    <col min="7442" max="7442" width="13.875" style="378" customWidth="1"/>
    <col min="7443" max="7443" width="6" style="378" customWidth="1"/>
    <col min="7444" max="7444" width="5" style="378" customWidth="1"/>
    <col min="7445" max="7445" width="13.875" style="378" customWidth="1"/>
    <col min="7446" max="7446" width="14" style="378" customWidth="1"/>
    <col min="7447" max="7682" width="14.125" style="378"/>
    <col min="7683" max="7683" width="11.25" style="378" customWidth="1"/>
    <col min="7684" max="7684" width="13.25" style="378" customWidth="1"/>
    <col min="7685" max="7685" width="17.25" style="378" customWidth="1"/>
    <col min="7686" max="7686" width="8.875" style="378" customWidth="1"/>
    <col min="7687" max="7687" width="10.25" style="378" customWidth="1"/>
    <col min="7688" max="7688" width="12.5" style="378" customWidth="1"/>
    <col min="7689" max="7689" width="12.75" style="378" customWidth="1"/>
    <col min="7690" max="7690" width="6" style="378" customWidth="1"/>
    <col min="7691" max="7691" width="5" style="378" customWidth="1"/>
    <col min="7692" max="7692" width="13.875" style="378" customWidth="1"/>
    <col min="7693" max="7693" width="6" style="378" customWidth="1"/>
    <col min="7694" max="7694" width="5" style="378" customWidth="1"/>
    <col min="7695" max="7695" width="13.875" style="378" customWidth="1"/>
    <col min="7696" max="7696" width="6" style="378" customWidth="1"/>
    <col min="7697" max="7697" width="5" style="378" customWidth="1"/>
    <col min="7698" max="7698" width="13.875" style="378" customWidth="1"/>
    <col min="7699" max="7699" width="6" style="378" customWidth="1"/>
    <col min="7700" max="7700" width="5" style="378" customWidth="1"/>
    <col min="7701" max="7701" width="13.875" style="378" customWidth="1"/>
    <col min="7702" max="7702" width="14" style="378" customWidth="1"/>
    <col min="7703" max="7938" width="14.125" style="378"/>
    <col min="7939" max="7939" width="11.25" style="378" customWidth="1"/>
    <col min="7940" max="7940" width="13.25" style="378" customWidth="1"/>
    <col min="7941" max="7941" width="17.25" style="378" customWidth="1"/>
    <col min="7942" max="7942" width="8.875" style="378" customWidth="1"/>
    <col min="7943" max="7943" width="10.25" style="378" customWidth="1"/>
    <col min="7944" max="7944" width="12.5" style="378" customWidth="1"/>
    <col min="7945" max="7945" width="12.75" style="378" customWidth="1"/>
    <col min="7946" max="7946" width="6" style="378" customWidth="1"/>
    <col min="7947" max="7947" width="5" style="378" customWidth="1"/>
    <col min="7948" max="7948" width="13.875" style="378" customWidth="1"/>
    <col min="7949" max="7949" width="6" style="378" customWidth="1"/>
    <col min="7950" max="7950" width="5" style="378" customWidth="1"/>
    <col min="7951" max="7951" width="13.875" style="378" customWidth="1"/>
    <col min="7952" max="7952" width="6" style="378" customWidth="1"/>
    <col min="7953" max="7953" width="5" style="378" customWidth="1"/>
    <col min="7954" max="7954" width="13.875" style="378" customWidth="1"/>
    <col min="7955" max="7955" width="6" style="378" customWidth="1"/>
    <col min="7956" max="7956" width="5" style="378" customWidth="1"/>
    <col min="7957" max="7957" width="13.875" style="378" customWidth="1"/>
    <col min="7958" max="7958" width="14" style="378" customWidth="1"/>
    <col min="7959" max="8194" width="14.125" style="378"/>
    <col min="8195" max="8195" width="11.25" style="378" customWidth="1"/>
    <col min="8196" max="8196" width="13.25" style="378" customWidth="1"/>
    <col min="8197" max="8197" width="17.25" style="378" customWidth="1"/>
    <col min="8198" max="8198" width="8.875" style="378" customWidth="1"/>
    <col min="8199" max="8199" width="10.25" style="378" customWidth="1"/>
    <col min="8200" max="8200" width="12.5" style="378" customWidth="1"/>
    <col min="8201" max="8201" width="12.75" style="378" customWidth="1"/>
    <col min="8202" max="8202" width="6" style="378" customWidth="1"/>
    <col min="8203" max="8203" width="5" style="378" customWidth="1"/>
    <col min="8204" max="8204" width="13.875" style="378" customWidth="1"/>
    <col min="8205" max="8205" width="6" style="378" customWidth="1"/>
    <col min="8206" max="8206" width="5" style="378" customWidth="1"/>
    <col min="8207" max="8207" width="13.875" style="378" customWidth="1"/>
    <col min="8208" max="8208" width="6" style="378" customWidth="1"/>
    <col min="8209" max="8209" width="5" style="378" customWidth="1"/>
    <col min="8210" max="8210" width="13.875" style="378" customWidth="1"/>
    <col min="8211" max="8211" width="6" style="378" customWidth="1"/>
    <col min="8212" max="8212" width="5" style="378" customWidth="1"/>
    <col min="8213" max="8213" width="13.875" style="378" customWidth="1"/>
    <col min="8214" max="8214" width="14" style="378" customWidth="1"/>
    <col min="8215" max="8450" width="14.125" style="378"/>
    <col min="8451" max="8451" width="11.25" style="378" customWidth="1"/>
    <col min="8452" max="8452" width="13.25" style="378" customWidth="1"/>
    <col min="8453" max="8453" width="17.25" style="378" customWidth="1"/>
    <col min="8454" max="8454" width="8.875" style="378" customWidth="1"/>
    <col min="8455" max="8455" width="10.25" style="378" customWidth="1"/>
    <col min="8456" max="8456" width="12.5" style="378" customWidth="1"/>
    <col min="8457" max="8457" width="12.75" style="378" customWidth="1"/>
    <col min="8458" max="8458" width="6" style="378" customWidth="1"/>
    <col min="8459" max="8459" width="5" style="378" customWidth="1"/>
    <col min="8460" max="8460" width="13.875" style="378" customWidth="1"/>
    <col min="8461" max="8461" width="6" style="378" customWidth="1"/>
    <col min="8462" max="8462" width="5" style="378" customWidth="1"/>
    <col min="8463" max="8463" width="13.875" style="378" customWidth="1"/>
    <col min="8464" max="8464" width="6" style="378" customWidth="1"/>
    <col min="8465" max="8465" width="5" style="378" customWidth="1"/>
    <col min="8466" max="8466" width="13.875" style="378" customWidth="1"/>
    <col min="8467" max="8467" width="6" style="378" customWidth="1"/>
    <col min="8468" max="8468" width="5" style="378" customWidth="1"/>
    <col min="8469" max="8469" width="13.875" style="378" customWidth="1"/>
    <col min="8470" max="8470" width="14" style="378" customWidth="1"/>
    <col min="8471" max="8706" width="14.125" style="378"/>
    <col min="8707" max="8707" width="11.25" style="378" customWidth="1"/>
    <col min="8708" max="8708" width="13.25" style="378" customWidth="1"/>
    <col min="8709" max="8709" width="17.25" style="378" customWidth="1"/>
    <col min="8710" max="8710" width="8.875" style="378" customWidth="1"/>
    <col min="8711" max="8711" width="10.25" style="378" customWidth="1"/>
    <col min="8712" max="8712" width="12.5" style="378" customWidth="1"/>
    <col min="8713" max="8713" width="12.75" style="378" customWidth="1"/>
    <col min="8714" max="8714" width="6" style="378" customWidth="1"/>
    <col min="8715" max="8715" width="5" style="378" customWidth="1"/>
    <col min="8716" max="8716" width="13.875" style="378" customWidth="1"/>
    <col min="8717" max="8717" width="6" style="378" customWidth="1"/>
    <col min="8718" max="8718" width="5" style="378" customWidth="1"/>
    <col min="8719" max="8719" width="13.875" style="378" customWidth="1"/>
    <col min="8720" max="8720" width="6" style="378" customWidth="1"/>
    <col min="8721" max="8721" width="5" style="378" customWidth="1"/>
    <col min="8722" max="8722" width="13.875" style="378" customWidth="1"/>
    <col min="8723" max="8723" width="6" style="378" customWidth="1"/>
    <col min="8724" max="8724" width="5" style="378" customWidth="1"/>
    <col min="8725" max="8725" width="13.875" style="378" customWidth="1"/>
    <col min="8726" max="8726" width="14" style="378" customWidth="1"/>
    <col min="8727" max="8962" width="14.125" style="378"/>
    <col min="8963" max="8963" width="11.25" style="378" customWidth="1"/>
    <col min="8964" max="8964" width="13.25" style="378" customWidth="1"/>
    <col min="8965" max="8965" width="17.25" style="378" customWidth="1"/>
    <col min="8966" max="8966" width="8.875" style="378" customWidth="1"/>
    <col min="8967" max="8967" width="10.25" style="378" customWidth="1"/>
    <col min="8968" max="8968" width="12.5" style="378" customWidth="1"/>
    <col min="8969" max="8969" width="12.75" style="378" customWidth="1"/>
    <col min="8970" max="8970" width="6" style="378" customWidth="1"/>
    <col min="8971" max="8971" width="5" style="378" customWidth="1"/>
    <col min="8972" max="8972" width="13.875" style="378" customWidth="1"/>
    <col min="8973" max="8973" width="6" style="378" customWidth="1"/>
    <col min="8974" max="8974" width="5" style="378" customWidth="1"/>
    <col min="8975" max="8975" width="13.875" style="378" customWidth="1"/>
    <col min="8976" max="8976" width="6" style="378" customWidth="1"/>
    <col min="8977" max="8977" width="5" style="378" customWidth="1"/>
    <col min="8978" max="8978" width="13.875" style="378" customWidth="1"/>
    <col min="8979" max="8979" width="6" style="378" customWidth="1"/>
    <col min="8980" max="8980" width="5" style="378" customWidth="1"/>
    <col min="8981" max="8981" width="13.875" style="378" customWidth="1"/>
    <col min="8982" max="8982" width="14" style="378" customWidth="1"/>
    <col min="8983" max="9218" width="14.125" style="378"/>
    <col min="9219" max="9219" width="11.25" style="378" customWidth="1"/>
    <col min="9220" max="9220" width="13.25" style="378" customWidth="1"/>
    <col min="9221" max="9221" width="17.25" style="378" customWidth="1"/>
    <col min="9222" max="9222" width="8.875" style="378" customWidth="1"/>
    <col min="9223" max="9223" width="10.25" style="378" customWidth="1"/>
    <col min="9224" max="9224" width="12.5" style="378" customWidth="1"/>
    <col min="9225" max="9225" width="12.75" style="378" customWidth="1"/>
    <col min="9226" max="9226" width="6" style="378" customWidth="1"/>
    <col min="9227" max="9227" width="5" style="378" customWidth="1"/>
    <col min="9228" max="9228" width="13.875" style="378" customWidth="1"/>
    <col min="9229" max="9229" width="6" style="378" customWidth="1"/>
    <col min="9230" max="9230" width="5" style="378" customWidth="1"/>
    <col min="9231" max="9231" width="13.875" style="378" customWidth="1"/>
    <col min="9232" max="9232" width="6" style="378" customWidth="1"/>
    <col min="9233" max="9233" width="5" style="378" customWidth="1"/>
    <col min="9234" max="9234" width="13.875" style="378" customWidth="1"/>
    <col min="9235" max="9235" width="6" style="378" customWidth="1"/>
    <col min="9236" max="9236" width="5" style="378" customWidth="1"/>
    <col min="9237" max="9237" width="13.875" style="378" customWidth="1"/>
    <col min="9238" max="9238" width="14" style="378" customWidth="1"/>
    <col min="9239" max="9474" width="14.125" style="378"/>
    <col min="9475" max="9475" width="11.25" style="378" customWidth="1"/>
    <col min="9476" max="9476" width="13.25" style="378" customWidth="1"/>
    <col min="9477" max="9477" width="17.25" style="378" customWidth="1"/>
    <col min="9478" max="9478" width="8.875" style="378" customWidth="1"/>
    <col min="9479" max="9479" width="10.25" style="378" customWidth="1"/>
    <col min="9480" max="9480" width="12.5" style="378" customWidth="1"/>
    <col min="9481" max="9481" width="12.75" style="378" customWidth="1"/>
    <col min="9482" max="9482" width="6" style="378" customWidth="1"/>
    <col min="9483" max="9483" width="5" style="378" customWidth="1"/>
    <col min="9484" max="9484" width="13.875" style="378" customWidth="1"/>
    <col min="9485" max="9485" width="6" style="378" customWidth="1"/>
    <col min="9486" max="9486" width="5" style="378" customWidth="1"/>
    <col min="9487" max="9487" width="13.875" style="378" customWidth="1"/>
    <col min="9488" max="9488" width="6" style="378" customWidth="1"/>
    <col min="9489" max="9489" width="5" style="378" customWidth="1"/>
    <col min="9490" max="9490" width="13.875" style="378" customWidth="1"/>
    <col min="9491" max="9491" width="6" style="378" customWidth="1"/>
    <col min="9492" max="9492" width="5" style="378" customWidth="1"/>
    <col min="9493" max="9493" width="13.875" style="378" customWidth="1"/>
    <col min="9494" max="9494" width="14" style="378" customWidth="1"/>
    <col min="9495" max="9730" width="14.125" style="378"/>
    <col min="9731" max="9731" width="11.25" style="378" customWidth="1"/>
    <col min="9732" max="9732" width="13.25" style="378" customWidth="1"/>
    <col min="9733" max="9733" width="17.25" style="378" customWidth="1"/>
    <col min="9734" max="9734" width="8.875" style="378" customWidth="1"/>
    <col min="9735" max="9735" width="10.25" style="378" customWidth="1"/>
    <col min="9736" max="9736" width="12.5" style="378" customWidth="1"/>
    <col min="9737" max="9737" width="12.75" style="378" customWidth="1"/>
    <col min="9738" max="9738" width="6" style="378" customWidth="1"/>
    <col min="9739" max="9739" width="5" style="378" customWidth="1"/>
    <col min="9740" max="9740" width="13.875" style="378" customWidth="1"/>
    <col min="9741" max="9741" width="6" style="378" customWidth="1"/>
    <col min="9742" max="9742" width="5" style="378" customWidth="1"/>
    <col min="9743" max="9743" width="13.875" style="378" customWidth="1"/>
    <col min="9744" max="9744" width="6" style="378" customWidth="1"/>
    <col min="9745" max="9745" width="5" style="378" customWidth="1"/>
    <col min="9746" max="9746" width="13.875" style="378" customWidth="1"/>
    <col min="9747" max="9747" width="6" style="378" customWidth="1"/>
    <col min="9748" max="9748" width="5" style="378" customWidth="1"/>
    <col min="9749" max="9749" width="13.875" style="378" customWidth="1"/>
    <col min="9750" max="9750" width="14" style="378" customWidth="1"/>
    <col min="9751" max="9986" width="14.125" style="378"/>
    <col min="9987" max="9987" width="11.25" style="378" customWidth="1"/>
    <col min="9988" max="9988" width="13.25" style="378" customWidth="1"/>
    <col min="9989" max="9989" width="17.25" style="378" customWidth="1"/>
    <col min="9990" max="9990" width="8.875" style="378" customWidth="1"/>
    <col min="9991" max="9991" width="10.25" style="378" customWidth="1"/>
    <col min="9992" max="9992" width="12.5" style="378" customWidth="1"/>
    <col min="9993" max="9993" width="12.75" style="378" customWidth="1"/>
    <col min="9994" max="9994" width="6" style="378" customWidth="1"/>
    <col min="9995" max="9995" width="5" style="378" customWidth="1"/>
    <col min="9996" max="9996" width="13.875" style="378" customWidth="1"/>
    <col min="9997" max="9997" width="6" style="378" customWidth="1"/>
    <col min="9998" max="9998" width="5" style="378" customWidth="1"/>
    <col min="9999" max="9999" width="13.875" style="378" customWidth="1"/>
    <col min="10000" max="10000" width="6" style="378" customWidth="1"/>
    <col min="10001" max="10001" width="5" style="378" customWidth="1"/>
    <col min="10002" max="10002" width="13.875" style="378" customWidth="1"/>
    <col min="10003" max="10003" width="6" style="378" customWidth="1"/>
    <col min="10004" max="10004" width="5" style="378" customWidth="1"/>
    <col min="10005" max="10005" width="13.875" style="378" customWidth="1"/>
    <col min="10006" max="10006" width="14" style="378" customWidth="1"/>
    <col min="10007" max="10242" width="14.125" style="378"/>
    <col min="10243" max="10243" width="11.25" style="378" customWidth="1"/>
    <col min="10244" max="10244" width="13.25" style="378" customWidth="1"/>
    <col min="10245" max="10245" width="17.25" style="378" customWidth="1"/>
    <col min="10246" max="10246" width="8.875" style="378" customWidth="1"/>
    <col min="10247" max="10247" width="10.25" style="378" customWidth="1"/>
    <col min="10248" max="10248" width="12.5" style="378" customWidth="1"/>
    <col min="10249" max="10249" width="12.75" style="378" customWidth="1"/>
    <col min="10250" max="10250" width="6" style="378" customWidth="1"/>
    <col min="10251" max="10251" width="5" style="378" customWidth="1"/>
    <col min="10252" max="10252" width="13.875" style="378" customWidth="1"/>
    <col min="10253" max="10253" width="6" style="378" customWidth="1"/>
    <col min="10254" max="10254" width="5" style="378" customWidth="1"/>
    <col min="10255" max="10255" width="13.875" style="378" customWidth="1"/>
    <col min="10256" max="10256" width="6" style="378" customWidth="1"/>
    <col min="10257" max="10257" width="5" style="378" customWidth="1"/>
    <col min="10258" max="10258" width="13.875" style="378" customWidth="1"/>
    <col min="10259" max="10259" width="6" style="378" customWidth="1"/>
    <col min="10260" max="10260" width="5" style="378" customWidth="1"/>
    <col min="10261" max="10261" width="13.875" style="378" customWidth="1"/>
    <col min="10262" max="10262" width="14" style="378" customWidth="1"/>
    <col min="10263" max="10498" width="14.125" style="378"/>
    <col min="10499" max="10499" width="11.25" style="378" customWidth="1"/>
    <col min="10500" max="10500" width="13.25" style="378" customWidth="1"/>
    <col min="10501" max="10501" width="17.25" style="378" customWidth="1"/>
    <col min="10502" max="10502" width="8.875" style="378" customWidth="1"/>
    <col min="10503" max="10503" width="10.25" style="378" customWidth="1"/>
    <col min="10504" max="10504" width="12.5" style="378" customWidth="1"/>
    <col min="10505" max="10505" width="12.75" style="378" customWidth="1"/>
    <col min="10506" max="10506" width="6" style="378" customWidth="1"/>
    <col min="10507" max="10507" width="5" style="378" customWidth="1"/>
    <col min="10508" max="10508" width="13.875" style="378" customWidth="1"/>
    <col min="10509" max="10509" width="6" style="378" customWidth="1"/>
    <col min="10510" max="10510" width="5" style="378" customWidth="1"/>
    <col min="10511" max="10511" width="13.875" style="378" customWidth="1"/>
    <col min="10512" max="10512" width="6" style="378" customWidth="1"/>
    <col min="10513" max="10513" width="5" style="378" customWidth="1"/>
    <col min="10514" max="10514" width="13.875" style="378" customWidth="1"/>
    <col min="10515" max="10515" width="6" style="378" customWidth="1"/>
    <col min="10516" max="10516" width="5" style="378" customWidth="1"/>
    <col min="10517" max="10517" width="13.875" style="378" customWidth="1"/>
    <col min="10518" max="10518" width="14" style="378" customWidth="1"/>
    <col min="10519" max="10754" width="14.125" style="378"/>
    <col min="10755" max="10755" width="11.25" style="378" customWidth="1"/>
    <col min="10756" max="10756" width="13.25" style="378" customWidth="1"/>
    <col min="10757" max="10757" width="17.25" style="378" customWidth="1"/>
    <col min="10758" max="10758" width="8.875" style="378" customWidth="1"/>
    <col min="10759" max="10759" width="10.25" style="378" customWidth="1"/>
    <col min="10760" max="10760" width="12.5" style="378" customWidth="1"/>
    <col min="10761" max="10761" width="12.75" style="378" customWidth="1"/>
    <col min="10762" max="10762" width="6" style="378" customWidth="1"/>
    <col min="10763" max="10763" width="5" style="378" customWidth="1"/>
    <col min="10764" max="10764" width="13.875" style="378" customWidth="1"/>
    <col min="10765" max="10765" width="6" style="378" customWidth="1"/>
    <col min="10766" max="10766" width="5" style="378" customWidth="1"/>
    <col min="10767" max="10767" width="13.875" style="378" customWidth="1"/>
    <col min="10768" max="10768" width="6" style="378" customWidth="1"/>
    <col min="10769" max="10769" width="5" style="378" customWidth="1"/>
    <col min="10770" max="10770" width="13.875" style="378" customWidth="1"/>
    <col min="10771" max="10771" width="6" style="378" customWidth="1"/>
    <col min="10772" max="10772" width="5" style="378" customWidth="1"/>
    <col min="10773" max="10773" width="13.875" style="378" customWidth="1"/>
    <col min="10774" max="10774" width="14" style="378" customWidth="1"/>
    <col min="10775" max="11010" width="14.125" style="378"/>
    <col min="11011" max="11011" width="11.25" style="378" customWidth="1"/>
    <col min="11012" max="11012" width="13.25" style="378" customWidth="1"/>
    <col min="11013" max="11013" width="17.25" style="378" customWidth="1"/>
    <col min="11014" max="11014" width="8.875" style="378" customWidth="1"/>
    <col min="11015" max="11015" width="10.25" style="378" customWidth="1"/>
    <col min="11016" max="11016" width="12.5" style="378" customWidth="1"/>
    <col min="11017" max="11017" width="12.75" style="378" customWidth="1"/>
    <col min="11018" max="11018" width="6" style="378" customWidth="1"/>
    <col min="11019" max="11019" width="5" style="378" customWidth="1"/>
    <col min="11020" max="11020" width="13.875" style="378" customWidth="1"/>
    <col min="11021" max="11021" width="6" style="378" customWidth="1"/>
    <col min="11022" max="11022" width="5" style="378" customWidth="1"/>
    <col min="11023" max="11023" width="13.875" style="378" customWidth="1"/>
    <col min="11024" max="11024" width="6" style="378" customWidth="1"/>
    <col min="11025" max="11025" width="5" style="378" customWidth="1"/>
    <col min="11026" max="11026" width="13.875" style="378" customWidth="1"/>
    <col min="11027" max="11027" width="6" style="378" customWidth="1"/>
    <col min="11028" max="11028" width="5" style="378" customWidth="1"/>
    <col min="11029" max="11029" width="13.875" style="378" customWidth="1"/>
    <col min="11030" max="11030" width="14" style="378" customWidth="1"/>
    <col min="11031" max="11266" width="14.125" style="378"/>
    <col min="11267" max="11267" width="11.25" style="378" customWidth="1"/>
    <col min="11268" max="11268" width="13.25" style="378" customWidth="1"/>
    <col min="11269" max="11269" width="17.25" style="378" customWidth="1"/>
    <col min="11270" max="11270" width="8.875" style="378" customWidth="1"/>
    <col min="11271" max="11271" width="10.25" style="378" customWidth="1"/>
    <col min="11272" max="11272" width="12.5" style="378" customWidth="1"/>
    <col min="11273" max="11273" width="12.75" style="378" customWidth="1"/>
    <col min="11274" max="11274" width="6" style="378" customWidth="1"/>
    <col min="11275" max="11275" width="5" style="378" customWidth="1"/>
    <col min="11276" max="11276" width="13.875" style="378" customWidth="1"/>
    <col min="11277" max="11277" width="6" style="378" customWidth="1"/>
    <col min="11278" max="11278" width="5" style="378" customWidth="1"/>
    <col min="11279" max="11279" width="13.875" style="378" customWidth="1"/>
    <col min="11280" max="11280" width="6" style="378" customWidth="1"/>
    <col min="11281" max="11281" width="5" style="378" customWidth="1"/>
    <col min="11282" max="11282" width="13.875" style="378" customWidth="1"/>
    <col min="11283" max="11283" width="6" style="378" customWidth="1"/>
    <col min="11284" max="11284" width="5" style="378" customWidth="1"/>
    <col min="11285" max="11285" width="13.875" style="378" customWidth="1"/>
    <col min="11286" max="11286" width="14" style="378" customWidth="1"/>
    <col min="11287" max="11522" width="14.125" style="378"/>
    <col min="11523" max="11523" width="11.25" style="378" customWidth="1"/>
    <col min="11524" max="11524" width="13.25" style="378" customWidth="1"/>
    <col min="11525" max="11525" width="17.25" style="378" customWidth="1"/>
    <col min="11526" max="11526" width="8.875" style="378" customWidth="1"/>
    <col min="11527" max="11527" width="10.25" style="378" customWidth="1"/>
    <col min="11528" max="11528" width="12.5" style="378" customWidth="1"/>
    <col min="11529" max="11529" width="12.75" style="378" customWidth="1"/>
    <col min="11530" max="11530" width="6" style="378" customWidth="1"/>
    <col min="11531" max="11531" width="5" style="378" customWidth="1"/>
    <col min="11532" max="11532" width="13.875" style="378" customWidth="1"/>
    <col min="11533" max="11533" width="6" style="378" customWidth="1"/>
    <col min="11534" max="11534" width="5" style="378" customWidth="1"/>
    <col min="11535" max="11535" width="13.875" style="378" customWidth="1"/>
    <col min="11536" max="11536" width="6" style="378" customWidth="1"/>
    <col min="11537" max="11537" width="5" style="378" customWidth="1"/>
    <col min="11538" max="11538" width="13.875" style="378" customWidth="1"/>
    <col min="11539" max="11539" width="6" style="378" customWidth="1"/>
    <col min="11540" max="11540" width="5" style="378" customWidth="1"/>
    <col min="11541" max="11541" width="13.875" style="378" customWidth="1"/>
    <col min="11542" max="11542" width="14" style="378" customWidth="1"/>
    <col min="11543" max="11778" width="14.125" style="378"/>
    <col min="11779" max="11779" width="11.25" style="378" customWidth="1"/>
    <col min="11780" max="11780" width="13.25" style="378" customWidth="1"/>
    <col min="11781" max="11781" width="17.25" style="378" customWidth="1"/>
    <col min="11782" max="11782" width="8.875" style="378" customWidth="1"/>
    <col min="11783" max="11783" width="10.25" style="378" customWidth="1"/>
    <col min="11784" max="11784" width="12.5" style="378" customWidth="1"/>
    <col min="11785" max="11785" width="12.75" style="378" customWidth="1"/>
    <col min="11786" max="11786" width="6" style="378" customWidth="1"/>
    <col min="11787" max="11787" width="5" style="378" customWidth="1"/>
    <col min="11788" max="11788" width="13.875" style="378" customWidth="1"/>
    <col min="11789" max="11789" width="6" style="378" customWidth="1"/>
    <col min="11790" max="11790" width="5" style="378" customWidth="1"/>
    <col min="11791" max="11791" width="13.875" style="378" customWidth="1"/>
    <col min="11792" max="11792" width="6" style="378" customWidth="1"/>
    <col min="11793" max="11793" width="5" style="378" customWidth="1"/>
    <col min="11794" max="11794" width="13.875" style="378" customWidth="1"/>
    <col min="11795" max="11795" width="6" style="378" customWidth="1"/>
    <col min="11796" max="11796" width="5" style="378" customWidth="1"/>
    <col min="11797" max="11797" width="13.875" style="378" customWidth="1"/>
    <col min="11798" max="11798" width="14" style="378" customWidth="1"/>
    <col min="11799" max="12034" width="14.125" style="378"/>
    <col min="12035" max="12035" width="11.25" style="378" customWidth="1"/>
    <col min="12036" max="12036" width="13.25" style="378" customWidth="1"/>
    <col min="12037" max="12037" width="17.25" style="378" customWidth="1"/>
    <col min="12038" max="12038" width="8.875" style="378" customWidth="1"/>
    <col min="12039" max="12039" width="10.25" style="378" customWidth="1"/>
    <col min="12040" max="12040" width="12.5" style="378" customWidth="1"/>
    <col min="12041" max="12041" width="12.75" style="378" customWidth="1"/>
    <col min="12042" max="12042" width="6" style="378" customWidth="1"/>
    <col min="12043" max="12043" width="5" style="378" customWidth="1"/>
    <col min="12044" max="12044" width="13.875" style="378" customWidth="1"/>
    <col min="12045" max="12045" width="6" style="378" customWidth="1"/>
    <col min="12046" max="12046" width="5" style="378" customWidth="1"/>
    <col min="12047" max="12047" width="13.875" style="378" customWidth="1"/>
    <col min="12048" max="12048" width="6" style="378" customWidth="1"/>
    <col min="12049" max="12049" width="5" style="378" customWidth="1"/>
    <col min="12050" max="12050" width="13.875" style="378" customWidth="1"/>
    <col min="12051" max="12051" width="6" style="378" customWidth="1"/>
    <col min="12052" max="12052" width="5" style="378" customWidth="1"/>
    <col min="12053" max="12053" width="13.875" style="378" customWidth="1"/>
    <col min="12054" max="12054" width="14" style="378" customWidth="1"/>
    <col min="12055" max="12290" width="14.125" style="378"/>
    <col min="12291" max="12291" width="11.25" style="378" customWidth="1"/>
    <col min="12292" max="12292" width="13.25" style="378" customWidth="1"/>
    <col min="12293" max="12293" width="17.25" style="378" customWidth="1"/>
    <col min="12294" max="12294" width="8.875" style="378" customWidth="1"/>
    <col min="12295" max="12295" width="10.25" style="378" customWidth="1"/>
    <col min="12296" max="12296" width="12.5" style="378" customWidth="1"/>
    <col min="12297" max="12297" width="12.75" style="378" customWidth="1"/>
    <col min="12298" max="12298" width="6" style="378" customWidth="1"/>
    <col min="12299" max="12299" width="5" style="378" customWidth="1"/>
    <col min="12300" max="12300" width="13.875" style="378" customWidth="1"/>
    <col min="12301" max="12301" width="6" style="378" customWidth="1"/>
    <col min="12302" max="12302" width="5" style="378" customWidth="1"/>
    <col min="12303" max="12303" width="13.875" style="378" customWidth="1"/>
    <col min="12304" max="12304" width="6" style="378" customWidth="1"/>
    <col min="12305" max="12305" width="5" style="378" customWidth="1"/>
    <col min="12306" max="12306" width="13.875" style="378" customWidth="1"/>
    <col min="12307" max="12307" width="6" style="378" customWidth="1"/>
    <col min="12308" max="12308" width="5" style="378" customWidth="1"/>
    <col min="12309" max="12309" width="13.875" style="378" customWidth="1"/>
    <col min="12310" max="12310" width="14" style="378" customWidth="1"/>
    <col min="12311" max="12546" width="14.125" style="378"/>
    <col min="12547" max="12547" width="11.25" style="378" customWidth="1"/>
    <col min="12548" max="12548" width="13.25" style="378" customWidth="1"/>
    <col min="12549" max="12549" width="17.25" style="378" customWidth="1"/>
    <col min="12550" max="12550" width="8.875" style="378" customWidth="1"/>
    <col min="12551" max="12551" width="10.25" style="378" customWidth="1"/>
    <col min="12552" max="12552" width="12.5" style="378" customWidth="1"/>
    <col min="12553" max="12553" width="12.75" style="378" customWidth="1"/>
    <col min="12554" max="12554" width="6" style="378" customWidth="1"/>
    <col min="12555" max="12555" width="5" style="378" customWidth="1"/>
    <col min="12556" max="12556" width="13.875" style="378" customWidth="1"/>
    <col min="12557" max="12557" width="6" style="378" customWidth="1"/>
    <col min="12558" max="12558" width="5" style="378" customWidth="1"/>
    <col min="12559" max="12559" width="13.875" style="378" customWidth="1"/>
    <col min="12560" max="12560" width="6" style="378" customWidth="1"/>
    <col min="12561" max="12561" width="5" style="378" customWidth="1"/>
    <col min="12562" max="12562" width="13.875" style="378" customWidth="1"/>
    <col min="12563" max="12563" width="6" style="378" customWidth="1"/>
    <col min="12564" max="12564" width="5" style="378" customWidth="1"/>
    <col min="12565" max="12565" width="13.875" style="378" customWidth="1"/>
    <col min="12566" max="12566" width="14" style="378" customWidth="1"/>
    <col min="12567" max="12802" width="14.125" style="378"/>
    <col min="12803" max="12803" width="11.25" style="378" customWidth="1"/>
    <col min="12804" max="12804" width="13.25" style="378" customWidth="1"/>
    <col min="12805" max="12805" width="17.25" style="378" customWidth="1"/>
    <col min="12806" max="12806" width="8.875" style="378" customWidth="1"/>
    <col min="12807" max="12807" width="10.25" style="378" customWidth="1"/>
    <col min="12808" max="12808" width="12.5" style="378" customWidth="1"/>
    <col min="12809" max="12809" width="12.75" style="378" customWidth="1"/>
    <col min="12810" max="12810" width="6" style="378" customWidth="1"/>
    <col min="12811" max="12811" width="5" style="378" customWidth="1"/>
    <col min="12812" max="12812" width="13.875" style="378" customWidth="1"/>
    <col min="12813" max="12813" width="6" style="378" customWidth="1"/>
    <col min="12814" max="12814" width="5" style="378" customWidth="1"/>
    <col min="12815" max="12815" width="13.875" style="378" customWidth="1"/>
    <col min="12816" max="12816" width="6" style="378" customWidth="1"/>
    <col min="12817" max="12817" width="5" style="378" customWidth="1"/>
    <col min="12818" max="12818" width="13.875" style="378" customWidth="1"/>
    <col min="12819" max="12819" width="6" style="378" customWidth="1"/>
    <col min="12820" max="12820" width="5" style="378" customWidth="1"/>
    <col min="12821" max="12821" width="13.875" style="378" customWidth="1"/>
    <col min="12822" max="12822" width="14" style="378" customWidth="1"/>
    <col min="12823" max="13058" width="14.125" style="378"/>
    <col min="13059" max="13059" width="11.25" style="378" customWidth="1"/>
    <col min="13060" max="13060" width="13.25" style="378" customWidth="1"/>
    <col min="13061" max="13061" width="17.25" style="378" customWidth="1"/>
    <col min="13062" max="13062" width="8.875" style="378" customWidth="1"/>
    <col min="13063" max="13063" width="10.25" style="378" customWidth="1"/>
    <col min="13064" max="13064" width="12.5" style="378" customWidth="1"/>
    <col min="13065" max="13065" width="12.75" style="378" customWidth="1"/>
    <col min="13066" max="13066" width="6" style="378" customWidth="1"/>
    <col min="13067" max="13067" width="5" style="378" customWidth="1"/>
    <col min="13068" max="13068" width="13.875" style="378" customWidth="1"/>
    <col min="13069" max="13069" width="6" style="378" customWidth="1"/>
    <col min="13070" max="13070" width="5" style="378" customWidth="1"/>
    <col min="13071" max="13071" width="13.875" style="378" customWidth="1"/>
    <col min="13072" max="13072" width="6" style="378" customWidth="1"/>
    <col min="13073" max="13073" width="5" style="378" customWidth="1"/>
    <col min="13074" max="13074" width="13.875" style="378" customWidth="1"/>
    <col min="13075" max="13075" width="6" style="378" customWidth="1"/>
    <col min="13076" max="13076" width="5" style="378" customWidth="1"/>
    <col min="13077" max="13077" width="13.875" style="378" customWidth="1"/>
    <col min="13078" max="13078" width="14" style="378" customWidth="1"/>
    <col min="13079" max="13314" width="14.125" style="378"/>
    <col min="13315" max="13315" width="11.25" style="378" customWidth="1"/>
    <col min="13316" max="13316" width="13.25" style="378" customWidth="1"/>
    <col min="13317" max="13317" width="17.25" style="378" customWidth="1"/>
    <col min="13318" max="13318" width="8.875" style="378" customWidth="1"/>
    <col min="13319" max="13319" width="10.25" style="378" customWidth="1"/>
    <col min="13320" max="13320" width="12.5" style="378" customWidth="1"/>
    <col min="13321" max="13321" width="12.75" style="378" customWidth="1"/>
    <col min="13322" max="13322" width="6" style="378" customWidth="1"/>
    <col min="13323" max="13323" width="5" style="378" customWidth="1"/>
    <col min="13324" max="13324" width="13.875" style="378" customWidth="1"/>
    <col min="13325" max="13325" width="6" style="378" customWidth="1"/>
    <col min="13326" max="13326" width="5" style="378" customWidth="1"/>
    <col min="13327" max="13327" width="13.875" style="378" customWidth="1"/>
    <col min="13328" max="13328" width="6" style="378" customWidth="1"/>
    <col min="13329" max="13329" width="5" style="378" customWidth="1"/>
    <col min="13330" max="13330" width="13.875" style="378" customWidth="1"/>
    <col min="13331" max="13331" width="6" style="378" customWidth="1"/>
    <col min="13332" max="13332" width="5" style="378" customWidth="1"/>
    <col min="13333" max="13333" width="13.875" style="378" customWidth="1"/>
    <col min="13334" max="13334" width="14" style="378" customWidth="1"/>
    <col min="13335" max="13570" width="14.125" style="378"/>
    <col min="13571" max="13571" width="11.25" style="378" customWidth="1"/>
    <col min="13572" max="13572" width="13.25" style="378" customWidth="1"/>
    <col min="13573" max="13573" width="17.25" style="378" customWidth="1"/>
    <col min="13574" max="13574" width="8.875" style="378" customWidth="1"/>
    <col min="13575" max="13575" width="10.25" style="378" customWidth="1"/>
    <col min="13576" max="13576" width="12.5" style="378" customWidth="1"/>
    <col min="13577" max="13577" width="12.75" style="378" customWidth="1"/>
    <col min="13578" max="13578" width="6" style="378" customWidth="1"/>
    <col min="13579" max="13579" width="5" style="378" customWidth="1"/>
    <col min="13580" max="13580" width="13.875" style="378" customWidth="1"/>
    <col min="13581" max="13581" width="6" style="378" customWidth="1"/>
    <col min="13582" max="13582" width="5" style="378" customWidth="1"/>
    <col min="13583" max="13583" width="13.875" style="378" customWidth="1"/>
    <col min="13584" max="13584" width="6" style="378" customWidth="1"/>
    <col min="13585" max="13585" width="5" style="378" customWidth="1"/>
    <col min="13586" max="13586" width="13.875" style="378" customWidth="1"/>
    <col min="13587" max="13587" width="6" style="378" customWidth="1"/>
    <col min="13588" max="13588" width="5" style="378" customWidth="1"/>
    <col min="13589" max="13589" width="13.875" style="378" customWidth="1"/>
    <col min="13590" max="13590" width="14" style="378" customWidth="1"/>
    <col min="13591" max="13826" width="14.125" style="378"/>
    <col min="13827" max="13827" width="11.25" style="378" customWidth="1"/>
    <col min="13828" max="13828" width="13.25" style="378" customWidth="1"/>
    <col min="13829" max="13829" width="17.25" style="378" customWidth="1"/>
    <col min="13830" max="13830" width="8.875" style="378" customWidth="1"/>
    <col min="13831" max="13831" width="10.25" style="378" customWidth="1"/>
    <col min="13832" max="13832" width="12.5" style="378" customWidth="1"/>
    <col min="13833" max="13833" width="12.75" style="378" customWidth="1"/>
    <col min="13834" max="13834" width="6" style="378" customWidth="1"/>
    <col min="13835" max="13835" width="5" style="378" customWidth="1"/>
    <col min="13836" max="13836" width="13.875" style="378" customWidth="1"/>
    <col min="13837" max="13837" width="6" style="378" customWidth="1"/>
    <col min="13838" max="13838" width="5" style="378" customWidth="1"/>
    <col min="13839" max="13839" width="13.875" style="378" customWidth="1"/>
    <col min="13840" max="13840" width="6" style="378" customWidth="1"/>
    <col min="13841" max="13841" width="5" style="378" customWidth="1"/>
    <col min="13842" max="13842" width="13.875" style="378" customWidth="1"/>
    <col min="13843" max="13843" width="6" style="378" customWidth="1"/>
    <col min="13844" max="13844" width="5" style="378" customWidth="1"/>
    <col min="13845" max="13845" width="13.875" style="378" customWidth="1"/>
    <col min="13846" max="13846" width="14" style="378" customWidth="1"/>
    <col min="13847" max="14082" width="14.125" style="378"/>
    <col min="14083" max="14083" width="11.25" style="378" customWidth="1"/>
    <col min="14084" max="14084" width="13.25" style="378" customWidth="1"/>
    <col min="14085" max="14085" width="17.25" style="378" customWidth="1"/>
    <col min="14086" max="14086" width="8.875" style="378" customWidth="1"/>
    <col min="14087" max="14087" width="10.25" style="378" customWidth="1"/>
    <col min="14088" max="14088" width="12.5" style="378" customWidth="1"/>
    <col min="14089" max="14089" width="12.75" style="378" customWidth="1"/>
    <col min="14090" max="14090" width="6" style="378" customWidth="1"/>
    <col min="14091" max="14091" width="5" style="378" customWidth="1"/>
    <col min="14092" max="14092" width="13.875" style="378" customWidth="1"/>
    <col min="14093" max="14093" width="6" style="378" customWidth="1"/>
    <col min="14094" max="14094" width="5" style="378" customWidth="1"/>
    <col min="14095" max="14095" width="13.875" style="378" customWidth="1"/>
    <col min="14096" max="14096" width="6" style="378" customWidth="1"/>
    <col min="14097" max="14097" width="5" style="378" customWidth="1"/>
    <col min="14098" max="14098" width="13.875" style="378" customWidth="1"/>
    <col min="14099" max="14099" width="6" style="378" customWidth="1"/>
    <col min="14100" max="14100" width="5" style="378" customWidth="1"/>
    <col min="14101" max="14101" width="13.875" style="378" customWidth="1"/>
    <col min="14102" max="14102" width="14" style="378" customWidth="1"/>
    <col min="14103" max="14338" width="14.125" style="378"/>
    <col min="14339" max="14339" width="11.25" style="378" customWidth="1"/>
    <col min="14340" max="14340" width="13.25" style="378" customWidth="1"/>
    <col min="14341" max="14341" width="17.25" style="378" customWidth="1"/>
    <col min="14342" max="14342" width="8.875" style="378" customWidth="1"/>
    <col min="14343" max="14343" width="10.25" style="378" customWidth="1"/>
    <col min="14344" max="14344" width="12.5" style="378" customWidth="1"/>
    <col min="14345" max="14345" width="12.75" style="378" customWidth="1"/>
    <col min="14346" max="14346" width="6" style="378" customWidth="1"/>
    <col min="14347" max="14347" width="5" style="378" customWidth="1"/>
    <col min="14348" max="14348" width="13.875" style="378" customWidth="1"/>
    <col min="14349" max="14349" width="6" style="378" customWidth="1"/>
    <col min="14350" max="14350" width="5" style="378" customWidth="1"/>
    <col min="14351" max="14351" width="13.875" style="378" customWidth="1"/>
    <col min="14352" max="14352" width="6" style="378" customWidth="1"/>
    <col min="14353" max="14353" width="5" style="378" customWidth="1"/>
    <col min="14354" max="14354" width="13.875" style="378" customWidth="1"/>
    <col min="14355" max="14355" width="6" style="378" customWidth="1"/>
    <col min="14356" max="14356" width="5" style="378" customWidth="1"/>
    <col min="14357" max="14357" width="13.875" style="378" customWidth="1"/>
    <col min="14358" max="14358" width="14" style="378" customWidth="1"/>
    <col min="14359" max="14594" width="14.125" style="378"/>
    <col min="14595" max="14595" width="11.25" style="378" customWidth="1"/>
    <col min="14596" max="14596" width="13.25" style="378" customWidth="1"/>
    <col min="14597" max="14597" width="17.25" style="378" customWidth="1"/>
    <col min="14598" max="14598" width="8.875" style="378" customWidth="1"/>
    <col min="14599" max="14599" width="10.25" style="378" customWidth="1"/>
    <col min="14600" max="14600" width="12.5" style="378" customWidth="1"/>
    <col min="14601" max="14601" width="12.75" style="378" customWidth="1"/>
    <col min="14602" max="14602" width="6" style="378" customWidth="1"/>
    <col min="14603" max="14603" width="5" style="378" customWidth="1"/>
    <col min="14604" max="14604" width="13.875" style="378" customWidth="1"/>
    <col min="14605" max="14605" width="6" style="378" customWidth="1"/>
    <col min="14606" max="14606" width="5" style="378" customWidth="1"/>
    <col min="14607" max="14607" width="13.875" style="378" customWidth="1"/>
    <col min="14608" max="14608" width="6" style="378" customWidth="1"/>
    <col min="14609" max="14609" width="5" style="378" customWidth="1"/>
    <col min="14610" max="14610" width="13.875" style="378" customWidth="1"/>
    <col min="14611" max="14611" width="6" style="378" customWidth="1"/>
    <col min="14612" max="14612" width="5" style="378" customWidth="1"/>
    <col min="14613" max="14613" width="13.875" style="378" customWidth="1"/>
    <col min="14614" max="14614" width="14" style="378" customWidth="1"/>
    <col min="14615" max="14850" width="14.125" style="378"/>
    <col min="14851" max="14851" width="11.25" style="378" customWidth="1"/>
    <col min="14852" max="14852" width="13.25" style="378" customWidth="1"/>
    <col min="14853" max="14853" width="17.25" style="378" customWidth="1"/>
    <col min="14854" max="14854" width="8.875" style="378" customWidth="1"/>
    <col min="14855" max="14855" width="10.25" style="378" customWidth="1"/>
    <col min="14856" max="14856" width="12.5" style="378" customWidth="1"/>
    <col min="14857" max="14857" width="12.75" style="378" customWidth="1"/>
    <col min="14858" max="14858" width="6" style="378" customWidth="1"/>
    <col min="14859" max="14859" width="5" style="378" customWidth="1"/>
    <col min="14860" max="14860" width="13.875" style="378" customWidth="1"/>
    <col min="14861" max="14861" width="6" style="378" customWidth="1"/>
    <col min="14862" max="14862" width="5" style="378" customWidth="1"/>
    <col min="14863" max="14863" width="13.875" style="378" customWidth="1"/>
    <col min="14864" max="14864" width="6" style="378" customWidth="1"/>
    <col min="14865" max="14865" width="5" style="378" customWidth="1"/>
    <col min="14866" max="14866" width="13.875" style="378" customWidth="1"/>
    <col min="14867" max="14867" width="6" style="378" customWidth="1"/>
    <col min="14868" max="14868" width="5" style="378" customWidth="1"/>
    <col min="14869" max="14869" width="13.875" style="378" customWidth="1"/>
    <col min="14870" max="14870" width="14" style="378" customWidth="1"/>
    <col min="14871" max="15106" width="14.125" style="378"/>
    <col min="15107" max="15107" width="11.25" style="378" customWidth="1"/>
    <col min="15108" max="15108" width="13.25" style="378" customWidth="1"/>
    <col min="15109" max="15109" width="17.25" style="378" customWidth="1"/>
    <col min="15110" max="15110" width="8.875" style="378" customWidth="1"/>
    <col min="15111" max="15111" width="10.25" style="378" customWidth="1"/>
    <col min="15112" max="15112" width="12.5" style="378" customWidth="1"/>
    <col min="15113" max="15113" width="12.75" style="378" customWidth="1"/>
    <col min="15114" max="15114" width="6" style="378" customWidth="1"/>
    <col min="15115" max="15115" width="5" style="378" customWidth="1"/>
    <col min="15116" max="15116" width="13.875" style="378" customWidth="1"/>
    <col min="15117" max="15117" width="6" style="378" customWidth="1"/>
    <col min="15118" max="15118" width="5" style="378" customWidth="1"/>
    <col min="15119" max="15119" width="13.875" style="378" customWidth="1"/>
    <col min="15120" max="15120" width="6" style="378" customWidth="1"/>
    <col min="15121" max="15121" width="5" style="378" customWidth="1"/>
    <col min="15122" max="15122" width="13.875" style="378" customWidth="1"/>
    <col min="15123" max="15123" width="6" style="378" customWidth="1"/>
    <col min="15124" max="15124" width="5" style="378" customWidth="1"/>
    <col min="15125" max="15125" width="13.875" style="378" customWidth="1"/>
    <col min="15126" max="15126" width="14" style="378" customWidth="1"/>
    <col min="15127" max="15362" width="14.125" style="378"/>
    <col min="15363" max="15363" width="11.25" style="378" customWidth="1"/>
    <col min="15364" max="15364" width="13.25" style="378" customWidth="1"/>
    <col min="15365" max="15365" width="17.25" style="378" customWidth="1"/>
    <col min="15366" max="15366" width="8.875" style="378" customWidth="1"/>
    <col min="15367" max="15367" width="10.25" style="378" customWidth="1"/>
    <col min="15368" max="15368" width="12.5" style="378" customWidth="1"/>
    <col min="15369" max="15369" width="12.75" style="378" customWidth="1"/>
    <col min="15370" max="15370" width="6" style="378" customWidth="1"/>
    <col min="15371" max="15371" width="5" style="378" customWidth="1"/>
    <col min="15372" max="15372" width="13.875" style="378" customWidth="1"/>
    <col min="15373" max="15373" width="6" style="378" customWidth="1"/>
    <col min="15374" max="15374" width="5" style="378" customWidth="1"/>
    <col min="15375" max="15375" width="13.875" style="378" customWidth="1"/>
    <col min="15376" max="15376" width="6" style="378" customWidth="1"/>
    <col min="15377" max="15377" width="5" style="378" customWidth="1"/>
    <col min="15378" max="15378" width="13.875" style="378" customWidth="1"/>
    <col min="15379" max="15379" width="6" style="378" customWidth="1"/>
    <col min="15380" max="15380" width="5" style="378" customWidth="1"/>
    <col min="15381" max="15381" width="13.875" style="378" customWidth="1"/>
    <col min="15382" max="15382" width="14" style="378" customWidth="1"/>
    <col min="15383" max="15618" width="14.125" style="378"/>
    <col min="15619" max="15619" width="11.25" style="378" customWidth="1"/>
    <col min="15620" max="15620" width="13.25" style="378" customWidth="1"/>
    <col min="15621" max="15621" width="17.25" style="378" customWidth="1"/>
    <col min="15622" max="15622" width="8.875" style="378" customWidth="1"/>
    <col min="15623" max="15623" width="10.25" style="378" customWidth="1"/>
    <col min="15624" max="15624" width="12.5" style="378" customWidth="1"/>
    <col min="15625" max="15625" width="12.75" style="378" customWidth="1"/>
    <col min="15626" max="15626" width="6" style="378" customWidth="1"/>
    <col min="15627" max="15627" width="5" style="378" customWidth="1"/>
    <col min="15628" max="15628" width="13.875" style="378" customWidth="1"/>
    <col min="15629" max="15629" width="6" style="378" customWidth="1"/>
    <col min="15630" max="15630" width="5" style="378" customWidth="1"/>
    <col min="15631" max="15631" width="13.875" style="378" customWidth="1"/>
    <col min="15632" max="15632" width="6" style="378" customWidth="1"/>
    <col min="15633" max="15633" width="5" style="378" customWidth="1"/>
    <col min="15634" max="15634" width="13.875" style="378" customWidth="1"/>
    <col min="15635" max="15635" width="6" style="378" customWidth="1"/>
    <col min="15636" max="15636" width="5" style="378" customWidth="1"/>
    <col min="15637" max="15637" width="13.875" style="378" customWidth="1"/>
    <col min="15638" max="15638" width="14" style="378" customWidth="1"/>
    <col min="15639" max="15874" width="14.125" style="378"/>
    <col min="15875" max="15875" width="11.25" style="378" customWidth="1"/>
    <col min="15876" max="15876" width="13.25" style="378" customWidth="1"/>
    <col min="15877" max="15877" width="17.25" style="378" customWidth="1"/>
    <col min="15878" max="15878" width="8.875" style="378" customWidth="1"/>
    <col min="15879" max="15879" width="10.25" style="378" customWidth="1"/>
    <col min="15880" max="15880" width="12.5" style="378" customWidth="1"/>
    <col min="15881" max="15881" width="12.75" style="378" customWidth="1"/>
    <col min="15882" max="15882" width="6" style="378" customWidth="1"/>
    <col min="15883" max="15883" width="5" style="378" customWidth="1"/>
    <col min="15884" max="15884" width="13.875" style="378" customWidth="1"/>
    <col min="15885" max="15885" width="6" style="378" customWidth="1"/>
    <col min="15886" max="15886" width="5" style="378" customWidth="1"/>
    <col min="15887" max="15887" width="13.875" style="378" customWidth="1"/>
    <col min="15888" max="15888" width="6" style="378" customWidth="1"/>
    <col min="15889" max="15889" width="5" style="378" customWidth="1"/>
    <col min="15890" max="15890" width="13.875" style="378" customWidth="1"/>
    <col min="15891" max="15891" width="6" style="378" customWidth="1"/>
    <col min="15892" max="15892" width="5" style="378" customWidth="1"/>
    <col min="15893" max="15893" width="13.875" style="378" customWidth="1"/>
    <col min="15894" max="15894" width="14" style="378" customWidth="1"/>
    <col min="15895" max="16130" width="14.125" style="378"/>
    <col min="16131" max="16131" width="11.25" style="378" customWidth="1"/>
    <col min="16132" max="16132" width="13.25" style="378" customWidth="1"/>
    <col min="16133" max="16133" width="17.25" style="378" customWidth="1"/>
    <col min="16134" max="16134" width="8.875" style="378" customWidth="1"/>
    <col min="16135" max="16135" width="10.25" style="378" customWidth="1"/>
    <col min="16136" max="16136" width="12.5" style="378" customWidth="1"/>
    <col min="16137" max="16137" width="12.75" style="378" customWidth="1"/>
    <col min="16138" max="16138" width="6" style="378" customWidth="1"/>
    <col min="16139" max="16139" width="5" style="378" customWidth="1"/>
    <col min="16140" max="16140" width="13.875" style="378" customWidth="1"/>
    <col min="16141" max="16141" width="6" style="378" customWidth="1"/>
    <col min="16142" max="16142" width="5" style="378" customWidth="1"/>
    <col min="16143" max="16143" width="13.875" style="378" customWidth="1"/>
    <col min="16144" max="16144" width="6" style="378" customWidth="1"/>
    <col min="16145" max="16145" width="5" style="378" customWidth="1"/>
    <col min="16146" max="16146" width="13.875" style="378" customWidth="1"/>
    <col min="16147" max="16147" width="6" style="378" customWidth="1"/>
    <col min="16148" max="16148" width="5" style="378" customWidth="1"/>
    <col min="16149" max="16149" width="13.875" style="378" customWidth="1"/>
    <col min="16150" max="16150" width="14" style="378" customWidth="1"/>
    <col min="16151" max="16384" width="14.125" style="378"/>
  </cols>
  <sheetData>
    <row r="1" spans="1:36" ht="15.75" customHeight="1">
      <c r="A1" s="844" t="s">
        <v>0</v>
      </c>
      <c r="B1" s="844" t="s">
        <v>71</v>
      </c>
      <c r="C1" s="844" t="s">
        <v>72</v>
      </c>
      <c r="D1" s="844" t="s">
        <v>73</v>
      </c>
      <c r="E1" s="844" t="s">
        <v>74</v>
      </c>
      <c r="F1" s="855" t="s">
        <v>75</v>
      </c>
      <c r="G1" s="855" t="s">
        <v>76</v>
      </c>
      <c r="H1" s="844" t="s">
        <v>77</v>
      </c>
      <c r="I1" s="844"/>
      <c r="J1" s="844"/>
      <c r="K1" s="844"/>
      <c r="L1" s="844"/>
      <c r="M1" s="844"/>
      <c r="N1" s="844"/>
      <c r="O1" s="844"/>
      <c r="P1" s="844"/>
      <c r="Q1" s="844"/>
      <c r="R1" s="844"/>
      <c r="S1" s="844"/>
      <c r="T1" s="855" t="s">
        <v>78</v>
      </c>
      <c r="U1" s="391"/>
      <c r="V1" s="391"/>
      <c r="W1" s="392"/>
      <c r="X1" s="857" t="s">
        <v>79</v>
      </c>
      <c r="Y1" s="857" t="s">
        <v>80</v>
      </c>
    </row>
    <row r="2" spans="1:36" ht="15" customHeight="1">
      <c r="A2" s="844"/>
      <c r="B2" s="844"/>
      <c r="C2" s="844"/>
      <c r="D2" s="844"/>
      <c r="E2" s="844"/>
      <c r="F2" s="855"/>
      <c r="G2" s="855"/>
      <c r="H2" s="844" t="s">
        <v>81</v>
      </c>
      <c r="I2" s="844"/>
      <c r="J2" s="844"/>
      <c r="K2" s="844" t="s">
        <v>82</v>
      </c>
      <c r="L2" s="844"/>
      <c r="M2" s="844"/>
      <c r="N2" s="844" t="s">
        <v>83</v>
      </c>
      <c r="O2" s="844"/>
      <c r="P2" s="844"/>
      <c r="Q2" s="844" t="s">
        <v>84</v>
      </c>
      <c r="R2" s="844"/>
      <c r="S2" s="844"/>
      <c r="T2" s="855"/>
      <c r="U2" s="391"/>
      <c r="V2" s="391"/>
      <c r="W2" s="392"/>
      <c r="X2" s="857"/>
      <c r="Y2" s="857"/>
      <c r="AD2" s="845" t="s">
        <v>128</v>
      </c>
      <c r="AE2" s="846"/>
      <c r="AF2" s="846"/>
      <c r="AG2" s="846"/>
      <c r="AH2" s="846"/>
      <c r="AI2" s="846"/>
      <c r="AJ2" s="847"/>
    </row>
    <row r="3" spans="1:36" ht="27.75" customHeight="1">
      <c r="A3" s="861"/>
      <c r="B3" s="861"/>
      <c r="C3" s="861"/>
      <c r="D3" s="861"/>
      <c r="E3" s="861"/>
      <c r="F3" s="856"/>
      <c r="G3" s="856"/>
      <c r="H3" s="379" t="s">
        <v>86</v>
      </c>
      <c r="I3" s="379" t="s">
        <v>87</v>
      </c>
      <c r="J3" s="380" t="s">
        <v>88</v>
      </c>
      <c r="K3" s="379" t="s">
        <v>86</v>
      </c>
      <c r="L3" s="379" t="s">
        <v>87</v>
      </c>
      <c r="M3" s="379" t="s">
        <v>88</v>
      </c>
      <c r="N3" s="379" t="s">
        <v>86</v>
      </c>
      <c r="O3" s="379" t="s">
        <v>87</v>
      </c>
      <c r="P3" s="379" t="s">
        <v>88</v>
      </c>
      <c r="Q3" s="379" t="s">
        <v>86</v>
      </c>
      <c r="R3" s="379" t="s">
        <v>87</v>
      </c>
      <c r="S3" s="380" t="s">
        <v>88</v>
      </c>
      <c r="T3" s="856"/>
      <c r="U3" s="391"/>
      <c r="V3" s="391"/>
      <c r="W3" s="392"/>
      <c r="X3" s="857"/>
      <c r="Y3" s="857"/>
      <c r="Z3" s="379" t="s">
        <v>86</v>
      </c>
      <c r="AA3" s="379" t="s">
        <v>87</v>
      </c>
      <c r="AB3" s="379" t="s">
        <v>88</v>
      </c>
      <c r="AC3" s="395" t="s">
        <v>89</v>
      </c>
      <c r="AD3" s="396" t="s">
        <v>86</v>
      </c>
      <c r="AE3" s="397" t="s">
        <v>90</v>
      </c>
      <c r="AF3" s="398" t="s">
        <v>88</v>
      </c>
      <c r="AG3" s="418" t="s">
        <v>91</v>
      </c>
      <c r="AH3" s="419" t="s">
        <v>92</v>
      </c>
      <c r="AI3" s="418" t="s">
        <v>93</v>
      </c>
      <c r="AJ3" s="420" t="s">
        <v>94</v>
      </c>
    </row>
    <row r="4" spans="1:36" ht="12.95">
      <c r="A4" s="381">
        <v>44805</v>
      </c>
      <c r="B4" s="382" t="s">
        <v>95</v>
      </c>
      <c r="C4" s="383">
        <v>28810</v>
      </c>
      <c r="D4" s="383"/>
      <c r="E4" s="382"/>
      <c r="F4" s="382"/>
      <c r="G4" s="382"/>
      <c r="H4" s="384"/>
      <c r="I4" s="384"/>
      <c r="J4" s="384"/>
      <c r="K4" s="384"/>
      <c r="L4" s="384"/>
      <c r="M4" s="384"/>
      <c r="N4" s="382"/>
      <c r="O4" s="382"/>
      <c r="P4" s="382"/>
      <c r="Q4" s="382"/>
      <c r="R4" s="382"/>
      <c r="S4" s="382"/>
      <c r="T4" s="382">
        <v>1</v>
      </c>
      <c r="W4" s="393">
        <v>0</v>
      </c>
      <c r="X4" s="394">
        <f>E4+F4+G4+E9+F9+G9</f>
        <v>0</v>
      </c>
      <c r="Y4" s="399">
        <f>H4+I4+J4+K4+L4+M4+N4+O4+P4+Q4+R4+S4+H9+I9+J9+K9+L9+M9+N9+O9+P9+Q9+R9+S9</f>
        <v>0</v>
      </c>
      <c r="Z4" s="400">
        <f>H4+K4+N4+Q4</f>
        <v>0</v>
      </c>
      <c r="AA4" s="400">
        <f>I4+L4+O4+R4</f>
        <v>0</v>
      </c>
      <c r="AB4" s="400">
        <f>J4+M4+P4+S4</f>
        <v>0</v>
      </c>
      <c r="AC4" s="401" t="e">
        <f>C4-X4-Y4-#REF!</f>
        <v>#REF!</v>
      </c>
      <c r="AD4" s="402">
        <f t="shared" ref="AD4:AF6" si="0">Z4+Z9+Z14+Z19+Z24+Z29+Z34+Z39+Z44+Z49+Z54+Z59+Z64+Z69+Z74+Z79+Z84+Z89+Z94+Z99+Z104+Z109+Z114+Z119+Z124+Z129+Z134+Z139+Z144+Z149+Z154+Z159+Z164+Z169+Z174+Z179+Z184+Z189+Z194+Z199+Z204+Z209+Z214+Z219+Z224+Z229+Z234+Z239+Z244+Z249+Z254+Z259+Z264+Z269+Z274+Z279+Z284+Z289+Z294+Z299</f>
        <v>42</v>
      </c>
      <c r="AE4" s="403">
        <f t="shared" si="0"/>
        <v>14.44</v>
      </c>
      <c r="AF4" s="404">
        <f t="shared" si="0"/>
        <v>77</v>
      </c>
      <c r="AG4" s="421">
        <f>SUM(AD4:AF4)</f>
        <v>133.44</v>
      </c>
      <c r="AH4" s="422" t="s">
        <v>96</v>
      </c>
      <c r="AI4" s="423">
        <f>E376</f>
        <v>107767</v>
      </c>
      <c r="AJ4" s="424">
        <f>AG4/AI4*100</f>
        <v>0.123822691547505</v>
      </c>
    </row>
    <row r="5" spans="1:36" ht="12.95">
      <c r="A5" s="381"/>
      <c r="B5" s="382" t="s">
        <v>97</v>
      </c>
      <c r="C5" s="383">
        <v>32346</v>
      </c>
      <c r="D5" s="383"/>
      <c r="E5" s="382">
        <v>1505</v>
      </c>
      <c r="F5" s="382"/>
      <c r="G5" s="382"/>
      <c r="H5" s="384">
        <v>0.2</v>
      </c>
      <c r="I5" s="384">
        <v>0.1</v>
      </c>
      <c r="J5" s="384">
        <v>0.5</v>
      </c>
      <c r="K5" s="384">
        <v>0.1</v>
      </c>
      <c r="L5" s="384"/>
      <c r="M5" s="384"/>
      <c r="N5" s="382"/>
      <c r="O5" s="382"/>
      <c r="P5" s="382"/>
      <c r="Q5" s="382"/>
      <c r="R5" s="382"/>
      <c r="S5" s="382"/>
      <c r="T5" s="382">
        <v>1</v>
      </c>
      <c r="W5" s="393">
        <v>6</v>
      </c>
      <c r="X5" s="394">
        <f>E5+F5+G5+E10+F10+G10</f>
        <v>2505</v>
      </c>
      <c r="Y5" s="399">
        <f>H5+I5+J5+K5+L5+M5+N5+O5+P5+Q5+R5+S5+H10+I10+J10+K10+L10+M10+N10+O10+P10+Q10+R10+S10</f>
        <v>2.7</v>
      </c>
      <c r="Z5" s="400">
        <f t="shared" ref="Z5:AB68" si="1">H5+K5+N5+Q5</f>
        <v>0.3</v>
      </c>
      <c r="AA5" s="400">
        <f t="shared" si="1"/>
        <v>0.1</v>
      </c>
      <c r="AB5" s="400">
        <f t="shared" si="1"/>
        <v>0.5</v>
      </c>
      <c r="AC5" s="401"/>
      <c r="AD5" s="405">
        <f t="shared" si="0"/>
        <v>38.700000000000003</v>
      </c>
      <c r="AE5" s="406">
        <f t="shared" si="0"/>
        <v>14.36</v>
      </c>
      <c r="AF5" s="407">
        <f t="shared" si="0"/>
        <v>69.900000000000006</v>
      </c>
      <c r="AG5" s="425">
        <f>SUM(AD5:AF5)</f>
        <v>122.96</v>
      </c>
      <c r="AH5" s="426" t="s">
        <v>98</v>
      </c>
      <c r="AI5" s="427">
        <v>72700</v>
      </c>
      <c r="AJ5" s="428">
        <f>AG5/AI5*100</f>
        <v>0.169133425034388</v>
      </c>
    </row>
    <row r="6" spans="1:36" ht="12.95">
      <c r="A6" s="381"/>
      <c r="B6" s="382" t="s">
        <v>99</v>
      </c>
      <c r="C6" s="383">
        <v>18341</v>
      </c>
      <c r="D6" s="383"/>
      <c r="E6" s="382"/>
      <c r="F6" s="382"/>
      <c r="G6" s="382"/>
      <c r="H6" s="384"/>
      <c r="I6" s="384"/>
      <c r="J6" s="384"/>
      <c r="K6" s="384"/>
      <c r="L6" s="384"/>
      <c r="M6" s="384"/>
      <c r="N6" s="382"/>
      <c r="O6" s="382"/>
      <c r="P6" s="382"/>
      <c r="Q6" s="382"/>
      <c r="R6" s="382"/>
      <c r="S6" s="382"/>
      <c r="T6" s="382">
        <v>1</v>
      </c>
      <c r="W6" s="393">
        <v>0</v>
      </c>
      <c r="X6" s="394">
        <f>E6+F6+G6+E11+F11+G11</f>
        <v>0</v>
      </c>
      <c r="Y6" s="399">
        <f>H6+I6+J6+K6+L6+M6+N6+O6+P6+Q6+R6+S6+H11+I11+J11+K11+L11+M11+N11+O11+P11+Q11+R11+S11</f>
        <v>0</v>
      </c>
      <c r="Z6" s="400">
        <f t="shared" si="1"/>
        <v>0</v>
      </c>
      <c r="AA6" s="400">
        <f t="shared" si="1"/>
        <v>0</v>
      </c>
      <c r="AB6" s="400">
        <f t="shared" si="1"/>
        <v>0</v>
      </c>
      <c r="AD6" s="408">
        <f t="shared" si="0"/>
        <v>15.9</v>
      </c>
      <c r="AE6" s="409">
        <f t="shared" si="0"/>
        <v>5.3</v>
      </c>
      <c r="AF6" s="410">
        <f t="shared" si="0"/>
        <v>29.15</v>
      </c>
      <c r="AG6" s="429">
        <f>SUM(AD6:AF6)</f>
        <v>50.35</v>
      </c>
      <c r="AH6" s="430" t="s">
        <v>100</v>
      </c>
      <c r="AI6" s="431">
        <f>E378</f>
        <v>14387</v>
      </c>
      <c r="AJ6" s="432">
        <f>AG6/AI6*100</f>
        <v>0.349968721762702</v>
      </c>
    </row>
    <row r="7" spans="1:36" ht="12.95">
      <c r="A7" s="381"/>
      <c r="B7" s="382" t="s">
        <v>101</v>
      </c>
      <c r="C7" s="383">
        <v>19102</v>
      </c>
      <c r="D7" s="383">
        <v>25600</v>
      </c>
      <c r="E7" s="382">
        <v>7525</v>
      </c>
      <c r="F7" s="382"/>
      <c r="G7" s="382"/>
      <c r="H7" s="384">
        <v>1.6</v>
      </c>
      <c r="I7" s="384">
        <v>0.8</v>
      </c>
      <c r="J7" s="384">
        <v>4</v>
      </c>
      <c r="K7" s="384">
        <v>0.8</v>
      </c>
      <c r="L7" s="384"/>
      <c r="M7" s="384"/>
      <c r="N7" s="382"/>
      <c r="O7" s="382"/>
      <c r="P7" s="382"/>
      <c r="Q7" s="382"/>
      <c r="R7" s="382"/>
      <c r="S7" s="382"/>
      <c r="T7" s="382">
        <v>1</v>
      </c>
      <c r="W7" s="393">
        <v>3</v>
      </c>
      <c r="X7" s="394">
        <f>E7+F7+G7+E12+F12+G12</f>
        <v>14025</v>
      </c>
      <c r="Y7" s="399">
        <f>H7+I7+J7+K7+L7+M7+N7+O7+P7+Q7+R7+S7+H12+I12+J12+K12+L12+M12+N12+O12+P12+Q12+R12+S12</f>
        <v>29.8</v>
      </c>
      <c r="Z7" s="400">
        <f t="shared" si="1"/>
        <v>2.4</v>
      </c>
      <c r="AA7" s="400">
        <f t="shared" si="1"/>
        <v>0.8</v>
      </c>
      <c r="AB7" s="400">
        <f t="shared" si="1"/>
        <v>4</v>
      </c>
      <c r="AD7" s="411"/>
      <c r="AE7" s="412"/>
      <c r="AF7" s="413"/>
      <c r="AG7" s="433"/>
      <c r="AH7" s="434"/>
      <c r="AI7" s="435"/>
      <c r="AJ7" s="436"/>
    </row>
    <row r="8" spans="1:36" ht="13.7">
      <c r="A8" s="381"/>
      <c r="B8" s="382" t="s">
        <v>104</v>
      </c>
      <c r="C8" s="383">
        <v>15831</v>
      </c>
      <c r="D8" s="383"/>
      <c r="E8" s="382">
        <v>2410</v>
      </c>
      <c r="F8" s="382"/>
      <c r="G8" s="382"/>
      <c r="H8" s="384">
        <v>1.2</v>
      </c>
      <c r="I8" s="384">
        <v>0.6</v>
      </c>
      <c r="J8" s="384">
        <v>3</v>
      </c>
      <c r="K8" s="384">
        <v>0.6</v>
      </c>
      <c r="L8" s="384"/>
      <c r="M8" s="384"/>
      <c r="N8" s="382"/>
      <c r="O8" s="382"/>
      <c r="P8" s="382"/>
      <c r="Q8" s="382"/>
      <c r="R8" s="382"/>
      <c r="S8" s="382"/>
      <c r="T8" s="382">
        <v>1</v>
      </c>
      <c r="W8" s="393">
        <v>28</v>
      </c>
      <c r="X8" s="394">
        <f>E8+F8+G8+E13+F13+G13</f>
        <v>8010</v>
      </c>
      <c r="Y8" s="399">
        <f>H8+I8+J8+K8+L8+M8+N8+O8+P8+Q8+R8+S8+H13+I13+J13+K13+L13+M13+N13+O13+P13+Q13+R13+S13</f>
        <v>15.4</v>
      </c>
      <c r="Z8" s="400">
        <f t="shared" si="1"/>
        <v>1.8</v>
      </c>
      <c r="AA8" s="400">
        <f t="shared" si="1"/>
        <v>0.6</v>
      </c>
      <c r="AB8" s="400">
        <f t="shared" si="1"/>
        <v>3</v>
      </c>
      <c r="AD8" s="411">
        <f>Z8+Z13+Z18+Z23+Z28+Z33+Z38+Z43+Z48+Z53+Z58+Z63+Z68+Z73+Z78+Z83+Z88+Z93+Z98+Z103+Z108+Z113+Z118+Z123+Z128+Z133+Z137+Z142+Z147+Z152+Z157+Z162+Z167+Z172+Z177+Z182+Z187+Z192+Z197+Z202+Z207+Z212+Z217+Z222+Z227+Z232+Z237+Z242+Z247+Z252+Z257+Z262+Z267+Z272+Z277+Z282+Z287+Z292+Z297+Z302</f>
        <v>46.8</v>
      </c>
      <c r="AE8" s="412">
        <f>AA8+AA13+AA18+AA23+AA28+AA33+AA38+AA43+AA48+AA53+AA58+AA63+AA68+AA73+AA78+AA83+AA88+AA93+AA98+AA103+AA108+AA113+AA118+AA123+AA128+AA133+AA137+AA142+AA147+AA152+AA157+AA162+AA167+AA172+AA177+AA182+AA187+AA192+AA197+AA202+AA207+AA212+AA217+AA222+AA227+AA232+AA237+AA242+AA247+AA252+AA257+AA262+AA267+AA272+AA277+AA282+AA287+AA292+AA297+AA302</f>
        <v>16.98</v>
      </c>
      <c r="AF8" s="413">
        <f>AB8+AB13+AB18+AB23+AB28+AB33+AB38+AB43+AB48+AB53+AB58+AB63+AB68+AB73+AB78+AB83+AB88+AB93+AB98+AB103+AB108+AB113+AB118+AB123+AB128+AB133+AB137+AB142+AB147+AB152+AB157+AB162+AB167+AB172+AB177+AB182+AB187+AB192+AB197+AB202+AB207+AB212+AB217+AB222+AB227+AB232+AB237+AB242+AB247+AB252+AB257+AB262+AB267+AB272+AB277+AB282+AB287+AB292+AB297+AB302</f>
        <v>86</v>
      </c>
      <c r="AG8" s="433">
        <f>SUM(AD8:AF8)</f>
        <v>149.78</v>
      </c>
      <c r="AH8" s="434" t="s">
        <v>102</v>
      </c>
      <c r="AI8" s="437">
        <f>E379</f>
        <v>60623</v>
      </c>
      <c r="AJ8" s="436">
        <f>AG8/AI8*100</f>
        <v>0.24706794450951</v>
      </c>
    </row>
    <row r="9" spans="1:36" ht="13.7">
      <c r="A9" s="385"/>
      <c r="B9" s="386" t="s">
        <v>95</v>
      </c>
      <c r="C9" s="387"/>
      <c r="D9" s="387"/>
      <c r="E9" s="388"/>
      <c r="F9" s="388"/>
      <c r="G9" s="388"/>
      <c r="H9" s="389"/>
      <c r="I9" s="389"/>
      <c r="J9" s="389"/>
      <c r="K9" s="389"/>
      <c r="L9" s="389"/>
      <c r="M9" s="389"/>
      <c r="N9" s="388"/>
      <c r="O9" s="388"/>
      <c r="P9" s="388"/>
      <c r="Q9" s="388"/>
      <c r="R9" s="388"/>
      <c r="S9" s="388"/>
      <c r="T9" s="386">
        <v>2</v>
      </c>
      <c r="W9" s="393"/>
      <c r="X9" s="394"/>
      <c r="Y9" s="399"/>
      <c r="Z9" s="400">
        <f t="shared" si="1"/>
        <v>0</v>
      </c>
      <c r="AA9" s="400">
        <f t="shared" si="1"/>
        <v>0</v>
      </c>
      <c r="AB9" s="400">
        <f t="shared" si="1"/>
        <v>0</v>
      </c>
      <c r="AD9" s="414">
        <f>SUM(AD4:AD8)</f>
        <v>143.4</v>
      </c>
      <c r="AE9" s="415">
        <f>SUM(AE4:AE8)</f>
        <v>51.08</v>
      </c>
      <c r="AF9" s="416">
        <f>SUM(AF4:AF8)</f>
        <v>262.05</v>
      </c>
      <c r="AG9" s="415">
        <f>SUM(AG4:AG8)</f>
        <v>456.53</v>
      </c>
      <c r="AH9" s="416"/>
      <c r="AI9" s="438">
        <f>SUM(AI4:AI8)</f>
        <v>255477</v>
      </c>
      <c r="AJ9" s="439">
        <f>AG9/AI9*100</f>
        <v>0.17869710384887899</v>
      </c>
    </row>
    <row r="10" spans="1:36" ht="12.95">
      <c r="A10" s="385"/>
      <c r="B10" s="386" t="s">
        <v>97</v>
      </c>
      <c r="C10" s="387"/>
      <c r="D10" s="387"/>
      <c r="E10" s="388">
        <v>1000</v>
      </c>
      <c r="F10" s="388"/>
      <c r="G10" s="388"/>
      <c r="H10" s="389">
        <v>0.4</v>
      </c>
      <c r="I10" s="389">
        <v>0.2</v>
      </c>
      <c r="J10" s="389">
        <v>1</v>
      </c>
      <c r="K10" s="389">
        <v>0.2</v>
      </c>
      <c r="L10" s="389"/>
      <c r="M10" s="389"/>
      <c r="N10" s="388"/>
      <c r="O10" s="388"/>
      <c r="P10" s="388"/>
      <c r="Q10" s="388"/>
      <c r="R10" s="388"/>
      <c r="S10" s="388"/>
      <c r="T10" s="386">
        <v>2</v>
      </c>
      <c r="W10" s="393"/>
      <c r="X10" s="394"/>
      <c r="Y10" s="399"/>
      <c r="Z10" s="400">
        <f t="shared" si="1"/>
        <v>0.6</v>
      </c>
      <c r="AA10" s="400">
        <f t="shared" si="1"/>
        <v>0.2</v>
      </c>
      <c r="AB10" s="400">
        <f t="shared" si="1"/>
        <v>1</v>
      </c>
    </row>
    <row r="11" spans="1:36" ht="12.95">
      <c r="A11" s="385"/>
      <c r="B11" s="386" t="s">
        <v>99</v>
      </c>
      <c r="C11" s="387"/>
      <c r="D11" s="387"/>
      <c r="E11" s="388"/>
      <c r="F11" s="388"/>
      <c r="G11" s="388"/>
      <c r="H11" s="389"/>
      <c r="I11" s="389"/>
      <c r="J11" s="389"/>
      <c r="K11" s="389"/>
      <c r="L11" s="389"/>
      <c r="M11" s="389"/>
      <c r="N11" s="388"/>
      <c r="O11" s="388"/>
      <c r="P11" s="388"/>
      <c r="Q11" s="388"/>
      <c r="R11" s="388"/>
      <c r="S11" s="388"/>
      <c r="T11" s="386">
        <v>2</v>
      </c>
      <c r="W11" s="393"/>
      <c r="X11" s="394"/>
      <c r="Y11" s="399"/>
      <c r="Z11" s="400">
        <f t="shared" si="1"/>
        <v>0</v>
      </c>
      <c r="AA11" s="400">
        <f t="shared" si="1"/>
        <v>0</v>
      </c>
      <c r="AB11" s="400">
        <f t="shared" si="1"/>
        <v>0</v>
      </c>
    </row>
    <row r="12" spans="1:36" ht="12.95">
      <c r="A12" s="385"/>
      <c r="B12" s="386" t="s">
        <v>101</v>
      </c>
      <c r="C12" s="387"/>
      <c r="D12" s="387"/>
      <c r="E12" s="388">
        <v>6500</v>
      </c>
      <c r="F12" s="388"/>
      <c r="G12" s="388"/>
      <c r="H12" s="389">
        <v>4.8</v>
      </c>
      <c r="I12" s="389">
        <v>2.4</v>
      </c>
      <c r="J12" s="389">
        <v>12</v>
      </c>
      <c r="K12" s="389">
        <v>2.4</v>
      </c>
      <c r="L12" s="389"/>
      <c r="M12" s="389">
        <v>1</v>
      </c>
      <c r="N12" s="388"/>
      <c r="O12" s="388"/>
      <c r="P12" s="388"/>
      <c r="Q12" s="388"/>
      <c r="R12" s="388"/>
      <c r="S12" s="388"/>
      <c r="T12" s="386">
        <v>2</v>
      </c>
      <c r="W12" s="393"/>
      <c r="X12" s="394"/>
      <c r="Y12" s="399"/>
      <c r="Z12" s="400">
        <f t="shared" si="1"/>
        <v>7.2</v>
      </c>
      <c r="AA12" s="400">
        <f t="shared" si="1"/>
        <v>2.4</v>
      </c>
      <c r="AB12" s="400">
        <f t="shared" si="1"/>
        <v>13</v>
      </c>
    </row>
    <row r="13" spans="1:36" ht="12.95">
      <c r="A13" s="385"/>
      <c r="B13" s="386" t="s">
        <v>104</v>
      </c>
      <c r="C13" s="387"/>
      <c r="D13" s="387"/>
      <c r="E13" s="388">
        <v>5600</v>
      </c>
      <c r="F13" s="388"/>
      <c r="G13" s="388"/>
      <c r="H13" s="389">
        <v>2</v>
      </c>
      <c r="I13" s="389">
        <v>1</v>
      </c>
      <c r="J13" s="389">
        <v>5</v>
      </c>
      <c r="K13" s="389">
        <v>1</v>
      </c>
      <c r="L13" s="389"/>
      <c r="M13" s="389">
        <v>1</v>
      </c>
      <c r="N13" s="388"/>
      <c r="O13" s="388"/>
      <c r="P13" s="388"/>
      <c r="Q13" s="388"/>
      <c r="R13" s="388"/>
      <c r="S13" s="388"/>
      <c r="T13" s="386">
        <v>2</v>
      </c>
      <c r="W13" s="393"/>
      <c r="X13" s="394"/>
      <c r="Y13" s="399"/>
      <c r="Z13" s="400">
        <f t="shared" si="1"/>
        <v>3</v>
      </c>
      <c r="AA13" s="400">
        <f t="shared" si="1"/>
        <v>1</v>
      </c>
      <c r="AB13" s="400">
        <f t="shared" si="1"/>
        <v>6</v>
      </c>
    </row>
    <row r="14" spans="1:36" ht="12.95">
      <c r="A14" s="381">
        <v>44806</v>
      </c>
      <c r="B14" s="382" t="s">
        <v>95</v>
      </c>
      <c r="C14" s="383">
        <v>28810</v>
      </c>
      <c r="D14" s="382">
        <v>22400</v>
      </c>
      <c r="E14" s="382"/>
      <c r="F14" s="382"/>
      <c r="G14" s="382"/>
      <c r="H14" s="384"/>
      <c r="I14" s="384"/>
      <c r="J14" s="384"/>
      <c r="K14" s="384"/>
      <c r="L14" s="384"/>
      <c r="M14" s="384"/>
      <c r="N14" s="382"/>
      <c r="O14" s="382"/>
      <c r="P14" s="382"/>
      <c r="Q14" s="382"/>
      <c r="R14" s="382"/>
      <c r="S14" s="382"/>
      <c r="T14" s="382">
        <v>1</v>
      </c>
      <c r="W14" s="393">
        <f>Y14+Y19</f>
        <v>0</v>
      </c>
      <c r="X14" s="394">
        <f>E14+F14+G14+E19+F19+G19</f>
        <v>0</v>
      </c>
      <c r="Y14" s="399">
        <f>H14+I14+J14+K14+L14+M14+N14+O14+P14+Q14+R14+S14+H19+I19+J19+K19+L19+M19+N19+O19+P19+Q19+R19+S19</f>
        <v>0</v>
      </c>
      <c r="Z14" s="400">
        <f t="shared" si="1"/>
        <v>0</v>
      </c>
      <c r="AA14" s="400">
        <f t="shared" si="1"/>
        <v>0</v>
      </c>
      <c r="AB14" s="400">
        <f t="shared" si="1"/>
        <v>0</v>
      </c>
      <c r="AC14" s="401">
        <f>C4-X14-Y14</f>
        <v>28810</v>
      </c>
      <c r="AD14" s="417"/>
      <c r="AE14" s="417"/>
      <c r="AF14" s="417"/>
      <c r="AG14" s="417"/>
      <c r="AH14" s="417"/>
    </row>
    <row r="15" spans="1:36" ht="12.95">
      <c r="A15" s="381"/>
      <c r="B15" s="382" t="s">
        <v>97</v>
      </c>
      <c r="C15" s="383">
        <v>29829</v>
      </c>
      <c r="D15" s="382"/>
      <c r="E15" s="382">
        <v>2895</v>
      </c>
      <c r="F15" s="382"/>
      <c r="G15" s="382"/>
      <c r="H15" s="384">
        <v>1.6</v>
      </c>
      <c r="I15" s="384">
        <v>0.8</v>
      </c>
      <c r="J15" s="384">
        <v>4</v>
      </c>
      <c r="K15" s="384">
        <v>0.8</v>
      </c>
      <c r="L15" s="384">
        <v>0.16</v>
      </c>
      <c r="M15" s="384">
        <v>0.4</v>
      </c>
      <c r="N15" s="382"/>
      <c r="O15" s="382"/>
      <c r="P15" s="382"/>
      <c r="Q15" s="382"/>
      <c r="R15" s="382"/>
      <c r="S15" s="382"/>
      <c r="T15" s="382">
        <v>1</v>
      </c>
      <c r="W15" s="393">
        <v>17</v>
      </c>
      <c r="X15" s="394">
        <f>E15+F15+G15+E20+F20+G20</f>
        <v>6255</v>
      </c>
      <c r="Y15" s="399">
        <f>H15+I15+J15+K15+L15+M15+N15+O15+P15+Q15+R15+S15+H20+I20+J20+K20+L20+M20+N20+O20+P20+Q20+R20+S20</f>
        <v>9.66</v>
      </c>
      <c r="Z15" s="400">
        <f t="shared" si="1"/>
        <v>2.4</v>
      </c>
      <c r="AA15" s="400">
        <f t="shared" si="1"/>
        <v>0.96</v>
      </c>
      <c r="AB15" s="400">
        <f t="shared" si="1"/>
        <v>4.4000000000000004</v>
      </c>
      <c r="AD15" s="417"/>
      <c r="AE15" s="417"/>
      <c r="AF15" s="417"/>
      <c r="AG15" s="417"/>
      <c r="AH15" s="417"/>
    </row>
    <row r="16" spans="1:36" ht="12.95">
      <c r="A16" s="381"/>
      <c r="B16" s="382" t="s">
        <v>99</v>
      </c>
      <c r="C16" s="383">
        <v>18341</v>
      </c>
      <c r="D16" s="382"/>
      <c r="E16" s="382"/>
      <c r="F16" s="382"/>
      <c r="G16" s="382"/>
      <c r="H16" s="384"/>
      <c r="I16" s="384"/>
      <c r="J16" s="384"/>
      <c r="K16" s="384"/>
      <c r="L16" s="384"/>
      <c r="M16" s="384"/>
      <c r="N16" s="382"/>
      <c r="O16" s="382"/>
      <c r="P16" s="382"/>
      <c r="Q16" s="382"/>
      <c r="R16" s="382"/>
      <c r="S16" s="382"/>
      <c r="T16" s="382">
        <v>1</v>
      </c>
      <c r="W16" s="393">
        <v>0</v>
      </c>
      <c r="X16" s="394">
        <f>E16+F16+G16+E21+F21+G21</f>
        <v>0</v>
      </c>
      <c r="Y16" s="399">
        <f>H16+I16+J16+K16+L16+M16+N16+O16+P16+Q16+R16+S16+H21+I21+J21+K21+L21+M21+N21+O21+P21+Q21+R21+S21</f>
        <v>0</v>
      </c>
      <c r="Z16" s="400">
        <f t="shared" si="1"/>
        <v>0</v>
      </c>
      <c r="AA16" s="400">
        <f t="shared" si="1"/>
        <v>0</v>
      </c>
      <c r="AB16" s="400">
        <f t="shared" si="1"/>
        <v>0</v>
      </c>
      <c r="AD16" s="417"/>
      <c r="AE16" s="417"/>
      <c r="AF16" s="417"/>
      <c r="AG16" s="417"/>
      <c r="AH16" s="417"/>
    </row>
    <row r="17" spans="1:34" ht="12.95">
      <c r="A17" s="381"/>
      <c r="B17" s="382" t="s">
        <v>101</v>
      </c>
      <c r="C17" s="383">
        <v>30645</v>
      </c>
      <c r="D17" s="382"/>
      <c r="E17" s="382">
        <v>6500</v>
      </c>
      <c r="F17" s="382"/>
      <c r="G17" s="382"/>
      <c r="H17" s="384">
        <v>1</v>
      </c>
      <c r="I17" s="384">
        <v>0.5</v>
      </c>
      <c r="J17" s="384">
        <v>2.5</v>
      </c>
      <c r="K17" s="384">
        <v>0.5</v>
      </c>
      <c r="L17" s="384">
        <v>0.1</v>
      </c>
      <c r="M17" s="384">
        <v>0.25</v>
      </c>
      <c r="N17" s="382"/>
      <c r="O17" s="382"/>
      <c r="P17" s="382"/>
      <c r="Q17" s="382"/>
      <c r="R17" s="382"/>
      <c r="S17" s="382"/>
      <c r="T17" s="382">
        <v>1</v>
      </c>
      <c r="W17" s="393">
        <v>23</v>
      </c>
      <c r="X17" s="394">
        <f>E17+F17+G17+E22+F22+G22</f>
        <v>10000</v>
      </c>
      <c r="Y17" s="399">
        <f>H17+I17+J17+K17+L17+M17+N17+O17+P17+Q17+R17+S17+H22+I22+J22+K22+L22+M22+N22+O22+P22+Q22+R22+S22</f>
        <v>14.35</v>
      </c>
      <c r="Z17" s="400">
        <f t="shared" si="1"/>
        <v>1.5</v>
      </c>
      <c r="AA17" s="400">
        <f t="shared" si="1"/>
        <v>0.6</v>
      </c>
      <c r="AB17" s="400">
        <f t="shared" si="1"/>
        <v>2.75</v>
      </c>
      <c r="AD17" s="417"/>
      <c r="AE17" s="417"/>
      <c r="AF17" s="417"/>
      <c r="AG17" s="417"/>
      <c r="AH17" s="417"/>
    </row>
    <row r="18" spans="1:34" ht="12.95">
      <c r="A18" s="381"/>
      <c r="B18" s="382" t="s">
        <v>104</v>
      </c>
      <c r="C18" s="383">
        <v>7796</v>
      </c>
      <c r="D18" s="382">
        <v>24000</v>
      </c>
      <c r="E18" s="382">
        <v>3022</v>
      </c>
      <c r="F18" s="382"/>
      <c r="G18" s="382"/>
      <c r="H18" s="384">
        <v>2.6</v>
      </c>
      <c r="I18" s="384">
        <v>1.3</v>
      </c>
      <c r="J18" s="384">
        <v>6.5</v>
      </c>
      <c r="K18" s="384">
        <v>1.3</v>
      </c>
      <c r="L18" s="384">
        <v>0</v>
      </c>
      <c r="M18" s="384">
        <v>0.65</v>
      </c>
      <c r="N18" s="382"/>
      <c r="O18" s="382"/>
      <c r="P18" s="382"/>
      <c r="Q18" s="382"/>
      <c r="R18" s="382"/>
      <c r="S18" s="382"/>
      <c r="T18" s="382">
        <v>1</v>
      </c>
      <c r="W18" s="393">
        <v>12</v>
      </c>
      <c r="X18" s="394">
        <f>E18+F18+G18+E23+F23+G23</f>
        <v>8422</v>
      </c>
      <c r="Y18" s="399">
        <f>H18+I18+J18+K18+L18+M18+N18+O18+P18+Q18+R18+S18+H23+I23+J23+K23+L23+M23+N23+O23+P23+Q23+R23+S23</f>
        <v>32.299999999999997</v>
      </c>
      <c r="Z18" s="400">
        <f t="shared" si="1"/>
        <v>3.9</v>
      </c>
      <c r="AA18" s="400">
        <f t="shared" si="1"/>
        <v>1.3</v>
      </c>
      <c r="AB18" s="400">
        <f t="shared" si="1"/>
        <v>7.15</v>
      </c>
      <c r="AD18" s="417"/>
      <c r="AE18" s="417"/>
      <c r="AF18" s="417"/>
      <c r="AG18" s="417"/>
      <c r="AH18" s="417"/>
    </row>
    <row r="19" spans="1:34" ht="12.95">
      <c r="A19" s="385"/>
      <c r="B19" s="386" t="s">
        <v>95</v>
      </c>
      <c r="C19" s="388"/>
      <c r="D19" s="388"/>
      <c r="E19" s="388"/>
      <c r="F19" s="388"/>
      <c r="G19" s="388"/>
      <c r="H19" s="389"/>
      <c r="I19" s="389"/>
      <c r="J19" s="389"/>
      <c r="K19" s="389"/>
      <c r="L19" s="389"/>
      <c r="M19" s="389"/>
      <c r="N19" s="388"/>
      <c r="O19" s="388"/>
      <c r="P19" s="388"/>
      <c r="Q19" s="388"/>
      <c r="R19" s="388"/>
      <c r="S19" s="388"/>
      <c r="T19" s="386">
        <v>2</v>
      </c>
      <c r="W19" s="393"/>
      <c r="X19" s="394"/>
      <c r="Y19" s="399"/>
      <c r="Z19" s="400">
        <f t="shared" si="1"/>
        <v>0</v>
      </c>
      <c r="AA19" s="400">
        <f t="shared" si="1"/>
        <v>0</v>
      </c>
      <c r="AB19" s="400">
        <f t="shared" si="1"/>
        <v>0</v>
      </c>
      <c r="AD19" s="417"/>
      <c r="AE19" s="417"/>
      <c r="AF19" s="417"/>
      <c r="AG19" s="417"/>
      <c r="AH19" s="417"/>
    </row>
    <row r="20" spans="1:34" ht="12.95">
      <c r="A20" s="385"/>
      <c r="B20" s="386" t="s">
        <v>97</v>
      </c>
      <c r="C20" s="388"/>
      <c r="D20" s="388"/>
      <c r="E20" s="388">
        <v>3360</v>
      </c>
      <c r="F20" s="388"/>
      <c r="G20" s="388"/>
      <c r="H20" s="389">
        <v>0.4</v>
      </c>
      <c r="I20" s="389">
        <v>0.2</v>
      </c>
      <c r="J20" s="389">
        <v>1</v>
      </c>
      <c r="K20" s="389">
        <v>0.2</v>
      </c>
      <c r="L20" s="389">
        <v>0</v>
      </c>
      <c r="M20" s="389">
        <v>0.1</v>
      </c>
      <c r="N20" s="388"/>
      <c r="O20" s="388"/>
      <c r="P20" s="388"/>
      <c r="Q20" s="388"/>
      <c r="R20" s="388"/>
      <c r="S20" s="388"/>
      <c r="T20" s="386">
        <v>2</v>
      </c>
      <c r="W20" s="393"/>
      <c r="X20" s="394"/>
      <c r="Y20" s="399"/>
      <c r="Z20" s="400">
        <f t="shared" si="1"/>
        <v>0.6</v>
      </c>
      <c r="AA20" s="400">
        <f t="shared" si="1"/>
        <v>0.2</v>
      </c>
      <c r="AB20" s="400">
        <f t="shared" si="1"/>
        <v>1.1000000000000001</v>
      </c>
      <c r="AD20" s="417"/>
      <c r="AE20" s="417"/>
      <c r="AF20" s="417"/>
      <c r="AG20" s="417"/>
      <c r="AH20" s="417"/>
    </row>
    <row r="21" spans="1:34" ht="12.95">
      <c r="A21" s="385"/>
      <c r="B21" s="386" t="s">
        <v>99</v>
      </c>
      <c r="C21" s="388"/>
      <c r="D21" s="388"/>
      <c r="E21" s="388"/>
      <c r="F21" s="388"/>
      <c r="G21" s="388"/>
      <c r="H21" s="389"/>
      <c r="I21" s="389"/>
      <c r="J21" s="389"/>
      <c r="K21" s="389"/>
      <c r="L21" s="389"/>
      <c r="M21" s="389"/>
      <c r="N21" s="388"/>
      <c r="O21" s="388"/>
      <c r="P21" s="388"/>
      <c r="Q21" s="388"/>
      <c r="R21" s="388"/>
      <c r="S21" s="388"/>
      <c r="T21" s="386">
        <v>2</v>
      </c>
      <c r="W21" s="393"/>
      <c r="X21" s="394"/>
      <c r="Y21" s="399"/>
      <c r="Z21" s="400">
        <f t="shared" si="1"/>
        <v>0</v>
      </c>
      <c r="AA21" s="400">
        <f t="shared" si="1"/>
        <v>0</v>
      </c>
      <c r="AB21" s="400">
        <f t="shared" si="1"/>
        <v>0</v>
      </c>
      <c r="AD21" s="417"/>
      <c r="AE21" s="417"/>
      <c r="AF21" s="417"/>
      <c r="AG21" s="417"/>
      <c r="AH21" s="417"/>
    </row>
    <row r="22" spans="1:34" ht="12.95">
      <c r="A22" s="385"/>
      <c r="B22" s="386" t="s">
        <v>101</v>
      </c>
      <c r="C22" s="388"/>
      <c r="D22" s="388"/>
      <c r="E22" s="388">
        <v>3500</v>
      </c>
      <c r="F22" s="388"/>
      <c r="G22" s="388"/>
      <c r="H22" s="389">
        <v>2</v>
      </c>
      <c r="I22" s="389">
        <v>1</v>
      </c>
      <c r="J22" s="389">
        <v>5</v>
      </c>
      <c r="K22" s="389">
        <v>1</v>
      </c>
      <c r="L22" s="389">
        <v>0</v>
      </c>
      <c r="M22" s="389">
        <v>0.5</v>
      </c>
      <c r="N22" s="388"/>
      <c r="O22" s="388"/>
      <c r="P22" s="388"/>
      <c r="Q22" s="388"/>
      <c r="R22" s="388"/>
      <c r="S22" s="388"/>
      <c r="T22" s="386">
        <v>2</v>
      </c>
      <c r="W22" s="393"/>
      <c r="X22" s="394"/>
      <c r="Y22" s="399"/>
      <c r="Z22" s="400">
        <f t="shared" si="1"/>
        <v>3</v>
      </c>
      <c r="AA22" s="400">
        <f t="shared" si="1"/>
        <v>1</v>
      </c>
      <c r="AB22" s="400">
        <f t="shared" si="1"/>
        <v>5.5</v>
      </c>
      <c r="AD22" s="417"/>
      <c r="AE22" s="417"/>
      <c r="AF22" s="417"/>
      <c r="AG22" s="417"/>
      <c r="AH22" s="417"/>
    </row>
    <row r="23" spans="1:34" ht="12.95">
      <c r="A23" s="385"/>
      <c r="B23" s="386" t="s">
        <v>104</v>
      </c>
      <c r="C23" s="388"/>
      <c r="D23" s="388"/>
      <c r="E23" s="388">
        <v>5400</v>
      </c>
      <c r="F23" s="388"/>
      <c r="G23" s="388"/>
      <c r="H23" s="389">
        <v>4.2</v>
      </c>
      <c r="I23" s="389">
        <v>2.1</v>
      </c>
      <c r="J23" s="389">
        <v>10.5</v>
      </c>
      <c r="K23" s="389">
        <v>2.1</v>
      </c>
      <c r="L23" s="389">
        <v>0</v>
      </c>
      <c r="M23" s="389">
        <v>1.05</v>
      </c>
      <c r="N23" s="388"/>
      <c r="O23" s="388"/>
      <c r="P23" s="388"/>
      <c r="Q23" s="388"/>
      <c r="R23" s="388"/>
      <c r="S23" s="388"/>
      <c r="T23" s="386">
        <v>2</v>
      </c>
      <c r="W23" s="393"/>
      <c r="X23" s="394"/>
      <c r="Y23" s="399"/>
      <c r="Z23" s="400">
        <f t="shared" si="1"/>
        <v>6.3</v>
      </c>
      <c r="AA23" s="400">
        <f t="shared" si="1"/>
        <v>2.1</v>
      </c>
      <c r="AB23" s="400">
        <f t="shared" si="1"/>
        <v>11.55</v>
      </c>
    </row>
    <row r="24" spans="1:34" ht="12.95">
      <c r="A24" s="381">
        <v>44807</v>
      </c>
      <c r="B24" s="382" t="s">
        <v>95</v>
      </c>
      <c r="C24" s="390">
        <v>51210</v>
      </c>
      <c r="D24" s="382"/>
      <c r="E24" s="382">
        <v>5000</v>
      </c>
      <c r="F24" s="382"/>
      <c r="G24" s="382"/>
      <c r="H24" s="384">
        <v>1.2</v>
      </c>
      <c r="I24" s="384">
        <v>0.6</v>
      </c>
      <c r="J24" s="384">
        <v>3</v>
      </c>
      <c r="K24" s="384">
        <v>0.6</v>
      </c>
      <c r="L24" s="384">
        <v>0.12</v>
      </c>
      <c r="M24" s="384">
        <v>0.3</v>
      </c>
      <c r="N24" s="382"/>
      <c r="O24" s="382"/>
      <c r="P24" s="382"/>
      <c r="Q24" s="382"/>
      <c r="R24" s="382"/>
      <c r="S24" s="382"/>
      <c r="T24" s="382">
        <v>1</v>
      </c>
      <c r="W24" s="393">
        <f>Y24+Y29</f>
        <v>5.82</v>
      </c>
      <c r="X24" s="394">
        <f>E24+F24+G24+E29+F29+G29</f>
        <v>5000</v>
      </c>
      <c r="Y24" s="399">
        <f>H24+I24+J24+K24+L24+M24+N24+O24+P24+Q24+R24+S24+H29+I29+J29+K29+L29+M29+N29+O29+P29+Q29+R29+S29</f>
        <v>5.82</v>
      </c>
      <c r="Z24" s="400">
        <f t="shared" si="1"/>
        <v>1.8</v>
      </c>
      <c r="AA24" s="400">
        <f t="shared" si="1"/>
        <v>0.72</v>
      </c>
      <c r="AB24" s="400">
        <f t="shared" si="1"/>
        <v>3.3</v>
      </c>
    </row>
    <row r="25" spans="1:34" ht="12.95">
      <c r="A25" s="381"/>
      <c r="B25" s="382" t="s">
        <v>97</v>
      </c>
      <c r="C25" s="390">
        <v>23553</v>
      </c>
      <c r="D25" s="382"/>
      <c r="E25" s="382">
        <v>2005</v>
      </c>
      <c r="F25" s="382"/>
      <c r="G25" s="382"/>
      <c r="H25" s="384"/>
      <c r="I25" s="384"/>
      <c r="J25" s="384"/>
      <c r="K25" s="384"/>
      <c r="L25" s="384"/>
      <c r="M25" s="384"/>
      <c r="N25" s="382"/>
      <c r="O25" s="382"/>
      <c r="P25" s="382"/>
      <c r="Q25" s="382"/>
      <c r="R25" s="382"/>
      <c r="S25" s="382"/>
      <c r="T25" s="382">
        <v>1</v>
      </c>
      <c r="W25" s="393">
        <v>9</v>
      </c>
      <c r="X25" s="394">
        <f>E25+F25+G25+E30+F30+G30</f>
        <v>2005</v>
      </c>
      <c r="Y25" s="399">
        <f>H25+I25+J25+K25+L25+M25+N25+O25+P25+Q25+R25+S25+H30+I30+J30+K30+L30+M30+N30+O30+P30+Q30+R30+S30</f>
        <v>0</v>
      </c>
      <c r="Z25" s="400">
        <f t="shared" si="1"/>
        <v>0</v>
      </c>
      <c r="AA25" s="400">
        <f t="shared" si="1"/>
        <v>0</v>
      </c>
      <c r="AB25" s="400">
        <f t="shared" si="1"/>
        <v>0</v>
      </c>
    </row>
    <row r="26" spans="1:34" ht="12.95">
      <c r="A26" s="381"/>
      <c r="B26" s="382" t="s">
        <v>99</v>
      </c>
      <c r="C26" s="390">
        <v>18341</v>
      </c>
      <c r="D26" s="382"/>
      <c r="E26" s="382"/>
      <c r="F26" s="382"/>
      <c r="G26" s="382"/>
      <c r="H26" s="384"/>
      <c r="I26" s="384"/>
      <c r="J26" s="384"/>
      <c r="K26" s="384"/>
      <c r="L26" s="384"/>
      <c r="M26" s="384"/>
      <c r="N26" s="382"/>
      <c r="O26" s="382"/>
      <c r="P26" s="382"/>
      <c r="Q26" s="382"/>
      <c r="R26" s="382"/>
      <c r="S26" s="382"/>
      <c r="T26" s="382">
        <v>1</v>
      </c>
      <c r="W26" s="393">
        <f>Y26+Y31</f>
        <v>0</v>
      </c>
      <c r="X26" s="394">
        <f>E26+F26+G26+E31+F31+G31</f>
        <v>0</v>
      </c>
      <c r="Y26" s="399">
        <f>H26+I26+J26+K26+L26+M26+N26+O26+P26+Q26+R26+S26+H31+I31+J31+K31+L31+M31+N31+O31+P31+Q31+R31+S31</f>
        <v>0</v>
      </c>
      <c r="Z26" s="400">
        <f t="shared" si="1"/>
        <v>0</v>
      </c>
      <c r="AA26" s="400">
        <f t="shared" si="1"/>
        <v>0</v>
      </c>
      <c r="AB26" s="400">
        <f t="shared" si="1"/>
        <v>0</v>
      </c>
    </row>
    <row r="27" spans="1:34" ht="12.95">
      <c r="A27" s="381"/>
      <c r="B27" s="382" t="s">
        <v>101</v>
      </c>
      <c r="C27" s="390">
        <v>20630</v>
      </c>
      <c r="D27" s="382">
        <v>25600</v>
      </c>
      <c r="E27" s="382">
        <v>2525</v>
      </c>
      <c r="F27" s="382"/>
      <c r="G27" s="382"/>
      <c r="H27" s="384">
        <v>1</v>
      </c>
      <c r="I27" s="384">
        <v>0.5</v>
      </c>
      <c r="J27" s="384">
        <v>2.5</v>
      </c>
      <c r="K27" s="384">
        <v>0.5</v>
      </c>
      <c r="L27" s="384">
        <v>0.1</v>
      </c>
      <c r="M27" s="384">
        <v>0.25</v>
      </c>
      <c r="N27" s="382"/>
      <c r="O27" s="382"/>
      <c r="P27" s="382"/>
      <c r="Q27" s="382"/>
      <c r="R27" s="382"/>
      <c r="S27" s="382"/>
      <c r="T27" s="382">
        <v>1</v>
      </c>
      <c r="W27" s="393">
        <f>Y27+Y32</f>
        <v>4.8499999999999996</v>
      </c>
      <c r="X27" s="394">
        <f>E27+F27+G27+E32+F32+G32</f>
        <v>2525</v>
      </c>
      <c r="Y27" s="399">
        <f>H27+I27+J27+K27+L27+M27+N27+O27+P27+Q27+R27+S27+H32+I32+J32+K32+L32+M32+N32+O32+P32+Q32+R32+S32</f>
        <v>4.8499999999999996</v>
      </c>
      <c r="Z27" s="400">
        <f t="shared" si="1"/>
        <v>1.5</v>
      </c>
      <c r="AA27" s="400">
        <f t="shared" si="1"/>
        <v>0.6</v>
      </c>
      <c r="AB27" s="400">
        <f t="shared" si="1"/>
        <v>2.75</v>
      </c>
    </row>
    <row r="28" spans="1:34" ht="12.95">
      <c r="A28" s="381"/>
      <c r="B28" s="382" t="s">
        <v>104</v>
      </c>
      <c r="C28" s="390">
        <v>23332</v>
      </c>
      <c r="D28" s="382"/>
      <c r="E28" s="382">
        <v>1616</v>
      </c>
      <c r="F28" s="382"/>
      <c r="G28" s="382"/>
      <c r="H28" s="384">
        <v>2.2000000000000002</v>
      </c>
      <c r="I28" s="384">
        <v>1.1000000000000001</v>
      </c>
      <c r="J28" s="384">
        <v>5.5</v>
      </c>
      <c r="K28" s="384">
        <v>1.1000000000000001</v>
      </c>
      <c r="L28" s="384">
        <v>0</v>
      </c>
      <c r="M28" s="384">
        <v>0.55000000000000004</v>
      </c>
      <c r="N28" s="382"/>
      <c r="O28" s="382"/>
      <c r="P28" s="382"/>
      <c r="Q28" s="382"/>
      <c r="R28" s="382"/>
      <c r="S28" s="382"/>
      <c r="T28" s="382">
        <v>1</v>
      </c>
      <c r="W28" s="393">
        <f>Y28+Y33</f>
        <v>10.45</v>
      </c>
      <c r="X28" s="394">
        <f>E28+F28+G28+E33+F33+G33</f>
        <v>1616</v>
      </c>
      <c r="Y28" s="399">
        <f>H28+I28+J28+K28+L28+M28+N28+O28+P28+Q28+R28+S28+H33+I33+J33+K33+L33+M33+N33+O33+P33+Q33+R33+S33</f>
        <v>10.45</v>
      </c>
      <c r="Z28" s="400">
        <f t="shared" si="1"/>
        <v>3.3</v>
      </c>
      <c r="AA28" s="400">
        <f t="shared" si="1"/>
        <v>1.1000000000000001</v>
      </c>
      <c r="AB28" s="400">
        <f t="shared" si="1"/>
        <v>6.05</v>
      </c>
    </row>
    <row r="29" spans="1:34" ht="12.95">
      <c r="A29" s="385"/>
      <c r="B29" s="386" t="s">
        <v>95</v>
      </c>
      <c r="C29" s="388"/>
      <c r="D29" s="388"/>
      <c r="E29" s="388"/>
      <c r="F29" s="388"/>
      <c r="G29" s="388"/>
      <c r="H29" s="389"/>
      <c r="I29" s="389"/>
      <c r="J29" s="389"/>
      <c r="K29" s="389"/>
      <c r="L29" s="389"/>
      <c r="M29" s="389"/>
      <c r="N29" s="388"/>
      <c r="O29" s="388"/>
      <c r="P29" s="388"/>
      <c r="Q29" s="388"/>
      <c r="R29" s="388"/>
      <c r="S29" s="388"/>
      <c r="T29" s="386">
        <v>2</v>
      </c>
      <c r="W29" s="393"/>
      <c r="X29" s="394"/>
      <c r="Y29" s="399"/>
      <c r="Z29" s="400">
        <f t="shared" si="1"/>
        <v>0</v>
      </c>
      <c r="AA29" s="400">
        <f t="shared" si="1"/>
        <v>0</v>
      </c>
      <c r="AB29" s="400">
        <f t="shared" si="1"/>
        <v>0</v>
      </c>
    </row>
    <row r="30" spans="1:34" ht="12.95">
      <c r="A30" s="385"/>
      <c r="B30" s="386" t="s">
        <v>97</v>
      </c>
      <c r="C30" s="388"/>
      <c r="D30" s="388"/>
      <c r="E30" s="388"/>
      <c r="F30" s="388"/>
      <c r="G30" s="388"/>
      <c r="H30" s="389"/>
      <c r="I30" s="389"/>
      <c r="J30" s="389"/>
      <c r="K30" s="389"/>
      <c r="L30" s="389"/>
      <c r="M30" s="389"/>
      <c r="N30" s="388"/>
      <c r="O30" s="388"/>
      <c r="P30" s="388"/>
      <c r="Q30" s="388"/>
      <c r="R30" s="388"/>
      <c r="S30" s="388"/>
      <c r="T30" s="386">
        <v>2</v>
      </c>
      <c r="W30" s="393"/>
      <c r="X30" s="394"/>
      <c r="Y30" s="399"/>
      <c r="Z30" s="400">
        <f t="shared" si="1"/>
        <v>0</v>
      </c>
      <c r="AA30" s="400">
        <f t="shared" si="1"/>
        <v>0</v>
      </c>
      <c r="AB30" s="400">
        <f t="shared" si="1"/>
        <v>0</v>
      </c>
    </row>
    <row r="31" spans="1:34" ht="12.95">
      <c r="A31" s="385"/>
      <c r="B31" s="386" t="s">
        <v>99</v>
      </c>
      <c r="C31" s="388"/>
      <c r="D31" s="388"/>
      <c r="E31" s="388"/>
      <c r="F31" s="388"/>
      <c r="G31" s="388"/>
      <c r="H31" s="389"/>
      <c r="I31" s="389"/>
      <c r="J31" s="389"/>
      <c r="K31" s="389"/>
      <c r="L31" s="389"/>
      <c r="M31" s="389"/>
      <c r="N31" s="388"/>
      <c r="O31" s="388"/>
      <c r="P31" s="388"/>
      <c r="Q31" s="388"/>
      <c r="R31" s="388"/>
      <c r="S31" s="388"/>
      <c r="T31" s="386">
        <v>2</v>
      </c>
      <c r="W31" s="393"/>
      <c r="X31" s="394"/>
      <c r="Y31" s="399"/>
      <c r="Z31" s="400">
        <f t="shared" si="1"/>
        <v>0</v>
      </c>
      <c r="AA31" s="400">
        <f t="shared" si="1"/>
        <v>0</v>
      </c>
      <c r="AB31" s="400">
        <f t="shared" si="1"/>
        <v>0</v>
      </c>
    </row>
    <row r="32" spans="1:34" ht="12.95">
      <c r="A32" s="385"/>
      <c r="B32" s="386" t="s">
        <v>101</v>
      </c>
      <c r="C32" s="388"/>
      <c r="D32" s="388"/>
      <c r="E32" s="388"/>
      <c r="F32" s="388"/>
      <c r="G32" s="388"/>
      <c r="H32" s="389"/>
      <c r="I32" s="389"/>
      <c r="J32" s="389"/>
      <c r="K32" s="389"/>
      <c r="L32" s="389"/>
      <c r="M32" s="389"/>
      <c r="N32" s="388"/>
      <c r="O32" s="388"/>
      <c r="P32" s="388"/>
      <c r="Q32" s="388"/>
      <c r="R32" s="388"/>
      <c r="S32" s="388"/>
      <c r="T32" s="386">
        <v>2</v>
      </c>
      <c r="W32" s="393"/>
      <c r="X32" s="394"/>
      <c r="Y32" s="399"/>
      <c r="Z32" s="400">
        <f t="shared" si="1"/>
        <v>0</v>
      </c>
      <c r="AA32" s="400">
        <f t="shared" si="1"/>
        <v>0</v>
      </c>
      <c r="AB32" s="400">
        <f t="shared" si="1"/>
        <v>0</v>
      </c>
    </row>
    <row r="33" spans="1:28" ht="12.95">
      <c r="A33" s="385"/>
      <c r="B33" s="386" t="s">
        <v>104</v>
      </c>
      <c r="C33" s="388"/>
      <c r="D33" s="388"/>
      <c r="E33" s="388"/>
      <c r="F33" s="388"/>
      <c r="G33" s="388"/>
      <c r="H33" s="389"/>
      <c r="I33" s="389"/>
      <c r="J33" s="389"/>
      <c r="K33" s="389"/>
      <c r="L33" s="389"/>
      <c r="M33" s="389"/>
      <c r="N33" s="388"/>
      <c r="O33" s="388"/>
      <c r="P33" s="388"/>
      <c r="Q33" s="388"/>
      <c r="R33" s="388"/>
      <c r="S33" s="388"/>
      <c r="T33" s="386">
        <v>2</v>
      </c>
      <c r="W33" s="393"/>
      <c r="X33" s="394"/>
      <c r="Y33" s="399"/>
      <c r="Z33" s="400">
        <f t="shared" si="1"/>
        <v>0</v>
      </c>
      <c r="AA33" s="400">
        <f t="shared" si="1"/>
        <v>0</v>
      </c>
      <c r="AB33" s="400">
        <f t="shared" si="1"/>
        <v>0</v>
      </c>
    </row>
    <row r="34" spans="1:28" ht="12.95">
      <c r="A34" s="381">
        <v>44808</v>
      </c>
      <c r="B34" s="382" t="s">
        <v>95</v>
      </c>
      <c r="C34" s="390">
        <v>46204</v>
      </c>
      <c r="D34" s="382">
        <v>44800</v>
      </c>
      <c r="E34" s="382">
        <v>10000</v>
      </c>
      <c r="F34" s="382"/>
      <c r="G34" s="382"/>
      <c r="H34" s="384">
        <v>1.6</v>
      </c>
      <c r="I34" s="384">
        <v>0.8</v>
      </c>
      <c r="J34" s="384">
        <v>4</v>
      </c>
      <c r="K34" s="384">
        <v>0.8</v>
      </c>
      <c r="L34" s="384">
        <v>0.16</v>
      </c>
      <c r="M34" s="384">
        <v>0.4</v>
      </c>
      <c r="N34" s="382"/>
      <c r="O34" s="382"/>
      <c r="P34" s="382"/>
      <c r="Q34" s="382"/>
      <c r="R34" s="382"/>
      <c r="S34" s="382"/>
      <c r="T34" s="382">
        <v>1</v>
      </c>
      <c r="W34" s="393">
        <f>Y34+Y39</f>
        <v>23.91</v>
      </c>
      <c r="X34" s="394">
        <f>E34+F34+G34+E39+F39+G39</f>
        <v>18125</v>
      </c>
      <c r="Y34" s="399">
        <f>H34+I34+J34+K34+L34+M34+N34+O34+P34+Q34+R34+S34+H39+I39+J39+K39+L39+M39+N39+O39+P39+Q39+R39+S39</f>
        <v>23.91</v>
      </c>
      <c r="Z34" s="400">
        <f t="shared" si="1"/>
        <v>2.4</v>
      </c>
      <c r="AA34" s="400">
        <f t="shared" si="1"/>
        <v>0.96</v>
      </c>
      <c r="AB34" s="400">
        <f t="shared" si="1"/>
        <v>4.4000000000000004</v>
      </c>
    </row>
    <row r="35" spans="1:28" ht="12.95">
      <c r="A35" s="381"/>
      <c r="B35" s="382" t="s">
        <v>97</v>
      </c>
      <c r="C35" s="390">
        <v>21548</v>
      </c>
      <c r="D35" s="382"/>
      <c r="E35" s="382"/>
      <c r="F35" s="382"/>
      <c r="G35" s="382"/>
      <c r="H35" s="384"/>
      <c r="I35" s="384"/>
      <c r="J35" s="384"/>
      <c r="K35" s="384"/>
      <c r="L35" s="384"/>
      <c r="M35" s="384"/>
      <c r="N35" s="382"/>
      <c r="O35" s="382"/>
      <c r="P35" s="382"/>
      <c r="Q35" s="382"/>
      <c r="R35" s="382"/>
      <c r="S35" s="382"/>
      <c r="T35" s="382">
        <v>1</v>
      </c>
      <c r="W35" s="393">
        <v>11</v>
      </c>
      <c r="X35" s="394">
        <f>E35+F35+G35+E40+F40+G40</f>
        <v>0</v>
      </c>
      <c r="Y35" s="399">
        <f>H35+I35+J35+K35+L35+M35+N35+O35+P35+Q35+R35+S35+H40+I40+J40+K40+L40+M40+N40+O40+P40+Q40+R40+S40</f>
        <v>0</v>
      </c>
      <c r="Z35" s="400">
        <f t="shared" si="1"/>
        <v>0</v>
      </c>
      <c r="AA35" s="400">
        <f t="shared" si="1"/>
        <v>0</v>
      </c>
      <c r="AB35" s="400">
        <f t="shared" si="1"/>
        <v>0</v>
      </c>
    </row>
    <row r="36" spans="1:28" ht="12.95">
      <c r="A36" s="381"/>
      <c r="B36" s="382" t="s">
        <v>99</v>
      </c>
      <c r="C36" s="390">
        <v>18341</v>
      </c>
      <c r="D36" s="382"/>
      <c r="E36" s="382"/>
      <c r="F36" s="382"/>
      <c r="G36" s="382"/>
      <c r="H36" s="384"/>
      <c r="I36" s="384"/>
      <c r="J36" s="384"/>
      <c r="K36" s="384"/>
      <c r="L36" s="384"/>
      <c r="M36" s="384"/>
      <c r="N36" s="382"/>
      <c r="O36" s="382"/>
      <c r="P36" s="382"/>
      <c r="Q36" s="382"/>
      <c r="R36" s="382"/>
      <c r="S36" s="382"/>
      <c r="T36" s="382">
        <v>1</v>
      </c>
      <c r="W36" s="393">
        <f>Y36+Y41</f>
        <v>0</v>
      </c>
      <c r="X36" s="394">
        <f>E36+F36+G36+E41+F41+G41</f>
        <v>0</v>
      </c>
      <c r="Y36" s="399">
        <f>H36+I36+J36+K36+L36+M36+N36+O36+P36+Q36+R36+S36+H41+I41+J41+K41+L41+M41+N41+O41+P41+Q41+R41+S41</f>
        <v>0</v>
      </c>
      <c r="Z36" s="400">
        <f t="shared" si="1"/>
        <v>0</v>
      </c>
      <c r="AA36" s="400">
        <f t="shared" si="1"/>
        <v>0</v>
      </c>
      <c r="AB36" s="400">
        <f t="shared" si="1"/>
        <v>0</v>
      </c>
    </row>
    <row r="37" spans="1:28" ht="12.95">
      <c r="A37" s="381"/>
      <c r="B37" s="382" t="s">
        <v>101</v>
      </c>
      <c r="C37" s="390">
        <v>43700</v>
      </c>
      <c r="D37" s="382"/>
      <c r="E37" s="382"/>
      <c r="F37" s="382"/>
      <c r="G37" s="382"/>
      <c r="H37" s="384"/>
      <c r="I37" s="384"/>
      <c r="J37" s="384"/>
      <c r="K37" s="384"/>
      <c r="L37" s="384"/>
      <c r="M37" s="384"/>
      <c r="N37" s="382"/>
      <c r="O37" s="382"/>
      <c r="P37" s="382"/>
      <c r="Q37" s="382"/>
      <c r="R37" s="382"/>
      <c r="S37" s="382"/>
      <c r="T37" s="382">
        <v>1</v>
      </c>
      <c r="W37" s="393">
        <v>14</v>
      </c>
      <c r="X37" s="394">
        <f>E37+F37+G37+E42+F42+G42</f>
        <v>0</v>
      </c>
      <c r="Y37" s="399">
        <f>H37+I37+J37+K37+L37+M37+N37+O37+P37+Q37+R37+S37+H42+I42+J42+K42+L42+M42+N42+O42+P42+Q42+R42+S42</f>
        <v>0</v>
      </c>
      <c r="Z37" s="400">
        <f t="shared" si="1"/>
        <v>0</v>
      </c>
      <c r="AA37" s="400">
        <f t="shared" si="1"/>
        <v>0</v>
      </c>
      <c r="AB37" s="400">
        <f t="shared" si="1"/>
        <v>0</v>
      </c>
    </row>
    <row r="38" spans="1:28" ht="12.95">
      <c r="A38" s="381"/>
      <c r="B38" s="382" t="s">
        <v>104</v>
      </c>
      <c r="C38" s="390">
        <v>21701</v>
      </c>
      <c r="D38" s="382"/>
      <c r="E38" s="382"/>
      <c r="F38" s="382"/>
      <c r="G38" s="382"/>
      <c r="H38" s="384"/>
      <c r="I38" s="384"/>
      <c r="J38" s="384"/>
      <c r="K38" s="384"/>
      <c r="L38" s="384"/>
      <c r="M38" s="384"/>
      <c r="N38" s="382"/>
      <c r="O38" s="382"/>
      <c r="P38" s="382"/>
      <c r="Q38" s="382"/>
      <c r="R38" s="382"/>
      <c r="S38" s="382"/>
      <c r="T38" s="382">
        <v>1</v>
      </c>
      <c r="W38" s="393">
        <v>18</v>
      </c>
      <c r="X38" s="394">
        <f>E38+F38+G38+E43+F43+G43</f>
        <v>0</v>
      </c>
      <c r="Y38" s="399">
        <f>H38+I38+J38+K38+L38+M38+N38+O38+P38+Q38+R38+S38+H43+I43+J43+K43+L43+M43+N43+O43+P43+Q43+R43+S43</f>
        <v>0</v>
      </c>
      <c r="Z38" s="400">
        <f t="shared" si="1"/>
        <v>0</v>
      </c>
      <c r="AA38" s="400">
        <f t="shared" si="1"/>
        <v>0</v>
      </c>
      <c r="AB38" s="400">
        <f t="shared" si="1"/>
        <v>0</v>
      </c>
    </row>
    <row r="39" spans="1:28" ht="12.95">
      <c r="A39" s="385"/>
      <c r="B39" s="386" t="s">
        <v>95</v>
      </c>
      <c r="C39" s="388"/>
      <c r="D39" s="388"/>
      <c r="E39" s="388">
        <v>8125</v>
      </c>
      <c r="F39" s="388"/>
      <c r="G39" s="388"/>
      <c r="H39" s="389">
        <v>3.4</v>
      </c>
      <c r="I39" s="389">
        <v>1.7</v>
      </c>
      <c r="J39" s="389">
        <v>8.5</v>
      </c>
      <c r="K39" s="389">
        <v>1.7</v>
      </c>
      <c r="L39" s="389">
        <v>0</v>
      </c>
      <c r="M39" s="389">
        <v>0.85</v>
      </c>
      <c r="N39" s="388"/>
      <c r="O39" s="388"/>
      <c r="P39" s="388"/>
      <c r="Q39" s="388"/>
      <c r="R39" s="388"/>
      <c r="S39" s="388"/>
      <c r="T39" s="386">
        <v>2</v>
      </c>
      <c r="W39" s="393"/>
      <c r="X39" s="394"/>
      <c r="Y39" s="399"/>
      <c r="Z39" s="400">
        <f t="shared" si="1"/>
        <v>5.0999999999999996</v>
      </c>
      <c r="AA39" s="400">
        <f t="shared" si="1"/>
        <v>1.7</v>
      </c>
      <c r="AB39" s="400">
        <f t="shared" si="1"/>
        <v>9.35</v>
      </c>
    </row>
    <row r="40" spans="1:28" ht="12.95">
      <c r="A40" s="385"/>
      <c r="B40" s="386" t="s">
        <v>97</v>
      </c>
      <c r="C40" s="388"/>
      <c r="D40" s="388"/>
      <c r="E40" s="388"/>
      <c r="F40" s="388"/>
      <c r="G40" s="388"/>
      <c r="H40" s="389"/>
      <c r="I40" s="389"/>
      <c r="J40" s="389"/>
      <c r="K40" s="389"/>
      <c r="L40" s="389"/>
      <c r="M40" s="389"/>
      <c r="N40" s="388"/>
      <c r="O40" s="388"/>
      <c r="P40" s="388"/>
      <c r="Q40" s="388"/>
      <c r="R40" s="388"/>
      <c r="S40" s="388"/>
      <c r="T40" s="386">
        <v>2</v>
      </c>
      <c r="W40" s="393"/>
      <c r="X40" s="394"/>
      <c r="Y40" s="399"/>
      <c r="Z40" s="400">
        <f t="shared" si="1"/>
        <v>0</v>
      </c>
      <c r="AA40" s="400">
        <f t="shared" si="1"/>
        <v>0</v>
      </c>
      <c r="AB40" s="400">
        <f t="shared" si="1"/>
        <v>0</v>
      </c>
    </row>
    <row r="41" spans="1:28" ht="12.95">
      <c r="A41" s="385"/>
      <c r="B41" s="386" t="s">
        <v>99</v>
      </c>
      <c r="C41" s="388"/>
      <c r="D41" s="388"/>
      <c r="E41" s="388"/>
      <c r="F41" s="388"/>
      <c r="G41" s="388"/>
      <c r="H41" s="389"/>
      <c r="I41" s="389"/>
      <c r="J41" s="389"/>
      <c r="K41" s="389"/>
      <c r="L41" s="389"/>
      <c r="M41" s="389"/>
      <c r="N41" s="388"/>
      <c r="O41" s="388"/>
      <c r="P41" s="388"/>
      <c r="Q41" s="388"/>
      <c r="R41" s="388"/>
      <c r="S41" s="388"/>
      <c r="T41" s="386">
        <v>2</v>
      </c>
      <c r="W41" s="393"/>
      <c r="X41" s="394"/>
      <c r="Y41" s="399"/>
      <c r="Z41" s="400">
        <f t="shared" si="1"/>
        <v>0</v>
      </c>
      <c r="AA41" s="400">
        <f t="shared" si="1"/>
        <v>0</v>
      </c>
      <c r="AB41" s="400">
        <f t="shared" si="1"/>
        <v>0</v>
      </c>
    </row>
    <row r="42" spans="1:28" ht="12.95">
      <c r="A42" s="385"/>
      <c r="B42" s="386" t="s">
        <v>101</v>
      </c>
      <c r="C42" s="388"/>
      <c r="D42" s="388"/>
      <c r="E42" s="388"/>
      <c r="F42" s="388"/>
      <c r="G42" s="388"/>
      <c r="H42" s="389"/>
      <c r="I42" s="389"/>
      <c r="J42" s="389"/>
      <c r="K42" s="389"/>
      <c r="L42" s="389"/>
      <c r="M42" s="389"/>
      <c r="N42" s="388"/>
      <c r="O42" s="388"/>
      <c r="P42" s="388"/>
      <c r="Q42" s="388"/>
      <c r="R42" s="388"/>
      <c r="S42" s="388"/>
      <c r="T42" s="386">
        <v>2</v>
      </c>
      <c r="W42" s="393"/>
      <c r="X42" s="394"/>
      <c r="Y42" s="399"/>
      <c r="Z42" s="400">
        <f t="shared" si="1"/>
        <v>0</v>
      </c>
      <c r="AA42" s="400">
        <f t="shared" si="1"/>
        <v>0</v>
      </c>
      <c r="AB42" s="400">
        <f t="shared" si="1"/>
        <v>0</v>
      </c>
    </row>
    <row r="43" spans="1:28" ht="12.95">
      <c r="A43" s="385"/>
      <c r="B43" s="386" t="s">
        <v>104</v>
      </c>
      <c r="C43" s="388"/>
      <c r="D43" s="388"/>
      <c r="E43" s="388"/>
      <c r="F43" s="388"/>
      <c r="G43" s="388"/>
      <c r="H43" s="389"/>
      <c r="I43" s="389"/>
      <c r="J43" s="389"/>
      <c r="K43" s="389"/>
      <c r="L43" s="389"/>
      <c r="M43" s="389"/>
      <c r="N43" s="388"/>
      <c r="O43" s="388"/>
      <c r="P43" s="388"/>
      <c r="Q43" s="388"/>
      <c r="R43" s="388"/>
      <c r="S43" s="388"/>
      <c r="T43" s="386">
        <v>2</v>
      </c>
      <c r="W43" s="393"/>
      <c r="X43" s="394"/>
      <c r="Y43" s="399"/>
      <c r="Z43" s="400">
        <f t="shared" si="1"/>
        <v>0</v>
      </c>
      <c r="AA43" s="400">
        <f t="shared" si="1"/>
        <v>0</v>
      </c>
      <c r="AB43" s="400">
        <f t="shared" si="1"/>
        <v>0</v>
      </c>
    </row>
    <row r="44" spans="1:28" ht="12.95">
      <c r="A44" s="381">
        <v>44809</v>
      </c>
      <c r="B44" s="382" t="s">
        <v>95</v>
      </c>
      <c r="C44" s="390">
        <v>72838</v>
      </c>
      <c r="D44" s="382"/>
      <c r="E44" s="382"/>
      <c r="F44" s="382"/>
      <c r="G44" s="382"/>
      <c r="H44" s="384"/>
      <c r="I44" s="384"/>
      <c r="J44" s="384"/>
      <c r="K44" s="384"/>
      <c r="L44" s="384"/>
      <c r="M44" s="384"/>
      <c r="N44" s="382"/>
      <c r="O44" s="382"/>
      <c r="P44" s="382"/>
      <c r="Q44" s="382"/>
      <c r="R44" s="382"/>
      <c r="S44" s="382"/>
      <c r="T44" s="382">
        <v>1</v>
      </c>
      <c r="W44" s="393">
        <f>Y44+Y49</f>
        <v>27.55</v>
      </c>
      <c r="X44" s="394">
        <f>E44+F44+G44+E49+F49+G49</f>
        <v>14375</v>
      </c>
      <c r="Y44" s="399">
        <f>H44+I44+J44+K44+L44+M44+N44+O44+P44+Q44+R44+S44+H49+I49+J49+K49+L49+M49+N49+O49+P49+Q49+R49+S49</f>
        <v>27.55</v>
      </c>
      <c r="Z44" s="400">
        <f t="shared" si="1"/>
        <v>0</v>
      </c>
      <c r="AA44" s="400">
        <f t="shared" si="1"/>
        <v>0</v>
      </c>
      <c r="AB44" s="400">
        <f t="shared" si="1"/>
        <v>0</v>
      </c>
    </row>
    <row r="45" spans="1:28" ht="12.95">
      <c r="A45" s="381"/>
      <c r="B45" s="382" t="s">
        <v>97</v>
      </c>
      <c r="C45" s="390">
        <v>21548</v>
      </c>
      <c r="D45" s="382"/>
      <c r="E45" s="382"/>
      <c r="F45" s="382"/>
      <c r="G45" s="382"/>
      <c r="H45" s="384"/>
      <c r="I45" s="384"/>
      <c r="J45" s="384"/>
      <c r="K45" s="384"/>
      <c r="L45" s="384"/>
      <c r="M45" s="384"/>
      <c r="N45" s="382"/>
      <c r="O45" s="382"/>
      <c r="P45" s="382"/>
      <c r="Q45" s="382"/>
      <c r="R45" s="382"/>
      <c r="S45" s="382"/>
      <c r="T45" s="382">
        <v>1</v>
      </c>
      <c r="W45" s="393">
        <v>24</v>
      </c>
      <c r="X45" s="394">
        <f>E45+F45+G45+E50+F50+G50</f>
        <v>0</v>
      </c>
      <c r="Y45" s="399">
        <f>H45+I45+J45+K45+L45+M45+N45+O45+P45+Q45+R45+S45+H50+I50+J50+K50+L50+M50+N50+O50+P50+Q50+R50+S50</f>
        <v>0</v>
      </c>
      <c r="Z45" s="400">
        <f t="shared" si="1"/>
        <v>0</v>
      </c>
      <c r="AA45" s="400">
        <f t="shared" si="1"/>
        <v>0</v>
      </c>
      <c r="AB45" s="400">
        <f t="shared" si="1"/>
        <v>0</v>
      </c>
    </row>
    <row r="46" spans="1:28" ht="12.95">
      <c r="A46" s="381"/>
      <c r="B46" s="382" t="s">
        <v>99</v>
      </c>
      <c r="C46" s="390">
        <v>18341</v>
      </c>
      <c r="D46" s="382"/>
      <c r="E46" s="382"/>
      <c r="F46" s="382"/>
      <c r="G46" s="382"/>
      <c r="H46" s="384"/>
      <c r="I46" s="384"/>
      <c r="J46" s="384"/>
      <c r="K46" s="384"/>
      <c r="L46" s="384"/>
      <c r="M46" s="384"/>
      <c r="N46" s="382"/>
      <c r="O46" s="382"/>
      <c r="P46" s="382"/>
      <c r="Q46" s="382"/>
      <c r="R46" s="382"/>
      <c r="S46" s="382"/>
      <c r="T46" s="382">
        <v>1</v>
      </c>
      <c r="W46" s="393">
        <v>12</v>
      </c>
      <c r="X46" s="394">
        <f>E46+F46+G46+E51+F51+G51</f>
        <v>1250</v>
      </c>
      <c r="Y46" s="399">
        <f>H46+I46+J46+K46+L46+M46+N46+O46+P46+Q46+R46+S46+H51+I51+J51+K51+L51+M51+N51+O51+P51+Q51+R51+S51</f>
        <v>9.5</v>
      </c>
      <c r="Z46" s="400">
        <f t="shared" si="1"/>
        <v>0</v>
      </c>
      <c r="AA46" s="400">
        <f t="shared" si="1"/>
        <v>0</v>
      </c>
      <c r="AB46" s="400">
        <f t="shared" si="1"/>
        <v>0</v>
      </c>
    </row>
    <row r="47" spans="1:28" ht="12.95">
      <c r="A47" s="381"/>
      <c r="B47" s="382" t="s">
        <v>101</v>
      </c>
      <c r="C47" s="390">
        <v>43700</v>
      </c>
      <c r="D47" s="382"/>
      <c r="E47" s="382"/>
      <c r="F47" s="382"/>
      <c r="G47" s="382"/>
      <c r="H47" s="384"/>
      <c r="I47" s="384"/>
      <c r="J47" s="384"/>
      <c r="K47" s="384"/>
      <c r="L47" s="384"/>
      <c r="M47" s="384"/>
      <c r="N47" s="382"/>
      <c r="O47" s="382"/>
      <c r="P47" s="382"/>
      <c r="Q47" s="382"/>
      <c r="R47" s="382"/>
      <c r="S47" s="382"/>
      <c r="T47" s="382">
        <v>1</v>
      </c>
      <c r="W47" s="393">
        <v>14</v>
      </c>
      <c r="X47" s="394">
        <f>E47+F47+G47+E52+F52+G52</f>
        <v>0</v>
      </c>
      <c r="Y47" s="399">
        <f>H47+I47+J47+K47+L47+M47+N47+O47+P47+Q47+R47+S47+H52+I52+J52+K52+L52+M52+N52+O52+P52+Q52+R52+S52</f>
        <v>0</v>
      </c>
      <c r="Z47" s="400">
        <f t="shared" si="1"/>
        <v>0</v>
      </c>
      <c r="AA47" s="400">
        <f t="shared" si="1"/>
        <v>0</v>
      </c>
      <c r="AB47" s="400">
        <f t="shared" si="1"/>
        <v>0</v>
      </c>
    </row>
    <row r="48" spans="1:28" ht="12.95">
      <c r="A48" s="381"/>
      <c r="B48" s="382" t="s">
        <v>104</v>
      </c>
      <c r="C48" s="390">
        <v>21701</v>
      </c>
      <c r="D48" s="382"/>
      <c r="E48" s="382"/>
      <c r="F48" s="382"/>
      <c r="G48" s="382"/>
      <c r="H48" s="384"/>
      <c r="I48" s="384"/>
      <c r="J48" s="384"/>
      <c r="K48" s="384"/>
      <c r="L48" s="384"/>
      <c r="M48" s="384"/>
      <c r="N48" s="382"/>
      <c r="O48" s="382"/>
      <c r="P48" s="382"/>
      <c r="Q48" s="382"/>
      <c r="R48" s="382"/>
      <c r="S48" s="382"/>
      <c r="T48" s="382">
        <v>1</v>
      </c>
      <c r="W48" s="393">
        <f>Y48+Y53</f>
        <v>0</v>
      </c>
      <c r="X48" s="394">
        <f>E48+F48+G48+E53+F53+G53</f>
        <v>0</v>
      </c>
      <c r="Y48" s="399">
        <f>H48+I48+J48+K48+L48+M48+N48+O48+P48+Q48+R48+S48+H53+I53+J53+K53+L53+M53+N53+O53+P53+Q53+R53+S53</f>
        <v>0</v>
      </c>
      <c r="Z48" s="400">
        <f t="shared" si="1"/>
        <v>0</v>
      </c>
      <c r="AA48" s="400">
        <f t="shared" si="1"/>
        <v>0</v>
      </c>
      <c r="AB48" s="400">
        <f t="shared" si="1"/>
        <v>0</v>
      </c>
    </row>
    <row r="49" spans="1:34" ht="12.95">
      <c r="A49" s="385"/>
      <c r="B49" s="386" t="s">
        <v>95</v>
      </c>
      <c r="C49" s="388"/>
      <c r="D49" s="388"/>
      <c r="E49" s="388">
        <v>14375</v>
      </c>
      <c r="F49" s="388"/>
      <c r="G49" s="388"/>
      <c r="H49" s="389">
        <v>5.8</v>
      </c>
      <c r="I49" s="389">
        <v>2.9</v>
      </c>
      <c r="J49" s="389">
        <v>14.5</v>
      </c>
      <c r="K49" s="389">
        <v>2.9</v>
      </c>
      <c r="L49" s="389">
        <v>0</v>
      </c>
      <c r="M49" s="389">
        <v>1.45</v>
      </c>
      <c r="N49" s="388"/>
      <c r="O49" s="388"/>
      <c r="P49" s="388"/>
      <c r="Q49" s="388"/>
      <c r="R49" s="388"/>
      <c r="S49" s="388"/>
      <c r="T49" s="386">
        <v>2</v>
      </c>
      <c r="W49" s="393"/>
      <c r="X49" s="394"/>
      <c r="Y49" s="399"/>
      <c r="Z49" s="400">
        <f t="shared" si="1"/>
        <v>8.6999999999999993</v>
      </c>
      <c r="AA49" s="400">
        <f t="shared" si="1"/>
        <v>2.9</v>
      </c>
      <c r="AB49" s="400">
        <f t="shared" si="1"/>
        <v>15.95</v>
      </c>
    </row>
    <row r="50" spans="1:34" ht="12.95">
      <c r="A50" s="385"/>
      <c r="B50" s="386" t="s">
        <v>97</v>
      </c>
      <c r="C50" s="388"/>
      <c r="D50" s="388"/>
      <c r="E50" s="388"/>
      <c r="F50" s="388"/>
      <c r="G50" s="388"/>
      <c r="H50" s="389"/>
      <c r="I50" s="389"/>
      <c r="J50" s="389"/>
      <c r="K50" s="389"/>
      <c r="L50" s="389"/>
      <c r="M50" s="389"/>
      <c r="N50" s="388"/>
      <c r="O50" s="388"/>
      <c r="P50" s="388"/>
      <c r="Q50" s="388"/>
      <c r="R50" s="388"/>
      <c r="S50" s="388"/>
      <c r="T50" s="386">
        <v>2</v>
      </c>
      <c r="W50" s="393"/>
      <c r="X50" s="394"/>
      <c r="Y50" s="399"/>
      <c r="Z50" s="400">
        <f t="shared" si="1"/>
        <v>0</v>
      </c>
      <c r="AA50" s="400">
        <f t="shared" si="1"/>
        <v>0</v>
      </c>
      <c r="AB50" s="400">
        <f t="shared" si="1"/>
        <v>0</v>
      </c>
    </row>
    <row r="51" spans="1:34" ht="12.95">
      <c r="A51" s="385"/>
      <c r="B51" s="386" t="s">
        <v>99</v>
      </c>
      <c r="C51" s="388"/>
      <c r="D51" s="388"/>
      <c r="E51" s="388">
        <v>1250</v>
      </c>
      <c r="F51" s="388"/>
      <c r="G51" s="388"/>
      <c r="H51" s="389">
        <v>2</v>
      </c>
      <c r="I51" s="389">
        <v>1</v>
      </c>
      <c r="J51" s="389">
        <v>5</v>
      </c>
      <c r="K51" s="389">
        <v>1</v>
      </c>
      <c r="L51" s="389">
        <v>0</v>
      </c>
      <c r="M51" s="389">
        <v>0.5</v>
      </c>
      <c r="N51" s="388"/>
      <c r="O51" s="388"/>
      <c r="P51" s="388"/>
      <c r="Q51" s="388"/>
      <c r="R51" s="388"/>
      <c r="S51" s="388"/>
      <c r="T51" s="386">
        <v>2</v>
      </c>
      <c r="W51" s="393"/>
      <c r="X51" s="394"/>
      <c r="Y51" s="399"/>
      <c r="Z51" s="400">
        <f t="shared" si="1"/>
        <v>3</v>
      </c>
      <c r="AA51" s="400">
        <f t="shared" si="1"/>
        <v>1</v>
      </c>
      <c r="AB51" s="400">
        <f t="shared" si="1"/>
        <v>5.5</v>
      </c>
    </row>
    <row r="52" spans="1:34" ht="12.95">
      <c r="A52" s="385"/>
      <c r="B52" s="386" t="s">
        <v>101</v>
      </c>
      <c r="C52" s="388"/>
      <c r="D52" s="388"/>
      <c r="E52" s="388"/>
      <c r="F52" s="388"/>
      <c r="G52" s="388"/>
      <c r="H52" s="389"/>
      <c r="I52" s="389"/>
      <c r="J52" s="389"/>
      <c r="K52" s="389"/>
      <c r="L52" s="389"/>
      <c r="M52" s="389"/>
      <c r="N52" s="388"/>
      <c r="O52" s="388"/>
      <c r="P52" s="388"/>
      <c r="Q52" s="388"/>
      <c r="R52" s="388"/>
      <c r="S52" s="388"/>
      <c r="T52" s="386">
        <v>2</v>
      </c>
      <c r="W52" s="393"/>
      <c r="X52" s="394"/>
      <c r="Y52" s="399"/>
      <c r="Z52" s="400">
        <f t="shared" si="1"/>
        <v>0</v>
      </c>
      <c r="AA52" s="400">
        <f t="shared" si="1"/>
        <v>0</v>
      </c>
      <c r="AB52" s="400">
        <f t="shared" si="1"/>
        <v>0</v>
      </c>
    </row>
    <row r="53" spans="1:34" ht="12.95">
      <c r="A53" s="385"/>
      <c r="B53" s="386" t="s">
        <v>104</v>
      </c>
      <c r="C53" s="388"/>
      <c r="D53" s="388"/>
      <c r="E53" s="388"/>
      <c r="F53" s="388"/>
      <c r="G53" s="388"/>
      <c r="H53" s="389"/>
      <c r="I53" s="389"/>
      <c r="J53" s="389"/>
      <c r="K53" s="389"/>
      <c r="L53" s="389"/>
      <c r="M53" s="389"/>
      <c r="N53" s="388"/>
      <c r="O53" s="388"/>
      <c r="P53" s="388"/>
      <c r="Q53" s="388"/>
      <c r="R53" s="388"/>
      <c r="S53" s="388"/>
      <c r="T53" s="386">
        <v>2</v>
      </c>
      <c r="W53" s="393"/>
      <c r="X53" s="394"/>
      <c r="Y53" s="399"/>
      <c r="Z53" s="400">
        <f t="shared" si="1"/>
        <v>0</v>
      </c>
      <c r="AA53" s="400">
        <f t="shared" si="1"/>
        <v>0</v>
      </c>
      <c r="AB53" s="400">
        <f t="shared" si="1"/>
        <v>0</v>
      </c>
      <c r="AD53" s="417"/>
      <c r="AE53" s="417"/>
      <c r="AF53" s="417"/>
      <c r="AG53" s="417"/>
      <c r="AH53" s="417"/>
    </row>
    <row r="54" spans="1:34" ht="12.95">
      <c r="A54" s="381">
        <v>44810</v>
      </c>
      <c r="B54" s="382" t="s">
        <v>95</v>
      </c>
      <c r="C54" s="390">
        <v>58431</v>
      </c>
      <c r="D54" s="382"/>
      <c r="E54" s="382"/>
      <c r="F54" s="382"/>
      <c r="G54" s="382"/>
      <c r="H54" s="384"/>
      <c r="I54" s="384"/>
      <c r="J54" s="384"/>
      <c r="K54" s="384"/>
      <c r="L54" s="384"/>
      <c r="M54" s="384"/>
      <c r="N54" s="382"/>
      <c r="O54" s="382"/>
      <c r="P54" s="382"/>
      <c r="Q54" s="382"/>
      <c r="R54" s="382"/>
      <c r="S54" s="382"/>
      <c r="T54" s="382">
        <v>1</v>
      </c>
      <c r="W54" s="393">
        <f>Y54+Y59</f>
        <v>11.4</v>
      </c>
      <c r="X54" s="394">
        <f>E54+F54+G54+E59+F59+G59</f>
        <v>8125</v>
      </c>
      <c r="Y54" s="399">
        <f>H54+I54+J54+K54+L54+M54+N54+O54+P54+Q54+R54+S54+H59+I59+J59+K59+L59+M59+N59+O59+P59+Q59+R59+S59</f>
        <v>11.4</v>
      </c>
      <c r="Z54" s="400">
        <f t="shared" si="1"/>
        <v>0</v>
      </c>
      <c r="AA54" s="400">
        <f t="shared" si="1"/>
        <v>0</v>
      </c>
      <c r="AB54" s="400">
        <f t="shared" si="1"/>
        <v>0</v>
      </c>
      <c r="AD54" s="417"/>
      <c r="AE54" s="417"/>
      <c r="AF54" s="417"/>
      <c r="AG54" s="417"/>
      <c r="AH54" s="417"/>
    </row>
    <row r="55" spans="1:34" ht="12.95">
      <c r="A55" s="381"/>
      <c r="B55" s="382" t="s">
        <v>97</v>
      </c>
      <c r="C55" s="390">
        <v>21548</v>
      </c>
      <c r="D55" s="382">
        <v>44800</v>
      </c>
      <c r="E55" s="382">
        <v>13730</v>
      </c>
      <c r="F55" s="382"/>
      <c r="G55" s="382"/>
      <c r="H55" s="384">
        <v>5</v>
      </c>
      <c r="I55" s="384">
        <v>2.5</v>
      </c>
      <c r="J55" s="384">
        <v>12.5</v>
      </c>
      <c r="K55" s="384">
        <v>2.5</v>
      </c>
      <c r="L55" s="384">
        <v>0.5</v>
      </c>
      <c r="M55" s="384">
        <v>1.25</v>
      </c>
      <c r="N55" s="382"/>
      <c r="O55" s="382"/>
      <c r="P55" s="382"/>
      <c r="Q55" s="382"/>
      <c r="R55" s="382"/>
      <c r="S55" s="382"/>
      <c r="T55" s="382">
        <v>1</v>
      </c>
      <c r="W55" s="393">
        <v>20</v>
      </c>
      <c r="X55" s="394">
        <f t="shared" ref="X55:X118" si="2">E55+F55+G55+E60+F60+G60</f>
        <v>19430</v>
      </c>
      <c r="Y55" s="399">
        <f t="shared" ref="Y55:Y118" si="3">H55+I55+J55+K55+L55+M55+N55+O55+P55+Q55+R55+S55+H60+I60+J60+K60+L60+M60+N60+O60+P60+Q60+R60+S60</f>
        <v>32.799999999999997</v>
      </c>
      <c r="Z55" s="400">
        <f t="shared" si="1"/>
        <v>7.5</v>
      </c>
      <c r="AA55" s="400">
        <f t="shared" si="1"/>
        <v>3</v>
      </c>
      <c r="AB55" s="400">
        <f t="shared" si="1"/>
        <v>13.75</v>
      </c>
      <c r="AD55" s="417"/>
      <c r="AE55" s="417"/>
      <c r="AF55" s="417"/>
      <c r="AG55" s="417"/>
      <c r="AH55" s="417"/>
    </row>
    <row r="56" spans="1:34" ht="12.95">
      <c r="A56" s="381"/>
      <c r="B56" s="382" t="s">
        <v>99</v>
      </c>
      <c r="C56" s="390">
        <v>17073</v>
      </c>
      <c r="D56" s="382"/>
      <c r="E56" s="382">
        <v>12</v>
      </c>
      <c r="F56" s="382"/>
      <c r="G56" s="382"/>
      <c r="H56" s="384"/>
      <c r="I56" s="384"/>
      <c r="J56" s="384"/>
      <c r="K56" s="384"/>
      <c r="L56" s="384"/>
      <c r="M56" s="384"/>
      <c r="N56" s="382"/>
      <c r="O56" s="382"/>
      <c r="P56" s="382"/>
      <c r="Q56" s="382"/>
      <c r="R56" s="382"/>
      <c r="S56" s="382"/>
      <c r="T56" s="382">
        <v>1</v>
      </c>
      <c r="W56" s="393">
        <v>4</v>
      </c>
      <c r="X56" s="394">
        <f t="shared" si="2"/>
        <v>637</v>
      </c>
      <c r="Y56" s="399">
        <f t="shared" si="3"/>
        <v>0.95</v>
      </c>
      <c r="Z56" s="400">
        <f t="shared" si="1"/>
        <v>0</v>
      </c>
      <c r="AA56" s="400">
        <f t="shared" si="1"/>
        <v>0</v>
      </c>
      <c r="AB56" s="400">
        <f t="shared" si="1"/>
        <v>0</v>
      </c>
      <c r="AD56" s="417"/>
      <c r="AE56" s="417"/>
      <c r="AF56" s="417"/>
      <c r="AG56" s="417"/>
      <c r="AH56" s="417"/>
    </row>
    <row r="57" spans="1:34" ht="12.95">
      <c r="A57" s="381"/>
      <c r="B57" s="382" t="s">
        <v>101</v>
      </c>
      <c r="C57" s="390">
        <v>43700</v>
      </c>
      <c r="D57" s="382"/>
      <c r="E57" s="382"/>
      <c r="F57" s="382"/>
      <c r="G57" s="382"/>
      <c r="H57" s="384"/>
      <c r="I57" s="384"/>
      <c r="J57" s="384"/>
      <c r="K57" s="384"/>
      <c r="L57" s="384"/>
      <c r="M57" s="384"/>
      <c r="N57" s="382"/>
      <c r="O57" s="382"/>
      <c r="P57" s="382"/>
      <c r="Q57" s="382"/>
      <c r="R57" s="382"/>
      <c r="S57" s="382"/>
      <c r="T57" s="382">
        <v>1</v>
      </c>
      <c r="W57" s="393">
        <v>35</v>
      </c>
      <c r="X57" s="394">
        <f t="shared" si="2"/>
        <v>0</v>
      </c>
      <c r="Y57" s="399">
        <f t="shared" si="3"/>
        <v>0</v>
      </c>
      <c r="Z57" s="400">
        <f t="shared" si="1"/>
        <v>0</v>
      </c>
      <c r="AA57" s="400">
        <f t="shared" si="1"/>
        <v>0</v>
      </c>
      <c r="AB57" s="400">
        <f t="shared" si="1"/>
        <v>0</v>
      </c>
      <c r="AD57" s="417"/>
      <c r="AE57" s="417"/>
      <c r="AF57" s="417"/>
      <c r="AG57" s="417"/>
      <c r="AH57" s="417"/>
    </row>
    <row r="58" spans="1:34" ht="12.95">
      <c r="A58" s="381"/>
      <c r="B58" s="382" t="s">
        <v>104</v>
      </c>
      <c r="C58" s="390">
        <v>21701</v>
      </c>
      <c r="D58" s="382"/>
      <c r="E58" s="382"/>
      <c r="F58" s="382"/>
      <c r="G58" s="382"/>
      <c r="H58" s="384"/>
      <c r="I58" s="384"/>
      <c r="J58" s="384"/>
      <c r="K58" s="384"/>
      <c r="L58" s="384"/>
      <c r="M58" s="384"/>
      <c r="N58" s="382"/>
      <c r="O58" s="382"/>
      <c r="P58" s="382"/>
      <c r="Q58" s="382"/>
      <c r="R58" s="382"/>
      <c r="S58" s="382"/>
      <c r="T58" s="382">
        <v>1</v>
      </c>
      <c r="W58" s="393">
        <f>Y58+Y63</f>
        <v>0</v>
      </c>
      <c r="X58" s="394">
        <f t="shared" si="2"/>
        <v>0</v>
      </c>
      <c r="Y58" s="399">
        <f t="shared" si="3"/>
        <v>0</v>
      </c>
      <c r="Z58" s="400">
        <f t="shared" si="1"/>
        <v>0</v>
      </c>
      <c r="AA58" s="400">
        <f t="shared" si="1"/>
        <v>0</v>
      </c>
      <c r="AB58" s="400">
        <f t="shared" si="1"/>
        <v>0</v>
      </c>
      <c r="AD58" s="417"/>
      <c r="AE58" s="417"/>
      <c r="AF58" s="417"/>
      <c r="AG58" s="417"/>
      <c r="AH58" s="417"/>
    </row>
    <row r="59" spans="1:34" ht="12.95">
      <c r="A59" s="385"/>
      <c r="B59" s="386" t="s">
        <v>95</v>
      </c>
      <c r="C59" s="388"/>
      <c r="D59" s="388"/>
      <c r="E59" s="388">
        <v>8125</v>
      </c>
      <c r="F59" s="388"/>
      <c r="G59" s="388"/>
      <c r="H59" s="389">
        <v>2.4</v>
      </c>
      <c r="I59" s="389">
        <v>1.2</v>
      </c>
      <c r="J59" s="389">
        <v>6</v>
      </c>
      <c r="K59" s="389">
        <v>1.2</v>
      </c>
      <c r="L59" s="389">
        <v>0</v>
      </c>
      <c r="M59" s="389">
        <v>0.6</v>
      </c>
      <c r="N59" s="388"/>
      <c r="O59" s="388"/>
      <c r="P59" s="388"/>
      <c r="Q59" s="388"/>
      <c r="R59" s="388"/>
      <c r="S59" s="388"/>
      <c r="T59" s="386">
        <v>2</v>
      </c>
      <c r="W59" s="393"/>
      <c r="X59" s="394"/>
      <c r="Y59" s="399"/>
      <c r="Z59" s="400">
        <f t="shared" si="1"/>
        <v>3.6</v>
      </c>
      <c r="AA59" s="400">
        <f t="shared" si="1"/>
        <v>1.2</v>
      </c>
      <c r="AB59" s="400">
        <f t="shared" si="1"/>
        <v>6.6</v>
      </c>
      <c r="AD59" s="417"/>
      <c r="AE59" s="417"/>
      <c r="AF59" s="417"/>
      <c r="AG59" s="417"/>
      <c r="AH59" s="417"/>
    </row>
    <row r="60" spans="1:34" ht="12.95">
      <c r="A60" s="385"/>
      <c r="B60" s="386" t="s">
        <v>97</v>
      </c>
      <c r="C60" s="388"/>
      <c r="D60" s="388"/>
      <c r="E60" s="388">
        <v>5700</v>
      </c>
      <c r="F60" s="388"/>
      <c r="G60" s="388"/>
      <c r="H60" s="389">
        <v>1.8</v>
      </c>
      <c r="I60" s="389">
        <v>0.9</v>
      </c>
      <c r="J60" s="389">
        <v>4.5</v>
      </c>
      <c r="K60" s="389">
        <v>0.9</v>
      </c>
      <c r="L60" s="389">
        <v>0</v>
      </c>
      <c r="M60" s="389">
        <v>0.45</v>
      </c>
      <c r="N60" s="388"/>
      <c r="O60" s="388"/>
      <c r="P60" s="388"/>
      <c r="Q60" s="388"/>
      <c r="R60" s="388"/>
      <c r="S60" s="388"/>
      <c r="T60" s="386">
        <v>2</v>
      </c>
      <c r="W60" s="393"/>
      <c r="X60" s="394"/>
      <c r="Y60" s="399"/>
      <c r="Z60" s="400">
        <f t="shared" si="1"/>
        <v>2.7</v>
      </c>
      <c r="AA60" s="400">
        <f t="shared" si="1"/>
        <v>0.9</v>
      </c>
      <c r="AB60" s="400">
        <f t="shared" si="1"/>
        <v>4.95</v>
      </c>
      <c r="AD60" s="417"/>
      <c r="AE60" s="417"/>
      <c r="AF60" s="417"/>
      <c r="AG60" s="417"/>
      <c r="AH60" s="417"/>
    </row>
    <row r="61" spans="1:34" ht="12.95">
      <c r="A61" s="385"/>
      <c r="B61" s="386" t="s">
        <v>99</v>
      </c>
      <c r="C61" s="388"/>
      <c r="D61" s="388"/>
      <c r="E61" s="388">
        <v>625</v>
      </c>
      <c r="F61" s="388"/>
      <c r="G61" s="388"/>
      <c r="H61" s="389">
        <v>0.2</v>
      </c>
      <c r="I61" s="389">
        <v>0.1</v>
      </c>
      <c r="J61" s="389">
        <v>0.5</v>
      </c>
      <c r="K61" s="389">
        <v>0.1</v>
      </c>
      <c r="L61" s="389">
        <v>0</v>
      </c>
      <c r="M61" s="389">
        <v>0.05</v>
      </c>
      <c r="N61" s="388"/>
      <c r="O61" s="388"/>
      <c r="P61" s="388"/>
      <c r="Q61" s="388"/>
      <c r="R61" s="388"/>
      <c r="S61" s="388"/>
      <c r="T61" s="386">
        <v>2</v>
      </c>
      <c r="W61" s="393"/>
      <c r="X61" s="394"/>
      <c r="Y61" s="399"/>
      <c r="Z61" s="400">
        <f t="shared" si="1"/>
        <v>0.3</v>
      </c>
      <c r="AA61" s="400">
        <f t="shared" si="1"/>
        <v>0.1</v>
      </c>
      <c r="AB61" s="400">
        <f t="shared" si="1"/>
        <v>0.55000000000000004</v>
      </c>
      <c r="AD61" s="417"/>
      <c r="AE61" s="417"/>
      <c r="AF61" s="417"/>
      <c r="AG61" s="417"/>
      <c r="AH61" s="417"/>
    </row>
    <row r="62" spans="1:34" ht="12.95">
      <c r="A62" s="385"/>
      <c r="B62" s="386" t="s">
        <v>101</v>
      </c>
      <c r="C62" s="388"/>
      <c r="D62" s="388"/>
      <c r="E62" s="388"/>
      <c r="F62" s="388"/>
      <c r="G62" s="388"/>
      <c r="H62" s="389"/>
      <c r="I62" s="389"/>
      <c r="J62" s="389"/>
      <c r="K62" s="389"/>
      <c r="L62" s="389"/>
      <c r="M62" s="389"/>
      <c r="N62" s="388"/>
      <c r="O62" s="388"/>
      <c r="P62" s="388"/>
      <c r="Q62" s="388"/>
      <c r="R62" s="388"/>
      <c r="S62" s="388"/>
      <c r="T62" s="386">
        <v>2</v>
      </c>
      <c r="W62" s="393"/>
      <c r="X62" s="394"/>
      <c r="Y62" s="399"/>
      <c r="Z62" s="400">
        <f t="shared" si="1"/>
        <v>0</v>
      </c>
      <c r="AA62" s="400">
        <f t="shared" si="1"/>
        <v>0</v>
      </c>
      <c r="AB62" s="400">
        <f t="shared" si="1"/>
        <v>0</v>
      </c>
    </row>
    <row r="63" spans="1:34" ht="12.95">
      <c r="A63" s="385"/>
      <c r="B63" s="386" t="s">
        <v>104</v>
      </c>
      <c r="C63" s="388"/>
      <c r="D63" s="388"/>
      <c r="E63" s="388"/>
      <c r="F63" s="388"/>
      <c r="G63" s="388"/>
      <c r="H63" s="389"/>
      <c r="I63" s="389"/>
      <c r="J63" s="389"/>
      <c r="K63" s="389"/>
      <c r="L63" s="389"/>
      <c r="M63" s="389"/>
      <c r="N63" s="388"/>
      <c r="O63" s="388"/>
      <c r="P63" s="388"/>
      <c r="Q63" s="388"/>
      <c r="R63" s="388"/>
      <c r="S63" s="388"/>
      <c r="T63" s="386">
        <v>2</v>
      </c>
      <c r="W63" s="393"/>
      <c r="X63" s="394"/>
      <c r="Y63" s="399"/>
      <c r="Z63" s="400">
        <f t="shared" si="1"/>
        <v>0</v>
      </c>
      <c r="AA63" s="400">
        <f t="shared" si="1"/>
        <v>0</v>
      </c>
      <c r="AB63" s="400">
        <f t="shared" si="1"/>
        <v>0</v>
      </c>
    </row>
    <row r="64" spans="1:34" ht="12.95">
      <c r="A64" s="381">
        <v>44811</v>
      </c>
      <c r="B64" s="382" t="s">
        <v>95</v>
      </c>
      <c r="C64" s="390">
        <v>50291</v>
      </c>
      <c r="D64" s="382"/>
      <c r="E64" s="382"/>
      <c r="F64" s="382"/>
      <c r="G64" s="382"/>
      <c r="H64" s="384"/>
      <c r="I64" s="384"/>
      <c r="J64" s="384"/>
      <c r="K64" s="384"/>
      <c r="L64" s="382"/>
      <c r="M64" s="382"/>
      <c r="N64" s="384"/>
      <c r="O64" s="384"/>
      <c r="P64" s="384"/>
      <c r="Q64" s="382"/>
      <c r="R64" s="382"/>
      <c r="S64" s="382"/>
      <c r="T64" s="382">
        <v>1</v>
      </c>
      <c r="W64" s="393">
        <f>Y64+Y69</f>
        <v>0</v>
      </c>
      <c r="X64" s="394">
        <f t="shared" si="2"/>
        <v>0</v>
      </c>
      <c r="Y64" s="399">
        <f t="shared" si="3"/>
        <v>0</v>
      </c>
      <c r="Z64" s="400">
        <f t="shared" si="1"/>
        <v>0</v>
      </c>
      <c r="AA64" s="400">
        <f t="shared" si="1"/>
        <v>0</v>
      </c>
      <c r="AB64" s="400">
        <f t="shared" si="1"/>
        <v>0</v>
      </c>
      <c r="AD64" s="417"/>
      <c r="AE64" s="417"/>
      <c r="AF64" s="417"/>
      <c r="AG64" s="417"/>
      <c r="AH64" s="417"/>
    </row>
    <row r="65" spans="1:34" ht="12.95">
      <c r="A65" s="381"/>
      <c r="B65" s="382" t="s">
        <v>97</v>
      </c>
      <c r="C65" s="390">
        <v>46869</v>
      </c>
      <c r="D65" s="382"/>
      <c r="E65" s="382">
        <v>1036</v>
      </c>
      <c r="F65" s="382"/>
      <c r="G65" s="382"/>
      <c r="H65" s="384">
        <v>0.6</v>
      </c>
      <c r="I65" s="384">
        <v>0.3</v>
      </c>
      <c r="J65" s="384">
        <v>1.5</v>
      </c>
      <c r="K65" s="384">
        <v>0.3</v>
      </c>
      <c r="L65" s="382"/>
      <c r="M65" s="382"/>
      <c r="N65" s="384"/>
      <c r="O65" s="384"/>
      <c r="P65" s="384"/>
      <c r="Q65" s="382"/>
      <c r="R65" s="382"/>
      <c r="S65" s="382"/>
      <c r="T65" s="382">
        <v>1</v>
      </c>
      <c r="W65" s="393">
        <f>Y65+Y70</f>
        <v>16.2</v>
      </c>
      <c r="X65" s="394">
        <f t="shared" si="2"/>
        <v>12636</v>
      </c>
      <c r="Y65" s="399">
        <f t="shared" si="3"/>
        <v>16.2</v>
      </c>
      <c r="Z65" s="400">
        <f t="shared" si="1"/>
        <v>0.9</v>
      </c>
      <c r="AA65" s="400">
        <f t="shared" si="1"/>
        <v>0.3</v>
      </c>
      <c r="AB65" s="400">
        <f t="shared" si="1"/>
        <v>1.5</v>
      </c>
      <c r="AD65" s="417"/>
      <c r="AE65" s="417"/>
      <c r="AF65" s="417"/>
      <c r="AG65" s="417"/>
      <c r="AH65" s="417"/>
    </row>
    <row r="66" spans="1:34" ht="12.95">
      <c r="A66" s="381"/>
      <c r="B66" s="382" t="s">
        <v>99</v>
      </c>
      <c r="C66" s="390">
        <v>16435</v>
      </c>
      <c r="D66" s="382"/>
      <c r="E66" s="382"/>
      <c r="F66" s="382"/>
      <c r="G66" s="382"/>
      <c r="H66" s="384"/>
      <c r="I66" s="384"/>
      <c r="J66" s="384"/>
      <c r="K66" s="384"/>
      <c r="L66" s="382"/>
      <c r="M66" s="382"/>
      <c r="N66" s="384"/>
      <c r="O66" s="384"/>
      <c r="P66" s="384"/>
      <c r="Q66" s="382"/>
      <c r="R66" s="382"/>
      <c r="S66" s="382"/>
      <c r="T66" s="382">
        <v>1</v>
      </c>
      <c r="W66" s="393">
        <f>Y66+Y71</f>
        <v>0</v>
      </c>
      <c r="X66" s="394">
        <f t="shared" si="2"/>
        <v>0</v>
      </c>
      <c r="Y66" s="399">
        <f t="shared" si="3"/>
        <v>0</v>
      </c>
      <c r="Z66" s="400">
        <f t="shared" si="1"/>
        <v>0</v>
      </c>
      <c r="AA66" s="400">
        <f t="shared" si="1"/>
        <v>0</v>
      </c>
      <c r="AB66" s="400">
        <f t="shared" si="1"/>
        <v>0</v>
      </c>
      <c r="AD66" s="417"/>
      <c r="AE66" s="417"/>
      <c r="AF66" s="417"/>
      <c r="AG66" s="417"/>
      <c r="AH66" s="417"/>
    </row>
    <row r="67" spans="1:34" ht="12.95">
      <c r="A67" s="381"/>
      <c r="B67" s="382" t="s">
        <v>101</v>
      </c>
      <c r="C67" s="390">
        <v>43700</v>
      </c>
      <c r="D67" s="382"/>
      <c r="E67" s="382"/>
      <c r="F67" s="382"/>
      <c r="G67" s="382"/>
      <c r="H67" s="384"/>
      <c r="I67" s="384"/>
      <c r="J67" s="384"/>
      <c r="K67" s="384"/>
      <c r="L67" s="382"/>
      <c r="M67" s="382"/>
      <c r="N67" s="384"/>
      <c r="O67" s="384"/>
      <c r="P67" s="384"/>
      <c r="Q67" s="382"/>
      <c r="R67" s="382"/>
      <c r="S67" s="382"/>
      <c r="T67" s="382">
        <v>1</v>
      </c>
      <c r="W67" s="393">
        <f>Y67+Y72</f>
        <v>0</v>
      </c>
      <c r="X67" s="394">
        <f t="shared" si="2"/>
        <v>0</v>
      </c>
      <c r="Y67" s="399">
        <f t="shared" si="3"/>
        <v>0</v>
      </c>
      <c r="Z67" s="400">
        <f t="shared" si="1"/>
        <v>0</v>
      </c>
      <c r="AA67" s="400">
        <f t="shared" si="1"/>
        <v>0</v>
      </c>
      <c r="AB67" s="400">
        <f t="shared" si="1"/>
        <v>0</v>
      </c>
      <c r="AD67" s="417"/>
      <c r="AE67" s="417"/>
      <c r="AF67" s="417"/>
      <c r="AG67" s="417"/>
      <c r="AH67" s="417"/>
    </row>
    <row r="68" spans="1:34" ht="12.95">
      <c r="A68" s="381"/>
      <c r="B68" s="382" t="s">
        <v>104</v>
      </c>
      <c r="C68" s="390">
        <v>21701</v>
      </c>
      <c r="D68" s="382"/>
      <c r="E68" s="382"/>
      <c r="F68" s="382"/>
      <c r="G68" s="382"/>
      <c r="H68" s="384"/>
      <c r="I68" s="384"/>
      <c r="J68" s="384"/>
      <c r="K68" s="384"/>
      <c r="L68" s="382"/>
      <c r="M68" s="382"/>
      <c r="N68" s="384"/>
      <c r="O68" s="384"/>
      <c r="P68" s="384"/>
      <c r="Q68" s="382"/>
      <c r="R68" s="382"/>
      <c r="S68" s="382"/>
      <c r="T68" s="382">
        <v>1</v>
      </c>
      <c r="W68" s="393">
        <f>Y68+Y73</f>
        <v>0</v>
      </c>
      <c r="X68" s="394">
        <f t="shared" si="2"/>
        <v>0</v>
      </c>
      <c r="Y68" s="399">
        <f t="shared" si="3"/>
        <v>0</v>
      </c>
      <c r="Z68" s="400">
        <f t="shared" si="1"/>
        <v>0</v>
      </c>
      <c r="AA68" s="400">
        <f t="shared" si="1"/>
        <v>0</v>
      </c>
      <c r="AB68" s="400">
        <f t="shared" si="1"/>
        <v>0</v>
      </c>
      <c r="AD68" s="417"/>
      <c r="AE68" s="417"/>
      <c r="AF68" s="417"/>
      <c r="AG68" s="417"/>
      <c r="AH68" s="417"/>
    </row>
    <row r="69" spans="1:34" ht="12.95">
      <c r="A69" s="385"/>
      <c r="B69" s="386" t="s">
        <v>95</v>
      </c>
      <c r="C69" s="388"/>
      <c r="D69" s="388"/>
      <c r="E69" s="388"/>
      <c r="F69" s="388"/>
      <c r="G69" s="388"/>
      <c r="H69" s="389"/>
      <c r="I69" s="389"/>
      <c r="J69" s="389"/>
      <c r="K69" s="389"/>
      <c r="L69" s="389"/>
      <c r="M69" s="389"/>
      <c r="N69" s="388"/>
      <c r="O69" s="388"/>
      <c r="P69" s="388"/>
      <c r="Q69" s="388"/>
      <c r="R69" s="388"/>
      <c r="S69" s="388"/>
      <c r="T69" s="386">
        <v>2</v>
      </c>
      <c r="W69" s="393"/>
      <c r="X69" s="394"/>
      <c r="Y69" s="399"/>
      <c r="Z69" s="400">
        <f t="shared" ref="Z69:AB132" si="4">H69+K69+N69+Q69</f>
        <v>0</v>
      </c>
      <c r="AA69" s="400">
        <f t="shared" si="4"/>
        <v>0</v>
      </c>
      <c r="AB69" s="400">
        <f t="shared" si="4"/>
        <v>0</v>
      </c>
      <c r="AD69" s="417"/>
      <c r="AE69" s="417"/>
      <c r="AF69" s="417"/>
      <c r="AG69" s="417"/>
      <c r="AH69" s="417"/>
    </row>
    <row r="70" spans="1:34" ht="12.95">
      <c r="A70" s="385"/>
      <c r="B70" s="386" t="s">
        <v>97</v>
      </c>
      <c r="C70" s="388"/>
      <c r="D70" s="388"/>
      <c r="E70" s="388">
        <v>11600</v>
      </c>
      <c r="F70" s="388"/>
      <c r="G70" s="388"/>
      <c r="H70" s="389">
        <v>3</v>
      </c>
      <c r="I70" s="389">
        <v>1.5</v>
      </c>
      <c r="J70" s="389">
        <v>7.5</v>
      </c>
      <c r="K70" s="389">
        <v>1.5</v>
      </c>
      <c r="L70" s="389"/>
      <c r="M70" s="389"/>
      <c r="N70" s="388"/>
      <c r="O70" s="388"/>
      <c r="P70" s="388"/>
      <c r="Q70" s="388"/>
      <c r="R70" s="388"/>
      <c r="S70" s="388"/>
      <c r="T70" s="386">
        <v>2</v>
      </c>
      <c r="W70" s="393"/>
      <c r="X70" s="394"/>
      <c r="Y70" s="399"/>
      <c r="Z70" s="400">
        <f t="shared" si="4"/>
        <v>4.5</v>
      </c>
      <c r="AA70" s="400">
        <f t="shared" si="4"/>
        <v>1.5</v>
      </c>
      <c r="AB70" s="400">
        <f t="shared" si="4"/>
        <v>7.5</v>
      </c>
      <c r="AD70" s="417"/>
      <c r="AE70" s="417"/>
      <c r="AF70" s="417"/>
      <c r="AG70" s="417"/>
      <c r="AH70" s="417"/>
    </row>
    <row r="71" spans="1:34" ht="12.95">
      <c r="A71" s="385"/>
      <c r="B71" s="386" t="s">
        <v>99</v>
      </c>
      <c r="C71" s="388"/>
      <c r="D71" s="388"/>
      <c r="E71" s="388"/>
      <c r="F71" s="388"/>
      <c r="G71" s="388"/>
      <c r="H71" s="389"/>
      <c r="I71" s="389"/>
      <c r="J71" s="389"/>
      <c r="K71" s="389"/>
      <c r="L71" s="389"/>
      <c r="M71" s="389"/>
      <c r="N71" s="388"/>
      <c r="O71" s="388"/>
      <c r="P71" s="388"/>
      <c r="Q71" s="388"/>
      <c r="R71" s="388"/>
      <c r="S71" s="388"/>
      <c r="T71" s="386">
        <v>2</v>
      </c>
      <c r="W71" s="393"/>
      <c r="X71" s="394"/>
      <c r="Y71" s="399"/>
      <c r="Z71" s="400">
        <f t="shared" si="4"/>
        <v>0</v>
      </c>
      <c r="AA71" s="400">
        <f t="shared" si="4"/>
        <v>0</v>
      </c>
      <c r="AB71" s="400">
        <f t="shared" si="4"/>
        <v>0</v>
      </c>
      <c r="AD71" s="417"/>
      <c r="AE71" s="417"/>
      <c r="AF71" s="417"/>
      <c r="AG71" s="417"/>
      <c r="AH71" s="417"/>
    </row>
    <row r="72" spans="1:34" ht="12.95">
      <c r="A72" s="385"/>
      <c r="B72" s="386" t="s">
        <v>101</v>
      </c>
      <c r="C72" s="388"/>
      <c r="D72" s="388"/>
      <c r="E72" s="388"/>
      <c r="F72" s="388"/>
      <c r="G72" s="388"/>
      <c r="H72" s="389"/>
      <c r="I72" s="389"/>
      <c r="J72" s="389"/>
      <c r="K72" s="389"/>
      <c r="L72" s="389"/>
      <c r="M72" s="389"/>
      <c r="N72" s="388"/>
      <c r="O72" s="388"/>
      <c r="P72" s="388"/>
      <c r="Q72" s="388"/>
      <c r="R72" s="388"/>
      <c r="S72" s="388"/>
      <c r="T72" s="386">
        <v>2</v>
      </c>
      <c r="W72" s="393"/>
      <c r="X72" s="394"/>
      <c r="Y72" s="399"/>
      <c r="Z72" s="400">
        <f t="shared" si="4"/>
        <v>0</v>
      </c>
      <c r="AA72" s="400">
        <f t="shared" si="4"/>
        <v>0</v>
      </c>
      <c r="AB72" s="400">
        <f t="shared" si="4"/>
        <v>0</v>
      </c>
      <c r="AD72" s="417"/>
      <c r="AE72" s="417"/>
      <c r="AF72" s="417"/>
      <c r="AG72" s="417"/>
      <c r="AH72" s="417"/>
    </row>
    <row r="73" spans="1:34" ht="12.95">
      <c r="A73" s="385"/>
      <c r="B73" s="386" t="s">
        <v>104</v>
      </c>
      <c r="C73" s="388"/>
      <c r="D73" s="388"/>
      <c r="E73" s="388"/>
      <c r="F73" s="388"/>
      <c r="G73" s="388"/>
      <c r="H73" s="389"/>
      <c r="I73" s="389"/>
      <c r="J73" s="389"/>
      <c r="K73" s="389"/>
      <c r="L73" s="389"/>
      <c r="M73" s="389"/>
      <c r="N73" s="388"/>
      <c r="O73" s="388"/>
      <c r="P73" s="388"/>
      <c r="Q73" s="388"/>
      <c r="R73" s="388"/>
      <c r="S73" s="388"/>
      <c r="T73" s="386">
        <v>2</v>
      </c>
      <c r="W73" s="393"/>
      <c r="X73" s="394"/>
      <c r="Y73" s="399"/>
      <c r="Z73" s="400">
        <f t="shared" si="4"/>
        <v>0</v>
      </c>
      <c r="AA73" s="400">
        <f t="shared" si="4"/>
        <v>0</v>
      </c>
      <c r="AB73" s="400">
        <f t="shared" si="4"/>
        <v>0</v>
      </c>
    </row>
    <row r="74" spans="1:34" ht="12.95">
      <c r="A74" s="381">
        <v>44812</v>
      </c>
      <c r="B74" s="382" t="s">
        <v>95</v>
      </c>
      <c r="C74" s="390">
        <v>50291</v>
      </c>
      <c r="D74" s="382"/>
      <c r="E74" s="382">
        <v>9375</v>
      </c>
      <c r="F74" s="382"/>
      <c r="G74" s="382"/>
      <c r="H74" s="384">
        <v>0.6</v>
      </c>
      <c r="I74" s="384">
        <v>0.3</v>
      </c>
      <c r="J74" s="384">
        <v>1.5</v>
      </c>
      <c r="K74" s="384">
        <v>0.3</v>
      </c>
      <c r="L74" s="384">
        <v>0.06</v>
      </c>
      <c r="M74" s="384">
        <v>0.15</v>
      </c>
      <c r="N74" s="384"/>
      <c r="O74" s="382"/>
      <c r="P74" s="382"/>
      <c r="Q74" s="382"/>
      <c r="R74" s="382"/>
      <c r="S74" s="382"/>
      <c r="T74" s="382">
        <v>1</v>
      </c>
      <c r="W74" s="393">
        <v>26</v>
      </c>
      <c r="X74" s="394">
        <f t="shared" si="2"/>
        <v>22500</v>
      </c>
      <c r="Y74" s="399">
        <f t="shared" si="3"/>
        <v>15.26</v>
      </c>
      <c r="Z74" s="400">
        <f t="shared" si="4"/>
        <v>0.9</v>
      </c>
      <c r="AA74" s="400">
        <f t="shared" si="4"/>
        <v>0.36</v>
      </c>
      <c r="AB74" s="400">
        <f t="shared" si="4"/>
        <v>1.65</v>
      </c>
      <c r="AD74" s="417"/>
      <c r="AE74" s="417"/>
      <c r="AF74" s="417"/>
      <c r="AG74" s="417"/>
      <c r="AH74" s="417"/>
    </row>
    <row r="75" spans="1:34" ht="12.95">
      <c r="A75" s="381"/>
      <c r="B75" s="382" t="s">
        <v>97</v>
      </c>
      <c r="C75" s="390">
        <v>34207</v>
      </c>
      <c r="D75" s="382"/>
      <c r="E75" s="382">
        <v>2500</v>
      </c>
      <c r="F75" s="382"/>
      <c r="G75" s="382"/>
      <c r="H75" s="384">
        <v>2.6</v>
      </c>
      <c r="I75" s="384">
        <v>1.3</v>
      </c>
      <c r="J75" s="384">
        <v>6.5</v>
      </c>
      <c r="K75" s="384">
        <v>1.3</v>
      </c>
      <c r="L75" s="384">
        <v>0.26</v>
      </c>
      <c r="M75" s="384">
        <v>0.65</v>
      </c>
      <c r="N75" s="384"/>
      <c r="O75" s="382"/>
      <c r="P75" s="382"/>
      <c r="Q75" s="382"/>
      <c r="R75" s="382"/>
      <c r="S75" s="382"/>
      <c r="T75" s="382">
        <v>1</v>
      </c>
      <c r="W75" s="393">
        <f>Y75+Y80</f>
        <v>12.61</v>
      </c>
      <c r="X75" s="394">
        <f t="shared" si="2"/>
        <v>2500</v>
      </c>
      <c r="Y75" s="399">
        <f t="shared" si="3"/>
        <v>12.61</v>
      </c>
      <c r="Z75" s="400">
        <f t="shared" si="4"/>
        <v>3.9</v>
      </c>
      <c r="AA75" s="400">
        <f t="shared" si="4"/>
        <v>1.56</v>
      </c>
      <c r="AB75" s="400">
        <f t="shared" si="4"/>
        <v>7.15</v>
      </c>
      <c r="AD75" s="417"/>
      <c r="AE75" s="417"/>
      <c r="AF75" s="417"/>
      <c r="AG75" s="417"/>
      <c r="AH75" s="417"/>
    </row>
    <row r="76" spans="1:34" ht="12.95">
      <c r="A76" s="381"/>
      <c r="B76" s="382" t="s">
        <v>99</v>
      </c>
      <c r="C76" s="390">
        <v>16435</v>
      </c>
      <c r="D76" s="382"/>
      <c r="E76" s="382"/>
      <c r="F76" s="382"/>
      <c r="G76" s="382"/>
      <c r="H76" s="384"/>
      <c r="I76" s="384"/>
      <c r="J76" s="384"/>
      <c r="K76" s="384"/>
      <c r="L76" s="384"/>
      <c r="M76" s="384"/>
      <c r="N76" s="384"/>
      <c r="O76" s="382"/>
      <c r="P76" s="382"/>
      <c r="Q76" s="382"/>
      <c r="R76" s="382"/>
      <c r="S76" s="382"/>
      <c r="T76" s="382">
        <v>1</v>
      </c>
      <c r="W76" s="393">
        <v>6</v>
      </c>
      <c r="X76" s="394">
        <f t="shared" si="2"/>
        <v>0</v>
      </c>
      <c r="Y76" s="399">
        <f t="shared" si="3"/>
        <v>0</v>
      </c>
      <c r="Z76" s="400">
        <f t="shared" si="4"/>
        <v>0</v>
      </c>
      <c r="AA76" s="400">
        <f t="shared" si="4"/>
        <v>0</v>
      </c>
      <c r="AB76" s="400">
        <f t="shared" si="4"/>
        <v>0</v>
      </c>
      <c r="AD76" s="417"/>
      <c r="AE76" s="417"/>
      <c r="AF76" s="417"/>
      <c r="AG76" s="417"/>
      <c r="AH76" s="417"/>
    </row>
    <row r="77" spans="1:34" ht="12.95">
      <c r="A77" s="381"/>
      <c r="B77" s="382" t="s">
        <v>101</v>
      </c>
      <c r="C77" s="390">
        <v>43700</v>
      </c>
      <c r="D77" s="382"/>
      <c r="E77" s="382"/>
      <c r="F77" s="382"/>
      <c r="G77" s="382"/>
      <c r="H77" s="384"/>
      <c r="I77" s="384"/>
      <c r="J77" s="384"/>
      <c r="K77" s="384"/>
      <c r="L77" s="384"/>
      <c r="M77" s="384"/>
      <c r="N77" s="384"/>
      <c r="O77" s="382"/>
      <c r="P77" s="382"/>
      <c r="Q77" s="382"/>
      <c r="R77" s="382"/>
      <c r="S77" s="382"/>
      <c r="T77" s="382">
        <v>1</v>
      </c>
      <c r="W77" s="393">
        <f>Y77+Y82</f>
        <v>0</v>
      </c>
      <c r="X77" s="394">
        <f t="shared" si="2"/>
        <v>0</v>
      </c>
      <c r="Y77" s="399">
        <f t="shared" si="3"/>
        <v>0</v>
      </c>
      <c r="Z77" s="400">
        <f t="shared" si="4"/>
        <v>0</v>
      </c>
      <c r="AA77" s="400">
        <f t="shared" si="4"/>
        <v>0</v>
      </c>
      <c r="AB77" s="400">
        <f t="shared" si="4"/>
        <v>0</v>
      </c>
      <c r="AD77" s="417"/>
      <c r="AE77" s="417"/>
      <c r="AF77" s="417"/>
      <c r="AG77" s="417"/>
      <c r="AH77" s="417"/>
    </row>
    <row r="78" spans="1:34" ht="12.95">
      <c r="A78" s="381"/>
      <c r="B78" s="382" t="s">
        <v>104</v>
      </c>
      <c r="C78" s="390">
        <v>21701</v>
      </c>
      <c r="D78" s="382"/>
      <c r="E78" s="382"/>
      <c r="F78" s="382"/>
      <c r="G78" s="382"/>
      <c r="H78" s="384"/>
      <c r="I78" s="384"/>
      <c r="J78" s="384"/>
      <c r="K78" s="384"/>
      <c r="L78" s="384"/>
      <c r="M78" s="384"/>
      <c r="N78" s="384"/>
      <c r="O78" s="382"/>
      <c r="P78" s="382"/>
      <c r="Q78" s="382"/>
      <c r="R78" s="382"/>
      <c r="S78" s="382"/>
      <c r="T78" s="382">
        <v>1</v>
      </c>
      <c r="W78" s="393">
        <f>Y78+Y83</f>
        <v>0</v>
      </c>
      <c r="X78" s="394">
        <f t="shared" si="2"/>
        <v>0</v>
      </c>
      <c r="Y78" s="399">
        <f t="shared" si="3"/>
        <v>0</v>
      </c>
      <c r="Z78" s="400">
        <f t="shared" si="4"/>
        <v>0</v>
      </c>
      <c r="AA78" s="400">
        <f t="shared" si="4"/>
        <v>0</v>
      </c>
      <c r="AB78" s="400">
        <f t="shared" si="4"/>
        <v>0</v>
      </c>
      <c r="AD78" s="417"/>
      <c r="AE78" s="417"/>
      <c r="AF78" s="417"/>
      <c r="AG78" s="417"/>
      <c r="AH78" s="417"/>
    </row>
    <row r="79" spans="1:34" ht="12.95">
      <c r="A79" s="385"/>
      <c r="B79" s="386" t="s">
        <v>95</v>
      </c>
      <c r="C79" s="388"/>
      <c r="D79" s="388"/>
      <c r="E79" s="388">
        <v>13125</v>
      </c>
      <c r="F79" s="388"/>
      <c r="G79" s="388"/>
      <c r="H79" s="389">
        <v>2.6</v>
      </c>
      <c r="I79" s="389">
        <v>1.3</v>
      </c>
      <c r="J79" s="389">
        <v>6.5</v>
      </c>
      <c r="K79" s="389">
        <v>1.3</v>
      </c>
      <c r="L79" s="389">
        <v>0</v>
      </c>
      <c r="M79" s="389">
        <v>0.65</v>
      </c>
      <c r="N79" s="389"/>
      <c r="O79" s="388"/>
      <c r="P79" s="388"/>
      <c r="Q79" s="388"/>
      <c r="R79" s="388"/>
      <c r="S79" s="388"/>
      <c r="T79" s="386">
        <v>2</v>
      </c>
      <c r="W79" s="393"/>
      <c r="X79" s="394"/>
      <c r="Y79" s="399"/>
      <c r="Z79" s="400">
        <f t="shared" si="4"/>
        <v>3.9</v>
      </c>
      <c r="AA79" s="400">
        <f t="shared" si="4"/>
        <v>1.3</v>
      </c>
      <c r="AB79" s="400">
        <f t="shared" si="4"/>
        <v>7.15</v>
      </c>
      <c r="AD79" s="417"/>
      <c r="AE79" s="417"/>
      <c r="AF79" s="417"/>
      <c r="AG79" s="417"/>
      <c r="AH79" s="417"/>
    </row>
    <row r="80" spans="1:34" ht="12.95">
      <c r="A80" s="385"/>
      <c r="B80" s="386" t="s">
        <v>97</v>
      </c>
      <c r="C80" s="388"/>
      <c r="D80" s="388"/>
      <c r="E80" s="388"/>
      <c r="F80" s="388"/>
      <c r="G80" s="388"/>
      <c r="H80" s="389"/>
      <c r="I80" s="389"/>
      <c r="J80" s="389"/>
      <c r="K80" s="389"/>
      <c r="L80" s="389"/>
      <c r="M80" s="389"/>
      <c r="N80" s="389"/>
      <c r="O80" s="388"/>
      <c r="P80" s="388"/>
      <c r="Q80" s="388"/>
      <c r="R80" s="388"/>
      <c r="S80" s="388"/>
      <c r="T80" s="386">
        <v>2</v>
      </c>
      <c r="W80" s="393"/>
      <c r="X80" s="394"/>
      <c r="Y80" s="399"/>
      <c r="Z80" s="400">
        <f t="shared" si="4"/>
        <v>0</v>
      </c>
      <c r="AA80" s="400">
        <f t="shared" si="4"/>
        <v>0</v>
      </c>
      <c r="AB80" s="400">
        <f t="shared" si="4"/>
        <v>0</v>
      </c>
      <c r="AD80" s="417"/>
      <c r="AE80" s="417"/>
      <c r="AF80" s="417"/>
      <c r="AG80" s="417"/>
      <c r="AH80" s="417"/>
    </row>
    <row r="81" spans="1:34" ht="12.95">
      <c r="A81" s="385"/>
      <c r="B81" s="386" t="s">
        <v>99</v>
      </c>
      <c r="C81" s="388"/>
      <c r="D81" s="388"/>
      <c r="E81" s="388"/>
      <c r="F81" s="388"/>
      <c r="G81" s="388"/>
      <c r="H81" s="389"/>
      <c r="I81" s="389"/>
      <c r="J81" s="389"/>
      <c r="K81" s="389"/>
      <c r="L81" s="389"/>
      <c r="M81" s="389"/>
      <c r="N81" s="389"/>
      <c r="O81" s="388"/>
      <c r="P81" s="388"/>
      <c r="Q81" s="388"/>
      <c r="R81" s="388"/>
      <c r="S81" s="388"/>
      <c r="T81" s="386">
        <v>2</v>
      </c>
      <c r="W81" s="393"/>
      <c r="X81" s="394"/>
      <c r="Y81" s="399"/>
      <c r="Z81" s="400">
        <f t="shared" si="4"/>
        <v>0</v>
      </c>
      <c r="AA81" s="400">
        <f t="shared" si="4"/>
        <v>0</v>
      </c>
      <c r="AB81" s="400">
        <f t="shared" si="4"/>
        <v>0</v>
      </c>
      <c r="AD81" s="417"/>
      <c r="AE81" s="417"/>
      <c r="AF81" s="417"/>
      <c r="AG81" s="417"/>
      <c r="AH81" s="417"/>
    </row>
    <row r="82" spans="1:34" ht="12.95">
      <c r="A82" s="385"/>
      <c r="B82" s="386" t="s">
        <v>101</v>
      </c>
      <c r="C82" s="388"/>
      <c r="D82" s="388"/>
      <c r="E82" s="388"/>
      <c r="F82" s="388"/>
      <c r="G82" s="388"/>
      <c r="H82" s="389"/>
      <c r="I82" s="389"/>
      <c r="J82" s="389"/>
      <c r="K82" s="389"/>
      <c r="L82" s="389"/>
      <c r="M82" s="389"/>
      <c r="N82" s="389"/>
      <c r="O82" s="388"/>
      <c r="P82" s="388"/>
      <c r="Q82" s="388"/>
      <c r="R82" s="388"/>
      <c r="S82" s="388"/>
      <c r="T82" s="386">
        <v>2</v>
      </c>
      <c r="W82" s="393"/>
      <c r="X82" s="394"/>
      <c r="Y82" s="399"/>
      <c r="Z82" s="400">
        <f t="shared" si="4"/>
        <v>0</v>
      </c>
      <c r="AA82" s="400">
        <f t="shared" si="4"/>
        <v>0</v>
      </c>
      <c r="AB82" s="400">
        <f t="shared" si="4"/>
        <v>0</v>
      </c>
      <c r="AD82" s="417"/>
      <c r="AE82" s="417"/>
      <c r="AF82" s="417"/>
      <c r="AG82" s="417"/>
      <c r="AH82" s="417"/>
    </row>
    <row r="83" spans="1:34" ht="12.95">
      <c r="A83" s="385"/>
      <c r="B83" s="386" t="s">
        <v>104</v>
      </c>
      <c r="C83" s="388"/>
      <c r="D83" s="388"/>
      <c r="E83" s="388"/>
      <c r="F83" s="388"/>
      <c r="G83" s="388"/>
      <c r="H83" s="389"/>
      <c r="I83" s="389"/>
      <c r="J83" s="389"/>
      <c r="K83" s="389"/>
      <c r="L83" s="389"/>
      <c r="M83" s="389"/>
      <c r="N83" s="389"/>
      <c r="O83" s="388"/>
      <c r="P83" s="388"/>
      <c r="Q83" s="388"/>
      <c r="R83" s="388"/>
      <c r="S83" s="388"/>
      <c r="T83" s="386">
        <v>2</v>
      </c>
      <c r="W83" s="393"/>
      <c r="X83" s="394"/>
      <c r="Y83" s="399"/>
      <c r="Z83" s="400">
        <f t="shared" si="4"/>
        <v>0</v>
      </c>
      <c r="AA83" s="400">
        <f t="shared" si="4"/>
        <v>0</v>
      </c>
      <c r="AB83" s="400">
        <f t="shared" si="4"/>
        <v>0</v>
      </c>
    </row>
    <row r="84" spans="1:34" ht="12.95">
      <c r="A84" s="381">
        <v>44813</v>
      </c>
      <c r="B84" s="382" t="s">
        <v>95</v>
      </c>
      <c r="C84" s="382">
        <v>27775</v>
      </c>
      <c r="D84" s="382">
        <v>48000</v>
      </c>
      <c r="E84" s="382">
        <v>5827</v>
      </c>
      <c r="F84" s="382"/>
      <c r="G84" s="382"/>
      <c r="H84" s="384">
        <v>1</v>
      </c>
      <c r="I84" s="384">
        <v>0.5</v>
      </c>
      <c r="J84" s="384">
        <v>2.5</v>
      </c>
      <c r="K84" s="384">
        <v>0.5</v>
      </c>
      <c r="L84" s="384">
        <v>0.1</v>
      </c>
      <c r="M84" s="384">
        <v>0.25</v>
      </c>
      <c r="N84" s="384"/>
      <c r="O84" s="384"/>
      <c r="P84" s="384"/>
      <c r="Q84" s="384"/>
      <c r="R84" s="384"/>
      <c r="S84" s="384"/>
      <c r="T84" s="382">
        <v>1</v>
      </c>
      <c r="W84" s="441">
        <f>Y84+Y89</f>
        <v>4.8499999999999996</v>
      </c>
      <c r="X84" s="394">
        <f t="shared" si="2"/>
        <v>5827</v>
      </c>
      <c r="Y84" s="442">
        <f t="shared" si="3"/>
        <v>4.8499999999999996</v>
      </c>
      <c r="Z84" s="400">
        <f t="shared" si="4"/>
        <v>1.5</v>
      </c>
      <c r="AA84" s="400">
        <f t="shared" si="4"/>
        <v>0.6</v>
      </c>
      <c r="AB84" s="400">
        <f t="shared" si="4"/>
        <v>2.75</v>
      </c>
      <c r="AD84" s="417"/>
      <c r="AE84" s="417"/>
      <c r="AF84" s="417"/>
      <c r="AG84" s="417"/>
      <c r="AH84" s="417"/>
    </row>
    <row r="85" spans="1:34" ht="12.95">
      <c r="A85" s="381"/>
      <c r="B85" s="382" t="s">
        <v>97</v>
      </c>
      <c r="C85" s="382">
        <v>31688</v>
      </c>
      <c r="D85" s="382"/>
      <c r="E85" s="382"/>
      <c r="F85" s="382"/>
      <c r="G85" s="382"/>
      <c r="H85" s="384"/>
      <c r="I85" s="384"/>
      <c r="J85" s="384"/>
      <c r="K85" s="384"/>
      <c r="L85" s="384"/>
      <c r="M85" s="384"/>
      <c r="N85" s="384"/>
      <c r="O85" s="384"/>
      <c r="P85" s="384"/>
      <c r="Q85" s="384"/>
      <c r="R85" s="384"/>
      <c r="S85" s="384"/>
      <c r="T85" s="382">
        <v>1</v>
      </c>
      <c r="W85" s="441">
        <f>Y85+Y90</f>
        <v>0</v>
      </c>
      <c r="X85" s="394">
        <f t="shared" si="2"/>
        <v>0</v>
      </c>
      <c r="Y85" s="442">
        <f t="shared" si="3"/>
        <v>0</v>
      </c>
      <c r="Z85" s="400">
        <f t="shared" si="4"/>
        <v>0</v>
      </c>
      <c r="AA85" s="400">
        <f t="shared" si="4"/>
        <v>0</v>
      </c>
      <c r="AB85" s="400">
        <f t="shared" si="4"/>
        <v>0</v>
      </c>
      <c r="AD85" s="417"/>
      <c r="AE85" s="417"/>
      <c r="AF85" s="417"/>
      <c r="AG85" s="417"/>
      <c r="AH85" s="417"/>
    </row>
    <row r="86" spans="1:34" ht="12.95">
      <c r="A86" s="381"/>
      <c r="B86" s="382" t="s">
        <v>99</v>
      </c>
      <c r="C86" s="382">
        <v>16435</v>
      </c>
      <c r="D86" s="382"/>
      <c r="E86" s="382"/>
      <c r="F86" s="382"/>
      <c r="G86" s="382"/>
      <c r="H86" s="384"/>
      <c r="I86" s="384"/>
      <c r="J86" s="384"/>
      <c r="K86" s="384"/>
      <c r="L86" s="384"/>
      <c r="M86" s="384"/>
      <c r="N86" s="384"/>
      <c r="O86" s="384"/>
      <c r="P86" s="384"/>
      <c r="Q86" s="384"/>
      <c r="R86" s="384"/>
      <c r="S86" s="384"/>
      <c r="T86" s="382">
        <v>1</v>
      </c>
      <c r="W86" s="441">
        <f>Y86+Y91</f>
        <v>0</v>
      </c>
      <c r="X86" s="394">
        <f t="shared" si="2"/>
        <v>0</v>
      </c>
      <c r="Y86" s="442">
        <f t="shared" si="3"/>
        <v>0</v>
      </c>
      <c r="Z86" s="400">
        <f t="shared" si="4"/>
        <v>0</v>
      </c>
      <c r="AA86" s="400">
        <f t="shared" si="4"/>
        <v>0</v>
      </c>
      <c r="AB86" s="400">
        <f t="shared" si="4"/>
        <v>0</v>
      </c>
      <c r="AD86" s="417"/>
      <c r="AE86" s="417"/>
      <c r="AF86" s="417"/>
      <c r="AG86" s="417"/>
      <c r="AH86" s="417"/>
    </row>
    <row r="87" spans="1:34" ht="12.95">
      <c r="A87" s="381"/>
      <c r="B87" s="382" t="s">
        <v>101</v>
      </c>
      <c r="C87" s="382">
        <v>43700</v>
      </c>
      <c r="D87" s="382"/>
      <c r="E87" s="382"/>
      <c r="F87" s="382"/>
      <c r="G87" s="382"/>
      <c r="H87" s="384"/>
      <c r="I87" s="384"/>
      <c r="J87" s="384"/>
      <c r="K87" s="384"/>
      <c r="L87" s="384"/>
      <c r="M87" s="384"/>
      <c r="N87" s="384"/>
      <c r="O87" s="384"/>
      <c r="P87" s="384"/>
      <c r="Q87" s="384"/>
      <c r="R87" s="384"/>
      <c r="S87" s="384"/>
      <c r="T87" s="382">
        <v>1</v>
      </c>
      <c r="W87" s="441">
        <f>Y87+Y92</f>
        <v>38</v>
      </c>
      <c r="X87" s="394">
        <f t="shared" si="2"/>
        <v>7500</v>
      </c>
      <c r="Y87" s="442">
        <f t="shared" si="3"/>
        <v>38</v>
      </c>
      <c r="Z87" s="400">
        <f t="shared" si="4"/>
        <v>0</v>
      </c>
      <c r="AA87" s="400">
        <f t="shared" si="4"/>
        <v>0</v>
      </c>
      <c r="AB87" s="400">
        <f t="shared" si="4"/>
        <v>0</v>
      </c>
      <c r="AD87" s="417"/>
      <c r="AE87" s="417"/>
      <c r="AF87" s="417"/>
      <c r="AG87" s="417"/>
      <c r="AH87" s="417"/>
    </row>
    <row r="88" spans="1:34" ht="12.95">
      <c r="A88" s="381"/>
      <c r="B88" s="382" t="s">
        <v>104</v>
      </c>
      <c r="C88" s="382">
        <v>21701</v>
      </c>
      <c r="D88" s="382"/>
      <c r="E88" s="382"/>
      <c r="F88" s="382"/>
      <c r="G88" s="382"/>
      <c r="H88" s="384"/>
      <c r="I88" s="384"/>
      <c r="J88" s="384"/>
      <c r="K88" s="384"/>
      <c r="L88" s="384"/>
      <c r="M88" s="384"/>
      <c r="N88" s="384"/>
      <c r="O88" s="384"/>
      <c r="P88" s="384"/>
      <c r="Q88" s="384"/>
      <c r="R88" s="384"/>
      <c r="S88" s="384"/>
      <c r="T88" s="382">
        <v>1</v>
      </c>
      <c r="W88" s="441">
        <f>Y88+Y93</f>
        <v>0</v>
      </c>
      <c r="X88" s="394">
        <f t="shared" si="2"/>
        <v>0</v>
      </c>
      <c r="Y88" s="442">
        <f t="shared" si="3"/>
        <v>0</v>
      </c>
      <c r="Z88" s="400">
        <f t="shared" si="4"/>
        <v>0</v>
      </c>
      <c r="AA88" s="400">
        <f t="shared" si="4"/>
        <v>0</v>
      </c>
      <c r="AB88" s="400">
        <f t="shared" si="4"/>
        <v>0</v>
      </c>
      <c r="AD88" s="417"/>
      <c r="AE88" s="417"/>
      <c r="AF88" s="417"/>
      <c r="AG88" s="417"/>
      <c r="AH88" s="417"/>
    </row>
    <row r="89" spans="1:34" ht="12.95">
      <c r="A89" s="385"/>
      <c r="B89" s="386" t="s">
        <v>95</v>
      </c>
      <c r="C89" s="388"/>
      <c r="D89" s="388"/>
      <c r="E89" s="388"/>
      <c r="F89" s="388"/>
      <c r="G89" s="388"/>
      <c r="H89" s="389"/>
      <c r="I89" s="389"/>
      <c r="J89" s="389"/>
      <c r="K89" s="389"/>
      <c r="L89" s="389"/>
      <c r="M89" s="389"/>
      <c r="N89" s="389"/>
      <c r="O89" s="389"/>
      <c r="P89" s="389"/>
      <c r="Q89" s="389"/>
      <c r="R89" s="389"/>
      <c r="S89" s="389"/>
      <c r="T89" s="386">
        <v>2</v>
      </c>
      <c r="W89" s="393"/>
      <c r="X89" s="394"/>
      <c r="Y89" s="399"/>
      <c r="Z89" s="400">
        <f t="shared" si="4"/>
        <v>0</v>
      </c>
      <c r="AA89" s="400">
        <f t="shared" si="4"/>
        <v>0</v>
      </c>
      <c r="AB89" s="400">
        <f t="shared" si="4"/>
        <v>0</v>
      </c>
      <c r="AD89" s="417"/>
      <c r="AE89" s="417"/>
      <c r="AF89" s="417"/>
      <c r="AG89" s="417"/>
      <c r="AH89" s="417"/>
    </row>
    <row r="90" spans="1:34" ht="12.95">
      <c r="A90" s="385"/>
      <c r="B90" s="386" t="s">
        <v>97</v>
      </c>
      <c r="C90" s="388"/>
      <c r="D90" s="388"/>
      <c r="E90" s="388"/>
      <c r="F90" s="388"/>
      <c r="G90" s="388"/>
      <c r="H90" s="389"/>
      <c r="I90" s="389"/>
      <c r="J90" s="389"/>
      <c r="K90" s="389"/>
      <c r="L90" s="389"/>
      <c r="M90" s="389"/>
      <c r="N90" s="389"/>
      <c r="O90" s="389"/>
      <c r="P90" s="389"/>
      <c r="Q90" s="389"/>
      <c r="R90" s="389"/>
      <c r="S90" s="389"/>
      <c r="T90" s="386">
        <v>2</v>
      </c>
      <c r="W90" s="393"/>
      <c r="X90" s="394"/>
      <c r="Y90" s="399"/>
      <c r="Z90" s="400">
        <f t="shared" si="4"/>
        <v>0</v>
      </c>
      <c r="AA90" s="400">
        <f t="shared" si="4"/>
        <v>0</v>
      </c>
      <c r="AB90" s="400">
        <f t="shared" si="4"/>
        <v>0</v>
      </c>
      <c r="AD90" s="417"/>
      <c r="AE90" s="417"/>
      <c r="AF90" s="417"/>
      <c r="AG90" s="417"/>
      <c r="AH90" s="417"/>
    </row>
    <row r="91" spans="1:34" ht="12.95">
      <c r="A91" s="385"/>
      <c r="B91" s="386" t="s">
        <v>99</v>
      </c>
      <c r="C91" s="388"/>
      <c r="D91" s="388"/>
      <c r="E91" s="388"/>
      <c r="F91" s="388"/>
      <c r="G91" s="388"/>
      <c r="H91" s="389"/>
      <c r="I91" s="389"/>
      <c r="J91" s="389"/>
      <c r="K91" s="389"/>
      <c r="L91" s="389"/>
      <c r="M91" s="389"/>
      <c r="N91" s="389"/>
      <c r="O91" s="389"/>
      <c r="P91" s="389"/>
      <c r="Q91" s="389"/>
      <c r="R91" s="389"/>
      <c r="S91" s="389"/>
      <c r="T91" s="386">
        <v>2</v>
      </c>
      <c r="W91" s="393"/>
      <c r="X91" s="394"/>
      <c r="Y91" s="399"/>
      <c r="Z91" s="400">
        <f t="shared" si="4"/>
        <v>0</v>
      </c>
      <c r="AA91" s="400">
        <f t="shared" si="4"/>
        <v>0</v>
      </c>
      <c r="AB91" s="400">
        <f t="shared" si="4"/>
        <v>0</v>
      </c>
      <c r="AD91" s="417"/>
      <c r="AE91" s="417"/>
      <c r="AF91" s="417"/>
      <c r="AG91" s="417"/>
      <c r="AH91" s="417"/>
    </row>
    <row r="92" spans="1:34" ht="12.95">
      <c r="A92" s="385"/>
      <c r="B92" s="386" t="s">
        <v>101</v>
      </c>
      <c r="C92" s="388"/>
      <c r="D92" s="388"/>
      <c r="E92" s="388">
        <v>7500</v>
      </c>
      <c r="F92" s="388"/>
      <c r="G92" s="388"/>
      <c r="H92" s="389">
        <v>8</v>
      </c>
      <c r="I92" s="389">
        <v>4</v>
      </c>
      <c r="J92" s="389">
        <v>20</v>
      </c>
      <c r="K92" s="389">
        <v>4</v>
      </c>
      <c r="L92" s="389">
        <v>0</v>
      </c>
      <c r="M92" s="389">
        <v>2</v>
      </c>
      <c r="N92" s="389"/>
      <c r="O92" s="389"/>
      <c r="P92" s="389"/>
      <c r="Q92" s="389"/>
      <c r="R92" s="389"/>
      <c r="S92" s="389"/>
      <c r="T92" s="386">
        <v>2</v>
      </c>
      <c r="W92" s="393"/>
      <c r="X92" s="394"/>
      <c r="Y92" s="399"/>
      <c r="Z92" s="400">
        <f t="shared" si="4"/>
        <v>12</v>
      </c>
      <c r="AA92" s="400">
        <f t="shared" si="4"/>
        <v>4</v>
      </c>
      <c r="AB92" s="400">
        <f t="shared" si="4"/>
        <v>22</v>
      </c>
      <c r="AD92" s="417"/>
      <c r="AE92" s="417"/>
      <c r="AF92" s="417"/>
      <c r="AG92" s="417"/>
      <c r="AH92" s="417"/>
    </row>
    <row r="93" spans="1:34" ht="12.95">
      <c r="A93" s="385"/>
      <c r="B93" s="386" t="s">
        <v>104</v>
      </c>
      <c r="C93" s="388"/>
      <c r="D93" s="388"/>
      <c r="E93" s="388"/>
      <c r="F93" s="388"/>
      <c r="G93" s="388"/>
      <c r="H93" s="389"/>
      <c r="I93" s="389"/>
      <c r="J93" s="389"/>
      <c r="K93" s="389"/>
      <c r="L93" s="389"/>
      <c r="M93" s="389"/>
      <c r="N93" s="389"/>
      <c r="O93" s="389"/>
      <c r="P93" s="389"/>
      <c r="Q93" s="389"/>
      <c r="R93" s="389"/>
      <c r="S93" s="389"/>
      <c r="T93" s="386">
        <v>2</v>
      </c>
      <c r="W93" s="393"/>
      <c r="X93" s="394"/>
      <c r="Y93" s="399"/>
      <c r="Z93" s="400">
        <f t="shared" si="4"/>
        <v>0</v>
      </c>
      <c r="AA93" s="400">
        <f t="shared" si="4"/>
        <v>0</v>
      </c>
      <c r="AB93" s="400">
        <f t="shared" si="4"/>
        <v>0</v>
      </c>
    </row>
    <row r="94" spans="1:34" ht="12.95">
      <c r="A94" s="381">
        <v>44814</v>
      </c>
      <c r="B94" s="382" t="s">
        <v>95</v>
      </c>
      <c r="C94" s="382">
        <v>69939</v>
      </c>
      <c r="D94" s="382"/>
      <c r="E94" s="382"/>
      <c r="F94" s="382"/>
      <c r="G94" s="382"/>
      <c r="H94" s="384"/>
      <c r="I94" s="384"/>
      <c r="J94" s="384"/>
      <c r="K94" s="384"/>
      <c r="L94" s="384"/>
      <c r="M94" s="384"/>
      <c r="N94" s="382"/>
      <c r="O94" s="382"/>
      <c r="P94" s="382"/>
      <c r="Q94" s="382"/>
      <c r="R94" s="382"/>
      <c r="S94" s="382"/>
      <c r="T94" s="382">
        <v>1</v>
      </c>
      <c r="W94" s="393">
        <f>Y94+Y99</f>
        <v>14.25</v>
      </c>
      <c r="X94" s="394">
        <f t="shared" si="2"/>
        <v>7500</v>
      </c>
      <c r="Y94" s="399">
        <f t="shared" si="3"/>
        <v>14.25</v>
      </c>
      <c r="Z94" s="400">
        <f t="shared" si="4"/>
        <v>0</v>
      </c>
      <c r="AA94" s="400">
        <f t="shared" si="4"/>
        <v>0</v>
      </c>
      <c r="AB94" s="400">
        <f t="shared" si="4"/>
        <v>0</v>
      </c>
    </row>
    <row r="95" spans="1:34" ht="12.95">
      <c r="A95" s="381"/>
      <c r="B95" s="382" t="s">
        <v>97</v>
      </c>
      <c r="C95" s="382">
        <v>31688</v>
      </c>
      <c r="D95" s="382"/>
      <c r="E95" s="382"/>
      <c r="F95" s="382"/>
      <c r="G95" s="382"/>
      <c r="H95" s="384"/>
      <c r="I95" s="384"/>
      <c r="J95" s="384"/>
      <c r="K95" s="384"/>
      <c r="L95" s="384"/>
      <c r="M95" s="384"/>
      <c r="N95" s="382"/>
      <c r="O95" s="382"/>
      <c r="P95" s="382"/>
      <c r="Q95" s="382"/>
      <c r="R95" s="382"/>
      <c r="S95" s="382"/>
      <c r="T95" s="382">
        <v>1</v>
      </c>
      <c r="W95" s="393">
        <f>Y95+Y100</f>
        <v>0</v>
      </c>
      <c r="X95" s="394">
        <f t="shared" si="2"/>
        <v>0</v>
      </c>
      <c r="Y95" s="399">
        <f t="shared" si="3"/>
        <v>0</v>
      </c>
      <c r="Z95" s="400">
        <f t="shared" si="4"/>
        <v>0</v>
      </c>
      <c r="AA95" s="400">
        <f t="shared" si="4"/>
        <v>0</v>
      </c>
      <c r="AB95" s="400">
        <f t="shared" si="4"/>
        <v>0</v>
      </c>
    </row>
    <row r="96" spans="1:34" ht="12.95">
      <c r="A96" s="381"/>
      <c r="B96" s="382" t="s">
        <v>99</v>
      </c>
      <c r="C96" s="382">
        <v>16435</v>
      </c>
      <c r="D96" s="382"/>
      <c r="E96" s="382"/>
      <c r="F96" s="382"/>
      <c r="G96" s="382"/>
      <c r="H96" s="384"/>
      <c r="I96" s="384"/>
      <c r="J96" s="384"/>
      <c r="K96" s="384"/>
      <c r="L96" s="384"/>
      <c r="M96" s="384"/>
      <c r="N96" s="382"/>
      <c r="O96" s="382"/>
      <c r="P96" s="382"/>
      <c r="Q96" s="382"/>
      <c r="R96" s="382"/>
      <c r="S96" s="382"/>
      <c r="T96" s="382">
        <v>1</v>
      </c>
      <c r="W96" s="393">
        <f>Y96+Y101</f>
        <v>0</v>
      </c>
      <c r="X96" s="394">
        <f t="shared" si="2"/>
        <v>0</v>
      </c>
      <c r="Y96" s="399">
        <f t="shared" si="3"/>
        <v>0</v>
      </c>
      <c r="Z96" s="400">
        <f t="shared" si="4"/>
        <v>0</v>
      </c>
      <c r="AA96" s="400">
        <f t="shared" si="4"/>
        <v>0</v>
      </c>
      <c r="AB96" s="400">
        <f t="shared" si="4"/>
        <v>0</v>
      </c>
    </row>
    <row r="97" spans="1:28" ht="12.95">
      <c r="A97" s="381"/>
      <c r="B97" s="382" t="s">
        <v>101</v>
      </c>
      <c r="C97" s="382">
        <v>36160</v>
      </c>
      <c r="D97" s="382"/>
      <c r="E97" s="382"/>
      <c r="F97" s="382"/>
      <c r="G97" s="382"/>
      <c r="H97" s="384"/>
      <c r="I97" s="384"/>
      <c r="J97" s="384"/>
      <c r="K97" s="384"/>
      <c r="L97" s="384"/>
      <c r="M97" s="384"/>
      <c r="N97" s="382"/>
      <c r="O97" s="382"/>
      <c r="P97" s="382"/>
      <c r="Q97" s="382"/>
      <c r="R97" s="382"/>
      <c r="S97" s="382"/>
      <c r="T97" s="382">
        <v>1</v>
      </c>
      <c r="W97" s="393">
        <f>Y97+Y102</f>
        <v>23.75</v>
      </c>
      <c r="X97" s="394">
        <f t="shared" si="2"/>
        <v>5000</v>
      </c>
      <c r="Y97" s="399">
        <f t="shared" si="3"/>
        <v>23.75</v>
      </c>
      <c r="Z97" s="400">
        <f t="shared" si="4"/>
        <v>0</v>
      </c>
      <c r="AA97" s="400">
        <f t="shared" si="4"/>
        <v>0</v>
      </c>
      <c r="AB97" s="400">
        <f t="shared" si="4"/>
        <v>0</v>
      </c>
    </row>
    <row r="98" spans="1:28" ht="12.95">
      <c r="A98" s="381"/>
      <c r="B98" s="382" t="s">
        <v>104</v>
      </c>
      <c r="C98" s="382">
        <v>21701</v>
      </c>
      <c r="D98" s="382"/>
      <c r="E98" s="382"/>
      <c r="F98" s="382"/>
      <c r="G98" s="382"/>
      <c r="H98" s="384"/>
      <c r="I98" s="384"/>
      <c r="J98" s="384"/>
      <c r="K98" s="384"/>
      <c r="L98" s="384"/>
      <c r="M98" s="384"/>
      <c r="N98" s="382"/>
      <c r="O98" s="382"/>
      <c r="P98" s="382"/>
      <c r="Q98" s="382"/>
      <c r="R98" s="382"/>
      <c r="S98" s="382"/>
      <c r="T98" s="382">
        <v>1</v>
      </c>
      <c r="W98" s="393">
        <f>Y98+Y103</f>
        <v>0</v>
      </c>
      <c r="X98" s="394">
        <f t="shared" si="2"/>
        <v>0</v>
      </c>
      <c r="Y98" s="399">
        <f t="shared" si="3"/>
        <v>0</v>
      </c>
      <c r="Z98" s="400">
        <f t="shared" si="4"/>
        <v>0</v>
      </c>
      <c r="AA98" s="400">
        <f t="shared" si="4"/>
        <v>0</v>
      </c>
      <c r="AB98" s="400">
        <f t="shared" si="4"/>
        <v>0</v>
      </c>
    </row>
    <row r="99" spans="1:28" ht="12.95">
      <c r="A99" s="385"/>
      <c r="B99" s="386" t="s">
        <v>95</v>
      </c>
      <c r="C99" s="388"/>
      <c r="D99" s="388"/>
      <c r="E99" s="388">
        <v>7500</v>
      </c>
      <c r="F99" s="388"/>
      <c r="G99" s="388"/>
      <c r="H99" s="389">
        <v>3</v>
      </c>
      <c r="I99" s="389">
        <v>1.5</v>
      </c>
      <c r="J99" s="389">
        <v>7.5</v>
      </c>
      <c r="K99" s="389">
        <v>1.5</v>
      </c>
      <c r="L99" s="389">
        <v>0</v>
      </c>
      <c r="M99" s="389">
        <v>0.75</v>
      </c>
      <c r="N99" s="388"/>
      <c r="O99" s="388"/>
      <c r="P99" s="388"/>
      <c r="Q99" s="388"/>
      <c r="R99" s="388"/>
      <c r="S99" s="388"/>
      <c r="T99" s="386">
        <v>2</v>
      </c>
      <c r="W99" s="393"/>
      <c r="X99" s="394"/>
      <c r="Y99" s="399"/>
      <c r="Z99" s="400">
        <f t="shared" si="4"/>
        <v>4.5</v>
      </c>
      <c r="AA99" s="400">
        <f t="shared" si="4"/>
        <v>1.5</v>
      </c>
      <c r="AB99" s="400">
        <f t="shared" si="4"/>
        <v>8.25</v>
      </c>
    </row>
    <row r="100" spans="1:28" ht="12.95">
      <c r="A100" s="385"/>
      <c r="B100" s="386" t="s">
        <v>97</v>
      </c>
      <c r="C100" s="388"/>
      <c r="D100" s="388"/>
      <c r="E100" s="388"/>
      <c r="F100" s="388"/>
      <c r="G100" s="388"/>
      <c r="H100" s="389"/>
      <c r="I100" s="389"/>
      <c r="J100" s="389"/>
      <c r="K100" s="389"/>
      <c r="L100" s="389"/>
      <c r="M100" s="389"/>
      <c r="N100" s="388"/>
      <c r="O100" s="388"/>
      <c r="P100" s="388"/>
      <c r="Q100" s="388"/>
      <c r="R100" s="388"/>
      <c r="S100" s="388"/>
      <c r="T100" s="386">
        <v>2</v>
      </c>
      <c r="W100" s="393"/>
      <c r="X100" s="394"/>
      <c r="Y100" s="399"/>
      <c r="Z100" s="400">
        <f t="shared" si="4"/>
        <v>0</v>
      </c>
      <c r="AA100" s="400">
        <f t="shared" si="4"/>
        <v>0</v>
      </c>
      <c r="AB100" s="400">
        <f t="shared" si="4"/>
        <v>0</v>
      </c>
    </row>
    <row r="101" spans="1:28" ht="12.95">
      <c r="A101" s="385"/>
      <c r="B101" s="386" t="s">
        <v>99</v>
      </c>
      <c r="C101" s="388"/>
      <c r="D101" s="388"/>
      <c r="E101" s="388"/>
      <c r="F101" s="388"/>
      <c r="G101" s="388"/>
      <c r="H101" s="389"/>
      <c r="I101" s="389"/>
      <c r="J101" s="389"/>
      <c r="K101" s="389"/>
      <c r="L101" s="389"/>
      <c r="M101" s="389"/>
      <c r="N101" s="388"/>
      <c r="O101" s="388"/>
      <c r="P101" s="388"/>
      <c r="Q101" s="388"/>
      <c r="R101" s="388"/>
      <c r="S101" s="388"/>
      <c r="T101" s="386">
        <v>2</v>
      </c>
      <c r="W101" s="393"/>
      <c r="X101" s="394"/>
      <c r="Y101" s="399"/>
      <c r="Z101" s="400">
        <f t="shared" si="4"/>
        <v>0</v>
      </c>
      <c r="AA101" s="400">
        <f t="shared" si="4"/>
        <v>0</v>
      </c>
      <c r="AB101" s="400">
        <f t="shared" si="4"/>
        <v>0</v>
      </c>
    </row>
    <row r="102" spans="1:28" ht="12.95">
      <c r="A102" s="385"/>
      <c r="B102" s="386" t="s">
        <v>101</v>
      </c>
      <c r="C102" s="388"/>
      <c r="D102" s="388"/>
      <c r="E102" s="388">
        <v>5000</v>
      </c>
      <c r="F102" s="388"/>
      <c r="G102" s="388"/>
      <c r="H102" s="389">
        <v>5</v>
      </c>
      <c r="I102" s="389">
        <v>2.5</v>
      </c>
      <c r="J102" s="389">
        <v>12.5</v>
      </c>
      <c r="K102" s="389">
        <v>2.5</v>
      </c>
      <c r="L102" s="389">
        <v>0</v>
      </c>
      <c r="M102" s="389">
        <v>1.25</v>
      </c>
      <c r="N102" s="388"/>
      <c r="O102" s="388"/>
      <c r="P102" s="388"/>
      <c r="Q102" s="388"/>
      <c r="R102" s="388"/>
      <c r="S102" s="388"/>
      <c r="T102" s="386">
        <v>2</v>
      </c>
      <c r="W102" s="393"/>
      <c r="X102" s="394"/>
      <c r="Y102" s="399"/>
      <c r="Z102" s="400">
        <f t="shared" si="4"/>
        <v>7.5</v>
      </c>
      <c r="AA102" s="400">
        <f t="shared" si="4"/>
        <v>2.5</v>
      </c>
      <c r="AB102" s="400">
        <f t="shared" si="4"/>
        <v>13.75</v>
      </c>
    </row>
    <row r="103" spans="1:28" ht="12.95">
      <c r="A103" s="385"/>
      <c r="B103" s="386" t="s">
        <v>104</v>
      </c>
      <c r="C103" s="388"/>
      <c r="D103" s="388"/>
      <c r="E103" s="388"/>
      <c r="F103" s="388"/>
      <c r="G103" s="388"/>
      <c r="H103" s="389"/>
      <c r="I103" s="389"/>
      <c r="J103" s="389"/>
      <c r="K103" s="389"/>
      <c r="L103" s="389"/>
      <c r="M103" s="389"/>
      <c r="N103" s="388"/>
      <c r="O103" s="388"/>
      <c r="P103" s="388"/>
      <c r="Q103" s="388"/>
      <c r="R103" s="388"/>
      <c r="S103" s="388"/>
      <c r="T103" s="386">
        <v>2</v>
      </c>
      <c r="W103" s="393"/>
      <c r="X103" s="394"/>
      <c r="Y103" s="399"/>
      <c r="Z103" s="400">
        <f t="shared" si="4"/>
        <v>0</v>
      </c>
      <c r="AA103" s="400">
        <f t="shared" si="4"/>
        <v>0</v>
      </c>
      <c r="AB103" s="400">
        <f t="shared" si="4"/>
        <v>0</v>
      </c>
    </row>
    <row r="104" spans="1:28" ht="12.95">
      <c r="A104" s="381">
        <v>44815</v>
      </c>
      <c r="B104" s="382" t="s">
        <v>95</v>
      </c>
      <c r="C104" s="382">
        <v>62404</v>
      </c>
      <c r="D104" s="382"/>
      <c r="E104" s="382"/>
      <c r="F104" s="382"/>
      <c r="G104" s="382"/>
      <c r="H104" s="384"/>
      <c r="I104" s="384"/>
      <c r="J104" s="384"/>
      <c r="K104" s="384"/>
      <c r="L104" s="384"/>
      <c r="M104" s="384"/>
      <c r="N104" s="382"/>
      <c r="O104" s="382"/>
      <c r="P104" s="382"/>
      <c r="Q104" s="382"/>
      <c r="R104" s="382"/>
      <c r="S104" s="382"/>
      <c r="T104" s="382">
        <v>1</v>
      </c>
      <c r="W104" s="393">
        <f>Y104+Y109</f>
        <v>0</v>
      </c>
      <c r="X104" s="394">
        <f t="shared" si="2"/>
        <v>0</v>
      </c>
      <c r="Y104" s="399">
        <f t="shared" si="3"/>
        <v>0</v>
      </c>
      <c r="Z104" s="400">
        <f t="shared" si="4"/>
        <v>0</v>
      </c>
      <c r="AA104" s="400">
        <f t="shared" si="4"/>
        <v>0</v>
      </c>
      <c r="AB104" s="400">
        <f t="shared" si="4"/>
        <v>0</v>
      </c>
    </row>
    <row r="105" spans="1:28" ht="12.95">
      <c r="A105" s="381"/>
      <c r="B105" s="382" t="s">
        <v>97</v>
      </c>
      <c r="C105" s="382">
        <v>31688</v>
      </c>
      <c r="D105" s="382"/>
      <c r="E105" s="382"/>
      <c r="F105" s="382"/>
      <c r="G105" s="382"/>
      <c r="H105" s="384"/>
      <c r="I105" s="384"/>
      <c r="J105" s="384"/>
      <c r="K105" s="384"/>
      <c r="L105" s="384"/>
      <c r="M105" s="384"/>
      <c r="N105" s="382"/>
      <c r="O105" s="382"/>
      <c r="P105" s="382"/>
      <c r="Q105" s="382"/>
      <c r="R105" s="382"/>
      <c r="S105" s="382"/>
      <c r="T105" s="382">
        <v>1</v>
      </c>
      <c r="W105" s="393">
        <f>Y105+Y110</f>
        <v>3.8</v>
      </c>
      <c r="X105" s="394">
        <f t="shared" si="2"/>
        <v>2500</v>
      </c>
      <c r="Y105" s="399">
        <f t="shared" si="3"/>
        <v>3.8</v>
      </c>
      <c r="Z105" s="400">
        <f t="shared" si="4"/>
        <v>0</v>
      </c>
      <c r="AA105" s="400">
        <f t="shared" si="4"/>
        <v>0</v>
      </c>
      <c r="AB105" s="400">
        <f t="shared" si="4"/>
        <v>0</v>
      </c>
    </row>
    <row r="106" spans="1:28" ht="12.95">
      <c r="A106" s="381"/>
      <c r="B106" s="382" t="s">
        <v>99</v>
      </c>
      <c r="C106" s="382">
        <v>16435</v>
      </c>
      <c r="D106" s="382"/>
      <c r="E106" s="382"/>
      <c r="F106" s="382"/>
      <c r="G106" s="382"/>
      <c r="H106" s="384"/>
      <c r="I106" s="384"/>
      <c r="J106" s="384"/>
      <c r="K106" s="384"/>
      <c r="L106" s="384"/>
      <c r="M106" s="384"/>
      <c r="N106" s="382"/>
      <c r="O106" s="382"/>
      <c r="P106" s="382"/>
      <c r="Q106" s="382"/>
      <c r="R106" s="382"/>
      <c r="S106" s="382"/>
      <c r="T106" s="382">
        <v>1</v>
      </c>
      <c r="W106" s="393">
        <f>Y106+Y111</f>
        <v>0</v>
      </c>
      <c r="X106" s="394">
        <f t="shared" si="2"/>
        <v>0</v>
      </c>
      <c r="Y106" s="399">
        <f t="shared" si="3"/>
        <v>0</v>
      </c>
      <c r="Z106" s="400">
        <f t="shared" si="4"/>
        <v>0</v>
      </c>
      <c r="AA106" s="400">
        <f t="shared" si="4"/>
        <v>0</v>
      </c>
      <c r="AB106" s="400">
        <f t="shared" si="4"/>
        <v>0</v>
      </c>
    </row>
    <row r="107" spans="1:28" ht="12.95">
      <c r="A107" s="381"/>
      <c r="B107" s="382" t="s">
        <v>101</v>
      </c>
      <c r="C107" s="382">
        <v>31135</v>
      </c>
      <c r="D107" s="382">
        <v>25600</v>
      </c>
      <c r="E107" s="382">
        <v>31</v>
      </c>
      <c r="F107" s="382"/>
      <c r="G107" s="382"/>
      <c r="H107" s="384"/>
      <c r="I107" s="384"/>
      <c r="J107" s="384"/>
      <c r="K107" s="384"/>
      <c r="L107" s="384"/>
      <c r="M107" s="384"/>
      <c r="N107" s="382"/>
      <c r="O107" s="382"/>
      <c r="P107" s="382"/>
      <c r="Q107" s="382"/>
      <c r="R107" s="382"/>
      <c r="S107" s="382"/>
      <c r="T107" s="382">
        <v>1</v>
      </c>
      <c r="W107" s="393">
        <f>Y107+Y112</f>
        <v>20.9</v>
      </c>
      <c r="X107" s="394">
        <f t="shared" si="2"/>
        <v>9031</v>
      </c>
      <c r="Y107" s="399">
        <f t="shared" si="3"/>
        <v>20.9</v>
      </c>
      <c r="Z107" s="400">
        <f t="shared" si="4"/>
        <v>0</v>
      </c>
      <c r="AA107" s="400">
        <f t="shared" si="4"/>
        <v>0</v>
      </c>
      <c r="AB107" s="400">
        <f t="shared" si="4"/>
        <v>0</v>
      </c>
    </row>
    <row r="108" spans="1:28" ht="12.95">
      <c r="A108" s="381"/>
      <c r="B108" s="382" t="s">
        <v>104</v>
      </c>
      <c r="C108" s="382">
        <v>21701</v>
      </c>
      <c r="D108" s="382"/>
      <c r="E108" s="382"/>
      <c r="F108" s="382"/>
      <c r="G108" s="382"/>
      <c r="H108" s="384"/>
      <c r="I108" s="384"/>
      <c r="J108" s="384"/>
      <c r="K108" s="384"/>
      <c r="L108" s="384"/>
      <c r="M108" s="384"/>
      <c r="N108" s="382"/>
      <c r="O108" s="382"/>
      <c r="P108" s="382"/>
      <c r="Q108" s="382"/>
      <c r="R108" s="382"/>
      <c r="S108" s="382"/>
      <c r="T108" s="382">
        <v>1</v>
      </c>
      <c r="W108" s="393">
        <f>Y108+Y113</f>
        <v>0</v>
      </c>
      <c r="X108" s="394">
        <f t="shared" si="2"/>
        <v>0</v>
      </c>
      <c r="Y108" s="399">
        <f t="shared" si="3"/>
        <v>0</v>
      </c>
      <c r="Z108" s="400">
        <f t="shared" si="4"/>
        <v>0</v>
      </c>
      <c r="AA108" s="400">
        <f t="shared" si="4"/>
        <v>0</v>
      </c>
      <c r="AB108" s="400">
        <f t="shared" si="4"/>
        <v>0</v>
      </c>
    </row>
    <row r="109" spans="1:28" ht="12.95">
      <c r="A109" s="440"/>
      <c r="B109" s="386" t="s">
        <v>95</v>
      </c>
      <c r="C109" s="388"/>
      <c r="D109" s="388"/>
      <c r="E109" s="388"/>
      <c r="F109" s="388"/>
      <c r="G109" s="388"/>
      <c r="H109" s="389"/>
      <c r="I109" s="389"/>
      <c r="J109" s="389"/>
      <c r="K109" s="389"/>
      <c r="L109" s="389"/>
      <c r="M109" s="389"/>
      <c r="N109" s="388"/>
      <c r="O109" s="388"/>
      <c r="P109" s="388"/>
      <c r="Q109" s="388"/>
      <c r="R109" s="388"/>
      <c r="S109" s="388"/>
      <c r="T109" s="386">
        <v>2</v>
      </c>
      <c r="W109" s="393"/>
      <c r="X109" s="394"/>
      <c r="Y109" s="399"/>
      <c r="Z109" s="400">
        <f t="shared" si="4"/>
        <v>0</v>
      </c>
      <c r="AA109" s="400">
        <f t="shared" si="4"/>
        <v>0</v>
      </c>
      <c r="AB109" s="400">
        <f t="shared" si="4"/>
        <v>0</v>
      </c>
    </row>
    <row r="110" spans="1:28" ht="12.95">
      <c r="A110" s="385"/>
      <c r="B110" s="386" t="s">
        <v>97</v>
      </c>
      <c r="C110" s="388"/>
      <c r="D110" s="388"/>
      <c r="E110" s="388">
        <v>2500</v>
      </c>
      <c r="F110" s="388"/>
      <c r="G110" s="388"/>
      <c r="H110" s="389">
        <v>0.8</v>
      </c>
      <c r="I110" s="389">
        <v>0.4</v>
      </c>
      <c r="J110" s="389">
        <v>2</v>
      </c>
      <c r="K110" s="389">
        <v>0.4</v>
      </c>
      <c r="L110" s="389">
        <v>0</v>
      </c>
      <c r="M110" s="389">
        <v>0.2</v>
      </c>
      <c r="N110" s="388"/>
      <c r="O110" s="388"/>
      <c r="P110" s="388"/>
      <c r="Q110" s="388"/>
      <c r="R110" s="388"/>
      <c r="S110" s="388"/>
      <c r="T110" s="386">
        <v>2</v>
      </c>
      <c r="W110" s="393"/>
      <c r="X110" s="394"/>
      <c r="Y110" s="399"/>
      <c r="Z110" s="400">
        <f t="shared" si="4"/>
        <v>1.2</v>
      </c>
      <c r="AA110" s="400">
        <f t="shared" si="4"/>
        <v>0.4</v>
      </c>
      <c r="AB110" s="400">
        <f t="shared" si="4"/>
        <v>2.2000000000000002</v>
      </c>
    </row>
    <row r="111" spans="1:28" ht="12.95">
      <c r="A111" s="385"/>
      <c r="B111" s="386" t="s">
        <v>99</v>
      </c>
      <c r="C111" s="388"/>
      <c r="D111" s="388"/>
      <c r="E111" s="388"/>
      <c r="F111" s="388"/>
      <c r="G111" s="388"/>
      <c r="H111" s="389"/>
      <c r="I111" s="389"/>
      <c r="J111" s="389"/>
      <c r="K111" s="389"/>
      <c r="L111" s="389"/>
      <c r="M111" s="389"/>
      <c r="N111" s="388"/>
      <c r="O111" s="388"/>
      <c r="P111" s="388"/>
      <c r="Q111" s="388"/>
      <c r="R111" s="388"/>
      <c r="S111" s="388"/>
      <c r="T111" s="386">
        <v>2</v>
      </c>
      <c r="W111" s="393"/>
      <c r="X111" s="394"/>
      <c r="Y111" s="399"/>
      <c r="Z111" s="400">
        <f t="shared" si="4"/>
        <v>0</v>
      </c>
      <c r="AA111" s="400">
        <f t="shared" si="4"/>
        <v>0</v>
      </c>
      <c r="AB111" s="400">
        <f t="shared" si="4"/>
        <v>0</v>
      </c>
    </row>
    <row r="112" spans="1:28" ht="12.95">
      <c r="A112" s="385"/>
      <c r="B112" s="386" t="s">
        <v>101</v>
      </c>
      <c r="C112" s="388"/>
      <c r="D112" s="388"/>
      <c r="E112" s="388">
        <v>9000</v>
      </c>
      <c r="F112" s="388"/>
      <c r="G112" s="388"/>
      <c r="H112" s="389">
        <v>4.4000000000000004</v>
      </c>
      <c r="I112" s="389">
        <v>2.2000000000000002</v>
      </c>
      <c r="J112" s="389">
        <v>11</v>
      </c>
      <c r="K112" s="389">
        <v>2.2000000000000002</v>
      </c>
      <c r="L112" s="389">
        <v>0</v>
      </c>
      <c r="M112" s="389">
        <v>1.1000000000000001</v>
      </c>
      <c r="N112" s="388"/>
      <c r="O112" s="388"/>
      <c r="P112" s="388"/>
      <c r="Q112" s="388"/>
      <c r="R112" s="388"/>
      <c r="S112" s="388"/>
      <c r="T112" s="386">
        <v>2</v>
      </c>
      <c r="W112" s="393"/>
      <c r="X112" s="394"/>
      <c r="Y112" s="399"/>
      <c r="Z112" s="400">
        <f t="shared" si="4"/>
        <v>6.6</v>
      </c>
      <c r="AA112" s="400">
        <f t="shared" si="4"/>
        <v>2.2000000000000002</v>
      </c>
      <c r="AB112" s="400">
        <f t="shared" si="4"/>
        <v>12.1</v>
      </c>
    </row>
    <row r="113" spans="1:28" ht="12.95">
      <c r="A113" s="385"/>
      <c r="B113" s="386" t="s">
        <v>104</v>
      </c>
      <c r="C113" s="388"/>
      <c r="D113" s="388"/>
      <c r="E113" s="388"/>
      <c r="F113" s="388"/>
      <c r="G113" s="388"/>
      <c r="H113" s="389"/>
      <c r="I113" s="389"/>
      <c r="J113" s="389"/>
      <c r="K113" s="389"/>
      <c r="L113" s="389"/>
      <c r="M113" s="389"/>
      <c r="N113" s="388"/>
      <c r="O113" s="388"/>
      <c r="P113" s="388"/>
      <c r="Q113" s="388"/>
      <c r="R113" s="388"/>
      <c r="S113" s="388"/>
      <c r="T113" s="386">
        <v>2</v>
      </c>
      <c r="W113" s="393"/>
      <c r="X113" s="394"/>
      <c r="Y113" s="399"/>
      <c r="Z113" s="400">
        <f t="shared" si="4"/>
        <v>0</v>
      </c>
      <c r="AA113" s="400">
        <f t="shared" si="4"/>
        <v>0</v>
      </c>
      <c r="AB113" s="400">
        <f t="shared" si="4"/>
        <v>0</v>
      </c>
    </row>
    <row r="114" spans="1:28" ht="12.95">
      <c r="A114" s="381">
        <v>44816</v>
      </c>
      <c r="B114" s="382" t="s">
        <v>95</v>
      </c>
      <c r="C114" s="382">
        <v>62404</v>
      </c>
      <c r="D114" s="382"/>
      <c r="E114" s="382"/>
      <c r="F114" s="382"/>
      <c r="G114" s="382"/>
      <c r="H114" s="384"/>
      <c r="I114" s="384"/>
      <c r="J114" s="384"/>
      <c r="K114" s="384"/>
      <c r="L114" s="384"/>
      <c r="M114" s="384"/>
      <c r="N114" s="384"/>
      <c r="O114" s="384"/>
      <c r="P114" s="384"/>
      <c r="Q114" s="384"/>
      <c r="R114" s="384"/>
      <c r="S114" s="384"/>
      <c r="T114" s="382">
        <v>1</v>
      </c>
      <c r="W114" s="393">
        <f>Y114+Y119</f>
        <v>0</v>
      </c>
      <c r="X114" s="394">
        <f t="shared" si="2"/>
        <v>0</v>
      </c>
      <c r="Y114" s="399">
        <f t="shared" si="3"/>
        <v>0</v>
      </c>
      <c r="Z114" s="400">
        <f t="shared" si="4"/>
        <v>0</v>
      </c>
      <c r="AA114" s="400">
        <f t="shared" si="4"/>
        <v>0</v>
      </c>
      <c r="AB114" s="400">
        <f t="shared" si="4"/>
        <v>0</v>
      </c>
    </row>
    <row r="115" spans="1:28" ht="12.95">
      <c r="A115" s="381"/>
      <c r="B115" s="382" t="s">
        <v>97</v>
      </c>
      <c r="C115" s="382">
        <v>29178</v>
      </c>
      <c r="D115" s="382"/>
      <c r="E115" s="382">
        <v>2400</v>
      </c>
      <c r="F115" s="382"/>
      <c r="G115" s="382"/>
      <c r="H115" s="384">
        <v>0.6</v>
      </c>
      <c r="I115" s="384">
        <v>0.3</v>
      </c>
      <c r="J115" s="384">
        <v>1.5</v>
      </c>
      <c r="K115" s="384">
        <v>0.3</v>
      </c>
      <c r="L115" s="384">
        <v>0.06</v>
      </c>
      <c r="M115" s="384">
        <v>0.15</v>
      </c>
      <c r="N115" s="384"/>
      <c r="O115" s="384"/>
      <c r="P115" s="384"/>
      <c r="Q115" s="384"/>
      <c r="R115" s="384"/>
      <c r="S115" s="384"/>
      <c r="T115" s="382">
        <v>1</v>
      </c>
      <c r="W115" s="393">
        <f>Y115+Y120</f>
        <v>4.8099999999999996</v>
      </c>
      <c r="X115" s="394">
        <f t="shared" si="2"/>
        <v>5600</v>
      </c>
      <c r="Y115" s="442">
        <f t="shared" si="3"/>
        <v>4.8099999999999996</v>
      </c>
      <c r="Z115" s="400">
        <f t="shared" si="4"/>
        <v>0.9</v>
      </c>
      <c r="AA115" s="400">
        <f t="shared" si="4"/>
        <v>0.36</v>
      </c>
      <c r="AB115" s="400">
        <f t="shared" si="4"/>
        <v>1.65</v>
      </c>
    </row>
    <row r="116" spans="1:28" ht="12.95">
      <c r="A116" s="381"/>
      <c r="B116" s="382" t="s">
        <v>99</v>
      </c>
      <c r="C116" s="382">
        <v>16435</v>
      </c>
      <c r="D116" s="382"/>
      <c r="E116" s="382"/>
      <c r="F116" s="382"/>
      <c r="G116" s="382"/>
      <c r="H116" s="384"/>
      <c r="I116" s="384"/>
      <c r="J116" s="384"/>
      <c r="K116" s="384"/>
      <c r="L116" s="384"/>
      <c r="M116" s="384"/>
      <c r="N116" s="384"/>
      <c r="O116" s="384"/>
      <c r="P116" s="384"/>
      <c r="Q116" s="384"/>
      <c r="R116" s="384"/>
      <c r="S116" s="384"/>
      <c r="T116" s="382">
        <v>1</v>
      </c>
      <c r="W116" s="393">
        <f>Y116+Y121</f>
        <v>0</v>
      </c>
      <c r="X116" s="394">
        <f t="shared" si="2"/>
        <v>0</v>
      </c>
      <c r="Y116" s="442">
        <f t="shared" si="3"/>
        <v>0</v>
      </c>
      <c r="Z116" s="400">
        <f t="shared" si="4"/>
        <v>0</v>
      </c>
      <c r="AA116" s="400">
        <f t="shared" si="4"/>
        <v>0</v>
      </c>
      <c r="AB116" s="400">
        <f t="shared" si="4"/>
        <v>0</v>
      </c>
    </row>
    <row r="117" spans="1:28" ht="12.95">
      <c r="A117" s="381"/>
      <c r="B117" s="382" t="s">
        <v>101</v>
      </c>
      <c r="C117" s="382">
        <v>47682</v>
      </c>
      <c r="D117" s="382"/>
      <c r="E117" s="382">
        <v>8531</v>
      </c>
      <c r="F117" s="382"/>
      <c r="G117" s="382"/>
      <c r="H117" s="384">
        <v>9.4</v>
      </c>
      <c r="I117" s="384">
        <v>4.7</v>
      </c>
      <c r="J117" s="384">
        <v>23.5</v>
      </c>
      <c r="K117" s="384">
        <v>4.7</v>
      </c>
      <c r="L117" s="384">
        <v>0.94</v>
      </c>
      <c r="M117" s="384">
        <v>2.35</v>
      </c>
      <c r="N117" s="384"/>
      <c r="O117" s="384"/>
      <c r="P117" s="384"/>
      <c r="Q117" s="384"/>
      <c r="R117" s="384"/>
      <c r="S117" s="384"/>
      <c r="T117" s="382">
        <v>1</v>
      </c>
      <c r="W117" s="393">
        <f>Y117+Y122</f>
        <v>66.489999999999995</v>
      </c>
      <c r="X117" s="394">
        <f t="shared" si="2"/>
        <v>18031</v>
      </c>
      <c r="Y117" s="399">
        <f t="shared" si="3"/>
        <v>66.489999999999995</v>
      </c>
      <c r="Z117" s="400">
        <f t="shared" si="4"/>
        <v>14.1</v>
      </c>
      <c r="AA117" s="400">
        <f t="shared" si="4"/>
        <v>5.64</v>
      </c>
      <c r="AB117" s="400">
        <f t="shared" si="4"/>
        <v>25.85</v>
      </c>
    </row>
    <row r="118" spans="1:28" ht="12.95">
      <c r="A118" s="381"/>
      <c r="B118" s="382" t="s">
        <v>104</v>
      </c>
      <c r="C118" s="382">
        <v>21701</v>
      </c>
      <c r="D118" s="382"/>
      <c r="E118" s="382"/>
      <c r="F118" s="382"/>
      <c r="G118" s="382"/>
      <c r="H118" s="384"/>
      <c r="I118" s="384"/>
      <c r="J118" s="384"/>
      <c r="K118" s="384"/>
      <c r="L118" s="384"/>
      <c r="M118" s="384"/>
      <c r="N118" s="384"/>
      <c r="O118" s="384"/>
      <c r="P118" s="384"/>
      <c r="Q118" s="384"/>
      <c r="R118" s="384"/>
      <c r="S118" s="384"/>
      <c r="T118" s="382">
        <v>1</v>
      </c>
      <c r="W118" s="393">
        <f>Y118+Y123</f>
        <v>0</v>
      </c>
      <c r="X118" s="394">
        <f t="shared" si="2"/>
        <v>0</v>
      </c>
      <c r="Y118" s="399">
        <f t="shared" si="3"/>
        <v>0</v>
      </c>
      <c r="Z118" s="400">
        <f t="shared" si="4"/>
        <v>0</v>
      </c>
      <c r="AA118" s="400">
        <f t="shared" si="4"/>
        <v>0</v>
      </c>
      <c r="AB118" s="400">
        <f t="shared" si="4"/>
        <v>0</v>
      </c>
    </row>
    <row r="119" spans="1:28" ht="12.95">
      <c r="A119" s="385"/>
      <c r="B119" s="386" t="s">
        <v>95</v>
      </c>
      <c r="C119" s="388"/>
      <c r="D119" s="388"/>
      <c r="E119" s="388"/>
      <c r="F119" s="388"/>
      <c r="G119" s="388"/>
      <c r="H119" s="389"/>
      <c r="I119" s="389"/>
      <c r="J119" s="389"/>
      <c r="K119" s="389"/>
      <c r="L119" s="389"/>
      <c r="M119" s="389"/>
      <c r="N119" s="389"/>
      <c r="O119" s="389"/>
      <c r="P119" s="389"/>
      <c r="Q119" s="389"/>
      <c r="R119" s="389"/>
      <c r="S119" s="389"/>
      <c r="T119" s="386">
        <v>2</v>
      </c>
      <c r="W119" s="393"/>
      <c r="X119" s="394"/>
      <c r="Y119" s="399"/>
      <c r="Z119" s="400">
        <f t="shared" si="4"/>
        <v>0</v>
      </c>
      <c r="AA119" s="400">
        <f t="shared" si="4"/>
        <v>0</v>
      </c>
      <c r="AB119" s="400">
        <f t="shared" si="4"/>
        <v>0</v>
      </c>
    </row>
    <row r="120" spans="1:28" ht="12.95">
      <c r="A120" s="385"/>
      <c r="B120" s="386" t="s">
        <v>97</v>
      </c>
      <c r="C120" s="388"/>
      <c r="D120" s="388"/>
      <c r="E120" s="388">
        <v>3200</v>
      </c>
      <c r="F120" s="388"/>
      <c r="G120" s="388"/>
      <c r="H120" s="389">
        <v>0.4</v>
      </c>
      <c r="I120" s="389">
        <v>0.2</v>
      </c>
      <c r="J120" s="389">
        <v>1</v>
      </c>
      <c r="K120" s="389">
        <v>0.2</v>
      </c>
      <c r="L120" s="389">
        <v>0</v>
      </c>
      <c r="M120" s="389">
        <v>0.1</v>
      </c>
      <c r="N120" s="389"/>
      <c r="O120" s="389"/>
      <c r="P120" s="389"/>
      <c r="Q120" s="389"/>
      <c r="R120" s="389"/>
      <c r="S120" s="389"/>
      <c r="T120" s="386">
        <v>2</v>
      </c>
      <c r="W120" s="393"/>
      <c r="X120" s="394"/>
      <c r="Y120" s="399"/>
      <c r="Z120" s="400">
        <f t="shared" si="4"/>
        <v>0.6</v>
      </c>
      <c r="AA120" s="400">
        <f t="shared" si="4"/>
        <v>0.2</v>
      </c>
      <c r="AB120" s="400">
        <f t="shared" si="4"/>
        <v>1.1000000000000001</v>
      </c>
    </row>
    <row r="121" spans="1:28" ht="12.95">
      <c r="A121" s="385"/>
      <c r="B121" s="386" t="s">
        <v>99</v>
      </c>
      <c r="C121" s="388"/>
      <c r="D121" s="388"/>
      <c r="E121" s="388"/>
      <c r="F121" s="388"/>
      <c r="G121" s="388"/>
      <c r="H121" s="389"/>
      <c r="I121" s="389"/>
      <c r="J121" s="389"/>
      <c r="K121" s="389"/>
      <c r="L121" s="389"/>
      <c r="M121" s="389"/>
      <c r="N121" s="389"/>
      <c r="O121" s="389"/>
      <c r="P121" s="389"/>
      <c r="Q121" s="389"/>
      <c r="R121" s="389"/>
      <c r="S121" s="389"/>
      <c r="T121" s="386">
        <v>2</v>
      </c>
      <c r="W121" s="393"/>
      <c r="X121" s="394"/>
      <c r="Y121" s="399"/>
      <c r="Z121" s="400">
        <f t="shared" si="4"/>
        <v>0</v>
      </c>
      <c r="AA121" s="400">
        <f t="shared" si="4"/>
        <v>0</v>
      </c>
      <c r="AB121" s="400">
        <f t="shared" si="4"/>
        <v>0</v>
      </c>
    </row>
    <row r="122" spans="1:28" ht="12.95">
      <c r="A122" s="385"/>
      <c r="B122" s="386" t="s">
        <v>101</v>
      </c>
      <c r="C122" s="388"/>
      <c r="D122" s="388"/>
      <c r="E122" s="388">
        <v>9500</v>
      </c>
      <c r="F122" s="388"/>
      <c r="G122" s="388"/>
      <c r="H122" s="389">
        <v>4.4000000000000004</v>
      </c>
      <c r="I122" s="389">
        <v>2.2000000000000002</v>
      </c>
      <c r="J122" s="389">
        <v>11</v>
      </c>
      <c r="K122" s="389">
        <v>2.2000000000000002</v>
      </c>
      <c r="L122" s="389">
        <v>0</v>
      </c>
      <c r="M122" s="389">
        <v>1.1000000000000001</v>
      </c>
      <c r="N122" s="389"/>
      <c r="O122" s="389"/>
      <c r="P122" s="389"/>
      <c r="Q122" s="389"/>
      <c r="R122" s="389"/>
      <c r="S122" s="389"/>
      <c r="T122" s="386">
        <v>2</v>
      </c>
      <c r="W122" s="393"/>
      <c r="X122" s="394"/>
      <c r="Y122" s="399"/>
      <c r="Z122" s="400">
        <f t="shared" si="4"/>
        <v>6.6</v>
      </c>
      <c r="AA122" s="400">
        <f t="shared" si="4"/>
        <v>2.2000000000000002</v>
      </c>
      <c r="AB122" s="400">
        <f t="shared" si="4"/>
        <v>12.1</v>
      </c>
    </row>
    <row r="123" spans="1:28" ht="12.95">
      <c r="A123" s="385"/>
      <c r="B123" s="386" t="s">
        <v>104</v>
      </c>
      <c r="C123" s="388"/>
      <c r="D123" s="388"/>
      <c r="E123" s="388"/>
      <c r="F123" s="388"/>
      <c r="G123" s="388"/>
      <c r="H123" s="389"/>
      <c r="I123" s="389"/>
      <c r="J123" s="389"/>
      <c r="K123" s="389"/>
      <c r="L123" s="389"/>
      <c r="M123" s="389"/>
      <c r="N123" s="389"/>
      <c r="O123" s="389"/>
      <c r="P123" s="389"/>
      <c r="Q123" s="389"/>
      <c r="R123" s="389"/>
      <c r="S123" s="389"/>
      <c r="T123" s="386">
        <v>2</v>
      </c>
      <c r="W123" s="393"/>
      <c r="X123" s="394"/>
      <c r="Y123" s="399"/>
      <c r="Z123" s="400">
        <f t="shared" si="4"/>
        <v>0</v>
      </c>
      <c r="AA123" s="400">
        <f t="shared" si="4"/>
        <v>0</v>
      </c>
      <c r="AB123" s="400">
        <f t="shared" si="4"/>
        <v>0</v>
      </c>
    </row>
    <row r="124" spans="1:28" ht="12.95">
      <c r="A124" s="381">
        <v>44817</v>
      </c>
      <c r="B124" s="382" t="s">
        <v>95</v>
      </c>
      <c r="C124" s="382">
        <v>62404</v>
      </c>
      <c r="D124" s="382"/>
      <c r="E124" s="382"/>
      <c r="F124" s="382"/>
      <c r="G124" s="382"/>
      <c r="H124" s="384"/>
      <c r="I124" s="384"/>
      <c r="J124" s="384"/>
      <c r="K124" s="384"/>
      <c r="L124" s="384"/>
      <c r="M124" s="384"/>
      <c r="N124" s="382"/>
      <c r="O124" s="382"/>
      <c r="P124" s="382"/>
      <c r="Q124" s="382"/>
      <c r="R124" s="382"/>
      <c r="S124" s="382"/>
      <c r="T124" s="382">
        <v>1</v>
      </c>
      <c r="W124" s="393">
        <f t="shared" ref="W124:W178" si="5">Y124+Y129</f>
        <v>0</v>
      </c>
      <c r="X124" s="394">
        <f t="shared" ref="X124:X178" si="6">E124+F124+G124+E129+F129+G129</f>
        <v>0</v>
      </c>
      <c r="Y124" s="399">
        <f t="shared" ref="Y124:Y178" si="7">H124+I124+J124+K124+L124+M124+N124+O124+P124+Q124+R124+S124+H129+I129+J129+K129+L129+M129+N129+O129+P129+Q129+R129+S129</f>
        <v>0</v>
      </c>
      <c r="Z124" s="400">
        <f t="shared" si="4"/>
        <v>0</v>
      </c>
      <c r="AA124" s="400">
        <f t="shared" si="4"/>
        <v>0</v>
      </c>
      <c r="AB124" s="400">
        <f t="shared" si="4"/>
        <v>0</v>
      </c>
    </row>
    <row r="125" spans="1:28" ht="12.95">
      <c r="A125" s="381"/>
      <c r="B125" s="382" t="s">
        <v>97</v>
      </c>
      <c r="C125" s="382">
        <v>23573</v>
      </c>
      <c r="D125" s="382">
        <v>22400</v>
      </c>
      <c r="E125" s="382">
        <v>4432</v>
      </c>
      <c r="F125" s="382"/>
      <c r="G125" s="382"/>
      <c r="H125" s="384">
        <v>2.2000000000000002</v>
      </c>
      <c r="I125" s="384">
        <v>1.1000000000000001</v>
      </c>
      <c r="J125" s="384">
        <v>5.5</v>
      </c>
      <c r="K125" s="384">
        <v>1.1000000000000001</v>
      </c>
      <c r="L125" s="384">
        <v>0.22</v>
      </c>
      <c r="M125" s="384">
        <v>0.55000000000000004</v>
      </c>
      <c r="N125" s="382"/>
      <c r="O125" s="382"/>
      <c r="P125" s="382"/>
      <c r="Q125" s="382"/>
      <c r="R125" s="382"/>
      <c r="S125" s="382"/>
      <c r="T125" s="382">
        <v>1</v>
      </c>
      <c r="W125" s="393">
        <f t="shared" si="5"/>
        <v>23.02</v>
      </c>
      <c r="X125" s="394">
        <f t="shared" si="6"/>
        <v>8832</v>
      </c>
      <c r="Y125" s="442">
        <f t="shared" si="7"/>
        <v>23.02</v>
      </c>
      <c r="Z125" s="400">
        <f t="shared" si="4"/>
        <v>3.3</v>
      </c>
      <c r="AA125" s="400">
        <f t="shared" si="4"/>
        <v>1.32</v>
      </c>
      <c r="AB125" s="400">
        <f t="shared" si="4"/>
        <v>6.05</v>
      </c>
    </row>
    <row r="126" spans="1:28" ht="12.95">
      <c r="A126" s="381"/>
      <c r="B126" s="382" t="s">
        <v>99</v>
      </c>
      <c r="C126" s="382">
        <v>16435</v>
      </c>
      <c r="D126" s="382"/>
      <c r="E126" s="382"/>
      <c r="F126" s="382"/>
      <c r="G126" s="382"/>
      <c r="H126" s="384"/>
      <c r="I126" s="384"/>
      <c r="J126" s="384"/>
      <c r="K126" s="384"/>
      <c r="L126" s="384"/>
      <c r="M126" s="384"/>
      <c r="N126" s="382"/>
      <c r="O126" s="382"/>
      <c r="P126" s="382"/>
      <c r="Q126" s="382"/>
      <c r="R126" s="382"/>
      <c r="S126" s="382"/>
      <c r="T126" s="382">
        <v>1</v>
      </c>
      <c r="W126" s="393">
        <f t="shared" si="5"/>
        <v>0</v>
      </c>
      <c r="X126" s="394">
        <f t="shared" si="6"/>
        <v>0</v>
      </c>
      <c r="Y126" s="399">
        <f t="shared" si="7"/>
        <v>0</v>
      </c>
      <c r="Z126" s="400">
        <f t="shared" si="4"/>
        <v>0</v>
      </c>
      <c r="AA126" s="400">
        <f t="shared" si="4"/>
        <v>0</v>
      </c>
      <c r="AB126" s="400">
        <f t="shared" si="4"/>
        <v>0</v>
      </c>
    </row>
    <row r="127" spans="1:28" ht="12.95">
      <c r="A127" s="381"/>
      <c r="B127" s="382" t="s">
        <v>101</v>
      </c>
      <c r="C127" s="382">
        <v>29551</v>
      </c>
      <c r="D127" s="382">
        <v>12800</v>
      </c>
      <c r="E127" s="382">
        <v>8531</v>
      </c>
      <c r="F127" s="382"/>
      <c r="G127" s="382"/>
      <c r="H127" s="384">
        <v>4.5999999999999996</v>
      </c>
      <c r="I127" s="384">
        <v>2.2999999999999998</v>
      </c>
      <c r="J127" s="384">
        <v>11.5</v>
      </c>
      <c r="K127" s="384">
        <v>2.2999999999999998</v>
      </c>
      <c r="L127" s="384">
        <v>0.46</v>
      </c>
      <c r="M127" s="384">
        <v>1.1499999999999999</v>
      </c>
      <c r="N127" s="382"/>
      <c r="O127" s="382"/>
      <c r="P127" s="382"/>
      <c r="Q127" s="382"/>
      <c r="R127" s="382"/>
      <c r="S127" s="382"/>
      <c r="T127" s="382">
        <v>1</v>
      </c>
      <c r="W127" s="393">
        <f t="shared" si="5"/>
        <v>46.06</v>
      </c>
      <c r="X127" s="394">
        <f t="shared" si="6"/>
        <v>17531</v>
      </c>
      <c r="Y127" s="442">
        <f t="shared" si="7"/>
        <v>46.06</v>
      </c>
      <c r="Z127" s="400">
        <f t="shared" si="4"/>
        <v>6.9</v>
      </c>
      <c r="AA127" s="400">
        <f t="shared" si="4"/>
        <v>2.76</v>
      </c>
      <c r="AB127" s="400">
        <f t="shared" si="4"/>
        <v>12.65</v>
      </c>
    </row>
    <row r="128" spans="1:28" ht="12.95">
      <c r="A128" s="381"/>
      <c r="B128" s="382" t="s">
        <v>104</v>
      </c>
      <c r="C128" s="382">
        <v>21701</v>
      </c>
      <c r="D128" s="382"/>
      <c r="E128" s="382"/>
      <c r="F128" s="382"/>
      <c r="G128" s="382"/>
      <c r="H128" s="384"/>
      <c r="I128" s="384"/>
      <c r="J128" s="384"/>
      <c r="K128" s="384"/>
      <c r="L128" s="384"/>
      <c r="M128" s="384"/>
      <c r="N128" s="382"/>
      <c r="O128" s="382"/>
      <c r="P128" s="382"/>
      <c r="Q128" s="382"/>
      <c r="R128" s="382"/>
      <c r="S128" s="382"/>
      <c r="T128" s="382">
        <v>1</v>
      </c>
      <c r="W128" s="393">
        <f t="shared" si="5"/>
        <v>0</v>
      </c>
      <c r="X128" s="394">
        <f t="shared" si="6"/>
        <v>0</v>
      </c>
      <c r="Y128" s="399">
        <f t="shared" si="7"/>
        <v>0</v>
      </c>
      <c r="Z128" s="400">
        <f t="shared" si="4"/>
        <v>0</v>
      </c>
      <c r="AA128" s="400">
        <f t="shared" si="4"/>
        <v>0</v>
      </c>
      <c r="AB128" s="400">
        <f t="shared" si="4"/>
        <v>0</v>
      </c>
    </row>
    <row r="129" spans="1:28" ht="12.95">
      <c r="A129" s="385"/>
      <c r="B129" s="386" t="s">
        <v>95</v>
      </c>
      <c r="C129" s="388"/>
      <c r="D129" s="388"/>
      <c r="E129" s="388"/>
      <c r="F129" s="388"/>
      <c r="G129" s="388"/>
      <c r="H129" s="389"/>
      <c r="I129" s="389"/>
      <c r="J129" s="389"/>
      <c r="K129" s="389"/>
      <c r="L129" s="389"/>
      <c r="M129" s="389"/>
      <c r="N129" s="450"/>
      <c r="O129" s="450"/>
      <c r="P129" s="450"/>
      <c r="Q129" s="450"/>
      <c r="R129" s="388"/>
      <c r="S129" s="388"/>
      <c r="T129" s="386">
        <v>2</v>
      </c>
      <c r="W129" s="393"/>
      <c r="X129" s="394"/>
      <c r="Y129" s="399"/>
      <c r="Z129" s="400">
        <f t="shared" si="4"/>
        <v>0</v>
      </c>
      <c r="AA129" s="400">
        <f t="shared" si="4"/>
        <v>0</v>
      </c>
      <c r="AB129" s="400">
        <f t="shared" si="4"/>
        <v>0</v>
      </c>
    </row>
    <row r="130" spans="1:28" ht="12.95">
      <c r="A130" s="385"/>
      <c r="B130" s="386" t="s">
        <v>97</v>
      </c>
      <c r="C130" s="388"/>
      <c r="D130" s="388"/>
      <c r="E130" s="388">
        <v>4400</v>
      </c>
      <c r="F130" s="388"/>
      <c r="G130" s="388"/>
      <c r="H130" s="389">
        <v>2.6</v>
      </c>
      <c r="I130" s="389">
        <v>1.3</v>
      </c>
      <c r="J130" s="389">
        <v>6.5</v>
      </c>
      <c r="K130" s="389">
        <v>1.3</v>
      </c>
      <c r="L130" s="389">
        <v>0</v>
      </c>
      <c r="M130" s="389">
        <v>0.65</v>
      </c>
      <c r="N130" s="450"/>
      <c r="O130" s="450"/>
      <c r="P130" s="450"/>
      <c r="Q130" s="450"/>
      <c r="R130" s="388"/>
      <c r="S130" s="388"/>
      <c r="T130" s="386">
        <v>2</v>
      </c>
      <c r="W130" s="393"/>
      <c r="X130" s="394"/>
      <c r="Y130" s="399"/>
      <c r="Z130" s="400">
        <f t="shared" si="4"/>
        <v>3.9</v>
      </c>
      <c r="AA130" s="400">
        <f t="shared" si="4"/>
        <v>1.3</v>
      </c>
      <c r="AB130" s="400">
        <f t="shared" si="4"/>
        <v>7.15</v>
      </c>
    </row>
    <row r="131" spans="1:28" ht="12.95">
      <c r="A131" s="385"/>
      <c r="B131" s="386" t="s">
        <v>99</v>
      </c>
      <c r="C131" s="388"/>
      <c r="D131" s="388"/>
      <c r="E131" s="388"/>
      <c r="F131" s="388"/>
      <c r="G131" s="388"/>
      <c r="H131" s="389"/>
      <c r="I131" s="389"/>
      <c r="J131" s="389"/>
      <c r="K131" s="389"/>
      <c r="L131" s="389"/>
      <c r="M131" s="389"/>
      <c r="N131" s="450"/>
      <c r="O131" s="450"/>
      <c r="P131" s="450"/>
      <c r="Q131" s="450"/>
      <c r="R131" s="388"/>
      <c r="S131" s="388"/>
      <c r="T131" s="386">
        <v>2</v>
      </c>
      <c r="W131" s="393"/>
      <c r="X131" s="394"/>
      <c r="Y131" s="399"/>
      <c r="Z131" s="400">
        <f t="shared" si="4"/>
        <v>0</v>
      </c>
      <c r="AA131" s="400">
        <f t="shared" si="4"/>
        <v>0</v>
      </c>
      <c r="AB131" s="400">
        <f t="shared" si="4"/>
        <v>0</v>
      </c>
    </row>
    <row r="132" spans="1:28" ht="12.95">
      <c r="A132" s="385"/>
      <c r="B132" s="386" t="s">
        <v>101</v>
      </c>
      <c r="C132" s="388"/>
      <c r="D132" s="388"/>
      <c r="E132" s="388">
        <v>9000</v>
      </c>
      <c r="F132" s="388"/>
      <c r="G132" s="388"/>
      <c r="H132" s="389">
        <v>5</v>
      </c>
      <c r="I132" s="389">
        <v>2.5</v>
      </c>
      <c r="J132" s="389">
        <v>12.5</v>
      </c>
      <c r="K132" s="389">
        <v>2.5</v>
      </c>
      <c r="L132" s="389">
        <v>0</v>
      </c>
      <c r="M132" s="389">
        <v>1.25</v>
      </c>
      <c r="N132" s="450"/>
      <c r="O132" s="450"/>
      <c r="P132" s="450"/>
      <c r="Q132" s="450"/>
      <c r="R132" s="388"/>
      <c r="S132" s="388"/>
      <c r="T132" s="386">
        <v>2</v>
      </c>
      <c r="W132" s="393"/>
      <c r="X132" s="394"/>
      <c r="Y132" s="399"/>
      <c r="Z132" s="400">
        <f t="shared" si="4"/>
        <v>7.5</v>
      </c>
      <c r="AA132" s="400">
        <f t="shared" si="4"/>
        <v>2.5</v>
      </c>
      <c r="AB132" s="400">
        <f t="shared" si="4"/>
        <v>13.75</v>
      </c>
    </row>
    <row r="133" spans="1:28" ht="12.95">
      <c r="A133" s="385"/>
      <c r="B133" s="386" t="s">
        <v>104</v>
      </c>
      <c r="C133" s="388"/>
      <c r="D133" s="388"/>
      <c r="E133" s="388"/>
      <c r="F133" s="388"/>
      <c r="G133" s="388"/>
      <c r="H133" s="389"/>
      <c r="I133" s="389"/>
      <c r="J133" s="389"/>
      <c r="K133" s="389"/>
      <c r="L133" s="389"/>
      <c r="M133" s="389"/>
      <c r="N133" s="450"/>
      <c r="O133" s="450"/>
      <c r="P133" s="450"/>
      <c r="Q133" s="450"/>
      <c r="R133" s="388"/>
      <c r="S133" s="388"/>
      <c r="T133" s="386">
        <v>2</v>
      </c>
      <c r="W133" s="393"/>
      <c r="X133" s="394"/>
      <c r="Y133" s="399"/>
      <c r="Z133" s="400">
        <f t="shared" ref="Z133:AB196" si="8">H133+K133+N133+Q133</f>
        <v>0</v>
      </c>
      <c r="AA133" s="400">
        <f t="shared" si="8"/>
        <v>0</v>
      </c>
      <c r="AB133" s="400">
        <f t="shared" si="8"/>
        <v>0</v>
      </c>
    </row>
    <row r="134" spans="1:28" ht="12.95">
      <c r="A134" s="381">
        <v>44818</v>
      </c>
      <c r="B134" s="382" t="s">
        <v>95</v>
      </c>
      <c r="C134" s="382">
        <v>62404</v>
      </c>
      <c r="D134" s="382"/>
      <c r="E134" s="382"/>
      <c r="F134" s="382"/>
      <c r="G134" s="382"/>
      <c r="H134" s="384"/>
      <c r="I134" s="384"/>
      <c r="J134" s="384"/>
      <c r="K134" s="384"/>
      <c r="L134" s="384"/>
      <c r="M134" s="384"/>
      <c r="N134" s="382"/>
      <c r="O134" s="382"/>
      <c r="P134" s="382"/>
      <c r="Q134" s="382"/>
      <c r="R134" s="382"/>
      <c r="S134" s="382"/>
      <c r="T134" s="382">
        <v>1</v>
      </c>
      <c r="W134" s="393">
        <f t="shared" si="5"/>
        <v>5.7</v>
      </c>
      <c r="X134" s="394">
        <f t="shared" si="6"/>
        <v>9375</v>
      </c>
      <c r="Y134" s="399">
        <f t="shared" si="7"/>
        <v>5.7</v>
      </c>
      <c r="Z134" s="400">
        <f t="shared" si="8"/>
        <v>0</v>
      </c>
      <c r="AA134" s="400">
        <f t="shared" si="8"/>
        <v>0</v>
      </c>
      <c r="AB134" s="400">
        <f t="shared" si="8"/>
        <v>0</v>
      </c>
    </row>
    <row r="135" spans="1:28" ht="12.95">
      <c r="A135" s="381"/>
      <c r="B135" s="382" t="s">
        <v>97</v>
      </c>
      <c r="C135" s="382">
        <v>37157</v>
      </c>
      <c r="D135" s="382"/>
      <c r="E135" s="382"/>
      <c r="F135" s="382"/>
      <c r="G135" s="382"/>
      <c r="H135" s="384"/>
      <c r="I135" s="384"/>
      <c r="J135" s="384"/>
      <c r="K135" s="384"/>
      <c r="L135" s="384"/>
      <c r="M135" s="384"/>
      <c r="N135" s="382"/>
      <c r="O135" s="382"/>
      <c r="P135" s="382"/>
      <c r="Q135" s="382"/>
      <c r="R135" s="382"/>
      <c r="S135" s="382"/>
      <c r="T135" s="382">
        <v>1</v>
      </c>
      <c r="W135" s="393">
        <f t="shared" si="5"/>
        <v>0</v>
      </c>
      <c r="X135" s="394">
        <f t="shared" si="6"/>
        <v>0</v>
      </c>
      <c r="Y135" s="442">
        <f t="shared" si="7"/>
        <v>0</v>
      </c>
      <c r="Z135" s="400">
        <f t="shared" si="8"/>
        <v>0</v>
      </c>
      <c r="AA135" s="400">
        <f t="shared" si="8"/>
        <v>0</v>
      </c>
      <c r="AB135" s="400">
        <f t="shared" si="8"/>
        <v>0</v>
      </c>
    </row>
    <row r="136" spans="1:28" ht="12.95">
      <c r="A136" s="381"/>
      <c r="B136" s="382" t="s">
        <v>99</v>
      </c>
      <c r="C136" s="382">
        <v>16435</v>
      </c>
      <c r="D136" s="382"/>
      <c r="E136" s="382"/>
      <c r="F136" s="382"/>
      <c r="G136" s="382"/>
      <c r="H136" s="384"/>
      <c r="I136" s="384"/>
      <c r="J136" s="384"/>
      <c r="K136" s="384"/>
      <c r="L136" s="384"/>
      <c r="M136" s="384"/>
      <c r="N136" s="382"/>
      <c r="O136" s="382"/>
      <c r="P136" s="382"/>
      <c r="Q136" s="382"/>
      <c r="R136" s="382"/>
      <c r="S136" s="382"/>
      <c r="T136" s="382">
        <v>1</v>
      </c>
      <c r="W136" s="393">
        <f t="shared" si="5"/>
        <v>11.4</v>
      </c>
      <c r="X136" s="394">
        <f t="shared" si="6"/>
        <v>6250</v>
      </c>
      <c r="Y136" s="399">
        <f t="shared" si="7"/>
        <v>11.4</v>
      </c>
      <c r="Z136" s="400">
        <f t="shared" si="8"/>
        <v>0</v>
      </c>
      <c r="AA136" s="400">
        <f t="shared" si="8"/>
        <v>0</v>
      </c>
      <c r="AB136" s="400">
        <f t="shared" si="8"/>
        <v>0</v>
      </c>
    </row>
    <row r="137" spans="1:28" ht="12.95">
      <c r="A137" s="381"/>
      <c r="B137" s="382" t="s">
        <v>101</v>
      </c>
      <c r="C137" s="382">
        <v>24772</v>
      </c>
      <c r="D137" s="382"/>
      <c r="E137" s="382">
        <v>13000</v>
      </c>
      <c r="F137" s="382">
        <v>0</v>
      </c>
      <c r="G137" s="382"/>
      <c r="H137" s="384">
        <v>4.2</v>
      </c>
      <c r="I137" s="384">
        <v>2.1</v>
      </c>
      <c r="J137" s="384">
        <v>10.5</v>
      </c>
      <c r="K137" s="384">
        <v>2.1</v>
      </c>
      <c r="L137" s="384">
        <v>0.42</v>
      </c>
      <c r="M137" s="384">
        <v>1.05</v>
      </c>
      <c r="N137" s="382"/>
      <c r="O137" s="382"/>
      <c r="P137" s="382"/>
      <c r="Q137" s="382"/>
      <c r="R137" s="382"/>
      <c r="S137" s="382"/>
      <c r="T137" s="382">
        <v>1</v>
      </c>
      <c r="W137" s="393">
        <f t="shared" si="5"/>
        <v>20.37</v>
      </c>
      <c r="X137" s="394">
        <f t="shared" si="6"/>
        <v>13000</v>
      </c>
      <c r="Y137" s="442">
        <f t="shared" si="7"/>
        <v>20.37</v>
      </c>
      <c r="Z137" s="400">
        <f t="shared" si="8"/>
        <v>6.3</v>
      </c>
      <c r="AA137" s="400">
        <f t="shared" si="8"/>
        <v>2.52</v>
      </c>
      <c r="AB137" s="400">
        <f t="shared" si="8"/>
        <v>11.55</v>
      </c>
    </row>
    <row r="138" spans="1:28" ht="12.95">
      <c r="A138" s="381"/>
      <c r="B138" s="382" t="s">
        <v>104</v>
      </c>
      <c r="C138" s="382">
        <v>21701</v>
      </c>
      <c r="D138" s="382"/>
      <c r="E138" s="382"/>
      <c r="F138" s="382"/>
      <c r="G138" s="382"/>
      <c r="H138" s="384"/>
      <c r="I138" s="384"/>
      <c r="J138" s="384"/>
      <c r="K138" s="384"/>
      <c r="L138" s="384"/>
      <c r="M138" s="384"/>
      <c r="N138" s="382"/>
      <c r="O138" s="382"/>
      <c r="P138" s="382"/>
      <c r="Q138" s="382"/>
      <c r="R138" s="382"/>
      <c r="S138" s="382"/>
      <c r="T138" s="382">
        <v>1</v>
      </c>
      <c r="W138" s="393">
        <f t="shared" si="5"/>
        <v>0</v>
      </c>
      <c r="X138" s="394">
        <f t="shared" si="6"/>
        <v>0</v>
      </c>
      <c r="Y138" s="442">
        <f t="shared" si="7"/>
        <v>0</v>
      </c>
      <c r="Z138" s="400">
        <f t="shared" si="8"/>
        <v>0</v>
      </c>
      <c r="AA138" s="400">
        <f t="shared" si="8"/>
        <v>0</v>
      </c>
      <c r="AB138" s="400">
        <f t="shared" si="8"/>
        <v>0</v>
      </c>
    </row>
    <row r="139" spans="1:28" ht="12.95">
      <c r="A139" s="385"/>
      <c r="B139" s="386" t="s">
        <v>95</v>
      </c>
      <c r="C139" s="388"/>
      <c r="D139" s="388"/>
      <c r="E139" s="388">
        <v>9375</v>
      </c>
      <c r="F139" s="388"/>
      <c r="G139" s="388"/>
      <c r="H139" s="389">
        <v>1.2</v>
      </c>
      <c r="I139" s="389">
        <v>0.6</v>
      </c>
      <c r="J139" s="389">
        <v>3</v>
      </c>
      <c r="K139" s="389">
        <v>0.6</v>
      </c>
      <c r="L139" s="389">
        <v>0</v>
      </c>
      <c r="M139" s="389">
        <v>0.3</v>
      </c>
      <c r="N139" s="388"/>
      <c r="O139" s="388"/>
      <c r="P139" s="388"/>
      <c r="Q139" s="388"/>
      <c r="R139" s="388"/>
      <c r="S139" s="388"/>
      <c r="T139" s="386">
        <v>2</v>
      </c>
      <c r="W139" s="393"/>
      <c r="X139" s="394"/>
      <c r="Y139" s="399"/>
      <c r="Z139" s="400">
        <f t="shared" si="8"/>
        <v>1.8</v>
      </c>
      <c r="AA139" s="400">
        <f t="shared" si="8"/>
        <v>0.6</v>
      </c>
      <c r="AB139" s="400">
        <f t="shared" si="8"/>
        <v>3.3</v>
      </c>
    </row>
    <row r="140" spans="1:28" ht="12.95">
      <c r="A140" s="385"/>
      <c r="B140" s="386" t="s">
        <v>97</v>
      </c>
      <c r="C140" s="387"/>
      <c r="D140" s="388"/>
      <c r="E140" s="388"/>
      <c r="F140" s="388"/>
      <c r="G140" s="388"/>
      <c r="H140" s="389"/>
      <c r="I140" s="389"/>
      <c r="J140" s="389"/>
      <c r="K140" s="389"/>
      <c r="L140" s="389"/>
      <c r="M140" s="389"/>
      <c r="N140" s="388"/>
      <c r="O140" s="388"/>
      <c r="P140" s="388"/>
      <c r="Q140" s="388"/>
      <c r="R140" s="388"/>
      <c r="S140" s="388"/>
      <c r="T140" s="386">
        <v>2</v>
      </c>
      <c r="W140" s="393"/>
      <c r="X140" s="394"/>
      <c r="Y140" s="399"/>
      <c r="Z140" s="400">
        <f t="shared" si="8"/>
        <v>0</v>
      </c>
      <c r="AA140" s="400">
        <f t="shared" si="8"/>
        <v>0</v>
      </c>
      <c r="AB140" s="400">
        <f t="shared" si="8"/>
        <v>0</v>
      </c>
    </row>
    <row r="141" spans="1:28" ht="12.95">
      <c r="A141" s="385"/>
      <c r="B141" s="386" t="s">
        <v>99</v>
      </c>
      <c r="C141" s="387"/>
      <c r="D141" s="388"/>
      <c r="E141" s="388">
        <v>6250</v>
      </c>
      <c r="F141" s="388"/>
      <c r="G141" s="388"/>
      <c r="H141" s="389">
        <v>2.4</v>
      </c>
      <c r="I141" s="389">
        <v>1.2</v>
      </c>
      <c r="J141" s="389">
        <v>6</v>
      </c>
      <c r="K141" s="389">
        <v>1.2</v>
      </c>
      <c r="L141" s="389">
        <v>0</v>
      </c>
      <c r="M141" s="389">
        <v>0.6</v>
      </c>
      <c r="N141" s="388"/>
      <c r="O141" s="388"/>
      <c r="P141" s="388"/>
      <c r="Q141" s="388"/>
      <c r="R141" s="388"/>
      <c r="S141" s="388"/>
      <c r="T141" s="386">
        <v>2</v>
      </c>
      <c r="W141" s="393"/>
      <c r="X141" s="394"/>
      <c r="Y141" s="399"/>
      <c r="Z141" s="400">
        <f t="shared" si="8"/>
        <v>3.6</v>
      </c>
      <c r="AA141" s="400">
        <f t="shared" si="8"/>
        <v>1.2</v>
      </c>
      <c r="AB141" s="400">
        <f t="shared" si="8"/>
        <v>6.6</v>
      </c>
    </row>
    <row r="142" spans="1:28" ht="12.95">
      <c r="A142" s="385"/>
      <c r="B142" s="386" t="s">
        <v>101</v>
      </c>
      <c r="C142" s="387"/>
      <c r="D142" s="388"/>
      <c r="E142" s="388"/>
      <c r="F142" s="388"/>
      <c r="G142" s="388"/>
      <c r="H142" s="389"/>
      <c r="I142" s="389"/>
      <c r="J142" s="389"/>
      <c r="K142" s="389"/>
      <c r="L142" s="389"/>
      <c r="M142" s="389"/>
      <c r="N142" s="388"/>
      <c r="O142" s="388"/>
      <c r="P142" s="388"/>
      <c r="Q142" s="388"/>
      <c r="R142" s="388"/>
      <c r="S142" s="388"/>
      <c r="T142" s="386">
        <v>2</v>
      </c>
      <c r="W142" s="393"/>
      <c r="X142" s="394"/>
      <c r="Y142" s="399"/>
      <c r="Z142" s="400">
        <f t="shared" si="8"/>
        <v>0</v>
      </c>
      <c r="AA142" s="400">
        <f t="shared" si="8"/>
        <v>0</v>
      </c>
      <c r="AB142" s="400">
        <f t="shared" si="8"/>
        <v>0</v>
      </c>
    </row>
    <row r="143" spans="1:28" ht="12.95">
      <c r="A143" s="385"/>
      <c r="B143" s="386" t="s">
        <v>104</v>
      </c>
      <c r="C143" s="387"/>
      <c r="D143" s="388"/>
      <c r="E143" s="388"/>
      <c r="F143" s="388"/>
      <c r="G143" s="388"/>
      <c r="H143" s="389"/>
      <c r="I143" s="389"/>
      <c r="J143" s="389"/>
      <c r="K143" s="389"/>
      <c r="L143" s="389"/>
      <c r="M143" s="389"/>
      <c r="N143" s="388"/>
      <c r="O143" s="388"/>
      <c r="P143" s="388"/>
      <c r="Q143" s="388"/>
      <c r="R143" s="388"/>
      <c r="S143" s="388"/>
      <c r="T143" s="386">
        <v>2</v>
      </c>
      <c r="W143" s="393"/>
      <c r="X143" s="394"/>
      <c r="Y143" s="399"/>
      <c r="Z143" s="400">
        <f t="shared" si="8"/>
        <v>0</v>
      </c>
      <c r="AA143" s="400">
        <f t="shared" si="8"/>
        <v>0</v>
      </c>
      <c r="AB143" s="400">
        <f t="shared" si="8"/>
        <v>0</v>
      </c>
    </row>
    <row r="144" spans="1:28" ht="12.95">
      <c r="A144" s="381">
        <v>44819</v>
      </c>
      <c r="B144" s="382" t="s">
        <v>95</v>
      </c>
      <c r="C144" s="382">
        <v>52993</v>
      </c>
      <c r="D144" s="382"/>
      <c r="E144" s="382">
        <v>15</v>
      </c>
      <c r="F144" s="382"/>
      <c r="G144" s="382"/>
      <c r="H144" s="384"/>
      <c r="I144" s="384"/>
      <c r="J144" s="384"/>
      <c r="K144" s="384"/>
      <c r="L144" s="384"/>
      <c r="M144" s="384"/>
      <c r="N144" s="382"/>
      <c r="O144" s="382"/>
      <c r="P144" s="382"/>
      <c r="Q144" s="382"/>
      <c r="R144" s="382"/>
      <c r="S144" s="382"/>
      <c r="T144" s="382">
        <v>1</v>
      </c>
      <c r="W144" s="393">
        <f t="shared" si="5"/>
        <v>14.25</v>
      </c>
      <c r="X144" s="394">
        <f t="shared" si="6"/>
        <v>13140</v>
      </c>
      <c r="Y144" s="399">
        <f t="shared" si="7"/>
        <v>14.25</v>
      </c>
      <c r="Z144" s="400">
        <f t="shared" si="8"/>
        <v>0</v>
      </c>
      <c r="AA144" s="400">
        <f t="shared" si="8"/>
        <v>0</v>
      </c>
      <c r="AB144" s="400">
        <f t="shared" si="8"/>
        <v>0</v>
      </c>
    </row>
    <row r="145" spans="1:28" ht="12.95">
      <c r="A145" s="381"/>
      <c r="B145" s="382" t="s">
        <v>97</v>
      </c>
      <c r="C145" s="382">
        <v>37136</v>
      </c>
      <c r="D145" s="382"/>
      <c r="E145" s="382">
        <v>2000</v>
      </c>
      <c r="F145" s="382"/>
      <c r="G145" s="382"/>
      <c r="H145" s="384">
        <v>0.2</v>
      </c>
      <c r="I145" s="384">
        <v>0.1</v>
      </c>
      <c r="J145" s="384">
        <v>0.5</v>
      </c>
      <c r="K145" s="384">
        <v>0.1</v>
      </c>
      <c r="L145" s="384">
        <v>0.02</v>
      </c>
      <c r="M145" s="384">
        <v>0.05</v>
      </c>
      <c r="N145" s="382"/>
      <c r="O145" s="382"/>
      <c r="P145" s="382"/>
      <c r="Q145" s="382"/>
      <c r="R145" s="382"/>
      <c r="S145" s="382"/>
      <c r="T145" s="382">
        <v>1</v>
      </c>
      <c r="W145" s="393">
        <f t="shared" si="5"/>
        <v>5.72</v>
      </c>
      <c r="X145" s="394">
        <f t="shared" si="6"/>
        <v>4000</v>
      </c>
      <c r="Y145" s="442">
        <f t="shared" si="7"/>
        <v>5.72</v>
      </c>
      <c r="Z145" s="400">
        <f t="shared" si="8"/>
        <v>0.3</v>
      </c>
      <c r="AA145" s="400">
        <f t="shared" si="8"/>
        <v>0.12</v>
      </c>
      <c r="AB145" s="400">
        <f t="shared" si="8"/>
        <v>0.55000000000000004</v>
      </c>
    </row>
    <row r="146" spans="1:28" ht="12.95">
      <c r="A146" s="381"/>
      <c r="B146" s="382" t="s">
        <v>99</v>
      </c>
      <c r="C146" s="382">
        <v>10164</v>
      </c>
      <c r="D146" s="382"/>
      <c r="E146" s="382"/>
      <c r="F146" s="382"/>
      <c r="G146" s="382"/>
      <c r="H146" s="384"/>
      <c r="I146" s="384"/>
      <c r="J146" s="384"/>
      <c r="K146" s="384"/>
      <c r="L146" s="384"/>
      <c r="M146" s="384"/>
      <c r="N146" s="382"/>
      <c r="O146" s="382"/>
      <c r="P146" s="382"/>
      <c r="Q146" s="382"/>
      <c r="R146" s="382"/>
      <c r="S146" s="382"/>
      <c r="T146" s="382">
        <v>1</v>
      </c>
      <c r="W146" s="393">
        <f t="shared" si="5"/>
        <v>0</v>
      </c>
      <c r="X146" s="394">
        <f t="shared" si="6"/>
        <v>0</v>
      </c>
      <c r="Y146" s="399">
        <f t="shared" si="7"/>
        <v>0</v>
      </c>
      <c r="Z146" s="400">
        <f t="shared" si="8"/>
        <v>0</v>
      </c>
      <c r="AA146" s="400">
        <f t="shared" si="8"/>
        <v>0</v>
      </c>
      <c r="AB146" s="400">
        <f t="shared" si="8"/>
        <v>0</v>
      </c>
    </row>
    <row r="147" spans="1:28" ht="12.95">
      <c r="A147" s="381"/>
      <c r="B147" s="382" t="s">
        <v>101</v>
      </c>
      <c r="C147" s="382">
        <v>37359</v>
      </c>
      <c r="D147" s="382"/>
      <c r="E147" s="382">
        <v>11525</v>
      </c>
      <c r="F147" s="382"/>
      <c r="G147" s="382"/>
      <c r="H147" s="384">
        <v>3.2</v>
      </c>
      <c r="I147" s="384">
        <v>1.6</v>
      </c>
      <c r="J147" s="384">
        <v>8</v>
      </c>
      <c r="K147" s="384">
        <v>1.6</v>
      </c>
      <c r="L147" s="384">
        <v>0.32</v>
      </c>
      <c r="M147" s="384">
        <v>0.8</v>
      </c>
      <c r="N147" s="382"/>
      <c r="O147" s="382"/>
      <c r="P147" s="382"/>
      <c r="Q147" s="382"/>
      <c r="R147" s="382"/>
      <c r="S147" s="382"/>
      <c r="T147" s="382">
        <v>1</v>
      </c>
      <c r="W147" s="441">
        <f t="shared" si="5"/>
        <v>15.52</v>
      </c>
      <c r="X147" s="394">
        <f t="shared" si="6"/>
        <v>11525</v>
      </c>
      <c r="Y147" s="442">
        <f t="shared" si="7"/>
        <v>15.52</v>
      </c>
      <c r="Z147" s="400">
        <f t="shared" si="8"/>
        <v>4.8</v>
      </c>
      <c r="AA147" s="400">
        <f t="shared" si="8"/>
        <v>1.92</v>
      </c>
      <c r="AB147" s="400">
        <f t="shared" si="8"/>
        <v>8.8000000000000007</v>
      </c>
    </row>
    <row r="148" spans="1:28" ht="12.95">
      <c r="A148" s="381"/>
      <c r="B148" s="382" t="s">
        <v>104</v>
      </c>
      <c r="C148" s="382">
        <v>21699</v>
      </c>
      <c r="D148" s="382"/>
      <c r="E148" s="382"/>
      <c r="F148" s="382"/>
      <c r="G148" s="382"/>
      <c r="H148" s="384"/>
      <c r="I148" s="384"/>
      <c r="J148" s="384"/>
      <c r="K148" s="384"/>
      <c r="L148" s="384"/>
      <c r="M148" s="384"/>
      <c r="N148" s="382"/>
      <c r="O148" s="382"/>
      <c r="P148" s="382"/>
      <c r="Q148" s="382"/>
      <c r="R148" s="382"/>
      <c r="S148" s="382"/>
      <c r="T148" s="382">
        <v>1</v>
      </c>
      <c r="W148" s="393">
        <f t="shared" si="5"/>
        <v>0</v>
      </c>
      <c r="X148" s="394">
        <f t="shared" si="6"/>
        <v>0</v>
      </c>
      <c r="Y148" s="399">
        <f t="shared" si="7"/>
        <v>0</v>
      </c>
      <c r="Z148" s="400">
        <f t="shared" si="8"/>
        <v>0</v>
      </c>
      <c r="AA148" s="400">
        <f t="shared" si="8"/>
        <v>0</v>
      </c>
      <c r="AB148" s="400">
        <f t="shared" si="8"/>
        <v>0</v>
      </c>
    </row>
    <row r="149" spans="1:28" ht="12.95">
      <c r="A149" s="385"/>
      <c r="B149" s="386" t="s">
        <v>95</v>
      </c>
      <c r="C149" s="387"/>
      <c r="D149" s="388"/>
      <c r="E149" s="388">
        <v>13125</v>
      </c>
      <c r="F149" s="388"/>
      <c r="G149" s="388"/>
      <c r="H149" s="389">
        <v>3</v>
      </c>
      <c r="I149" s="389">
        <v>1.5</v>
      </c>
      <c r="J149" s="389">
        <v>7.5</v>
      </c>
      <c r="K149" s="389">
        <v>1.5</v>
      </c>
      <c r="L149" s="389">
        <v>0</v>
      </c>
      <c r="M149" s="389">
        <v>0.75</v>
      </c>
      <c r="N149" s="388"/>
      <c r="O149" s="388"/>
      <c r="P149" s="388"/>
      <c r="Q149" s="450"/>
      <c r="R149" s="450"/>
      <c r="S149" s="450"/>
      <c r="T149" s="386">
        <v>2</v>
      </c>
      <c r="W149" s="393"/>
      <c r="X149" s="394"/>
      <c r="Y149" s="399"/>
      <c r="Z149" s="400">
        <f t="shared" si="8"/>
        <v>4.5</v>
      </c>
      <c r="AA149" s="400">
        <f t="shared" si="8"/>
        <v>1.5</v>
      </c>
      <c r="AB149" s="400">
        <f t="shared" si="8"/>
        <v>8.25</v>
      </c>
    </row>
    <row r="150" spans="1:28" ht="12.95">
      <c r="A150" s="385"/>
      <c r="B150" s="386" t="s">
        <v>97</v>
      </c>
      <c r="C150" s="387"/>
      <c r="D150" s="388"/>
      <c r="E150" s="388">
        <v>2000</v>
      </c>
      <c r="F150" s="388"/>
      <c r="G150" s="388"/>
      <c r="H150" s="389">
        <v>1</v>
      </c>
      <c r="I150" s="389">
        <v>0.5</v>
      </c>
      <c r="J150" s="389">
        <v>2.5</v>
      </c>
      <c r="K150" s="389">
        <v>0.5</v>
      </c>
      <c r="L150" s="389">
        <v>0</v>
      </c>
      <c r="M150" s="389">
        <v>0.25</v>
      </c>
      <c r="N150" s="388"/>
      <c r="O150" s="388"/>
      <c r="P150" s="388"/>
      <c r="Q150" s="450"/>
      <c r="R150" s="450"/>
      <c r="S150" s="450"/>
      <c r="T150" s="386">
        <v>2</v>
      </c>
      <c r="W150" s="393"/>
      <c r="X150" s="394"/>
      <c r="Y150" s="399"/>
      <c r="Z150" s="400">
        <f t="shared" si="8"/>
        <v>1.5</v>
      </c>
      <c r="AA150" s="400">
        <f t="shared" si="8"/>
        <v>0.5</v>
      </c>
      <c r="AB150" s="400">
        <f t="shared" si="8"/>
        <v>2.75</v>
      </c>
    </row>
    <row r="151" spans="1:28" ht="12.95">
      <c r="A151" s="385"/>
      <c r="B151" s="386" t="s">
        <v>99</v>
      </c>
      <c r="C151" s="387"/>
      <c r="D151" s="388"/>
      <c r="E151" s="388"/>
      <c r="F151" s="388"/>
      <c r="G151" s="388"/>
      <c r="H151" s="389"/>
      <c r="I151" s="389"/>
      <c r="J151" s="389"/>
      <c r="K151" s="389"/>
      <c r="L151" s="389"/>
      <c r="M151" s="389"/>
      <c r="N151" s="388"/>
      <c r="O151" s="388"/>
      <c r="P151" s="388"/>
      <c r="Q151" s="450"/>
      <c r="R151" s="450"/>
      <c r="S151" s="450"/>
      <c r="T151" s="386">
        <v>2</v>
      </c>
      <c r="W151" s="393"/>
      <c r="X151" s="394"/>
      <c r="Y151" s="399"/>
      <c r="Z151" s="400">
        <f t="shared" si="8"/>
        <v>0</v>
      </c>
      <c r="AA151" s="400">
        <f t="shared" si="8"/>
        <v>0</v>
      </c>
      <c r="AB151" s="400">
        <f t="shared" si="8"/>
        <v>0</v>
      </c>
    </row>
    <row r="152" spans="1:28" ht="12.95">
      <c r="A152" s="385"/>
      <c r="B152" s="386" t="s">
        <v>101</v>
      </c>
      <c r="C152" s="387"/>
      <c r="D152" s="388"/>
      <c r="E152" s="388"/>
      <c r="F152" s="388"/>
      <c r="G152" s="388"/>
      <c r="H152" s="389"/>
      <c r="I152" s="389"/>
      <c r="J152" s="389"/>
      <c r="K152" s="389"/>
      <c r="L152" s="389"/>
      <c r="M152" s="389"/>
      <c r="N152" s="388"/>
      <c r="O152" s="388"/>
      <c r="P152" s="388"/>
      <c r="Q152" s="450"/>
      <c r="R152" s="450"/>
      <c r="S152" s="450"/>
      <c r="T152" s="386">
        <v>2</v>
      </c>
      <c r="W152" s="393"/>
      <c r="X152" s="394"/>
      <c r="Y152" s="399"/>
      <c r="Z152" s="400">
        <f t="shared" si="8"/>
        <v>0</v>
      </c>
      <c r="AA152" s="400">
        <f t="shared" si="8"/>
        <v>0</v>
      </c>
      <c r="AB152" s="400">
        <f t="shared" si="8"/>
        <v>0</v>
      </c>
    </row>
    <row r="153" spans="1:28" ht="12.95">
      <c r="A153" s="385"/>
      <c r="B153" s="386" t="s">
        <v>104</v>
      </c>
      <c r="C153" s="387"/>
      <c r="D153" s="388"/>
      <c r="E153" s="388"/>
      <c r="F153" s="388"/>
      <c r="G153" s="388"/>
      <c r="H153" s="389"/>
      <c r="I153" s="389"/>
      <c r="J153" s="389"/>
      <c r="K153" s="389"/>
      <c r="L153" s="389"/>
      <c r="M153" s="389"/>
      <c r="N153" s="388"/>
      <c r="O153" s="388"/>
      <c r="P153" s="388"/>
      <c r="Q153" s="450"/>
      <c r="R153" s="450"/>
      <c r="S153" s="450"/>
      <c r="T153" s="386">
        <v>2</v>
      </c>
      <c r="W153" s="393"/>
      <c r="X153" s="394"/>
      <c r="Y153" s="399"/>
      <c r="Z153" s="400">
        <f t="shared" si="8"/>
        <v>0</v>
      </c>
      <c r="AA153" s="400">
        <f t="shared" si="8"/>
        <v>0</v>
      </c>
      <c r="AB153" s="400">
        <f t="shared" si="8"/>
        <v>0</v>
      </c>
    </row>
    <row r="154" spans="1:28" ht="12.95">
      <c r="A154" s="381">
        <v>44820</v>
      </c>
      <c r="B154" s="382" t="s">
        <v>95</v>
      </c>
      <c r="C154" s="382">
        <v>39829</v>
      </c>
      <c r="D154" s="382"/>
      <c r="E154" s="443">
        <v>50</v>
      </c>
      <c r="F154" s="382"/>
      <c r="G154" s="382"/>
      <c r="H154" s="384">
        <v>0</v>
      </c>
      <c r="I154" s="384">
        <v>0</v>
      </c>
      <c r="J154" s="384">
        <v>0</v>
      </c>
      <c r="K154" s="384">
        <v>0</v>
      </c>
      <c r="L154" s="384">
        <v>0</v>
      </c>
      <c r="M154" s="384">
        <v>0</v>
      </c>
      <c r="N154" s="382"/>
      <c r="O154" s="382"/>
      <c r="P154" s="382"/>
      <c r="Q154" s="382"/>
      <c r="R154" s="382"/>
      <c r="S154" s="382"/>
      <c r="T154" s="382">
        <v>1</v>
      </c>
      <c r="W154" s="393">
        <f t="shared" si="5"/>
        <v>4.75</v>
      </c>
      <c r="X154" s="394">
        <f t="shared" si="6"/>
        <v>675</v>
      </c>
      <c r="Y154" s="399">
        <f t="shared" si="7"/>
        <v>4.75</v>
      </c>
      <c r="Z154" s="400">
        <f t="shared" si="8"/>
        <v>0</v>
      </c>
      <c r="AA154" s="400">
        <f t="shared" si="8"/>
        <v>0</v>
      </c>
      <c r="AB154" s="400">
        <f t="shared" si="8"/>
        <v>0</v>
      </c>
    </row>
    <row r="155" spans="1:28" ht="12.95">
      <c r="A155" s="381"/>
      <c r="B155" s="382" t="s">
        <v>97</v>
      </c>
      <c r="C155" s="382">
        <v>33120</v>
      </c>
      <c r="D155" s="382"/>
      <c r="E155" s="382">
        <v>3537</v>
      </c>
      <c r="F155" s="382"/>
      <c r="G155" s="382"/>
      <c r="H155" s="384">
        <v>0.6</v>
      </c>
      <c r="I155" s="384">
        <v>0.3</v>
      </c>
      <c r="J155" s="384">
        <v>1.5</v>
      </c>
      <c r="K155" s="384">
        <v>0.3</v>
      </c>
      <c r="L155" s="384">
        <v>0.06</v>
      </c>
      <c r="M155" s="384">
        <v>0.15</v>
      </c>
      <c r="N155" s="382"/>
      <c r="O155" s="382"/>
      <c r="P155" s="382"/>
      <c r="Q155" s="382"/>
      <c r="R155" s="382"/>
      <c r="S155" s="382"/>
      <c r="T155" s="382">
        <v>1</v>
      </c>
      <c r="W155" s="393">
        <f t="shared" si="5"/>
        <v>2.91</v>
      </c>
      <c r="X155" s="394">
        <f t="shared" si="6"/>
        <v>3537</v>
      </c>
      <c r="Y155" s="399">
        <f t="shared" si="7"/>
        <v>2.91</v>
      </c>
      <c r="Z155" s="400">
        <f t="shared" si="8"/>
        <v>0.9</v>
      </c>
      <c r="AA155" s="400">
        <f t="shared" si="8"/>
        <v>0.36</v>
      </c>
      <c r="AB155" s="400">
        <f t="shared" si="8"/>
        <v>1.65</v>
      </c>
    </row>
    <row r="156" spans="1:28" ht="12.95">
      <c r="A156" s="381"/>
      <c r="B156" s="382" t="s">
        <v>99</v>
      </c>
      <c r="C156" s="382">
        <v>10164</v>
      </c>
      <c r="D156" s="382"/>
      <c r="E156" s="382"/>
      <c r="F156" s="382"/>
      <c r="G156" s="382"/>
      <c r="H156" s="384"/>
      <c r="I156" s="384"/>
      <c r="J156" s="384"/>
      <c r="K156" s="384"/>
      <c r="L156" s="384"/>
      <c r="M156" s="384"/>
      <c r="N156" s="382"/>
      <c r="O156" s="382"/>
      <c r="P156" s="382"/>
      <c r="Q156" s="382"/>
      <c r="R156" s="382"/>
      <c r="S156" s="382"/>
      <c r="T156" s="382">
        <v>1</v>
      </c>
      <c r="W156" s="393">
        <f t="shared" si="5"/>
        <v>0</v>
      </c>
      <c r="X156" s="394">
        <f t="shared" si="6"/>
        <v>0</v>
      </c>
      <c r="Y156" s="399">
        <f t="shared" si="7"/>
        <v>0</v>
      </c>
      <c r="Z156" s="400">
        <f t="shared" si="8"/>
        <v>0</v>
      </c>
      <c r="AA156" s="400">
        <f t="shared" si="8"/>
        <v>0</v>
      </c>
      <c r="AB156" s="400">
        <f t="shared" si="8"/>
        <v>0</v>
      </c>
    </row>
    <row r="157" spans="1:28" ht="12.95">
      <c r="A157" s="381"/>
      <c r="B157" s="382" t="s">
        <v>101</v>
      </c>
      <c r="C157" s="382">
        <v>25818</v>
      </c>
      <c r="D157" s="382">
        <v>25600</v>
      </c>
      <c r="E157" s="382">
        <v>3550</v>
      </c>
      <c r="F157" s="382"/>
      <c r="G157" s="382"/>
      <c r="H157" s="384">
        <v>0.6</v>
      </c>
      <c r="I157" s="384">
        <v>0.3</v>
      </c>
      <c r="J157" s="384">
        <v>1.5</v>
      </c>
      <c r="K157" s="384">
        <v>0.3</v>
      </c>
      <c r="L157" s="384">
        <v>0.06</v>
      </c>
      <c r="M157" s="384">
        <v>0.15</v>
      </c>
      <c r="N157" s="382"/>
      <c r="O157" s="382"/>
      <c r="P157" s="382"/>
      <c r="Q157" s="382"/>
      <c r="R157" s="382"/>
      <c r="S157" s="382"/>
      <c r="T157" s="382">
        <v>1</v>
      </c>
      <c r="W157" s="393">
        <f t="shared" si="5"/>
        <v>18.11</v>
      </c>
      <c r="X157" s="394">
        <f t="shared" si="6"/>
        <v>8050</v>
      </c>
      <c r="Y157" s="399">
        <f t="shared" si="7"/>
        <v>18.11</v>
      </c>
      <c r="Z157" s="400">
        <f t="shared" si="8"/>
        <v>0.9</v>
      </c>
      <c r="AA157" s="400">
        <f t="shared" si="8"/>
        <v>0.36</v>
      </c>
      <c r="AB157" s="400">
        <f t="shared" si="8"/>
        <v>1.65</v>
      </c>
    </row>
    <row r="158" spans="1:28" ht="12.95">
      <c r="A158" s="381"/>
      <c r="B158" s="382" t="s">
        <v>104</v>
      </c>
      <c r="C158" s="382">
        <v>21699</v>
      </c>
      <c r="D158" s="382"/>
      <c r="E158" s="382">
        <v>1200</v>
      </c>
      <c r="F158" s="382"/>
      <c r="G158" s="382"/>
      <c r="H158" s="384">
        <v>0.2</v>
      </c>
      <c r="I158" s="384">
        <v>0.1</v>
      </c>
      <c r="J158" s="384">
        <v>0.5</v>
      </c>
      <c r="K158" s="384">
        <v>0.1</v>
      </c>
      <c r="L158" s="384">
        <v>0</v>
      </c>
      <c r="M158" s="384">
        <v>0.05</v>
      </c>
      <c r="N158" s="382"/>
      <c r="O158" s="382"/>
      <c r="P158" s="382"/>
      <c r="Q158" s="382"/>
      <c r="R158" s="382"/>
      <c r="S158" s="382"/>
      <c r="T158" s="382">
        <v>1</v>
      </c>
      <c r="W158" s="393">
        <f t="shared" si="5"/>
        <v>9.5</v>
      </c>
      <c r="X158" s="394">
        <f t="shared" si="6"/>
        <v>2400</v>
      </c>
      <c r="Y158" s="399">
        <f t="shared" si="7"/>
        <v>9.5</v>
      </c>
      <c r="Z158" s="400">
        <f t="shared" si="8"/>
        <v>0.3</v>
      </c>
      <c r="AA158" s="400">
        <f t="shared" si="8"/>
        <v>0.1</v>
      </c>
      <c r="AB158" s="400">
        <f t="shared" si="8"/>
        <v>0.55000000000000004</v>
      </c>
    </row>
    <row r="159" spans="1:28" ht="12.95">
      <c r="A159" s="385"/>
      <c r="B159" s="386" t="s">
        <v>95</v>
      </c>
      <c r="C159" s="387"/>
      <c r="D159" s="388"/>
      <c r="E159" s="388">
        <v>625</v>
      </c>
      <c r="F159" s="388"/>
      <c r="G159" s="388"/>
      <c r="H159" s="389">
        <v>1</v>
      </c>
      <c r="I159" s="389">
        <v>0.5</v>
      </c>
      <c r="J159" s="389">
        <v>2.5</v>
      </c>
      <c r="K159" s="389">
        <v>0.5</v>
      </c>
      <c r="L159" s="389">
        <v>0</v>
      </c>
      <c r="M159" s="389">
        <v>0.25</v>
      </c>
      <c r="N159" s="388"/>
      <c r="O159" s="388"/>
      <c r="P159" s="388"/>
      <c r="Q159" s="388"/>
      <c r="R159" s="388"/>
      <c r="S159" s="388"/>
      <c r="T159" s="386">
        <v>2</v>
      </c>
      <c r="W159" s="393"/>
      <c r="X159" s="394"/>
      <c r="Y159" s="399"/>
      <c r="Z159" s="400">
        <f t="shared" si="8"/>
        <v>1.5</v>
      </c>
      <c r="AA159" s="400">
        <f t="shared" si="8"/>
        <v>0.5</v>
      </c>
      <c r="AB159" s="400">
        <f t="shared" si="8"/>
        <v>2.75</v>
      </c>
    </row>
    <row r="160" spans="1:28" ht="12.95">
      <c r="A160" s="385"/>
      <c r="B160" s="386" t="s">
        <v>97</v>
      </c>
      <c r="C160" s="387"/>
      <c r="D160" s="388"/>
      <c r="E160" s="444"/>
      <c r="F160" s="388"/>
      <c r="G160" s="388"/>
      <c r="H160" s="389"/>
      <c r="I160" s="389"/>
      <c r="J160" s="389"/>
      <c r="K160" s="389"/>
      <c r="L160" s="389"/>
      <c r="M160" s="389"/>
      <c r="N160" s="388"/>
      <c r="O160" s="388"/>
      <c r="P160" s="388"/>
      <c r="Q160" s="388"/>
      <c r="R160" s="388"/>
      <c r="S160" s="388"/>
      <c r="T160" s="386">
        <v>2</v>
      </c>
      <c r="W160" s="393"/>
      <c r="X160" s="394"/>
      <c r="Y160" s="399"/>
      <c r="Z160" s="400">
        <f t="shared" si="8"/>
        <v>0</v>
      </c>
      <c r="AA160" s="400">
        <f t="shared" si="8"/>
        <v>0</v>
      </c>
      <c r="AB160" s="400">
        <f t="shared" si="8"/>
        <v>0</v>
      </c>
    </row>
    <row r="161" spans="1:29" ht="12.95">
      <c r="A161" s="385"/>
      <c r="B161" s="386" t="s">
        <v>99</v>
      </c>
      <c r="C161" s="387"/>
      <c r="D161" s="388"/>
      <c r="E161" s="388"/>
      <c r="F161" s="388"/>
      <c r="G161" s="388"/>
      <c r="H161" s="389"/>
      <c r="I161" s="389"/>
      <c r="J161" s="389"/>
      <c r="K161" s="389"/>
      <c r="L161" s="389"/>
      <c r="M161" s="389"/>
      <c r="N161" s="388"/>
      <c r="O161" s="388"/>
      <c r="P161" s="388"/>
      <c r="Q161" s="388"/>
      <c r="R161" s="388"/>
      <c r="S161" s="388"/>
      <c r="T161" s="386">
        <v>2</v>
      </c>
      <c r="W161" s="393"/>
      <c r="X161" s="394"/>
      <c r="Y161" s="399"/>
      <c r="Z161" s="400">
        <f t="shared" si="8"/>
        <v>0</v>
      </c>
      <c r="AA161" s="400">
        <f t="shared" si="8"/>
        <v>0</v>
      </c>
      <c r="AB161" s="400">
        <f t="shared" si="8"/>
        <v>0</v>
      </c>
    </row>
    <row r="162" spans="1:29" ht="12.95">
      <c r="A162" s="385"/>
      <c r="B162" s="386" t="s">
        <v>101</v>
      </c>
      <c r="C162" s="387"/>
      <c r="D162" s="388"/>
      <c r="E162" s="388">
        <v>4500</v>
      </c>
      <c r="F162" s="388"/>
      <c r="G162" s="388"/>
      <c r="H162" s="389">
        <v>3.2</v>
      </c>
      <c r="I162" s="389">
        <v>1.6</v>
      </c>
      <c r="J162" s="389">
        <v>8</v>
      </c>
      <c r="K162" s="389">
        <v>1.6</v>
      </c>
      <c r="L162" s="389">
        <v>0</v>
      </c>
      <c r="M162" s="389">
        <v>0.8</v>
      </c>
      <c r="N162" s="388"/>
      <c r="O162" s="388"/>
      <c r="P162" s="388"/>
      <c r="Q162" s="388"/>
      <c r="R162" s="388"/>
      <c r="S162" s="388"/>
      <c r="T162" s="386">
        <v>2</v>
      </c>
      <c r="W162" s="393"/>
      <c r="X162" s="394"/>
      <c r="Y162" s="399"/>
      <c r="Z162" s="400">
        <f t="shared" si="8"/>
        <v>4.8</v>
      </c>
      <c r="AA162" s="400">
        <f t="shared" si="8"/>
        <v>1.6</v>
      </c>
      <c r="AB162" s="400">
        <f t="shared" si="8"/>
        <v>8.8000000000000007</v>
      </c>
    </row>
    <row r="163" spans="1:29" ht="12.95">
      <c r="A163" s="385"/>
      <c r="B163" s="386" t="s">
        <v>104</v>
      </c>
      <c r="C163" s="387"/>
      <c r="D163" s="388"/>
      <c r="E163" s="388">
        <v>1200</v>
      </c>
      <c r="F163" s="388"/>
      <c r="G163" s="388"/>
      <c r="H163" s="389">
        <v>1.8</v>
      </c>
      <c r="I163" s="389">
        <v>0.9</v>
      </c>
      <c r="J163" s="389">
        <v>4.5</v>
      </c>
      <c r="K163" s="389">
        <v>0.9</v>
      </c>
      <c r="L163" s="389">
        <v>0</v>
      </c>
      <c r="M163" s="389">
        <v>0.45</v>
      </c>
      <c r="N163" s="388"/>
      <c r="O163" s="388"/>
      <c r="P163" s="388"/>
      <c r="Q163" s="388"/>
      <c r="R163" s="388"/>
      <c r="S163" s="388"/>
      <c r="T163" s="386">
        <v>2</v>
      </c>
      <c r="W163" s="393"/>
      <c r="X163" s="394"/>
      <c r="Y163" s="399"/>
      <c r="Z163" s="400">
        <f t="shared" si="8"/>
        <v>2.7</v>
      </c>
      <c r="AA163" s="400">
        <f t="shared" si="8"/>
        <v>0.9</v>
      </c>
      <c r="AB163" s="400">
        <f t="shared" si="8"/>
        <v>4.95</v>
      </c>
    </row>
    <row r="164" spans="1:29" ht="12.95">
      <c r="A164" s="445">
        <v>44821</v>
      </c>
      <c r="B164" s="382" t="s">
        <v>95</v>
      </c>
      <c r="C164" s="382">
        <v>39148</v>
      </c>
      <c r="D164" s="382"/>
      <c r="E164" s="443"/>
      <c r="F164" s="382"/>
      <c r="G164" s="382"/>
      <c r="H164" s="384"/>
      <c r="I164" s="384"/>
      <c r="J164" s="384"/>
      <c r="K164" s="384"/>
      <c r="L164" s="384"/>
      <c r="M164" s="384"/>
      <c r="N164" s="382"/>
      <c r="O164" s="382"/>
      <c r="P164" s="382"/>
      <c r="Q164" s="382"/>
      <c r="R164" s="382"/>
      <c r="S164" s="382"/>
      <c r="T164" s="382">
        <v>1</v>
      </c>
      <c r="W164" s="393">
        <f t="shared" si="5"/>
        <v>5.7</v>
      </c>
      <c r="X164" s="394">
        <f t="shared" si="6"/>
        <v>3125</v>
      </c>
      <c r="Y164" s="399">
        <f t="shared" si="7"/>
        <v>5.7</v>
      </c>
      <c r="Z164" s="400">
        <f t="shared" si="8"/>
        <v>0</v>
      </c>
      <c r="AA164" s="400">
        <f t="shared" si="8"/>
        <v>0</v>
      </c>
      <c r="AB164" s="400">
        <f t="shared" si="8"/>
        <v>0</v>
      </c>
    </row>
    <row r="165" spans="1:29" ht="12.95">
      <c r="A165" s="445"/>
      <c r="B165" s="382" t="s">
        <v>97</v>
      </c>
      <c r="C165" s="382">
        <v>29580</v>
      </c>
      <c r="D165" s="382"/>
      <c r="E165" s="382">
        <v>1500</v>
      </c>
      <c r="F165" s="382"/>
      <c r="G165" s="382"/>
      <c r="H165" s="384">
        <v>0.8</v>
      </c>
      <c r="I165" s="384">
        <v>0.4</v>
      </c>
      <c r="J165" s="384">
        <v>2</v>
      </c>
      <c r="K165" s="384">
        <v>0.4</v>
      </c>
      <c r="L165" s="384">
        <v>0.08</v>
      </c>
      <c r="M165" s="384">
        <v>0.2</v>
      </c>
      <c r="N165" s="382"/>
      <c r="O165" s="382"/>
      <c r="P165" s="382"/>
      <c r="Q165" s="382"/>
      <c r="R165" s="382"/>
      <c r="S165" s="382"/>
      <c r="T165" s="382">
        <v>1</v>
      </c>
      <c r="W165" s="393">
        <f t="shared" si="5"/>
        <v>3.88</v>
      </c>
      <c r="X165" s="394">
        <f t="shared" si="6"/>
        <v>2000</v>
      </c>
      <c r="Y165" s="399">
        <f t="shared" si="7"/>
        <v>3.88</v>
      </c>
      <c r="Z165" s="400">
        <f t="shared" si="8"/>
        <v>1.2</v>
      </c>
      <c r="AA165" s="400">
        <f t="shared" si="8"/>
        <v>0.48</v>
      </c>
      <c r="AB165" s="400">
        <f t="shared" si="8"/>
        <v>2.2000000000000002</v>
      </c>
    </row>
    <row r="166" spans="1:29" ht="12.95">
      <c r="A166" s="445"/>
      <c r="B166" s="382" t="s">
        <v>99</v>
      </c>
      <c r="C166" s="382">
        <v>10164</v>
      </c>
      <c r="D166" s="382"/>
      <c r="E166" s="382"/>
      <c r="F166" s="382"/>
      <c r="G166" s="382"/>
      <c r="H166" s="384"/>
      <c r="I166" s="384"/>
      <c r="J166" s="384"/>
      <c r="K166" s="384"/>
      <c r="L166" s="384"/>
      <c r="M166" s="384"/>
      <c r="N166" s="382"/>
      <c r="O166" s="382"/>
      <c r="P166" s="382"/>
      <c r="Q166" s="382"/>
      <c r="R166" s="382"/>
      <c r="S166" s="382"/>
      <c r="T166" s="382">
        <v>1</v>
      </c>
      <c r="W166" s="393">
        <f t="shared" si="5"/>
        <v>28.5</v>
      </c>
      <c r="X166" s="394">
        <f t="shared" si="6"/>
        <v>6250</v>
      </c>
      <c r="Y166" s="399">
        <f t="shared" si="7"/>
        <v>28.5</v>
      </c>
      <c r="Z166" s="400">
        <f t="shared" si="8"/>
        <v>0</v>
      </c>
      <c r="AA166" s="400">
        <f t="shared" si="8"/>
        <v>0</v>
      </c>
      <c r="AB166" s="400">
        <f t="shared" si="8"/>
        <v>0</v>
      </c>
    </row>
    <row r="167" spans="1:29" ht="12.95">
      <c r="A167" s="445"/>
      <c r="B167" s="382" t="s">
        <v>101</v>
      </c>
      <c r="C167" s="382">
        <v>43349</v>
      </c>
      <c r="D167" s="382"/>
      <c r="E167" s="382">
        <v>5000</v>
      </c>
      <c r="F167" s="382"/>
      <c r="G167" s="382"/>
      <c r="H167" s="384">
        <v>2.8</v>
      </c>
      <c r="I167" s="384">
        <v>1.4</v>
      </c>
      <c r="J167" s="384">
        <v>7</v>
      </c>
      <c r="K167" s="384">
        <v>1.4</v>
      </c>
      <c r="L167" s="384">
        <v>0.28000000000000003</v>
      </c>
      <c r="M167" s="384">
        <v>0.7</v>
      </c>
      <c r="N167" s="382"/>
      <c r="O167" s="382"/>
      <c r="P167" s="382"/>
      <c r="Q167" s="382"/>
      <c r="R167" s="382"/>
      <c r="S167" s="382"/>
      <c r="T167" s="382">
        <v>1</v>
      </c>
      <c r="W167" s="393">
        <f t="shared" si="5"/>
        <v>23.08</v>
      </c>
      <c r="X167" s="394">
        <f t="shared" si="6"/>
        <v>6000</v>
      </c>
      <c r="Y167" s="399">
        <f t="shared" si="7"/>
        <v>23.08</v>
      </c>
      <c r="Z167" s="400">
        <f t="shared" si="8"/>
        <v>4.2</v>
      </c>
      <c r="AA167" s="400">
        <f t="shared" si="8"/>
        <v>1.68</v>
      </c>
      <c r="AB167" s="400">
        <f t="shared" si="8"/>
        <v>7.7</v>
      </c>
    </row>
    <row r="168" spans="1:29" ht="12.95">
      <c r="A168" s="446"/>
      <c r="B168" s="447" t="s">
        <v>104</v>
      </c>
      <c r="C168" s="447">
        <v>19289</v>
      </c>
      <c r="D168" s="382"/>
      <c r="E168" s="382">
        <v>1222</v>
      </c>
      <c r="F168" s="382"/>
      <c r="G168" s="382"/>
      <c r="H168" s="384">
        <v>0.8</v>
      </c>
      <c r="I168" s="384">
        <v>0.4</v>
      </c>
      <c r="J168" s="384">
        <v>2</v>
      </c>
      <c r="K168" s="384">
        <v>0.4</v>
      </c>
      <c r="L168" s="384">
        <v>0</v>
      </c>
      <c r="M168" s="384">
        <v>0.2</v>
      </c>
      <c r="N168" s="382"/>
      <c r="O168" s="382"/>
      <c r="P168" s="382"/>
      <c r="Q168" s="382"/>
      <c r="R168" s="382"/>
      <c r="S168" s="382"/>
      <c r="T168" s="382">
        <v>1</v>
      </c>
      <c r="W168" s="393">
        <f t="shared" si="5"/>
        <v>5.7</v>
      </c>
      <c r="X168" s="394">
        <f t="shared" si="6"/>
        <v>1622</v>
      </c>
      <c r="Y168" s="399">
        <f t="shared" si="7"/>
        <v>5.7</v>
      </c>
      <c r="Z168" s="400">
        <f t="shared" si="8"/>
        <v>1.2</v>
      </c>
      <c r="AA168" s="400">
        <f t="shared" si="8"/>
        <v>0.4</v>
      </c>
      <c r="AB168" s="400">
        <f t="shared" si="8"/>
        <v>2.2000000000000002</v>
      </c>
    </row>
    <row r="169" spans="1:29" ht="12.95">
      <c r="A169" s="385"/>
      <c r="B169" s="386" t="s">
        <v>95</v>
      </c>
      <c r="C169" s="387"/>
      <c r="D169" s="388"/>
      <c r="E169" s="388">
        <v>3125</v>
      </c>
      <c r="F169" s="388"/>
      <c r="G169" s="388"/>
      <c r="H169" s="389">
        <v>1.2</v>
      </c>
      <c r="I169" s="389">
        <v>0.6</v>
      </c>
      <c r="J169" s="389">
        <v>3</v>
      </c>
      <c r="K169" s="389">
        <v>0.6</v>
      </c>
      <c r="L169" s="389">
        <v>0</v>
      </c>
      <c r="M169" s="389">
        <v>0.3</v>
      </c>
      <c r="N169" s="388"/>
      <c r="O169" s="388"/>
      <c r="P169" s="388"/>
      <c r="Q169" s="388"/>
      <c r="R169" s="388"/>
      <c r="S169" s="388"/>
      <c r="T169" s="386">
        <v>2</v>
      </c>
      <c r="W169" s="393"/>
      <c r="X169" s="394"/>
      <c r="Y169" s="399"/>
      <c r="Z169" s="400">
        <f t="shared" si="8"/>
        <v>1.8</v>
      </c>
      <c r="AA169" s="400">
        <f t="shared" si="8"/>
        <v>0.6</v>
      </c>
      <c r="AB169" s="400">
        <f t="shared" si="8"/>
        <v>3.3</v>
      </c>
    </row>
    <row r="170" spans="1:29" ht="12.95">
      <c r="A170" s="385"/>
      <c r="B170" s="386" t="s">
        <v>97</v>
      </c>
      <c r="C170" s="387"/>
      <c r="D170" s="388"/>
      <c r="E170" s="444">
        <v>500</v>
      </c>
      <c r="F170" s="388"/>
      <c r="G170" s="388"/>
      <c r="H170" s="389">
        <v>0</v>
      </c>
      <c r="I170" s="389">
        <v>0</v>
      </c>
      <c r="J170" s="389">
        <v>0</v>
      </c>
      <c r="K170" s="389">
        <v>0</v>
      </c>
      <c r="L170" s="389">
        <v>0</v>
      </c>
      <c r="M170" s="389">
        <v>0</v>
      </c>
      <c r="N170" s="388"/>
      <c r="O170" s="388"/>
      <c r="P170" s="388"/>
      <c r="Q170" s="388"/>
      <c r="R170" s="388"/>
      <c r="S170" s="388"/>
      <c r="T170" s="386">
        <v>2</v>
      </c>
      <c r="W170" s="393"/>
      <c r="X170" s="394"/>
      <c r="Y170" s="399"/>
      <c r="Z170" s="400">
        <f t="shared" si="8"/>
        <v>0</v>
      </c>
      <c r="AA170" s="400">
        <f t="shared" si="8"/>
        <v>0</v>
      </c>
      <c r="AB170" s="400">
        <f t="shared" si="8"/>
        <v>0</v>
      </c>
    </row>
    <row r="171" spans="1:29" ht="12.95">
      <c r="A171" s="385"/>
      <c r="B171" s="386" t="s">
        <v>99</v>
      </c>
      <c r="C171" s="387"/>
      <c r="D171" s="388"/>
      <c r="E171" s="388">
        <v>6250</v>
      </c>
      <c r="F171" s="388"/>
      <c r="G171" s="388"/>
      <c r="H171" s="389">
        <v>6</v>
      </c>
      <c r="I171" s="389">
        <v>3</v>
      </c>
      <c r="J171" s="389">
        <v>15</v>
      </c>
      <c r="K171" s="389">
        <v>3</v>
      </c>
      <c r="L171" s="389">
        <v>0</v>
      </c>
      <c r="M171" s="389">
        <v>1.5</v>
      </c>
      <c r="N171" s="388"/>
      <c r="O171" s="388"/>
      <c r="P171" s="388"/>
      <c r="Q171" s="388"/>
      <c r="R171" s="388"/>
      <c r="S171" s="388"/>
      <c r="T171" s="386">
        <v>2</v>
      </c>
      <c r="W171" s="393"/>
      <c r="X171" s="394"/>
      <c r="Y171" s="399"/>
      <c r="Z171" s="400">
        <f t="shared" si="8"/>
        <v>9</v>
      </c>
      <c r="AA171" s="400">
        <f t="shared" si="8"/>
        <v>3</v>
      </c>
      <c r="AB171" s="400">
        <f t="shared" si="8"/>
        <v>16.5</v>
      </c>
    </row>
    <row r="172" spans="1:29" ht="12.95">
      <c r="A172" s="385"/>
      <c r="B172" s="386" t="s">
        <v>101</v>
      </c>
      <c r="C172" s="387"/>
      <c r="D172" s="388"/>
      <c r="E172" s="388">
        <v>1000</v>
      </c>
      <c r="F172" s="388"/>
      <c r="G172" s="388"/>
      <c r="H172" s="389">
        <v>2</v>
      </c>
      <c r="I172" s="389">
        <v>1</v>
      </c>
      <c r="J172" s="389">
        <v>5</v>
      </c>
      <c r="K172" s="389">
        <v>1</v>
      </c>
      <c r="L172" s="389">
        <v>0</v>
      </c>
      <c r="M172" s="389">
        <v>0.5</v>
      </c>
      <c r="N172" s="388"/>
      <c r="O172" s="388"/>
      <c r="P172" s="388"/>
      <c r="Q172" s="388"/>
      <c r="R172" s="388"/>
      <c r="S172" s="388"/>
      <c r="T172" s="386">
        <v>2</v>
      </c>
      <c r="W172" s="393"/>
      <c r="X172" s="394"/>
      <c r="Y172" s="399"/>
      <c r="Z172" s="400">
        <f t="shared" si="8"/>
        <v>3</v>
      </c>
      <c r="AA172" s="400">
        <f t="shared" si="8"/>
        <v>1</v>
      </c>
      <c r="AB172" s="400">
        <f t="shared" si="8"/>
        <v>5.5</v>
      </c>
    </row>
    <row r="173" spans="1:29" ht="12.95">
      <c r="A173" s="385"/>
      <c r="B173" s="386" t="s">
        <v>104</v>
      </c>
      <c r="C173" s="387"/>
      <c r="D173" s="388"/>
      <c r="E173" s="388">
        <v>400</v>
      </c>
      <c r="F173" s="388"/>
      <c r="G173" s="388"/>
      <c r="H173" s="389">
        <v>0.4</v>
      </c>
      <c r="I173" s="389">
        <v>0.2</v>
      </c>
      <c r="J173" s="389">
        <v>1</v>
      </c>
      <c r="K173" s="389">
        <v>0.2</v>
      </c>
      <c r="L173" s="389">
        <v>0</v>
      </c>
      <c r="M173" s="389">
        <v>0.1</v>
      </c>
      <c r="N173" s="388"/>
      <c r="O173" s="388"/>
      <c r="P173" s="388"/>
      <c r="Q173" s="388"/>
      <c r="R173" s="388"/>
      <c r="S173" s="388"/>
      <c r="T173" s="386">
        <v>2</v>
      </c>
      <c r="W173" s="393"/>
      <c r="X173" s="394"/>
      <c r="Y173" s="399"/>
      <c r="Z173" s="400">
        <f t="shared" si="8"/>
        <v>0.6</v>
      </c>
      <c r="AA173" s="400">
        <f t="shared" si="8"/>
        <v>0.2</v>
      </c>
      <c r="AB173" s="400">
        <f t="shared" si="8"/>
        <v>1.1000000000000001</v>
      </c>
    </row>
    <row r="174" spans="1:29" ht="12.95">
      <c r="A174" s="381">
        <v>44822</v>
      </c>
      <c r="B174" s="382" t="s">
        <v>95</v>
      </c>
      <c r="C174" s="382">
        <v>36017</v>
      </c>
      <c r="D174" s="382"/>
      <c r="E174" s="443"/>
      <c r="F174" s="382"/>
      <c r="G174" s="382"/>
      <c r="H174" s="384"/>
      <c r="I174" s="384"/>
      <c r="J174" s="384"/>
      <c r="K174" s="384"/>
      <c r="L174" s="384"/>
      <c r="M174" s="384"/>
      <c r="N174" s="382"/>
      <c r="O174" s="382"/>
      <c r="P174" s="382"/>
      <c r="Q174" s="382"/>
      <c r="R174" s="382"/>
      <c r="S174" s="382"/>
      <c r="T174" s="382">
        <v>1</v>
      </c>
      <c r="W174" s="393">
        <f t="shared" si="5"/>
        <v>0</v>
      </c>
      <c r="X174" s="394">
        <f t="shared" si="6"/>
        <v>0</v>
      </c>
      <c r="Y174" s="399">
        <f t="shared" si="7"/>
        <v>0</v>
      </c>
      <c r="Z174" s="400">
        <f t="shared" si="8"/>
        <v>0</v>
      </c>
      <c r="AA174" s="400">
        <f t="shared" si="8"/>
        <v>0</v>
      </c>
      <c r="AB174" s="400">
        <f t="shared" si="8"/>
        <v>0</v>
      </c>
      <c r="AC174" s="417"/>
    </row>
    <row r="175" spans="1:29" ht="12.95">
      <c r="A175" s="381"/>
      <c r="B175" s="382" t="s">
        <v>97</v>
      </c>
      <c r="C175" s="382">
        <v>27576</v>
      </c>
      <c r="D175" s="382"/>
      <c r="E175" s="382">
        <v>5524</v>
      </c>
      <c r="F175" s="382"/>
      <c r="G175" s="382"/>
      <c r="H175" s="384">
        <v>1</v>
      </c>
      <c r="I175" s="384">
        <v>0.5</v>
      </c>
      <c r="J175" s="384">
        <v>2.5</v>
      </c>
      <c r="K175" s="384">
        <v>0.5</v>
      </c>
      <c r="L175" s="384">
        <v>0.1</v>
      </c>
      <c r="M175" s="384">
        <v>0.25</v>
      </c>
      <c r="N175" s="382"/>
      <c r="O175" s="382"/>
      <c r="P175" s="382"/>
      <c r="Q175" s="382"/>
      <c r="R175" s="382"/>
      <c r="S175" s="382"/>
      <c r="T175" s="382">
        <v>1</v>
      </c>
      <c r="W175" s="393">
        <f t="shared" si="5"/>
        <v>4.8499999999999996</v>
      </c>
      <c r="X175" s="394">
        <f t="shared" si="6"/>
        <v>5524</v>
      </c>
      <c r="Y175" s="399">
        <f t="shared" si="7"/>
        <v>4.8499999999999996</v>
      </c>
      <c r="Z175" s="400">
        <f t="shared" si="8"/>
        <v>1.5</v>
      </c>
      <c r="AA175" s="400">
        <f t="shared" si="8"/>
        <v>0.6</v>
      </c>
      <c r="AB175" s="400">
        <f t="shared" si="8"/>
        <v>2.75</v>
      </c>
      <c r="AC175" s="417"/>
    </row>
    <row r="176" spans="1:29" ht="12.95">
      <c r="A176" s="381"/>
      <c r="B176" s="382" t="s">
        <v>99</v>
      </c>
      <c r="C176" s="382">
        <v>3879</v>
      </c>
      <c r="D176" s="382"/>
      <c r="E176" s="382"/>
      <c r="F176" s="382"/>
      <c r="G176" s="382"/>
      <c r="H176" s="384"/>
      <c r="I176" s="384"/>
      <c r="J176" s="384"/>
      <c r="K176" s="384"/>
      <c r="L176" s="384"/>
      <c r="M176" s="384"/>
      <c r="N176" s="382"/>
      <c r="O176" s="382"/>
      <c r="P176" s="382"/>
      <c r="Q176" s="382"/>
      <c r="R176" s="382"/>
      <c r="S176" s="382"/>
      <c r="T176" s="382">
        <v>1</v>
      </c>
      <c r="W176" s="393">
        <f t="shared" si="5"/>
        <v>0</v>
      </c>
      <c r="X176" s="394">
        <f t="shared" si="6"/>
        <v>0</v>
      </c>
      <c r="Y176" s="399">
        <f t="shared" si="7"/>
        <v>0</v>
      </c>
      <c r="Z176" s="400">
        <f t="shared" si="8"/>
        <v>0</v>
      </c>
      <c r="AA176" s="400">
        <f t="shared" si="8"/>
        <v>0</v>
      </c>
      <c r="AB176" s="400">
        <f t="shared" si="8"/>
        <v>0</v>
      </c>
      <c r="AC176" s="417"/>
    </row>
    <row r="177" spans="1:29" ht="12.95">
      <c r="A177" s="381"/>
      <c r="B177" s="382" t="s">
        <v>101</v>
      </c>
      <c r="C177" s="382">
        <v>37320</v>
      </c>
      <c r="D177" s="382"/>
      <c r="E177" s="382">
        <v>4000</v>
      </c>
      <c r="F177" s="382"/>
      <c r="G177" s="382"/>
      <c r="H177" s="384">
        <v>3</v>
      </c>
      <c r="I177" s="384">
        <v>1.5</v>
      </c>
      <c r="J177" s="384">
        <v>7.5</v>
      </c>
      <c r="K177" s="384">
        <v>1.5</v>
      </c>
      <c r="L177" s="384">
        <v>0.3</v>
      </c>
      <c r="M177" s="384">
        <v>0.75</v>
      </c>
      <c r="N177" s="382"/>
      <c r="O177" s="382"/>
      <c r="P177" s="382"/>
      <c r="Q177" s="382"/>
      <c r="R177" s="382"/>
      <c r="S177" s="382"/>
      <c r="T177" s="382">
        <v>1</v>
      </c>
      <c r="W177" s="393">
        <f t="shared" si="5"/>
        <v>14.55</v>
      </c>
      <c r="X177" s="394">
        <f t="shared" si="6"/>
        <v>4000</v>
      </c>
      <c r="Y177" s="399">
        <f t="shared" si="7"/>
        <v>14.55</v>
      </c>
      <c r="Z177" s="400">
        <f t="shared" si="8"/>
        <v>4.5</v>
      </c>
      <c r="AA177" s="400">
        <f t="shared" si="8"/>
        <v>1.8</v>
      </c>
      <c r="AB177" s="400">
        <f t="shared" si="8"/>
        <v>8.25</v>
      </c>
      <c r="AC177" s="417"/>
    </row>
    <row r="178" spans="1:29" ht="12.95">
      <c r="A178" s="448"/>
      <c r="B178" s="447" t="s">
        <v>104</v>
      </c>
      <c r="C178" s="447">
        <v>17661</v>
      </c>
      <c r="D178" s="382"/>
      <c r="E178" s="382">
        <v>1600</v>
      </c>
      <c r="F178" s="382"/>
      <c r="G178" s="382"/>
      <c r="H178" s="384">
        <v>1.2</v>
      </c>
      <c r="I178" s="384">
        <v>0.6</v>
      </c>
      <c r="J178" s="384">
        <v>3</v>
      </c>
      <c r="K178" s="384">
        <v>0.6</v>
      </c>
      <c r="L178" s="384">
        <v>0</v>
      </c>
      <c r="M178" s="384">
        <v>0.3</v>
      </c>
      <c r="N178" s="382"/>
      <c r="O178" s="382"/>
      <c r="P178" s="382"/>
      <c r="Q178" s="382"/>
      <c r="R178" s="382"/>
      <c r="S178" s="382"/>
      <c r="T178" s="382">
        <v>1</v>
      </c>
      <c r="W178" s="393">
        <f t="shared" si="5"/>
        <v>5.7</v>
      </c>
      <c r="X178" s="394">
        <f t="shared" si="6"/>
        <v>1600</v>
      </c>
      <c r="Y178" s="399">
        <f t="shared" si="7"/>
        <v>5.7</v>
      </c>
      <c r="Z178" s="400">
        <f t="shared" si="8"/>
        <v>1.8</v>
      </c>
      <c r="AA178" s="400">
        <f t="shared" si="8"/>
        <v>0.6</v>
      </c>
      <c r="AB178" s="400">
        <f t="shared" si="8"/>
        <v>3.3</v>
      </c>
      <c r="AC178" s="417"/>
    </row>
    <row r="179" spans="1:29" ht="12.95">
      <c r="A179" s="385"/>
      <c r="B179" s="386" t="s">
        <v>95</v>
      </c>
      <c r="C179" s="388"/>
      <c r="D179" s="388"/>
      <c r="E179" s="388"/>
      <c r="F179" s="388"/>
      <c r="G179" s="388"/>
      <c r="H179" s="389"/>
      <c r="I179" s="389"/>
      <c r="J179" s="389"/>
      <c r="K179" s="389"/>
      <c r="L179" s="389"/>
      <c r="M179" s="389"/>
      <c r="N179" s="388"/>
      <c r="O179" s="388"/>
      <c r="P179" s="388"/>
      <c r="Q179" s="388"/>
      <c r="R179" s="388"/>
      <c r="S179" s="388"/>
      <c r="T179" s="386">
        <v>2</v>
      </c>
      <c r="W179" s="393"/>
      <c r="X179" s="394"/>
      <c r="Y179" s="399"/>
      <c r="Z179" s="400">
        <f t="shared" si="8"/>
        <v>0</v>
      </c>
      <c r="AA179" s="400">
        <f t="shared" si="8"/>
        <v>0</v>
      </c>
      <c r="AB179" s="400">
        <f t="shared" si="8"/>
        <v>0</v>
      </c>
      <c r="AC179" s="417"/>
    </row>
    <row r="180" spans="1:29" ht="12.95">
      <c r="A180" s="385"/>
      <c r="B180" s="386" t="s">
        <v>97</v>
      </c>
      <c r="C180" s="388"/>
      <c r="D180" s="388"/>
      <c r="E180" s="444"/>
      <c r="F180" s="388"/>
      <c r="G180" s="388"/>
      <c r="H180" s="389"/>
      <c r="I180" s="389"/>
      <c r="J180" s="389"/>
      <c r="K180" s="389"/>
      <c r="L180" s="389"/>
      <c r="M180" s="389"/>
      <c r="N180" s="388"/>
      <c r="O180" s="388"/>
      <c r="P180" s="388"/>
      <c r="Q180" s="388"/>
      <c r="R180" s="388"/>
      <c r="S180" s="388"/>
      <c r="T180" s="386">
        <v>2</v>
      </c>
      <c r="W180" s="393"/>
      <c r="X180" s="394"/>
      <c r="Y180" s="399"/>
      <c r="Z180" s="400">
        <f t="shared" si="8"/>
        <v>0</v>
      </c>
      <c r="AA180" s="400">
        <f t="shared" si="8"/>
        <v>0</v>
      </c>
      <c r="AB180" s="400">
        <f t="shared" si="8"/>
        <v>0</v>
      </c>
      <c r="AC180" s="417"/>
    </row>
    <row r="181" spans="1:29" ht="12.95">
      <c r="A181" s="385"/>
      <c r="B181" s="386" t="s">
        <v>99</v>
      </c>
      <c r="C181" s="388"/>
      <c r="D181" s="388"/>
      <c r="E181" s="388"/>
      <c r="F181" s="388"/>
      <c r="G181" s="388"/>
      <c r="H181" s="389"/>
      <c r="I181" s="389"/>
      <c r="J181" s="389"/>
      <c r="K181" s="389"/>
      <c r="L181" s="389"/>
      <c r="M181" s="389"/>
      <c r="N181" s="388"/>
      <c r="O181" s="388"/>
      <c r="P181" s="388"/>
      <c r="Q181" s="388"/>
      <c r="R181" s="388"/>
      <c r="S181" s="388"/>
      <c r="T181" s="386">
        <v>2</v>
      </c>
      <c r="W181" s="393"/>
      <c r="X181" s="394"/>
      <c r="Y181" s="399"/>
      <c r="Z181" s="400">
        <f t="shared" si="8"/>
        <v>0</v>
      </c>
      <c r="AA181" s="400">
        <f t="shared" si="8"/>
        <v>0</v>
      </c>
      <c r="AB181" s="400">
        <f t="shared" si="8"/>
        <v>0</v>
      </c>
      <c r="AC181" s="417"/>
    </row>
    <row r="182" spans="1:29" ht="12.95">
      <c r="A182" s="385"/>
      <c r="B182" s="386" t="s">
        <v>101</v>
      </c>
      <c r="C182" s="388"/>
      <c r="D182" s="388"/>
      <c r="E182" s="388"/>
      <c r="F182" s="388"/>
      <c r="G182" s="388"/>
      <c r="H182" s="389"/>
      <c r="I182" s="389"/>
      <c r="J182" s="389"/>
      <c r="K182" s="389"/>
      <c r="L182" s="389"/>
      <c r="M182" s="389"/>
      <c r="N182" s="388"/>
      <c r="O182" s="388"/>
      <c r="P182" s="388"/>
      <c r="Q182" s="388"/>
      <c r="R182" s="388"/>
      <c r="S182" s="388"/>
      <c r="T182" s="386">
        <v>2</v>
      </c>
      <c r="W182" s="393"/>
      <c r="X182" s="394"/>
      <c r="Y182" s="399"/>
      <c r="Z182" s="400">
        <f t="shared" si="8"/>
        <v>0</v>
      </c>
      <c r="AA182" s="400">
        <f t="shared" si="8"/>
        <v>0</v>
      </c>
      <c r="AB182" s="400">
        <f t="shared" si="8"/>
        <v>0</v>
      </c>
      <c r="AC182" s="417"/>
    </row>
    <row r="183" spans="1:29" ht="12.95">
      <c r="A183" s="385"/>
      <c r="B183" s="386" t="s">
        <v>104</v>
      </c>
      <c r="C183" s="388"/>
      <c r="D183" s="388"/>
      <c r="E183" s="388"/>
      <c r="F183" s="388"/>
      <c r="G183" s="388"/>
      <c r="H183" s="389"/>
      <c r="I183" s="389"/>
      <c r="J183" s="389"/>
      <c r="K183" s="389"/>
      <c r="L183" s="389"/>
      <c r="M183" s="389"/>
      <c r="N183" s="388"/>
      <c r="O183" s="388"/>
      <c r="P183" s="388"/>
      <c r="Q183" s="388"/>
      <c r="R183" s="388"/>
      <c r="S183" s="388"/>
      <c r="T183" s="386">
        <v>2</v>
      </c>
      <c r="W183" s="393"/>
      <c r="X183" s="394"/>
      <c r="Y183" s="399"/>
      <c r="Z183" s="400">
        <f t="shared" si="8"/>
        <v>0</v>
      </c>
      <c r="AA183" s="400">
        <f t="shared" si="8"/>
        <v>0</v>
      </c>
      <c r="AB183" s="400">
        <f t="shared" si="8"/>
        <v>0</v>
      </c>
      <c r="AC183" s="417"/>
    </row>
    <row r="184" spans="1:29" ht="12.95">
      <c r="A184" s="381">
        <v>44823</v>
      </c>
      <c r="B184" s="382" t="s">
        <v>95</v>
      </c>
      <c r="C184" s="382">
        <v>36017</v>
      </c>
      <c r="D184" s="382"/>
      <c r="E184" s="382"/>
      <c r="F184" s="382"/>
      <c r="G184" s="382"/>
      <c r="H184" s="382"/>
      <c r="I184" s="382"/>
      <c r="J184" s="382"/>
      <c r="K184" s="382"/>
      <c r="L184" s="382"/>
      <c r="M184" s="382"/>
      <c r="N184" s="382"/>
      <c r="O184" s="382"/>
      <c r="P184" s="382"/>
      <c r="Q184" s="382"/>
      <c r="R184" s="382"/>
      <c r="S184" s="382"/>
      <c r="T184" s="382">
        <v>1</v>
      </c>
      <c r="W184" s="393">
        <f t="shared" ref="W184:W247" si="9">Y184+Y189</f>
        <v>0</v>
      </c>
      <c r="X184" s="394">
        <f t="shared" ref="X184:X247" si="10">E184+F184+G184+E189+F189+G189</f>
        <v>0</v>
      </c>
      <c r="Y184" s="399">
        <f t="shared" ref="Y184:Y247" si="11">H184+I184+J184+K184+L184+M184+N184+O184+P184+Q184+R184+S184+H189+I189+J189+K189+L189+M189+N189+O189+P189+Q189+R189+S189</f>
        <v>0</v>
      </c>
      <c r="Z184" s="400">
        <f t="shared" si="8"/>
        <v>0</v>
      </c>
      <c r="AA184" s="400">
        <f t="shared" si="8"/>
        <v>0</v>
      </c>
      <c r="AB184" s="400">
        <f t="shared" si="8"/>
        <v>0</v>
      </c>
      <c r="AC184" s="417"/>
    </row>
    <row r="185" spans="1:29" ht="12.95">
      <c r="A185" s="381"/>
      <c r="B185" s="382" t="s">
        <v>97</v>
      </c>
      <c r="C185" s="382">
        <v>22047</v>
      </c>
      <c r="D185" s="382"/>
      <c r="E185" s="382"/>
      <c r="F185" s="382"/>
      <c r="G185" s="382"/>
      <c r="H185" s="382"/>
      <c r="I185" s="382"/>
      <c r="J185" s="382"/>
      <c r="K185" s="382"/>
      <c r="L185" s="382"/>
      <c r="M185" s="382"/>
      <c r="N185" s="382"/>
      <c r="O185" s="382"/>
      <c r="P185" s="382"/>
      <c r="Q185" s="382"/>
      <c r="R185" s="382"/>
      <c r="S185" s="382"/>
      <c r="T185" s="382">
        <v>1</v>
      </c>
      <c r="W185" s="393">
        <f t="shared" si="9"/>
        <v>0</v>
      </c>
      <c r="X185" s="394">
        <f t="shared" si="10"/>
        <v>0</v>
      </c>
      <c r="Y185" s="399">
        <f t="shared" si="11"/>
        <v>0</v>
      </c>
      <c r="Z185" s="400">
        <f t="shared" si="8"/>
        <v>0</v>
      </c>
      <c r="AA185" s="400">
        <f t="shared" si="8"/>
        <v>0</v>
      </c>
      <c r="AB185" s="400">
        <f t="shared" si="8"/>
        <v>0</v>
      </c>
      <c r="AC185" s="417"/>
    </row>
    <row r="186" spans="1:29" ht="12.95">
      <c r="A186" s="381"/>
      <c r="B186" s="382" t="s">
        <v>99</v>
      </c>
      <c r="C186" s="382">
        <v>3879</v>
      </c>
      <c r="D186" s="382"/>
      <c r="E186" s="382"/>
      <c r="F186" s="382"/>
      <c r="G186" s="382"/>
      <c r="H186" s="382"/>
      <c r="I186" s="382"/>
      <c r="J186" s="382"/>
      <c r="K186" s="382"/>
      <c r="L186" s="382"/>
      <c r="M186" s="382"/>
      <c r="N186" s="382"/>
      <c r="O186" s="382"/>
      <c r="P186" s="382"/>
      <c r="Q186" s="382"/>
      <c r="R186" s="382"/>
      <c r="S186" s="382"/>
      <c r="T186" s="382">
        <v>1</v>
      </c>
      <c r="W186" s="393">
        <f t="shared" si="9"/>
        <v>0</v>
      </c>
      <c r="X186" s="394">
        <f t="shared" si="10"/>
        <v>0</v>
      </c>
      <c r="Y186" s="399">
        <f t="shared" si="11"/>
        <v>0</v>
      </c>
      <c r="Z186" s="400">
        <f t="shared" si="8"/>
        <v>0</v>
      </c>
      <c r="AA186" s="400">
        <f t="shared" si="8"/>
        <v>0</v>
      </c>
      <c r="AB186" s="400">
        <f t="shared" si="8"/>
        <v>0</v>
      </c>
      <c r="AC186" s="417"/>
    </row>
    <row r="187" spans="1:29" ht="12.95">
      <c r="A187" s="381"/>
      <c r="B187" s="382" t="s">
        <v>101</v>
      </c>
      <c r="C187" s="382">
        <v>33305</v>
      </c>
      <c r="D187" s="382"/>
      <c r="E187" s="382"/>
      <c r="F187" s="382"/>
      <c r="G187" s="382"/>
      <c r="H187" s="382"/>
      <c r="I187" s="382"/>
      <c r="J187" s="382"/>
      <c r="K187" s="382"/>
      <c r="L187" s="382"/>
      <c r="M187" s="382"/>
      <c r="N187" s="382"/>
      <c r="O187" s="382"/>
      <c r="P187" s="382"/>
      <c r="Q187" s="382"/>
      <c r="R187" s="382"/>
      <c r="S187" s="382"/>
      <c r="T187" s="382">
        <v>1</v>
      </c>
      <c r="W187" s="393">
        <f t="shared" si="9"/>
        <v>0</v>
      </c>
      <c r="X187" s="394">
        <f t="shared" si="10"/>
        <v>0</v>
      </c>
      <c r="Y187" s="399">
        <f t="shared" si="11"/>
        <v>0</v>
      </c>
      <c r="Z187" s="400">
        <f t="shared" si="8"/>
        <v>0</v>
      </c>
      <c r="AA187" s="400">
        <f t="shared" si="8"/>
        <v>0</v>
      </c>
      <c r="AB187" s="400">
        <f t="shared" si="8"/>
        <v>0</v>
      </c>
      <c r="AC187" s="417"/>
    </row>
    <row r="188" spans="1:29" ht="12.95">
      <c r="A188" s="381"/>
      <c r="B188" s="382" t="s">
        <v>104</v>
      </c>
      <c r="C188" s="382">
        <v>16055</v>
      </c>
      <c r="D188" s="382"/>
      <c r="E188" s="382"/>
      <c r="F188" s="382"/>
      <c r="G188" s="382"/>
      <c r="H188" s="382"/>
      <c r="I188" s="382"/>
      <c r="J188" s="382"/>
      <c r="K188" s="382"/>
      <c r="L188" s="382"/>
      <c r="M188" s="382"/>
      <c r="N188" s="382"/>
      <c r="O188" s="382"/>
      <c r="P188" s="382"/>
      <c r="Q188" s="382"/>
      <c r="R188" s="382"/>
      <c r="S188" s="382"/>
      <c r="T188" s="382">
        <v>1</v>
      </c>
      <c r="W188" s="393">
        <f t="shared" si="9"/>
        <v>0</v>
      </c>
      <c r="X188" s="394">
        <f t="shared" si="10"/>
        <v>0</v>
      </c>
      <c r="Y188" s="399">
        <f t="shared" si="11"/>
        <v>0</v>
      </c>
      <c r="Z188" s="400">
        <f t="shared" si="8"/>
        <v>0</v>
      </c>
      <c r="AA188" s="400">
        <f t="shared" si="8"/>
        <v>0</v>
      </c>
      <c r="AB188" s="400">
        <f t="shared" si="8"/>
        <v>0</v>
      </c>
      <c r="AC188" s="417"/>
    </row>
    <row r="189" spans="1:29" ht="12.95">
      <c r="A189" s="449"/>
      <c r="B189" s="386" t="s">
        <v>95</v>
      </c>
      <c r="C189" s="388"/>
      <c r="D189" s="388"/>
      <c r="E189" s="388"/>
      <c r="F189" s="388"/>
      <c r="G189" s="388"/>
      <c r="H189" s="389"/>
      <c r="I189" s="389"/>
      <c r="J189" s="389"/>
      <c r="K189" s="389"/>
      <c r="L189" s="389"/>
      <c r="M189" s="389"/>
      <c r="N189" s="388"/>
      <c r="O189" s="388"/>
      <c r="P189" s="388"/>
      <c r="Q189" s="388"/>
      <c r="R189" s="388"/>
      <c r="S189" s="388"/>
      <c r="T189" s="386">
        <v>2</v>
      </c>
      <c r="W189" s="393"/>
      <c r="X189" s="394"/>
      <c r="Y189" s="399"/>
      <c r="Z189" s="400">
        <f t="shared" si="8"/>
        <v>0</v>
      </c>
      <c r="AA189" s="400">
        <f t="shared" si="8"/>
        <v>0</v>
      </c>
      <c r="AB189" s="400">
        <f t="shared" si="8"/>
        <v>0</v>
      </c>
      <c r="AC189" s="417"/>
    </row>
    <row r="190" spans="1:29" ht="12.95">
      <c r="A190" s="449"/>
      <c r="B190" s="386" t="s">
        <v>97</v>
      </c>
      <c r="C190" s="388"/>
      <c r="D190" s="388"/>
      <c r="E190" s="388"/>
      <c r="F190" s="388"/>
      <c r="G190" s="388"/>
      <c r="H190" s="389"/>
      <c r="I190" s="389"/>
      <c r="J190" s="389"/>
      <c r="K190" s="389"/>
      <c r="L190" s="389"/>
      <c r="M190" s="389"/>
      <c r="N190" s="388"/>
      <c r="O190" s="388"/>
      <c r="P190" s="388"/>
      <c r="Q190" s="388"/>
      <c r="R190" s="388"/>
      <c r="S190" s="388"/>
      <c r="T190" s="386">
        <v>2</v>
      </c>
      <c r="W190" s="393"/>
      <c r="X190" s="394"/>
      <c r="Y190" s="399"/>
      <c r="Z190" s="400">
        <f t="shared" si="8"/>
        <v>0</v>
      </c>
      <c r="AA190" s="400">
        <f t="shared" si="8"/>
        <v>0</v>
      </c>
      <c r="AB190" s="400">
        <f t="shared" si="8"/>
        <v>0</v>
      </c>
      <c r="AC190" s="417"/>
    </row>
    <row r="191" spans="1:29" ht="12.95">
      <c r="A191" s="449"/>
      <c r="B191" s="386" t="s">
        <v>99</v>
      </c>
      <c r="C191" s="388"/>
      <c r="D191" s="388"/>
      <c r="E191" s="388"/>
      <c r="F191" s="388"/>
      <c r="G191" s="388"/>
      <c r="H191" s="389"/>
      <c r="I191" s="389"/>
      <c r="J191" s="389"/>
      <c r="K191" s="389"/>
      <c r="L191" s="389"/>
      <c r="M191" s="389"/>
      <c r="N191" s="388"/>
      <c r="O191" s="388"/>
      <c r="P191" s="388"/>
      <c r="Q191" s="388"/>
      <c r="R191" s="388"/>
      <c r="S191" s="388"/>
      <c r="T191" s="386">
        <v>2</v>
      </c>
      <c r="W191" s="393"/>
      <c r="X191" s="394"/>
      <c r="Y191" s="399"/>
      <c r="Z191" s="400">
        <f t="shared" si="8"/>
        <v>0</v>
      </c>
      <c r="AA191" s="400">
        <f t="shared" si="8"/>
        <v>0</v>
      </c>
      <c r="AB191" s="400">
        <f t="shared" si="8"/>
        <v>0</v>
      </c>
      <c r="AC191" s="417"/>
    </row>
    <row r="192" spans="1:29" ht="12.95">
      <c r="A192" s="449"/>
      <c r="B192" s="386" t="s">
        <v>101</v>
      </c>
      <c r="C192" s="388"/>
      <c r="D192" s="388"/>
      <c r="E192" s="388"/>
      <c r="F192" s="388"/>
      <c r="G192" s="388"/>
      <c r="H192" s="389"/>
      <c r="I192" s="389"/>
      <c r="J192" s="389"/>
      <c r="K192" s="389"/>
      <c r="L192" s="389"/>
      <c r="M192" s="389"/>
      <c r="N192" s="388"/>
      <c r="O192" s="388"/>
      <c r="P192" s="388"/>
      <c r="Q192" s="388"/>
      <c r="R192" s="388"/>
      <c r="S192" s="388"/>
      <c r="T192" s="386">
        <v>2</v>
      </c>
      <c r="W192" s="393"/>
      <c r="X192" s="394"/>
      <c r="Y192" s="399"/>
      <c r="Z192" s="400">
        <f t="shared" si="8"/>
        <v>0</v>
      </c>
      <c r="AA192" s="400">
        <f t="shared" si="8"/>
        <v>0</v>
      </c>
      <c r="AB192" s="400">
        <f t="shared" si="8"/>
        <v>0</v>
      </c>
      <c r="AC192" s="417"/>
    </row>
    <row r="193" spans="1:29" ht="12.95">
      <c r="A193" s="449"/>
      <c r="B193" s="386" t="s">
        <v>104</v>
      </c>
      <c r="C193" s="388"/>
      <c r="D193" s="388"/>
      <c r="E193" s="388"/>
      <c r="F193" s="388"/>
      <c r="G193" s="388"/>
      <c r="H193" s="389"/>
      <c r="I193" s="389"/>
      <c r="J193" s="389"/>
      <c r="K193" s="389"/>
      <c r="L193" s="389"/>
      <c r="M193" s="389"/>
      <c r="N193" s="388"/>
      <c r="O193" s="388"/>
      <c r="P193" s="388"/>
      <c r="Q193" s="388"/>
      <c r="R193" s="388"/>
      <c r="S193" s="388"/>
      <c r="T193" s="386">
        <v>2</v>
      </c>
      <c r="W193" s="393"/>
      <c r="X193" s="394"/>
      <c r="Y193" s="399"/>
      <c r="Z193" s="400">
        <f t="shared" si="8"/>
        <v>0</v>
      </c>
      <c r="AA193" s="400">
        <f t="shared" si="8"/>
        <v>0</v>
      </c>
      <c r="AB193" s="400">
        <f t="shared" si="8"/>
        <v>0</v>
      </c>
      <c r="AC193" s="417"/>
    </row>
    <row r="194" spans="1:29" ht="12.95">
      <c r="A194" s="381">
        <v>44824</v>
      </c>
      <c r="B194" s="382" t="s">
        <v>95</v>
      </c>
      <c r="C194" s="382"/>
      <c r="D194" s="382"/>
      <c r="E194" s="382"/>
      <c r="F194" s="382"/>
      <c r="G194" s="382"/>
      <c r="H194" s="384"/>
      <c r="I194" s="384"/>
      <c r="J194" s="384"/>
      <c r="K194" s="384"/>
      <c r="L194" s="384"/>
      <c r="M194" s="384"/>
      <c r="N194" s="382"/>
      <c r="O194" s="382"/>
      <c r="P194" s="382"/>
      <c r="Q194" s="382"/>
      <c r="R194" s="382"/>
      <c r="S194" s="382"/>
      <c r="T194" s="382">
        <v>1</v>
      </c>
      <c r="W194" s="393">
        <f t="shared" si="9"/>
        <v>0</v>
      </c>
      <c r="X194" s="394">
        <f t="shared" si="10"/>
        <v>0</v>
      </c>
      <c r="Y194" s="399">
        <f t="shared" si="11"/>
        <v>0</v>
      </c>
      <c r="Z194" s="400">
        <f t="shared" si="8"/>
        <v>0</v>
      </c>
      <c r="AA194" s="400">
        <f t="shared" si="8"/>
        <v>0</v>
      </c>
      <c r="AB194" s="400">
        <f t="shared" si="8"/>
        <v>0</v>
      </c>
    </row>
    <row r="195" spans="1:29" ht="12.95">
      <c r="A195" s="381"/>
      <c r="B195" s="382" t="s">
        <v>97</v>
      </c>
      <c r="C195" s="382"/>
      <c r="D195" s="382"/>
      <c r="E195" s="382"/>
      <c r="F195" s="382"/>
      <c r="G195" s="382"/>
      <c r="H195" s="384"/>
      <c r="I195" s="384"/>
      <c r="J195" s="384"/>
      <c r="K195" s="384"/>
      <c r="L195" s="384"/>
      <c r="M195" s="384"/>
      <c r="N195" s="382"/>
      <c r="O195" s="382"/>
      <c r="P195" s="382"/>
      <c r="Q195" s="382"/>
      <c r="R195" s="382"/>
      <c r="S195" s="382"/>
      <c r="T195" s="382">
        <v>1</v>
      </c>
      <c r="W195" s="393">
        <f t="shared" si="9"/>
        <v>0</v>
      </c>
      <c r="X195" s="394">
        <f t="shared" si="10"/>
        <v>0</v>
      </c>
      <c r="Y195" s="399">
        <f t="shared" si="11"/>
        <v>0</v>
      </c>
      <c r="Z195" s="400">
        <f t="shared" si="8"/>
        <v>0</v>
      </c>
      <c r="AA195" s="400">
        <f t="shared" si="8"/>
        <v>0</v>
      </c>
      <c r="AB195" s="400">
        <f t="shared" si="8"/>
        <v>0</v>
      </c>
    </row>
    <row r="196" spans="1:29" ht="12.95">
      <c r="A196" s="381"/>
      <c r="B196" s="382" t="s">
        <v>99</v>
      </c>
      <c r="C196" s="382"/>
      <c r="D196" s="382"/>
      <c r="E196" s="382"/>
      <c r="F196" s="382"/>
      <c r="G196" s="382"/>
      <c r="H196" s="384"/>
      <c r="I196" s="384"/>
      <c r="J196" s="384"/>
      <c r="K196" s="384"/>
      <c r="L196" s="384"/>
      <c r="M196" s="384"/>
      <c r="N196" s="382"/>
      <c r="O196" s="382"/>
      <c r="P196" s="382"/>
      <c r="Q196" s="382"/>
      <c r="R196" s="382"/>
      <c r="S196" s="382"/>
      <c r="T196" s="382">
        <v>1</v>
      </c>
      <c r="W196" s="393">
        <f t="shared" si="9"/>
        <v>0</v>
      </c>
      <c r="X196" s="394">
        <f t="shared" si="10"/>
        <v>0</v>
      </c>
      <c r="Y196" s="399">
        <f t="shared" si="11"/>
        <v>0</v>
      </c>
      <c r="Z196" s="400">
        <f t="shared" si="8"/>
        <v>0</v>
      </c>
      <c r="AA196" s="400">
        <f t="shared" si="8"/>
        <v>0</v>
      </c>
      <c r="AB196" s="400">
        <f t="shared" si="8"/>
        <v>0</v>
      </c>
    </row>
    <row r="197" spans="1:29" ht="12.95">
      <c r="A197" s="381"/>
      <c r="B197" s="382" t="s">
        <v>101</v>
      </c>
      <c r="C197" s="382"/>
      <c r="D197" s="382"/>
      <c r="E197" s="382"/>
      <c r="F197" s="382"/>
      <c r="G197" s="382"/>
      <c r="H197" s="384"/>
      <c r="I197" s="384"/>
      <c r="J197" s="384"/>
      <c r="K197" s="384"/>
      <c r="L197" s="384"/>
      <c r="M197" s="384"/>
      <c r="N197" s="382"/>
      <c r="O197" s="382"/>
      <c r="P197" s="382"/>
      <c r="Q197" s="382"/>
      <c r="R197" s="382"/>
      <c r="S197" s="382"/>
      <c r="T197" s="382">
        <v>1</v>
      </c>
      <c r="W197" s="393">
        <f t="shared" si="9"/>
        <v>0</v>
      </c>
      <c r="X197" s="394">
        <f t="shared" si="10"/>
        <v>0</v>
      </c>
      <c r="Y197" s="399">
        <f t="shared" si="11"/>
        <v>0</v>
      </c>
      <c r="Z197" s="400">
        <f t="shared" ref="Z197:AB260" si="12">H197+K197+N197+Q197</f>
        <v>0</v>
      </c>
      <c r="AA197" s="400">
        <f t="shared" si="12"/>
        <v>0</v>
      </c>
      <c r="AB197" s="400">
        <f t="shared" si="12"/>
        <v>0</v>
      </c>
    </row>
    <row r="198" spans="1:29" ht="12.95">
      <c r="A198" s="381"/>
      <c r="B198" s="382" t="s">
        <v>104</v>
      </c>
      <c r="C198" s="382"/>
      <c r="D198" s="382"/>
      <c r="E198" s="382"/>
      <c r="F198" s="382"/>
      <c r="G198" s="382"/>
      <c r="H198" s="384"/>
      <c r="I198" s="384"/>
      <c r="J198" s="384"/>
      <c r="K198" s="384"/>
      <c r="L198" s="384"/>
      <c r="M198" s="384"/>
      <c r="N198" s="382"/>
      <c r="O198" s="382"/>
      <c r="P198" s="382"/>
      <c r="Q198" s="382"/>
      <c r="R198" s="382"/>
      <c r="S198" s="382"/>
      <c r="T198" s="382">
        <v>1</v>
      </c>
      <c r="W198" s="393">
        <f t="shared" si="9"/>
        <v>0</v>
      </c>
      <c r="X198" s="394">
        <f t="shared" si="10"/>
        <v>0</v>
      </c>
      <c r="Y198" s="399">
        <f t="shared" si="11"/>
        <v>0</v>
      </c>
      <c r="Z198" s="400">
        <f t="shared" si="12"/>
        <v>0</v>
      </c>
      <c r="AA198" s="400">
        <f t="shared" si="12"/>
        <v>0</v>
      </c>
      <c r="AB198" s="400">
        <f t="shared" si="12"/>
        <v>0</v>
      </c>
    </row>
    <row r="199" spans="1:29" ht="12.95">
      <c r="A199" s="385"/>
      <c r="B199" s="386" t="s">
        <v>95</v>
      </c>
      <c r="C199" s="388"/>
      <c r="D199" s="388"/>
      <c r="E199" s="388"/>
      <c r="F199" s="388"/>
      <c r="G199" s="388"/>
      <c r="H199" s="389"/>
      <c r="I199" s="389"/>
      <c r="J199" s="389"/>
      <c r="K199" s="389"/>
      <c r="L199" s="389"/>
      <c r="M199" s="389"/>
      <c r="N199" s="388"/>
      <c r="O199" s="388"/>
      <c r="P199" s="388"/>
      <c r="Q199" s="388"/>
      <c r="R199" s="388"/>
      <c r="S199" s="388"/>
      <c r="T199" s="386">
        <v>2</v>
      </c>
      <c r="W199" s="393"/>
      <c r="X199" s="394"/>
      <c r="Y199" s="399"/>
      <c r="Z199" s="400">
        <f t="shared" si="12"/>
        <v>0</v>
      </c>
      <c r="AA199" s="400">
        <f t="shared" si="12"/>
        <v>0</v>
      </c>
      <c r="AB199" s="400">
        <f t="shared" si="12"/>
        <v>0</v>
      </c>
    </row>
    <row r="200" spans="1:29" ht="12.95">
      <c r="A200" s="385"/>
      <c r="B200" s="386" t="s">
        <v>97</v>
      </c>
      <c r="C200" s="388"/>
      <c r="D200" s="388"/>
      <c r="E200" s="388"/>
      <c r="F200" s="388"/>
      <c r="G200" s="388"/>
      <c r="H200" s="389"/>
      <c r="I200" s="389"/>
      <c r="J200" s="389"/>
      <c r="K200" s="389"/>
      <c r="L200" s="389"/>
      <c r="M200" s="389"/>
      <c r="N200" s="388"/>
      <c r="O200" s="388"/>
      <c r="P200" s="388"/>
      <c r="Q200" s="388"/>
      <c r="R200" s="388"/>
      <c r="S200" s="388"/>
      <c r="T200" s="386">
        <v>2</v>
      </c>
      <c r="W200" s="393"/>
      <c r="X200" s="394"/>
      <c r="Y200" s="399"/>
      <c r="Z200" s="400">
        <f t="shared" si="12"/>
        <v>0</v>
      </c>
      <c r="AA200" s="400">
        <f t="shared" si="12"/>
        <v>0</v>
      </c>
      <c r="AB200" s="400">
        <f t="shared" si="12"/>
        <v>0</v>
      </c>
    </row>
    <row r="201" spans="1:29" ht="12.95">
      <c r="A201" s="385"/>
      <c r="B201" s="386" t="s">
        <v>99</v>
      </c>
      <c r="C201" s="388"/>
      <c r="D201" s="388"/>
      <c r="E201" s="388"/>
      <c r="F201" s="388"/>
      <c r="G201" s="388"/>
      <c r="H201" s="389"/>
      <c r="I201" s="389"/>
      <c r="J201" s="389"/>
      <c r="K201" s="389"/>
      <c r="L201" s="389"/>
      <c r="M201" s="389"/>
      <c r="N201" s="388"/>
      <c r="O201" s="388"/>
      <c r="P201" s="388"/>
      <c r="Q201" s="388"/>
      <c r="R201" s="388"/>
      <c r="S201" s="388"/>
      <c r="T201" s="386">
        <v>2</v>
      </c>
      <c r="W201" s="393"/>
      <c r="X201" s="394"/>
      <c r="Y201" s="399"/>
      <c r="Z201" s="400">
        <f t="shared" si="12"/>
        <v>0</v>
      </c>
      <c r="AA201" s="400">
        <f t="shared" si="12"/>
        <v>0</v>
      </c>
      <c r="AB201" s="400">
        <f t="shared" si="12"/>
        <v>0</v>
      </c>
    </row>
    <row r="202" spans="1:29" ht="12.95">
      <c r="A202" s="385"/>
      <c r="B202" s="386" t="s">
        <v>101</v>
      </c>
      <c r="C202" s="388"/>
      <c r="D202" s="388"/>
      <c r="E202" s="388"/>
      <c r="F202" s="388"/>
      <c r="G202" s="388"/>
      <c r="H202" s="389"/>
      <c r="I202" s="389"/>
      <c r="J202" s="389"/>
      <c r="K202" s="389"/>
      <c r="L202" s="389"/>
      <c r="M202" s="389"/>
      <c r="N202" s="388"/>
      <c r="O202" s="388"/>
      <c r="P202" s="388"/>
      <c r="Q202" s="388"/>
      <c r="R202" s="388"/>
      <c r="S202" s="388"/>
      <c r="T202" s="386">
        <v>2</v>
      </c>
      <c r="W202" s="393"/>
      <c r="X202" s="394"/>
      <c r="Y202" s="399"/>
      <c r="Z202" s="400">
        <f t="shared" si="12"/>
        <v>0</v>
      </c>
      <c r="AA202" s="400">
        <f t="shared" si="12"/>
        <v>0</v>
      </c>
      <c r="AB202" s="400">
        <f t="shared" si="12"/>
        <v>0</v>
      </c>
    </row>
    <row r="203" spans="1:29" ht="12.95">
      <c r="A203" s="385"/>
      <c r="B203" s="386" t="s">
        <v>104</v>
      </c>
      <c r="C203" s="388"/>
      <c r="D203" s="388"/>
      <c r="E203" s="388"/>
      <c r="F203" s="388"/>
      <c r="G203" s="388"/>
      <c r="H203" s="389"/>
      <c r="I203" s="389"/>
      <c r="J203" s="389"/>
      <c r="K203" s="389"/>
      <c r="L203" s="389"/>
      <c r="M203" s="389"/>
      <c r="N203" s="388"/>
      <c r="O203" s="388"/>
      <c r="P203" s="388"/>
      <c r="Q203" s="388"/>
      <c r="R203" s="388"/>
      <c r="S203" s="388"/>
      <c r="T203" s="386">
        <v>2</v>
      </c>
      <c r="W203" s="393"/>
      <c r="X203" s="394"/>
      <c r="Y203" s="399"/>
      <c r="Z203" s="400">
        <f t="shared" si="12"/>
        <v>0</v>
      </c>
      <c r="AA203" s="400">
        <f t="shared" si="12"/>
        <v>0</v>
      </c>
      <c r="AB203" s="400">
        <f t="shared" si="12"/>
        <v>0</v>
      </c>
    </row>
    <row r="204" spans="1:29" ht="12.95">
      <c r="A204" s="381">
        <v>44825</v>
      </c>
      <c r="B204" s="382" t="s">
        <v>95</v>
      </c>
      <c r="C204" s="382"/>
      <c r="D204" s="382"/>
      <c r="E204" s="382"/>
      <c r="F204" s="382"/>
      <c r="G204" s="382"/>
      <c r="H204" s="384"/>
      <c r="I204" s="384"/>
      <c r="J204" s="384"/>
      <c r="K204" s="384"/>
      <c r="L204" s="384"/>
      <c r="M204" s="384"/>
      <c r="N204" s="382"/>
      <c r="O204" s="382"/>
      <c r="P204" s="382"/>
      <c r="Q204" s="382"/>
      <c r="R204" s="382"/>
      <c r="S204" s="382"/>
      <c r="T204" s="382">
        <v>1</v>
      </c>
      <c r="W204" s="393">
        <f t="shared" si="9"/>
        <v>0</v>
      </c>
      <c r="X204" s="394">
        <f t="shared" si="10"/>
        <v>0</v>
      </c>
      <c r="Y204" s="399">
        <f t="shared" si="11"/>
        <v>0</v>
      </c>
      <c r="Z204" s="400">
        <f t="shared" si="12"/>
        <v>0</v>
      </c>
      <c r="AA204" s="400">
        <f t="shared" si="12"/>
        <v>0</v>
      </c>
      <c r="AB204" s="400">
        <f t="shared" si="12"/>
        <v>0</v>
      </c>
    </row>
    <row r="205" spans="1:29" ht="12.95">
      <c r="A205" s="381"/>
      <c r="B205" s="382" t="s">
        <v>97</v>
      </c>
      <c r="C205" s="382"/>
      <c r="D205" s="382"/>
      <c r="E205" s="382"/>
      <c r="F205" s="382"/>
      <c r="G205" s="382"/>
      <c r="H205" s="384"/>
      <c r="I205" s="384"/>
      <c r="J205" s="384"/>
      <c r="K205" s="384"/>
      <c r="L205" s="384"/>
      <c r="M205" s="384"/>
      <c r="N205" s="382"/>
      <c r="O205" s="382"/>
      <c r="P205" s="382"/>
      <c r="Q205" s="382"/>
      <c r="R205" s="382"/>
      <c r="S205" s="382"/>
      <c r="T205" s="382">
        <v>1</v>
      </c>
      <c r="W205" s="393">
        <f t="shared" si="9"/>
        <v>0</v>
      </c>
      <c r="X205" s="394">
        <f t="shared" si="10"/>
        <v>0</v>
      </c>
      <c r="Y205" s="399">
        <f t="shared" si="11"/>
        <v>0</v>
      </c>
      <c r="Z205" s="400">
        <f t="shared" si="12"/>
        <v>0</v>
      </c>
      <c r="AA205" s="400">
        <f t="shared" si="12"/>
        <v>0</v>
      </c>
      <c r="AB205" s="400">
        <f t="shared" si="12"/>
        <v>0</v>
      </c>
    </row>
    <row r="206" spans="1:29" ht="12.95">
      <c r="A206" s="381"/>
      <c r="B206" s="382" t="s">
        <v>99</v>
      </c>
      <c r="C206" s="382"/>
      <c r="D206" s="382"/>
      <c r="E206" s="382"/>
      <c r="F206" s="382"/>
      <c r="G206" s="382"/>
      <c r="H206" s="384"/>
      <c r="I206" s="384"/>
      <c r="J206" s="384"/>
      <c r="K206" s="384"/>
      <c r="L206" s="384"/>
      <c r="M206" s="384"/>
      <c r="N206" s="382"/>
      <c r="O206" s="382"/>
      <c r="P206" s="382"/>
      <c r="Q206" s="382"/>
      <c r="R206" s="382"/>
      <c r="S206" s="382"/>
      <c r="T206" s="382">
        <v>1</v>
      </c>
      <c r="W206" s="393">
        <f t="shared" si="9"/>
        <v>0</v>
      </c>
      <c r="X206" s="394">
        <f t="shared" si="10"/>
        <v>0</v>
      </c>
      <c r="Y206" s="399">
        <f t="shared" si="11"/>
        <v>0</v>
      </c>
      <c r="Z206" s="400">
        <f t="shared" si="12"/>
        <v>0</v>
      </c>
      <c r="AA206" s="400">
        <f t="shared" si="12"/>
        <v>0</v>
      </c>
      <c r="AB206" s="400">
        <f t="shared" si="12"/>
        <v>0</v>
      </c>
    </row>
    <row r="207" spans="1:29" ht="12.95">
      <c r="A207" s="381"/>
      <c r="B207" s="382" t="s">
        <v>101</v>
      </c>
      <c r="C207" s="382"/>
      <c r="D207" s="382"/>
      <c r="E207" s="382"/>
      <c r="F207" s="382"/>
      <c r="G207" s="382"/>
      <c r="H207" s="384"/>
      <c r="I207" s="384"/>
      <c r="J207" s="384"/>
      <c r="K207" s="384"/>
      <c r="L207" s="384"/>
      <c r="M207" s="384"/>
      <c r="N207" s="382"/>
      <c r="O207" s="382"/>
      <c r="P207" s="382"/>
      <c r="Q207" s="382"/>
      <c r="R207" s="382"/>
      <c r="S207" s="382"/>
      <c r="T207" s="382">
        <v>1</v>
      </c>
      <c r="W207" s="393">
        <f t="shared" si="9"/>
        <v>0</v>
      </c>
      <c r="X207" s="394">
        <f t="shared" si="10"/>
        <v>0</v>
      </c>
      <c r="Y207" s="399">
        <f t="shared" si="11"/>
        <v>0</v>
      </c>
      <c r="Z207" s="400">
        <f t="shared" si="12"/>
        <v>0</v>
      </c>
      <c r="AA207" s="400">
        <f t="shared" si="12"/>
        <v>0</v>
      </c>
      <c r="AB207" s="400">
        <f t="shared" si="12"/>
        <v>0</v>
      </c>
    </row>
    <row r="208" spans="1:29" ht="12.95">
      <c r="A208" s="381"/>
      <c r="B208" s="382" t="s">
        <v>104</v>
      </c>
      <c r="C208" s="382"/>
      <c r="D208" s="383"/>
      <c r="E208" s="382"/>
      <c r="F208" s="382"/>
      <c r="G208" s="382"/>
      <c r="H208" s="384"/>
      <c r="I208" s="384"/>
      <c r="J208" s="384"/>
      <c r="K208" s="384"/>
      <c r="L208" s="384"/>
      <c r="M208" s="384"/>
      <c r="N208" s="382"/>
      <c r="O208" s="382"/>
      <c r="P208" s="382"/>
      <c r="Q208" s="382"/>
      <c r="R208" s="382"/>
      <c r="S208" s="382"/>
      <c r="T208" s="382">
        <v>1</v>
      </c>
      <c r="W208" s="393">
        <f t="shared" si="9"/>
        <v>0</v>
      </c>
      <c r="X208" s="394">
        <f t="shared" si="10"/>
        <v>0</v>
      </c>
      <c r="Y208" s="399">
        <f t="shared" si="11"/>
        <v>0</v>
      </c>
      <c r="Z208" s="400">
        <f t="shared" si="12"/>
        <v>0</v>
      </c>
      <c r="AA208" s="400">
        <f t="shared" si="12"/>
        <v>0</v>
      </c>
      <c r="AB208" s="400">
        <f t="shared" si="12"/>
        <v>0</v>
      </c>
    </row>
    <row r="209" spans="1:28" ht="12.95">
      <c r="A209" s="385"/>
      <c r="B209" s="386" t="s">
        <v>95</v>
      </c>
      <c r="C209" s="388"/>
      <c r="D209" s="388"/>
      <c r="E209" s="388"/>
      <c r="F209" s="388"/>
      <c r="G209" s="388"/>
      <c r="H209" s="389"/>
      <c r="I209" s="389"/>
      <c r="J209" s="389"/>
      <c r="K209" s="389"/>
      <c r="L209" s="389"/>
      <c r="M209" s="389"/>
      <c r="N209" s="388"/>
      <c r="O209" s="388"/>
      <c r="P209" s="388"/>
      <c r="Q209" s="388"/>
      <c r="R209" s="388"/>
      <c r="S209" s="388"/>
      <c r="T209" s="386">
        <v>2</v>
      </c>
      <c r="W209" s="393"/>
      <c r="X209" s="394"/>
      <c r="Y209" s="399"/>
      <c r="Z209" s="400">
        <f t="shared" si="12"/>
        <v>0</v>
      </c>
      <c r="AA209" s="400">
        <f t="shared" si="12"/>
        <v>0</v>
      </c>
      <c r="AB209" s="400">
        <f t="shared" si="12"/>
        <v>0</v>
      </c>
    </row>
    <row r="210" spans="1:28" ht="12.95">
      <c r="A210" s="385"/>
      <c r="B210" s="386" t="s">
        <v>97</v>
      </c>
      <c r="C210" s="388"/>
      <c r="D210" s="388"/>
      <c r="E210" s="388"/>
      <c r="F210" s="388"/>
      <c r="G210" s="388"/>
      <c r="H210" s="389"/>
      <c r="I210" s="389"/>
      <c r="J210" s="389"/>
      <c r="K210" s="389"/>
      <c r="L210" s="389"/>
      <c r="M210" s="389"/>
      <c r="N210" s="388"/>
      <c r="O210" s="388"/>
      <c r="P210" s="388"/>
      <c r="Q210" s="388"/>
      <c r="R210" s="388"/>
      <c r="S210" s="388"/>
      <c r="T210" s="386">
        <v>2</v>
      </c>
      <c r="W210" s="393"/>
      <c r="X210" s="394"/>
      <c r="Y210" s="399"/>
      <c r="Z210" s="400">
        <f t="shared" si="12"/>
        <v>0</v>
      </c>
      <c r="AA210" s="400">
        <f t="shared" si="12"/>
        <v>0</v>
      </c>
      <c r="AB210" s="400">
        <f t="shared" si="12"/>
        <v>0</v>
      </c>
    </row>
    <row r="211" spans="1:28" ht="12.95">
      <c r="A211" s="385"/>
      <c r="B211" s="386" t="s">
        <v>99</v>
      </c>
      <c r="C211" s="388"/>
      <c r="D211" s="388"/>
      <c r="E211" s="388"/>
      <c r="F211" s="388"/>
      <c r="G211" s="388"/>
      <c r="H211" s="389"/>
      <c r="I211" s="389"/>
      <c r="J211" s="389"/>
      <c r="K211" s="389"/>
      <c r="L211" s="389"/>
      <c r="M211" s="389"/>
      <c r="N211" s="388"/>
      <c r="O211" s="388"/>
      <c r="P211" s="388"/>
      <c r="Q211" s="388"/>
      <c r="R211" s="388"/>
      <c r="S211" s="388"/>
      <c r="T211" s="386">
        <v>2</v>
      </c>
      <c r="W211" s="393"/>
      <c r="X211" s="394"/>
      <c r="Y211" s="399"/>
      <c r="Z211" s="400">
        <f t="shared" si="12"/>
        <v>0</v>
      </c>
      <c r="AA211" s="400">
        <f t="shared" si="12"/>
        <v>0</v>
      </c>
      <c r="AB211" s="400">
        <f t="shared" si="12"/>
        <v>0</v>
      </c>
    </row>
    <row r="212" spans="1:28" ht="12.95">
      <c r="A212" s="385"/>
      <c r="B212" s="386" t="s">
        <v>101</v>
      </c>
      <c r="C212" s="388"/>
      <c r="D212" s="388"/>
      <c r="E212" s="388"/>
      <c r="F212" s="388"/>
      <c r="G212" s="388"/>
      <c r="H212" s="389"/>
      <c r="I212" s="389"/>
      <c r="J212" s="389"/>
      <c r="K212" s="389"/>
      <c r="L212" s="389"/>
      <c r="M212" s="389"/>
      <c r="N212" s="388"/>
      <c r="O212" s="388"/>
      <c r="P212" s="388"/>
      <c r="Q212" s="388"/>
      <c r="R212" s="388"/>
      <c r="S212" s="388"/>
      <c r="T212" s="386">
        <v>2</v>
      </c>
      <c r="W212" s="393"/>
      <c r="X212" s="394"/>
      <c r="Y212" s="399"/>
      <c r="Z212" s="400">
        <f t="shared" si="12"/>
        <v>0</v>
      </c>
      <c r="AA212" s="400">
        <f t="shared" si="12"/>
        <v>0</v>
      </c>
      <c r="AB212" s="400">
        <f t="shared" si="12"/>
        <v>0</v>
      </c>
    </row>
    <row r="213" spans="1:28" ht="12.95">
      <c r="A213" s="385"/>
      <c r="B213" s="386" t="s">
        <v>104</v>
      </c>
      <c r="C213" s="388"/>
      <c r="D213" s="388"/>
      <c r="E213" s="388"/>
      <c r="F213" s="388"/>
      <c r="G213" s="388"/>
      <c r="H213" s="389"/>
      <c r="I213" s="389"/>
      <c r="J213" s="389"/>
      <c r="K213" s="389"/>
      <c r="L213" s="389"/>
      <c r="M213" s="389"/>
      <c r="N213" s="388"/>
      <c r="O213" s="388"/>
      <c r="P213" s="388"/>
      <c r="Q213" s="388"/>
      <c r="R213" s="388"/>
      <c r="S213" s="388"/>
      <c r="T213" s="386">
        <v>2</v>
      </c>
      <c r="W213" s="393"/>
      <c r="X213" s="394"/>
      <c r="Y213" s="399"/>
      <c r="Z213" s="400">
        <f t="shared" si="12"/>
        <v>0</v>
      </c>
      <c r="AA213" s="400">
        <f t="shared" si="12"/>
        <v>0</v>
      </c>
      <c r="AB213" s="400">
        <f t="shared" si="12"/>
        <v>0</v>
      </c>
    </row>
    <row r="214" spans="1:28" ht="12.95">
      <c r="A214" s="381">
        <v>44826</v>
      </c>
      <c r="B214" s="382" t="s">
        <v>95</v>
      </c>
      <c r="C214" s="382"/>
      <c r="D214" s="382"/>
      <c r="E214" s="382"/>
      <c r="F214" s="382"/>
      <c r="G214" s="382"/>
      <c r="H214" s="384"/>
      <c r="I214" s="384"/>
      <c r="J214" s="384"/>
      <c r="K214" s="384"/>
      <c r="L214" s="384"/>
      <c r="M214" s="384"/>
      <c r="N214" s="382"/>
      <c r="O214" s="382"/>
      <c r="P214" s="382"/>
      <c r="Q214" s="382"/>
      <c r="R214" s="382"/>
      <c r="S214" s="382"/>
      <c r="T214" s="382">
        <v>1</v>
      </c>
      <c r="W214" s="393">
        <f t="shared" si="9"/>
        <v>0</v>
      </c>
      <c r="X214" s="394">
        <f t="shared" si="10"/>
        <v>0</v>
      </c>
      <c r="Y214" s="399">
        <f t="shared" si="11"/>
        <v>0</v>
      </c>
      <c r="Z214" s="400">
        <f t="shared" si="12"/>
        <v>0</v>
      </c>
      <c r="AA214" s="400">
        <f t="shared" si="12"/>
        <v>0</v>
      </c>
      <c r="AB214" s="400">
        <f t="shared" si="12"/>
        <v>0</v>
      </c>
    </row>
    <row r="215" spans="1:28" ht="12.95">
      <c r="A215" s="381"/>
      <c r="B215" s="382" t="s">
        <v>97</v>
      </c>
      <c r="C215" s="382"/>
      <c r="D215" s="382"/>
      <c r="E215" s="382"/>
      <c r="F215" s="382"/>
      <c r="G215" s="382"/>
      <c r="H215" s="384"/>
      <c r="I215" s="384"/>
      <c r="J215" s="384"/>
      <c r="K215" s="384"/>
      <c r="L215" s="384"/>
      <c r="M215" s="384"/>
      <c r="N215" s="382"/>
      <c r="O215" s="382"/>
      <c r="P215" s="382"/>
      <c r="Q215" s="382"/>
      <c r="R215" s="382"/>
      <c r="S215" s="382"/>
      <c r="T215" s="382">
        <v>1</v>
      </c>
      <c r="W215" s="393">
        <f t="shared" si="9"/>
        <v>0</v>
      </c>
      <c r="X215" s="394">
        <f t="shared" si="10"/>
        <v>0</v>
      </c>
      <c r="Y215" s="399">
        <f t="shared" si="11"/>
        <v>0</v>
      </c>
      <c r="Z215" s="400">
        <f t="shared" si="12"/>
        <v>0</v>
      </c>
      <c r="AA215" s="400">
        <f t="shared" si="12"/>
        <v>0</v>
      </c>
      <c r="AB215" s="400">
        <f t="shared" si="12"/>
        <v>0</v>
      </c>
    </row>
    <row r="216" spans="1:28" ht="12.95">
      <c r="A216" s="381"/>
      <c r="B216" s="382" t="s">
        <v>99</v>
      </c>
      <c r="C216" s="382"/>
      <c r="D216" s="382"/>
      <c r="E216" s="382"/>
      <c r="F216" s="382"/>
      <c r="G216" s="382"/>
      <c r="H216" s="384"/>
      <c r="I216" s="384"/>
      <c r="J216" s="384"/>
      <c r="K216" s="384"/>
      <c r="L216" s="384"/>
      <c r="M216" s="384"/>
      <c r="N216" s="382"/>
      <c r="O216" s="382"/>
      <c r="P216" s="382"/>
      <c r="Q216" s="382"/>
      <c r="R216" s="382"/>
      <c r="S216" s="382"/>
      <c r="T216" s="382">
        <v>1</v>
      </c>
      <c r="W216" s="393">
        <f t="shared" si="9"/>
        <v>0</v>
      </c>
      <c r="X216" s="394">
        <f t="shared" si="10"/>
        <v>0</v>
      </c>
      <c r="Y216" s="399">
        <f t="shared" si="11"/>
        <v>0</v>
      </c>
      <c r="Z216" s="400">
        <f t="shared" si="12"/>
        <v>0</v>
      </c>
      <c r="AA216" s="400">
        <f t="shared" si="12"/>
        <v>0</v>
      </c>
      <c r="AB216" s="400">
        <f t="shared" si="12"/>
        <v>0</v>
      </c>
    </row>
    <row r="217" spans="1:28" ht="12.95">
      <c r="A217" s="381"/>
      <c r="B217" s="382" t="s">
        <v>101</v>
      </c>
      <c r="C217" s="451"/>
      <c r="D217" s="382"/>
      <c r="E217" s="382"/>
      <c r="F217" s="382"/>
      <c r="G217" s="382"/>
      <c r="H217" s="384"/>
      <c r="I217" s="384"/>
      <c r="J217" s="384"/>
      <c r="K217" s="384"/>
      <c r="L217" s="384"/>
      <c r="M217" s="384"/>
      <c r="N217" s="382"/>
      <c r="O217" s="382"/>
      <c r="P217" s="382"/>
      <c r="Q217" s="382"/>
      <c r="R217" s="382"/>
      <c r="S217" s="382"/>
      <c r="T217" s="382">
        <v>1</v>
      </c>
      <c r="W217" s="393">
        <f t="shared" si="9"/>
        <v>0</v>
      </c>
      <c r="X217" s="394">
        <f t="shared" si="10"/>
        <v>0</v>
      </c>
      <c r="Y217" s="399">
        <f t="shared" si="11"/>
        <v>0</v>
      </c>
      <c r="Z217" s="400">
        <f t="shared" si="12"/>
        <v>0</v>
      </c>
      <c r="AA217" s="400">
        <f t="shared" si="12"/>
        <v>0</v>
      </c>
      <c r="AB217" s="400">
        <f t="shared" si="12"/>
        <v>0</v>
      </c>
    </row>
    <row r="218" spans="1:28" ht="12.95">
      <c r="A218" s="381"/>
      <c r="B218" s="382" t="s">
        <v>104</v>
      </c>
      <c r="C218" s="451"/>
      <c r="D218" s="382"/>
      <c r="E218" s="382"/>
      <c r="F218" s="382"/>
      <c r="G218" s="382"/>
      <c r="H218" s="384"/>
      <c r="I218" s="384"/>
      <c r="J218" s="384"/>
      <c r="K218" s="384"/>
      <c r="L218" s="384"/>
      <c r="M218" s="384"/>
      <c r="N218" s="382"/>
      <c r="O218" s="382"/>
      <c r="P218" s="382"/>
      <c r="Q218" s="382"/>
      <c r="R218" s="382"/>
      <c r="S218" s="382"/>
      <c r="T218" s="382">
        <v>1</v>
      </c>
      <c r="W218" s="393">
        <f t="shared" si="9"/>
        <v>0</v>
      </c>
      <c r="X218" s="394">
        <f t="shared" si="10"/>
        <v>0</v>
      </c>
      <c r="Y218" s="399">
        <f t="shared" si="11"/>
        <v>0</v>
      </c>
      <c r="Z218" s="400">
        <f t="shared" si="12"/>
        <v>0</v>
      </c>
      <c r="AA218" s="400">
        <f t="shared" si="12"/>
        <v>0</v>
      </c>
      <c r="AB218" s="400">
        <f t="shared" si="12"/>
        <v>0</v>
      </c>
    </row>
    <row r="219" spans="1:28" ht="12.95">
      <c r="A219" s="385"/>
      <c r="B219" s="386" t="s">
        <v>95</v>
      </c>
      <c r="C219" s="388"/>
      <c r="D219" s="388"/>
      <c r="E219" s="388"/>
      <c r="F219" s="388"/>
      <c r="G219" s="388"/>
      <c r="H219" s="389"/>
      <c r="I219" s="389"/>
      <c r="J219" s="389"/>
      <c r="K219" s="389"/>
      <c r="L219" s="389"/>
      <c r="M219" s="389"/>
      <c r="N219" s="388"/>
      <c r="O219" s="388"/>
      <c r="P219" s="388"/>
      <c r="Q219" s="388"/>
      <c r="R219" s="388"/>
      <c r="S219" s="388"/>
      <c r="T219" s="386">
        <v>2</v>
      </c>
      <c r="W219" s="393"/>
      <c r="X219" s="394"/>
      <c r="Y219" s="399"/>
      <c r="Z219" s="400">
        <f t="shared" si="12"/>
        <v>0</v>
      </c>
      <c r="AA219" s="400">
        <f t="shared" si="12"/>
        <v>0</v>
      </c>
      <c r="AB219" s="400">
        <f t="shared" si="12"/>
        <v>0</v>
      </c>
    </row>
    <row r="220" spans="1:28" ht="12.95">
      <c r="A220" s="385"/>
      <c r="B220" s="386" t="s">
        <v>97</v>
      </c>
      <c r="C220" s="388"/>
      <c r="D220" s="388"/>
      <c r="E220" s="388"/>
      <c r="F220" s="388"/>
      <c r="G220" s="388"/>
      <c r="H220" s="389"/>
      <c r="I220" s="389"/>
      <c r="J220" s="389"/>
      <c r="K220" s="389"/>
      <c r="L220" s="389"/>
      <c r="M220" s="389"/>
      <c r="N220" s="388"/>
      <c r="O220" s="388"/>
      <c r="P220" s="388"/>
      <c r="Q220" s="388"/>
      <c r="R220" s="388"/>
      <c r="S220" s="388"/>
      <c r="T220" s="386">
        <v>2</v>
      </c>
      <c r="W220" s="393"/>
      <c r="X220" s="394"/>
      <c r="Y220" s="399"/>
      <c r="Z220" s="400">
        <f t="shared" si="12"/>
        <v>0</v>
      </c>
      <c r="AA220" s="400">
        <f t="shared" si="12"/>
        <v>0</v>
      </c>
      <c r="AB220" s="400">
        <f t="shared" si="12"/>
        <v>0</v>
      </c>
    </row>
    <row r="221" spans="1:28" ht="12.95">
      <c r="A221" s="385"/>
      <c r="B221" s="386" t="s">
        <v>99</v>
      </c>
      <c r="C221" s="388"/>
      <c r="D221" s="388"/>
      <c r="E221" s="388"/>
      <c r="F221" s="388"/>
      <c r="G221" s="388"/>
      <c r="H221" s="389"/>
      <c r="I221" s="389"/>
      <c r="J221" s="389"/>
      <c r="K221" s="389"/>
      <c r="L221" s="389"/>
      <c r="M221" s="389"/>
      <c r="N221" s="388"/>
      <c r="O221" s="388"/>
      <c r="P221" s="388"/>
      <c r="Q221" s="388"/>
      <c r="R221" s="388"/>
      <c r="S221" s="388"/>
      <c r="T221" s="386">
        <v>2</v>
      </c>
      <c r="W221" s="393"/>
      <c r="X221" s="394"/>
      <c r="Y221" s="399"/>
      <c r="Z221" s="400">
        <f t="shared" si="12"/>
        <v>0</v>
      </c>
      <c r="AA221" s="400">
        <f t="shared" si="12"/>
        <v>0</v>
      </c>
      <c r="AB221" s="400">
        <f t="shared" si="12"/>
        <v>0</v>
      </c>
    </row>
    <row r="222" spans="1:28" ht="12.95">
      <c r="A222" s="385"/>
      <c r="B222" s="386" t="s">
        <v>101</v>
      </c>
      <c r="C222" s="388"/>
      <c r="D222" s="388"/>
      <c r="E222" s="388"/>
      <c r="F222" s="388"/>
      <c r="G222" s="388"/>
      <c r="H222" s="389"/>
      <c r="I222" s="389"/>
      <c r="J222" s="389"/>
      <c r="K222" s="389"/>
      <c r="L222" s="389"/>
      <c r="M222" s="389"/>
      <c r="N222" s="388"/>
      <c r="O222" s="388"/>
      <c r="P222" s="388"/>
      <c r="Q222" s="388"/>
      <c r="R222" s="388"/>
      <c r="S222" s="388"/>
      <c r="T222" s="386">
        <v>2</v>
      </c>
      <c r="W222" s="393"/>
      <c r="X222" s="394"/>
      <c r="Y222" s="399"/>
      <c r="Z222" s="400">
        <f t="shared" si="12"/>
        <v>0</v>
      </c>
      <c r="AA222" s="400">
        <f t="shared" si="12"/>
        <v>0</v>
      </c>
      <c r="AB222" s="400">
        <f t="shared" si="12"/>
        <v>0</v>
      </c>
    </row>
    <row r="223" spans="1:28" ht="12.95">
      <c r="A223" s="385"/>
      <c r="B223" s="386" t="s">
        <v>104</v>
      </c>
      <c r="C223" s="388"/>
      <c r="D223" s="388"/>
      <c r="E223" s="388"/>
      <c r="F223" s="388"/>
      <c r="G223" s="388"/>
      <c r="H223" s="389"/>
      <c r="I223" s="389"/>
      <c r="J223" s="389"/>
      <c r="K223" s="389"/>
      <c r="L223" s="389"/>
      <c r="M223" s="389"/>
      <c r="N223" s="388"/>
      <c r="O223" s="388"/>
      <c r="P223" s="388"/>
      <c r="Q223" s="388"/>
      <c r="R223" s="388"/>
      <c r="S223" s="388"/>
      <c r="T223" s="386">
        <v>2</v>
      </c>
      <c r="W223" s="393"/>
      <c r="X223" s="394"/>
      <c r="Y223" s="399"/>
      <c r="Z223" s="400">
        <f t="shared" si="12"/>
        <v>0</v>
      </c>
      <c r="AA223" s="400">
        <f t="shared" si="12"/>
        <v>0</v>
      </c>
      <c r="AB223" s="400">
        <f t="shared" si="12"/>
        <v>0</v>
      </c>
    </row>
    <row r="224" spans="1:28" ht="12.95">
      <c r="A224" s="381">
        <v>44827</v>
      </c>
      <c r="B224" s="382" t="s">
        <v>95</v>
      </c>
      <c r="C224" s="382"/>
      <c r="D224" s="382"/>
      <c r="E224" s="382"/>
      <c r="F224" s="382"/>
      <c r="G224" s="382"/>
      <c r="H224" s="384"/>
      <c r="I224" s="384"/>
      <c r="J224" s="384"/>
      <c r="K224" s="384"/>
      <c r="L224" s="384"/>
      <c r="M224" s="384"/>
      <c r="N224" s="382"/>
      <c r="O224" s="382"/>
      <c r="P224" s="382"/>
      <c r="Q224" s="382"/>
      <c r="R224" s="382"/>
      <c r="S224" s="382"/>
      <c r="T224" s="382">
        <v>1</v>
      </c>
      <c r="W224" s="393">
        <f t="shared" si="9"/>
        <v>0</v>
      </c>
      <c r="X224" s="394">
        <f t="shared" si="10"/>
        <v>0</v>
      </c>
      <c r="Y224" s="399">
        <f t="shared" si="11"/>
        <v>0</v>
      </c>
      <c r="Z224" s="400">
        <f t="shared" si="12"/>
        <v>0</v>
      </c>
      <c r="AA224" s="400">
        <f t="shared" si="12"/>
        <v>0</v>
      </c>
      <c r="AB224" s="400">
        <f t="shared" si="12"/>
        <v>0</v>
      </c>
    </row>
    <row r="225" spans="1:28" ht="12.95">
      <c r="A225" s="381"/>
      <c r="B225" s="382" t="s">
        <v>97</v>
      </c>
      <c r="C225" s="382"/>
      <c r="D225" s="382"/>
      <c r="E225" s="382"/>
      <c r="F225" s="382"/>
      <c r="G225" s="382"/>
      <c r="H225" s="384"/>
      <c r="I225" s="384"/>
      <c r="J225" s="384"/>
      <c r="K225" s="384"/>
      <c r="L225" s="384"/>
      <c r="M225" s="384"/>
      <c r="N225" s="382"/>
      <c r="O225" s="382"/>
      <c r="P225" s="382"/>
      <c r="Q225" s="382"/>
      <c r="R225" s="382"/>
      <c r="S225" s="382"/>
      <c r="T225" s="382">
        <v>1</v>
      </c>
      <c r="W225" s="393">
        <f t="shared" si="9"/>
        <v>0</v>
      </c>
      <c r="X225" s="394">
        <f t="shared" si="10"/>
        <v>0</v>
      </c>
      <c r="Y225" s="399">
        <f t="shared" si="11"/>
        <v>0</v>
      </c>
      <c r="Z225" s="400">
        <f t="shared" si="12"/>
        <v>0</v>
      </c>
      <c r="AA225" s="400">
        <f t="shared" si="12"/>
        <v>0</v>
      </c>
      <c r="AB225" s="400">
        <f t="shared" si="12"/>
        <v>0</v>
      </c>
    </row>
    <row r="226" spans="1:28" ht="12.95">
      <c r="A226" s="381"/>
      <c r="B226" s="382" t="s">
        <v>99</v>
      </c>
      <c r="C226" s="382"/>
      <c r="D226" s="382"/>
      <c r="E226" s="382"/>
      <c r="F226" s="382"/>
      <c r="G226" s="382"/>
      <c r="H226" s="384"/>
      <c r="I226" s="384"/>
      <c r="J226" s="384"/>
      <c r="K226" s="384"/>
      <c r="L226" s="384"/>
      <c r="M226" s="384"/>
      <c r="N226" s="382"/>
      <c r="O226" s="382"/>
      <c r="P226" s="382"/>
      <c r="Q226" s="382"/>
      <c r="R226" s="382"/>
      <c r="S226" s="382"/>
      <c r="T226" s="382">
        <v>1</v>
      </c>
      <c r="W226" s="393">
        <f t="shared" si="9"/>
        <v>0</v>
      </c>
      <c r="X226" s="394">
        <f t="shared" si="10"/>
        <v>0</v>
      </c>
      <c r="Y226" s="399">
        <f t="shared" si="11"/>
        <v>0</v>
      </c>
      <c r="Z226" s="400">
        <f t="shared" si="12"/>
        <v>0</v>
      </c>
      <c r="AA226" s="400">
        <f t="shared" si="12"/>
        <v>0</v>
      </c>
      <c r="AB226" s="400">
        <f t="shared" si="12"/>
        <v>0</v>
      </c>
    </row>
    <row r="227" spans="1:28" ht="12.95">
      <c r="A227" s="381"/>
      <c r="B227" s="382" t="s">
        <v>101</v>
      </c>
      <c r="C227" s="451"/>
      <c r="D227" s="382"/>
      <c r="E227" s="382"/>
      <c r="F227" s="382"/>
      <c r="G227" s="382"/>
      <c r="H227" s="384"/>
      <c r="I227" s="384"/>
      <c r="J227" s="384"/>
      <c r="K227" s="384"/>
      <c r="L227" s="384"/>
      <c r="M227" s="384"/>
      <c r="N227" s="382"/>
      <c r="O227" s="382"/>
      <c r="P227" s="382"/>
      <c r="Q227" s="382"/>
      <c r="R227" s="382"/>
      <c r="S227" s="382"/>
      <c r="T227" s="382">
        <v>1</v>
      </c>
      <c r="W227" s="393">
        <f t="shared" si="9"/>
        <v>0</v>
      </c>
      <c r="X227" s="394">
        <f t="shared" si="10"/>
        <v>0</v>
      </c>
      <c r="Y227" s="399">
        <f t="shared" si="11"/>
        <v>0</v>
      </c>
      <c r="Z227" s="400">
        <f t="shared" si="12"/>
        <v>0</v>
      </c>
      <c r="AA227" s="400">
        <f t="shared" si="12"/>
        <v>0</v>
      </c>
      <c r="AB227" s="400">
        <f t="shared" si="12"/>
        <v>0</v>
      </c>
    </row>
    <row r="228" spans="1:28" ht="12.95">
      <c r="A228" s="381"/>
      <c r="B228" s="382" t="s">
        <v>104</v>
      </c>
      <c r="C228" s="451"/>
      <c r="D228" s="382"/>
      <c r="E228" s="382"/>
      <c r="F228" s="382"/>
      <c r="G228" s="382"/>
      <c r="H228" s="384"/>
      <c r="I228" s="384"/>
      <c r="J228" s="384"/>
      <c r="K228" s="384"/>
      <c r="L228" s="384"/>
      <c r="M228" s="384"/>
      <c r="N228" s="382"/>
      <c r="O228" s="382"/>
      <c r="P228" s="382"/>
      <c r="Q228" s="382"/>
      <c r="R228" s="382"/>
      <c r="S228" s="382"/>
      <c r="T228" s="382">
        <v>1</v>
      </c>
      <c r="W228" s="393">
        <f t="shared" si="9"/>
        <v>0</v>
      </c>
      <c r="X228" s="394">
        <f t="shared" si="10"/>
        <v>0</v>
      </c>
      <c r="Y228" s="399">
        <f t="shared" si="11"/>
        <v>0</v>
      </c>
      <c r="Z228" s="400">
        <f t="shared" si="12"/>
        <v>0</v>
      </c>
      <c r="AA228" s="400">
        <f t="shared" si="12"/>
        <v>0</v>
      </c>
      <c r="AB228" s="400">
        <f t="shared" si="12"/>
        <v>0</v>
      </c>
    </row>
    <row r="229" spans="1:28" ht="12.95">
      <c r="A229" s="385"/>
      <c r="B229" s="386" t="s">
        <v>95</v>
      </c>
      <c r="C229" s="388"/>
      <c r="D229" s="388"/>
      <c r="E229" s="388"/>
      <c r="F229" s="388"/>
      <c r="G229" s="388"/>
      <c r="H229" s="389"/>
      <c r="I229" s="389"/>
      <c r="J229" s="389"/>
      <c r="K229" s="389"/>
      <c r="L229" s="389"/>
      <c r="M229" s="389"/>
      <c r="N229" s="388"/>
      <c r="O229" s="388"/>
      <c r="P229" s="388"/>
      <c r="Q229" s="388"/>
      <c r="R229" s="388"/>
      <c r="S229" s="388"/>
      <c r="T229" s="386">
        <v>2</v>
      </c>
      <c r="W229" s="393"/>
      <c r="X229" s="394"/>
      <c r="Y229" s="399"/>
      <c r="Z229" s="400">
        <f t="shared" si="12"/>
        <v>0</v>
      </c>
      <c r="AA229" s="400">
        <f t="shared" si="12"/>
        <v>0</v>
      </c>
      <c r="AB229" s="400">
        <f t="shared" si="12"/>
        <v>0</v>
      </c>
    </row>
    <row r="230" spans="1:28" ht="12.95">
      <c r="A230" s="385"/>
      <c r="B230" s="386" t="s">
        <v>97</v>
      </c>
      <c r="C230" s="388"/>
      <c r="D230" s="388"/>
      <c r="E230" s="388"/>
      <c r="F230" s="388"/>
      <c r="G230" s="388"/>
      <c r="H230" s="389"/>
      <c r="I230" s="389"/>
      <c r="J230" s="389"/>
      <c r="K230" s="389"/>
      <c r="L230" s="389"/>
      <c r="M230" s="389"/>
      <c r="N230" s="388"/>
      <c r="O230" s="388"/>
      <c r="P230" s="388"/>
      <c r="Q230" s="388"/>
      <c r="R230" s="388"/>
      <c r="S230" s="388"/>
      <c r="T230" s="386">
        <v>2</v>
      </c>
      <c r="W230" s="393"/>
      <c r="X230" s="394"/>
      <c r="Y230" s="399"/>
      <c r="Z230" s="400">
        <f t="shared" si="12"/>
        <v>0</v>
      </c>
      <c r="AA230" s="400">
        <f t="shared" si="12"/>
        <v>0</v>
      </c>
      <c r="AB230" s="400">
        <f t="shared" si="12"/>
        <v>0</v>
      </c>
    </row>
    <row r="231" spans="1:28" ht="12.95">
      <c r="A231" s="385"/>
      <c r="B231" s="386" t="s">
        <v>99</v>
      </c>
      <c r="C231" s="388"/>
      <c r="D231" s="388"/>
      <c r="E231" s="388"/>
      <c r="F231" s="388"/>
      <c r="G231" s="388"/>
      <c r="H231" s="389"/>
      <c r="I231" s="389"/>
      <c r="J231" s="389"/>
      <c r="K231" s="389"/>
      <c r="L231" s="389"/>
      <c r="M231" s="389"/>
      <c r="N231" s="388"/>
      <c r="O231" s="388"/>
      <c r="P231" s="388"/>
      <c r="Q231" s="388"/>
      <c r="R231" s="388"/>
      <c r="S231" s="388"/>
      <c r="T231" s="386">
        <v>2</v>
      </c>
      <c r="W231" s="393"/>
      <c r="X231" s="394"/>
      <c r="Y231" s="399"/>
      <c r="Z231" s="400">
        <f t="shared" si="12"/>
        <v>0</v>
      </c>
      <c r="AA231" s="400">
        <f t="shared" si="12"/>
        <v>0</v>
      </c>
      <c r="AB231" s="400">
        <f t="shared" si="12"/>
        <v>0</v>
      </c>
    </row>
    <row r="232" spans="1:28" ht="12.95">
      <c r="A232" s="385"/>
      <c r="B232" s="386" t="s">
        <v>101</v>
      </c>
      <c r="C232" s="388"/>
      <c r="D232" s="388"/>
      <c r="E232" s="388"/>
      <c r="F232" s="388"/>
      <c r="G232" s="388"/>
      <c r="H232" s="389"/>
      <c r="I232" s="389"/>
      <c r="J232" s="389"/>
      <c r="K232" s="389"/>
      <c r="L232" s="389"/>
      <c r="M232" s="389"/>
      <c r="N232" s="388"/>
      <c r="O232" s="388"/>
      <c r="P232" s="388"/>
      <c r="Q232" s="388"/>
      <c r="R232" s="388"/>
      <c r="S232" s="388"/>
      <c r="T232" s="386">
        <v>2</v>
      </c>
      <c r="W232" s="393"/>
      <c r="X232" s="394"/>
      <c r="Y232" s="399"/>
      <c r="Z232" s="400">
        <f t="shared" si="12"/>
        <v>0</v>
      </c>
      <c r="AA232" s="400">
        <f t="shared" si="12"/>
        <v>0</v>
      </c>
      <c r="AB232" s="400">
        <f t="shared" si="12"/>
        <v>0</v>
      </c>
    </row>
    <row r="233" spans="1:28" ht="12.95">
      <c r="A233" s="385"/>
      <c r="B233" s="386" t="s">
        <v>104</v>
      </c>
      <c r="C233" s="388"/>
      <c r="D233" s="388"/>
      <c r="E233" s="388"/>
      <c r="F233" s="388"/>
      <c r="G233" s="388"/>
      <c r="H233" s="389"/>
      <c r="I233" s="389"/>
      <c r="J233" s="389"/>
      <c r="K233" s="389"/>
      <c r="L233" s="389"/>
      <c r="M233" s="389"/>
      <c r="N233" s="388"/>
      <c r="O233" s="388"/>
      <c r="P233" s="388"/>
      <c r="Q233" s="388"/>
      <c r="R233" s="388"/>
      <c r="S233" s="388"/>
      <c r="T233" s="386">
        <v>2</v>
      </c>
      <c r="W233" s="393"/>
      <c r="X233" s="394"/>
      <c r="Y233" s="399"/>
      <c r="Z233" s="400">
        <f t="shared" si="12"/>
        <v>0</v>
      </c>
      <c r="AA233" s="400">
        <f t="shared" si="12"/>
        <v>0</v>
      </c>
      <c r="AB233" s="400">
        <f t="shared" si="12"/>
        <v>0</v>
      </c>
    </row>
    <row r="234" spans="1:28" ht="12.95">
      <c r="A234" s="381">
        <v>44828</v>
      </c>
      <c r="B234" s="382" t="s">
        <v>95</v>
      </c>
      <c r="C234" s="382"/>
      <c r="D234" s="382"/>
      <c r="E234" s="382"/>
      <c r="F234" s="382"/>
      <c r="G234" s="382"/>
      <c r="H234" s="384"/>
      <c r="I234" s="384"/>
      <c r="J234" s="384"/>
      <c r="K234" s="384"/>
      <c r="L234" s="384"/>
      <c r="M234" s="382"/>
      <c r="N234" s="382"/>
      <c r="O234" s="382"/>
      <c r="P234" s="382"/>
      <c r="Q234" s="382"/>
      <c r="R234" s="382"/>
      <c r="S234" s="382"/>
      <c r="T234" s="382">
        <v>1</v>
      </c>
      <c r="W234" s="393">
        <f t="shared" si="9"/>
        <v>0</v>
      </c>
      <c r="X234" s="394">
        <f t="shared" si="10"/>
        <v>0</v>
      </c>
      <c r="Y234" s="399">
        <f t="shared" si="11"/>
        <v>0</v>
      </c>
      <c r="Z234" s="400">
        <f t="shared" si="12"/>
        <v>0</v>
      </c>
      <c r="AA234" s="400">
        <f t="shared" si="12"/>
        <v>0</v>
      </c>
      <c r="AB234" s="400">
        <f t="shared" si="12"/>
        <v>0</v>
      </c>
    </row>
    <row r="235" spans="1:28" ht="12.95">
      <c r="A235" s="381"/>
      <c r="B235" s="382" t="s">
        <v>97</v>
      </c>
      <c r="C235" s="382"/>
      <c r="D235" s="382"/>
      <c r="E235" s="382"/>
      <c r="F235" s="382"/>
      <c r="G235" s="382"/>
      <c r="H235" s="384"/>
      <c r="I235" s="384"/>
      <c r="J235" s="384"/>
      <c r="K235" s="384"/>
      <c r="L235" s="384"/>
      <c r="M235" s="382"/>
      <c r="N235" s="382"/>
      <c r="O235" s="382"/>
      <c r="P235" s="382"/>
      <c r="Q235" s="382"/>
      <c r="R235" s="382"/>
      <c r="S235" s="382"/>
      <c r="T235" s="382">
        <v>1</v>
      </c>
      <c r="W235" s="393">
        <f t="shared" si="9"/>
        <v>0</v>
      </c>
      <c r="X235" s="394">
        <f t="shared" si="10"/>
        <v>0</v>
      </c>
      <c r="Y235" s="399">
        <f t="shared" si="11"/>
        <v>0</v>
      </c>
      <c r="Z235" s="400">
        <f t="shared" si="12"/>
        <v>0</v>
      </c>
      <c r="AA235" s="400">
        <f t="shared" si="12"/>
        <v>0</v>
      </c>
      <c r="AB235" s="400">
        <f t="shared" si="12"/>
        <v>0</v>
      </c>
    </row>
    <row r="236" spans="1:28" ht="12.95">
      <c r="A236" s="381"/>
      <c r="B236" s="382" t="s">
        <v>99</v>
      </c>
      <c r="C236" s="382"/>
      <c r="D236" s="382"/>
      <c r="E236" s="382"/>
      <c r="F236" s="382"/>
      <c r="G236" s="382"/>
      <c r="H236" s="384"/>
      <c r="I236" s="384"/>
      <c r="J236" s="384"/>
      <c r="K236" s="384"/>
      <c r="L236" s="384"/>
      <c r="M236" s="382"/>
      <c r="N236" s="382"/>
      <c r="O236" s="382"/>
      <c r="P236" s="382"/>
      <c r="Q236" s="382"/>
      <c r="R236" s="382"/>
      <c r="S236" s="382"/>
      <c r="T236" s="382">
        <v>1</v>
      </c>
      <c r="W236" s="393">
        <f t="shared" si="9"/>
        <v>0</v>
      </c>
      <c r="X236" s="394">
        <f t="shared" si="10"/>
        <v>0</v>
      </c>
      <c r="Y236" s="399">
        <f t="shared" si="11"/>
        <v>0</v>
      </c>
      <c r="Z236" s="400">
        <f t="shared" si="12"/>
        <v>0</v>
      </c>
      <c r="AA236" s="400">
        <f t="shared" si="12"/>
        <v>0</v>
      </c>
      <c r="AB236" s="400">
        <f t="shared" si="12"/>
        <v>0</v>
      </c>
    </row>
    <row r="237" spans="1:28" ht="12.95">
      <c r="A237" s="381"/>
      <c r="B237" s="382" t="s">
        <v>101</v>
      </c>
      <c r="C237" s="451"/>
      <c r="D237" s="382"/>
      <c r="E237" s="382"/>
      <c r="F237" s="382"/>
      <c r="G237" s="382"/>
      <c r="H237" s="384"/>
      <c r="I237" s="384"/>
      <c r="J237" s="384"/>
      <c r="K237" s="384"/>
      <c r="L237" s="384"/>
      <c r="M237" s="382"/>
      <c r="N237" s="382"/>
      <c r="O237" s="382"/>
      <c r="P237" s="382"/>
      <c r="Q237" s="382"/>
      <c r="R237" s="382"/>
      <c r="S237" s="382"/>
      <c r="T237" s="382">
        <v>1</v>
      </c>
      <c r="W237" s="393">
        <f t="shared" si="9"/>
        <v>0</v>
      </c>
      <c r="X237" s="394">
        <f t="shared" si="10"/>
        <v>0</v>
      </c>
      <c r="Y237" s="399">
        <f t="shared" si="11"/>
        <v>0</v>
      </c>
      <c r="Z237" s="400">
        <f t="shared" si="12"/>
        <v>0</v>
      </c>
      <c r="AA237" s="400">
        <f t="shared" si="12"/>
        <v>0</v>
      </c>
      <c r="AB237" s="400">
        <f t="shared" si="12"/>
        <v>0</v>
      </c>
    </row>
    <row r="238" spans="1:28" ht="12.95">
      <c r="A238" s="381"/>
      <c r="B238" s="382" t="s">
        <v>104</v>
      </c>
      <c r="C238" s="451"/>
      <c r="D238" s="382"/>
      <c r="E238" s="382"/>
      <c r="F238" s="382"/>
      <c r="G238" s="382"/>
      <c r="H238" s="384"/>
      <c r="I238" s="384"/>
      <c r="J238" s="384"/>
      <c r="K238" s="384"/>
      <c r="L238" s="384"/>
      <c r="M238" s="382"/>
      <c r="N238" s="382"/>
      <c r="O238" s="382"/>
      <c r="P238" s="382"/>
      <c r="Q238" s="382"/>
      <c r="R238" s="382"/>
      <c r="S238" s="382"/>
      <c r="T238" s="382">
        <v>1</v>
      </c>
      <c r="W238" s="393">
        <f t="shared" si="9"/>
        <v>0</v>
      </c>
      <c r="X238" s="394">
        <f t="shared" si="10"/>
        <v>0</v>
      </c>
      <c r="Y238" s="399">
        <f t="shared" si="11"/>
        <v>0</v>
      </c>
      <c r="Z238" s="400">
        <f t="shared" si="12"/>
        <v>0</v>
      </c>
      <c r="AA238" s="400">
        <f t="shared" si="12"/>
        <v>0</v>
      </c>
      <c r="AB238" s="400">
        <f t="shared" si="12"/>
        <v>0</v>
      </c>
    </row>
    <row r="239" spans="1:28" ht="12.95">
      <c r="A239" s="385"/>
      <c r="B239" s="386" t="s">
        <v>95</v>
      </c>
      <c r="C239" s="388"/>
      <c r="D239" s="388"/>
      <c r="E239" s="388"/>
      <c r="F239" s="388"/>
      <c r="G239" s="388"/>
      <c r="H239" s="389"/>
      <c r="I239" s="389"/>
      <c r="J239" s="389"/>
      <c r="K239" s="389"/>
      <c r="L239" s="389"/>
      <c r="M239" s="389"/>
      <c r="N239" s="388"/>
      <c r="O239" s="388"/>
      <c r="P239" s="388"/>
      <c r="Q239" s="388"/>
      <c r="R239" s="388"/>
      <c r="S239" s="388"/>
      <c r="T239" s="386">
        <v>2</v>
      </c>
      <c r="W239" s="393"/>
      <c r="X239" s="394"/>
      <c r="Y239" s="399"/>
      <c r="Z239" s="400">
        <f t="shared" si="12"/>
        <v>0</v>
      </c>
      <c r="AA239" s="400">
        <f t="shared" si="12"/>
        <v>0</v>
      </c>
      <c r="AB239" s="400">
        <f t="shared" si="12"/>
        <v>0</v>
      </c>
    </row>
    <row r="240" spans="1:28" ht="12.95">
      <c r="A240" s="385"/>
      <c r="B240" s="386" t="s">
        <v>97</v>
      </c>
      <c r="C240" s="388"/>
      <c r="D240" s="388"/>
      <c r="E240" s="388"/>
      <c r="F240" s="388"/>
      <c r="G240" s="388"/>
      <c r="H240" s="389"/>
      <c r="I240" s="389"/>
      <c r="J240" s="389"/>
      <c r="K240" s="389"/>
      <c r="L240" s="389"/>
      <c r="M240" s="389"/>
      <c r="N240" s="388"/>
      <c r="O240" s="388"/>
      <c r="P240" s="388"/>
      <c r="Q240" s="388"/>
      <c r="R240" s="388"/>
      <c r="S240" s="388"/>
      <c r="T240" s="386">
        <v>2</v>
      </c>
      <c r="W240" s="393"/>
      <c r="X240" s="394"/>
      <c r="Y240" s="399"/>
      <c r="Z240" s="400">
        <f t="shared" si="12"/>
        <v>0</v>
      </c>
      <c r="AA240" s="400">
        <f t="shared" si="12"/>
        <v>0</v>
      </c>
      <c r="AB240" s="400">
        <f t="shared" si="12"/>
        <v>0</v>
      </c>
    </row>
    <row r="241" spans="1:28" ht="12.95">
      <c r="A241" s="385"/>
      <c r="B241" s="386" t="s">
        <v>99</v>
      </c>
      <c r="C241" s="388"/>
      <c r="D241" s="388"/>
      <c r="E241" s="388"/>
      <c r="F241" s="388"/>
      <c r="G241" s="388"/>
      <c r="H241" s="389"/>
      <c r="I241" s="389"/>
      <c r="J241" s="389"/>
      <c r="K241" s="389"/>
      <c r="L241" s="389"/>
      <c r="M241" s="389"/>
      <c r="N241" s="388"/>
      <c r="O241" s="388"/>
      <c r="P241" s="388"/>
      <c r="Q241" s="388"/>
      <c r="R241" s="388"/>
      <c r="S241" s="388"/>
      <c r="T241" s="386">
        <v>2</v>
      </c>
      <c r="W241" s="393"/>
      <c r="X241" s="394"/>
      <c r="Y241" s="399"/>
      <c r="Z241" s="400">
        <f t="shared" si="12"/>
        <v>0</v>
      </c>
      <c r="AA241" s="400">
        <f t="shared" si="12"/>
        <v>0</v>
      </c>
      <c r="AB241" s="400">
        <f t="shared" si="12"/>
        <v>0</v>
      </c>
    </row>
    <row r="242" spans="1:28" ht="12.95">
      <c r="A242" s="385"/>
      <c r="B242" s="386" t="s">
        <v>101</v>
      </c>
      <c r="C242" s="388"/>
      <c r="D242" s="388"/>
      <c r="E242" s="388"/>
      <c r="F242" s="388"/>
      <c r="G242" s="388"/>
      <c r="H242" s="389"/>
      <c r="I242" s="389"/>
      <c r="J242" s="389"/>
      <c r="K242" s="389"/>
      <c r="L242" s="389"/>
      <c r="M242" s="389"/>
      <c r="N242" s="388"/>
      <c r="O242" s="388"/>
      <c r="P242" s="388"/>
      <c r="Q242" s="388"/>
      <c r="R242" s="388"/>
      <c r="S242" s="388"/>
      <c r="T242" s="386">
        <v>2</v>
      </c>
      <c r="W242" s="393"/>
      <c r="X242" s="394"/>
      <c r="Y242" s="399"/>
      <c r="Z242" s="400">
        <f t="shared" si="12"/>
        <v>0</v>
      </c>
      <c r="AA242" s="400">
        <f t="shared" si="12"/>
        <v>0</v>
      </c>
      <c r="AB242" s="400">
        <f t="shared" si="12"/>
        <v>0</v>
      </c>
    </row>
    <row r="243" spans="1:28" ht="12.95">
      <c r="A243" s="385"/>
      <c r="B243" s="386" t="s">
        <v>104</v>
      </c>
      <c r="C243" s="388"/>
      <c r="D243" s="388"/>
      <c r="E243" s="388"/>
      <c r="F243" s="388"/>
      <c r="G243" s="388"/>
      <c r="H243" s="389"/>
      <c r="I243" s="389"/>
      <c r="J243" s="389"/>
      <c r="K243" s="389"/>
      <c r="L243" s="389"/>
      <c r="M243" s="389"/>
      <c r="N243" s="388"/>
      <c r="O243" s="388"/>
      <c r="P243" s="388"/>
      <c r="Q243" s="388"/>
      <c r="R243" s="388"/>
      <c r="S243" s="388"/>
      <c r="T243" s="386">
        <v>2</v>
      </c>
      <c r="W243" s="393"/>
      <c r="X243" s="394"/>
      <c r="Y243" s="399"/>
      <c r="Z243" s="400">
        <f t="shared" si="12"/>
        <v>0</v>
      </c>
      <c r="AA243" s="400">
        <f t="shared" si="12"/>
        <v>0</v>
      </c>
      <c r="AB243" s="400">
        <f t="shared" si="12"/>
        <v>0</v>
      </c>
    </row>
    <row r="244" spans="1:28" ht="12.95">
      <c r="A244" s="381">
        <v>44829</v>
      </c>
      <c r="B244" s="382" t="s">
        <v>95</v>
      </c>
      <c r="C244" s="382"/>
      <c r="D244" s="382"/>
      <c r="E244" s="382"/>
      <c r="F244" s="382"/>
      <c r="G244" s="382"/>
      <c r="H244" s="384"/>
      <c r="I244" s="384"/>
      <c r="J244" s="384"/>
      <c r="K244" s="384"/>
      <c r="L244" s="382"/>
      <c r="M244" s="384"/>
      <c r="N244" s="382"/>
      <c r="O244" s="382"/>
      <c r="P244" s="382"/>
      <c r="Q244" s="452"/>
      <c r="R244" s="452"/>
      <c r="S244" s="452"/>
      <c r="T244" s="382">
        <v>1</v>
      </c>
      <c r="W244" s="393">
        <f t="shared" si="9"/>
        <v>0</v>
      </c>
      <c r="X244" s="394">
        <f t="shared" si="10"/>
        <v>0</v>
      </c>
      <c r="Y244" s="399">
        <f t="shared" si="11"/>
        <v>0</v>
      </c>
      <c r="Z244" s="400">
        <f t="shared" si="12"/>
        <v>0</v>
      </c>
      <c r="AA244" s="400">
        <f t="shared" si="12"/>
        <v>0</v>
      </c>
      <c r="AB244" s="400">
        <f t="shared" si="12"/>
        <v>0</v>
      </c>
    </row>
    <row r="245" spans="1:28" ht="12.95">
      <c r="A245" s="381"/>
      <c r="B245" s="382" t="s">
        <v>97</v>
      </c>
      <c r="C245" s="382"/>
      <c r="D245" s="382"/>
      <c r="E245" s="382"/>
      <c r="F245" s="382"/>
      <c r="G245" s="382"/>
      <c r="H245" s="384"/>
      <c r="I245" s="384"/>
      <c r="J245" s="384"/>
      <c r="K245" s="384"/>
      <c r="L245" s="382"/>
      <c r="M245" s="384"/>
      <c r="N245" s="382"/>
      <c r="O245" s="382"/>
      <c r="P245" s="382"/>
      <c r="Q245" s="452"/>
      <c r="R245" s="452"/>
      <c r="S245" s="452"/>
      <c r="T245" s="382">
        <v>1</v>
      </c>
      <c r="W245" s="393">
        <f t="shared" si="9"/>
        <v>0</v>
      </c>
      <c r="X245" s="394">
        <f t="shared" si="10"/>
        <v>0</v>
      </c>
      <c r="Y245" s="399">
        <f t="shared" si="11"/>
        <v>0</v>
      </c>
      <c r="Z245" s="400">
        <f t="shared" si="12"/>
        <v>0</v>
      </c>
      <c r="AA245" s="400">
        <f t="shared" si="12"/>
        <v>0</v>
      </c>
      <c r="AB245" s="400">
        <f t="shared" si="12"/>
        <v>0</v>
      </c>
    </row>
    <row r="246" spans="1:28" ht="12.95">
      <c r="A246" s="381"/>
      <c r="B246" s="382" t="s">
        <v>99</v>
      </c>
      <c r="C246" s="382"/>
      <c r="D246" s="382"/>
      <c r="E246" s="382"/>
      <c r="F246" s="382"/>
      <c r="G246" s="382"/>
      <c r="H246" s="384"/>
      <c r="I246" s="384"/>
      <c r="J246" s="384"/>
      <c r="K246" s="384"/>
      <c r="L246" s="382"/>
      <c r="M246" s="384"/>
      <c r="N246" s="382"/>
      <c r="O246" s="382"/>
      <c r="P246" s="382"/>
      <c r="Q246" s="452"/>
      <c r="R246" s="452"/>
      <c r="S246" s="452"/>
      <c r="T246" s="382">
        <v>1</v>
      </c>
      <c r="W246" s="393">
        <f t="shared" si="9"/>
        <v>0</v>
      </c>
      <c r="X246" s="394">
        <f t="shared" si="10"/>
        <v>0</v>
      </c>
      <c r="Y246" s="399">
        <f t="shared" si="11"/>
        <v>0</v>
      </c>
      <c r="Z246" s="400">
        <f t="shared" si="12"/>
        <v>0</v>
      </c>
      <c r="AA246" s="400">
        <f t="shared" si="12"/>
        <v>0</v>
      </c>
      <c r="AB246" s="400">
        <f t="shared" si="12"/>
        <v>0</v>
      </c>
    </row>
    <row r="247" spans="1:28" ht="12.95">
      <c r="A247" s="381"/>
      <c r="B247" s="382" t="s">
        <v>101</v>
      </c>
      <c r="C247" s="382"/>
      <c r="D247" s="382"/>
      <c r="E247" s="382"/>
      <c r="F247" s="382"/>
      <c r="G247" s="382"/>
      <c r="H247" s="384"/>
      <c r="I247" s="384"/>
      <c r="J247" s="384"/>
      <c r="K247" s="384"/>
      <c r="L247" s="382"/>
      <c r="M247" s="384"/>
      <c r="N247" s="382"/>
      <c r="O247" s="382"/>
      <c r="P247" s="382"/>
      <c r="Q247" s="452"/>
      <c r="R247" s="452"/>
      <c r="S247" s="452"/>
      <c r="T247" s="382">
        <v>1</v>
      </c>
      <c r="W247" s="393">
        <f t="shared" si="9"/>
        <v>0</v>
      </c>
      <c r="X247" s="394">
        <f t="shared" si="10"/>
        <v>0</v>
      </c>
      <c r="Y247" s="399">
        <f t="shared" si="11"/>
        <v>0</v>
      </c>
      <c r="Z247" s="400">
        <f t="shared" si="12"/>
        <v>0</v>
      </c>
      <c r="AA247" s="400">
        <f t="shared" si="12"/>
        <v>0</v>
      </c>
      <c r="AB247" s="400">
        <f t="shared" si="12"/>
        <v>0</v>
      </c>
    </row>
    <row r="248" spans="1:28" ht="12.95">
      <c r="A248" s="381"/>
      <c r="B248" s="382" t="s">
        <v>104</v>
      </c>
      <c r="C248" s="382"/>
      <c r="D248" s="382"/>
      <c r="E248" s="382"/>
      <c r="F248" s="382"/>
      <c r="G248" s="382"/>
      <c r="H248" s="384"/>
      <c r="I248" s="384"/>
      <c r="J248" s="384"/>
      <c r="K248" s="384"/>
      <c r="L248" s="382"/>
      <c r="M248" s="384"/>
      <c r="N248" s="382"/>
      <c r="O248" s="382"/>
      <c r="P248" s="382"/>
      <c r="Q248" s="452"/>
      <c r="R248" s="452"/>
      <c r="S248" s="452"/>
      <c r="T248" s="382">
        <v>1</v>
      </c>
      <c r="W248" s="393">
        <f t="shared" ref="W248:W308" si="13">Y248+Y253</f>
        <v>0</v>
      </c>
      <c r="X248" s="394">
        <f t="shared" ref="X248:X308" si="14">E248+F248+G248+E253+F253+G253</f>
        <v>0</v>
      </c>
      <c r="Y248" s="399">
        <f t="shared" ref="Y248:Y308" si="15">H248+I248+J248+K248+L248+M248+N248+O248+P248+Q248+R248+S248+H253+I253+J253+K253+L253+M253+N253+O253+P253+Q253+R253+S253</f>
        <v>0</v>
      </c>
      <c r="Z248" s="400">
        <f t="shared" si="12"/>
        <v>0</v>
      </c>
      <c r="AA248" s="400">
        <f t="shared" si="12"/>
        <v>0</v>
      </c>
      <c r="AB248" s="400">
        <f t="shared" si="12"/>
        <v>0</v>
      </c>
    </row>
    <row r="249" spans="1:28" ht="12.95">
      <c r="A249" s="385"/>
      <c r="B249" s="386" t="s">
        <v>95</v>
      </c>
      <c r="C249" s="388"/>
      <c r="D249" s="388"/>
      <c r="E249" s="388"/>
      <c r="F249" s="388"/>
      <c r="G249" s="388"/>
      <c r="H249" s="389"/>
      <c r="I249" s="389"/>
      <c r="J249" s="389"/>
      <c r="K249" s="389"/>
      <c r="L249" s="389"/>
      <c r="M249" s="389"/>
      <c r="N249" s="388"/>
      <c r="O249" s="388"/>
      <c r="P249" s="388"/>
      <c r="Q249" s="388"/>
      <c r="R249" s="388"/>
      <c r="S249" s="388"/>
      <c r="T249" s="386">
        <v>2</v>
      </c>
      <c r="W249" s="393"/>
      <c r="X249" s="394"/>
      <c r="Y249" s="399"/>
      <c r="Z249" s="400">
        <f t="shared" si="12"/>
        <v>0</v>
      </c>
      <c r="AA249" s="400">
        <f t="shared" si="12"/>
        <v>0</v>
      </c>
      <c r="AB249" s="400">
        <f t="shared" si="12"/>
        <v>0</v>
      </c>
    </row>
    <row r="250" spans="1:28" ht="12.95">
      <c r="A250" s="385"/>
      <c r="B250" s="386" t="s">
        <v>97</v>
      </c>
      <c r="C250" s="388"/>
      <c r="D250" s="388"/>
      <c r="E250" s="388"/>
      <c r="F250" s="388"/>
      <c r="G250" s="388"/>
      <c r="H250" s="389"/>
      <c r="I250" s="389"/>
      <c r="J250" s="389"/>
      <c r="K250" s="389"/>
      <c r="L250" s="389"/>
      <c r="M250" s="389"/>
      <c r="N250" s="388"/>
      <c r="O250" s="388"/>
      <c r="P250" s="388"/>
      <c r="Q250" s="388"/>
      <c r="R250" s="388"/>
      <c r="S250" s="388"/>
      <c r="T250" s="386">
        <v>2</v>
      </c>
      <c r="W250" s="393"/>
      <c r="X250" s="394"/>
      <c r="Y250" s="399"/>
      <c r="Z250" s="400">
        <f t="shared" si="12"/>
        <v>0</v>
      </c>
      <c r="AA250" s="400">
        <f t="shared" si="12"/>
        <v>0</v>
      </c>
      <c r="AB250" s="400">
        <f t="shared" si="12"/>
        <v>0</v>
      </c>
    </row>
    <row r="251" spans="1:28" ht="12.95">
      <c r="A251" s="385"/>
      <c r="B251" s="386" t="s">
        <v>99</v>
      </c>
      <c r="C251" s="388"/>
      <c r="D251" s="388"/>
      <c r="E251" s="388"/>
      <c r="F251" s="388"/>
      <c r="G251" s="388"/>
      <c r="H251" s="389"/>
      <c r="I251" s="389"/>
      <c r="J251" s="389"/>
      <c r="K251" s="389"/>
      <c r="L251" s="389"/>
      <c r="M251" s="389"/>
      <c r="N251" s="388"/>
      <c r="O251" s="388"/>
      <c r="P251" s="388"/>
      <c r="Q251" s="388"/>
      <c r="R251" s="388"/>
      <c r="S251" s="388"/>
      <c r="T251" s="386">
        <v>2</v>
      </c>
      <c r="W251" s="393"/>
      <c r="X251" s="394"/>
      <c r="Y251" s="399"/>
      <c r="Z251" s="400">
        <f t="shared" si="12"/>
        <v>0</v>
      </c>
      <c r="AA251" s="400">
        <f t="shared" si="12"/>
        <v>0</v>
      </c>
      <c r="AB251" s="400">
        <f t="shared" si="12"/>
        <v>0</v>
      </c>
    </row>
    <row r="252" spans="1:28" ht="12.95">
      <c r="A252" s="385"/>
      <c r="B252" s="386" t="s">
        <v>101</v>
      </c>
      <c r="C252" s="388"/>
      <c r="D252" s="388"/>
      <c r="E252" s="388"/>
      <c r="F252" s="388"/>
      <c r="G252" s="388"/>
      <c r="H252" s="389"/>
      <c r="I252" s="389"/>
      <c r="J252" s="389"/>
      <c r="K252" s="389"/>
      <c r="L252" s="389"/>
      <c r="M252" s="389"/>
      <c r="N252" s="388"/>
      <c r="O252" s="388"/>
      <c r="P252" s="388"/>
      <c r="Q252" s="388"/>
      <c r="R252" s="388"/>
      <c r="S252" s="388"/>
      <c r="T252" s="386">
        <v>2</v>
      </c>
      <c r="W252" s="393"/>
      <c r="X252" s="394"/>
      <c r="Y252" s="399"/>
      <c r="Z252" s="400">
        <f t="shared" si="12"/>
        <v>0</v>
      </c>
      <c r="AA252" s="400">
        <f t="shared" si="12"/>
        <v>0</v>
      </c>
      <c r="AB252" s="400">
        <f t="shared" si="12"/>
        <v>0</v>
      </c>
    </row>
    <row r="253" spans="1:28" ht="12.95">
      <c r="A253" s="385"/>
      <c r="B253" s="386" t="s">
        <v>104</v>
      </c>
      <c r="C253" s="388"/>
      <c r="D253" s="388"/>
      <c r="E253" s="388"/>
      <c r="F253" s="388"/>
      <c r="G253" s="388"/>
      <c r="H253" s="389"/>
      <c r="I253" s="389"/>
      <c r="J253" s="389"/>
      <c r="K253" s="389"/>
      <c r="L253" s="389"/>
      <c r="M253" s="389"/>
      <c r="N253" s="388"/>
      <c r="O253" s="388"/>
      <c r="P253" s="388"/>
      <c r="Q253" s="388"/>
      <c r="R253" s="388"/>
      <c r="S253" s="388"/>
      <c r="T253" s="386">
        <v>2</v>
      </c>
      <c r="W253" s="393"/>
      <c r="X253" s="394"/>
      <c r="Y253" s="399"/>
      <c r="Z253" s="400">
        <f t="shared" si="12"/>
        <v>0</v>
      </c>
      <c r="AA253" s="400">
        <f t="shared" si="12"/>
        <v>0</v>
      </c>
      <c r="AB253" s="400">
        <f t="shared" si="12"/>
        <v>0</v>
      </c>
    </row>
    <row r="254" spans="1:28" ht="12.95">
      <c r="A254" s="381">
        <v>44830</v>
      </c>
      <c r="B254" s="382" t="s">
        <v>95</v>
      </c>
      <c r="C254" s="382"/>
      <c r="D254" s="382"/>
      <c r="E254" s="382"/>
      <c r="F254" s="382"/>
      <c r="G254" s="382"/>
      <c r="H254" s="384"/>
      <c r="I254" s="384"/>
      <c r="J254" s="384"/>
      <c r="K254" s="384"/>
      <c r="L254" s="384"/>
      <c r="M254" s="384"/>
      <c r="N254" s="382"/>
      <c r="O254" s="382"/>
      <c r="P254" s="382"/>
      <c r="Q254" s="452"/>
      <c r="R254" s="452"/>
      <c r="S254" s="452"/>
      <c r="T254" s="382">
        <v>1</v>
      </c>
      <c r="W254" s="393">
        <f t="shared" si="13"/>
        <v>0</v>
      </c>
      <c r="X254" s="394">
        <f t="shared" si="14"/>
        <v>0</v>
      </c>
      <c r="Y254" s="399">
        <f t="shared" si="15"/>
        <v>0</v>
      </c>
      <c r="Z254" s="400">
        <f t="shared" si="12"/>
        <v>0</v>
      </c>
      <c r="AA254" s="400">
        <f t="shared" si="12"/>
        <v>0</v>
      </c>
      <c r="AB254" s="400">
        <f t="shared" si="12"/>
        <v>0</v>
      </c>
    </row>
    <row r="255" spans="1:28" ht="12.95">
      <c r="A255" s="381"/>
      <c r="B255" s="382" t="s">
        <v>97</v>
      </c>
      <c r="C255" s="382"/>
      <c r="D255" s="382"/>
      <c r="E255" s="382"/>
      <c r="F255" s="382"/>
      <c r="G255" s="382"/>
      <c r="H255" s="384"/>
      <c r="I255" s="384"/>
      <c r="J255" s="384"/>
      <c r="K255" s="384"/>
      <c r="L255" s="384"/>
      <c r="M255" s="384"/>
      <c r="N255" s="382"/>
      <c r="O255" s="382"/>
      <c r="P255" s="382"/>
      <c r="Q255" s="452"/>
      <c r="R255" s="452"/>
      <c r="S255" s="452"/>
      <c r="T255" s="382">
        <v>1</v>
      </c>
      <c r="W255" s="393">
        <f t="shared" si="13"/>
        <v>0</v>
      </c>
      <c r="X255" s="394">
        <f t="shared" si="14"/>
        <v>0</v>
      </c>
      <c r="Y255" s="399">
        <f t="shared" si="15"/>
        <v>0</v>
      </c>
      <c r="Z255" s="400">
        <f t="shared" si="12"/>
        <v>0</v>
      </c>
      <c r="AA255" s="400">
        <f t="shared" si="12"/>
        <v>0</v>
      </c>
      <c r="AB255" s="400">
        <f t="shared" si="12"/>
        <v>0</v>
      </c>
    </row>
    <row r="256" spans="1:28" ht="12.95">
      <c r="A256" s="381"/>
      <c r="B256" s="382" t="s">
        <v>99</v>
      </c>
      <c r="C256" s="382"/>
      <c r="D256" s="382"/>
      <c r="E256" s="382"/>
      <c r="F256" s="382"/>
      <c r="G256" s="382"/>
      <c r="H256" s="384"/>
      <c r="I256" s="384"/>
      <c r="J256" s="384"/>
      <c r="K256" s="384"/>
      <c r="L256" s="384"/>
      <c r="M256" s="384"/>
      <c r="N256" s="382"/>
      <c r="O256" s="382"/>
      <c r="P256" s="382"/>
      <c r="Q256" s="452"/>
      <c r="R256" s="452"/>
      <c r="S256" s="452"/>
      <c r="T256" s="382">
        <v>1</v>
      </c>
      <c r="W256" s="393">
        <f t="shared" si="13"/>
        <v>0</v>
      </c>
      <c r="X256" s="394">
        <f t="shared" si="14"/>
        <v>0</v>
      </c>
      <c r="Y256" s="399">
        <f t="shared" si="15"/>
        <v>0</v>
      </c>
      <c r="Z256" s="400">
        <f t="shared" si="12"/>
        <v>0</v>
      </c>
      <c r="AA256" s="400">
        <f t="shared" si="12"/>
        <v>0</v>
      </c>
      <c r="AB256" s="400">
        <f t="shared" si="12"/>
        <v>0</v>
      </c>
    </row>
    <row r="257" spans="1:28" ht="12.95">
      <c r="A257" s="381"/>
      <c r="B257" s="382" t="s">
        <v>101</v>
      </c>
      <c r="C257" s="382"/>
      <c r="D257" s="382"/>
      <c r="E257" s="382"/>
      <c r="F257" s="382"/>
      <c r="G257" s="382"/>
      <c r="H257" s="384"/>
      <c r="I257" s="384"/>
      <c r="J257" s="384"/>
      <c r="K257" s="384"/>
      <c r="L257" s="384"/>
      <c r="M257" s="384"/>
      <c r="N257" s="382"/>
      <c r="O257" s="382"/>
      <c r="P257" s="382"/>
      <c r="Q257" s="452"/>
      <c r="R257" s="452"/>
      <c r="S257" s="452"/>
      <c r="T257" s="382">
        <v>1</v>
      </c>
      <c r="W257" s="393">
        <f t="shared" si="13"/>
        <v>0</v>
      </c>
      <c r="X257" s="394">
        <f t="shared" si="14"/>
        <v>0</v>
      </c>
      <c r="Y257" s="399">
        <f t="shared" si="15"/>
        <v>0</v>
      </c>
      <c r="Z257" s="400">
        <f t="shared" si="12"/>
        <v>0</v>
      </c>
      <c r="AA257" s="400">
        <f t="shared" si="12"/>
        <v>0</v>
      </c>
      <c r="AB257" s="400">
        <f t="shared" si="12"/>
        <v>0</v>
      </c>
    </row>
    <row r="258" spans="1:28" ht="12.95">
      <c r="A258" s="381"/>
      <c r="B258" s="382" t="s">
        <v>104</v>
      </c>
      <c r="C258" s="382"/>
      <c r="D258" s="382"/>
      <c r="E258" s="382"/>
      <c r="F258" s="382"/>
      <c r="G258" s="382"/>
      <c r="H258" s="384"/>
      <c r="I258" s="384"/>
      <c r="J258" s="384"/>
      <c r="K258" s="384"/>
      <c r="L258" s="384"/>
      <c r="M258" s="384"/>
      <c r="N258" s="382"/>
      <c r="O258" s="382"/>
      <c r="P258" s="382"/>
      <c r="Q258" s="452"/>
      <c r="R258" s="452"/>
      <c r="S258" s="452"/>
      <c r="T258" s="382">
        <v>1</v>
      </c>
      <c r="W258" s="393">
        <f t="shared" si="13"/>
        <v>0</v>
      </c>
      <c r="X258" s="394">
        <f t="shared" si="14"/>
        <v>0</v>
      </c>
      <c r="Y258" s="399">
        <f t="shared" si="15"/>
        <v>0</v>
      </c>
      <c r="Z258" s="400">
        <f t="shared" si="12"/>
        <v>0</v>
      </c>
      <c r="AA258" s="400">
        <f t="shared" si="12"/>
        <v>0</v>
      </c>
      <c r="AB258" s="400">
        <f t="shared" si="12"/>
        <v>0</v>
      </c>
    </row>
    <row r="259" spans="1:28" ht="12.95">
      <c r="A259" s="385"/>
      <c r="B259" s="386" t="s">
        <v>95</v>
      </c>
      <c r="C259" s="388"/>
      <c r="D259" s="388"/>
      <c r="E259" s="388"/>
      <c r="F259" s="388"/>
      <c r="G259" s="388"/>
      <c r="H259" s="389"/>
      <c r="I259" s="389"/>
      <c r="J259" s="389"/>
      <c r="K259" s="389"/>
      <c r="L259" s="389"/>
      <c r="M259" s="389"/>
      <c r="N259" s="388"/>
      <c r="O259" s="388"/>
      <c r="P259" s="388"/>
      <c r="Q259" s="388"/>
      <c r="R259" s="388"/>
      <c r="S259" s="388"/>
      <c r="T259" s="386">
        <v>2</v>
      </c>
      <c r="W259" s="393"/>
      <c r="X259" s="394"/>
      <c r="Y259" s="399"/>
      <c r="Z259" s="400">
        <f t="shared" si="12"/>
        <v>0</v>
      </c>
      <c r="AA259" s="400">
        <f t="shared" si="12"/>
        <v>0</v>
      </c>
      <c r="AB259" s="400">
        <f t="shared" si="12"/>
        <v>0</v>
      </c>
    </row>
    <row r="260" spans="1:28" ht="12.95">
      <c r="A260" s="385"/>
      <c r="B260" s="386" t="s">
        <v>97</v>
      </c>
      <c r="C260" s="388"/>
      <c r="D260" s="388"/>
      <c r="E260" s="388"/>
      <c r="F260" s="388"/>
      <c r="G260" s="388"/>
      <c r="H260" s="389"/>
      <c r="I260" s="389"/>
      <c r="J260" s="389"/>
      <c r="K260" s="389"/>
      <c r="L260" s="389"/>
      <c r="M260" s="389"/>
      <c r="N260" s="388"/>
      <c r="O260" s="388"/>
      <c r="P260" s="388"/>
      <c r="Q260" s="388"/>
      <c r="R260" s="388"/>
      <c r="S260" s="388"/>
      <c r="T260" s="386">
        <v>2</v>
      </c>
      <c r="W260" s="393"/>
      <c r="X260" s="394"/>
      <c r="Y260" s="399"/>
      <c r="Z260" s="400">
        <f t="shared" si="12"/>
        <v>0</v>
      </c>
      <c r="AA260" s="400">
        <f t="shared" si="12"/>
        <v>0</v>
      </c>
      <c r="AB260" s="400">
        <f t="shared" si="12"/>
        <v>0</v>
      </c>
    </row>
    <row r="261" spans="1:28" ht="12.95">
      <c r="A261" s="385"/>
      <c r="B261" s="386" t="s">
        <v>99</v>
      </c>
      <c r="C261" s="388"/>
      <c r="D261" s="388"/>
      <c r="E261" s="388"/>
      <c r="F261" s="388"/>
      <c r="G261" s="388"/>
      <c r="H261" s="389"/>
      <c r="I261" s="389"/>
      <c r="J261" s="389"/>
      <c r="K261" s="389"/>
      <c r="L261" s="389"/>
      <c r="M261" s="389"/>
      <c r="N261" s="388"/>
      <c r="O261" s="388"/>
      <c r="P261" s="388"/>
      <c r="Q261" s="388"/>
      <c r="R261" s="388"/>
      <c r="S261" s="388"/>
      <c r="T261" s="386">
        <v>2</v>
      </c>
      <c r="W261" s="393"/>
      <c r="X261" s="394"/>
      <c r="Y261" s="399"/>
      <c r="Z261" s="400">
        <f t="shared" ref="Z261:AB313" si="16">H261+K261+N261+Q261</f>
        <v>0</v>
      </c>
      <c r="AA261" s="400">
        <f t="shared" si="16"/>
        <v>0</v>
      </c>
      <c r="AB261" s="400">
        <f t="shared" si="16"/>
        <v>0</v>
      </c>
    </row>
    <row r="262" spans="1:28" ht="12.95">
      <c r="A262" s="385"/>
      <c r="B262" s="386" t="s">
        <v>101</v>
      </c>
      <c r="C262" s="388"/>
      <c r="D262" s="388"/>
      <c r="E262" s="388"/>
      <c r="F262" s="388"/>
      <c r="G262" s="388"/>
      <c r="H262" s="389"/>
      <c r="I262" s="389"/>
      <c r="J262" s="389"/>
      <c r="K262" s="389"/>
      <c r="L262" s="389"/>
      <c r="M262" s="389"/>
      <c r="N262" s="388"/>
      <c r="O262" s="388"/>
      <c r="P262" s="388"/>
      <c r="Q262" s="388"/>
      <c r="R262" s="388"/>
      <c r="S262" s="388"/>
      <c r="T262" s="386">
        <v>2</v>
      </c>
      <c r="W262" s="393"/>
      <c r="X262" s="394"/>
      <c r="Y262" s="399"/>
      <c r="Z262" s="400">
        <f t="shared" si="16"/>
        <v>0</v>
      </c>
      <c r="AA262" s="400">
        <f t="shared" si="16"/>
        <v>0</v>
      </c>
      <c r="AB262" s="400">
        <f t="shared" si="16"/>
        <v>0</v>
      </c>
    </row>
    <row r="263" spans="1:28" ht="12.95">
      <c r="A263" s="385"/>
      <c r="B263" s="386" t="s">
        <v>104</v>
      </c>
      <c r="C263" s="388"/>
      <c r="D263" s="388"/>
      <c r="E263" s="388"/>
      <c r="F263" s="388"/>
      <c r="G263" s="388"/>
      <c r="H263" s="389"/>
      <c r="I263" s="389"/>
      <c r="J263" s="389"/>
      <c r="K263" s="389"/>
      <c r="L263" s="389"/>
      <c r="M263" s="389"/>
      <c r="N263" s="388"/>
      <c r="O263" s="388"/>
      <c r="P263" s="388"/>
      <c r="Q263" s="388"/>
      <c r="R263" s="388"/>
      <c r="S263" s="388"/>
      <c r="T263" s="386">
        <v>2</v>
      </c>
      <c r="W263" s="393"/>
      <c r="X263" s="394"/>
      <c r="Y263" s="399"/>
      <c r="Z263" s="400">
        <f t="shared" si="16"/>
        <v>0</v>
      </c>
      <c r="AA263" s="400">
        <f t="shared" si="16"/>
        <v>0</v>
      </c>
      <c r="AB263" s="400">
        <f t="shared" si="16"/>
        <v>0</v>
      </c>
    </row>
    <row r="264" spans="1:28" ht="12.95">
      <c r="A264" s="381">
        <v>44831</v>
      </c>
      <c r="B264" s="382" t="s">
        <v>95</v>
      </c>
      <c r="C264" s="382"/>
      <c r="D264" s="451"/>
      <c r="E264" s="382"/>
      <c r="F264" s="382"/>
      <c r="G264" s="382"/>
      <c r="H264" s="384"/>
      <c r="I264" s="384"/>
      <c r="J264" s="384"/>
      <c r="K264" s="384"/>
      <c r="L264" s="384"/>
      <c r="M264" s="384"/>
      <c r="N264" s="382"/>
      <c r="O264" s="382"/>
      <c r="P264" s="382"/>
      <c r="Q264" s="382"/>
      <c r="R264" s="382"/>
      <c r="S264" s="382"/>
      <c r="T264" s="382">
        <v>1</v>
      </c>
      <c r="W264" s="393">
        <f t="shared" si="13"/>
        <v>0</v>
      </c>
      <c r="X264" s="394">
        <f t="shared" si="14"/>
        <v>0</v>
      </c>
      <c r="Y264" s="399">
        <f t="shared" si="15"/>
        <v>0</v>
      </c>
      <c r="Z264" s="400">
        <f t="shared" si="16"/>
        <v>0</v>
      </c>
      <c r="AA264" s="400">
        <f t="shared" si="16"/>
        <v>0</v>
      </c>
      <c r="AB264" s="400">
        <f t="shared" si="16"/>
        <v>0</v>
      </c>
    </row>
    <row r="265" spans="1:28" ht="12.95">
      <c r="A265" s="381"/>
      <c r="B265" s="382" t="s">
        <v>97</v>
      </c>
      <c r="C265" s="382"/>
      <c r="D265" s="382"/>
      <c r="E265" s="382"/>
      <c r="F265" s="382"/>
      <c r="G265" s="382"/>
      <c r="H265" s="384"/>
      <c r="I265" s="384"/>
      <c r="J265" s="384"/>
      <c r="K265" s="384"/>
      <c r="L265" s="384"/>
      <c r="M265" s="384"/>
      <c r="N265" s="382"/>
      <c r="O265" s="382"/>
      <c r="P265" s="382"/>
      <c r="Q265" s="382"/>
      <c r="R265" s="382"/>
      <c r="S265" s="382"/>
      <c r="T265" s="382">
        <v>1</v>
      </c>
      <c r="W265" s="393">
        <f t="shared" si="13"/>
        <v>0</v>
      </c>
      <c r="X265" s="394">
        <f t="shared" si="14"/>
        <v>0</v>
      </c>
      <c r="Y265" s="399">
        <f t="shared" si="15"/>
        <v>0</v>
      </c>
      <c r="Z265" s="400">
        <f t="shared" si="16"/>
        <v>0</v>
      </c>
      <c r="AA265" s="400">
        <f t="shared" si="16"/>
        <v>0</v>
      </c>
      <c r="AB265" s="400">
        <f t="shared" si="16"/>
        <v>0</v>
      </c>
    </row>
    <row r="266" spans="1:28" ht="12.95">
      <c r="A266" s="381"/>
      <c r="B266" s="382" t="s">
        <v>99</v>
      </c>
      <c r="C266" s="382"/>
      <c r="D266" s="382"/>
      <c r="E266" s="382"/>
      <c r="F266" s="382"/>
      <c r="G266" s="382"/>
      <c r="H266" s="384"/>
      <c r="I266" s="384"/>
      <c r="J266" s="384"/>
      <c r="K266" s="384"/>
      <c r="L266" s="384"/>
      <c r="M266" s="384"/>
      <c r="N266" s="382"/>
      <c r="O266" s="382"/>
      <c r="P266" s="382"/>
      <c r="Q266" s="382"/>
      <c r="R266" s="382"/>
      <c r="S266" s="382"/>
      <c r="T266" s="382">
        <v>1</v>
      </c>
      <c r="W266" s="393">
        <f t="shared" si="13"/>
        <v>0</v>
      </c>
      <c r="X266" s="394">
        <f t="shared" si="14"/>
        <v>0</v>
      </c>
      <c r="Y266" s="399">
        <f t="shared" si="15"/>
        <v>0</v>
      </c>
      <c r="Z266" s="400">
        <f t="shared" si="16"/>
        <v>0</v>
      </c>
      <c r="AA266" s="400">
        <f t="shared" si="16"/>
        <v>0</v>
      </c>
      <c r="AB266" s="400">
        <f t="shared" si="16"/>
        <v>0</v>
      </c>
    </row>
    <row r="267" spans="1:28" ht="12.95">
      <c r="A267" s="381"/>
      <c r="B267" s="382" t="s">
        <v>101</v>
      </c>
      <c r="C267" s="382"/>
      <c r="D267" s="382"/>
      <c r="E267" s="382"/>
      <c r="F267" s="382"/>
      <c r="G267" s="382"/>
      <c r="H267" s="384"/>
      <c r="I267" s="384"/>
      <c r="J267" s="384"/>
      <c r="K267" s="384"/>
      <c r="L267" s="384"/>
      <c r="M267" s="384"/>
      <c r="N267" s="382"/>
      <c r="O267" s="382"/>
      <c r="P267" s="382"/>
      <c r="Q267" s="382"/>
      <c r="R267" s="382"/>
      <c r="S267" s="382"/>
      <c r="T267" s="382">
        <v>1</v>
      </c>
      <c r="W267" s="393">
        <f t="shared" si="13"/>
        <v>0</v>
      </c>
      <c r="X267" s="394">
        <f t="shared" si="14"/>
        <v>0</v>
      </c>
      <c r="Y267" s="399">
        <f t="shared" si="15"/>
        <v>0</v>
      </c>
      <c r="Z267" s="400">
        <f t="shared" si="16"/>
        <v>0</v>
      </c>
      <c r="AA267" s="400">
        <f t="shared" si="16"/>
        <v>0</v>
      </c>
      <c r="AB267" s="400">
        <f t="shared" si="16"/>
        <v>0</v>
      </c>
    </row>
    <row r="268" spans="1:28" ht="12.95">
      <c r="A268" s="381"/>
      <c r="B268" s="382" t="s">
        <v>104</v>
      </c>
      <c r="C268" s="382"/>
      <c r="D268" s="382"/>
      <c r="E268" s="382"/>
      <c r="F268" s="382"/>
      <c r="G268" s="382"/>
      <c r="H268" s="384"/>
      <c r="I268" s="384"/>
      <c r="J268" s="384"/>
      <c r="K268" s="384"/>
      <c r="L268" s="384"/>
      <c r="M268" s="384"/>
      <c r="N268" s="382"/>
      <c r="O268" s="382"/>
      <c r="P268" s="382"/>
      <c r="Q268" s="382"/>
      <c r="R268" s="382"/>
      <c r="S268" s="382"/>
      <c r="T268" s="382">
        <v>1</v>
      </c>
      <c r="W268" s="393">
        <f t="shared" si="13"/>
        <v>0</v>
      </c>
      <c r="X268" s="394">
        <f t="shared" si="14"/>
        <v>0</v>
      </c>
      <c r="Y268" s="399">
        <f t="shared" si="15"/>
        <v>0</v>
      </c>
      <c r="Z268" s="400">
        <f t="shared" si="16"/>
        <v>0</v>
      </c>
      <c r="AA268" s="400">
        <f t="shared" si="16"/>
        <v>0</v>
      </c>
      <c r="AB268" s="400">
        <f t="shared" si="16"/>
        <v>0</v>
      </c>
    </row>
    <row r="269" spans="1:28" ht="12.95">
      <c r="A269" s="385"/>
      <c r="B269" s="386" t="s">
        <v>95</v>
      </c>
      <c r="C269" s="388"/>
      <c r="D269" s="388"/>
      <c r="E269" s="388"/>
      <c r="F269" s="388"/>
      <c r="G269" s="388"/>
      <c r="H269" s="389"/>
      <c r="I269" s="389"/>
      <c r="J269" s="389"/>
      <c r="K269" s="389"/>
      <c r="L269" s="389"/>
      <c r="M269" s="389"/>
      <c r="N269" s="388"/>
      <c r="O269" s="388"/>
      <c r="P269" s="388"/>
      <c r="Q269" s="388"/>
      <c r="R269" s="388"/>
      <c r="S269" s="388"/>
      <c r="T269" s="386">
        <v>2</v>
      </c>
      <c r="W269" s="393"/>
      <c r="X269" s="394"/>
      <c r="Y269" s="399"/>
      <c r="Z269" s="400">
        <f t="shared" si="16"/>
        <v>0</v>
      </c>
      <c r="AA269" s="400">
        <f t="shared" si="16"/>
        <v>0</v>
      </c>
      <c r="AB269" s="400">
        <f t="shared" si="16"/>
        <v>0</v>
      </c>
    </row>
    <row r="270" spans="1:28" ht="12.95">
      <c r="A270" s="385"/>
      <c r="B270" s="386" t="s">
        <v>97</v>
      </c>
      <c r="C270" s="388"/>
      <c r="D270" s="388"/>
      <c r="E270" s="388"/>
      <c r="F270" s="388"/>
      <c r="G270" s="388"/>
      <c r="H270" s="389"/>
      <c r="I270" s="389"/>
      <c r="J270" s="389"/>
      <c r="K270" s="389"/>
      <c r="L270" s="389"/>
      <c r="M270" s="389"/>
      <c r="N270" s="388"/>
      <c r="O270" s="388"/>
      <c r="P270" s="388"/>
      <c r="Q270" s="388"/>
      <c r="R270" s="388"/>
      <c r="S270" s="388"/>
      <c r="T270" s="386">
        <v>2</v>
      </c>
      <c r="W270" s="393"/>
      <c r="X270" s="394"/>
      <c r="Y270" s="399"/>
      <c r="Z270" s="400">
        <f t="shared" si="16"/>
        <v>0</v>
      </c>
      <c r="AA270" s="400">
        <f t="shared" si="16"/>
        <v>0</v>
      </c>
      <c r="AB270" s="400">
        <f t="shared" si="16"/>
        <v>0</v>
      </c>
    </row>
    <row r="271" spans="1:28" ht="12.95">
      <c r="A271" s="385"/>
      <c r="B271" s="386" t="s">
        <v>99</v>
      </c>
      <c r="C271" s="388"/>
      <c r="D271" s="388"/>
      <c r="E271" s="388"/>
      <c r="F271" s="388"/>
      <c r="G271" s="388"/>
      <c r="H271" s="389"/>
      <c r="I271" s="389"/>
      <c r="J271" s="389"/>
      <c r="K271" s="389"/>
      <c r="L271" s="389"/>
      <c r="M271" s="389"/>
      <c r="N271" s="388"/>
      <c r="O271" s="388"/>
      <c r="P271" s="388"/>
      <c r="Q271" s="388"/>
      <c r="R271" s="388"/>
      <c r="S271" s="388"/>
      <c r="T271" s="386">
        <v>2</v>
      </c>
      <c r="W271" s="393"/>
      <c r="X271" s="394"/>
      <c r="Y271" s="399"/>
      <c r="Z271" s="400">
        <f t="shared" si="16"/>
        <v>0</v>
      </c>
      <c r="AA271" s="400">
        <f t="shared" si="16"/>
        <v>0</v>
      </c>
      <c r="AB271" s="400">
        <f t="shared" si="16"/>
        <v>0</v>
      </c>
    </row>
    <row r="272" spans="1:28" ht="12.95">
      <c r="A272" s="385"/>
      <c r="B272" s="386" t="s">
        <v>101</v>
      </c>
      <c r="C272" s="388"/>
      <c r="D272" s="388"/>
      <c r="E272" s="388"/>
      <c r="F272" s="388"/>
      <c r="G272" s="388"/>
      <c r="H272" s="389"/>
      <c r="I272" s="389"/>
      <c r="J272" s="389"/>
      <c r="K272" s="389"/>
      <c r="L272" s="389"/>
      <c r="M272" s="389"/>
      <c r="N272" s="388"/>
      <c r="O272" s="388"/>
      <c r="P272" s="388"/>
      <c r="Q272" s="388"/>
      <c r="R272" s="388"/>
      <c r="S272" s="388"/>
      <c r="T272" s="386">
        <v>2</v>
      </c>
      <c r="W272" s="393"/>
      <c r="X272" s="394"/>
      <c r="Y272" s="399"/>
      <c r="Z272" s="400">
        <f t="shared" si="16"/>
        <v>0</v>
      </c>
      <c r="AA272" s="400">
        <f t="shared" si="16"/>
        <v>0</v>
      </c>
      <c r="AB272" s="400">
        <f t="shared" si="16"/>
        <v>0</v>
      </c>
    </row>
    <row r="273" spans="1:28" ht="12.95">
      <c r="A273" s="385"/>
      <c r="B273" s="386" t="s">
        <v>104</v>
      </c>
      <c r="C273" s="388"/>
      <c r="D273" s="388"/>
      <c r="E273" s="388"/>
      <c r="F273" s="388"/>
      <c r="G273" s="388"/>
      <c r="H273" s="389"/>
      <c r="I273" s="389"/>
      <c r="J273" s="389"/>
      <c r="K273" s="389"/>
      <c r="L273" s="389"/>
      <c r="M273" s="389"/>
      <c r="N273" s="388"/>
      <c r="O273" s="388"/>
      <c r="P273" s="388"/>
      <c r="Q273" s="388"/>
      <c r="R273" s="388"/>
      <c r="S273" s="388"/>
      <c r="T273" s="386">
        <v>2</v>
      </c>
      <c r="W273" s="393"/>
      <c r="X273" s="394"/>
      <c r="Y273" s="399"/>
      <c r="Z273" s="400">
        <f t="shared" si="16"/>
        <v>0</v>
      </c>
      <c r="AA273" s="400">
        <f t="shared" si="16"/>
        <v>0</v>
      </c>
      <c r="AB273" s="400">
        <f t="shared" si="16"/>
        <v>0</v>
      </c>
    </row>
    <row r="274" spans="1:28" ht="12.95">
      <c r="A274" s="381">
        <v>44832</v>
      </c>
      <c r="B274" s="382" t="s">
        <v>95</v>
      </c>
      <c r="C274" s="382"/>
      <c r="D274" s="382"/>
      <c r="E274" s="382"/>
      <c r="F274" s="382"/>
      <c r="G274" s="382"/>
      <c r="H274" s="384"/>
      <c r="I274" s="384"/>
      <c r="J274" s="384"/>
      <c r="K274" s="382"/>
      <c r="L274" s="382"/>
      <c r="M274" s="382"/>
      <c r="N274" s="382"/>
      <c r="O274" s="382"/>
      <c r="P274" s="382"/>
      <c r="Q274" s="382"/>
      <c r="R274" s="382"/>
      <c r="S274" s="382"/>
      <c r="T274" s="382">
        <v>1</v>
      </c>
      <c r="W274" s="393">
        <f t="shared" si="13"/>
        <v>0</v>
      </c>
      <c r="X274" s="394">
        <f t="shared" si="14"/>
        <v>0</v>
      </c>
      <c r="Y274" s="399">
        <f t="shared" si="15"/>
        <v>0</v>
      </c>
      <c r="Z274" s="400">
        <f t="shared" si="16"/>
        <v>0</v>
      </c>
      <c r="AA274" s="400">
        <f t="shared" si="16"/>
        <v>0</v>
      </c>
      <c r="AB274" s="400">
        <f t="shared" si="16"/>
        <v>0</v>
      </c>
    </row>
    <row r="275" spans="1:28" ht="12.95">
      <c r="A275" s="381"/>
      <c r="B275" s="382" t="s">
        <v>97</v>
      </c>
      <c r="C275" s="382"/>
      <c r="D275" s="382"/>
      <c r="E275" s="382"/>
      <c r="F275" s="382"/>
      <c r="G275" s="382"/>
      <c r="H275" s="384"/>
      <c r="I275" s="384"/>
      <c r="J275" s="384"/>
      <c r="K275" s="382"/>
      <c r="L275" s="382"/>
      <c r="M275" s="382"/>
      <c r="N275" s="382"/>
      <c r="O275" s="382"/>
      <c r="P275" s="382"/>
      <c r="Q275" s="382"/>
      <c r="R275" s="382"/>
      <c r="S275" s="382"/>
      <c r="T275" s="382">
        <v>1</v>
      </c>
      <c r="W275" s="393">
        <f t="shared" si="13"/>
        <v>0</v>
      </c>
      <c r="X275" s="394">
        <f t="shared" si="14"/>
        <v>0</v>
      </c>
      <c r="Y275" s="399">
        <f t="shared" si="15"/>
        <v>0</v>
      </c>
      <c r="Z275" s="400">
        <f t="shared" si="16"/>
        <v>0</v>
      </c>
      <c r="AA275" s="400">
        <f t="shared" si="16"/>
        <v>0</v>
      </c>
      <c r="AB275" s="400">
        <f t="shared" si="16"/>
        <v>0</v>
      </c>
    </row>
    <row r="276" spans="1:28" ht="12.95">
      <c r="A276" s="381"/>
      <c r="B276" s="382" t="s">
        <v>99</v>
      </c>
      <c r="C276" s="382"/>
      <c r="D276" s="382"/>
      <c r="E276" s="382"/>
      <c r="F276" s="382"/>
      <c r="G276" s="382"/>
      <c r="H276" s="384"/>
      <c r="I276" s="384"/>
      <c r="J276" s="384"/>
      <c r="K276" s="382"/>
      <c r="L276" s="382"/>
      <c r="M276" s="382"/>
      <c r="N276" s="382"/>
      <c r="O276" s="382"/>
      <c r="P276" s="382"/>
      <c r="Q276" s="382"/>
      <c r="R276" s="382"/>
      <c r="S276" s="382"/>
      <c r="T276" s="382">
        <v>1</v>
      </c>
      <c r="W276" s="393">
        <f t="shared" si="13"/>
        <v>0</v>
      </c>
      <c r="X276" s="394">
        <f t="shared" si="14"/>
        <v>0</v>
      </c>
      <c r="Y276" s="399">
        <f t="shared" si="15"/>
        <v>0</v>
      </c>
      <c r="Z276" s="400">
        <f t="shared" si="16"/>
        <v>0</v>
      </c>
      <c r="AA276" s="400">
        <f t="shared" si="16"/>
        <v>0</v>
      </c>
      <c r="AB276" s="400">
        <f t="shared" si="16"/>
        <v>0</v>
      </c>
    </row>
    <row r="277" spans="1:28" ht="12.95">
      <c r="A277" s="381"/>
      <c r="B277" s="382" t="s">
        <v>101</v>
      </c>
      <c r="C277" s="382"/>
      <c r="D277" s="382"/>
      <c r="E277" s="382"/>
      <c r="F277" s="382"/>
      <c r="G277" s="382"/>
      <c r="H277" s="384"/>
      <c r="I277" s="384"/>
      <c r="J277" s="384"/>
      <c r="K277" s="382"/>
      <c r="L277" s="382"/>
      <c r="M277" s="382"/>
      <c r="N277" s="382"/>
      <c r="O277" s="382"/>
      <c r="P277" s="382"/>
      <c r="Q277" s="382"/>
      <c r="R277" s="382"/>
      <c r="S277" s="382"/>
      <c r="T277" s="382">
        <v>1</v>
      </c>
      <c r="W277" s="393">
        <f t="shared" si="13"/>
        <v>0</v>
      </c>
      <c r="X277" s="394">
        <f t="shared" si="14"/>
        <v>0</v>
      </c>
      <c r="Y277" s="399">
        <f t="shared" si="15"/>
        <v>0</v>
      </c>
      <c r="Z277" s="400">
        <f t="shared" si="16"/>
        <v>0</v>
      </c>
      <c r="AA277" s="400">
        <f t="shared" si="16"/>
        <v>0</v>
      </c>
      <c r="AB277" s="400">
        <f t="shared" si="16"/>
        <v>0</v>
      </c>
    </row>
    <row r="278" spans="1:28" ht="12.95">
      <c r="A278" s="381"/>
      <c r="B278" s="382" t="s">
        <v>104</v>
      </c>
      <c r="C278" s="382"/>
      <c r="D278" s="382"/>
      <c r="E278" s="382"/>
      <c r="F278" s="382"/>
      <c r="G278" s="382"/>
      <c r="H278" s="384"/>
      <c r="I278" s="384"/>
      <c r="J278" s="384"/>
      <c r="K278" s="382"/>
      <c r="L278" s="382"/>
      <c r="M278" s="382"/>
      <c r="N278" s="382"/>
      <c r="O278" s="382"/>
      <c r="P278" s="382"/>
      <c r="Q278" s="382"/>
      <c r="R278" s="382"/>
      <c r="S278" s="382"/>
      <c r="T278" s="382">
        <v>1</v>
      </c>
      <c r="W278" s="393">
        <f t="shared" si="13"/>
        <v>0</v>
      </c>
      <c r="X278" s="394">
        <f t="shared" si="14"/>
        <v>0</v>
      </c>
      <c r="Y278" s="399">
        <f t="shared" si="15"/>
        <v>0</v>
      </c>
      <c r="Z278" s="400">
        <f t="shared" si="16"/>
        <v>0</v>
      </c>
      <c r="AA278" s="400">
        <f t="shared" si="16"/>
        <v>0</v>
      </c>
      <c r="AB278" s="400">
        <f t="shared" si="16"/>
        <v>0</v>
      </c>
    </row>
    <row r="279" spans="1:28" ht="12.95">
      <c r="A279" s="385"/>
      <c r="B279" s="386" t="s">
        <v>95</v>
      </c>
      <c r="C279" s="388"/>
      <c r="D279" s="388"/>
      <c r="E279" s="388"/>
      <c r="F279" s="388"/>
      <c r="G279" s="388"/>
      <c r="H279" s="389"/>
      <c r="I279" s="389"/>
      <c r="J279" s="389"/>
      <c r="K279" s="389"/>
      <c r="L279" s="389"/>
      <c r="M279" s="389"/>
      <c r="N279" s="388"/>
      <c r="O279" s="388"/>
      <c r="P279" s="388"/>
      <c r="Q279" s="388"/>
      <c r="R279" s="388"/>
      <c r="S279" s="388"/>
      <c r="T279" s="386">
        <v>2</v>
      </c>
      <c r="W279" s="393"/>
      <c r="X279" s="394"/>
      <c r="Y279" s="399"/>
      <c r="Z279" s="400">
        <f t="shared" si="16"/>
        <v>0</v>
      </c>
      <c r="AA279" s="400">
        <f t="shared" si="16"/>
        <v>0</v>
      </c>
      <c r="AB279" s="400">
        <f t="shared" si="16"/>
        <v>0</v>
      </c>
    </row>
    <row r="280" spans="1:28" ht="12.95">
      <c r="A280" s="385"/>
      <c r="B280" s="386" t="s">
        <v>97</v>
      </c>
      <c r="C280" s="388"/>
      <c r="D280" s="388"/>
      <c r="E280" s="388"/>
      <c r="F280" s="388"/>
      <c r="G280" s="388"/>
      <c r="H280" s="389"/>
      <c r="I280" s="389"/>
      <c r="J280" s="389"/>
      <c r="K280" s="389"/>
      <c r="L280" s="389"/>
      <c r="M280" s="389"/>
      <c r="N280" s="388"/>
      <c r="O280" s="388"/>
      <c r="P280" s="388"/>
      <c r="Q280" s="388"/>
      <c r="R280" s="388"/>
      <c r="S280" s="388"/>
      <c r="T280" s="386">
        <v>2</v>
      </c>
      <c r="W280" s="393"/>
      <c r="X280" s="394"/>
      <c r="Y280" s="399"/>
      <c r="Z280" s="400">
        <f t="shared" si="16"/>
        <v>0</v>
      </c>
      <c r="AA280" s="400">
        <f t="shared" si="16"/>
        <v>0</v>
      </c>
      <c r="AB280" s="400">
        <f t="shared" si="16"/>
        <v>0</v>
      </c>
    </row>
    <row r="281" spans="1:28" ht="12.95">
      <c r="A281" s="385"/>
      <c r="B281" s="386" t="s">
        <v>99</v>
      </c>
      <c r="C281" s="388"/>
      <c r="D281" s="388"/>
      <c r="E281" s="388"/>
      <c r="F281" s="388"/>
      <c r="G281" s="388"/>
      <c r="H281" s="389"/>
      <c r="I281" s="389"/>
      <c r="J281" s="389"/>
      <c r="K281" s="389"/>
      <c r="L281" s="389"/>
      <c r="M281" s="389"/>
      <c r="N281" s="388"/>
      <c r="O281" s="388"/>
      <c r="P281" s="388"/>
      <c r="Q281" s="388"/>
      <c r="R281" s="388"/>
      <c r="S281" s="388"/>
      <c r="T281" s="386">
        <v>2</v>
      </c>
      <c r="W281" s="393"/>
      <c r="X281" s="394"/>
      <c r="Y281" s="399"/>
      <c r="Z281" s="400">
        <f t="shared" si="16"/>
        <v>0</v>
      </c>
      <c r="AA281" s="400">
        <f t="shared" si="16"/>
        <v>0</v>
      </c>
      <c r="AB281" s="400">
        <f t="shared" si="16"/>
        <v>0</v>
      </c>
    </row>
    <row r="282" spans="1:28" ht="12.95">
      <c r="A282" s="385"/>
      <c r="B282" s="386" t="s">
        <v>101</v>
      </c>
      <c r="C282" s="388"/>
      <c r="D282" s="388"/>
      <c r="E282" s="388"/>
      <c r="F282" s="388"/>
      <c r="G282" s="388"/>
      <c r="H282" s="389"/>
      <c r="I282" s="389"/>
      <c r="J282" s="389"/>
      <c r="K282" s="389"/>
      <c r="L282" s="389"/>
      <c r="M282" s="389"/>
      <c r="N282" s="388"/>
      <c r="O282" s="388"/>
      <c r="P282" s="388"/>
      <c r="Q282" s="388"/>
      <c r="R282" s="388"/>
      <c r="S282" s="388"/>
      <c r="T282" s="386">
        <v>2</v>
      </c>
      <c r="W282" s="393"/>
      <c r="X282" s="394"/>
      <c r="Y282" s="399"/>
      <c r="Z282" s="400">
        <f t="shared" si="16"/>
        <v>0</v>
      </c>
      <c r="AA282" s="400">
        <f t="shared" si="16"/>
        <v>0</v>
      </c>
      <c r="AB282" s="400">
        <f t="shared" si="16"/>
        <v>0</v>
      </c>
    </row>
    <row r="283" spans="1:28" ht="12.95">
      <c r="A283" s="385"/>
      <c r="B283" s="386" t="s">
        <v>104</v>
      </c>
      <c r="C283" s="388"/>
      <c r="D283" s="388"/>
      <c r="E283" s="388"/>
      <c r="F283" s="388"/>
      <c r="G283" s="388"/>
      <c r="H283" s="389"/>
      <c r="I283" s="389"/>
      <c r="J283" s="389"/>
      <c r="K283" s="389"/>
      <c r="L283" s="389"/>
      <c r="M283" s="389"/>
      <c r="N283" s="388"/>
      <c r="O283" s="388"/>
      <c r="P283" s="388"/>
      <c r="Q283" s="388"/>
      <c r="R283" s="388"/>
      <c r="S283" s="388"/>
      <c r="T283" s="386">
        <v>2</v>
      </c>
      <c r="W283" s="393"/>
      <c r="X283" s="394"/>
      <c r="Y283" s="399"/>
      <c r="Z283" s="400">
        <f t="shared" si="16"/>
        <v>0</v>
      </c>
      <c r="AA283" s="400">
        <f t="shared" si="16"/>
        <v>0</v>
      </c>
      <c r="AB283" s="400">
        <f t="shared" si="16"/>
        <v>0</v>
      </c>
    </row>
    <row r="284" spans="1:28" ht="12.95">
      <c r="A284" s="381">
        <v>44833</v>
      </c>
      <c r="B284" s="382" t="s">
        <v>95</v>
      </c>
      <c r="C284" s="382"/>
      <c r="D284" s="382"/>
      <c r="E284" s="382"/>
      <c r="F284" s="382"/>
      <c r="G284" s="382"/>
      <c r="H284" s="384"/>
      <c r="I284" s="384"/>
      <c r="J284" s="384"/>
      <c r="K284" s="384"/>
      <c r="L284" s="384"/>
      <c r="M284" s="384"/>
      <c r="N284" s="384"/>
      <c r="O284" s="384"/>
      <c r="P284" s="384"/>
      <c r="Q284" s="382"/>
      <c r="R284" s="382"/>
      <c r="S284" s="382"/>
      <c r="T284" s="382">
        <v>1</v>
      </c>
      <c r="W284" s="393">
        <f t="shared" si="13"/>
        <v>0</v>
      </c>
      <c r="X284" s="394">
        <f t="shared" si="14"/>
        <v>0</v>
      </c>
      <c r="Y284" s="399">
        <f t="shared" si="15"/>
        <v>0</v>
      </c>
      <c r="Z284" s="400">
        <f t="shared" si="16"/>
        <v>0</v>
      </c>
      <c r="AA284" s="400">
        <f t="shared" si="16"/>
        <v>0</v>
      </c>
      <c r="AB284" s="400">
        <f t="shared" si="16"/>
        <v>0</v>
      </c>
    </row>
    <row r="285" spans="1:28" ht="12.95">
      <c r="A285" s="381"/>
      <c r="B285" s="382" t="s">
        <v>97</v>
      </c>
      <c r="C285" s="382"/>
      <c r="D285" s="382"/>
      <c r="E285" s="382"/>
      <c r="F285" s="382"/>
      <c r="G285" s="382"/>
      <c r="H285" s="384"/>
      <c r="I285" s="384"/>
      <c r="J285" s="384"/>
      <c r="K285" s="384"/>
      <c r="L285" s="384"/>
      <c r="M285" s="384"/>
      <c r="N285" s="384"/>
      <c r="O285" s="384"/>
      <c r="P285" s="384"/>
      <c r="Q285" s="382"/>
      <c r="R285" s="382"/>
      <c r="S285" s="382"/>
      <c r="T285" s="382">
        <v>1</v>
      </c>
      <c r="W285" s="393">
        <f t="shared" si="13"/>
        <v>0</v>
      </c>
      <c r="X285" s="394">
        <f t="shared" si="14"/>
        <v>0</v>
      </c>
      <c r="Y285" s="399">
        <f t="shared" si="15"/>
        <v>0</v>
      </c>
      <c r="Z285" s="400">
        <f t="shared" si="16"/>
        <v>0</v>
      </c>
      <c r="AA285" s="400">
        <f t="shared" si="16"/>
        <v>0</v>
      </c>
      <c r="AB285" s="400">
        <f t="shared" si="16"/>
        <v>0</v>
      </c>
    </row>
    <row r="286" spans="1:28" ht="12.95">
      <c r="A286" s="381"/>
      <c r="B286" s="382" t="s">
        <v>99</v>
      </c>
      <c r="C286" s="382"/>
      <c r="D286" s="382"/>
      <c r="E286" s="382"/>
      <c r="F286" s="382"/>
      <c r="G286" s="382"/>
      <c r="H286" s="384"/>
      <c r="I286" s="384"/>
      <c r="J286" s="384"/>
      <c r="K286" s="384"/>
      <c r="L286" s="384"/>
      <c r="M286" s="384"/>
      <c r="N286" s="384"/>
      <c r="O286" s="384"/>
      <c r="P286" s="384"/>
      <c r="Q286" s="382"/>
      <c r="R286" s="382"/>
      <c r="S286" s="382"/>
      <c r="T286" s="382">
        <v>1</v>
      </c>
      <c r="W286" s="393">
        <f t="shared" si="13"/>
        <v>0</v>
      </c>
      <c r="X286" s="394">
        <f t="shared" si="14"/>
        <v>0</v>
      </c>
      <c r="Y286" s="399">
        <f t="shared" si="15"/>
        <v>0</v>
      </c>
      <c r="Z286" s="400">
        <f t="shared" si="16"/>
        <v>0</v>
      </c>
      <c r="AA286" s="400">
        <f t="shared" si="16"/>
        <v>0</v>
      </c>
      <c r="AB286" s="400">
        <f t="shared" si="16"/>
        <v>0</v>
      </c>
    </row>
    <row r="287" spans="1:28" ht="12.95">
      <c r="A287" s="381"/>
      <c r="B287" s="382" t="s">
        <v>101</v>
      </c>
      <c r="C287" s="382"/>
      <c r="D287" s="382"/>
      <c r="E287" s="382"/>
      <c r="F287" s="382"/>
      <c r="G287" s="382"/>
      <c r="H287" s="384"/>
      <c r="I287" s="384"/>
      <c r="J287" s="384"/>
      <c r="K287" s="384"/>
      <c r="L287" s="384"/>
      <c r="M287" s="384"/>
      <c r="N287" s="384"/>
      <c r="O287" s="384"/>
      <c r="P287" s="384"/>
      <c r="Q287" s="382"/>
      <c r="R287" s="382"/>
      <c r="S287" s="382"/>
      <c r="T287" s="382">
        <v>1</v>
      </c>
      <c r="W287" s="393">
        <f t="shared" si="13"/>
        <v>0</v>
      </c>
      <c r="X287" s="394">
        <f t="shared" si="14"/>
        <v>0</v>
      </c>
      <c r="Y287" s="399">
        <f t="shared" si="15"/>
        <v>0</v>
      </c>
      <c r="Z287" s="400">
        <f t="shared" si="16"/>
        <v>0</v>
      </c>
      <c r="AA287" s="400">
        <f t="shared" si="16"/>
        <v>0</v>
      </c>
      <c r="AB287" s="400">
        <f t="shared" si="16"/>
        <v>0</v>
      </c>
    </row>
    <row r="288" spans="1:28" ht="12.95">
      <c r="A288" s="381"/>
      <c r="B288" s="382" t="s">
        <v>104</v>
      </c>
      <c r="C288" s="382"/>
      <c r="D288" s="382"/>
      <c r="E288" s="382"/>
      <c r="F288" s="382"/>
      <c r="G288" s="382"/>
      <c r="H288" s="384"/>
      <c r="I288" s="384"/>
      <c r="J288" s="384"/>
      <c r="K288" s="384"/>
      <c r="L288" s="384"/>
      <c r="M288" s="384"/>
      <c r="N288" s="384"/>
      <c r="O288" s="384"/>
      <c r="P288" s="384"/>
      <c r="Q288" s="382"/>
      <c r="R288" s="382"/>
      <c r="S288" s="382"/>
      <c r="T288" s="382">
        <v>1</v>
      </c>
      <c r="W288" s="393">
        <f t="shared" si="13"/>
        <v>0</v>
      </c>
      <c r="X288" s="394">
        <f t="shared" si="14"/>
        <v>0</v>
      </c>
      <c r="Y288" s="399">
        <f t="shared" si="15"/>
        <v>0</v>
      </c>
      <c r="Z288" s="400">
        <f t="shared" si="16"/>
        <v>0</v>
      </c>
      <c r="AA288" s="400">
        <f t="shared" si="16"/>
        <v>0</v>
      </c>
      <c r="AB288" s="400">
        <f t="shared" si="16"/>
        <v>0</v>
      </c>
    </row>
    <row r="289" spans="1:28" ht="12.95">
      <c r="A289" s="385"/>
      <c r="B289" s="386" t="s">
        <v>95</v>
      </c>
      <c r="C289" s="388"/>
      <c r="D289" s="388"/>
      <c r="E289" s="388"/>
      <c r="F289" s="388"/>
      <c r="G289" s="388"/>
      <c r="H289" s="389"/>
      <c r="I289" s="389"/>
      <c r="J289" s="389"/>
      <c r="K289" s="389"/>
      <c r="L289" s="389"/>
      <c r="M289" s="389"/>
      <c r="N289" s="389"/>
      <c r="O289" s="389"/>
      <c r="P289" s="389"/>
      <c r="Q289" s="388"/>
      <c r="R289" s="388"/>
      <c r="S289" s="388"/>
      <c r="T289" s="386">
        <v>2</v>
      </c>
      <c r="W289" s="393"/>
      <c r="X289" s="394"/>
      <c r="Y289" s="399"/>
      <c r="Z289" s="400">
        <f t="shared" si="16"/>
        <v>0</v>
      </c>
      <c r="AA289" s="400">
        <f t="shared" si="16"/>
        <v>0</v>
      </c>
      <c r="AB289" s="400">
        <f t="shared" si="16"/>
        <v>0</v>
      </c>
    </row>
    <row r="290" spans="1:28" ht="12.95">
      <c r="A290" s="385"/>
      <c r="B290" s="386" t="s">
        <v>97</v>
      </c>
      <c r="C290" s="388"/>
      <c r="D290" s="388"/>
      <c r="E290" s="388"/>
      <c r="F290" s="388"/>
      <c r="G290" s="388"/>
      <c r="H290" s="389"/>
      <c r="I290" s="389"/>
      <c r="J290" s="389"/>
      <c r="K290" s="389"/>
      <c r="L290" s="389"/>
      <c r="M290" s="389"/>
      <c r="N290" s="389"/>
      <c r="O290" s="389"/>
      <c r="P290" s="389"/>
      <c r="Q290" s="388"/>
      <c r="R290" s="388"/>
      <c r="S290" s="388"/>
      <c r="T290" s="386">
        <v>2</v>
      </c>
      <c r="W290" s="393"/>
      <c r="X290" s="394"/>
      <c r="Y290" s="399"/>
      <c r="Z290" s="400">
        <f t="shared" si="16"/>
        <v>0</v>
      </c>
      <c r="AA290" s="400">
        <f t="shared" si="16"/>
        <v>0</v>
      </c>
      <c r="AB290" s="400">
        <f t="shared" si="16"/>
        <v>0</v>
      </c>
    </row>
    <row r="291" spans="1:28" ht="12.95">
      <c r="A291" s="385"/>
      <c r="B291" s="386" t="s">
        <v>99</v>
      </c>
      <c r="C291" s="388"/>
      <c r="D291" s="388"/>
      <c r="E291" s="388"/>
      <c r="F291" s="388"/>
      <c r="G291" s="388"/>
      <c r="H291" s="389"/>
      <c r="I291" s="389"/>
      <c r="J291" s="389"/>
      <c r="K291" s="389"/>
      <c r="L291" s="389"/>
      <c r="M291" s="389"/>
      <c r="N291" s="389"/>
      <c r="O291" s="389"/>
      <c r="P291" s="389"/>
      <c r="Q291" s="388"/>
      <c r="R291" s="388"/>
      <c r="S291" s="388"/>
      <c r="T291" s="386">
        <v>2</v>
      </c>
      <c r="W291" s="393"/>
      <c r="X291" s="394"/>
      <c r="Y291" s="399"/>
      <c r="Z291" s="400">
        <f t="shared" si="16"/>
        <v>0</v>
      </c>
      <c r="AA291" s="400">
        <f t="shared" si="16"/>
        <v>0</v>
      </c>
      <c r="AB291" s="400">
        <f t="shared" si="16"/>
        <v>0</v>
      </c>
    </row>
    <row r="292" spans="1:28" ht="12.95">
      <c r="A292" s="385"/>
      <c r="B292" s="386" t="s">
        <v>101</v>
      </c>
      <c r="C292" s="388"/>
      <c r="D292" s="388"/>
      <c r="E292" s="388"/>
      <c r="F292" s="388"/>
      <c r="G292" s="388"/>
      <c r="H292" s="389"/>
      <c r="I292" s="389"/>
      <c r="J292" s="389"/>
      <c r="K292" s="389"/>
      <c r="L292" s="389"/>
      <c r="M292" s="389"/>
      <c r="N292" s="389"/>
      <c r="O292" s="389"/>
      <c r="P292" s="389"/>
      <c r="Q292" s="388"/>
      <c r="R292" s="388"/>
      <c r="S292" s="388"/>
      <c r="T292" s="386">
        <v>2</v>
      </c>
      <c r="W292" s="393"/>
      <c r="X292" s="394"/>
      <c r="Y292" s="399"/>
      <c r="Z292" s="400">
        <f t="shared" si="16"/>
        <v>0</v>
      </c>
      <c r="AA292" s="400">
        <f t="shared" si="16"/>
        <v>0</v>
      </c>
      <c r="AB292" s="400">
        <f t="shared" si="16"/>
        <v>0</v>
      </c>
    </row>
    <row r="293" spans="1:28" ht="12.95">
      <c r="A293" s="385"/>
      <c r="B293" s="386" t="s">
        <v>104</v>
      </c>
      <c r="C293" s="388"/>
      <c r="D293" s="388"/>
      <c r="E293" s="388"/>
      <c r="F293" s="388"/>
      <c r="G293" s="388"/>
      <c r="H293" s="389"/>
      <c r="I293" s="389"/>
      <c r="J293" s="389"/>
      <c r="K293" s="389"/>
      <c r="L293" s="389"/>
      <c r="M293" s="389"/>
      <c r="N293" s="389"/>
      <c r="O293" s="389"/>
      <c r="P293" s="389"/>
      <c r="Q293" s="388"/>
      <c r="R293" s="388"/>
      <c r="S293" s="388"/>
      <c r="T293" s="386">
        <v>2</v>
      </c>
      <c r="W293" s="393"/>
      <c r="X293" s="394"/>
      <c r="Y293" s="399"/>
      <c r="Z293" s="400">
        <f t="shared" si="16"/>
        <v>0</v>
      </c>
      <c r="AA293" s="400">
        <f t="shared" si="16"/>
        <v>0</v>
      </c>
      <c r="AB293" s="400">
        <f t="shared" si="16"/>
        <v>0</v>
      </c>
    </row>
    <row r="294" spans="1:28" ht="12.95">
      <c r="A294" s="381">
        <v>44834</v>
      </c>
      <c r="B294" s="382" t="s">
        <v>95</v>
      </c>
      <c r="C294" s="382"/>
      <c r="D294" s="382"/>
      <c r="E294" s="382"/>
      <c r="F294" s="382"/>
      <c r="G294" s="382"/>
      <c r="H294" s="384"/>
      <c r="I294" s="384"/>
      <c r="J294" s="384"/>
      <c r="K294" s="384"/>
      <c r="L294" s="384"/>
      <c r="M294" s="384"/>
      <c r="N294" s="382"/>
      <c r="O294" s="382"/>
      <c r="P294" s="382"/>
      <c r="Q294" s="382"/>
      <c r="R294" s="382"/>
      <c r="S294" s="382"/>
      <c r="T294" s="382">
        <v>1</v>
      </c>
      <c r="W294" s="393">
        <f t="shared" si="13"/>
        <v>0</v>
      </c>
      <c r="X294" s="394">
        <f t="shared" si="14"/>
        <v>0</v>
      </c>
      <c r="Y294" s="399">
        <f t="shared" si="15"/>
        <v>0</v>
      </c>
      <c r="Z294" s="400">
        <f t="shared" si="16"/>
        <v>0</v>
      </c>
      <c r="AA294" s="400">
        <f t="shared" si="16"/>
        <v>0</v>
      </c>
      <c r="AB294" s="400">
        <f t="shared" si="16"/>
        <v>0</v>
      </c>
    </row>
    <row r="295" spans="1:28" ht="12.95">
      <c r="A295" s="381"/>
      <c r="B295" s="382" t="s">
        <v>97</v>
      </c>
      <c r="C295" s="382"/>
      <c r="D295" s="382"/>
      <c r="E295" s="382"/>
      <c r="F295" s="382"/>
      <c r="G295" s="382"/>
      <c r="H295" s="384"/>
      <c r="I295" s="384"/>
      <c r="J295" s="384"/>
      <c r="K295" s="384"/>
      <c r="L295" s="384"/>
      <c r="M295" s="384"/>
      <c r="N295" s="382"/>
      <c r="O295" s="382"/>
      <c r="P295" s="382"/>
      <c r="Q295" s="382"/>
      <c r="R295" s="382"/>
      <c r="S295" s="382"/>
      <c r="T295" s="382">
        <v>1</v>
      </c>
      <c r="W295" s="393">
        <f t="shared" si="13"/>
        <v>0</v>
      </c>
      <c r="X295" s="394">
        <f t="shared" si="14"/>
        <v>0</v>
      </c>
      <c r="Y295" s="399">
        <f t="shared" si="15"/>
        <v>0</v>
      </c>
      <c r="Z295" s="400">
        <f t="shared" si="16"/>
        <v>0</v>
      </c>
      <c r="AA295" s="400">
        <f t="shared" si="16"/>
        <v>0</v>
      </c>
      <c r="AB295" s="400">
        <f t="shared" si="16"/>
        <v>0</v>
      </c>
    </row>
    <row r="296" spans="1:28" ht="12.95">
      <c r="A296" s="381"/>
      <c r="B296" s="382" t="s">
        <v>99</v>
      </c>
      <c r="C296" s="382"/>
      <c r="D296" s="382"/>
      <c r="E296" s="382"/>
      <c r="F296" s="382"/>
      <c r="G296" s="382"/>
      <c r="H296" s="384"/>
      <c r="I296" s="384"/>
      <c r="J296" s="384"/>
      <c r="K296" s="384"/>
      <c r="L296" s="384"/>
      <c r="M296" s="384"/>
      <c r="N296" s="382"/>
      <c r="O296" s="382"/>
      <c r="P296" s="382"/>
      <c r="Q296" s="382"/>
      <c r="R296" s="382"/>
      <c r="S296" s="382"/>
      <c r="T296" s="382">
        <v>1</v>
      </c>
      <c r="W296" s="393">
        <f t="shared" si="13"/>
        <v>0</v>
      </c>
      <c r="X296" s="394">
        <f t="shared" si="14"/>
        <v>0</v>
      </c>
      <c r="Y296" s="399">
        <f t="shared" si="15"/>
        <v>0</v>
      </c>
      <c r="Z296" s="400">
        <f t="shared" si="16"/>
        <v>0</v>
      </c>
      <c r="AA296" s="400">
        <f t="shared" si="16"/>
        <v>0</v>
      </c>
      <c r="AB296" s="400">
        <f t="shared" si="16"/>
        <v>0</v>
      </c>
    </row>
    <row r="297" spans="1:28" ht="12.95">
      <c r="A297" s="381"/>
      <c r="B297" s="382" t="s">
        <v>101</v>
      </c>
      <c r="C297" s="382"/>
      <c r="D297" s="382"/>
      <c r="E297" s="382"/>
      <c r="F297" s="382"/>
      <c r="G297" s="382"/>
      <c r="H297" s="384"/>
      <c r="I297" s="384"/>
      <c r="J297" s="384"/>
      <c r="K297" s="384"/>
      <c r="L297" s="384"/>
      <c r="M297" s="384"/>
      <c r="N297" s="382"/>
      <c r="O297" s="382"/>
      <c r="P297" s="382"/>
      <c r="Q297" s="382"/>
      <c r="R297" s="382"/>
      <c r="S297" s="382"/>
      <c r="T297" s="382">
        <v>1</v>
      </c>
      <c r="W297" s="393">
        <f t="shared" si="13"/>
        <v>0</v>
      </c>
      <c r="X297" s="394">
        <f t="shared" si="14"/>
        <v>0</v>
      </c>
      <c r="Y297" s="399">
        <f t="shared" si="15"/>
        <v>0</v>
      </c>
      <c r="Z297" s="400">
        <f t="shared" si="16"/>
        <v>0</v>
      </c>
      <c r="AA297" s="400">
        <f t="shared" si="16"/>
        <v>0</v>
      </c>
      <c r="AB297" s="400">
        <f t="shared" si="16"/>
        <v>0</v>
      </c>
    </row>
    <row r="298" spans="1:28" ht="12.95">
      <c r="A298" s="381"/>
      <c r="B298" s="382" t="s">
        <v>104</v>
      </c>
      <c r="C298" s="382"/>
      <c r="D298" s="382"/>
      <c r="E298" s="382"/>
      <c r="F298" s="382"/>
      <c r="G298" s="382"/>
      <c r="H298" s="384"/>
      <c r="I298" s="384"/>
      <c r="J298" s="384"/>
      <c r="K298" s="384"/>
      <c r="L298" s="384"/>
      <c r="M298" s="384"/>
      <c r="N298" s="382"/>
      <c r="O298" s="382"/>
      <c r="P298" s="382"/>
      <c r="Q298" s="382"/>
      <c r="R298" s="382"/>
      <c r="S298" s="382"/>
      <c r="T298" s="382">
        <v>1</v>
      </c>
      <c r="W298" s="393">
        <f t="shared" si="13"/>
        <v>0</v>
      </c>
      <c r="X298" s="394">
        <f t="shared" si="14"/>
        <v>0</v>
      </c>
      <c r="Y298" s="399">
        <f t="shared" si="15"/>
        <v>0</v>
      </c>
      <c r="Z298" s="400">
        <f t="shared" si="16"/>
        <v>0</v>
      </c>
      <c r="AA298" s="400">
        <f t="shared" si="16"/>
        <v>0</v>
      </c>
      <c r="AB298" s="400">
        <f t="shared" si="16"/>
        <v>0</v>
      </c>
    </row>
    <row r="299" spans="1:28" ht="12.95">
      <c r="A299" s="385"/>
      <c r="B299" s="386" t="s">
        <v>95</v>
      </c>
      <c r="C299" s="388"/>
      <c r="D299" s="388"/>
      <c r="E299" s="388"/>
      <c r="F299" s="388"/>
      <c r="G299" s="388"/>
      <c r="H299" s="389"/>
      <c r="I299" s="389"/>
      <c r="J299" s="389"/>
      <c r="K299" s="389"/>
      <c r="L299" s="389"/>
      <c r="M299" s="389"/>
      <c r="N299" s="388"/>
      <c r="O299" s="388"/>
      <c r="P299" s="388"/>
      <c r="Q299" s="388"/>
      <c r="R299" s="388"/>
      <c r="S299" s="388"/>
      <c r="T299" s="386">
        <v>2</v>
      </c>
      <c r="W299" s="393"/>
      <c r="X299" s="394"/>
      <c r="Y299" s="399"/>
      <c r="Z299" s="400">
        <f t="shared" si="16"/>
        <v>0</v>
      </c>
      <c r="AA299" s="400">
        <f t="shared" si="16"/>
        <v>0</v>
      </c>
      <c r="AB299" s="400">
        <f t="shared" si="16"/>
        <v>0</v>
      </c>
    </row>
    <row r="300" spans="1:28" ht="12.95">
      <c r="A300" s="385"/>
      <c r="B300" s="386" t="s">
        <v>97</v>
      </c>
      <c r="C300" s="388"/>
      <c r="D300" s="388"/>
      <c r="E300" s="388"/>
      <c r="F300" s="388"/>
      <c r="G300" s="388"/>
      <c r="H300" s="389"/>
      <c r="I300" s="389"/>
      <c r="J300" s="389"/>
      <c r="K300" s="389"/>
      <c r="L300" s="389"/>
      <c r="M300" s="389"/>
      <c r="N300" s="388"/>
      <c r="O300" s="388"/>
      <c r="P300" s="388"/>
      <c r="Q300" s="388"/>
      <c r="R300" s="388"/>
      <c r="S300" s="388"/>
      <c r="T300" s="386">
        <v>2</v>
      </c>
      <c r="W300" s="393"/>
      <c r="X300" s="394"/>
      <c r="Y300" s="399"/>
      <c r="Z300" s="400">
        <f t="shared" si="16"/>
        <v>0</v>
      </c>
      <c r="AA300" s="400">
        <f t="shared" si="16"/>
        <v>0</v>
      </c>
      <c r="AB300" s="400">
        <f t="shared" si="16"/>
        <v>0</v>
      </c>
    </row>
    <row r="301" spans="1:28" ht="12.95">
      <c r="A301" s="385"/>
      <c r="B301" s="386" t="s">
        <v>99</v>
      </c>
      <c r="C301" s="388"/>
      <c r="D301" s="388"/>
      <c r="E301" s="388"/>
      <c r="F301" s="388"/>
      <c r="G301" s="388"/>
      <c r="H301" s="389"/>
      <c r="I301" s="389"/>
      <c r="J301" s="389"/>
      <c r="K301" s="389"/>
      <c r="L301" s="389"/>
      <c r="M301" s="389"/>
      <c r="N301" s="388"/>
      <c r="O301" s="388"/>
      <c r="P301" s="388"/>
      <c r="Q301" s="388"/>
      <c r="R301" s="388"/>
      <c r="S301" s="388"/>
      <c r="T301" s="386">
        <v>2</v>
      </c>
      <c r="W301" s="393"/>
      <c r="X301" s="394"/>
      <c r="Y301" s="399"/>
      <c r="Z301" s="400">
        <f t="shared" si="16"/>
        <v>0</v>
      </c>
      <c r="AA301" s="400">
        <f t="shared" si="16"/>
        <v>0</v>
      </c>
      <c r="AB301" s="400">
        <f t="shared" si="16"/>
        <v>0</v>
      </c>
    </row>
    <row r="302" spans="1:28" ht="12.95">
      <c r="A302" s="385"/>
      <c r="B302" s="386" t="s">
        <v>101</v>
      </c>
      <c r="C302" s="388"/>
      <c r="D302" s="388"/>
      <c r="E302" s="388"/>
      <c r="F302" s="388"/>
      <c r="G302" s="388"/>
      <c r="H302" s="389"/>
      <c r="I302" s="389"/>
      <c r="J302" s="389"/>
      <c r="K302" s="389"/>
      <c r="L302" s="389"/>
      <c r="M302" s="389"/>
      <c r="N302" s="388"/>
      <c r="O302" s="388"/>
      <c r="P302" s="388"/>
      <c r="Q302" s="388"/>
      <c r="R302" s="388"/>
      <c r="S302" s="388"/>
      <c r="T302" s="386">
        <v>2</v>
      </c>
      <c r="W302" s="393"/>
      <c r="X302" s="394"/>
      <c r="Y302" s="399"/>
      <c r="Z302" s="400">
        <f t="shared" si="16"/>
        <v>0</v>
      </c>
      <c r="AA302" s="400">
        <f t="shared" si="16"/>
        <v>0</v>
      </c>
      <c r="AB302" s="400">
        <f t="shared" si="16"/>
        <v>0</v>
      </c>
    </row>
    <row r="303" spans="1:28" ht="12.95">
      <c r="A303" s="385"/>
      <c r="B303" s="386" t="s">
        <v>104</v>
      </c>
      <c r="C303" s="388"/>
      <c r="D303" s="388"/>
      <c r="E303" s="388"/>
      <c r="F303" s="388"/>
      <c r="G303" s="388"/>
      <c r="H303" s="389"/>
      <c r="I303" s="389"/>
      <c r="J303" s="389"/>
      <c r="K303" s="389"/>
      <c r="L303" s="389"/>
      <c r="M303" s="389"/>
      <c r="N303" s="388"/>
      <c r="O303" s="388"/>
      <c r="P303" s="388"/>
      <c r="Q303" s="388"/>
      <c r="R303" s="388"/>
      <c r="S303" s="388"/>
      <c r="T303" s="386">
        <v>2</v>
      </c>
      <c r="W303" s="393"/>
      <c r="X303" s="394"/>
      <c r="Y303" s="399"/>
      <c r="Z303" s="400">
        <f t="shared" si="16"/>
        <v>0</v>
      </c>
      <c r="AA303" s="400">
        <f t="shared" si="16"/>
        <v>0</v>
      </c>
      <c r="AB303" s="400">
        <f t="shared" si="16"/>
        <v>0</v>
      </c>
    </row>
    <row r="304" spans="1:28" ht="12.95">
      <c r="A304" s="381"/>
      <c r="B304" s="382"/>
      <c r="C304" s="382"/>
      <c r="D304" s="382"/>
      <c r="E304" s="382"/>
      <c r="F304" s="382"/>
      <c r="G304" s="382"/>
      <c r="H304" s="384"/>
      <c r="I304" s="384"/>
      <c r="J304" s="384"/>
      <c r="K304" s="384"/>
      <c r="L304" s="384"/>
      <c r="M304" s="384"/>
      <c r="N304" s="382"/>
      <c r="O304" s="382"/>
      <c r="P304" s="382"/>
      <c r="Q304" s="382"/>
      <c r="R304" s="382"/>
      <c r="S304" s="382"/>
      <c r="T304" s="382">
        <v>1</v>
      </c>
      <c r="W304" s="393">
        <f t="shared" si="13"/>
        <v>0</v>
      </c>
      <c r="X304" s="394">
        <f t="shared" si="14"/>
        <v>0</v>
      </c>
      <c r="Y304" s="399">
        <f t="shared" si="15"/>
        <v>0</v>
      </c>
      <c r="Z304" s="400">
        <f t="shared" si="16"/>
        <v>0</v>
      </c>
      <c r="AA304" s="400">
        <f t="shared" si="16"/>
        <v>0</v>
      </c>
      <c r="AB304" s="400">
        <f t="shared" si="16"/>
        <v>0</v>
      </c>
    </row>
    <row r="305" spans="1:28" ht="12.95">
      <c r="A305" s="446"/>
      <c r="B305" s="382"/>
      <c r="C305" s="382"/>
      <c r="D305" s="382"/>
      <c r="E305" s="382"/>
      <c r="F305" s="382"/>
      <c r="G305" s="382"/>
      <c r="H305" s="384"/>
      <c r="I305" s="384"/>
      <c r="J305" s="384"/>
      <c r="K305" s="384"/>
      <c r="L305" s="384"/>
      <c r="M305" s="384"/>
      <c r="N305" s="382"/>
      <c r="O305" s="382"/>
      <c r="P305" s="382"/>
      <c r="Q305" s="382"/>
      <c r="R305" s="382"/>
      <c r="S305" s="382"/>
      <c r="T305" s="382">
        <v>1</v>
      </c>
      <c r="W305" s="393">
        <f t="shared" si="13"/>
        <v>0</v>
      </c>
      <c r="X305" s="394">
        <f t="shared" si="14"/>
        <v>0</v>
      </c>
      <c r="Y305" s="399">
        <f t="shared" si="15"/>
        <v>0</v>
      </c>
      <c r="Z305" s="400">
        <f t="shared" si="16"/>
        <v>0</v>
      </c>
      <c r="AA305" s="400">
        <f t="shared" si="16"/>
        <v>0</v>
      </c>
      <c r="AB305" s="400">
        <f t="shared" si="16"/>
        <v>0</v>
      </c>
    </row>
    <row r="306" spans="1:28" ht="12.95">
      <c r="A306" s="446"/>
      <c r="B306" s="382"/>
      <c r="C306" s="382"/>
      <c r="D306" s="382"/>
      <c r="E306" s="382"/>
      <c r="F306" s="382"/>
      <c r="G306" s="382"/>
      <c r="H306" s="384"/>
      <c r="I306" s="384"/>
      <c r="J306" s="384"/>
      <c r="K306" s="384"/>
      <c r="L306" s="384"/>
      <c r="M306" s="384"/>
      <c r="N306" s="382"/>
      <c r="O306" s="382"/>
      <c r="P306" s="382"/>
      <c r="Q306" s="382"/>
      <c r="R306" s="382"/>
      <c r="S306" s="382"/>
      <c r="T306" s="382">
        <v>1</v>
      </c>
      <c r="W306" s="393">
        <f t="shared" si="13"/>
        <v>0</v>
      </c>
      <c r="X306" s="394">
        <f t="shared" si="14"/>
        <v>0</v>
      </c>
      <c r="Y306" s="399">
        <f t="shared" si="15"/>
        <v>0</v>
      </c>
      <c r="Z306" s="400">
        <f t="shared" si="16"/>
        <v>0</v>
      </c>
      <c r="AA306" s="400">
        <f t="shared" si="16"/>
        <v>0</v>
      </c>
      <c r="AB306" s="400">
        <f t="shared" si="16"/>
        <v>0</v>
      </c>
    </row>
    <row r="307" spans="1:28" ht="12.95">
      <c r="A307" s="446"/>
      <c r="B307" s="382"/>
      <c r="C307" s="382"/>
      <c r="D307" s="382"/>
      <c r="E307" s="382"/>
      <c r="F307" s="382"/>
      <c r="G307" s="382"/>
      <c r="H307" s="384"/>
      <c r="I307" s="384"/>
      <c r="J307" s="384"/>
      <c r="K307" s="384"/>
      <c r="L307" s="384"/>
      <c r="M307" s="384"/>
      <c r="N307" s="382"/>
      <c r="O307" s="382"/>
      <c r="P307" s="382"/>
      <c r="Q307" s="382"/>
      <c r="R307" s="382"/>
      <c r="S307" s="382"/>
      <c r="T307" s="382">
        <v>1</v>
      </c>
      <c r="W307" s="393">
        <f t="shared" si="13"/>
        <v>0</v>
      </c>
      <c r="X307" s="394">
        <f t="shared" si="14"/>
        <v>0</v>
      </c>
      <c r="Y307" s="399">
        <f t="shared" si="15"/>
        <v>0</v>
      </c>
      <c r="Z307" s="400">
        <f t="shared" si="16"/>
        <v>0</v>
      </c>
      <c r="AA307" s="400">
        <f t="shared" si="16"/>
        <v>0</v>
      </c>
      <c r="AB307" s="400">
        <f t="shared" si="16"/>
        <v>0</v>
      </c>
    </row>
    <row r="308" spans="1:28" ht="12.95">
      <c r="A308" s="446"/>
      <c r="B308" s="382"/>
      <c r="C308" s="382"/>
      <c r="D308" s="382"/>
      <c r="E308" s="382"/>
      <c r="F308" s="382"/>
      <c r="G308" s="382"/>
      <c r="H308" s="384"/>
      <c r="I308" s="384"/>
      <c r="J308" s="384"/>
      <c r="K308" s="384"/>
      <c r="L308" s="384"/>
      <c r="M308" s="384"/>
      <c r="N308" s="382"/>
      <c r="O308" s="382"/>
      <c r="P308" s="382"/>
      <c r="Q308" s="382"/>
      <c r="R308" s="382"/>
      <c r="S308" s="382"/>
      <c r="T308" s="382">
        <v>1</v>
      </c>
      <c r="W308" s="393">
        <f t="shared" si="13"/>
        <v>0</v>
      </c>
      <c r="X308" s="394">
        <f t="shared" si="14"/>
        <v>0</v>
      </c>
      <c r="Y308" s="399">
        <f t="shared" si="15"/>
        <v>0</v>
      </c>
      <c r="Z308" s="400">
        <f t="shared" si="16"/>
        <v>0</v>
      </c>
      <c r="AA308" s="400">
        <f t="shared" si="16"/>
        <v>0</v>
      </c>
      <c r="AB308" s="400">
        <f t="shared" si="16"/>
        <v>0</v>
      </c>
    </row>
    <row r="309" spans="1:28" ht="12.95">
      <c r="A309" s="385"/>
      <c r="B309" s="386"/>
      <c r="C309" s="388"/>
      <c r="D309" s="388"/>
      <c r="E309" s="388"/>
      <c r="F309" s="388"/>
      <c r="G309" s="388"/>
      <c r="H309" s="389"/>
      <c r="I309" s="389"/>
      <c r="J309" s="389"/>
      <c r="K309" s="389"/>
      <c r="L309" s="389"/>
      <c r="M309" s="389"/>
      <c r="N309" s="388"/>
      <c r="O309" s="388"/>
      <c r="P309" s="388"/>
      <c r="Q309" s="388"/>
      <c r="R309" s="388"/>
      <c r="S309" s="388"/>
      <c r="T309" s="386">
        <v>2</v>
      </c>
      <c r="W309" s="393"/>
      <c r="X309" s="394"/>
      <c r="Y309" s="399"/>
      <c r="Z309" s="400">
        <f t="shared" si="16"/>
        <v>0</v>
      </c>
      <c r="AA309" s="400">
        <f t="shared" si="16"/>
        <v>0</v>
      </c>
      <c r="AB309" s="400">
        <f t="shared" si="16"/>
        <v>0</v>
      </c>
    </row>
    <row r="310" spans="1:28" ht="12.95">
      <c r="A310" s="385"/>
      <c r="B310" s="386"/>
      <c r="C310" s="388"/>
      <c r="D310" s="388"/>
      <c r="E310" s="388"/>
      <c r="F310" s="388"/>
      <c r="G310" s="388"/>
      <c r="H310" s="389"/>
      <c r="I310" s="389"/>
      <c r="J310" s="389"/>
      <c r="K310" s="389"/>
      <c r="L310" s="389"/>
      <c r="M310" s="389"/>
      <c r="N310" s="388"/>
      <c r="O310" s="388"/>
      <c r="P310" s="388"/>
      <c r="Q310" s="388"/>
      <c r="R310" s="388"/>
      <c r="S310" s="388"/>
      <c r="T310" s="386">
        <v>2</v>
      </c>
      <c r="W310" s="393"/>
      <c r="X310" s="394"/>
      <c r="Y310" s="399"/>
      <c r="Z310" s="400">
        <f t="shared" si="16"/>
        <v>0</v>
      </c>
      <c r="AA310" s="400">
        <f t="shared" si="16"/>
        <v>0</v>
      </c>
      <c r="AB310" s="400">
        <f t="shared" si="16"/>
        <v>0</v>
      </c>
    </row>
    <row r="311" spans="1:28" ht="12.95">
      <c r="A311" s="385"/>
      <c r="B311" s="386"/>
      <c r="C311" s="388"/>
      <c r="D311" s="388"/>
      <c r="E311" s="388"/>
      <c r="F311" s="388"/>
      <c r="G311" s="388"/>
      <c r="H311" s="389"/>
      <c r="I311" s="389"/>
      <c r="J311" s="389"/>
      <c r="K311" s="389"/>
      <c r="L311" s="389"/>
      <c r="M311" s="389"/>
      <c r="N311" s="388"/>
      <c r="O311" s="388"/>
      <c r="P311" s="388"/>
      <c r="Q311" s="388"/>
      <c r="R311" s="388"/>
      <c r="S311" s="388"/>
      <c r="T311" s="386">
        <v>2</v>
      </c>
      <c r="W311" s="393"/>
      <c r="X311" s="394"/>
      <c r="Y311" s="399"/>
      <c r="Z311" s="400">
        <f t="shared" si="16"/>
        <v>0</v>
      </c>
      <c r="AA311" s="400">
        <f t="shared" si="16"/>
        <v>0</v>
      </c>
      <c r="AB311" s="400">
        <f t="shared" si="16"/>
        <v>0</v>
      </c>
    </row>
    <row r="312" spans="1:28" ht="12.95">
      <c r="A312" s="385"/>
      <c r="B312" s="386"/>
      <c r="C312" s="388"/>
      <c r="D312" s="388"/>
      <c r="E312" s="388"/>
      <c r="F312" s="388"/>
      <c r="G312" s="388"/>
      <c r="H312" s="389"/>
      <c r="I312" s="389"/>
      <c r="J312" s="389"/>
      <c r="K312" s="389"/>
      <c r="L312" s="389"/>
      <c r="M312" s="389"/>
      <c r="N312" s="388"/>
      <c r="O312" s="388"/>
      <c r="P312" s="388"/>
      <c r="Q312" s="388"/>
      <c r="R312" s="388"/>
      <c r="S312" s="388"/>
      <c r="T312" s="386">
        <v>2</v>
      </c>
      <c r="W312" s="393"/>
      <c r="X312" s="394"/>
      <c r="Y312" s="399"/>
      <c r="Z312" s="400">
        <f t="shared" si="16"/>
        <v>0</v>
      </c>
      <c r="AA312" s="400">
        <f t="shared" si="16"/>
        <v>0</v>
      </c>
      <c r="AB312" s="400">
        <f t="shared" si="16"/>
        <v>0</v>
      </c>
    </row>
    <row r="313" spans="1:28" ht="12.95">
      <c r="A313" s="453"/>
      <c r="B313" s="454"/>
      <c r="C313" s="388"/>
      <c r="D313" s="388"/>
      <c r="E313" s="388"/>
      <c r="F313" s="388"/>
      <c r="G313" s="388"/>
      <c r="H313" s="389"/>
      <c r="I313" s="389"/>
      <c r="J313" s="389"/>
      <c r="K313" s="389"/>
      <c r="L313" s="389"/>
      <c r="M313" s="389"/>
      <c r="N313" s="388"/>
      <c r="O313" s="388"/>
      <c r="P313" s="388"/>
      <c r="Q313" s="388"/>
      <c r="R313" s="388"/>
      <c r="S313" s="388"/>
      <c r="T313" s="386">
        <v>2</v>
      </c>
      <c r="W313" s="393"/>
      <c r="X313" s="394"/>
      <c r="Y313" s="399"/>
      <c r="Z313" s="400">
        <f t="shared" si="16"/>
        <v>0</v>
      </c>
      <c r="AA313" s="400">
        <f t="shared" si="16"/>
        <v>0</v>
      </c>
      <c r="AB313" s="400">
        <f t="shared" si="16"/>
        <v>0</v>
      </c>
    </row>
    <row r="314" spans="1:28">
      <c r="A314" s="455"/>
    </row>
    <row r="315" spans="1:28">
      <c r="A315" s="455"/>
    </row>
    <row r="316" spans="1:28">
      <c r="A316" s="455"/>
    </row>
    <row r="317" spans="1:28">
      <c r="A317" s="455"/>
    </row>
    <row r="318" spans="1:28">
      <c r="A318" s="455"/>
    </row>
    <row r="319" spans="1:28">
      <c r="A319" s="455"/>
    </row>
    <row r="320" spans="1:28">
      <c r="A320" s="455"/>
    </row>
    <row r="321" spans="1:1">
      <c r="A321" s="455"/>
    </row>
    <row r="322" spans="1:1">
      <c r="A322" s="455"/>
    </row>
    <row r="323" spans="1:1">
      <c r="A323" s="455"/>
    </row>
    <row r="324" spans="1:1">
      <c r="A324" s="455"/>
    </row>
    <row r="325" spans="1:1">
      <c r="A325" s="455"/>
    </row>
    <row r="326" spans="1:1">
      <c r="A326" s="455"/>
    </row>
    <row r="327" spans="1:1">
      <c r="A327" s="455"/>
    </row>
    <row r="328" spans="1:1">
      <c r="A328" s="455"/>
    </row>
    <row r="329" spans="1:1">
      <c r="A329" s="455"/>
    </row>
    <row r="330" spans="1:1">
      <c r="A330" s="455"/>
    </row>
    <row r="331" spans="1:1">
      <c r="A331" s="455"/>
    </row>
    <row r="332" spans="1:1">
      <c r="A332" s="455"/>
    </row>
    <row r="333" spans="1:1">
      <c r="A333" s="455"/>
    </row>
    <row r="334" spans="1:1">
      <c r="A334" s="455"/>
    </row>
    <row r="335" spans="1:1">
      <c r="A335" s="455"/>
    </row>
    <row r="336" spans="1:1">
      <c r="A336" s="455"/>
    </row>
    <row r="337" spans="1:1">
      <c r="A337" s="455"/>
    </row>
    <row r="338" spans="1:1">
      <c r="A338" s="455"/>
    </row>
    <row r="339" spans="1:1">
      <c r="A339" s="455"/>
    </row>
    <row r="340" spans="1:1">
      <c r="A340" s="455"/>
    </row>
    <row r="341" spans="1:1">
      <c r="A341" s="455"/>
    </row>
    <row r="342" spans="1:1">
      <c r="A342" s="455"/>
    </row>
    <row r="343" spans="1:1">
      <c r="A343" s="455"/>
    </row>
    <row r="344" spans="1:1">
      <c r="A344" s="455"/>
    </row>
    <row r="345" spans="1:1">
      <c r="A345" s="455"/>
    </row>
    <row r="346" spans="1:1">
      <c r="A346" s="455"/>
    </row>
    <row r="347" spans="1:1">
      <c r="A347" s="455"/>
    </row>
    <row r="348" spans="1:1">
      <c r="A348" s="455"/>
    </row>
    <row r="349" spans="1:1">
      <c r="A349" s="455"/>
    </row>
    <row r="350" spans="1:1">
      <c r="A350" s="455"/>
    </row>
    <row r="351" spans="1:1">
      <c r="A351" s="455"/>
    </row>
    <row r="352" spans="1:1">
      <c r="A352" s="455"/>
    </row>
    <row r="353" spans="1:1">
      <c r="A353" s="455"/>
    </row>
    <row r="354" spans="1:1">
      <c r="A354" s="455"/>
    </row>
    <row r="355" spans="1:1">
      <c r="A355" s="455"/>
    </row>
    <row r="356" spans="1:1">
      <c r="A356" s="455"/>
    </row>
    <row r="357" spans="1:1">
      <c r="A357" s="455"/>
    </row>
    <row r="358" spans="1:1">
      <c r="A358" s="455"/>
    </row>
    <row r="359" spans="1:1">
      <c r="A359" s="455"/>
    </row>
    <row r="360" spans="1:1">
      <c r="A360" s="455"/>
    </row>
    <row r="361" spans="1:1">
      <c r="A361" s="455"/>
    </row>
    <row r="362" spans="1:1">
      <c r="A362" s="455"/>
    </row>
    <row r="363" spans="1:1">
      <c r="A363" s="455"/>
    </row>
    <row r="364" spans="1:1">
      <c r="A364" s="455"/>
    </row>
    <row r="365" spans="1:1">
      <c r="A365" s="455"/>
    </row>
    <row r="366" spans="1:1">
      <c r="A366" s="455"/>
    </row>
    <row r="367" spans="1:1">
      <c r="A367" s="455"/>
    </row>
    <row r="368" spans="1:1">
      <c r="A368" s="455"/>
    </row>
    <row r="369" spans="1:25">
      <c r="A369" s="455"/>
    </row>
    <row r="370" spans="1:25">
      <c r="A370" s="455"/>
    </row>
    <row r="371" spans="1:25">
      <c r="A371" s="455"/>
    </row>
    <row r="372" spans="1:25">
      <c r="A372" s="455"/>
    </row>
    <row r="373" spans="1:25">
      <c r="A373" s="455"/>
      <c r="C373" s="417"/>
      <c r="D373" s="417"/>
      <c r="E373" s="417"/>
      <c r="F373" s="417"/>
    </row>
    <row r="374" spans="1:25">
      <c r="C374" s="417"/>
      <c r="D374" s="417"/>
      <c r="E374" s="417"/>
      <c r="F374" s="417"/>
      <c r="H374" s="378">
        <f>SUM(H4:H302)</f>
        <v>151.19999999999999</v>
      </c>
      <c r="I374" s="378">
        <f t="shared" ref="I374:S374" si="17">SUM(I4:I302)</f>
        <v>75.599999999999994</v>
      </c>
      <c r="J374" s="378">
        <f t="shared" si="17"/>
        <v>378</v>
      </c>
      <c r="K374" s="378">
        <f t="shared" si="17"/>
        <v>75.599999999999994</v>
      </c>
      <c r="L374" s="378">
        <f t="shared" si="17"/>
        <v>4.88</v>
      </c>
      <c r="M374" s="378">
        <f t="shared" si="17"/>
        <v>36.35</v>
      </c>
      <c r="N374" s="378">
        <f t="shared" si="17"/>
        <v>0</v>
      </c>
      <c r="O374" s="378">
        <f t="shared" si="17"/>
        <v>0</v>
      </c>
      <c r="P374" s="378">
        <f t="shared" si="17"/>
        <v>0</v>
      </c>
      <c r="Q374" s="378">
        <f t="shared" si="17"/>
        <v>0</v>
      </c>
      <c r="R374" s="378">
        <f t="shared" si="17"/>
        <v>0</v>
      </c>
      <c r="S374" s="378">
        <f t="shared" si="17"/>
        <v>0</v>
      </c>
      <c r="Y374" s="378">
        <f>H374+I374+J374+K374+L374+M374+N374+O374+P374+Q374+R374+S374</f>
        <v>721.63</v>
      </c>
    </row>
    <row r="375" spans="1:25">
      <c r="C375" s="417"/>
      <c r="D375" s="417"/>
      <c r="E375" s="417"/>
      <c r="F375" s="417"/>
    </row>
    <row r="376" spans="1:25">
      <c r="B376" s="454" t="s">
        <v>95</v>
      </c>
      <c r="C376" s="417"/>
      <c r="D376" s="417"/>
      <c r="E376" s="417">
        <f>E4+E9+E14+E19+E24+E29+E34+E39+E44+E49+E54+E59+E64+E69+E74+E79+E84+E89+E94+E99+E104+E109+E114+E119+E124+E129+E134+E139+E144+E149+E154+E159+E164+E169+E174+E179+E184+E189+E194+E199+E204+E209+E214+E219+E224+E229+E234+E239+E244+E249+E254+E259+E264+E269+E274+E279+E284+E289+E294+E299</f>
        <v>107767</v>
      </c>
      <c r="F376" s="417"/>
      <c r="H376" s="378" t="s">
        <v>86</v>
      </c>
      <c r="I376" s="378">
        <f>H374+K374+N374+Q374</f>
        <v>226.8</v>
      </c>
    </row>
    <row r="377" spans="1:25">
      <c r="B377" s="454" t="s">
        <v>97</v>
      </c>
      <c r="C377" s="417"/>
      <c r="D377" s="417"/>
      <c r="E377" s="417">
        <f>E5+E10+E15+E20+E25+E30+E35+E40+E45+E50+E55+E60+E65+E70+E75+E80+E85+E90+E95+E100+E105+E110+E115+E120+E125+E130+E135+E140+E145+E150+E155+E160+E165+E170+E175+E180+E185+E190+E195+E200+E205+E210+E215+E220+E225+E230+E235+E240+E245+E250+E255+E260+E265+E270+E275+E280+E285+E290+E295+E300</f>
        <v>77324</v>
      </c>
      <c r="F377" s="417"/>
      <c r="H377" s="378" t="s">
        <v>87</v>
      </c>
      <c r="I377" s="378">
        <f>I374+L374+O374+R374</f>
        <v>80.48</v>
      </c>
    </row>
    <row r="378" spans="1:25">
      <c r="B378" s="454" t="s">
        <v>99</v>
      </c>
      <c r="C378" s="417"/>
      <c r="D378" s="417"/>
      <c r="E378" s="417">
        <f>E6+E11+E16+E21+E26+E31+E36+E41+E46+E51+E56+E61+E66+E71+E76+E81+E86+E91+E96+E101+E106+E111+E116+E121+E126+E131+E136+E141+E146+E151+E156+E161+E166+E171+E176+E181+E186+E191+E196+E201+E206+E211+E216+E221+E226+E231+E236+E241+E246+E251+E256+E261+E266+E271+E276+E281+E286+E291+E296+E301</f>
        <v>14387</v>
      </c>
      <c r="F378" s="417"/>
      <c r="H378" s="378" t="s">
        <v>116</v>
      </c>
      <c r="I378" s="378">
        <f>J374+M374+P374+S374</f>
        <v>414.35</v>
      </c>
    </row>
    <row r="379" spans="1:25">
      <c r="B379" s="454" t="s">
        <v>101</v>
      </c>
      <c r="C379" s="417"/>
      <c r="D379" s="417"/>
      <c r="E379" s="417">
        <f>E8+E13+E18+E23+E28+E33+E38+E43+E48+E53+E58+E63+E68+E73+E78+E83+E88+E93+E98+E103+E108+E113+E118+E123+E128+E133+E137+E142+E147+E152+E157+E162+E167+E172+E177+E182+E187+E192+E197+E202+E207+E212+E217+E222+E227+E232+E237+E242+E247+E252+E257+E262+E267+E272+E277+E282+E287+E292+E297+E302</f>
        <v>60623</v>
      </c>
      <c r="F379" s="417"/>
      <c r="I379" s="378">
        <f>SUM(I376:I378)</f>
        <v>721.63</v>
      </c>
    </row>
    <row r="380" spans="1:25">
      <c r="C380" s="417"/>
      <c r="D380" s="417"/>
      <c r="E380" s="417"/>
      <c r="F380" s="417"/>
    </row>
    <row r="381" spans="1:25">
      <c r="C381" s="417"/>
      <c r="D381" s="417"/>
      <c r="E381" s="417"/>
      <c r="F381" s="417"/>
    </row>
    <row r="402" spans="2:8" ht="13.35"/>
    <row r="403" spans="2:8" ht="17.100000000000001">
      <c r="B403" s="848" t="s">
        <v>117</v>
      </c>
      <c r="C403" s="848"/>
      <c r="D403" s="456" t="s">
        <v>118</v>
      </c>
      <c r="E403" s="457" t="s">
        <v>119</v>
      </c>
      <c r="F403" s="458">
        <v>40</v>
      </c>
      <c r="G403" s="458">
        <v>50</v>
      </c>
      <c r="H403" s="459" t="s">
        <v>120</v>
      </c>
    </row>
    <row r="404" spans="2:8" ht="14.45">
      <c r="B404" s="858" t="s">
        <v>121</v>
      </c>
      <c r="C404" s="858"/>
      <c r="D404" s="859" t="s">
        <v>122</v>
      </c>
      <c r="E404" s="859"/>
      <c r="F404" s="461">
        <v>0</v>
      </c>
      <c r="G404" s="461">
        <v>0</v>
      </c>
      <c r="H404" s="461">
        <v>0</v>
      </c>
    </row>
    <row r="405" spans="2:8" ht="14.45">
      <c r="B405" s="858"/>
      <c r="C405" s="858"/>
      <c r="D405" s="859"/>
      <c r="E405" s="859"/>
      <c r="F405" s="462">
        <v>0</v>
      </c>
      <c r="G405" s="462">
        <v>0</v>
      </c>
      <c r="H405" s="463"/>
    </row>
    <row r="406" spans="2:8" ht="14.45">
      <c r="B406" s="858"/>
      <c r="C406" s="858"/>
      <c r="D406" s="860" t="s">
        <v>123</v>
      </c>
      <c r="E406" s="860"/>
      <c r="F406" s="461">
        <v>0</v>
      </c>
      <c r="G406" s="464">
        <v>0</v>
      </c>
      <c r="H406" s="461">
        <v>0</v>
      </c>
    </row>
    <row r="407" spans="2:8" ht="14.45">
      <c r="B407" s="858"/>
      <c r="C407" s="858"/>
      <c r="D407" s="860"/>
      <c r="E407" s="860"/>
      <c r="F407" s="462">
        <v>3750</v>
      </c>
      <c r="G407" s="462">
        <v>1500</v>
      </c>
      <c r="H407" s="463"/>
    </row>
    <row r="408" spans="2:8" ht="14.45">
      <c r="B408" s="858" t="s">
        <v>124</v>
      </c>
      <c r="C408" s="858"/>
      <c r="D408" s="859" t="s">
        <v>122</v>
      </c>
      <c r="E408" s="859"/>
      <c r="F408" s="464">
        <v>0</v>
      </c>
      <c r="G408" s="464">
        <v>0</v>
      </c>
      <c r="H408" s="461">
        <v>0</v>
      </c>
    </row>
    <row r="409" spans="2:8" ht="14.45">
      <c r="B409" s="858"/>
      <c r="C409" s="858"/>
      <c r="D409" s="859"/>
      <c r="E409" s="859"/>
      <c r="F409" s="462">
        <v>0</v>
      </c>
      <c r="G409" s="462">
        <v>0</v>
      </c>
      <c r="H409" s="463"/>
    </row>
    <row r="410" spans="2:8" ht="14.45">
      <c r="B410" s="858"/>
      <c r="C410" s="858"/>
      <c r="D410" s="860" t="s">
        <v>123</v>
      </c>
      <c r="E410" s="860"/>
      <c r="F410" s="464">
        <v>0</v>
      </c>
      <c r="G410" s="464">
        <v>1000</v>
      </c>
      <c r="H410" s="461">
        <v>0</v>
      </c>
    </row>
    <row r="411" spans="2:8" ht="14.45">
      <c r="B411" s="858"/>
      <c r="C411" s="858"/>
      <c r="D411" s="860"/>
      <c r="E411" s="860"/>
      <c r="F411" s="462">
        <v>0</v>
      </c>
      <c r="G411" s="462">
        <v>4500</v>
      </c>
      <c r="H411" s="463"/>
    </row>
    <row r="412" spans="2:8" ht="14.45">
      <c r="B412" s="849" t="s">
        <v>125</v>
      </c>
      <c r="C412" s="850"/>
      <c r="D412" s="850"/>
      <c r="E412" s="851"/>
      <c r="F412" s="465">
        <v>3750</v>
      </c>
      <c r="G412" s="465">
        <v>7000</v>
      </c>
      <c r="H412" s="465">
        <v>0</v>
      </c>
    </row>
    <row r="413" spans="2:8" ht="17.100000000000001">
      <c r="B413" s="852" t="s">
        <v>126</v>
      </c>
      <c r="C413" s="853"/>
      <c r="D413" s="460" t="s">
        <v>118</v>
      </c>
      <c r="E413" s="457" t="s">
        <v>127</v>
      </c>
      <c r="F413" s="466">
        <v>40</v>
      </c>
      <c r="G413" s="466">
        <v>50</v>
      </c>
      <c r="H413" s="458" t="s">
        <v>120</v>
      </c>
    </row>
    <row r="414" spans="2:8" ht="14.45">
      <c r="B414" s="858" t="s">
        <v>121</v>
      </c>
      <c r="C414" s="858"/>
      <c r="D414" s="859" t="s">
        <v>122</v>
      </c>
      <c r="E414" s="859"/>
      <c r="F414" s="464">
        <v>0</v>
      </c>
      <c r="G414" s="464">
        <v>0</v>
      </c>
      <c r="H414" s="464">
        <v>0</v>
      </c>
    </row>
    <row r="415" spans="2:8" ht="14.45">
      <c r="B415" s="858"/>
      <c r="C415" s="858"/>
      <c r="D415" s="859"/>
      <c r="E415" s="859"/>
      <c r="F415" s="462">
        <v>0</v>
      </c>
      <c r="G415" s="462">
        <v>0</v>
      </c>
      <c r="H415" s="467"/>
    </row>
    <row r="416" spans="2:8" ht="14.45">
      <c r="B416" s="858"/>
      <c r="C416" s="858"/>
      <c r="D416" s="860" t="s">
        <v>123</v>
      </c>
      <c r="E416" s="860"/>
      <c r="F416" s="464">
        <v>0</v>
      </c>
      <c r="G416" s="464">
        <v>1500</v>
      </c>
      <c r="H416" s="464">
        <v>0</v>
      </c>
    </row>
    <row r="417" spans="2:8" ht="14.45">
      <c r="B417" s="858"/>
      <c r="C417" s="858"/>
      <c r="D417" s="860"/>
      <c r="E417" s="860"/>
      <c r="F417" s="462">
        <v>0</v>
      </c>
      <c r="G417" s="462">
        <v>3000</v>
      </c>
      <c r="H417" s="467"/>
    </row>
    <row r="418" spans="2:8" ht="14.45">
      <c r="B418" s="858" t="s">
        <v>124</v>
      </c>
      <c r="C418" s="858"/>
      <c r="D418" s="859" t="s">
        <v>122</v>
      </c>
      <c r="E418" s="859"/>
      <c r="F418" s="464">
        <v>0</v>
      </c>
      <c r="G418" s="464">
        <v>0</v>
      </c>
      <c r="H418" s="464"/>
    </row>
    <row r="419" spans="2:8" ht="14.45">
      <c r="B419" s="858"/>
      <c r="C419" s="858"/>
      <c r="D419" s="859"/>
      <c r="E419" s="859"/>
      <c r="F419" s="462">
        <v>0</v>
      </c>
      <c r="G419" s="462">
        <v>0</v>
      </c>
      <c r="H419" s="467"/>
    </row>
    <row r="420" spans="2:8" ht="14.45">
      <c r="B420" s="858"/>
      <c r="C420" s="858"/>
      <c r="D420" s="860" t="s">
        <v>123</v>
      </c>
      <c r="E420" s="860"/>
      <c r="F420" s="464">
        <v>0</v>
      </c>
      <c r="G420" s="464">
        <v>1000</v>
      </c>
      <c r="H420" s="464">
        <v>0</v>
      </c>
    </row>
    <row r="421" spans="2:8" ht="14.45">
      <c r="B421" s="858"/>
      <c r="C421" s="858"/>
      <c r="D421" s="860"/>
      <c r="E421" s="860"/>
      <c r="F421" s="462">
        <v>0</v>
      </c>
      <c r="G421" s="462">
        <v>4000</v>
      </c>
      <c r="H421" s="467"/>
    </row>
    <row r="422" spans="2:8" ht="14.45">
      <c r="B422" s="854" t="s">
        <v>125</v>
      </c>
      <c r="C422" s="854"/>
      <c r="D422" s="854"/>
      <c r="E422" s="854"/>
      <c r="F422" s="465">
        <v>0</v>
      </c>
      <c r="G422" s="465">
        <v>9500</v>
      </c>
      <c r="H422" s="465">
        <v>0</v>
      </c>
    </row>
    <row r="423" spans="2:8" ht="13.35"/>
  </sheetData>
  <mergeCells count="32">
    <mergeCell ref="B414:C417"/>
    <mergeCell ref="D414:E415"/>
    <mergeCell ref="D416:E417"/>
    <mergeCell ref="B418:C421"/>
    <mergeCell ref="D418:E419"/>
    <mergeCell ref="D420:E421"/>
    <mergeCell ref="A1:A3"/>
    <mergeCell ref="B1:B3"/>
    <mergeCell ref="C1:C3"/>
    <mergeCell ref="D1:D3"/>
    <mergeCell ref="E1:E3"/>
    <mergeCell ref="AD2:AJ2"/>
    <mergeCell ref="B403:C403"/>
    <mergeCell ref="B412:E412"/>
    <mergeCell ref="B413:C413"/>
    <mergeCell ref="B422:E422"/>
    <mergeCell ref="F1:F3"/>
    <mergeCell ref="G1:G3"/>
    <mergeCell ref="T1:T3"/>
    <mergeCell ref="X1:X3"/>
    <mergeCell ref="Y1:Y3"/>
    <mergeCell ref="B408:C411"/>
    <mergeCell ref="D408:E409"/>
    <mergeCell ref="D410:E411"/>
    <mergeCell ref="B404:C407"/>
    <mergeCell ref="D404:E405"/>
    <mergeCell ref="D406:E407"/>
    <mergeCell ref="H1:S1"/>
    <mergeCell ref="H2:J2"/>
    <mergeCell ref="K2:M2"/>
    <mergeCell ref="N2:P2"/>
    <mergeCell ref="Q2:S2"/>
  </mergeCells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H50"/>
  <sheetViews>
    <sheetView zoomScale="70" zoomScaleNormal="70" workbookViewId="0">
      <pane ySplit="3" topLeftCell="A21" activePane="bottomLeft" state="frozen"/>
      <selection pane="bottomLeft" activeCell="Y39" sqref="Y39"/>
    </sheetView>
  </sheetViews>
  <sheetFormatPr defaultColWidth="9" defaultRowHeight="14.45"/>
  <sheetData>
    <row r="1" spans="1:34" ht="15.2">
      <c r="A1" s="266"/>
      <c r="B1" s="267"/>
      <c r="C1" s="267"/>
      <c r="D1" s="267"/>
      <c r="E1" s="267"/>
      <c r="F1" s="267"/>
      <c r="G1" s="267"/>
      <c r="H1" s="267"/>
      <c r="I1" s="267"/>
      <c r="J1" s="267"/>
      <c r="K1" s="267"/>
      <c r="L1" s="267"/>
      <c r="M1" s="267"/>
      <c r="N1" s="267"/>
      <c r="O1" s="267"/>
      <c r="P1" s="267"/>
      <c r="Q1" s="267"/>
      <c r="R1" s="267"/>
      <c r="S1" s="267"/>
      <c r="T1" s="267"/>
      <c r="U1" s="267"/>
      <c r="V1" s="267"/>
      <c r="W1" s="267"/>
      <c r="X1" s="267"/>
      <c r="Y1" s="267"/>
      <c r="Z1" s="267"/>
      <c r="AA1" s="267"/>
      <c r="AB1" s="267"/>
      <c r="AC1" s="267"/>
      <c r="AD1" s="267"/>
      <c r="AE1" s="267"/>
      <c r="AF1" s="267"/>
      <c r="AG1" s="267"/>
      <c r="AH1" s="267"/>
    </row>
    <row r="2" spans="1:34" ht="15.95">
      <c r="A2" s="268"/>
      <c r="B2" s="881" t="s">
        <v>129</v>
      </c>
      <c r="C2" s="874" t="s">
        <v>130</v>
      </c>
      <c r="D2" s="875"/>
      <c r="E2" s="875"/>
      <c r="F2" s="875"/>
      <c r="G2" s="875"/>
      <c r="H2" s="875"/>
      <c r="I2" s="875"/>
      <c r="J2" s="875"/>
      <c r="K2" s="875"/>
      <c r="L2" s="875"/>
      <c r="M2" s="875"/>
      <c r="N2" s="876"/>
      <c r="O2" s="317"/>
      <c r="P2" s="885" t="s">
        <v>129</v>
      </c>
      <c r="Q2" s="874" t="s">
        <v>131</v>
      </c>
      <c r="R2" s="875"/>
      <c r="S2" s="875"/>
      <c r="T2" s="875"/>
      <c r="U2" s="875"/>
      <c r="V2" s="875"/>
      <c r="W2" s="875"/>
      <c r="X2" s="875"/>
      <c r="Y2" s="875"/>
      <c r="Z2" s="875"/>
      <c r="AA2" s="875"/>
      <c r="AB2" s="876"/>
      <c r="AC2" s="267"/>
      <c r="AD2" s="885" t="s">
        <v>129</v>
      </c>
      <c r="AE2" s="862" t="s">
        <v>132</v>
      </c>
      <c r="AF2" s="863"/>
      <c r="AG2" s="864" t="s">
        <v>133</v>
      </c>
      <c r="AH2" s="865"/>
    </row>
    <row r="3" spans="1:34" ht="15.95">
      <c r="A3" s="268"/>
      <c r="B3" s="882"/>
      <c r="C3" s="269" t="s">
        <v>134</v>
      </c>
      <c r="D3" s="270" t="s">
        <v>135</v>
      </c>
      <c r="E3" s="271" t="s">
        <v>80</v>
      </c>
      <c r="F3" s="272" t="s">
        <v>136</v>
      </c>
      <c r="G3" s="270" t="s">
        <v>135</v>
      </c>
      <c r="H3" s="271" t="s">
        <v>80</v>
      </c>
      <c r="I3" s="318" t="s">
        <v>137</v>
      </c>
      <c r="J3" s="319" t="s">
        <v>135</v>
      </c>
      <c r="K3" s="320" t="s">
        <v>80</v>
      </c>
      <c r="L3" s="321" t="s">
        <v>138</v>
      </c>
      <c r="M3" s="319" t="s">
        <v>135</v>
      </c>
      <c r="N3" s="322" t="s">
        <v>80</v>
      </c>
      <c r="O3" s="267"/>
      <c r="P3" s="886"/>
      <c r="Q3" s="269" t="s">
        <v>134</v>
      </c>
      <c r="R3" s="270" t="s">
        <v>135</v>
      </c>
      <c r="S3" s="271" t="s">
        <v>80</v>
      </c>
      <c r="T3" s="272" t="s">
        <v>136</v>
      </c>
      <c r="U3" s="270" t="s">
        <v>135</v>
      </c>
      <c r="V3" s="271" t="s">
        <v>80</v>
      </c>
      <c r="W3" s="318" t="s">
        <v>137</v>
      </c>
      <c r="X3" s="319" t="s">
        <v>135</v>
      </c>
      <c r="Y3" s="320" t="s">
        <v>80</v>
      </c>
      <c r="Z3" s="321" t="s">
        <v>138</v>
      </c>
      <c r="AA3" s="319" t="s">
        <v>135</v>
      </c>
      <c r="AB3" s="322" t="s">
        <v>80</v>
      </c>
      <c r="AC3" s="267"/>
      <c r="AD3" s="886"/>
      <c r="AE3" s="347" t="s">
        <v>139</v>
      </c>
      <c r="AF3" s="348" t="s">
        <v>140</v>
      </c>
      <c r="AG3" s="347" t="s">
        <v>139</v>
      </c>
      <c r="AH3" s="372" t="s">
        <v>140</v>
      </c>
    </row>
    <row r="4" spans="1:34" ht="15.2">
      <c r="A4" s="268"/>
      <c r="B4" s="273">
        <v>1</v>
      </c>
      <c r="C4" s="274">
        <v>2972</v>
      </c>
      <c r="D4" s="275">
        <v>118.88</v>
      </c>
      <c r="E4" s="276">
        <v>10</v>
      </c>
      <c r="F4" s="274"/>
      <c r="G4" s="275">
        <v>0</v>
      </c>
      <c r="H4" s="276"/>
      <c r="I4" s="274"/>
      <c r="J4" s="281">
        <v>0</v>
      </c>
      <c r="K4" s="323"/>
      <c r="L4" s="324"/>
      <c r="M4" s="325">
        <v>0</v>
      </c>
      <c r="N4" s="326"/>
      <c r="O4" s="267"/>
      <c r="P4" s="273">
        <v>1</v>
      </c>
      <c r="Q4" s="274"/>
      <c r="R4" s="281">
        <v>0</v>
      </c>
      <c r="S4" s="276"/>
      <c r="T4" s="274"/>
      <c r="U4" s="275">
        <v>0</v>
      </c>
      <c r="V4" s="276"/>
      <c r="W4" s="274"/>
      <c r="X4" s="281">
        <v>0</v>
      </c>
      <c r="Y4" s="323"/>
      <c r="Z4" s="274"/>
      <c r="AA4" s="275">
        <v>0</v>
      </c>
      <c r="AB4" s="349"/>
      <c r="AC4" s="267"/>
      <c r="AD4" s="350">
        <v>1</v>
      </c>
      <c r="AE4" s="351"/>
      <c r="AF4" s="352"/>
      <c r="AG4" s="352">
        <v>118.88</v>
      </c>
      <c r="AH4" s="373"/>
    </row>
    <row r="5" spans="1:34">
      <c r="A5" s="268"/>
      <c r="B5" s="277">
        <v>2</v>
      </c>
      <c r="C5" s="278">
        <v>3810</v>
      </c>
      <c r="D5" s="279">
        <v>152.4</v>
      </c>
      <c r="E5" s="280">
        <v>16</v>
      </c>
      <c r="F5" s="278"/>
      <c r="G5" s="281">
        <v>0</v>
      </c>
      <c r="H5" s="280"/>
      <c r="I5" s="278"/>
      <c r="J5" s="281">
        <v>0</v>
      </c>
      <c r="K5" s="280"/>
      <c r="L5" s="327"/>
      <c r="M5" s="328">
        <v>0</v>
      </c>
      <c r="N5" s="329"/>
      <c r="O5" s="267"/>
      <c r="P5" s="277">
        <v>2</v>
      </c>
      <c r="Q5" s="278"/>
      <c r="R5" s="281">
        <v>0</v>
      </c>
      <c r="S5" s="280"/>
      <c r="T5" s="278"/>
      <c r="U5" s="281">
        <v>0</v>
      </c>
      <c r="V5" s="280"/>
      <c r="W5" s="278"/>
      <c r="X5" s="281">
        <v>0</v>
      </c>
      <c r="Y5" s="280"/>
      <c r="Z5" s="278"/>
      <c r="AA5" s="281">
        <v>0</v>
      </c>
      <c r="AB5" s="353"/>
      <c r="AC5" s="267"/>
      <c r="AD5" s="354">
        <v>2</v>
      </c>
      <c r="AE5" s="355"/>
      <c r="AF5" s="356"/>
      <c r="AG5" s="356">
        <v>152.4</v>
      </c>
      <c r="AH5" s="374"/>
    </row>
    <row r="6" spans="1:34">
      <c r="A6" s="268"/>
      <c r="B6" s="277">
        <v>3</v>
      </c>
      <c r="C6" s="278"/>
      <c r="D6" s="279">
        <v>0</v>
      </c>
      <c r="E6" s="282"/>
      <c r="F6" s="278">
        <v>7896</v>
      </c>
      <c r="G6" s="281">
        <v>394.8</v>
      </c>
      <c r="H6" s="280">
        <v>10</v>
      </c>
      <c r="I6" s="278"/>
      <c r="J6" s="281">
        <v>0</v>
      </c>
      <c r="K6" s="282"/>
      <c r="L6" s="327"/>
      <c r="M6" s="328">
        <v>0</v>
      </c>
      <c r="N6" s="329"/>
      <c r="O6" s="267"/>
      <c r="P6" s="277">
        <v>3</v>
      </c>
      <c r="Q6" s="278"/>
      <c r="R6" s="281">
        <v>0</v>
      </c>
      <c r="S6" s="280"/>
      <c r="T6" s="278">
        <v>12600</v>
      </c>
      <c r="U6" s="281">
        <v>630</v>
      </c>
      <c r="V6" s="280">
        <v>45</v>
      </c>
      <c r="W6" s="278"/>
      <c r="X6" s="281">
        <v>0</v>
      </c>
      <c r="Y6" s="282"/>
      <c r="Z6" s="278">
        <v>1350</v>
      </c>
      <c r="AA6" s="281">
        <v>67.5</v>
      </c>
      <c r="AB6" s="353">
        <v>8</v>
      </c>
      <c r="AC6" s="267"/>
      <c r="AD6" s="354">
        <v>3</v>
      </c>
      <c r="AE6" s="357"/>
      <c r="AF6" s="358">
        <v>697.5</v>
      </c>
      <c r="AG6" s="356"/>
      <c r="AH6" s="374">
        <v>394.8</v>
      </c>
    </row>
    <row r="7" spans="1:34">
      <c r="A7" s="268"/>
      <c r="B7" s="277">
        <v>4</v>
      </c>
      <c r="C7" s="278"/>
      <c r="D7" s="279">
        <v>0</v>
      </c>
      <c r="E7" s="280"/>
      <c r="F7" s="278">
        <v>8900</v>
      </c>
      <c r="G7" s="281">
        <v>445</v>
      </c>
      <c r="H7" s="280">
        <v>32</v>
      </c>
      <c r="I7" s="278"/>
      <c r="J7" s="281">
        <v>0</v>
      </c>
      <c r="K7" s="282"/>
      <c r="L7" s="327">
        <v>4350</v>
      </c>
      <c r="M7" s="328">
        <v>217.5</v>
      </c>
      <c r="N7" s="329">
        <v>41</v>
      </c>
      <c r="O7" s="267"/>
      <c r="P7" s="277">
        <v>4</v>
      </c>
      <c r="Q7" s="278"/>
      <c r="R7" s="281">
        <v>0</v>
      </c>
      <c r="S7" s="280"/>
      <c r="T7" s="278">
        <v>8100</v>
      </c>
      <c r="U7" s="281">
        <v>405</v>
      </c>
      <c r="V7" s="280">
        <v>32</v>
      </c>
      <c r="W7" s="278"/>
      <c r="X7" s="281">
        <v>0</v>
      </c>
      <c r="Y7" s="282"/>
      <c r="Z7" s="278">
        <v>4300</v>
      </c>
      <c r="AA7" s="281">
        <v>215</v>
      </c>
      <c r="AB7" s="353">
        <v>54</v>
      </c>
      <c r="AC7" s="267"/>
      <c r="AD7" s="354">
        <v>4</v>
      </c>
      <c r="AE7" s="359"/>
      <c r="AF7" s="356">
        <v>1282.5</v>
      </c>
      <c r="AG7" s="356"/>
      <c r="AH7" s="374"/>
    </row>
    <row r="8" spans="1:34">
      <c r="A8" s="268"/>
      <c r="B8" s="277">
        <v>5</v>
      </c>
      <c r="C8" s="278"/>
      <c r="D8" s="279">
        <v>0</v>
      </c>
      <c r="E8" s="280"/>
      <c r="F8" s="278"/>
      <c r="G8" s="281">
        <v>0</v>
      </c>
      <c r="H8" s="280"/>
      <c r="I8" s="278"/>
      <c r="J8" s="281">
        <v>0</v>
      </c>
      <c r="K8" s="280"/>
      <c r="L8" s="327"/>
      <c r="M8" s="328">
        <v>0</v>
      </c>
      <c r="N8" s="329"/>
      <c r="O8" s="267"/>
      <c r="P8" s="277">
        <v>5</v>
      </c>
      <c r="Q8" s="278"/>
      <c r="R8" s="281">
        <v>0</v>
      </c>
      <c r="S8" s="280"/>
      <c r="T8" s="278">
        <v>8400</v>
      </c>
      <c r="U8" s="281">
        <v>420</v>
      </c>
      <c r="V8" s="280">
        <v>71</v>
      </c>
      <c r="W8" s="278"/>
      <c r="X8" s="281">
        <v>0</v>
      </c>
      <c r="Y8" s="280"/>
      <c r="Z8" s="278">
        <v>5000</v>
      </c>
      <c r="AA8" s="281">
        <v>250</v>
      </c>
      <c r="AB8" s="353">
        <v>30</v>
      </c>
      <c r="AC8" s="267"/>
      <c r="AD8" s="354">
        <v>5</v>
      </c>
      <c r="AE8" s="359"/>
      <c r="AF8" s="356">
        <v>670</v>
      </c>
      <c r="AG8" s="356"/>
      <c r="AH8" s="374"/>
    </row>
    <row r="9" spans="1:34">
      <c r="A9" s="268"/>
      <c r="B9" s="277">
        <v>6</v>
      </c>
      <c r="C9" s="278"/>
      <c r="D9" s="279">
        <v>0</v>
      </c>
      <c r="E9" s="280"/>
      <c r="F9" s="278">
        <v>2400</v>
      </c>
      <c r="G9" s="281">
        <v>120</v>
      </c>
      <c r="H9" s="280">
        <v>4</v>
      </c>
      <c r="I9" s="278"/>
      <c r="J9" s="281">
        <v>0</v>
      </c>
      <c r="K9" s="282"/>
      <c r="L9" s="327">
        <v>3000</v>
      </c>
      <c r="M9" s="328">
        <v>150</v>
      </c>
      <c r="N9" s="329">
        <v>7</v>
      </c>
      <c r="O9" s="267"/>
      <c r="P9" s="277">
        <v>6</v>
      </c>
      <c r="Q9" s="278"/>
      <c r="R9" s="281">
        <v>0</v>
      </c>
      <c r="S9" s="280"/>
      <c r="T9" s="278">
        <v>2800</v>
      </c>
      <c r="U9" s="281">
        <v>140</v>
      </c>
      <c r="V9" s="280">
        <v>10</v>
      </c>
      <c r="W9" s="278"/>
      <c r="X9" s="281">
        <v>0</v>
      </c>
      <c r="Y9" s="282"/>
      <c r="Z9" s="278">
        <v>3500</v>
      </c>
      <c r="AA9" s="281">
        <v>175</v>
      </c>
      <c r="AB9" s="353">
        <v>20</v>
      </c>
      <c r="AC9" s="267"/>
      <c r="AD9" s="354">
        <v>6</v>
      </c>
      <c r="AE9" s="359"/>
      <c r="AF9" s="356">
        <v>585</v>
      </c>
      <c r="AG9" s="356"/>
      <c r="AH9" s="374"/>
    </row>
    <row r="10" spans="1:34">
      <c r="A10" s="268"/>
      <c r="B10" s="277">
        <v>7</v>
      </c>
      <c r="C10" s="278"/>
      <c r="D10" s="279">
        <v>0</v>
      </c>
      <c r="E10" s="280"/>
      <c r="F10" s="278"/>
      <c r="G10" s="281">
        <v>0</v>
      </c>
      <c r="H10" s="280"/>
      <c r="I10" s="278"/>
      <c r="J10" s="281">
        <v>0</v>
      </c>
      <c r="K10" s="280"/>
      <c r="L10" s="327">
        <v>4957</v>
      </c>
      <c r="M10" s="328">
        <v>247.85</v>
      </c>
      <c r="N10" s="329">
        <v>17</v>
      </c>
      <c r="O10" s="267"/>
      <c r="P10" s="277">
        <v>7</v>
      </c>
      <c r="Q10" s="278"/>
      <c r="R10" s="281">
        <v>0</v>
      </c>
      <c r="S10" s="280"/>
      <c r="T10" s="278"/>
      <c r="U10" s="281">
        <v>0</v>
      </c>
      <c r="V10" s="280"/>
      <c r="W10" s="278"/>
      <c r="X10" s="281">
        <v>0</v>
      </c>
      <c r="Y10" s="280"/>
      <c r="Z10" s="278">
        <v>5500</v>
      </c>
      <c r="AA10" s="281">
        <v>275</v>
      </c>
      <c r="AB10" s="353">
        <v>22</v>
      </c>
      <c r="AC10" s="267"/>
      <c r="AD10" s="354">
        <v>7</v>
      </c>
      <c r="AE10" s="359"/>
      <c r="AF10" s="356">
        <v>275</v>
      </c>
      <c r="AG10" s="356"/>
      <c r="AH10" s="374">
        <v>247.85</v>
      </c>
    </row>
    <row r="11" spans="1:34">
      <c r="A11" s="268"/>
      <c r="B11" s="277">
        <v>8</v>
      </c>
      <c r="C11" s="278"/>
      <c r="D11" s="279">
        <v>0</v>
      </c>
      <c r="E11" s="282"/>
      <c r="F11" s="278"/>
      <c r="G11" s="281">
        <v>0</v>
      </c>
      <c r="H11" s="280"/>
      <c r="I11" s="278"/>
      <c r="J11" s="281">
        <v>0</v>
      </c>
      <c r="K11" s="280"/>
      <c r="L11" s="327">
        <v>3414</v>
      </c>
      <c r="M11" s="328">
        <v>170.7</v>
      </c>
      <c r="N11" s="329">
        <v>6</v>
      </c>
      <c r="O11" s="267"/>
      <c r="P11" s="277">
        <v>8</v>
      </c>
      <c r="Q11" s="278">
        <v>1625</v>
      </c>
      <c r="R11" s="281">
        <v>65</v>
      </c>
      <c r="S11" s="280">
        <v>11</v>
      </c>
      <c r="T11" s="278"/>
      <c r="U11" s="281">
        <v>0</v>
      </c>
      <c r="V11" s="280"/>
      <c r="W11" s="278">
        <v>5625</v>
      </c>
      <c r="X11" s="281">
        <v>225</v>
      </c>
      <c r="Y11" s="280">
        <v>21</v>
      </c>
      <c r="Z11" s="278">
        <v>2500</v>
      </c>
      <c r="AA11" s="281">
        <v>125</v>
      </c>
      <c r="AB11" s="353">
        <v>14</v>
      </c>
      <c r="AC11" s="267"/>
      <c r="AD11" s="354">
        <v>8</v>
      </c>
      <c r="AE11" s="359">
        <v>290</v>
      </c>
      <c r="AF11" s="356">
        <v>125</v>
      </c>
      <c r="AG11" s="356"/>
      <c r="AH11" s="374">
        <v>170.7</v>
      </c>
    </row>
    <row r="12" spans="1:34">
      <c r="A12" s="268"/>
      <c r="B12" s="283">
        <v>9</v>
      </c>
      <c r="C12" s="284"/>
      <c r="D12" s="279">
        <v>0</v>
      </c>
      <c r="E12" s="285"/>
      <c r="F12" s="284"/>
      <c r="G12" s="281">
        <v>0</v>
      </c>
      <c r="H12" s="285"/>
      <c r="I12" s="284"/>
      <c r="J12" s="281">
        <v>0</v>
      </c>
      <c r="K12" s="285"/>
      <c r="L12" s="330">
        <v>9125</v>
      </c>
      <c r="M12" s="328">
        <v>456.25</v>
      </c>
      <c r="N12" s="331">
        <v>38</v>
      </c>
      <c r="O12" s="332"/>
      <c r="P12" s="283">
        <v>9</v>
      </c>
      <c r="Q12" s="284">
        <v>4375</v>
      </c>
      <c r="R12" s="281">
        <v>175</v>
      </c>
      <c r="S12" s="285">
        <v>25</v>
      </c>
      <c r="T12" s="278"/>
      <c r="U12" s="281">
        <v>0</v>
      </c>
      <c r="V12" s="280"/>
      <c r="W12" s="278">
        <v>1250</v>
      </c>
      <c r="X12" s="281">
        <v>50</v>
      </c>
      <c r="Y12" s="280">
        <v>10</v>
      </c>
      <c r="Z12" s="278"/>
      <c r="AA12" s="281">
        <v>0</v>
      </c>
      <c r="AB12" s="353"/>
      <c r="AC12" s="267"/>
      <c r="AD12" s="354">
        <v>9</v>
      </c>
      <c r="AE12" s="360">
        <v>225</v>
      </c>
      <c r="AF12" s="356"/>
      <c r="AG12" s="356"/>
      <c r="AH12" s="374">
        <v>456.25</v>
      </c>
    </row>
    <row r="13" spans="1:34">
      <c r="A13" s="268"/>
      <c r="B13" s="277">
        <v>10</v>
      </c>
      <c r="C13" s="278"/>
      <c r="D13" s="279">
        <v>0</v>
      </c>
      <c r="E13" s="280"/>
      <c r="F13" s="278"/>
      <c r="G13" s="281">
        <v>0</v>
      </c>
      <c r="H13" s="280"/>
      <c r="I13" s="278"/>
      <c r="J13" s="281">
        <v>0</v>
      </c>
      <c r="K13" s="282"/>
      <c r="L13" s="327">
        <v>10007</v>
      </c>
      <c r="M13" s="328">
        <v>500.35</v>
      </c>
      <c r="N13" s="329">
        <v>50</v>
      </c>
      <c r="O13" s="267"/>
      <c r="P13" s="277">
        <v>10</v>
      </c>
      <c r="Q13" s="278">
        <v>3750</v>
      </c>
      <c r="R13" s="281">
        <v>150</v>
      </c>
      <c r="S13" s="280">
        <v>17</v>
      </c>
      <c r="T13" s="278"/>
      <c r="U13" s="281">
        <v>0</v>
      </c>
      <c r="V13" s="280"/>
      <c r="W13" s="278">
        <v>11875</v>
      </c>
      <c r="X13" s="281">
        <v>475</v>
      </c>
      <c r="Y13" s="280">
        <v>38</v>
      </c>
      <c r="Z13" s="278"/>
      <c r="AA13" s="281">
        <v>0</v>
      </c>
      <c r="AB13" s="353"/>
      <c r="AC13" s="267"/>
      <c r="AD13" s="354">
        <v>10</v>
      </c>
      <c r="AE13" s="360">
        <v>625</v>
      </c>
      <c r="AF13" s="356"/>
      <c r="AG13" s="356"/>
      <c r="AH13" s="374">
        <v>500.35</v>
      </c>
    </row>
    <row r="14" spans="1:34">
      <c r="A14" s="268"/>
      <c r="B14" s="277">
        <v>11</v>
      </c>
      <c r="C14" s="278"/>
      <c r="D14" s="279">
        <v>0</v>
      </c>
      <c r="E14" s="280"/>
      <c r="F14" s="278"/>
      <c r="G14" s="281">
        <v>0</v>
      </c>
      <c r="H14" s="280"/>
      <c r="I14" s="278"/>
      <c r="J14" s="281">
        <v>0</v>
      </c>
      <c r="K14" s="280"/>
      <c r="L14" s="327">
        <v>13348</v>
      </c>
      <c r="M14" s="328">
        <v>667.4</v>
      </c>
      <c r="N14" s="329">
        <v>53</v>
      </c>
      <c r="O14" s="267"/>
      <c r="P14" s="277">
        <v>11</v>
      </c>
      <c r="Q14" s="278"/>
      <c r="R14" s="281">
        <v>0</v>
      </c>
      <c r="S14" s="280"/>
      <c r="T14" s="278"/>
      <c r="U14" s="281">
        <v>0</v>
      </c>
      <c r="V14" s="280"/>
      <c r="W14" s="278"/>
      <c r="X14" s="281">
        <v>0</v>
      </c>
      <c r="Y14" s="282"/>
      <c r="Z14" s="278">
        <v>9960</v>
      </c>
      <c r="AA14" s="281">
        <v>498</v>
      </c>
      <c r="AB14" s="353">
        <v>52</v>
      </c>
      <c r="AC14" s="267"/>
      <c r="AD14" s="354">
        <v>11</v>
      </c>
      <c r="AE14" s="357"/>
      <c r="AF14" s="361">
        <v>498</v>
      </c>
      <c r="AG14" s="356"/>
      <c r="AH14" s="374">
        <v>667.4</v>
      </c>
    </row>
    <row r="15" spans="1:34">
      <c r="A15" s="268"/>
      <c r="B15" s="277">
        <v>12</v>
      </c>
      <c r="C15" s="278"/>
      <c r="D15" s="279">
        <v>0</v>
      </c>
      <c r="E15" s="280"/>
      <c r="F15" s="278">
        <v>2500</v>
      </c>
      <c r="G15" s="281">
        <v>125</v>
      </c>
      <c r="H15" s="280">
        <v>3</v>
      </c>
      <c r="I15" s="278"/>
      <c r="J15" s="281">
        <v>0</v>
      </c>
      <c r="K15" s="282"/>
      <c r="L15" s="327">
        <v>6614</v>
      </c>
      <c r="M15" s="328">
        <v>330.7</v>
      </c>
      <c r="N15" s="329">
        <v>33</v>
      </c>
      <c r="O15" s="267"/>
      <c r="P15" s="277">
        <v>12</v>
      </c>
      <c r="Q15" s="278"/>
      <c r="R15" s="281">
        <v>0</v>
      </c>
      <c r="S15" s="280"/>
      <c r="T15" s="278"/>
      <c r="U15" s="281">
        <v>0</v>
      </c>
      <c r="V15" s="280"/>
      <c r="W15" s="278">
        <v>13750</v>
      </c>
      <c r="X15" s="281">
        <v>550</v>
      </c>
      <c r="Y15" s="280">
        <v>77</v>
      </c>
      <c r="Z15" s="278"/>
      <c r="AA15" s="281">
        <v>0</v>
      </c>
      <c r="AB15" s="353"/>
      <c r="AC15" s="267"/>
      <c r="AD15" s="354">
        <v>12</v>
      </c>
      <c r="AE15" s="357">
        <v>550</v>
      </c>
      <c r="AF15" s="356">
        <v>298.25</v>
      </c>
      <c r="AG15" s="375"/>
      <c r="AH15" s="374">
        <v>157.44999999999999</v>
      </c>
    </row>
    <row r="16" spans="1:34">
      <c r="A16" s="268"/>
      <c r="B16" s="277">
        <v>13</v>
      </c>
      <c r="C16" s="278">
        <v>2929</v>
      </c>
      <c r="D16" s="279">
        <v>117.16</v>
      </c>
      <c r="E16" s="280">
        <v>19</v>
      </c>
      <c r="F16" s="278"/>
      <c r="G16" s="281">
        <v>0</v>
      </c>
      <c r="H16" s="280"/>
      <c r="I16" s="278"/>
      <c r="J16" s="281">
        <v>0</v>
      </c>
      <c r="K16" s="282"/>
      <c r="L16" s="327"/>
      <c r="M16" s="328">
        <v>0</v>
      </c>
      <c r="N16" s="329"/>
      <c r="O16" s="267"/>
      <c r="P16" s="277">
        <v>13</v>
      </c>
      <c r="Q16" s="278"/>
      <c r="R16" s="281">
        <v>0</v>
      </c>
      <c r="S16" s="280"/>
      <c r="T16" s="278">
        <v>7000</v>
      </c>
      <c r="U16" s="281">
        <v>350</v>
      </c>
      <c r="V16" s="280">
        <v>16</v>
      </c>
      <c r="W16" s="278"/>
      <c r="X16" s="281">
        <v>0</v>
      </c>
      <c r="Y16" s="282"/>
      <c r="Z16" s="278">
        <v>4990</v>
      </c>
      <c r="AA16" s="281">
        <v>249.5</v>
      </c>
      <c r="AB16" s="353">
        <v>27</v>
      </c>
      <c r="AC16" s="267"/>
      <c r="AD16" s="354">
        <v>13</v>
      </c>
      <c r="AE16" s="359"/>
      <c r="AF16" s="356">
        <v>599.5</v>
      </c>
      <c r="AG16" s="356">
        <v>117.16</v>
      </c>
      <c r="AH16" s="374"/>
    </row>
    <row r="17" spans="1:34">
      <c r="A17" s="268"/>
      <c r="B17" s="277">
        <v>14</v>
      </c>
      <c r="C17" s="278"/>
      <c r="D17" s="279">
        <v>0</v>
      </c>
      <c r="E17" s="282"/>
      <c r="F17" s="278"/>
      <c r="G17" s="281">
        <v>0</v>
      </c>
      <c r="H17" s="280"/>
      <c r="I17" s="278"/>
      <c r="J17" s="281">
        <v>0</v>
      </c>
      <c r="K17" s="282"/>
      <c r="L17" s="327"/>
      <c r="M17" s="328">
        <v>0</v>
      </c>
      <c r="N17" s="329"/>
      <c r="O17" s="267"/>
      <c r="P17" s="277">
        <v>14</v>
      </c>
      <c r="Q17" s="278"/>
      <c r="R17" s="281">
        <v>0</v>
      </c>
      <c r="S17" s="280"/>
      <c r="T17" s="278">
        <v>995</v>
      </c>
      <c r="U17" s="281">
        <v>49.75</v>
      </c>
      <c r="V17" s="280">
        <v>3</v>
      </c>
      <c r="W17" s="278"/>
      <c r="X17" s="281">
        <v>0</v>
      </c>
      <c r="Y17" s="282"/>
      <c r="Z17" s="278">
        <v>11960</v>
      </c>
      <c r="AA17" s="281">
        <v>598</v>
      </c>
      <c r="AB17" s="353">
        <v>27</v>
      </c>
      <c r="AC17" s="267"/>
      <c r="AD17" s="354">
        <v>14</v>
      </c>
      <c r="AE17" s="359"/>
      <c r="AF17" s="356">
        <v>647.75</v>
      </c>
      <c r="AG17" s="356"/>
      <c r="AH17" s="374"/>
    </row>
    <row r="18" spans="1:34">
      <c r="A18" s="268"/>
      <c r="B18" s="277">
        <v>15</v>
      </c>
      <c r="C18" s="278">
        <v>16320</v>
      </c>
      <c r="D18" s="279">
        <v>652.79999999999995</v>
      </c>
      <c r="E18" s="280">
        <v>72</v>
      </c>
      <c r="F18" s="278"/>
      <c r="G18" s="281">
        <v>0</v>
      </c>
      <c r="H18" s="280"/>
      <c r="I18" s="278"/>
      <c r="J18" s="281">
        <v>0</v>
      </c>
      <c r="K18" s="282"/>
      <c r="L18" s="327"/>
      <c r="M18" s="328">
        <v>0</v>
      </c>
      <c r="N18" s="333"/>
      <c r="O18" s="267"/>
      <c r="P18" s="277">
        <v>15</v>
      </c>
      <c r="Q18" s="278"/>
      <c r="R18" s="281">
        <v>0</v>
      </c>
      <c r="S18" s="280"/>
      <c r="T18" s="278">
        <v>9405</v>
      </c>
      <c r="U18" s="281">
        <v>470.25</v>
      </c>
      <c r="V18" s="280">
        <v>11</v>
      </c>
      <c r="W18" s="278"/>
      <c r="X18" s="281">
        <v>0</v>
      </c>
      <c r="Y18" s="282"/>
      <c r="Z18" s="278"/>
      <c r="AA18" s="281">
        <v>0</v>
      </c>
      <c r="AB18" s="353"/>
      <c r="AC18" s="267"/>
      <c r="AD18" s="354">
        <v>15</v>
      </c>
      <c r="AE18" s="359"/>
      <c r="AF18" s="356">
        <v>470.25</v>
      </c>
      <c r="AG18" s="356">
        <v>652.79999999999995</v>
      </c>
      <c r="AH18" s="374"/>
    </row>
    <row r="19" spans="1:34">
      <c r="A19" s="268"/>
      <c r="B19" s="277">
        <v>16</v>
      </c>
      <c r="C19" s="278">
        <v>5751</v>
      </c>
      <c r="D19" s="279">
        <v>230.04</v>
      </c>
      <c r="E19" s="280">
        <v>15</v>
      </c>
      <c r="F19" s="278"/>
      <c r="G19" s="281">
        <v>0</v>
      </c>
      <c r="H19" s="280"/>
      <c r="I19" s="278"/>
      <c r="J19" s="281">
        <v>0</v>
      </c>
      <c r="K19" s="282"/>
      <c r="L19" s="327"/>
      <c r="M19" s="328">
        <v>0</v>
      </c>
      <c r="N19" s="329"/>
      <c r="O19" s="267"/>
      <c r="P19" s="277">
        <v>16</v>
      </c>
      <c r="Q19" s="278"/>
      <c r="R19" s="281">
        <v>0</v>
      </c>
      <c r="S19" s="280"/>
      <c r="T19" s="278"/>
      <c r="U19" s="281">
        <v>0</v>
      </c>
      <c r="V19" s="280"/>
      <c r="W19" s="278"/>
      <c r="X19" s="281">
        <v>0</v>
      </c>
      <c r="Y19" s="280"/>
      <c r="Z19" s="278">
        <v>10000</v>
      </c>
      <c r="AA19" s="281">
        <v>500</v>
      </c>
      <c r="AB19" s="353">
        <v>45</v>
      </c>
      <c r="AC19" s="267"/>
      <c r="AD19" s="354">
        <v>16</v>
      </c>
      <c r="AE19" s="359"/>
      <c r="AF19" s="356">
        <v>500</v>
      </c>
      <c r="AG19" s="356">
        <v>230.04</v>
      </c>
      <c r="AH19" s="374"/>
    </row>
    <row r="20" spans="1:34">
      <c r="A20" s="268"/>
      <c r="B20" s="277">
        <v>17</v>
      </c>
      <c r="C20" s="278"/>
      <c r="D20" s="279">
        <v>0</v>
      </c>
      <c r="E20" s="280"/>
      <c r="F20" s="278">
        <v>24190</v>
      </c>
      <c r="G20" s="281">
        <v>1209.5</v>
      </c>
      <c r="H20" s="280">
        <v>12</v>
      </c>
      <c r="I20" s="278"/>
      <c r="J20" s="281">
        <v>0</v>
      </c>
      <c r="K20" s="282"/>
      <c r="L20" s="327"/>
      <c r="M20" s="328">
        <v>0</v>
      </c>
      <c r="N20" s="329"/>
      <c r="O20" s="267"/>
      <c r="P20" s="277">
        <v>17</v>
      </c>
      <c r="Q20" s="278"/>
      <c r="R20" s="281">
        <v>0</v>
      </c>
      <c r="S20" s="280"/>
      <c r="T20" s="278">
        <v>5000</v>
      </c>
      <c r="U20" s="281">
        <v>250</v>
      </c>
      <c r="V20" s="280">
        <v>29</v>
      </c>
      <c r="W20" s="278"/>
      <c r="X20" s="281">
        <v>0</v>
      </c>
      <c r="Y20" s="280"/>
      <c r="Z20" s="278"/>
      <c r="AA20" s="281">
        <v>0</v>
      </c>
      <c r="AB20" s="353"/>
      <c r="AC20" s="267"/>
      <c r="AD20" s="354">
        <v>17</v>
      </c>
      <c r="AE20" s="359"/>
      <c r="AF20" s="356">
        <v>250</v>
      </c>
      <c r="AG20" s="356"/>
      <c r="AH20" s="374">
        <v>1209.5</v>
      </c>
    </row>
    <row r="21" spans="1:34">
      <c r="A21" s="268"/>
      <c r="B21" s="277">
        <v>18</v>
      </c>
      <c r="C21" s="278"/>
      <c r="D21" s="279">
        <v>0</v>
      </c>
      <c r="E21" s="280"/>
      <c r="F21" s="278">
        <v>17792</v>
      </c>
      <c r="G21" s="281">
        <v>889.6</v>
      </c>
      <c r="H21" s="280">
        <v>35</v>
      </c>
      <c r="I21" s="278"/>
      <c r="J21" s="281">
        <v>0</v>
      </c>
      <c r="K21" s="282"/>
      <c r="L21" s="327"/>
      <c r="M21" s="328">
        <v>0</v>
      </c>
      <c r="N21" s="333"/>
      <c r="O21" s="267"/>
      <c r="P21" s="277">
        <v>18</v>
      </c>
      <c r="Q21" s="278"/>
      <c r="R21" s="281">
        <v>0</v>
      </c>
      <c r="S21" s="280"/>
      <c r="T21" s="278"/>
      <c r="U21" s="281">
        <v>0</v>
      </c>
      <c r="V21" s="280"/>
      <c r="W21" s="278"/>
      <c r="X21" s="281">
        <v>0</v>
      </c>
      <c r="Y21" s="280"/>
      <c r="Z21" s="278"/>
      <c r="AA21" s="281">
        <v>0</v>
      </c>
      <c r="AB21" s="353"/>
      <c r="AC21" s="267"/>
      <c r="AD21" s="354">
        <v>18</v>
      </c>
      <c r="AE21" s="359"/>
      <c r="AF21" s="356"/>
      <c r="AG21" s="356"/>
      <c r="AH21" s="374">
        <v>889.6</v>
      </c>
    </row>
    <row r="22" spans="1:34">
      <c r="A22" s="268"/>
      <c r="B22" s="277">
        <v>19</v>
      </c>
      <c r="C22" s="278"/>
      <c r="D22" s="279">
        <v>0</v>
      </c>
      <c r="E22" s="282"/>
      <c r="F22" s="278">
        <v>6018</v>
      </c>
      <c r="G22" s="281">
        <v>300.89999999999998</v>
      </c>
      <c r="H22" s="280">
        <v>41</v>
      </c>
      <c r="I22" s="278"/>
      <c r="J22" s="281">
        <v>0</v>
      </c>
      <c r="K22" s="282"/>
      <c r="L22" s="327"/>
      <c r="M22" s="328">
        <v>0</v>
      </c>
      <c r="N22" s="333"/>
      <c r="O22" s="267"/>
      <c r="P22" s="277">
        <v>19</v>
      </c>
      <c r="Q22" s="278">
        <v>6250</v>
      </c>
      <c r="R22" s="281">
        <v>250</v>
      </c>
      <c r="S22" s="280">
        <v>31</v>
      </c>
      <c r="T22" s="278">
        <v>5200</v>
      </c>
      <c r="U22" s="281">
        <v>260</v>
      </c>
      <c r="V22" s="280">
        <v>20</v>
      </c>
      <c r="W22" s="278"/>
      <c r="X22" s="281">
        <v>0</v>
      </c>
      <c r="Y22" s="280"/>
      <c r="Z22" s="278"/>
      <c r="AA22" s="281">
        <v>0</v>
      </c>
      <c r="AB22" s="353"/>
      <c r="AC22" s="267"/>
      <c r="AD22" s="354">
        <v>19</v>
      </c>
      <c r="AE22" s="359">
        <v>250</v>
      </c>
      <c r="AF22" s="356">
        <v>260</v>
      </c>
      <c r="AG22" s="356"/>
      <c r="AH22" s="374">
        <v>300.89999999999998</v>
      </c>
    </row>
    <row r="23" spans="1:34">
      <c r="A23" s="268"/>
      <c r="B23" s="277">
        <v>20</v>
      </c>
      <c r="C23" s="278"/>
      <c r="D23" s="279">
        <v>0</v>
      </c>
      <c r="E23" s="282"/>
      <c r="F23" s="278"/>
      <c r="G23" s="281">
        <v>0</v>
      </c>
      <c r="H23" s="280"/>
      <c r="I23" s="278">
        <v>13404</v>
      </c>
      <c r="J23" s="281">
        <v>536.16</v>
      </c>
      <c r="K23" s="280">
        <v>93</v>
      </c>
      <c r="L23" s="327"/>
      <c r="M23" s="328">
        <v>0</v>
      </c>
      <c r="N23" s="329"/>
      <c r="O23" s="267"/>
      <c r="P23" s="277">
        <v>20</v>
      </c>
      <c r="Q23" s="278"/>
      <c r="R23" s="281">
        <v>0</v>
      </c>
      <c r="S23" s="280"/>
      <c r="T23" s="278">
        <v>13520</v>
      </c>
      <c r="U23" s="281">
        <v>676</v>
      </c>
      <c r="V23" s="280">
        <v>60</v>
      </c>
      <c r="W23" s="278"/>
      <c r="X23" s="281">
        <v>0</v>
      </c>
      <c r="Y23" s="280"/>
      <c r="Z23" s="278">
        <v>1000</v>
      </c>
      <c r="AA23" s="281">
        <v>50</v>
      </c>
      <c r="AB23" s="353">
        <v>15</v>
      </c>
      <c r="AC23" s="267"/>
      <c r="AD23" s="354">
        <v>20</v>
      </c>
      <c r="AE23" s="359"/>
      <c r="AF23" s="356">
        <v>726</v>
      </c>
      <c r="AG23" s="356">
        <v>536.16</v>
      </c>
      <c r="AH23" s="374"/>
    </row>
    <row r="24" spans="1:34">
      <c r="A24" s="268"/>
      <c r="B24" s="277">
        <v>21</v>
      </c>
      <c r="C24" s="278"/>
      <c r="D24" s="279">
        <v>0</v>
      </c>
      <c r="E24" s="280"/>
      <c r="F24" s="286"/>
      <c r="G24" s="281">
        <v>0</v>
      </c>
      <c r="H24" s="280"/>
      <c r="I24" s="278">
        <v>4692</v>
      </c>
      <c r="J24" s="281">
        <v>187.68</v>
      </c>
      <c r="K24" s="280">
        <v>65</v>
      </c>
      <c r="L24" s="327"/>
      <c r="M24" s="328">
        <v>0</v>
      </c>
      <c r="N24" s="333"/>
      <c r="O24" s="267"/>
      <c r="P24" s="277">
        <v>21</v>
      </c>
      <c r="Q24" s="278"/>
      <c r="R24" s="281">
        <v>0</v>
      </c>
      <c r="S24" s="280"/>
      <c r="T24" s="278">
        <v>5680</v>
      </c>
      <c r="U24" s="281">
        <v>284</v>
      </c>
      <c r="V24" s="280">
        <v>30</v>
      </c>
      <c r="W24" s="278"/>
      <c r="X24" s="281">
        <v>0</v>
      </c>
      <c r="Y24" s="280"/>
      <c r="Z24" s="278">
        <v>6500</v>
      </c>
      <c r="AA24" s="281">
        <v>325</v>
      </c>
      <c r="AB24" s="353">
        <v>22</v>
      </c>
      <c r="AC24" s="267"/>
      <c r="AD24" s="354">
        <v>21</v>
      </c>
      <c r="AE24" s="360"/>
      <c r="AF24" s="356">
        <v>609</v>
      </c>
      <c r="AG24" s="356">
        <v>187.68</v>
      </c>
      <c r="AH24" s="374"/>
    </row>
    <row r="25" spans="1:34">
      <c r="A25" s="268"/>
      <c r="B25" s="277">
        <v>22</v>
      </c>
      <c r="C25" s="278"/>
      <c r="D25" s="279">
        <v>0</v>
      </c>
      <c r="E25" s="282"/>
      <c r="F25" s="278"/>
      <c r="G25" s="281">
        <v>0</v>
      </c>
      <c r="H25" s="280"/>
      <c r="I25" s="278">
        <v>5397</v>
      </c>
      <c r="J25" s="281">
        <v>215.88</v>
      </c>
      <c r="K25" s="282">
        <v>35</v>
      </c>
      <c r="L25" s="327"/>
      <c r="M25" s="328">
        <v>0</v>
      </c>
      <c r="N25" s="329"/>
      <c r="O25" s="267"/>
      <c r="P25" s="277">
        <v>22</v>
      </c>
      <c r="Q25" s="278"/>
      <c r="R25" s="281">
        <v>0</v>
      </c>
      <c r="S25" s="280"/>
      <c r="T25" s="278">
        <v>2400</v>
      </c>
      <c r="U25" s="281">
        <v>120</v>
      </c>
      <c r="V25" s="280">
        <v>32</v>
      </c>
      <c r="W25" s="278"/>
      <c r="X25" s="281">
        <v>0</v>
      </c>
      <c r="Y25" s="280"/>
      <c r="Z25" s="278">
        <v>9500</v>
      </c>
      <c r="AA25" s="281">
        <v>475</v>
      </c>
      <c r="AB25" s="353">
        <v>48</v>
      </c>
      <c r="AC25" s="267"/>
      <c r="AD25" s="354">
        <v>22</v>
      </c>
      <c r="AE25" s="359"/>
      <c r="AF25" s="356">
        <v>595</v>
      </c>
      <c r="AG25" s="356">
        <v>215.88</v>
      </c>
      <c r="AH25" s="374"/>
    </row>
    <row r="26" spans="1:34">
      <c r="A26" s="268"/>
      <c r="B26" s="277">
        <v>23</v>
      </c>
      <c r="C26" s="278"/>
      <c r="D26" s="279">
        <v>0</v>
      </c>
      <c r="E26" s="280"/>
      <c r="F26" s="278"/>
      <c r="G26" s="281">
        <v>0</v>
      </c>
      <c r="H26" s="280"/>
      <c r="I26" s="278"/>
      <c r="J26" s="281">
        <v>0</v>
      </c>
      <c r="K26" s="282"/>
      <c r="L26" s="327"/>
      <c r="M26" s="328">
        <v>0</v>
      </c>
      <c r="N26" s="329"/>
      <c r="O26" s="267"/>
      <c r="P26" s="277">
        <v>23</v>
      </c>
      <c r="Q26" s="278"/>
      <c r="R26" s="281">
        <v>0</v>
      </c>
      <c r="S26" s="280"/>
      <c r="T26" s="278"/>
      <c r="U26" s="281">
        <v>0</v>
      </c>
      <c r="V26" s="280"/>
      <c r="W26" s="278"/>
      <c r="X26" s="281">
        <v>0</v>
      </c>
      <c r="Y26" s="282"/>
      <c r="Z26" s="278"/>
      <c r="AA26" s="281">
        <v>0</v>
      </c>
      <c r="AB26" s="353"/>
      <c r="AC26" s="267"/>
      <c r="AD26" s="354">
        <v>23</v>
      </c>
      <c r="AE26" s="359"/>
      <c r="AF26" s="356"/>
      <c r="AG26" s="356"/>
      <c r="AH26" s="374"/>
    </row>
    <row r="27" spans="1:34">
      <c r="A27" s="268"/>
      <c r="B27" s="277">
        <v>24</v>
      </c>
      <c r="C27" s="278"/>
      <c r="D27" s="279">
        <v>0</v>
      </c>
      <c r="E27" s="280"/>
      <c r="F27" s="278"/>
      <c r="G27" s="281">
        <v>0</v>
      </c>
      <c r="H27" s="282"/>
      <c r="I27" s="278"/>
      <c r="J27" s="281">
        <v>0</v>
      </c>
      <c r="K27" s="282"/>
      <c r="L27" s="327"/>
      <c r="M27" s="328">
        <v>0</v>
      </c>
      <c r="N27" s="333"/>
      <c r="O27" s="267"/>
      <c r="P27" s="277">
        <v>24</v>
      </c>
      <c r="Q27" s="278"/>
      <c r="R27" s="281">
        <v>0</v>
      </c>
      <c r="S27" s="280"/>
      <c r="T27" s="278"/>
      <c r="U27" s="281">
        <v>0</v>
      </c>
      <c r="V27" s="280"/>
      <c r="W27" s="278"/>
      <c r="X27" s="281">
        <v>0</v>
      </c>
      <c r="Y27" s="280"/>
      <c r="Z27" s="278"/>
      <c r="AA27" s="281">
        <v>0</v>
      </c>
      <c r="AB27" s="353"/>
      <c r="AC27" s="267"/>
      <c r="AD27" s="354">
        <v>24</v>
      </c>
      <c r="AE27" s="359"/>
      <c r="AF27" s="356"/>
      <c r="AG27" s="356"/>
      <c r="AH27" s="374"/>
    </row>
    <row r="28" spans="1:34">
      <c r="A28" s="268"/>
      <c r="B28" s="277">
        <v>25</v>
      </c>
      <c r="C28" s="278"/>
      <c r="D28" s="279">
        <v>0</v>
      </c>
      <c r="E28" s="280"/>
      <c r="F28" s="278"/>
      <c r="G28" s="281">
        <v>0</v>
      </c>
      <c r="H28" s="280"/>
      <c r="I28" s="278"/>
      <c r="J28" s="281">
        <v>0</v>
      </c>
      <c r="K28" s="282"/>
      <c r="L28" s="327"/>
      <c r="M28" s="328">
        <v>0</v>
      </c>
      <c r="N28" s="333"/>
      <c r="O28" s="267"/>
      <c r="P28" s="277">
        <v>25</v>
      </c>
      <c r="Q28" s="278"/>
      <c r="R28" s="281">
        <v>0</v>
      </c>
      <c r="S28" s="280"/>
      <c r="T28" s="278"/>
      <c r="U28" s="281">
        <v>0</v>
      </c>
      <c r="V28" s="280"/>
      <c r="W28" s="278"/>
      <c r="X28" s="281">
        <v>0</v>
      </c>
      <c r="Y28" s="280"/>
      <c r="Z28" s="278"/>
      <c r="AA28" s="281">
        <v>0</v>
      </c>
      <c r="AB28" s="353"/>
      <c r="AC28" s="267"/>
      <c r="AD28" s="354">
        <v>25</v>
      </c>
      <c r="AE28" s="359"/>
      <c r="AF28" s="356"/>
      <c r="AG28" s="356"/>
      <c r="AH28" s="376"/>
    </row>
    <row r="29" spans="1:34">
      <c r="A29" s="268"/>
      <c r="B29" s="277">
        <v>26</v>
      </c>
      <c r="C29" s="278"/>
      <c r="D29" s="279">
        <v>0</v>
      </c>
      <c r="E29" s="280"/>
      <c r="F29" s="278"/>
      <c r="G29" s="281">
        <v>0</v>
      </c>
      <c r="H29" s="280"/>
      <c r="I29" s="278"/>
      <c r="J29" s="281">
        <v>0</v>
      </c>
      <c r="K29" s="282"/>
      <c r="L29" s="327"/>
      <c r="M29" s="328">
        <v>0</v>
      </c>
      <c r="N29" s="329"/>
      <c r="O29" s="267"/>
      <c r="P29" s="277">
        <v>26</v>
      </c>
      <c r="Q29" s="278"/>
      <c r="R29" s="281">
        <v>0</v>
      </c>
      <c r="S29" s="280"/>
      <c r="T29" s="278"/>
      <c r="U29" s="281">
        <v>0</v>
      </c>
      <c r="V29" s="280"/>
      <c r="W29" s="284"/>
      <c r="X29" s="281">
        <v>0</v>
      </c>
      <c r="Y29" s="280"/>
      <c r="Z29" s="278"/>
      <c r="AA29" s="281">
        <v>0</v>
      </c>
      <c r="AB29" s="353"/>
      <c r="AC29" s="267"/>
      <c r="AD29" s="354">
        <v>26</v>
      </c>
      <c r="AE29" s="359"/>
      <c r="AF29" s="356"/>
      <c r="AG29" s="356"/>
      <c r="AH29" s="374"/>
    </row>
    <row r="30" spans="1:34">
      <c r="A30" s="268"/>
      <c r="B30" s="277">
        <v>27</v>
      </c>
      <c r="C30" s="278"/>
      <c r="D30" s="279">
        <v>0</v>
      </c>
      <c r="E30" s="280"/>
      <c r="F30" s="278"/>
      <c r="G30" s="281">
        <v>0</v>
      </c>
      <c r="H30" s="280"/>
      <c r="I30" s="278"/>
      <c r="J30" s="281">
        <v>0</v>
      </c>
      <c r="K30" s="282"/>
      <c r="L30" s="327"/>
      <c r="M30" s="328">
        <v>0</v>
      </c>
      <c r="N30" s="329"/>
      <c r="O30" s="267"/>
      <c r="P30" s="277">
        <v>27</v>
      </c>
      <c r="Q30" s="278"/>
      <c r="R30" s="281">
        <v>0</v>
      </c>
      <c r="S30" s="282"/>
      <c r="T30" s="278"/>
      <c r="U30" s="281">
        <v>0</v>
      </c>
      <c r="V30" s="280"/>
      <c r="W30" s="278"/>
      <c r="X30" s="281">
        <v>0</v>
      </c>
      <c r="Y30" s="282"/>
      <c r="Z30" s="278"/>
      <c r="AA30" s="281">
        <v>0</v>
      </c>
      <c r="AB30" s="353"/>
      <c r="AC30" s="267"/>
      <c r="AD30" s="354">
        <v>27</v>
      </c>
      <c r="AE30" s="362"/>
      <c r="AF30" s="356"/>
      <c r="AG30" s="356"/>
      <c r="AH30" s="374"/>
    </row>
    <row r="31" spans="1:34">
      <c r="A31" s="268"/>
      <c r="B31" s="277">
        <v>28</v>
      </c>
      <c r="C31" s="278"/>
      <c r="D31" s="279">
        <v>0</v>
      </c>
      <c r="E31" s="282"/>
      <c r="F31" s="278"/>
      <c r="G31" s="281">
        <v>0</v>
      </c>
      <c r="H31" s="280"/>
      <c r="I31" s="278"/>
      <c r="J31" s="281">
        <v>0</v>
      </c>
      <c r="K31" s="282"/>
      <c r="L31" s="327"/>
      <c r="M31" s="328">
        <v>0</v>
      </c>
      <c r="N31" s="329"/>
      <c r="O31" s="267"/>
      <c r="P31" s="277">
        <v>28</v>
      </c>
      <c r="Q31" s="278"/>
      <c r="R31" s="281">
        <v>0</v>
      </c>
      <c r="S31" s="280"/>
      <c r="T31" s="278"/>
      <c r="U31" s="281">
        <v>0</v>
      </c>
      <c r="V31" s="280"/>
      <c r="W31" s="278"/>
      <c r="X31" s="281">
        <v>0</v>
      </c>
      <c r="Y31" s="280"/>
      <c r="Z31" s="278"/>
      <c r="AA31" s="281">
        <v>0</v>
      </c>
      <c r="AB31" s="353"/>
      <c r="AC31" s="267"/>
      <c r="AD31" s="354">
        <v>28</v>
      </c>
      <c r="AE31" s="359"/>
      <c r="AF31" s="356"/>
      <c r="AG31" s="356"/>
      <c r="AH31" s="374"/>
    </row>
    <row r="32" spans="1:34">
      <c r="A32" s="268"/>
      <c r="B32" s="277">
        <v>29</v>
      </c>
      <c r="C32" s="278"/>
      <c r="D32" s="279">
        <v>0</v>
      </c>
      <c r="E32" s="280"/>
      <c r="F32" s="278"/>
      <c r="G32" s="281">
        <v>0</v>
      </c>
      <c r="H32" s="280"/>
      <c r="I32" s="278"/>
      <c r="J32" s="281">
        <v>0</v>
      </c>
      <c r="K32" s="282"/>
      <c r="L32" s="327"/>
      <c r="M32" s="328">
        <v>0</v>
      </c>
      <c r="N32" s="329"/>
      <c r="O32" s="267"/>
      <c r="P32" s="277">
        <v>29</v>
      </c>
      <c r="Q32" s="278"/>
      <c r="R32" s="281">
        <v>0</v>
      </c>
      <c r="S32" s="280"/>
      <c r="T32" s="278"/>
      <c r="U32" s="281">
        <v>0</v>
      </c>
      <c r="V32" s="280"/>
      <c r="W32" s="278"/>
      <c r="X32" s="281">
        <v>0</v>
      </c>
      <c r="Y32" s="280"/>
      <c r="Z32" s="278"/>
      <c r="AA32" s="281">
        <v>0</v>
      </c>
      <c r="AB32" s="353"/>
      <c r="AC32" s="267"/>
      <c r="AD32" s="354">
        <v>29</v>
      </c>
      <c r="AE32" s="359"/>
      <c r="AF32" s="356"/>
      <c r="AG32" s="356"/>
      <c r="AH32" s="374"/>
    </row>
    <row r="33" spans="1:34">
      <c r="A33" s="268"/>
      <c r="B33" s="277">
        <v>30</v>
      </c>
      <c r="C33" s="278"/>
      <c r="D33" s="279">
        <v>0</v>
      </c>
      <c r="E33" s="282"/>
      <c r="F33" s="278"/>
      <c r="G33" s="281">
        <v>0</v>
      </c>
      <c r="H33" s="280"/>
      <c r="I33" s="278"/>
      <c r="J33" s="281">
        <v>0</v>
      </c>
      <c r="K33" s="282"/>
      <c r="L33" s="327"/>
      <c r="M33" s="328">
        <v>0</v>
      </c>
      <c r="N33" s="329"/>
      <c r="O33" s="267"/>
      <c r="P33" s="277">
        <v>30</v>
      </c>
      <c r="Q33" s="278"/>
      <c r="R33" s="281">
        <v>0</v>
      </c>
      <c r="S33" s="280"/>
      <c r="T33" s="278"/>
      <c r="U33" s="281">
        <v>0</v>
      </c>
      <c r="V33" s="280"/>
      <c r="W33" s="278"/>
      <c r="X33" s="281">
        <v>0</v>
      </c>
      <c r="Y33" s="282"/>
      <c r="Z33" s="278"/>
      <c r="AA33" s="281">
        <v>0</v>
      </c>
      <c r="AB33" s="353"/>
      <c r="AC33" s="267"/>
      <c r="AD33" s="354">
        <v>30</v>
      </c>
      <c r="AE33" s="359"/>
      <c r="AF33" s="356"/>
      <c r="AG33" s="356"/>
      <c r="AH33" s="374"/>
    </row>
    <row r="34" spans="1:34" ht="15.2">
      <c r="A34" s="268"/>
      <c r="B34" s="287">
        <v>31</v>
      </c>
      <c r="C34" s="288"/>
      <c r="D34" s="281">
        <v>0</v>
      </c>
      <c r="E34" s="289"/>
      <c r="F34" s="288"/>
      <c r="G34" s="281">
        <v>0</v>
      </c>
      <c r="H34" s="290"/>
      <c r="I34" s="288"/>
      <c r="J34" s="281">
        <v>0</v>
      </c>
      <c r="K34" s="290"/>
      <c r="L34" s="334"/>
      <c r="M34" s="328">
        <v>0</v>
      </c>
      <c r="N34" s="335"/>
      <c r="O34" s="267"/>
      <c r="P34" s="287">
        <v>31</v>
      </c>
      <c r="Q34" s="288"/>
      <c r="R34" s="281">
        <v>0</v>
      </c>
      <c r="S34" s="290"/>
      <c r="T34" s="288"/>
      <c r="U34" s="281">
        <v>0</v>
      </c>
      <c r="V34" s="290"/>
      <c r="W34" s="288"/>
      <c r="X34" s="281">
        <v>0</v>
      </c>
      <c r="Y34" s="363"/>
      <c r="Z34" s="288"/>
      <c r="AA34" s="364">
        <v>0</v>
      </c>
      <c r="AB34" s="365"/>
      <c r="AC34" s="267"/>
      <c r="AD34" s="366">
        <v>31</v>
      </c>
      <c r="AE34" s="367"/>
      <c r="AF34" s="368"/>
      <c r="AG34" s="368"/>
      <c r="AH34" s="377"/>
    </row>
    <row r="35" spans="1:34" ht="15.95">
      <c r="A35" s="268"/>
      <c r="B35" s="291"/>
      <c r="C35" s="292">
        <v>31782</v>
      </c>
      <c r="D35" s="293">
        <v>1271.28</v>
      </c>
      <c r="E35" s="294">
        <v>132</v>
      </c>
      <c r="F35" s="292">
        <v>69696</v>
      </c>
      <c r="G35" s="293">
        <v>3484.8</v>
      </c>
      <c r="H35" s="294">
        <v>137</v>
      </c>
      <c r="I35" s="292">
        <v>18096</v>
      </c>
      <c r="J35" s="293">
        <v>723.84</v>
      </c>
      <c r="K35" s="294">
        <v>158</v>
      </c>
      <c r="L35" s="292">
        <v>54815</v>
      </c>
      <c r="M35" s="293">
        <v>2740.75</v>
      </c>
      <c r="N35" s="336">
        <v>245</v>
      </c>
      <c r="O35" s="337"/>
      <c r="P35" s="338"/>
      <c r="Q35" s="292">
        <v>16000</v>
      </c>
      <c r="R35" s="293">
        <v>640</v>
      </c>
      <c r="S35" s="294">
        <v>84</v>
      </c>
      <c r="T35" s="292">
        <v>78700</v>
      </c>
      <c r="U35" s="293">
        <v>3935</v>
      </c>
      <c r="V35" s="294">
        <v>327</v>
      </c>
      <c r="W35" s="292">
        <v>32500</v>
      </c>
      <c r="X35" s="293">
        <v>1300</v>
      </c>
      <c r="Y35" s="294">
        <v>146</v>
      </c>
      <c r="Z35" s="292">
        <v>66560</v>
      </c>
      <c r="AA35" s="293">
        <v>3328</v>
      </c>
      <c r="AB35" s="369">
        <v>336</v>
      </c>
      <c r="AC35" s="267"/>
      <c r="AD35" s="370"/>
      <c r="AE35" s="371">
        <v>1940</v>
      </c>
      <c r="AF35" s="371">
        <v>8493.75</v>
      </c>
      <c r="AG35" s="371">
        <v>1995.12</v>
      </c>
      <c r="AH35" s="371">
        <v>4994.8</v>
      </c>
    </row>
    <row r="36" spans="1:34" ht="15.2"/>
    <row r="38" spans="1:34" ht="15.2">
      <c r="A38" s="295">
        <v>2</v>
      </c>
      <c r="B38" s="296" t="s">
        <v>141</v>
      </c>
      <c r="C38" s="297"/>
      <c r="D38" s="297"/>
      <c r="E38" s="267"/>
      <c r="F38" s="267"/>
      <c r="G38" s="866"/>
      <c r="H38" s="867"/>
      <c r="I38" s="866"/>
      <c r="J38" s="866"/>
    </row>
    <row r="39" spans="1:34" ht="15.95">
      <c r="A39" s="887" t="s">
        <v>142</v>
      </c>
      <c r="B39" s="888"/>
      <c r="C39" s="891" t="s">
        <v>92</v>
      </c>
      <c r="D39" s="892"/>
      <c r="E39" s="892"/>
      <c r="F39" s="892"/>
      <c r="G39" s="892"/>
      <c r="H39" s="892"/>
      <c r="I39" s="883" t="s">
        <v>66</v>
      </c>
      <c r="J39" s="339"/>
    </row>
    <row r="40" spans="1:34">
      <c r="A40" s="889"/>
      <c r="B40" s="890"/>
      <c r="C40" s="298" t="s">
        <v>143</v>
      </c>
      <c r="D40" s="298" t="s">
        <v>144</v>
      </c>
      <c r="E40" s="299" t="s">
        <v>145</v>
      </c>
      <c r="F40" s="299" t="s">
        <v>146</v>
      </c>
      <c r="G40" s="300" t="s">
        <v>147</v>
      </c>
      <c r="H40" s="300" t="s">
        <v>148</v>
      </c>
      <c r="I40" s="884"/>
      <c r="J40" s="340"/>
    </row>
    <row r="41" spans="1:34">
      <c r="A41" s="868" t="s">
        <v>149</v>
      </c>
      <c r="B41" s="869"/>
      <c r="C41" s="301">
        <v>68366</v>
      </c>
      <c r="D41" s="301">
        <v>25390</v>
      </c>
      <c r="E41" s="301">
        <v>28951</v>
      </c>
      <c r="F41" s="301">
        <v>33009</v>
      </c>
      <c r="G41" s="301">
        <v>70</v>
      </c>
      <c r="H41" s="301">
        <v>2315</v>
      </c>
      <c r="I41" s="341">
        <v>158101</v>
      </c>
      <c r="J41" s="339"/>
    </row>
    <row r="42" spans="1:34">
      <c r="A42" s="870" t="s">
        <v>150</v>
      </c>
      <c r="B42" s="871"/>
      <c r="C42" s="302"/>
      <c r="D42" s="303"/>
      <c r="E42" s="303"/>
      <c r="F42" s="303"/>
      <c r="G42" s="304"/>
      <c r="H42" s="305">
        <v>5</v>
      </c>
      <c r="I42" s="342">
        <v>5</v>
      </c>
      <c r="J42" s="339"/>
    </row>
    <row r="43" spans="1:34">
      <c r="A43" s="872" t="s">
        <v>151</v>
      </c>
      <c r="B43" s="873"/>
      <c r="C43" s="302"/>
      <c r="D43" s="303">
        <v>2400</v>
      </c>
      <c r="E43" s="303">
        <v>5397</v>
      </c>
      <c r="F43" s="303">
        <v>9500</v>
      </c>
      <c r="G43" s="304"/>
      <c r="H43" s="306"/>
      <c r="I43" s="342">
        <v>17297</v>
      </c>
      <c r="J43" s="343"/>
    </row>
    <row r="44" spans="1:34">
      <c r="A44" s="872" t="s">
        <v>80</v>
      </c>
      <c r="B44" s="873"/>
      <c r="C44" s="302"/>
      <c r="D44" s="303">
        <v>32</v>
      </c>
      <c r="E44" s="303">
        <v>35</v>
      </c>
      <c r="F44" s="303">
        <v>48</v>
      </c>
      <c r="G44" s="307"/>
      <c r="H44" s="308"/>
      <c r="I44" s="342">
        <v>115</v>
      </c>
      <c r="J44" s="343"/>
    </row>
    <row r="45" spans="1:34">
      <c r="A45" s="872" t="s">
        <v>152</v>
      </c>
      <c r="B45" s="873"/>
      <c r="C45" s="302"/>
      <c r="D45" s="303"/>
      <c r="E45" s="303">
        <v>5</v>
      </c>
      <c r="F45" s="303"/>
      <c r="G45" s="307"/>
      <c r="H45" s="308"/>
      <c r="I45" s="342">
        <v>5</v>
      </c>
      <c r="J45" s="343"/>
    </row>
    <row r="46" spans="1:34">
      <c r="A46" s="872" t="s">
        <v>153</v>
      </c>
      <c r="B46" s="873"/>
      <c r="C46" s="302"/>
      <c r="D46" s="303">
        <v>10</v>
      </c>
      <c r="E46" s="303"/>
      <c r="F46" s="303">
        <v>17</v>
      </c>
      <c r="G46" s="307"/>
      <c r="H46" s="308"/>
      <c r="I46" s="342">
        <v>27</v>
      </c>
      <c r="J46" s="343"/>
    </row>
    <row r="47" spans="1:34">
      <c r="A47" s="872" t="s">
        <v>154</v>
      </c>
      <c r="B47" s="873"/>
      <c r="C47" s="309"/>
      <c r="D47" s="304"/>
      <c r="E47" s="304"/>
      <c r="F47" s="304"/>
      <c r="G47" s="310"/>
      <c r="H47" s="311"/>
      <c r="I47" s="342">
        <v>0</v>
      </c>
      <c r="J47" s="343"/>
    </row>
    <row r="48" spans="1:34">
      <c r="A48" s="877" t="s">
        <v>155</v>
      </c>
      <c r="B48" s="878"/>
      <c r="C48" s="312"/>
      <c r="D48" s="313"/>
      <c r="E48" s="304"/>
      <c r="F48" s="313"/>
      <c r="G48" s="314"/>
      <c r="H48" s="315"/>
      <c r="I48" s="344">
        <v>0</v>
      </c>
      <c r="J48" s="345"/>
    </row>
    <row r="49" spans="1:10" ht="15.2">
      <c r="A49" s="879" t="s">
        <v>156</v>
      </c>
      <c r="B49" s="880"/>
      <c r="C49" s="316">
        <v>68366</v>
      </c>
      <c r="D49" s="316">
        <v>22948</v>
      </c>
      <c r="E49" s="316">
        <v>23514</v>
      </c>
      <c r="F49" s="316">
        <v>23444</v>
      </c>
      <c r="G49" s="316">
        <v>70</v>
      </c>
      <c r="H49" s="316">
        <v>2320</v>
      </c>
      <c r="I49" s="346">
        <v>140662</v>
      </c>
      <c r="J49" s="339">
        <v>0</v>
      </c>
    </row>
    <row r="50" spans="1:10" ht="15.2"/>
  </sheetData>
  <mergeCells count="21">
    <mergeCell ref="A46:B46"/>
    <mergeCell ref="A47:B47"/>
    <mergeCell ref="A48:B48"/>
    <mergeCell ref="A49:B49"/>
    <mergeCell ref="B2:B3"/>
    <mergeCell ref="A39:B40"/>
    <mergeCell ref="A42:B42"/>
    <mergeCell ref="A43:B43"/>
    <mergeCell ref="A44:B44"/>
    <mergeCell ref="C2:N2"/>
    <mergeCell ref="A45:B45"/>
    <mergeCell ref="I39:I40"/>
    <mergeCell ref="C39:H39"/>
    <mergeCell ref="AE2:AF2"/>
    <mergeCell ref="AG2:AH2"/>
    <mergeCell ref="G38:H38"/>
    <mergeCell ref="I38:J38"/>
    <mergeCell ref="A41:B41"/>
    <mergeCell ref="P2:P3"/>
    <mergeCell ref="AD2:AD3"/>
    <mergeCell ref="Q2:AB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RC38"/>
  <sheetViews>
    <sheetView zoomScale="80" zoomScaleNormal="80" workbookViewId="0">
      <selection activeCell="B4" sqref="B4:B5"/>
    </sheetView>
  </sheetViews>
  <sheetFormatPr defaultColWidth="9.25" defaultRowHeight="12.95"/>
  <cols>
    <col min="1" max="1" width="2" style="218" customWidth="1"/>
    <col min="2" max="2" width="6.75" style="219" customWidth="1"/>
    <col min="3" max="3" width="9.875" style="219" customWidth="1"/>
    <col min="4" max="4" width="12" style="219" customWidth="1"/>
    <col min="5" max="5" width="11.5" style="218" customWidth="1"/>
    <col min="6" max="6" width="10.5" style="218" customWidth="1"/>
    <col min="7" max="7" width="14" style="218" customWidth="1"/>
    <col min="8" max="10" width="14.5" style="218" customWidth="1"/>
    <col min="11" max="12" width="12.25" style="218" customWidth="1"/>
    <col min="13" max="13" width="12.5" style="218" customWidth="1"/>
    <col min="14" max="14" width="10" style="218" customWidth="1"/>
    <col min="15" max="15" width="10.75" style="218" customWidth="1"/>
    <col min="16" max="16" width="10.25" style="218" customWidth="1"/>
    <col min="17" max="18" width="9" style="218" customWidth="1"/>
    <col min="19" max="20" width="9.75" style="218" customWidth="1"/>
    <col min="21" max="22" width="10" style="218" customWidth="1"/>
    <col min="23" max="23" width="12.75" style="218" customWidth="1"/>
    <col min="24" max="24" width="80.5" style="220" customWidth="1"/>
    <col min="25" max="16384" width="9.25" style="218"/>
  </cols>
  <sheetData>
    <row r="1" spans="1:471" ht="14.45">
      <c r="E1" s="221" t="s">
        <v>157</v>
      </c>
      <c r="F1" s="221"/>
      <c r="G1" s="222">
        <v>31</v>
      </c>
    </row>
    <row r="2" spans="1:471" ht="48" customHeight="1">
      <c r="B2" s="893" t="s">
        <v>158</v>
      </c>
      <c r="C2" s="893"/>
      <c r="D2" s="893"/>
      <c r="E2" s="893"/>
      <c r="F2" s="893"/>
      <c r="G2" s="893"/>
      <c r="H2" s="893"/>
      <c r="I2" s="893"/>
      <c r="J2" s="893"/>
      <c r="K2" s="893"/>
      <c r="L2" s="893"/>
      <c r="M2" s="893"/>
      <c r="N2" s="893"/>
      <c r="O2" s="893"/>
      <c r="P2" s="893"/>
      <c r="Q2" s="893"/>
      <c r="R2" s="893"/>
      <c r="S2" s="893"/>
      <c r="T2" s="893"/>
      <c r="U2" s="893"/>
      <c r="V2" s="893"/>
      <c r="W2" s="893"/>
      <c r="X2" s="893"/>
    </row>
    <row r="3" spans="1:471" ht="27.75" customHeight="1">
      <c r="B3" s="894" t="s">
        <v>159</v>
      </c>
      <c r="C3" s="894"/>
      <c r="D3" s="894"/>
      <c r="E3" s="894"/>
      <c r="F3" s="894"/>
      <c r="G3" s="894"/>
      <c r="H3" s="894"/>
      <c r="I3" s="894"/>
      <c r="J3" s="894"/>
      <c r="K3" s="894"/>
      <c r="L3" s="894"/>
      <c r="M3" s="894"/>
      <c r="N3" s="894"/>
      <c r="O3" s="894"/>
      <c r="P3" s="894"/>
      <c r="Q3" s="894"/>
      <c r="R3" s="894"/>
      <c r="S3" s="894"/>
      <c r="T3" s="894"/>
      <c r="U3" s="894"/>
      <c r="V3" s="894"/>
      <c r="W3" s="894"/>
      <c r="X3" s="894"/>
    </row>
    <row r="4" spans="1:471" ht="28.5" customHeight="1">
      <c r="B4" s="902" t="s">
        <v>17</v>
      </c>
      <c r="C4" s="904" t="s">
        <v>160</v>
      </c>
      <c r="D4" s="906" t="s">
        <v>161</v>
      </c>
      <c r="E4" s="908" t="s">
        <v>162</v>
      </c>
      <c r="F4" s="895" t="s">
        <v>163</v>
      </c>
      <c r="G4" s="896"/>
      <c r="H4" s="897"/>
      <c r="I4" s="910" t="s">
        <v>164</v>
      </c>
      <c r="J4" s="910" t="s">
        <v>165</v>
      </c>
      <c r="K4" s="898" t="s">
        <v>166</v>
      </c>
      <c r="L4" s="899"/>
      <c r="M4" s="900"/>
      <c r="N4" s="901" t="s">
        <v>167</v>
      </c>
      <c r="O4" s="901"/>
      <c r="P4" s="901"/>
      <c r="Q4" s="901"/>
      <c r="R4" s="901"/>
      <c r="S4" s="901"/>
      <c r="T4" s="901"/>
      <c r="U4" s="912" t="s">
        <v>23</v>
      </c>
      <c r="V4" s="912" t="s">
        <v>24</v>
      </c>
      <c r="W4" s="914" t="s">
        <v>168</v>
      </c>
      <c r="X4" s="916" t="s">
        <v>26</v>
      </c>
      <c r="Y4" s="264"/>
      <c r="Z4" s="264"/>
      <c r="AA4" s="264"/>
      <c r="AB4" s="264"/>
      <c r="AC4" s="264"/>
      <c r="AD4" s="264"/>
      <c r="AE4" s="264"/>
      <c r="AF4" s="264"/>
      <c r="AG4" s="264"/>
      <c r="AH4" s="264"/>
      <c r="AI4" s="264"/>
      <c r="AJ4" s="264"/>
      <c r="AK4" s="264"/>
      <c r="AL4" s="264"/>
      <c r="AM4" s="264"/>
      <c r="AN4" s="264"/>
      <c r="AO4" s="264"/>
      <c r="AP4" s="264"/>
      <c r="AQ4" s="264"/>
      <c r="AR4" s="264"/>
      <c r="AS4" s="264"/>
      <c r="AT4" s="264"/>
      <c r="AU4" s="264"/>
      <c r="AV4" s="264"/>
      <c r="AW4" s="264"/>
      <c r="AX4" s="264"/>
      <c r="AY4" s="264"/>
      <c r="AZ4" s="264"/>
      <c r="BA4" s="264"/>
      <c r="BB4" s="264"/>
      <c r="BC4" s="264"/>
      <c r="BD4" s="264"/>
      <c r="BE4" s="264"/>
      <c r="BF4" s="264"/>
      <c r="BG4" s="264"/>
      <c r="BH4" s="264"/>
      <c r="BI4" s="264"/>
      <c r="BJ4" s="264"/>
      <c r="BK4" s="264"/>
      <c r="BL4" s="264"/>
      <c r="BM4" s="264"/>
      <c r="BN4" s="264"/>
      <c r="BO4" s="264"/>
      <c r="BP4" s="264"/>
      <c r="BQ4" s="264"/>
      <c r="BR4" s="264"/>
      <c r="BS4" s="264"/>
      <c r="BT4" s="264"/>
      <c r="BU4" s="264"/>
      <c r="BV4" s="264"/>
      <c r="BW4" s="264"/>
      <c r="BX4" s="264"/>
      <c r="BY4" s="264"/>
      <c r="BZ4" s="264"/>
      <c r="CA4" s="264"/>
      <c r="CB4" s="264"/>
      <c r="CC4" s="264"/>
      <c r="CD4" s="264"/>
      <c r="CE4" s="264"/>
      <c r="CF4" s="264"/>
      <c r="CG4" s="264"/>
      <c r="CH4" s="264"/>
      <c r="CI4" s="264"/>
      <c r="CJ4" s="264"/>
      <c r="CK4" s="264"/>
      <c r="CL4" s="264"/>
      <c r="CM4" s="264"/>
      <c r="CN4" s="264"/>
      <c r="CO4" s="264"/>
      <c r="CP4" s="264"/>
      <c r="CQ4" s="264"/>
      <c r="CR4" s="264"/>
      <c r="CS4" s="264"/>
      <c r="CT4" s="264"/>
      <c r="CU4" s="264"/>
      <c r="CV4" s="264"/>
      <c r="CW4" s="264"/>
      <c r="CX4" s="264"/>
      <c r="CY4" s="264"/>
      <c r="CZ4" s="264"/>
      <c r="DA4" s="264"/>
      <c r="DB4" s="264"/>
      <c r="DC4" s="264"/>
      <c r="DD4" s="264"/>
      <c r="DE4" s="264"/>
      <c r="DF4" s="264"/>
      <c r="DG4" s="264"/>
      <c r="DH4" s="264"/>
      <c r="DI4" s="264"/>
      <c r="DJ4" s="264"/>
      <c r="DK4" s="264"/>
      <c r="DL4" s="264"/>
      <c r="DM4" s="264"/>
      <c r="DN4" s="264"/>
      <c r="DO4" s="264"/>
      <c r="DP4" s="264"/>
      <c r="DQ4" s="264"/>
      <c r="DR4" s="264"/>
      <c r="DS4" s="264"/>
      <c r="DT4" s="264"/>
      <c r="DU4" s="264"/>
      <c r="DV4" s="264"/>
      <c r="DW4" s="264"/>
      <c r="DX4" s="264"/>
      <c r="DY4" s="264"/>
      <c r="DZ4" s="264"/>
      <c r="EA4" s="264"/>
      <c r="EB4" s="264"/>
      <c r="EC4" s="264"/>
      <c r="ED4" s="264"/>
      <c r="EE4" s="264"/>
      <c r="EF4" s="264"/>
      <c r="EG4" s="264"/>
      <c r="EH4" s="264"/>
      <c r="EI4" s="264"/>
      <c r="EJ4" s="264"/>
      <c r="EK4" s="264"/>
      <c r="EL4" s="264"/>
      <c r="EM4" s="264"/>
      <c r="EN4" s="264"/>
      <c r="EO4" s="264"/>
      <c r="EP4" s="264"/>
      <c r="EQ4" s="264"/>
      <c r="ER4" s="264"/>
      <c r="ES4" s="264"/>
      <c r="ET4" s="264"/>
      <c r="EU4" s="264"/>
      <c r="EV4" s="264"/>
      <c r="EW4" s="264"/>
      <c r="EX4" s="264"/>
      <c r="EY4" s="264"/>
      <c r="EZ4" s="264"/>
      <c r="FA4" s="264"/>
      <c r="FB4" s="264"/>
      <c r="FC4" s="264"/>
      <c r="FD4" s="264"/>
      <c r="FE4" s="264"/>
      <c r="FF4" s="264"/>
      <c r="FG4" s="264"/>
      <c r="FH4" s="264"/>
      <c r="FI4" s="264"/>
      <c r="FJ4" s="264"/>
      <c r="FK4" s="264"/>
      <c r="FL4" s="264"/>
      <c r="FM4" s="264"/>
      <c r="FN4" s="264"/>
      <c r="FO4" s="264"/>
      <c r="FP4" s="264"/>
      <c r="FQ4" s="264"/>
      <c r="FR4" s="264"/>
      <c r="FS4" s="264"/>
      <c r="FT4" s="264"/>
      <c r="FU4" s="264"/>
      <c r="FV4" s="264"/>
      <c r="FW4" s="264"/>
      <c r="FX4" s="264"/>
      <c r="FY4" s="264"/>
      <c r="FZ4" s="264"/>
      <c r="GA4" s="264"/>
      <c r="GB4" s="264"/>
      <c r="GC4" s="264"/>
      <c r="GD4" s="264"/>
      <c r="GE4" s="264"/>
      <c r="GF4" s="264"/>
      <c r="GG4" s="264"/>
      <c r="GH4" s="264"/>
      <c r="GI4" s="264"/>
      <c r="GJ4" s="264"/>
      <c r="GK4" s="264"/>
      <c r="GL4" s="264"/>
      <c r="GM4" s="264"/>
      <c r="GN4" s="264"/>
      <c r="GO4" s="264"/>
      <c r="GP4" s="264"/>
      <c r="GQ4" s="264"/>
      <c r="GR4" s="264"/>
      <c r="GS4" s="264"/>
      <c r="GT4" s="264"/>
      <c r="GU4" s="264"/>
      <c r="GV4" s="264"/>
      <c r="GW4" s="264"/>
      <c r="GX4" s="264"/>
      <c r="GY4" s="264"/>
      <c r="GZ4" s="264"/>
      <c r="HA4" s="264"/>
      <c r="HB4" s="264"/>
      <c r="HC4" s="264"/>
      <c r="HD4" s="264"/>
      <c r="HE4" s="264"/>
      <c r="HF4" s="264"/>
      <c r="HG4" s="264"/>
      <c r="HH4" s="264"/>
      <c r="HI4" s="264"/>
      <c r="HJ4" s="264"/>
      <c r="HK4" s="264"/>
      <c r="HL4" s="264"/>
      <c r="HM4" s="264"/>
      <c r="HN4" s="264"/>
      <c r="HO4" s="264"/>
      <c r="HP4" s="264"/>
      <c r="HQ4" s="264"/>
      <c r="HR4" s="264"/>
      <c r="HS4" s="264"/>
      <c r="HT4" s="264"/>
      <c r="HU4" s="264"/>
      <c r="HV4" s="264"/>
      <c r="HW4" s="264"/>
      <c r="HX4" s="264"/>
      <c r="HY4" s="264"/>
      <c r="HZ4" s="264"/>
      <c r="IA4" s="264"/>
      <c r="IB4" s="264"/>
      <c r="IC4" s="264"/>
      <c r="ID4" s="264"/>
      <c r="IE4" s="264"/>
      <c r="IF4" s="264"/>
      <c r="IG4" s="264"/>
      <c r="IH4" s="264"/>
      <c r="II4" s="264"/>
      <c r="IJ4" s="264"/>
      <c r="IK4" s="264"/>
      <c r="IL4" s="264"/>
      <c r="IM4" s="264"/>
      <c r="IN4" s="264"/>
      <c r="IO4" s="264"/>
      <c r="IP4" s="264"/>
      <c r="IQ4" s="264"/>
      <c r="IR4" s="264"/>
      <c r="IS4" s="264"/>
      <c r="IT4" s="264"/>
      <c r="IU4" s="264"/>
      <c r="IV4" s="264"/>
      <c r="IW4" s="264"/>
      <c r="IX4" s="264"/>
      <c r="IY4" s="264"/>
      <c r="IZ4" s="264"/>
      <c r="JA4" s="264"/>
      <c r="JB4" s="264"/>
      <c r="JC4" s="264"/>
      <c r="JD4" s="264"/>
      <c r="JE4" s="264"/>
      <c r="JF4" s="264"/>
      <c r="JG4" s="264"/>
      <c r="JH4" s="264"/>
      <c r="JI4" s="264"/>
      <c r="JJ4" s="264"/>
      <c r="JK4" s="264"/>
      <c r="JL4" s="264"/>
      <c r="JM4" s="264"/>
      <c r="JN4" s="264"/>
      <c r="JO4" s="264"/>
      <c r="JP4" s="264"/>
      <c r="JQ4" s="264"/>
      <c r="JR4" s="264"/>
      <c r="JS4" s="264"/>
      <c r="JT4" s="264"/>
      <c r="JU4" s="264"/>
      <c r="JV4" s="264"/>
      <c r="JW4" s="264"/>
      <c r="JX4" s="264"/>
      <c r="JY4" s="264"/>
      <c r="JZ4" s="264"/>
      <c r="KA4" s="264"/>
      <c r="KB4" s="264"/>
      <c r="KC4" s="264"/>
      <c r="KD4" s="264"/>
      <c r="KE4" s="264"/>
      <c r="KF4" s="264"/>
      <c r="KG4" s="264"/>
      <c r="KH4" s="264"/>
      <c r="KI4" s="264"/>
      <c r="KJ4" s="264"/>
      <c r="KK4" s="264"/>
      <c r="KL4" s="264"/>
      <c r="KM4" s="264"/>
      <c r="KN4" s="264"/>
      <c r="KO4" s="264"/>
      <c r="KP4" s="264"/>
      <c r="KQ4" s="264"/>
      <c r="KR4" s="264"/>
      <c r="KS4" s="264"/>
      <c r="KT4" s="264"/>
      <c r="KU4" s="264"/>
      <c r="KV4" s="264"/>
      <c r="KW4" s="264"/>
      <c r="KX4" s="264"/>
      <c r="KY4" s="264"/>
      <c r="KZ4" s="264"/>
      <c r="LA4" s="264"/>
      <c r="LB4" s="264"/>
      <c r="LC4" s="264"/>
      <c r="LD4" s="264"/>
      <c r="LE4" s="264"/>
      <c r="LF4" s="264"/>
      <c r="LG4" s="264"/>
      <c r="LH4" s="264"/>
      <c r="LI4" s="264"/>
      <c r="LJ4" s="264"/>
      <c r="LK4" s="264"/>
      <c r="LL4" s="264"/>
      <c r="LM4" s="264"/>
      <c r="LN4" s="264"/>
      <c r="LO4" s="264"/>
      <c r="LP4" s="264"/>
      <c r="LQ4" s="264"/>
      <c r="LR4" s="264"/>
      <c r="LS4" s="264"/>
      <c r="LT4" s="264"/>
      <c r="LU4" s="264"/>
      <c r="LV4" s="264"/>
      <c r="LW4" s="264"/>
      <c r="LX4" s="264"/>
      <c r="LY4" s="264"/>
      <c r="LZ4" s="264"/>
      <c r="MA4" s="264"/>
      <c r="MB4" s="264"/>
      <c r="MC4" s="264"/>
      <c r="MD4" s="264"/>
      <c r="ME4" s="264"/>
      <c r="MF4" s="264"/>
      <c r="MG4" s="264"/>
      <c r="MH4" s="264"/>
      <c r="MI4" s="264"/>
      <c r="MJ4" s="264"/>
      <c r="MK4" s="264"/>
      <c r="ML4" s="264"/>
      <c r="MM4" s="264"/>
      <c r="MN4" s="264"/>
      <c r="MO4" s="264"/>
      <c r="MP4" s="264"/>
      <c r="MQ4" s="264"/>
      <c r="MR4" s="264"/>
      <c r="MS4" s="264"/>
      <c r="MT4" s="264"/>
      <c r="MU4" s="264"/>
      <c r="MV4" s="264"/>
      <c r="MW4" s="264"/>
      <c r="MX4" s="264"/>
      <c r="MY4" s="264"/>
      <c r="MZ4" s="264"/>
      <c r="NA4" s="264"/>
      <c r="NB4" s="264"/>
      <c r="NC4" s="264"/>
      <c r="ND4" s="264"/>
      <c r="NE4" s="264"/>
      <c r="NF4" s="264"/>
      <c r="NG4" s="264"/>
      <c r="NH4" s="264"/>
      <c r="NI4" s="264"/>
      <c r="NJ4" s="264"/>
      <c r="NK4" s="264"/>
      <c r="NL4" s="264"/>
      <c r="NM4" s="264"/>
      <c r="NN4" s="264"/>
      <c r="NO4" s="264"/>
      <c r="NP4" s="264"/>
      <c r="NQ4" s="264"/>
      <c r="NR4" s="264"/>
      <c r="NS4" s="264"/>
      <c r="NT4" s="264"/>
      <c r="NU4" s="264"/>
      <c r="NV4" s="264"/>
      <c r="NW4" s="264"/>
      <c r="NX4" s="264"/>
      <c r="NY4" s="264"/>
      <c r="NZ4" s="264"/>
      <c r="OA4" s="264"/>
      <c r="OB4" s="264"/>
      <c r="OC4" s="264"/>
      <c r="OD4" s="264"/>
      <c r="OE4" s="264"/>
      <c r="OF4" s="264"/>
      <c r="OG4" s="264"/>
      <c r="OH4" s="264"/>
      <c r="OI4" s="264"/>
      <c r="OJ4" s="264"/>
      <c r="OK4" s="264"/>
      <c r="OL4" s="264"/>
      <c r="OM4" s="264"/>
      <c r="ON4" s="264"/>
      <c r="OO4" s="264"/>
      <c r="OP4" s="264"/>
      <c r="OQ4" s="264"/>
      <c r="OR4" s="264"/>
      <c r="OS4" s="264"/>
      <c r="OT4" s="264"/>
      <c r="OU4" s="264"/>
      <c r="OV4" s="264"/>
      <c r="OW4" s="264"/>
      <c r="OX4" s="264"/>
      <c r="OY4" s="264"/>
      <c r="OZ4" s="264"/>
      <c r="PA4" s="264"/>
      <c r="PB4" s="264"/>
      <c r="PC4" s="264"/>
      <c r="PD4" s="264"/>
      <c r="PE4" s="264"/>
      <c r="PF4" s="264"/>
      <c r="PG4" s="264"/>
      <c r="PH4" s="264"/>
      <c r="PI4" s="264"/>
      <c r="PJ4" s="264"/>
      <c r="PK4" s="264"/>
      <c r="PL4" s="264"/>
      <c r="PM4" s="264"/>
      <c r="PN4" s="264"/>
      <c r="PO4" s="264"/>
      <c r="PP4" s="264"/>
      <c r="PQ4" s="264"/>
      <c r="PR4" s="264"/>
      <c r="PS4" s="264"/>
      <c r="PT4" s="264"/>
      <c r="PU4" s="264"/>
      <c r="PV4" s="264"/>
      <c r="PW4" s="264"/>
      <c r="PX4" s="264"/>
      <c r="PY4" s="264"/>
      <c r="PZ4" s="264"/>
      <c r="QA4" s="264"/>
      <c r="QB4" s="264"/>
      <c r="QC4" s="264"/>
      <c r="QD4" s="264"/>
      <c r="QE4" s="264"/>
      <c r="QF4" s="264"/>
      <c r="QG4" s="264"/>
      <c r="QH4" s="264"/>
      <c r="QI4" s="264"/>
      <c r="QJ4" s="264"/>
      <c r="QK4" s="264"/>
      <c r="QL4" s="264"/>
      <c r="QM4" s="264"/>
      <c r="QN4" s="264"/>
      <c r="QO4" s="264"/>
      <c r="QP4" s="264"/>
      <c r="QQ4" s="264"/>
      <c r="QR4" s="264"/>
      <c r="QS4" s="264"/>
      <c r="QT4" s="264"/>
      <c r="QU4" s="264"/>
      <c r="QV4" s="264"/>
      <c r="QW4" s="264"/>
      <c r="QX4" s="264"/>
      <c r="QY4" s="264"/>
      <c r="QZ4" s="264"/>
      <c r="RA4" s="264"/>
      <c r="RB4" s="264"/>
      <c r="RC4" s="264"/>
    </row>
    <row r="5" spans="1:471" ht="48.75" customHeight="1">
      <c r="B5" s="903"/>
      <c r="C5" s="905"/>
      <c r="D5" s="907"/>
      <c r="E5" s="909"/>
      <c r="F5" s="223" t="s">
        <v>169</v>
      </c>
      <c r="G5" s="224" t="s">
        <v>170</v>
      </c>
      <c r="H5" s="225" t="s">
        <v>171</v>
      </c>
      <c r="I5" s="911"/>
      <c r="J5" s="911"/>
      <c r="K5" s="241" t="s">
        <v>172</v>
      </c>
      <c r="L5" s="242" t="s">
        <v>173</v>
      </c>
      <c r="M5" s="243" t="s">
        <v>174</v>
      </c>
      <c r="N5" s="244" t="s">
        <v>175</v>
      </c>
      <c r="O5" s="245" t="s">
        <v>176</v>
      </c>
      <c r="P5" s="245" t="s">
        <v>177</v>
      </c>
      <c r="Q5" s="245" t="s">
        <v>178</v>
      </c>
      <c r="R5" s="245" t="s">
        <v>179</v>
      </c>
      <c r="S5" s="245" t="s">
        <v>180</v>
      </c>
      <c r="T5" s="245" t="s">
        <v>181</v>
      </c>
      <c r="U5" s="913"/>
      <c r="V5" s="913"/>
      <c r="W5" s="915"/>
      <c r="X5" s="917"/>
      <c r="Y5" s="264"/>
      <c r="Z5" s="264"/>
      <c r="AA5" s="264"/>
      <c r="AB5" s="264"/>
      <c r="AC5" s="264"/>
      <c r="AD5" s="264"/>
      <c r="AE5" s="264"/>
      <c r="AF5" s="264"/>
      <c r="AG5" s="264"/>
      <c r="AH5" s="264"/>
      <c r="AI5" s="264"/>
      <c r="AJ5" s="264"/>
      <c r="AK5" s="264"/>
      <c r="AL5" s="264"/>
      <c r="AM5" s="264"/>
      <c r="AN5" s="264"/>
      <c r="AO5" s="264"/>
      <c r="AP5" s="264"/>
      <c r="AQ5" s="264"/>
      <c r="AR5" s="264"/>
      <c r="AS5" s="264"/>
      <c r="AT5" s="264"/>
      <c r="AU5" s="264"/>
      <c r="AV5" s="264"/>
      <c r="AW5" s="264"/>
      <c r="AX5" s="264"/>
      <c r="AY5" s="264"/>
      <c r="AZ5" s="264"/>
      <c r="BA5" s="264"/>
      <c r="BB5" s="264"/>
      <c r="BC5" s="264"/>
      <c r="BD5" s="264"/>
      <c r="BE5" s="264"/>
      <c r="BF5" s="264"/>
      <c r="BG5" s="264"/>
      <c r="BH5" s="264"/>
      <c r="BI5" s="264"/>
      <c r="BJ5" s="264"/>
      <c r="BK5" s="264"/>
      <c r="BL5" s="264"/>
      <c r="BM5" s="264"/>
      <c r="BN5" s="264"/>
      <c r="BO5" s="264"/>
      <c r="BP5" s="264"/>
      <c r="BQ5" s="264"/>
      <c r="BR5" s="264"/>
      <c r="BS5" s="264"/>
      <c r="BT5" s="264"/>
      <c r="BU5" s="264"/>
      <c r="BV5" s="264"/>
      <c r="BW5" s="264"/>
      <c r="BX5" s="264"/>
      <c r="BY5" s="264"/>
      <c r="BZ5" s="264"/>
      <c r="CA5" s="264"/>
      <c r="CB5" s="264"/>
      <c r="CC5" s="264"/>
      <c r="CD5" s="264"/>
      <c r="CE5" s="264"/>
      <c r="CF5" s="264"/>
      <c r="CG5" s="264"/>
      <c r="CH5" s="264"/>
      <c r="CI5" s="264"/>
      <c r="CJ5" s="264"/>
      <c r="CK5" s="264"/>
      <c r="CL5" s="264"/>
      <c r="CM5" s="264"/>
      <c r="CN5" s="264"/>
      <c r="CO5" s="264"/>
      <c r="CP5" s="264"/>
      <c r="CQ5" s="264"/>
      <c r="CR5" s="264"/>
      <c r="CS5" s="264"/>
      <c r="CT5" s="264"/>
      <c r="CU5" s="264"/>
      <c r="CV5" s="264"/>
      <c r="CW5" s="264"/>
      <c r="CX5" s="264"/>
      <c r="CY5" s="264"/>
      <c r="CZ5" s="264"/>
      <c r="DA5" s="264"/>
      <c r="DB5" s="264"/>
      <c r="DC5" s="264"/>
      <c r="DD5" s="264"/>
      <c r="DE5" s="264"/>
      <c r="DF5" s="264"/>
      <c r="DG5" s="264"/>
      <c r="DH5" s="264"/>
      <c r="DI5" s="264"/>
      <c r="DJ5" s="264"/>
      <c r="DK5" s="264"/>
      <c r="DL5" s="264"/>
      <c r="DM5" s="264"/>
      <c r="DN5" s="264"/>
      <c r="DO5" s="264"/>
      <c r="DP5" s="264"/>
      <c r="DQ5" s="264"/>
      <c r="DR5" s="264"/>
      <c r="DS5" s="264"/>
      <c r="DT5" s="264"/>
      <c r="DU5" s="264"/>
      <c r="DV5" s="264"/>
      <c r="DW5" s="264"/>
      <c r="DX5" s="264"/>
      <c r="DY5" s="264"/>
      <c r="DZ5" s="264"/>
      <c r="EA5" s="264"/>
      <c r="EB5" s="264"/>
      <c r="EC5" s="264"/>
      <c r="ED5" s="264"/>
      <c r="EE5" s="264"/>
      <c r="EF5" s="264"/>
      <c r="EG5" s="264"/>
      <c r="EH5" s="264"/>
      <c r="EI5" s="264"/>
      <c r="EJ5" s="264"/>
      <c r="EK5" s="264"/>
      <c r="EL5" s="264"/>
      <c r="EM5" s="264"/>
      <c r="EN5" s="264"/>
      <c r="EO5" s="264"/>
      <c r="EP5" s="264"/>
      <c r="EQ5" s="264"/>
      <c r="ER5" s="264"/>
      <c r="ES5" s="264"/>
      <c r="ET5" s="264"/>
      <c r="EU5" s="264"/>
      <c r="EV5" s="264"/>
      <c r="EW5" s="264"/>
      <c r="EX5" s="264"/>
      <c r="EY5" s="264"/>
      <c r="EZ5" s="264"/>
      <c r="FA5" s="264"/>
      <c r="FB5" s="264"/>
      <c r="FC5" s="264"/>
      <c r="FD5" s="264"/>
      <c r="FE5" s="264"/>
      <c r="FF5" s="264"/>
      <c r="FG5" s="264"/>
      <c r="FH5" s="264"/>
      <c r="FI5" s="264"/>
      <c r="FJ5" s="264"/>
      <c r="FK5" s="264"/>
      <c r="FL5" s="264"/>
      <c r="FM5" s="264"/>
      <c r="FN5" s="264"/>
      <c r="FO5" s="264"/>
      <c r="FP5" s="264"/>
      <c r="FQ5" s="264"/>
      <c r="FR5" s="264"/>
      <c r="FS5" s="264"/>
      <c r="FT5" s="264"/>
      <c r="FU5" s="264"/>
      <c r="FV5" s="264"/>
      <c r="FW5" s="264"/>
      <c r="FX5" s="264"/>
      <c r="FY5" s="264"/>
      <c r="FZ5" s="264"/>
      <c r="GA5" s="264"/>
      <c r="GB5" s="264"/>
      <c r="GC5" s="264"/>
      <c r="GD5" s="264"/>
      <c r="GE5" s="264"/>
      <c r="GF5" s="264"/>
      <c r="GG5" s="264"/>
      <c r="GH5" s="264"/>
      <c r="GI5" s="264"/>
      <c r="GJ5" s="264"/>
      <c r="GK5" s="264"/>
      <c r="GL5" s="264"/>
      <c r="GM5" s="264"/>
      <c r="GN5" s="264"/>
      <c r="GO5" s="264"/>
      <c r="GP5" s="264"/>
      <c r="GQ5" s="264"/>
      <c r="GR5" s="264"/>
      <c r="GS5" s="264"/>
      <c r="GT5" s="264"/>
      <c r="GU5" s="264"/>
      <c r="GV5" s="264"/>
      <c r="GW5" s="264"/>
      <c r="GX5" s="264"/>
      <c r="GY5" s="264"/>
      <c r="GZ5" s="264"/>
      <c r="HA5" s="264"/>
      <c r="HB5" s="264"/>
      <c r="HC5" s="264"/>
      <c r="HD5" s="264"/>
      <c r="HE5" s="264"/>
      <c r="HF5" s="264"/>
      <c r="HG5" s="264"/>
      <c r="HH5" s="264"/>
      <c r="HI5" s="264"/>
      <c r="HJ5" s="264"/>
      <c r="HK5" s="264"/>
      <c r="HL5" s="264"/>
      <c r="HM5" s="264"/>
      <c r="HN5" s="264"/>
      <c r="HO5" s="264"/>
      <c r="HP5" s="264"/>
      <c r="HQ5" s="264"/>
      <c r="HR5" s="264"/>
      <c r="HS5" s="264"/>
      <c r="HT5" s="264"/>
      <c r="HU5" s="264"/>
      <c r="HV5" s="264"/>
      <c r="HW5" s="264"/>
      <c r="HX5" s="264"/>
      <c r="HY5" s="264"/>
      <c r="HZ5" s="264"/>
      <c r="IA5" s="264"/>
      <c r="IB5" s="264"/>
      <c r="IC5" s="264"/>
      <c r="ID5" s="264"/>
      <c r="IE5" s="264"/>
      <c r="IF5" s="264"/>
      <c r="IG5" s="264"/>
      <c r="IH5" s="264"/>
      <c r="II5" s="264"/>
      <c r="IJ5" s="264"/>
      <c r="IK5" s="264"/>
      <c r="IL5" s="264"/>
      <c r="IM5" s="264"/>
      <c r="IN5" s="264"/>
      <c r="IO5" s="264"/>
      <c r="IP5" s="264"/>
      <c r="IQ5" s="264"/>
      <c r="IR5" s="264"/>
      <c r="IS5" s="264"/>
      <c r="IT5" s="264"/>
      <c r="IU5" s="264"/>
      <c r="IV5" s="264"/>
      <c r="IW5" s="264"/>
      <c r="IX5" s="264"/>
      <c r="IY5" s="264"/>
      <c r="IZ5" s="264"/>
      <c r="JA5" s="264"/>
      <c r="JB5" s="264"/>
      <c r="JC5" s="264"/>
      <c r="JD5" s="264"/>
      <c r="JE5" s="264"/>
      <c r="JF5" s="264"/>
      <c r="JG5" s="264"/>
      <c r="JH5" s="264"/>
      <c r="JI5" s="264"/>
      <c r="JJ5" s="264"/>
      <c r="JK5" s="264"/>
      <c r="JL5" s="264"/>
      <c r="JM5" s="264"/>
      <c r="JN5" s="264"/>
      <c r="JO5" s="264"/>
      <c r="JP5" s="264"/>
      <c r="JQ5" s="264"/>
      <c r="JR5" s="264"/>
      <c r="JS5" s="264"/>
      <c r="JT5" s="264"/>
      <c r="JU5" s="264"/>
      <c r="JV5" s="264"/>
      <c r="JW5" s="264"/>
      <c r="JX5" s="264"/>
      <c r="JY5" s="264"/>
      <c r="JZ5" s="264"/>
      <c r="KA5" s="264"/>
      <c r="KB5" s="264"/>
      <c r="KC5" s="264"/>
      <c r="KD5" s="264"/>
      <c r="KE5" s="264"/>
      <c r="KF5" s="264"/>
      <c r="KG5" s="264"/>
      <c r="KH5" s="264"/>
      <c r="KI5" s="264"/>
      <c r="KJ5" s="264"/>
      <c r="KK5" s="264"/>
      <c r="KL5" s="264"/>
      <c r="KM5" s="264"/>
      <c r="KN5" s="264"/>
      <c r="KO5" s="264"/>
      <c r="KP5" s="264"/>
      <c r="KQ5" s="264"/>
      <c r="KR5" s="264"/>
      <c r="KS5" s="264"/>
      <c r="KT5" s="264"/>
      <c r="KU5" s="264"/>
      <c r="KV5" s="264"/>
      <c r="KW5" s="264"/>
      <c r="KX5" s="264"/>
      <c r="KY5" s="264"/>
      <c r="KZ5" s="264"/>
      <c r="LA5" s="264"/>
      <c r="LB5" s="264"/>
      <c r="LC5" s="264"/>
      <c r="LD5" s="264"/>
      <c r="LE5" s="264"/>
      <c r="LF5" s="264"/>
      <c r="LG5" s="264"/>
      <c r="LH5" s="264"/>
      <c r="LI5" s="264"/>
      <c r="LJ5" s="264"/>
      <c r="LK5" s="264"/>
      <c r="LL5" s="264"/>
      <c r="LM5" s="264"/>
      <c r="LN5" s="264"/>
      <c r="LO5" s="264"/>
      <c r="LP5" s="264"/>
      <c r="LQ5" s="264"/>
      <c r="LR5" s="264"/>
      <c r="LS5" s="264"/>
      <c r="LT5" s="264"/>
      <c r="LU5" s="264"/>
      <c r="LV5" s="264"/>
      <c r="LW5" s="264"/>
      <c r="LX5" s="264"/>
      <c r="LY5" s="264"/>
      <c r="LZ5" s="264"/>
      <c r="MA5" s="264"/>
      <c r="MB5" s="264"/>
      <c r="MC5" s="264"/>
      <c r="MD5" s="264"/>
      <c r="ME5" s="264"/>
      <c r="MF5" s="264"/>
      <c r="MG5" s="264"/>
      <c r="MH5" s="264"/>
      <c r="MI5" s="264"/>
      <c r="MJ5" s="264"/>
      <c r="MK5" s="264"/>
      <c r="ML5" s="264"/>
      <c r="MM5" s="264"/>
      <c r="MN5" s="264"/>
      <c r="MO5" s="264"/>
      <c r="MP5" s="264"/>
      <c r="MQ5" s="264"/>
      <c r="MR5" s="264"/>
      <c r="MS5" s="264"/>
      <c r="MT5" s="264"/>
      <c r="MU5" s="264"/>
      <c r="MV5" s="264"/>
      <c r="MW5" s="264"/>
      <c r="MX5" s="264"/>
      <c r="MY5" s="264"/>
      <c r="MZ5" s="264"/>
      <c r="NA5" s="264"/>
      <c r="NB5" s="264"/>
      <c r="NC5" s="264"/>
      <c r="ND5" s="264"/>
      <c r="NE5" s="264"/>
      <c r="NF5" s="264"/>
      <c r="NG5" s="264"/>
      <c r="NH5" s="264"/>
      <c r="NI5" s="264"/>
      <c r="NJ5" s="264"/>
      <c r="NK5" s="264"/>
      <c r="NL5" s="264"/>
      <c r="NM5" s="264"/>
      <c r="NN5" s="264"/>
      <c r="NO5" s="264"/>
      <c r="NP5" s="264"/>
      <c r="NQ5" s="264"/>
      <c r="NR5" s="264"/>
      <c r="NS5" s="264"/>
      <c r="NT5" s="264"/>
      <c r="NU5" s="264"/>
      <c r="NV5" s="264"/>
      <c r="NW5" s="264"/>
      <c r="NX5" s="264"/>
      <c r="NY5" s="264"/>
      <c r="NZ5" s="264"/>
      <c r="OA5" s="264"/>
      <c r="OB5" s="264"/>
      <c r="OC5" s="264"/>
      <c r="OD5" s="264"/>
      <c r="OE5" s="264"/>
      <c r="OF5" s="264"/>
      <c r="OG5" s="264"/>
      <c r="OH5" s="264"/>
      <c r="OI5" s="264"/>
      <c r="OJ5" s="264"/>
      <c r="OK5" s="264"/>
      <c r="OL5" s="264"/>
      <c r="OM5" s="264"/>
      <c r="ON5" s="264"/>
      <c r="OO5" s="264"/>
      <c r="OP5" s="264"/>
      <c r="OQ5" s="264"/>
      <c r="OR5" s="264"/>
      <c r="OS5" s="264"/>
      <c r="OT5" s="264"/>
      <c r="OU5" s="264"/>
      <c r="OV5" s="264"/>
      <c r="OW5" s="264"/>
      <c r="OX5" s="264"/>
      <c r="OY5" s="264"/>
      <c r="OZ5" s="264"/>
      <c r="PA5" s="264"/>
      <c r="PB5" s="264"/>
      <c r="PC5" s="264"/>
      <c r="PD5" s="264"/>
      <c r="PE5" s="264"/>
      <c r="PF5" s="264"/>
      <c r="PG5" s="264"/>
      <c r="PH5" s="264"/>
      <c r="PI5" s="264"/>
      <c r="PJ5" s="264"/>
      <c r="PK5" s="264"/>
      <c r="PL5" s="264"/>
      <c r="PM5" s="264"/>
      <c r="PN5" s="264"/>
      <c r="PO5" s="264"/>
      <c r="PP5" s="264"/>
      <c r="PQ5" s="264"/>
      <c r="PR5" s="264"/>
      <c r="PS5" s="264"/>
      <c r="PT5" s="264"/>
      <c r="PU5" s="264"/>
      <c r="PV5" s="264"/>
      <c r="PW5" s="264"/>
      <c r="PX5" s="264"/>
      <c r="PY5" s="264"/>
      <c r="PZ5" s="264"/>
      <c r="QA5" s="264"/>
      <c r="QB5" s="264"/>
      <c r="QC5" s="264"/>
      <c r="QD5" s="264"/>
      <c r="QE5" s="264"/>
      <c r="QF5" s="264"/>
      <c r="QG5" s="264"/>
      <c r="QH5" s="264"/>
      <c r="QI5" s="264"/>
      <c r="QJ5" s="264"/>
      <c r="QK5" s="264"/>
      <c r="QL5" s="264"/>
      <c r="QM5" s="264"/>
      <c r="QN5" s="264"/>
      <c r="QO5" s="264"/>
      <c r="QP5" s="264"/>
      <c r="QQ5" s="264"/>
      <c r="QR5" s="264"/>
      <c r="QS5" s="264"/>
      <c r="QT5" s="264"/>
      <c r="QU5" s="264"/>
      <c r="QV5" s="264"/>
      <c r="QW5" s="264"/>
      <c r="QX5" s="264"/>
      <c r="QY5" s="264"/>
      <c r="QZ5" s="264"/>
      <c r="RA5" s="264"/>
      <c r="RB5" s="264"/>
      <c r="RC5" s="264"/>
    </row>
    <row r="6" spans="1:471" s="217" customFormat="1" ht="20.100000000000001" customHeight="1">
      <c r="A6" s="226"/>
      <c r="B6" s="227">
        <v>1</v>
      </c>
      <c r="C6" s="228" t="s">
        <v>182</v>
      </c>
      <c r="D6" s="229">
        <v>6000</v>
      </c>
      <c r="E6" s="230">
        <v>7</v>
      </c>
      <c r="F6" s="231">
        <v>8</v>
      </c>
      <c r="G6" s="232">
        <v>24</v>
      </c>
      <c r="H6" s="233">
        <f>G6-F6</f>
        <v>16</v>
      </c>
      <c r="I6" s="246">
        <v>5990</v>
      </c>
      <c r="J6" s="246">
        <f>I6-D6</f>
        <v>-10</v>
      </c>
      <c r="K6" s="247">
        <v>1</v>
      </c>
      <c r="L6" s="248">
        <v>0</v>
      </c>
      <c r="M6" s="249">
        <v>0</v>
      </c>
      <c r="N6" s="247">
        <v>0</v>
      </c>
      <c r="O6" s="250">
        <v>0</v>
      </c>
      <c r="P6" s="251">
        <v>0</v>
      </c>
      <c r="Q6" s="248">
        <v>0</v>
      </c>
      <c r="R6" s="248">
        <v>0</v>
      </c>
      <c r="S6" s="248">
        <v>0</v>
      </c>
      <c r="T6" s="248">
        <v>0</v>
      </c>
      <c r="U6" s="258">
        <f>SUM(K6:M6)</f>
        <v>1</v>
      </c>
      <c r="V6" s="258">
        <f>SUM(N6:T6)</f>
        <v>0</v>
      </c>
      <c r="W6" s="259">
        <f>I6/(H6-(U6+V6))</f>
        <v>399.33333333333297</v>
      </c>
      <c r="X6" s="260" t="s">
        <v>183</v>
      </c>
      <c r="Y6" s="265"/>
      <c r="Z6" s="265"/>
      <c r="AA6" s="265"/>
      <c r="AB6" s="265"/>
      <c r="AC6" s="265"/>
      <c r="AD6" s="265"/>
      <c r="AE6" s="265"/>
      <c r="AF6" s="265"/>
      <c r="AG6" s="265"/>
      <c r="AH6" s="265"/>
      <c r="AI6" s="265"/>
      <c r="AJ6" s="265"/>
      <c r="AK6" s="265"/>
      <c r="AL6" s="265"/>
      <c r="AM6" s="265"/>
      <c r="AN6" s="265"/>
      <c r="AO6" s="265"/>
      <c r="AP6" s="265"/>
      <c r="AQ6" s="265"/>
      <c r="AR6" s="265"/>
      <c r="AS6" s="265"/>
      <c r="AT6" s="265"/>
      <c r="AU6" s="265"/>
      <c r="AV6" s="265"/>
      <c r="AW6" s="265"/>
      <c r="AX6" s="265"/>
      <c r="AY6" s="265"/>
      <c r="AZ6" s="265"/>
      <c r="BA6" s="265"/>
      <c r="BB6" s="265"/>
      <c r="BC6" s="265"/>
      <c r="BD6" s="265"/>
      <c r="BE6" s="265"/>
      <c r="BF6" s="265"/>
      <c r="BG6" s="265"/>
      <c r="BH6" s="265"/>
      <c r="BI6" s="265"/>
      <c r="BJ6" s="265"/>
      <c r="BK6" s="265"/>
      <c r="BL6" s="265"/>
      <c r="BM6" s="265"/>
      <c r="BN6" s="265"/>
      <c r="BO6" s="265"/>
      <c r="BP6" s="265"/>
      <c r="BQ6" s="265"/>
      <c r="BR6" s="265"/>
      <c r="BS6" s="265"/>
      <c r="BT6" s="265"/>
      <c r="BU6" s="265"/>
      <c r="BV6" s="265"/>
      <c r="BW6" s="265"/>
      <c r="BX6" s="265"/>
      <c r="BY6" s="265"/>
      <c r="BZ6" s="265"/>
      <c r="CA6" s="265"/>
      <c r="CB6" s="265"/>
      <c r="CC6" s="265"/>
      <c r="CD6" s="265"/>
      <c r="CE6" s="265"/>
      <c r="CF6" s="265"/>
      <c r="CG6" s="265"/>
      <c r="CH6" s="265"/>
      <c r="CI6" s="265"/>
      <c r="CJ6" s="265"/>
      <c r="CK6" s="265"/>
      <c r="CL6" s="265"/>
      <c r="CM6" s="265"/>
      <c r="CN6" s="265"/>
      <c r="CO6" s="265"/>
      <c r="CP6" s="265"/>
      <c r="CQ6" s="265"/>
      <c r="CR6" s="265"/>
      <c r="CS6" s="265"/>
      <c r="CT6" s="265"/>
      <c r="CU6" s="265"/>
      <c r="CV6" s="265"/>
      <c r="CW6" s="265"/>
      <c r="CX6" s="265"/>
      <c r="CY6" s="265"/>
      <c r="CZ6" s="265"/>
      <c r="DA6" s="265"/>
      <c r="DB6" s="265"/>
      <c r="DC6" s="265"/>
      <c r="DD6" s="265"/>
      <c r="DE6" s="265"/>
      <c r="DF6" s="265"/>
      <c r="DG6" s="265"/>
      <c r="DH6" s="265"/>
      <c r="DI6" s="265"/>
      <c r="DJ6" s="265"/>
      <c r="DK6" s="265"/>
      <c r="DL6" s="265"/>
      <c r="DM6" s="265"/>
      <c r="DN6" s="265"/>
      <c r="DO6" s="265"/>
      <c r="DP6" s="265"/>
      <c r="DQ6" s="265"/>
      <c r="DR6" s="265"/>
      <c r="DS6" s="265"/>
      <c r="DT6" s="265"/>
      <c r="DU6" s="265"/>
      <c r="DV6" s="265"/>
      <c r="DW6" s="265"/>
      <c r="DX6" s="265"/>
      <c r="DY6" s="265"/>
      <c r="DZ6" s="265"/>
      <c r="EA6" s="265"/>
      <c r="EB6" s="265"/>
      <c r="EC6" s="265"/>
      <c r="ED6" s="265"/>
      <c r="EE6" s="265"/>
      <c r="EF6" s="265"/>
      <c r="EG6" s="265"/>
      <c r="EH6" s="265"/>
      <c r="EI6" s="265"/>
      <c r="EJ6" s="265"/>
      <c r="EK6" s="265"/>
      <c r="EL6" s="265"/>
      <c r="EM6" s="265"/>
      <c r="EN6" s="265"/>
      <c r="EO6" s="265"/>
      <c r="EP6" s="265"/>
      <c r="EQ6" s="265"/>
      <c r="ER6" s="265"/>
      <c r="ES6" s="265"/>
      <c r="ET6" s="265"/>
      <c r="EU6" s="265"/>
      <c r="EV6" s="265"/>
      <c r="EW6" s="265"/>
      <c r="EX6" s="265"/>
      <c r="EY6" s="265"/>
      <c r="EZ6" s="265"/>
      <c r="FA6" s="265"/>
      <c r="FB6" s="265"/>
      <c r="FC6" s="265"/>
      <c r="FD6" s="265"/>
      <c r="FE6" s="265"/>
      <c r="FF6" s="265"/>
      <c r="FG6" s="265"/>
      <c r="FH6" s="265"/>
      <c r="FI6" s="265"/>
      <c r="FJ6" s="265"/>
      <c r="FK6" s="265"/>
      <c r="FL6" s="265"/>
      <c r="FM6" s="265"/>
      <c r="FN6" s="265"/>
      <c r="FO6" s="265"/>
      <c r="FP6" s="265"/>
      <c r="FQ6" s="265"/>
      <c r="FR6" s="265"/>
      <c r="FS6" s="265"/>
      <c r="FT6" s="265"/>
      <c r="FU6" s="265"/>
      <c r="FV6" s="265"/>
      <c r="FW6" s="265"/>
      <c r="FX6" s="265"/>
      <c r="FY6" s="265"/>
      <c r="FZ6" s="265"/>
      <c r="GA6" s="265"/>
      <c r="GB6" s="265"/>
      <c r="GC6" s="265"/>
      <c r="GD6" s="265"/>
      <c r="GE6" s="265"/>
      <c r="GF6" s="265"/>
      <c r="GG6" s="265"/>
      <c r="GH6" s="265"/>
      <c r="GI6" s="265"/>
      <c r="GJ6" s="265"/>
      <c r="GK6" s="265"/>
      <c r="GL6" s="265"/>
      <c r="GM6" s="265"/>
      <c r="GN6" s="265"/>
      <c r="GO6" s="265"/>
      <c r="GP6" s="265"/>
      <c r="GQ6" s="265"/>
      <c r="GR6" s="265"/>
      <c r="GS6" s="265"/>
      <c r="GT6" s="265"/>
      <c r="GU6" s="265"/>
      <c r="GV6" s="265"/>
      <c r="GW6" s="265"/>
      <c r="GX6" s="265"/>
      <c r="GY6" s="265"/>
      <c r="GZ6" s="265"/>
      <c r="HA6" s="265"/>
      <c r="HB6" s="265"/>
      <c r="HC6" s="265"/>
      <c r="HD6" s="265"/>
      <c r="HE6" s="265"/>
      <c r="HF6" s="265"/>
      <c r="HG6" s="265"/>
      <c r="HH6" s="265"/>
      <c r="HI6" s="265"/>
      <c r="HJ6" s="265"/>
      <c r="HK6" s="265"/>
      <c r="HL6" s="265"/>
      <c r="HM6" s="265"/>
      <c r="HN6" s="265"/>
      <c r="HO6" s="265"/>
      <c r="HP6" s="265"/>
      <c r="HQ6" s="265"/>
      <c r="HR6" s="265"/>
      <c r="HS6" s="265"/>
      <c r="HT6" s="265"/>
      <c r="HU6" s="265"/>
      <c r="HV6" s="265"/>
      <c r="HW6" s="265"/>
      <c r="HX6" s="265"/>
      <c r="HY6" s="265"/>
      <c r="HZ6" s="265"/>
      <c r="IA6" s="265"/>
      <c r="IB6" s="265"/>
      <c r="IC6" s="265"/>
      <c r="ID6" s="265"/>
      <c r="IE6" s="265"/>
      <c r="IF6" s="265"/>
      <c r="IG6" s="265"/>
      <c r="IH6" s="265"/>
      <c r="II6" s="265"/>
      <c r="IJ6" s="265"/>
      <c r="IK6" s="265"/>
      <c r="IL6" s="265"/>
      <c r="IM6" s="265"/>
      <c r="IN6" s="265"/>
      <c r="IO6" s="265"/>
      <c r="IP6" s="265"/>
      <c r="IQ6" s="265"/>
      <c r="IR6" s="265"/>
      <c r="IS6" s="265"/>
      <c r="IT6" s="265"/>
      <c r="IU6" s="265"/>
      <c r="IV6" s="265"/>
      <c r="IW6" s="265"/>
      <c r="IX6" s="265"/>
      <c r="IY6" s="265"/>
      <c r="IZ6" s="265"/>
      <c r="JA6" s="265"/>
      <c r="JB6" s="265"/>
      <c r="JC6" s="265"/>
      <c r="JD6" s="265"/>
      <c r="JE6" s="265"/>
      <c r="JF6" s="265"/>
      <c r="JG6" s="265"/>
      <c r="JH6" s="265"/>
      <c r="JI6" s="265"/>
      <c r="JJ6" s="265"/>
      <c r="JK6" s="265"/>
      <c r="JL6" s="265"/>
      <c r="JM6" s="265"/>
      <c r="JN6" s="265"/>
      <c r="JO6" s="265"/>
      <c r="JP6" s="265"/>
      <c r="JQ6" s="265"/>
      <c r="JR6" s="265"/>
      <c r="JS6" s="265"/>
      <c r="JT6" s="265"/>
      <c r="JU6" s="265"/>
      <c r="JV6" s="265"/>
      <c r="JW6" s="265"/>
      <c r="JX6" s="265"/>
      <c r="JY6" s="265"/>
      <c r="JZ6" s="265"/>
      <c r="KA6" s="265"/>
      <c r="KB6" s="265"/>
      <c r="KC6" s="265"/>
      <c r="KD6" s="265"/>
      <c r="KE6" s="265"/>
      <c r="KF6" s="265"/>
      <c r="KG6" s="265"/>
      <c r="KH6" s="265"/>
      <c r="KI6" s="265"/>
      <c r="KJ6" s="265"/>
      <c r="KK6" s="265"/>
      <c r="KL6" s="265"/>
      <c r="KM6" s="265"/>
      <c r="KN6" s="265"/>
      <c r="KO6" s="265"/>
      <c r="KP6" s="265"/>
      <c r="KQ6" s="265"/>
      <c r="KR6" s="265"/>
      <c r="KS6" s="265"/>
      <c r="KT6" s="265"/>
      <c r="KU6" s="265"/>
      <c r="KV6" s="265"/>
      <c r="KW6" s="265"/>
      <c r="KX6" s="265"/>
      <c r="KY6" s="265"/>
      <c r="KZ6" s="265"/>
      <c r="LA6" s="265"/>
      <c r="LB6" s="265"/>
      <c r="LC6" s="265"/>
      <c r="LD6" s="265"/>
      <c r="LE6" s="265"/>
      <c r="LF6" s="265"/>
      <c r="LG6" s="265"/>
      <c r="LH6" s="265"/>
      <c r="LI6" s="265"/>
      <c r="LJ6" s="265"/>
      <c r="LK6" s="265"/>
      <c r="LL6" s="265"/>
      <c r="LM6" s="265"/>
      <c r="LN6" s="265"/>
      <c r="LO6" s="265"/>
      <c r="LP6" s="265"/>
      <c r="LQ6" s="265"/>
      <c r="LR6" s="265"/>
      <c r="LS6" s="265"/>
      <c r="LT6" s="265"/>
      <c r="LU6" s="265"/>
      <c r="LV6" s="265"/>
      <c r="LW6" s="265"/>
      <c r="LX6" s="265"/>
      <c r="LY6" s="265"/>
      <c r="LZ6" s="265"/>
      <c r="MA6" s="265"/>
      <c r="MB6" s="265"/>
      <c r="MC6" s="265"/>
      <c r="MD6" s="265"/>
      <c r="ME6" s="265"/>
      <c r="MF6" s="265"/>
      <c r="MG6" s="265"/>
      <c r="MH6" s="265"/>
      <c r="MI6" s="265"/>
      <c r="MJ6" s="265"/>
      <c r="MK6" s="265"/>
      <c r="ML6" s="265"/>
      <c r="MM6" s="265"/>
      <c r="MN6" s="265"/>
      <c r="MO6" s="265"/>
      <c r="MP6" s="265"/>
      <c r="MQ6" s="265"/>
      <c r="MR6" s="265"/>
      <c r="MS6" s="265"/>
      <c r="MT6" s="265"/>
      <c r="MU6" s="265"/>
      <c r="MV6" s="265"/>
      <c r="MW6" s="265"/>
      <c r="MX6" s="265"/>
      <c r="MY6" s="265"/>
      <c r="MZ6" s="265"/>
      <c r="NA6" s="265"/>
      <c r="NB6" s="265"/>
      <c r="NC6" s="265"/>
      <c r="ND6" s="265"/>
      <c r="NE6" s="265"/>
      <c r="NF6" s="265"/>
      <c r="NG6" s="265"/>
      <c r="NH6" s="265"/>
      <c r="NI6" s="265"/>
      <c r="NJ6" s="265"/>
      <c r="NK6" s="265"/>
      <c r="NL6" s="265"/>
      <c r="NM6" s="265"/>
      <c r="NN6" s="265"/>
      <c r="NO6" s="265"/>
      <c r="NP6" s="265"/>
      <c r="NQ6" s="265"/>
      <c r="NR6" s="265"/>
      <c r="NS6" s="265"/>
      <c r="NT6" s="265"/>
      <c r="NU6" s="265"/>
      <c r="NV6" s="265"/>
      <c r="NW6" s="265"/>
      <c r="NX6" s="265"/>
      <c r="NY6" s="265"/>
      <c r="NZ6" s="265"/>
      <c r="OA6" s="265"/>
      <c r="OB6" s="265"/>
      <c r="OC6" s="265"/>
      <c r="OD6" s="265"/>
      <c r="OE6" s="265"/>
      <c r="OF6" s="265"/>
      <c r="OG6" s="265"/>
      <c r="OH6" s="265"/>
      <c r="OI6" s="265"/>
      <c r="OJ6" s="265"/>
      <c r="OK6" s="265"/>
      <c r="OL6" s="265"/>
      <c r="OM6" s="265"/>
      <c r="ON6" s="265"/>
      <c r="OO6" s="265"/>
      <c r="OP6" s="265"/>
      <c r="OQ6" s="265"/>
      <c r="OR6" s="265"/>
      <c r="OS6" s="265"/>
      <c r="OT6" s="265"/>
      <c r="OU6" s="265"/>
      <c r="OV6" s="265"/>
      <c r="OW6" s="265"/>
      <c r="OX6" s="265"/>
      <c r="OY6" s="265"/>
      <c r="OZ6" s="265"/>
      <c r="PA6" s="265"/>
      <c r="PB6" s="265"/>
      <c r="PC6" s="265"/>
      <c r="PD6" s="265"/>
      <c r="PE6" s="265"/>
      <c r="PF6" s="265"/>
      <c r="PG6" s="265"/>
      <c r="PH6" s="265"/>
      <c r="PI6" s="265"/>
      <c r="PJ6" s="265"/>
      <c r="PK6" s="265"/>
      <c r="PL6" s="265"/>
      <c r="PM6" s="265"/>
      <c r="PN6" s="265"/>
      <c r="PO6" s="265"/>
      <c r="PP6" s="265"/>
      <c r="PQ6" s="265"/>
      <c r="PR6" s="265"/>
      <c r="PS6" s="265"/>
      <c r="PT6" s="265"/>
      <c r="PU6" s="265"/>
      <c r="PV6" s="265"/>
      <c r="PW6" s="265"/>
      <c r="PX6" s="265"/>
      <c r="PY6" s="265"/>
      <c r="PZ6" s="265"/>
      <c r="QA6" s="265"/>
      <c r="QB6" s="265"/>
      <c r="QC6" s="265"/>
      <c r="QD6" s="265"/>
      <c r="QE6" s="265"/>
      <c r="QF6" s="265"/>
      <c r="QG6" s="265"/>
      <c r="QH6" s="265"/>
      <c r="QI6" s="265"/>
      <c r="QJ6" s="265"/>
      <c r="QK6" s="265"/>
      <c r="QL6" s="265"/>
      <c r="QM6" s="265"/>
      <c r="QN6" s="265"/>
      <c r="QO6" s="265"/>
      <c r="QP6" s="265"/>
      <c r="QQ6" s="265"/>
      <c r="QR6" s="265"/>
      <c r="QS6" s="265"/>
      <c r="QT6" s="265"/>
      <c r="QU6" s="265"/>
      <c r="QV6" s="265"/>
      <c r="QW6" s="265"/>
      <c r="QX6" s="265"/>
      <c r="QY6" s="265"/>
      <c r="QZ6" s="265"/>
      <c r="RA6" s="265"/>
      <c r="RB6" s="265"/>
      <c r="RC6" s="265"/>
    </row>
    <row r="7" spans="1:471" ht="16.350000000000001">
      <c r="B7" s="227"/>
      <c r="C7" s="234"/>
      <c r="D7" s="235"/>
      <c r="E7" s="236"/>
      <c r="F7" s="237"/>
      <c r="G7" s="238"/>
      <c r="H7" s="239"/>
      <c r="I7" s="252"/>
      <c r="J7" s="252"/>
      <c r="K7" s="253"/>
      <c r="L7" s="254"/>
      <c r="M7" s="255"/>
      <c r="N7" s="253"/>
      <c r="O7" s="256"/>
      <c r="P7" s="257"/>
      <c r="Q7" s="254"/>
      <c r="R7" s="254"/>
      <c r="S7" s="254"/>
      <c r="T7" s="254"/>
      <c r="U7" s="261"/>
      <c r="V7" s="261"/>
      <c r="W7" s="262"/>
      <c r="X7" s="263"/>
    </row>
    <row r="8" spans="1:471" ht="16.350000000000001">
      <c r="B8" s="227"/>
      <c r="C8" s="234"/>
      <c r="D8" s="235"/>
      <c r="E8" s="236"/>
      <c r="F8" s="237"/>
      <c r="G8" s="238"/>
      <c r="H8" s="239"/>
      <c r="I8" s="252"/>
      <c r="J8" s="252"/>
      <c r="K8" s="253"/>
      <c r="L8" s="254"/>
      <c r="M8" s="255"/>
      <c r="N8" s="253"/>
      <c r="O8" s="256"/>
      <c r="P8" s="257"/>
      <c r="Q8" s="254"/>
      <c r="R8" s="254"/>
      <c r="S8" s="254"/>
      <c r="T8" s="254"/>
      <c r="U8" s="261"/>
      <c r="V8" s="261"/>
      <c r="W8" s="262"/>
      <c r="X8" s="263"/>
    </row>
    <row r="9" spans="1:471" ht="16.350000000000001">
      <c r="B9" s="227"/>
      <c r="C9" s="234"/>
      <c r="D9" s="235"/>
      <c r="E9" s="236"/>
      <c r="F9" s="237"/>
      <c r="G9" s="238"/>
      <c r="H9" s="239"/>
      <c r="I9" s="252"/>
      <c r="J9" s="252"/>
      <c r="K9" s="253"/>
      <c r="L9" s="254"/>
      <c r="M9" s="255"/>
      <c r="N9" s="253"/>
      <c r="O9" s="256"/>
      <c r="P9" s="257"/>
      <c r="Q9" s="254"/>
      <c r="R9" s="254"/>
      <c r="S9" s="254"/>
      <c r="T9" s="254"/>
      <c r="U9" s="261"/>
      <c r="V9" s="261"/>
      <c r="W9" s="262"/>
      <c r="X9" s="263"/>
    </row>
    <row r="10" spans="1:471" ht="16.350000000000001">
      <c r="B10" s="227"/>
      <c r="C10" s="234"/>
      <c r="D10" s="235"/>
      <c r="E10" s="236"/>
      <c r="F10" s="237"/>
      <c r="G10" s="238"/>
      <c r="H10" s="239"/>
      <c r="I10" s="252"/>
      <c r="J10" s="252"/>
      <c r="K10" s="253"/>
      <c r="L10" s="254"/>
      <c r="M10" s="255"/>
      <c r="N10" s="253"/>
      <c r="O10" s="256"/>
      <c r="P10" s="257"/>
      <c r="Q10" s="254"/>
      <c r="R10" s="254"/>
      <c r="S10" s="254"/>
      <c r="T10" s="254"/>
      <c r="U10" s="261"/>
      <c r="V10" s="261"/>
      <c r="W10" s="262"/>
      <c r="X10" s="263"/>
    </row>
    <row r="11" spans="1:471" ht="16.350000000000001">
      <c r="B11" s="227"/>
      <c r="C11" s="234"/>
      <c r="D11" s="235"/>
      <c r="E11" s="236"/>
      <c r="F11" s="237"/>
      <c r="G11" s="238"/>
      <c r="H11" s="239"/>
      <c r="I11" s="252"/>
      <c r="J11" s="252"/>
      <c r="K11" s="253"/>
      <c r="L11" s="254"/>
      <c r="M11" s="255"/>
      <c r="N11" s="253"/>
      <c r="O11" s="256"/>
      <c r="P11" s="257"/>
      <c r="Q11" s="254"/>
      <c r="R11" s="254"/>
      <c r="S11" s="254"/>
      <c r="T11" s="254"/>
      <c r="U11" s="261"/>
      <c r="V11" s="261"/>
      <c r="W11" s="262"/>
      <c r="X11" s="263"/>
    </row>
    <row r="12" spans="1:471" ht="16.350000000000001">
      <c r="B12" s="227"/>
      <c r="C12" s="234"/>
      <c r="D12" s="235"/>
      <c r="E12" s="236"/>
      <c r="F12" s="237"/>
      <c r="G12" s="238"/>
      <c r="H12" s="239"/>
      <c r="I12" s="252"/>
      <c r="J12" s="252"/>
      <c r="K12" s="253"/>
      <c r="L12" s="254"/>
      <c r="M12" s="255"/>
      <c r="N12" s="253"/>
      <c r="O12" s="256"/>
      <c r="P12" s="257"/>
      <c r="Q12" s="254"/>
      <c r="R12" s="254"/>
      <c r="S12" s="254"/>
      <c r="T12" s="254"/>
      <c r="U12" s="261"/>
      <c r="V12" s="261"/>
      <c r="W12" s="262"/>
      <c r="X12" s="263"/>
    </row>
    <row r="13" spans="1:471" ht="16.350000000000001">
      <c r="B13" s="227"/>
      <c r="C13" s="234"/>
      <c r="D13" s="235"/>
      <c r="E13" s="236"/>
      <c r="F13" s="237"/>
      <c r="G13" s="238"/>
      <c r="H13" s="239"/>
      <c r="I13" s="252"/>
      <c r="J13" s="252"/>
      <c r="K13" s="253"/>
      <c r="L13" s="254"/>
      <c r="M13" s="255"/>
      <c r="N13" s="253"/>
      <c r="O13" s="256"/>
      <c r="P13" s="257"/>
      <c r="Q13" s="254"/>
      <c r="R13" s="254"/>
      <c r="S13" s="254"/>
      <c r="T13" s="254"/>
      <c r="U13" s="261"/>
      <c r="V13" s="261"/>
      <c r="W13" s="262"/>
      <c r="X13" s="263"/>
    </row>
    <row r="14" spans="1:471" ht="16.350000000000001">
      <c r="B14" s="227"/>
      <c r="C14" s="234"/>
      <c r="D14" s="235"/>
      <c r="E14" s="236"/>
      <c r="F14" s="237"/>
      <c r="G14" s="238"/>
      <c r="H14" s="239"/>
      <c r="I14" s="252"/>
      <c r="J14" s="252"/>
      <c r="K14" s="253"/>
      <c r="L14" s="254"/>
      <c r="M14" s="255"/>
      <c r="N14" s="253"/>
      <c r="O14" s="256"/>
      <c r="P14" s="257"/>
      <c r="Q14" s="254"/>
      <c r="R14" s="254"/>
      <c r="S14" s="254"/>
      <c r="T14" s="254"/>
      <c r="U14" s="261"/>
      <c r="V14" s="261"/>
      <c r="W14" s="262"/>
      <c r="X14" s="263"/>
    </row>
    <row r="15" spans="1:471" ht="16.350000000000001">
      <c r="B15" s="227"/>
      <c r="C15" s="234"/>
      <c r="D15" s="235"/>
      <c r="E15" s="236"/>
      <c r="F15" s="237"/>
      <c r="G15" s="238"/>
      <c r="H15" s="239"/>
      <c r="I15" s="252"/>
      <c r="J15" s="252"/>
      <c r="K15" s="253"/>
      <c r="L15" s="254"/>
      <c r="M15" s="255"/>
      <c r="N15" s="253"/>
      <c r="O15" s="256"/>
      <c r="P15" s="257"/>
      <c r="Q15" s="254"/>
      <c r="R15" s="254"/>
      <c r="S15" s="254"/>
      <c r="T15" s="254"/>
      <c r="U15" s="261"/>
      <c r="V15" s="261"/>
      <c r="W15" s="262"/>
      <c r="X15" s="263"/>
    </row>
    <row r="16" spans="1:471" ht="16.350000000000001">
      <c r="B16" s="227"/>
      <c r="C16" s="234"/>
      <c r="D16" s="235"/>
      <c r="E16" s="236"/>
      <c r="F16" s="237"/>
      <c r="G16" s="238"/>
      <c r="H16" s="239"/>
      <c r="I16" s="252"/>
      <c r="J16" s="252"/>
      <c r="K16" s="253"/>
      <c r="L16" s="254"/>
      <c r="M16" s="255"/>
      <c r="N16" s="253"/>
      <c r="O16" s="256"/>
      <c r="P16" s="257"/>
      <c r="Q16" s="254"/>
      <c r="R16" s="254"/>
      <c r="S16" s="254"/>
      <c r="T16" s="254"/>
      <c r="U16" s="261"/>
      <c r="V16" s="261"/>
      <c r="W16" s="262"/>
      <c r="X16" s="263"/>
    </row>
    <row r="17" spans="2:24" ht="16.350000000000001">
      <c r="B17" s="227"/>
      <c r="C17" s="234"/>
      <c r="D17" s="235"/>
      <c r="E17" s="236"/>
      <c r="F17" s="237"/>
      <c r="G17" s="238"/>
      <c r="H17" s="239"/>
      <c r="I17" s="252"/>
      <c r="J17" s="252"/>
      <c r="K17" s="253"/>
      <c r="L17" s="254"/>
      <c r="M17" s="255"/>
      <c r="N17" s="253"/>
      <c r="O17" s="256"/>
      <c r="P17" s="257"/>
      <c r="Q17" s="254"/>
      <c r="R17" s="254"/>
      <c r="S17" s="254"/>
      <c r="T17" s="254"/>
      <c r="U17" s="261"/>
      <c r="V17" s="261"/>
      <c r="W17" s="262"/>
      <c r="X17" s="263"/>
    </row>
    <row r="18" spans="2:24" ht="16.350000000000001">
      <c r="B18" s="227"/>
      <c r="C18" s="234"/>
      <c r="D18" s="235"/>
      <c r="E18" s="236"/>
      <c r="F18" s="237"/>
      <c r="G18" s="238"/>
      <c r="H18" s="239"/>
      <c r="I18" s="252"/>
      <c r="J18" s="252"/>
      <c r="K18" s="253"/>
      <c r="L18" s="254"/>
      <c r="M18" s="255"/>
      <c r="N18" s="253"/>
      <c r="O18" s="256"/>
      <c r="P18" s="257"/>
      <c r="Q18" s="254"/>
      <c r="R18" s="254"/>
      <c r="S18" s="254"/>
      <c r="T18" s="254"/>
      <c r="U18" s="261"/>
      <c r="V18" s="261"/>
      <c r="W18" s="262"/>
      <c r="X18" s="263"/>
    </row>
    <row r="19" spans="2:24" ht="16.350000000000001">
      <c r="B19" s="227"/>
      <c r="C19" s="234"/>
      <c r="D19" s="235"/>
      <c r="E19" s="236"/>
      <c r="F19" s="237"/>
      <c r="G19" s="238"/>
      <c r="H19" s="239"/>
      <c r="I19" s="252"/>
      <c r="J19" s="252"/>
      <c r="K19" s="253"/>
      <c r="L19" s="254"/>
      <c r="M19" s="255"/>
      <c r="N19" s="253"/>
      <c r="O19" s="256"/>
      <c r="P19" s="257"/>
      <c r="Q19" s="254"/>
      <c r="R19" s="254"/>
      <c r="S19" s="254"/>
      <c r="T19" s="254"/>
      <c r="U19" s="261"/>
      <c r="V19" s="261"/>
      <c r="W19" s="262"/>
      <c r="X19" s="263"/>
    </row>
    <row r="20" spans="2:24" ht="16.350000000000001">
      <c r="B20" s="227"/>
      <c r="C20" s="234"/>
      <c r="D20" s="235"/>
      <c r="E20" s="236"/>
      <c r="F20" s="237"/>
      <c r="G20" s="238"/>
      <c r="H20" s="239"/>
      <c r="I20" s="252"/>
      <c r="J20" s="252"/>
      <c r="K20" s="253"/>
      <c r="L20" s="254"/>
      <c r="M20" s="255"/>
      <c r="N20" s="253"/>
      <c r="O20" s="256"/>
      <c r="P20" s="257"/>
      <c r="Q20" s="254"/>
      <c r="R20" s="254"/>
      <c r="S20" s="254"/>
      <c r="T20" s="254"/>
      <c r="U20" s="261"/>
      <c r="V20" s="261"/>
      <c r="W20" s="262"/>
      <c r="X20" s="263"/>
    </row>
    <row r="21" spans="2:24" ht="16.350000000000001">
      <c r="B21" s="227"/>
      <c r="C21" s="234"/>
      <c r="D21" s="235"/>
      <c r="E21" s="236"/>
      <c r="F21" s="237"/>
      <c r="G21" s="238"/>
      <c r="H21" s="239"/>
      <c r="I21" s="252"/>
      <c r="J21" s="252"/>
      <c r="K21" s="253"/>
      <c r="L21" s="254"/>
      <c r="M21" s="255"/>
      <c r="N21" s="253"/>
      <c r="O21" s="256"/>
      <c r="P21" s="257"/>
      <c r="Q21" s="254"/>
      <c r="R21" s="254"/>
      <c r="S21" s="254"/>
      <c r="T21" s="254"/>
      <c r="U21" s="261"/>
      <c r="V21" s="261"/>
      <c r="W21" s="262"/>
      <c r="X21" s="263"/>
    </row>
    <row r="22" spans="2:24" ht="16.350000000000001">
      <c r="B22" s="227"/>
      <c r="C22" s="234"/>
      <c r="D22" s="235"/>
      <c r="E22" s="236"/>
      <c r="F22" s="237"/>
      <c r="G22" s="238"/>
      <c r="H22" s="239"/>
      <c r="I22" s="252"/>
      <c r="J22" s="252"/>
      <c r="K22" s="253"/>
      <c r="L22" s="254"/>
      <c r="M22" s="255"/>
      <c r="N22" s="253"/>
      <c r="O22" s="256"/>
      <c r="P22" s="257"/>
      <c r="Q22" s="254"/>
      <c r="R22" s="254"/>
      <c r="S22" s="254"/>
      <c r="T22" s="254"/>
      <c r="U22" s="261"/>
      <c r="V22" s="261"/>
      <c r="W22" s="262"/>
      <c r="X22" s="263"/>
    </row>
    <row r="23" spans="2:24" ht="16.350000000000001">
      <c r="B23" s="227"/>
      <c r="C23" s="234"/>
      <c r="D23" s="235"/>
      <c r="E23" s="236"/>
      <c r="F23" s="237"/>
      <c r="G23" s="238"/>
      <c r="H23" s="239"/>
      <c r="I23" s="252"/>
      <c r="J23" s="252"/>
      <c r="K23" s="253"/>
      <c r="L23" s="254"/>
      <c r="M23" s="255"/>
      <c r="N23" s="253"/>
      <c r="O23" s="256"/>
      <c r="P23" s="257"/>
      <c r="Q23" s="254"/>
      <c r="R23" s="254"/>
      <c r="S23" s="254"/>
      <c r="T23" s="254"/>
      <c r="U23" s="261"/>
      <c r="V23" s="261"/>
      <c r="W23" s="262"/>
      <c r="X23" s="263"/>
    </row>
    <row r="24" spans="2:24" ht="16.350000000000001">
      <c r="B24" s="227"/>
      <c r="C24" s="234"/>
      <c r="D24" s="235"/>
      <c r="E24" s="236"/>
      <c r="F24" s="237"/>
      <c r="G24" s="238"/>
      <c r="H24" s="239"/>
      <c r="I24" s="252"/>
      <c r="J24" s="252"/>
      <c r="K24" s="253"/>
      <c r="L24" s="254"/>
      <c r="M24" s="255"/>
      <c r="N24" s="253"/>
      <c r="O24" s="256"/>
      <c r="P24" s="257"/>
      <c r="Q24" s="254"/>
      <c r="R24" s="254"/>
      <c r="S24" s="254"/>
      <c r="T24" s="254"/>
      <c r="U24" s="261"/>
      <c r="V24" s="261"/>
      <c r="W24" s="262"/>
      <c r="X24" s="263"/>
    </row>
    <row r="25" spans="2:24" ht="16.350000000000001">
      <c r="B25" s="227"/>
      <c r="C25" s="234"/>
      <c r="D25" s="235"/>
      <c r="E25" s="236"/>
      <c r="F25" s="237"/>
      <c r="G25" s="238"/>
      <c r="H25" s="239"/>
      <c r="I25" s="252"/>
      <c r="J25" s="252"/>
      <c r="K25" s="253"/>
      <c r="L25" s="254"/>
      <c r="M25" s="255"/>
      <c r="N25" s="253"/>
      <c r="O25" s="256"/>
      <c r="P25" s="257"/>
      <c r="Q25" s="254"/>
      <c r="R25" s="254"/>
      <c r="S25" s="254"/>
      <c r="T25" s="254"/>
      <c r="U25" s="261"/>
      <c r="V25" s="261"/>
      <c r="W25" s="262"/>
      <c r="X25" s="263"/>
    </row>
    <row r="26" spans="2:24" ht="16.350000000000001">
      <c r="B26" s="227"/>
      <c r="C26" s="234"/>
      <c r="D26" s="235"/>
      <c r="E26" s="236"/>
      <c r="F26" s="237"/>
      <c r="G26" s="238"/>
      <c r="H26" s="239"/>
      <c r="I26" s="252"/>
      <c r="J26" s="252"/>
      <c r="K26" s="253"/>
      <c r="L26" s="254"/>
      <c r="M26" s="255"/>
      <c r="N26" s="253"/>
      <c r="O26" s="256"/>
      <c r="P26" s="257"/>
      <c r="Q26" s="254"/>
      <c r="R26" s="254"/>
      <c r="S26" s="254"/>
      <c r="T26" s="254"/>
      <c r="U26" s="261"/>
      <c r="V26" s="261"/>
      <c r="W26" s="262"/>
      <c r="X26" s="263"/>
    </row>
    <row r="27" spans="2:24" ht="16.350000000000001">
      <c r="B27" s="227"/>
      <c r="C27" s="234"/>
      <c r="D27" s="235"/>
      <c r="E27" s="236"/>
      <c r="F27" s="237"/>
      <c r="G27" s="238"/>
      <c r="H27" s="239"/>
      <c r="I27" s="252"/>
      <c r="J27" s="252"/>
      <c r="K27" s="253"/>
      <c r="L27" s="254"/>
      <c r="M27" s="255"/>
      <c r="N27" s="253"/>
      <c r="O27" s="256"/>
      <c r="P27" s="257"/>
      <c r="Q27" s="254"/>
      <c r="R27" s="254"/>
      <c r="S27" s="254"/>
      <c r="T27" s="254"/>
      <c r="U27" s="261"/>
      <c r="V27" s="261"/>
      <c r="W27" s="262"/>
      <c r="X27" s="263"/>
    </row>
    <row r="28" spans="2:24" ht="16.350000000000001">
      <c r="B28" s="227"/>
      <c r="C28" s="234"/>
      <c r="D28" s="235"/>
      <c r="E28" s="236"/>
      <c r="F28" s="237"/>
      <c r="G28" s="238"/>
      <c r="H28" s="239"/>
      <c r="I28" s="252"/>
      <c r="J28" s="252"/>
      <c r="K28" s="253"/>
      <c r="L28" s="254"/>
      <c r="M28" s="255"/>
      <c r="N28" s="253"/>
      <c r="O28" s="256"/>
      <c r="P28" s="257"/>
      <c r="Q28" s="254"/>
      <c r="R28" s="254"/>
      <c r="S28" s="254"/>
      <c r="T28" s="254"/>
      <c r="U28" s="261"/>
      <c r="V28" s="261"/>
      <c r="W28" s="262"/>
      <c r="X28" s="263"/>
    </row>
    <row r="29" spans="2:24" ht="16.350000000000001">
      <c r="B29" s="227"/>
      <c r="C29" s="234"/>
      <c r="D29" s="235"/>
      <c r="E29" s="236"/>
      <c r="F29" s="237"/>
      <c r="G29" s="238"/>
      <c r="H29" s="239"/>
      <c r="I29" s="252"/>
      <c r="J29" s="252"/>
      <c r="K29" s="253"/>
      <c r="L29" s="254"/>
      <c r="M29" s="255"/>
      <c r="N29" s="253"/>
      <c r="O29" s="256"/>
      <c r="P29" s="257"/>
      <c r="Q29" s="254"/>
      <c r="R29" s="254"/>
      <c r="S29" s="254"/>
      <c r="T29" s="254"/>
      <c r="U29" s="261"/>
      <c r="V29" s="261"/>
      <c r="W29" s="262"/>
      <c r="X29" s="263"/>
    </row>
    <row r="30" spans="2:24" ht="16.350000000000001">
      <c r="B30" s="227"/>
      <c r="C30" s="234"/>
      <c r="D30" s="235"/>
      <c r="E30" s="236"/>
      <c r="F30" s="237"/>
      <c r="G30" s="238"/>
      <c r="H30" s="239"/>
      <c r="I30" s="252"/>
      <c r="J30" s="252"/>
      <c r="K30" s="253"/>
      <c r="L30" s="254"/>
      <c r="M30" s="255"/>
      <c r="N30" s="253"/>
      <c r="O30" s="256"/>
      <c r="P30" s="257"/>
      <c r="Q30" s="254"/>
      <c r="R30" s="254"/>
      <c r="S30" s="254"/>
      <c r="T30" s="254"/>
      <c r="U30" s="261"/>
      <c r="V30" s="261"/>
      <c r="W30" s="262"/>
      <c r="X30" s="263"/>
    </row>
    <row r="31" spans="2:24" ht="16.350000000000001">
      <c r="B31" s="227"/>
      <c r="C31" s="234"/>
      <c r="D31" s="235"/>
      <c r="E31" s="236"/>
      <c r="F31" s="237"/>
      <c r="G31" s="238"/>
      <c r="H31" s="239"/>
      <c r="I31" s="252"/>
      <c r="J31" s="252"/>
      <c r="K31" s="253"/>
      <c r="L31" s="254"/>
      <c r="M31" s="255"/>
      <c r="N31" s="253"/>
      <c r="O31" s="256"/>
      <c r="P31" s="257"/>
      <c r="Q31" s="254"/>
      <c r="R31" s="254"/>
      <c r="S31" s="254"/>
      <c r="T31" s="254"/>
      <c r="U31" s="261"/>
      <c r="V31" s="261"/>
      <c r="W31" s="262"/>
      <c r="X31" s="263"/>
    </row>
    <row r="32" spans="2:24" ht="16.350000000000001">
      <c r="B32" s="227"/>
      <c r="C32" s="234"/>
      <c r="D32" s="235"/>
      <c r="E32" s="236"/>
      <c r="F32" s="237"/>
      <c r="G32" s="238"/>
      <c r="H32" s="239"/>
      <c r="I32" s="252"/>
      <c r="J32" s="252"/>
      <c r="K32" s="253"/>
      <c r="L32" s="254"/>
      <c r="M32" s="255"/>
      <c r="N32" s="253"/>
      <c r="O32" s="256"/>
      <c r="P32" s="257"/>
      <c r="Q32" s="254"/>
      <c r="R32" s="254"/>
      <c r="S32" s="254"/>
      <c r="T32" s="254"/>
      <c r="U32" s="261"/>
      <c r="V32" s="261"/>
      <c r="W32" s="262"/>
      <c r="X32" s="263"/>
    </row>
    <row r="33" spans="2:24" ht="16.350000000000001">
      <c r="B33" s="227"/>
      <c r="C33" s="234"/>
      <c r="D33" s="235"/>
      <c r="E33" s="236"/>
      <c r="F33" s="237"/>
      <c r="G33" s="238"/>
      <c r="H33" s="239"/>
      <c r="I33" s="252"/>
      <c r="J33" s="252"/>
      <c r="K33" s="253"/>
      <c r="L33" s="254"/>
      <c r="M33" s="255"/>
      <c r="N33" s="253"/>
      <c r="O33" s="256"/>
      <c r="P33" s="257"/>
      <c r="Q33" s="254"/>
      <c r="R33" s="254"/>
      <c r="S33" s="254"/>
      <c r="T33" s="254"/>
      <c r="U33" s="261"/>
      <c r="V33" s="261"/>
      <c r="W33" s="262"/>
      <c r="X33" s="263"/>
    </row>
    <row r="34" spans="2:24" ht="16.350000000000001">
      <c r="B34" s="227"/>
      <c r="C34" s="234"/>
      <c r="D34" s="235"/>
      <c r="E34" s="236"/>
      <c r="F34" s="237"/>
      <c r="G34" s="238"/>
      <c r="H34" s="239"/>
      <c r="I34" s="252"/>
      <c r="J34" s="252"/>
      <c r="K34" s="253"/>
      <c r="L34" s="254"/>
      <c r="M34" s="255"/>
      <c r="N34" s="253"/>
      <c r="O34" s="256"/>
      <c r="P34" s="257"/>
      <c r="Q34" s="254"/>
      <c r="R34" s="254"/>
      <c r="S34" s="254"/>
      <c r="T34" s="254"/>
      <c r="U34" s="261"/>
      <c r="V34" s="261"/>
      <c r="W34" s="262"/>
      <c r="X34" s="263"/>
    </row>
    <row r="35" spans="2:24" ht="16.350000000000001">
      <c r="B35" s="227"/>
      <c r="C35" s="234"/>
      <c r="D35" s="235"/>
      <c r="E35" s="236"/>
      <c r="F35" s="237"/>
      <c r="G35" s="238"/>
      <c r="H35" s="239"/>
      <c r="I35" s="252"/>
      <c r="J35" s="252"/>
      <c r="K35" s="253"/>
      <c r="L35" s="254"/>
      <c r="M35" s="255"/>
      <c r="N35" s="253"/>
      <c r="O35" s="256"/>
      <c r="P35" s="257"/>
      <c r="Q35" s="254"/>
      <c r="R35" s="254"/>
      <c r="S35" s="254"/>
      <c r="T35" s="254"/>
      <c r="U35" s="261"/>
      <c r="V35" s="261"/>
      <c r="W35" s="262"/>
      <c r="X35" s="263"/>
    </row>
    <row r="36" spans="2:24" ht="15.6">
      <c r="B36" s="227"/>
      <c r="C36" s="234"/>
      <c r="D36" s="235"/>
      <c r="E36" s="236"/>
      <c r="F36" s="237"/>
      <c r="G36" s="238"/>
      <c r="H36" s="239"/>
      <c r="I36" s="252"/>
      <c r="J36" s="252"/>
      <c r="K36" s="253"/>
      <c r="L36" s="254"/>
      <c r="M36" s="255"/>
      <c r="N36" s="253"/>
      <c r="O36" s="256"/>
      <c r="P36" s="257"/>
      <c r="Q36" s="254"/>
      <c r="R36" s="254"/>
      <c r="S36" s="254"/>
      <c r="T36" s="254"/>
      <c r="U36" s="261"/>
      <c r="V36" s="261"/>
      <c r="W36" s="262"/>
      <c r="X36" s="263"/>
    </row>
    <row r="38" spans="2:24">
      <c r="B38" s="219" t="s">
        <v>56</v>
      </c>
      <c r="D38" s="240">
        <f>SUM(D6:D36)</f>
        <v>6000</v>
      </c>
      <c r="F38" s="240">
        <f>SUM(F6:F36)</f>
        <v>8</v>
      </c>
      <c r="H38" s="240">
        <f>SUM(H6:H36)</f>
        <v>16</v>
      </c>
      <c r="I38" s="240">
        <f>SUM(I6:I36)</f>
        <v>5990</v>
      </c>
      <c r="J38" s="240">
        <f>SUM(J6:J36)</f>
        <v>-10</v>
      </c>
      <c r="U38" s="240">
        <f>SUM(U6:U36)</f>
        <v>1</v>
      </c>
      <c r="V38" s="240">
        <f>SUM(V6:V36)</f>
        <v>0</v>
      </c>
      <c r="W38" s="240">
        <f>SUM(W6:W36)</f>
        <v>399.33333333333297</v>
      </c>
    </row>
  </sheetData>
  <mergeCells count="15">
    <mergeCell ref="B2:X2"/>
    <mergeCell ref="B3:X3"/>
    <mergeCell ref="F4:H4"/>
    <mergeCell ref="K4:M4"/>
    <mergeCell ref="N4:T4"/>
    <mergeCell ref="B4:B5"/>
    <mergeCell ref="C4:C5"/>
    <mergeCell ref="D4:D5"/>
    <mergeCell ref="E4:E5"/>
    <mergeCell ref="I4:I5"/>
    <mergeCell ref="J4:J5"/>
    <mergeCell ref="U4:U5"/>
    <mergeCell ref="V4:V5"/>
    <mergeCell ref="W4:W5"/>
    <mergeCell ref="X4:X5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:BE59"/>
  <sheetViews>
    <sheetView workbookViewId="0">
      <selection activeCell="M2" sqref="M2"/>
    </sheetView>
  </sheetViews>
  <sheetFormatPr defaultColWidth="9.25" defaultRowHeight="14.45"/>
  <cols>
    <col min="1" max="1" width="8.5" style="192" customWidth="1"/>
    <col min="2" max="2" width="25.75" style="192" customWidth="1"/>
    <col min="3" max="3" width="10.75" style="192" customWidth="1"/>
    <col min="4" max="4" width="15.25" style="192" customWidth="1"/>
    <col min="5" max="5" width="42.5" style="192" customWidth="1"/>
    <col min="6" max="6" width="15.5" style="192" customWidth="1"/>
    <col min="7" max="7" width="14.25" style="192" customWidth="1"/>
    <col min="8" max="8" width="1.5" style="192" hidden="1" customWidth="1"/>
    <col min="9" max="9" width="5.75" style="192" customWidth="1"/>
    <col min="10" max="16384" width="9.25" style="192"/>
  </cols>
  <sheetData>
    <row r="2" spans="1:57" ht="20.100000000000001">
      <c r="A2" s="920" t="s">
        <v>184</v>
      </c>
      <c r="B2" s="920"/>
      <c r="C2" s="920"/>
      <c r="D2" s="920"/>
      <c r="E2" s="920"/>
      <c r="F2" s="920"/>
      <c r="G2" s="920"/>
      <c r="H2" s="193"/>
      <c r="I2" s="193"/>
      <c r="J2" s="193"/>
      <c r="K2" s="193"/>
      <c r="L2" s="193"/>
      <c r="M2" s="193"/>
      <c r="N2" s="193"/>
      <c r="O2" s="193"/>
      <c r="P2" s="193"/>
      <c r="Q2" s="193"/>
      <c r="R2" s="193"/>
      <c r="S2" s="193"/>
      <c r="T2" s="193"/>
      <c r="U2" s="193"/>
      <c r="V2" s="193"/>
      <c r="W2" s="193"/>
      <c r="X2" s="193"/>
      <c r="Y2" s="193"/>
      <c r="Z2" s="193"/>
      <c r="AA2" s="193"/>
      <c r="AB2" s="193"/>
      <c r="AC2" s="193"/>
      <c r="AD2" s="193"/>
      <c r="AE2" s="193"/>
      <c r="AF2" s="193"/>
      <c r="AG2" s="193"/>
      <c r="AH2" s="193"/>
      <c r="AI2" s="193"/>
      <c r="AJ2" s="193"/>
      <c r="AK2" s="193"/>
      <c r="AL2" s="193"/>
      <c r="AM2" s="193"/>
      <c r="AN2" s="193"/>
      <c r="AO2" s="193"/>
      <c r="AP2" s="193"/>
      <c r="AQ2" s="193"/>
      <c r="AR2" s="193"/>
      <c r="AS2" s="193"/>
      <c r="AT2" s="193"/>
      <c r="AU2" s="193"/>
      <c r="AV2" s="193"/>
      <c r="AW2" s="193"/>
      <c r="AX2" s="193"/>
      <c r="AY2" s="193"/>
      <c r="AZ2" s="193"/>
      <c r="BA2" s="193"/>
      <c r="BB2" s="193"/>
      <c r="BC2" s="193"/>
      <c r="BD2" s="193"/>
      <c r="BE2" s="193"/>
    </row>
    <row r="3" spans="1:57" ht="20.100000000000001">
      <c r="A3" s="921" t="s">
        <v>185</v>
      </c>
      <c r="B3" s="921"/>
      <c r="C3" s="921"/>
      <c r="D3" s="921"/>
      <c r="E3" s="921"/>
      <c r="F3" s="921"/>
      <c r="G3" s="921"/>
      <c r="H3" s="193"/>
      <c r="I3" s="193"/>
      <c r="J3" s="193"/>
      <c r="K3" s="193"/>
      <c r="L3" s="193"/>
      <c r="M3" s="193"/>
      <c r="N3" s="193"/>
      <c r="O3" s="193"/>
      <c r="P3" s="193"/>
      <c r="Q3" s="193"/>
      <c r="R3" s="193"/>
      <c r="S3" s="193"/>
      <c r="T3" s="193"/>
      <c r="U3" s="193"/>
      <c r="V3" s="193"/>
      <c r="W3" s="193"/>
      <c r="X3" s="193"/>
      <c r="Y3" s="193"/>
      <c r="Z3" s="193"/>
      <c r="AA3" s="193"/>
      <c r="AB3" s="193"/>
      <c r="AC3" s="193"/>
      <c r="AD3" s="193"/>
      <c r="AE3" s="193"/>
      <c r="AF3" s="193"/>
      <c r="AG3" s="193"/>
      <c r="AH3" s="193"/>
      <c r="AI3" s="193"/>
      <c r="AJ3" s="193"/>
      <c r="AK3" s="193"/>
      <c r="AL3" s="193"/>
      <c r="AM3" s="193"/>
      <c r="AN3" s="193"/>
      <c r="AO3" s="193"/>
      <c r="AP3" s="193"/>
      <c r="AQ3" s="193"/>
      <c r="AR3" s="193"/>
      <c r="AS3" s="193"/>
      <c r="AT3" s="193"/>
      <c r="AU3" s="193"/>
      <c r="AV3" s="193"/>
      <c r="AW3" s="193"/>
      <c r="AX3" s="193"/>
      <c r="AY3" s="193"/>
      <c r="AZ3" s="193"/>
      <c r="BA3" s="193"/>
      <c r="BB3" s="193"/>
      <c r="BC3" s="193"/>
      <c r="BD3" s="193"/>
      <c r="BE3" s="193"/>
    </row>
    <row r="4" spans="1:57" ht="24" customHeight="1">
      <c r="A4" s="928" t="s">
        <v>186</v>
      </c>
      <c r="B4" s="928" t="s">
        <v>187</v>
      </c>
      <c r="C4" s="922" t="s">
        <v>188</v>
      </c>
      <c r="D4" s="923"/>
      <c r="E4" s="928" t="s">
        <v>189</v>
      </c>
      <c r="F4" s="939" t="s">
        <v>190</v>
      </c>
      <c r="G4" s="941" t="s">
        <v>191</v>
      </c>
    </row>
    <row r="5" spans="1:57" ht="29.25" customHeight="1">
      <c r="A5" s="929"/>
      <c r="B5" s="929"/>
      <c r="C5" s="194" t="s">
        <v>192</v>
      </c>
      <c r="D5" s="194" t="s">
        <v>193</v>
      </c>
      <c r="E5" s="929"/>
      <c r="F5" s="940"/>
      <c r="G5" s="942"/>
    </row>
    <row r="6" spans="1:57" ht="14.25" customHeight="1">
      <c r="A6" s="930">
        <v>1</v>
      </c>
      <c r="B6" s="934" t="s">
        <v>194</v>
      </c>
      <c r="C6" s="195"/>
      <c r="D6" s="195"/>
      <c r="E6" s="196"/>
      <c r="F6" s="197"/>
      <c r="G6" s="195"/>
      <c r="H6" s="192" t="s">
        <v>195</v>
      </c>
    </row>
    <row r="7" spans="1:57" ht="16.5" customHeight="1">
      <c r="A7" s="931"/>
      <c r="B7" s="935"/>
      <c r="C7" s="198"/>
      <c r="D7" s="198"/>
      <c r="E7" s="199"/>
      <c r="F7" s="200"/>
      <c r="G7" s="198"/>
      <c r="H7" s="192" t="s">
        <v>196</v>
      </c>
    </row>
    <row r="8" spans="1:57" ht="15.75" customHeight="1">
      <c r="A8" s="931"/>
      <c r="B8" s="935"/>
      <c r="C8" s="198"/>
      <c r="D8" s="198"/>
      <c r="E8" s="199"/>
      <c r="F8" s="200"/>
      <c r="G8" s="201"/>
      <c r="H8" s="192" t="s">
        <v>197</v>
      </c>
    </row>
    <row r="9" spans="1:57" ht="15.75" customHeight="1">
      <c r="A9" s="931"/>
      <c r="B9" s="935"/>
      <c r="C9" s="198"/>
      <c r="D9" s="198"/>
      <c r="E9" s="199"/>
      <c r="F9" s="200"/>
      <c r="G9" s="198"/>
      <c r="H9" s="192" t="s">
        <v>198</v>
      </c>
    </row>
    <row r="10" spans="1:57" ht="15.75" customHeight="1">
      <c r="A10" s="931"/>
      <c r="B10" s="935"/>
      <c r="C10" s="198"/>
      <c r="D10" s="198"/>
      <c r="E10" s="199"/>
      <c r="F10" s="200"/>
      <c r="G10" s="201"/>
      <c r="H10" s="192" t="s">
        <v>199</v>
      </c>
    </row>
    <row r="11" spans="1:57" ht="15.75" customHeight="1">
      <c r="A11" s="931"/>
      <c r="B11" s="935"/>
      <c r="C11" s="198"/>
      <c r="D11" s="198"/>
      <c r="E11" s="199"/>
      <c r="F11" s="200"/>
      <c r="G11" s="198"/>
      <c r="H11" s="192" t="s">
        <v>200</v>
      </c>
    </row>
    <row r="12" spans="1:57" ht="15.75" customHeight="1">
      <c r="A12" s="931"/>
      <c r="B12" s="935"/>
      <c r="C12" s="198"/>
      <c r="D12" s="198"/>
      <c r="E12" s="199"/>
      <c r="F12" s="200"/>
      <c r="G12" s="198"/>
      <c r="H12" s="192" t="s">
        <v>201</v>
      </c>
    </row>
    <row r="13" spans="1:57" ht="15.75" customHeight="1">
      <c r="A13" s="931"/>
      <c r="B13" s="935"/>
      <c r="C13" s="198"/>
      <c r="D13" s="198"/>
      <c r="E13" s="199"/>
      <c r="F13" s="200"/>
      <c r="G13" s="198"/>
      <c r="H13" s="192" t="s">
        <v>202</v>
      </c>
    </row>
    <row r="14" spans="1:57" ht="15.75" customHeight="1">
      <c r="A14" s="931"/>
      <c r="B14" s="935"/>
      <c r="C14" s="198"/>
      <c r="D14" s="198"/>
      <c r="E14" s="199"/>
      <c r="F14" s="200"/>
      <c r="G14" s="198"/>
      <c r="H14" s="192" t="s">
        <v>203</v>
      </c>
    </row>
    <row r="15" spans="1:57" ht="15.75" customHeight="1">
      <c r="A15" s="931"/>
      <c r="B15" s="935"/>
      <c r="C15" s="198"/>
      <c r="D15" s="198"/>
      <c r="E15" s="199"/>
      <c r="F15" s="200"/>
      <c r="G15" s="198"/>
      <c r="H15" s="192" t="s">
        <v>204</v>
      </c>
    </row>
    <row r="16" spans="1:57" ht="15.75" customHeight="1">
      <c r="A16" s="931"/>
      <c r="B16" s="935"/>
      <c r="C16" s="202"/>
      <c r="D16" s="198"/>
      <c r="E16" s="203"/>
      <c r="F16" s="200"/>
      <c r="G16" s="198"/>
      <c r="H16" s="192" t="s">
        <v>205</v>
      </c>
    </row>
    <row r="17" spans="1:8" ht="15.75" customHeight="1">
      <c r="A17" s="931"/>
      <c r="B17" s="935"/>
      <c r="C17" s="202"/>
      <c r="D17" s="198"/>
      <c r="E17" s="203"/>
      <c r="F17" s="200"/>
      <c r="G17" s="198"/>
      <c r="H17" s="192" t="s">
        <v>206</v>
      </c>
    </row>
    <row r="18" spans="1:8" ht="15.75" customHeight="1">
      <c r="A18" s="931"/>
      <c r="B18" s="935"/>
      <c r="C18" s="204"/>
      <c r="D18" s="205"/>
      <c r="E18" s="206"/>
      <c r="F18" s="207"/>
      <c r="G18" s="205"/>
    </row>
    <row r="19" spans="1:8" ht="15.75" customHeight="1">
      <c r="A19" s="931"/>
      <c r="B19" s="935"/>
      <c r="C19" s="204"/>
      <c r="D19" s="205"/>
      <c r="E19" s="206"/>
      <c r="F19" s="207"/>
      <c r="G19" s="205"/>
    </row>
    <row r="20" spans="1:8" ht="15.75" customHeight="1">
      <c r="A20" s="931"/>
      <c r="B20" s="935"/>
      <c r="C20" s="198"/>
      <c r="D20" s="198"/>
      <c r="E20" s="199"/>
      <c r="F20" s="200"/>
      <c r="G20" s="201"/>
    </row>
    <row r="21" spans="1:8" ht="15.75" customHeight="1">
      <c r="A21" s="931"/>
      <c r="B21" s="935"/>
      <c r="C21" s="198"/>
      <c r="D21" s="198"/>
      <c r="E21" s="199"/>
      <c r="F21" s="200"/>
      <c r="G21" s="198"/>
    </row>
    <row r="22" spans="1:8" ht="15.75" customHeight="1">
      <c r="A22" s="931"/>
      <c r="B22" s="935"/>
      <c r="C22" s="198"/>
      <c r="D22" s="198"/>
      <c r="E22" s="199"/>
      <c r="F22" s="200"/>
      <c r="G22" s="198"/>
    </row>
    <row r="23" spans="1:8" ht="15.75" customHeight="1">
      <c r="A23" s="931"/>
      <c r="B23" s="935"/>
      <c r="C23" s="198"/>
      <c r="D23" s="198"/>
      <c r="E23" s="199"/>
      <c r="F23" s="200"/>
      <c r="G23" s="198"/>
    </row>
    <row r="24" spans="1:8" ht="15.75" customHeight="1">
      <c r="A24" s="931"/>
      <c r="B24" s="935"/>
      <c r="C24" s="198"/>
      <c r="D24" s="198"/>
      <c r="E24" s="199"/>
      <c r="F24" s="200"/>
      <c r="G24" s="198"/>
    </row>
    <row r="25" spans="1:8" ht="15.75" customHeight="1">
      <c r="A25" s="931"/>
      <c r="B25" s="935"/>
      <c r="C25" s="198"/>
      <c r="D25" s="198"/>
      <c r="E25" s="199"/>
      <c r="F25" s="200"/>
      <c r="G25" s="198"/>
    </row>
    <row r="26" spans="1:8" ht="15.75" customHeight="1">
      <c r="A26" s="931"/>
      <c r="B26" s="935"/>
      <c r="C26" s="198"/>
      <c r="D26" s="198"/>
      <c r="E26" s="199"/>
      <c r="F26" s="200"/>
      <c r="G26" s="198"/>
    </row>
    <row r="27" spans="1:8" ht="15.75" customHeight="1">
      <c r="A27" s="931"/>
      <c r="B27" s="935"/>
      <c r="C27" s="204"/>
      <c r="D27" s="208"/>
      <c r="E27" s="206"/>
      <c r="F27" s="207"/>
      <c r="G27" s="205"/>
    </row>
    <row r="28" spans="1:8" ht="15" customHeight="1">
      <c r="A28" s="932"/>
      <c r="B28" s="936"/>
      <c r="C28" s="924" t="s">
        <v>207</v>
      </c>
      <c r="D28" s="925"/>
      <c r="E28" s="926"/>
      <c r="F28" s="209"/>
      <c r="G28" s="210">
        <f>SUM(G6:G26)</f>
        <v>0</v>
      </c>
    </row>
    <row r="29" spans="1:8" ht="15.75" customHeight="1">
      <c r="A29" s="931">
        <v>2</v>
      </c>
      <c r="B29" s="937" t="s">
        <v>208</v>
      </c>
      <c r="C29" s="211"/>
      <c r="D29" s="211"/>
      <c r="E29" s="212"/>
      <c r="F29" s="213"/>
      <c r="G29" s="211"/>
      <c r="H29" s="192" t="s">
        <v>209</v>
      </c>
    </row>
    <row r="30" spans="1:8" ht="15.75" customHeight="1">
      <c r="A30" s="931"/>
      <c r="B30" s="937"/>
      <c r="C30" s="198"/>
      <c r="D30" s="198"/>
      <c r="E30" s="199"/>
      <c r="F30" s="200"/>
      <c r="G30" s="198"/>
      <c r="H30" s="192" t="s">
        <v>210</v>
      </c>
    </row>
    <row r="31" spans="1:8">
      <c r="A31" s="931"/>
      <c r="B31" s="937"/>
      <c r="C31" s="198"/>
      <c r="D31" s="198"/>
      <c r="E31" s="199"/>
      <c r="F31" s="200"/>
      <c r="G31" s="198"/>
      <c r="H31" s="214" t="s">
        <v>211</v>
      </c>
    </row>
    <row r="32" spans="1:8">
      <c r="A32" s="931"/>
      <c r="B32" s="937"/>
      <c r="C32" s="198"/>
      <c r="D32" s="198"/>
      <c r="E32" s="199"/>
      <c r="F32" s="200"/>
      <c r="G32" s="198"/>
      <c r="H32" s="214" t="s">
        <v>212</v>
      </c>
    </row>
    <row r="33" spans="1:8">
      <c r="A33" s="931"/>
      <c r="B33" s="937"/>
      <c r="C33" s="198"/>
      <c r="D33" s="198"/>
      <c r="E33" s="199"/>
      <c r="F33" s="200"/>
      <c r="G33" s="198"/>
      <c r="H33" s="214" t="s">
        <v>213</v>
      </c>
    </row>
    <row r="34" spans="1:8">
      <c r="A34" s="931"/>
      <c r="B34" s="937"/>
      <c r="C34" s="198"/>
      <c r="D34" s="198"/>
      <c r="E34" s="199"/>
      <c r="F34" s="200"/>
      <c r="G34" s="201"/>
      <c r="H34" s="214" t="s">
        <v>214</v>
      </c>
    </row>
    <row r="35" spans="1:8">
      <c r="A35" s="931"/>
      <c r="B35" s="937"/>
      <c r="C35" s="204"/>
      <c r="D35" s="198"/>
      <c r="E35" s="206"/>
      <c r="F35" s="207"/>
      <c r="G35" s="215"/>
      <c r="H35" s="214"/>
    </row>
    <row r="36" spans="1:8">
      <c r="A36" s="931"/>
      <c r="B36" s="937"/>
      <c r="C36" s="204"/>
      <c r="D36" s="198"/>
      <c r="E36" s="206"/>
      <c r="F36" s="207"/>
      <c r="G36" s="215"/>
      <c r="H36" s="214"/>
    </row>
    <row r="37" spans="1:8">
      <c r="A37" s="931"/>
      <c r="B37" s="937"/>
      <c r="C37" s="204"/>
      <c r="D37" s="198"/>
      <c r="E37" s="206"/>
      <c r="F37" s="207"/>
      <c r="G37" s="215"/>
      <c r="H37" s="214"/>
    </row>
    <row r="38" spans="1:8">
      <c r="A38" s="931"/>
      <c r="B38" s="937"/>
      <c r="C38" s="198"/>
      <c r="D38" s="198"/>
      <c r="E38" s="199"/>
      <c r="F38" s="200"/>
      <c r="G38" s="201"/>
      <c r="H38" s="214"/>
    </row>
    <row r="39" spans="1:8">
      <c r="A39" s="931"/>
      <c r="B39" s="937"/>
      <c r="C39" s="198"/>
      <c r="D39" s="198"/>
      <c r="E39" s="199"/>
      <c r="F39" s="200"/>
      <c r="G39" s="201"/>
      <c r="H39" s="214"/>
    </row>
    <row r="40" spans="1:8" ht="15.2">
      <c r="A40" s="933"/>
      <c r="B40" s="938"/>
      <c r="C40" s="924" t="s">
        <v>207</v>
      </c>
      <c r="D40" s="925"/>
      <c r="E40" s="926"/>
      <c r="F40" s="216"/>
      <c r="G40" s="210">
        <f>SUM(G29:G39)</f>
        <v>0</v>
      </c>
    </row>
    <row r="41" spans="1:8" ht="15.2" hidden="1">
      <c r="A41" s="943" t="s">
        <v>215</v>
      </c>
      <c r="B41" s="944"/>
      <c r="C41" s="945" t="s">
        <v>216</v>
      </c>
      <c r="D41" s="945"/>
      <c r="E41" s="945"/>
      <c r="F41" s="945"/>
      <c r="G41" s="946"/>
    </row>
    <row r="42" spans="1:8" hidden="1">
      <c r="A42" s="931">
        <v>3</v>
      </c>
      <c r="B42" s="937" t="s">
        <v>217</v>
      </c>
      <c r="C42" s="211"/>
      <c r="D42" s="211"/>
      <c r="E42" s="212" t="s">
        <v>218</v>
      </c>
      <c r="F42" s="213">
        <v>21</v>
      </c>
      <c r="G42" s="211">
        <v>19.22</v>
      </c>
    </row>
    <row r="43" spans="1:8" hidden="1">
      <c r="A43" s="931"/>
      <c r="B43" s="937"/>
      <c r="C43" s="198"/>
      <c r="D43" s="198"/>
      <c r="E43" s="199" t="s">
        <v>219</v>
      </c>
      <c r="F43" s="200">
        <v>38</v>
      </c>
      <c r="G43" s="198">
        <v>2.5099999999999998</v>
      </c>
    </row>
    <row r="44" spans="1:8" hidden="1">
      <c r="A44" s="931"/>
      <c r="B44" s="937"/>
      <c r="C44" s="198"/>
      <c r="D44" s="198"/>
      <c r="E44" s="199" t="s">
        <v>220</v>
      </c>
      <c r="F44" s="200">
        <v>21</v>
      </c>
      <c r="G44" s="198">
        <v>217.78</v>
      </c>
    </row>
    <row r="45" spans="1:8" hidden="1">
      <c r="A45" s="931"/>
      <c r="B45" s="937"/>
      <c r="C45" s="198"/>
      <c r="D45" s="198"/>
      <c r="E45" s="199" t="s">
        <v>221</v>
      </c>
      <c r="F45" s="200"/>
      <c r="G45" s="198"/>
    </row>
    <row r="46" spans="1:8" hidden="1">
      <c r="A46" s="931"/>
      <c r="B46" s="937"/>
      <c r="C46" s="198"/>
      <c r="D46" s="198"/>
      <c r="E46" s="199" t="s">
        <v>222</v>
      </c>
      <c r="F46" s="200">
        <v>6</v>
      </c>
      <c r="G46" s="198">
        <v>4.9000000000000004</v>
      </c>
    </row>
    <row r="47" spans="1:8" hidden="1">
      <c r="A47" s="931"/>
      <c r="B47" s="937"/>
      <c r="C47" s="198"/>
      <c r="D47" s="198"/>
      <c r="E47" s="199" t="s">
        <v>41</v>
      </c>
      <c r="F47" s="200">
        <v>2</v>
      </c>
      <c r="G47" s="201">
        <v>0.47</v>
      </c>
    </row>
    <row r="48" spans="1:8" hidden="1">
      <c r="A48" s="931"/>
      <c r="B48" s="937"/>
      <c r="C48" s="204"/>
      <c r="D48" s="198"/>
      <c r="E48" s="206" t="s">
        <v>223</v>
      </c>
      <c r="F48" s="207"/>
      <c r="G48" s="215"/>
    </row>
    <row r="49" spans="1:7" hidden="1">
      <c r="A49" s="931"/>
      <c r="B49" s="937"/>
      <c r="C49" s="204"/>
      <c r="D49" s="198"/>
      <c r="E49" s="206" t="s">
        <v>42</v>
      </c>
      <c r="F49" s="207">
        <v>22</v>
      </c>
      <c r="G49" s="215">
        <v>7.88</v>
      </c>
    </row>
    <row r="50" spans="1:7" hidden="1">
      <c r="A50" s="931"/>
      <c r="B50" s="937"/>
      <c r="C50" s="204"/>
      <c r="D50" s="198"/>
      <c r="E50" s="206" t="s">
        <v>224</v>
      </c>
      <c r="F50" s="207">
        <v>4</v>
      </c>
      <c r="G50" s="215">
        <v>0.26</v>
      </c>
    </row>
    <row r="51" spans="1:7" hidden="1">
      <c r="A51" s="931"/>
      <c r="B51" s="937"/>
      <c r="C51" s="204"/>
      <c r="D51" s="198"/>
      <c r="E51" s="206" t="s">
        <v>225</v>
      </c>
      <c r="F51" s="207"/>
      <c r="G51" s="215"/>
    </row>
    <row r="52" spans="1:7" ht="15.2" hidden="1">
      <c r="A52" s="933"/>
      <c r="B52" s="938"/>
      <c r="C52" s="924" t="s">
        <v>207</v>
      </c>
      <c r="D52" s="925"/>
      <c r="E52" s="926"/>
      <c r="F52" s="216"/>
      <c r="G52" s="210">
        <f>SUM(G42:G51)</f>
        <v>253.02</v>
      </c>
    </row>
    <row r="53" spans="1:7" ht="15.2"/>
    <row r="54" spans="1:7">
      <c r="F54" s="947">
        <v>43878</v>
      </c>
      <c r="G54" s="947"/>
    </row>
    <row r="55" spans="1:7">
      <c r="F55" s="918" t="s">
        <v>226</v>
      </c>
      <c r="G55" s="919"/>
    </row>
    <row r="59" spans="1:7">
      <c r="F59" s="927" t="s">
        <v>227</v>
      </c>
      <c r="G59" s="927"/>
    </row>
  </sheetData>
  <autoFilter ref="A5:G52" xr:uid="{00000000-0009-0000-0000-000007000000}"/>
  <mergeCells count="22">
    <mergeCell ref="F59:G59"/>
    <mergeCell ref="A4:A5"/>
    <mergeCell ref="A6:A28"/>
    <mergeCell ref="A29:A40"/>
    <mergeCell ref="A42:A52"/>
    <mergeCell ref="B4:B5"/>
    <mergeCell ref="B6:B28"/>
    <mergeCell ref="B29:B40"/>
    <mergeCell ref="B42:B52"/>
    <mergeCell ref="E4:E5"/>
    <mergeCell ref="F4:F5"/>
    <mergeCell ref="G4:G5"/>
    <mergeCell ref="A41:B41"/>
    <mergeCell ref="C41:G41"/>
    <mergeCell ref="C52:E52"/>
    <mergeCell ref="F54:G54"/>
    <mergeCell ref="F55:G55"/>
    <mergeCell ref="A2:G2"/>
    <mergeCell ref="A3:G3"/>
    <mergeCell ref="C4:D4"/>
    <mergeCell ref="C28:E28"/>
    <mergeCell ref="C40:E40"/>
  </mergeCells>
  <pageMargins left="0.7" right="0.7" top="0.75" bottom="0.75" header="0.3" footer="0.3"/>
  <pageSetup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L201"/>
  <sheetViews>
    <sheetView topLeftCell="A7" zoomScale="80" zoomScaleNormal="80" workbookViewId="0">
      <pane xSplit="5" ySplit="2" topLeftCell="F177" activePane="bottomRight" state="frozen"/>
      <selection pane="bottomRight" activeCell="G27" sqref="G27"/>
      <selection pane="bottomLeft"/>
      <selection pane="topRight"/>
    </sheetView>
  </sheetViews>
  <sheetFormatPr defaultColWidth="9.25" defaultRowHeight="14.45"/>
  <cols>
    <col min="1" max="1" width="3.25" style="4" customWidth="1"/>
    <col min="2" max="2" width="5.25" style="4" customWidth="1"/>
    <col min="3" max="3" width="15.75" style="4" customWidth="1"/>
    <col min="4" max="4" width="40.5" style="4" customWidth="1"/>
    <col min="5" max="5" width="10.5" style="4" customWidth="1"/>
    <col min="6" max="6" width="9.25" style="4"/>
    <col min="7" max="7" width="28.25" style="4" customWidth="1"/>
    <col min="8" max="8" width="39.5" style="4" customWidth="1"/>
    <col min="9" max="9" width="40.5" style="4" customWidth="1"/>
    <col min="10" max="10" width="12.75" style="4" customWidth="1"/>
    <col min="11" max="11" width="8.5" style="5" customWidth="1"/>
    <col min="12" max="12" width="4" style="6" customWidth="1"/>
    <col min="13" max="14" width="3.25" style="4" customWidth="1"/>
    <col min="15" max="15" width="3.75" style="4" customWidth="1"/>
    <col min="16" max="17" width="3.25" style="4" customWidth="1"/>
    <col min="18" max="18" width="3.75" style="4" customWidth="1"/>
    <col min="19" max="20" width="3.25" style="4" customWidth="1"/>
    <col min="21" max="21" width="4" style="4" customWidth="1"/>
    <col min="22" max="25" width="5.25" style="4" customWidth="1"/>
    <col min="26" max="26" width="4.5" style="4" customWidth="1"/>
    <col min="27" max="28" width="4" style="4" customWidth="1"/>
    <col min="29" max="29" width="5" style="4" customWidth="1"/>
    <col min="30" max="34" width="4" style="4" customWidth="1"/>
    <col min="35" max="35" width="5" style="4" customWidth="1"/>
    <col min="36" max="45" width="3.5" style="4" customWidth="1"/>
    <col min="46" max="46" width="4.5" style="4" customWidth="1"/>
    <col min="47" max="51" width="3.5" style="4" customWidth="1"/>
    <col min="52" max="52" width="4" style="4" customWidth="1"/>
    <col min="53" max="59" width="3.5" style="4" customWidth="1"/>
    <col min="60" max="60" width="3.75" style="4" customWidth="1"/>
    <col min="61" max="63" width="14.5" style="4" hidden="1" customWidth="1"/>
    <col min="64" max="64" width="15.5" style="4" customWidth="1"/>
    <col min="65" max="65" width="10.75" style="6" customWidth="1"/>
    <col min="66" max="66" width="10.25" style="4" customWidth="1"/>
    <col min="67" max="67" width="42.75" style="4" customWidth="1"/>
    <col min="68" max="16384" width="9.25" style="4"/>
  </cols>
  <sheetData>
    <row r="1" spans="2:67" s="1" customFormat="1" ht="18">
      <c r="C1" s="7"/>
      <c r="D1" s="8"/>
      <c r="E1" s="9"/>
      <c r="F1" s="7"/>
      <c r="G1" s="9"/>
      <c r="H1" s="9"/>
      <c r="I1" s="7"/>
      <c r="J1" s="7"/>
      <c r="K1" s="40"/>
      <c r="L1" s="41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  <c r="AZ1" s="7"/>
      <c r="BA1" s="7"/>
      <c r="BB1" s="7"/>
      <c r="BC1" s="7"/>
      <c r="BD1" s="7"/>
      <c r="BE1" s="7"/>
      <c r="BF1" s="7"/>
      <c r="BG1" s="7"/>
      <c r="BH1" s="7"/>
      <c r="BI1" s="7"/>
      <c r="BJ1" s="7"/>
      <c r="BK1" s="7"/>
      <c r="BL1" s="7"/>
      <c r="BM1" s="41"/>
      <c r="BN1" s="7"/>
    </row>
    <row r="2" spans="2:67" s="1" customFormat="1">
      <c r="B2" s="988" t="s">
        <v>228</v>
      </c>
      <c r="C2" s="988"/>
      <c r="D2" s="988"/>
      <c r="E2" s="988"/>
      <c r="F2" s="988"/>
      <c r="G2" s="988"/>
      <c r="H2" s="988"/>
      <c r="I2" s="988"/>
      <c r="J2" s="988"/>
      <c r="K2" s="988"/>
      <c r="L2" s="988"/>
      <c r="M2" s="988"/>
      <c r="N2" s="988"/>
      <c r="O2" s="988"/>
      <c r="P2" s="988"/>
      <c r="Q2" s="988"/>
      <c r="R2" s="988"/>
      <c r="S2" s="988"/>
      <c r="T2" s="988"/>
      <c r="U2" s="988"/>
      <c r="V2" s="988"/>
      <c r="W2" s="988"/>
      <c r="X2" s="988"/>
      <c r="Y2" s="988"/>
      <c r="Z2" s="988"/>
      <c r="AA2" s="988"/>
      <c r="AB2" s="988"/>
      <c r="AC2" s="988"/>
      <c r="AD2" s="988"/>
      <c r="AE2" s="988"/>
      <c r="AF2" s="988"/>
      <c r="AG2" s="988"/>
      <c r="AH2" s="988"/>
      <c r="AI2" s="988"/>
      <c r="AJ2" s="988"/>
      <c r="AK2" s="988"/>
      <c r="AL2" s="988"/>
      <c r="AM2" s="988"/>
      <c r="AN2" s="988"/>
      <c r="AO2" s="988"/>
      <c r="AP2" s="988"/>
      <c r="AQ2" s="988"/>
      <c r="AR2" s="988"/>
      <c r="AS2" s="988"/>
      <c r="AT2" s="988"/>
      <c r="AU2" s="988"/>
      <c r="AV2" s="988"/>
      <c r="AW2" s="988"/>
      <c r="AX2" s="988"/>
      <c r="AY2" s="988"/>
      <c r="AZ2" s="988"/>
      <c r="BA2" s="988"/>
      <c r="BB2" s="988"/>
      <c r="BC2" s="988"/>
      <c r="BD2" s="988"/>
      <c r="BE2" s="988"/>
      <c r="BF2" s="988"/>
      <c r="BG2" s="988"/>
      <c r="BH2" s="988"/>
      <c r="BI2" s="988"/>
      <c r="BJ2" s="988"/>
      <c r="BK2" s="988"/>
      <c r="BL2" s="988"/>
      <c r="BM2" s="988"/>
      <c r="BN2" s="988"/>
      <c r="BO2" s="988"/>
    </row>
    <row r="3" spans="2:67" s="1" customFormat="1">
      <c r="B3" s="988"/>
      <c r="C3" s="988"/>
      <c r="D3" s="988"/>
      <c r="E3" s="988"/>
      <c r="F3" s="988"/>
      <c r="G3" s="988"/>
      <c r="H3" s="988"/>
      <c r="I3" s="988"/>
      <c r="J3" s="988"/>
      <c r="K3" s="988"/>
      <c r="L3" s="988"/>
      <c r="M3" s="988"/>
      <c r="N3" s="988"/>
      <c r="O3" s="988"/>
      <c r="P3" s="988"/>
      <c r="Q3" s="988"/>
      <c r="R3" s="988"/>
      <c r="S3" s="988"/>
      <c r="T3" s="988"/>
      <c r="U3" s="988"/>
      <c r="V3" s="988"/>
      <c r="W3" s="988"/>
      <c r="X3" s="988"/>
      <c r="Y3" s="988"/>
      <c r="Z3" s="988"/>
      <c r="AA3" s="988"/>
      <c r="AB3" s="988"/>
      <c r="AC3" s="988"/>
      <c r="AD3" s="988"/>
      <c r="AE3" s="988"/>
      <c r="AF3" s="988"/>
      <c r="AG3" s="988"/>
      <c r="AH3" s="988"/>
      <c r="AI3" s="988"/>
      <c r="AJ3" s="988"/>
      <c r="AK3" s="988"/>
      <c r="AL3" s="988"/>
      <c r="AM3" s="988"/>
      <c r="AN3" s="988"/>
      <c r="AO3" s="988"/>
      <c r="AP3" s="988"/>
      <c r="AQ3" s="988"/>
      <c r="AR3" s="988"/>
      <c r="AS3" s="988"/>
      <c r="AT3" s="988"/>
      <c r="AU3" s="988"/>
      <c r="AV3" s="988"/>
      <c r="AW3" s="988"/>
      <c r="AX3" s="988"/>
      <c r="AY3" s="988"/>
      <c r="AZ3" s="988"/>
      <c r="BA3" s="988"/>
      <c r="BB3" s="988"/>
      <c r="BC3" s="988"/>
      <c r="BD3" s="988"/>
      <c r="BE3" s="988"/>
      <c r="BF3" s="988"/>
      <c r="BG3" s="988"/>
      <c r="BH3" s="988"/>
      <c r="BI3" s="988"/>
      <c r="BJ3" s="988"/>
      <c r="BK3" s="988"/>
      <c r="BL3" s="988"/>
      <c r="BM3" s="988"/>
      <c r="BN3" s="988"/>
      <c r="BO3" s="988"/>
    </row>
    <row r="4" spans="2:67" s="1" customFormat="1" ht="15.6">
      <c r="B4" s="10"/>
      <c r="C4" s="948"/>
      <c r="D4" s="948"/>
      <c r="E4" s="948"/>
      <c r="F4" s="10"/>
      <c r="G4" s="10"/>
      <c r="H4" s="10"/>
      <c r="I4" s="10"/>
      <c r="J4" s="10"/>
      <c r="K4" s="42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0"/>
      <c r="BO4" s="10"/>
    </row>
    <row r="5" spans="2:67" s="1" customFormat="1">
      <c r="B5" s="949"/>
      <c r="C5" s="949"/>
      <c r="D5" s="949"/>
      <c r="E5" s="949"/>
      <c r="F5" s="949"/>
      <c r="G5" s="949"/>
      <c r="H5" s="949"/>
      <c r="I5" s="949"/>
      <c r="J5" s="949"/>
      <c r="K5" s="949"/>
      <c r="L5" s="949"/>
      <c r="M5" s="949"/>
      <c r="N5" s="949"/>
      <c r="O5" s="949"/>
      <c r="P5" s="949"/>
      <c r="Q5" s="949"/>
      <c r="R5" s="949"/>
      <c r="S5" s="949"/>
      <c r="T5" s="949"/>
      <c r="U5" s="949"/>
      <c r="V5" s="949"/>
      <c r="W5" s="949"/>
      <c r="X5" s="949"/>
      <c r="Y5" s="949"/>
      <c r="Z5" s="949"/>
      <c r="AA5" s="949"/>
      <c r="AB5" s="949"/>
      <c r="AC5" s="949"/>
      <c r="AD5" s="949"/>
      <c r="AE5" s="949"/>
      <c r="AF5" s="949"/>
      <c r="AG5" s="949"/>
      <c r="AH5" s="949"/>
      <c r="AI5" s="949"/>
      <c r="AJ5" s="949"/>
      <c r="AK5" s="949"/>
      <c r="AL5" s="949"/>
      <c r="AM5" s="949"/>
      <c r="AN5" s="949"/>
      <c r="AO5" s="949"/>
      <c r="AP5" s="949"/>
      <c r="AQ5" s="949"/>
      <c r="AR5" s="949"/>
      <c r="AS5" s="949"/>
      <c r="AT5" s="949"/>
      <c r="AU5" s="949"/>
      <c r="AV5" s="949"/>
      <c r="AW5" s="949"/>
      <c r="AX5" s="949"/>
      <c r="AY5" s="949"/>
      <c r="AZ5" s="949"/>
      <c r="BA5" s="949"/>
      <c r="BB5" s="949"/>
      <c r="BC5" s="949"/>
      <c r="BD5" s="949"/>
      <c r="BE5" s="949"/>
      <c r="BF5" s="949"/>
      <c r="BG5" s="949"/>
      <c r="BH5" s="949"/>
      <c r="BI5" s="949"/>
      <c r="BJ5" s="949"/>
      <c r="BK5" s="949"/>
      <c r="BL5" s="949"/>
      <c r="BM5" s="949"/>
      <c r="BN5" s="949"/>
      <c r="BO5" s="949"/>
    </row>
    <row r="6" spans="2:67" s="1" customFormat="1">
      <c r="B6" s="11"/>
      <c r="C6" s="11"/>
      <c r="D6" s="11"/>
      <c r="E6" s="11"/>
      <c r="F6" s="11"/>
      <c r="G6" s="11"/>
      <c r="H6" s="11"/>
      <c r="I6" s="11"/>
      <c r="J6" s="11"/>
      <c r="K6" s="43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11"/>
      <c r="AT6" s="11"/>
      <c r="AU6" s="11"/>
      <c r="AV6" s="11"/>
      <c r="AW6" s="11"/>
      <c r="AX6" s="11"/>
      <c r="AY6" s="11"/>
      <c r="AZ6" s="11"/>
      <c r="BA6" s="11"/>
      <c r="BB6" s="11"/>
      <c r="BC6" s="11"/>
      <c r="BD6" s="11"/>
      <c r="BE6" s="11"/>
      <c r="BF6" s="11"/>
      <c r="BG6" s="11"/>
      <c r="BH6" s="11"/>
      <c r="BI6" s="11"/>
      <c r="BJ6" s="11"/>
      <c r="BK6" s="11"/>
      <c r="BL6" s="11"/>
      <c r="BM6" s="11"/>
      <c r="BN6" s="11"/>
      <c r="BO6" s="11"/>
    </row>
    <row r="7" spans="2:67" s="2" customFormat="1" ht="26.25" customHeight="1">
      <c r="B7" s="953" t="s">
        <v>229</v>
      </c>
      <c r="C7" s="953" t="s">
        <v>230</v>
      </c>
      <c r="D7" s="953" t="s">
        <v>231</v>
      </c>
      <c r="E7" s="953" t="s">
        <v>232</v>
      </c>
      <c r="F7" s="953" t="s">
        <v>233</v>
      </c>
      <c r="G7" s="953" t="s">
        <v>234</v>
      </c>
      <c r="H7" s="953" t="s">
        <v>235</v>
      </c>
      <c r="I7" s="953" t="s">
        <v>236</v>
      </c>
      <c r="J7" s="953" t="s">
        <v>237</v>
      </c>
      <c r="K7" s="955" t="s">
        <v>59</v>
      </c>
      <c r="L7" s="953" t="s">
        <v>238</v>
      </c>
      <c r="M7" s="950" t="s">
        <v>239</v>
      </c>
      <c r="N7" s="951"/>
      <c r="O7" s="951"/>
      <c r="P7" s="952"/>
      <c r="Q7" s="950" t="s">
        <v>240</v>
      </c>
      <c r="R7" s="951"/>
      <c r="S7" s="951"/>
      <c r="T7" s="952"/>
      <c r="U7" s="950" t="s">
        <v>241</v>
      </c>
      <c r="V7" s="951"/>
      <c r="W7" s="951"/>
      <c r="X7" s="952"/>
      <c r="Y7" s="950" t="s">
        <v>242</v>
      </c>
      <c r="Z7" s="951"/>
      <c r="AA7" s="951"/>
      <c r="AB7" s="952"/>
      <c r="AC7" s="950" t="s">
        <v>243</v>
      </c>
      <c r="AD7" s="951"/>
      <c r="AE7" s="951"/>
      <c r="AF7" s="952"/>
      <c r="AG7" s="950" t="s">
        <v>244</v>
      </c>
      <c r="AH7" s="951"/>
      <c r="AI7" s="951"/>
      <c r="AJ7" s="952"/>
      <c r="AK7" s="950" t="s">
        <v>245</v>
      </c>
      <c r="AL7" s="951"/>
      <c r="AM7" s="951"/>
      <c r="AN7" s="952"/>
      <c r="AO7" s="950" t="s">
        <v>246</v>
      </c>
      <c r="AP7" s="951"/>
      <c r="AQ7" s="951"/>
      <c r="AR7" s="952"/>
      <c r="AS7" s="950" t="s">
        <v>247</v>
      </c>
      <c r="AT7" s="951"/>
      <c r="AU7" s="951"/>
      <c r="AV7" s="952"/>
      <c r="AW7" s="950" t="s">
        <v>248</v>
      </c>
      <c r="AX7" s="951"/>
      <c r="AY7" s="951"/>
      <c r="AZ7" s="952"/>
      <c r="BA7" s="950" t="s">
        <v>249</v>
      </c>
      <c r="BB7" s="951"/>
      <c r="BC7" s="951"/>
      <c r="BD7" s="952"/>
      <c r="BE7" s="950" t="s">
        <v>250</v>
      </c>
      <c r="BF7" s="951"/>
      <c r="BG7" s="951"/>
      <c r="BH7" s="952"/>
      <c r="BI7" s="44" t="s">
        <v>251</v>
      </c>
      <c r="BJ7" s="44" t="s">
        <v>252</v>
      </c>
      <c r="BK7" s="44" t="s">
        <v>253</v>
      </c>
      <c r="BL7" s="953" t="s">
        <v>254</v>
      </c>
      <c r="BM7" s="953" t="s">
        <v>255</v>
      </c>
      <c r="BN7" s="953" t="s">
        <v>256</v>
      </c>
      <c r="BO7" s="953" t="s">
        <v>26</v>
      </c>
    </row>
    <row r="8" spans="2:67" s="2" customFormat="1" ht="12.95">
      <c r="B8" s="954"/>
      <c r="C8" s="954"/>
      <c r="D8" s="954"/>
      <c r="E8" s="954"/>
      <c r="F8" s="954"/>
      <c r="G8" s="954"/>
      <c r="H8" s="954"/>
      <c r="I8" s="954"/>
      <c r="J8" s="954"/>
      <c r="K8" s="956"/>
      <c r="L8" s="954"/>
      <c r="M8" s="12">
        <v>1</v>
      </c>
      <c r="N8" s="12">
        <v>2</v>
      </c>
      <c r="O8" s="12">
        <v>3</v>
      </c>
      <c r="P8" s="12">
        <v>4</v>
      </c>
      <c r="Q8" s="12">
        <v>1</v>
      </c>
      <c r="R8" s="12">
        <v>2</v>
      </c>
      <c r="S8" s="12">
        <v>3</v>
      </c>
      <c r="T8" s="12">
        <v>4</v>
      </c>
      <c r="U8" s="12">
        <v>1</v>
      </c>
      <c r="V8" s="12">
        <v>2</v>
      </c>
      <c r="W8" s="12">
        <v>3</v>
      </c>
      <c r="X8" s="12">
        <v>4</v>
      </c>
      <c r="Y8" s="12">
        <v>1</v>
      </c>
      <c r="Z8" s="12">
        <v>2</v>
      </c>
      <c r="AA8" s="12">
        <v>3</v>
      </c>
      <c r="AB8" s="12">
        <v>4</v>
      </c>
      <c r="AC8" s="12">
        <v>1</v>
      </c>
      <c r="AD8" s="12">
        <v>2</v>
      </c>
      <c r="AE8" s="12">
        <v>3</v>
      </c>
      <c r="AF8" s="12">
        <v>4</v>
      </c>
      <c r="AG8" s="12">
        <v>1</v>
      </c>
      <c r="AH8" s="12">
        <v>2</v>
      </c>
      <c r="AI8" s="12">
        <v>3</v>
      </c>
      <c r="AJ8" s="12">
        <v>4</v>
      </c>
      <c r="AK8" s="12">
        <v>1</v>
      </c>
      <c r="AL8" s="12">
        <v>2</v>
      </c>
      <c r="AM8" s="12">
        <v>3</v>
      </c>
      <c r="AN8" s="12">
        <v>4</v>
      </c>
      <c r="AO8" s="12">
        <v>1</v>
      </c>
      <c r="AP8" s="12">
        <v>2</v>
      </c>
      <c r="AQ8" s="12">
        <v>3</v>
      </c>
      <c r="AR8" s="12">
        <v>4</v>
      </c>
      <c r="AS8" s="12">
        <v>1</v>
      </c>
      <c r="AT8" s="12">
        <v>2</v>
      </c>
      <c r="AU8" s="12">
        <v>3</v>
      </c>
      <c r="AV8" s="12">
        <v>4</v>
      </c>
      <c r="AW8" s="12">
        <v>1</v>
      </c>
      <c r="AX8" s="12">
        <v>2</v>
      </c>
      <c r="AY8" s="12">
        <v>3</v>
      </c>
      <c r="AZ8" s="12">
        <v>4</v>
      </c>
      <c r="BA8" s="12">
        <v>1</v>
      </c>
      <c r="BB8" s="12">
        <v>2</v>
      </c>
      <c r="BC8" s="12">
        <v>3</v>
      </c>
      <c r="BD8" s="12">
        <v>4</v>
      </c>
      <c r="BE8" s="12">
        <v>1</v>
      </c>
      <c r="BF8" s="12">
        <v>2</v>
      </c>
      <c r="BG8" s="12">
        <v>3</v>
      </c>
      <c r="BH8" s="12">
        <v>4</v>
      </c>
      <c r="BI8" s="12"/>
      <c r="BJ8" s="12"/>
      <c r="BK8" s="12"/>
      <c r="BL8" s="954"/>
      <c r="BM8" s="954"/>
      <c r="BN8" s="954"/>
      <c r="BO8" s="954"/>
    </row>
    <row r="9" spans="2:67" s="1" customFormat="1" ht="29.1">
      <c r="B9" s="980">
        <v>1</v>
      </c>
      <c r="C9" s="974" t="s">
        <v>257</v>
      </c>
      <c r="D9" s="13" t="s">
        <v>258</v>
      </c>
      <c r="E9" s="14">
        <v>43502</v>
      </c>
      <c r="F9" s="15"/>
      <c r="G9" s="16" t="s">
        <v>259</v>
      </c>
      <c r="H9" s="16" t="s">
        <v>260</v>
      </c>
      <c r="I9" s="16" t="s">
        <v>261</v>
      </c>
      <c r="J9" s="45">
        <v>43525</v>
      </c>
      <c r="K9" s="46">
        <v>1</v>
      </c>
      <c r="L9" s="47" t="s">
        <v>262</v>
      </c>
      <c r="M9" s="48"/>
      <c r="N9" s="48"/>
      <c r="O9" s="48"/>
      <c r="P9" s="48"/>
      <c r="Q9" s="48"/>
      <c r="R9" s="48"/>
      <c r="S9" s="48"/>
      <c r="T9" s="70"/>
      <c r="U9" s="71">
        <v>50</v>
      </c>
      <c r="V9" s="71">
        <v>50</v>
      </c>
      <c r="W9" s="48"/>
      <c r="X9" s="48"/>
      <c r="Y9" s="48"/>
      <c r="Z9" s="48"/>
      <c r="AA9" s="48"/>
      <c r="AB9" s="48"/>
      <c r="AC9" s="48"/>
      <c r="AD9" s="48"/>
      <c r="AE9" s="48"/>
      <c r="AF9" s="48"/>
      <c r="AG9" s="48"/>
      <c r="AH9" s="48"/>
      <c r="AI9" s="48"/>
      <c r="AJ9" s="48"/>
      <c r="AK9" s="48"/>
      <c r="AL9" s="48"/>
      <c r="AM9" s="48"/>
      <c r="AN9" s="48"/>
      <c r="AO9" s="48"/>
      <c r="AP9" s="48"/>
      <c r="AQ9" s="48"/>
      <c r="AR9" s="48"/>
      <c r="AS9" s="48"/>
      <c r="AT9" s="48"/>
      <c r="AU9" s="48"/>
      <c r="AV9" s="48"/>
      <c r="AW9" s="48"/>
      <c r="AX9" s="48"/>
      <c r="AY9" s="48"/>
      <c r="AZ9" s="48"/>
      <c r="BA9" s="48"/>
      <c r="BB9" s="48"/>
      <c r="BC9" s="48"/>
      <c r="BD9" s="48"/>
      <c r="BE9" s="48"/>
      <c r="BF9" s="48"/>
      <c r="BG9" s="48"/>
      <c r="BH9" s="48"/>
      <c r="BI9" s="48"/>
      <c r="BJ9" s="48"/>
      <c r="BK9" s="48"/>
      <c r="BL9" s="81"/>
      <c r="BM9" s="54">
        <v>2</v>
      </c>
      <c r="BN9" s="19" t="s">
        <v>263</v>
      </c>
      <c r="BO9" s="48"/>
    </row>
    <row r="10" spans="2:67" s="1" customFormat="1">
      <c r="B10" s="981"/>
      <c r="C10" s="975"/>
      <c r="D10" s="17"/>
      <c r="E10" s="18"/>
      <c r="F10" s="19"/>
      <c r="G10" s="20"/>
      <c r="H10" s="20"/>
      <c r="I10" s="20"/>
      <c r="J10" s="49"/>
      <c r="K10" s="50"/>
      <c r="L10" s="51" t="s">
        <v>264</v>
      </c>
      <c r="M10" s="19"/>
      <c r="N10" s="19"/>
      <c r="O10" s="19"/>
      <c r="P10" s="19"/>
      <c r="Q10" s="19"/>
      <c r="R10" s="19"/>
      <c r="S10" s="19"/>
      <c r="T10" s="19"/>
      <c r="U10" s="72"/>
      <c r="V10" s="73">
        <v>5</v>
      </c>
      <c r="W10" s="73">
        <v>5</v>
      </c>
      <c r="X10" s="73">
        <v>5</v>
      </c>
      <c r="Y10" s="73">
        <v>5</v>
      </c>
      <c r="Z10" s="73">
        <v>5</v>
      </c>
      <c r="AA10" s="73">
        <v>75</v>
      </c>
      <c r="AB10" s="19"/>
      <c r="AC10" s="19"/>
      <c r="AD10" s="19"/>
      <c r="AE10" s="19"/>
      <c r="AF10" s="19"/>
      <c r="AG10" s="19"/>
      <c r="AH10" s="19"/>
      <c r="AI10" s="19"/>
      <c r="AJ10" s="19"/>
      <c r="AK10" s="19"/>
      <c r="AL10" s="19"/>
      <c r="AM10" s="19"/>
      <c r="AN10" s="19"/>
      <c r="AO10" s="19"/>
      <c r="AP10" s="19"/>
      <c r="AQ10" s="19"/>
      <c r="AR10" s="19"/>
      <c r="AS10" s="19"/>
      <c r="AT10" s="19"/>
      <c r="AU10" s="19"/>
      <c r="AV10" s="19"/>
      <c r="AW10" s="19"/>
      <c r="AX10" s="19"/>
      <c r="AY10" s="19"/>
      <c r="AZ10" s="19"/>
      <c r="BA10" s="19"/>
      <c r="BB10" s="19"/>
      <c r="BC10" s="19"/>
      <c r="BD10" s="19"/>
      <c r="BE10" s="19"/>
      <c r="BF10" s="19"/>
      <c r="BG10" s="19"/>
      <c r="BH10" s="19"/>
      <c r="BI10" s="19"/>
      <c r="BJ10" s="19"/>
      <c r="BK10" s="19"/>
      <c r="BL10" s="82"/>
      <c r="BM10" s="93"/>
      <c r="BN10" s="19"/>
      <c r="BO10" s="19" t="s">
        <v>265</v>
      </c>
    </row>
    <row r="11" spans="2:67" s="1" customFormat="1">
      <c r="B11" s="980">
        <v>2</v>
      </c>
      <c r="C11" s="974" t="s">
        <v>266</v>
      </c>
      <c r="D11" s="13" t="s">
        <v>267</v>
      </c>
      <c r="E11" s="14">
        <v>43504</v>
      </c>
      <c r="F11" s="15"/>
      <c r="G11" s="16" t="s">
        <v>268</v>
      </c>
      <c r="H11" s="16" t="s">
        <v>269</v>
      </c>
      <c r="I11" s="16" t="s">
        <v>270</v>
      </c>
      <c r="J11" s="45">
        <v>43513</v>
      </c>
      <c r="K11" s="46">
        <v>1</v>
      </c>
      <c r="L11" s="47" t="s">
        <v>262</v>
      </c>
      <c r="M11" s="19"/>
      <c r="N11" s="19"/>
      <c r="O11" s="19"/>
      <c r="P11" s="19"/>
      <c r="Q11" s="72"/>
      <c r="R11" s="74">
        <v>100</v>
      </c>
      <c r="S11" s="19"/>
      <c r="T11" s="19"/>
      <c r="U11" s="19"/>
      <c r="V11" s="19"/>
      <c r="W11" s="19"/>
      <c r="X11" s="19"/>
      <c r="Y11" s="72"/>
      <c r="Z11" s="19"/>
      <c r="AA11" s="19"/>
      <c r="AB11" s="19"/>
      <c r="AC11" s="19"/>
      <c r="AD11" s="19"/>
      <c r="AE11" s="19"/>
      <c r="AF11" s="19"/>
      <c r="AG11" s="19"/>
      <c r="AH11" s="19"/>
      <c r="AI11" s="19"/>
      <c r="AJ11" s="19"/>
      <c r="AK11" s="19"/>
      <c r="AL11" s="19"/>
      <c r="AM11" s="19"/>
      <c r="AN11" s="19"/>
      <c r="AO11" s="19"/>
      <c r="AP11" s="19"/>
      <c r="AQ11" s="19"/>
      <c r="AR11" s="19"/>
      <c r="AS11" s="19"/>
      <c r="AT11" s="19"/>
      <c r="AU11" s="19"/>
      <c r="AV11" s="19"/>
      <c r="AW11" s="19"/>
      <c r="AX11" s="19"/>
      <c r="AY11" s="19"/>
      <c r="AZ11" s="19"/>
      <c r="BA11" s="19"/>
      <c r="BB11" s="19"/>
      <c r="BC11" s="19"/>
      <c r="BD11" s="19"/>
      <c r="BE11" s="19"/>
      <c r="BF11" s="19"/>
      <c r="BG11" s="19"/>
      <c r="BH11" s="19"/>
      <c r="BI11" s="19"/>
      <c r="BJ11" s="19"/>
      <c r="BK11" s="19"/>
      <c r="BL11" s="82"/>
      <c r="BM11" s="54">
        <v>2</v>
      </c>
      <c r="BN11" s="19" t="s">
        <v>263</v>
      </c>
      <c r="BO11" s="19" t="s">
        <v>271</v>
      </c>
    </row>
    <row r="12" spans="2:67" s="1" customFormat="1">
      <c r="B12" s="981"/>
      <c r="C12" s="975"/>
      <c r="D12" s="20"/>
      <c r="E12" s="18"/>
      <c r="F12" s="19"/>
      <c r="G12" s="20"/>
      <c r="H12" s="20"/>
      <c r="I12" s="20"/>
      <c r="J12" s="49"/>
      <c r="K12" s="50">
        <v>1</v>
      </c>
      <c r="L12" s="51" t="s">
        <v>264</v>
      </c>
      <c r="M12" s="19"/>
      <c r="N12" s="19"/>
      <c r="O12" s="19"/>
      <c r="P12" s="19"/>
      <c r="Q12" s="19"/>
      <c r="R12" s="23">
        <v>100</v>
      </c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19"/>
      <c r="AF12" s="19"/>
      <c r="AG12" s="19"/>
      <c r="AH12" s="19"/>
      <c r="AI12" s="19"/>
      <c r="AJ12" s="19"/>
      <c r="AK12" s="19"/>
      <c r="AL12" s="19"/>
      <c r="AM12" s="19"/>
      <c r="AN12" s="19"/>
      <c r="AO12" s="19"/>
      <c r="AP12" s="19"/>
      <c r="AQ12" s="19"/>
      <c r="AR12" s="19"/>
      <c r="AS12" s="19"/>
      <c r="AT12" s="19"/>
      <c r="AU12" s="19"/>
      <c r="AV12" s="19"/>
      <c r="AW12" s="19"/>
      <c r="AX12" s="19"/>
      <c r="AY12" s="19"/>
      <c r="AZ12" s="19"/>
      <c r="BA12" s="19"/>
      <c r="BB12" s="19"/>
      <c r="BC12" s="19"/>
      <c r="BD12" s="19"/>
      <c r="BE12" s="19"/>
      <c r="BF12" s="19"/>
      <c r="BG12" s="19"/>
      <c r="BH12" s="19"/>
      <c r="BI12" s="19"/>
      <c r="BJ12" s="19"/>
      <c r="BK12" s="19"/>
      <c r="BL12" s="82"/>
      <c r="BM12" s="93"/>
      <c r="BN12" s="19"/>
      <c r="BO12" s="19"/>
    </row>
    <row r="13" spans="2:67" s="1" customFormat="1">
      <c r="B13" s="980">
        <v>3</v>
      </c>
      <c r="C13" s="971" t="s">
        <v>272</v>
      </c>
      <c r="D13" s="21" t="s">
        <v>273</v>
      </c>
      <c r="E13" s="22">
        <v>43508</v>
      </c>
      <c r="F13" s="23"/>
      <c r="G13" s="24" t="s">
        <v>274</v>
      </c>
      <c r="H13" s="24"/>
      <c r="I13" s="24" t="s">
        <v>275</v>
      </c>
      <c r="J13" s="52">
        <v>43592</v>
      </c>
      <c r="K13" s="53">
        <v>1</v>
      </c>
      <c r="L13" s="54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19"/>
      <c r="AD13" s="19"/>
      <c r="AE13" s="19"/>
      <c r="AF13" s="19"/>
      <c r="AG13" s="19"/>
      <c r="AH13" s="19"/>
      <c r="AI13" s="19"/>
      <c r="AJ13" s="19"/>
      <c r="AK13" s="19"/>
      <c r="AL13" s="19"/>
      <c r="AM13" s="19"/>
      <c r="AN13" s="19"/>
      <c r="AO13" s="19"/>
      <c r="AP13" s="19"/>
      <c r="AQ13" s="19"/>
      <c r="AR13" s="19"/>
      <c r="AS13" s="19"/>
      <c r="AT13" s="19"/>
      <c r="AU13" s="19"/>
      <c r="AV13" s="19"/>
      <c r="AW13" s="19"/>
      <c r="AX13" s="19"/>
      <c r="AY13" s="19"/>
      <c r="AZ13" s="19"/>
      <c r="BA13" s="19"/>
      <c r="BB13" s="19"/>
      <c r="BC13" s="19"/>
      <c r="BD13" s="19"/>
      <c r="BE13" s="19"/>
      <c r="BF13" s="19"/>
      <c r="BG13" s="19"/>
      <c r="BH13" s="19"/>
      <c r="BI13" s="83" t="s">
        <v>276</v>
      </c>
      <c r="BJ13" s="84">
        <v>13593985</v>
      </c>
      <c r="BK13" s="84">
        <v>2388502</v>
      </c>
      <c r="BL13" s="85">
        <v>11500000</v>
      </c>
      <c r="BM13" s="54">
        <v>3</v>
      </c>
      <c r="BN13" s="19"/>
      <c r="BO13" s="94"/>
    </row>
    <row r="14" spans="2:67" s="1" customFormat="1">
      <c r="B14" s="982"/>
      <c r="C14" s="972"/>
      <c r="D14" s="25" t="s">
        <v>277</v>
      </c>
      <c r="E14" s="26"/>
      <c r="F14" s="27"/>
      <c r="G14" s="28"/>
      <c r="H14" s="28"/>
      <c r="I14" s="28"/>
      <c r="J14" s="55"/>
      <c r="K14" s="968">
        <v>0.6</v>
      </c>
      <c r="L14" s="47" t="s">
        <v>262</v>
      </c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79">
        <v>5</v>
      </c>
      <c r="Z14" s="79">
        <v>10</v>
      </c>
      <c r="AA14" s="79">
        <v>20</v>
      </c>
      <c r="AB14" s="79">
        <v>25</v>
      </c>
      <c r="AC14" s="19"/>
      <c r="AD14" s="19"/>
      <c r="AE14" s="19"/>
      <c r="AF14" s="19"/>
      <c r="AG14" s="19"/>
      <c r="AH14" s="19"/>
      <c r="AI14" s="19"/>
      <c r="AJ14" s="19"/>
      <c r="AK14" s="19"/>
      <c r="AL14" s="19"/>
      <c r="AM14" s="19"/>
      <c r="AN14" s="19"/>
      <c r="AO14" s="19"/>
      <c r="AP14" s="19"/>
      <c r="AQ14" s="19"/>
      <c r="AR14" s="19"/>
      <c r="AS14" s="19"/>
      <c r="AT14" s="19"/>
      <c r="AU14" s="19"/>
      <c r="AV14" s="19"/>
      <c r="AW14" s="19"/>
      <c r="AX14" s="19"/>
      <c r="AY14" s="19"/>
      <c r="AZ14" s="19"/>
      <c r="BA14" s="19"/>
      <c r="BB14" s="19"/>
      <c r="BC14" s="19"/>
      <c r="BD14" s="19"/>
      <c r="BE14" s="19"/>
      <c r="BF14" s="19"/>
      <c r="BG14" s="19"/>
      <c r="BH14" s="19"/>
      <c r="BI14" s="19"/>
      <c r="BJ14" s="19"/>
      <c r="BK14" s="19"/>
      <c r="BL14" s="82"/>
      <c r="BM14" s="93"/>
      <c r="BN14" s="19"/>
      <c r="BO14" s="19"/>
    </row>
    <row r="15" spans="2:67" s="1" customFormat="1">
      <c r="B15" s="982"/>
      <c r="C15" s="972"/>
      <c r="D15" s="29"/>
      <c r="E15" s="18"/>
      <c r="F15" s="19"/>
      <c r="G15" s="20"/>
      <c r="H15" s="20"/>
      <c r="I15" s="20"/>
      <c r="J15" s="56"/>
      <c r="K15" s="969"/>
      <c r="L15" s="54" t="s">
        <v>264</v>
      </c>
      <c r="M15" s="19"/>
      <c r="N15" s="19"/>
      <c r="O15" s="19"/>
      <c r="P15" s="19"/>
      <c r="Q15" s="19"/>
      <c r="R15" s="19"/>
      <c r="S15" s="19"/>
      <c r="T15" s="19"/>
      <c r="U15" s="19"/>
      <c r="V15" s="73">
        <v>5</v>
      </c>
      <c r="W15" s="73">
        <v>55</v>
      </c>
      <c r="X15" s="19"/>
      <c r="Y15" s="19"/>
      <c r="Z15" s="19"/>
      <c r="AA15" s="19"/>
      <c r="AB15" s="19"/>
      <c r="AC15" s="19"/>
      <c r="AD15" s="19"/>
      <c r="AE15" s="19"/>
      <c r="AF15" s="19"/>
      <c r="AG15" s="19"/>
      <c r="AH15" s="19"/>
      <c r="AI15" s="19"/>
      <c r="AJ15" s="19"/>
      <c r="AK15" s="19"/>
      <c r="AL15" s="19"/>
      <c r="AM15" s="19"/>
      <c r="AN15" s="19"/>
      <c r="AO15" s="19"/>
      <c r="AP15" s="19"/>
      <c r="AQ15" s="19"/>
      <c r="AR15" s="19"/>
      <c r="AS15" s="19"/>
      <c r="AT15" s="19"/>
      <c r="AU15" s="19"/>
      <c r="AV15" s="19"/>
      <c r="AW15" s="19"/>
      <c r="AX15" s="19"/>
      <c r="AY15" s="19"/>
      <c r="AZ15" s="19"/>
      <c r="BA15" s="19"/>
      <c r="BB15" s="19"/>
      <c r="BC15" s="19"/>
      <c r="BD15" s="19"/>
      <c r="BE15" s="19"/>
      <c r="BF15" s="19"/>
      <c r="BG15" s="19"/>
      <c r="BH15" s="19"/>
      <c r="BI15" s="19"/>
      <c r="BJ15" s="19"/>
      <c r="BK15" s="19"/>
      <c r="BL15" s="82"/>
      <c r="BM15" s="93"/>
      <c r="BN15" s="19" t="s">
        <v>263</v>
      </c>
      <c r="BO15" s="95" t="s">
        <v>278</v>
      </c>
    </row>
    <row r="16" spans="2:67" s="1" customFormat="1">
      <c r="B16" s="982"/>
      <c r="C16" s="972"/>
      <c r="D16" s="25" t="s">
        <v>279</v>
      </c>
      <c r="E16" s="26"/>
      <c r="F16" s="27"/>
      <c r="G16" s="28"/>
      <c r="H16" s="28"/>
      <c r="I16" s="28"/>
      <c r="J16" s="55"/>
      <c r="K16" s="968">
        <v>0.2</v>
      </c>
      <c r="L16" s="47" t="s">
        <v>262</v>
      </c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72"/>
      <c r="Z16" s="19"/>
      <c r="AA16" s="19"/>
      <c r="AB16" s="19"/>
      <c r="AC16" s="79">
        <v>20</v>
      </c>
      <c r="AD16" s="19"/>
      <c r="AE16" s="19"/>
      <c r="AF16" s="19"/>
      <c r="AG16" s="19"/>
      <c r="AH16" s="19"/>
      <c r="AI16" s="19"/>
      <c r="AJ16" s="19"/>
      <c r="AK16" s="19"/>
      <c r="AL16" s="19"/>
      <c r="AM16" s="19"/>
      <c r="AN16" s="19"/>
      <c r="AO16" s="19"/>
      <c r="AP16" s="19"/>
      <c r="AQ16" s="19"/>
      <c r="AR16" s="19"/>
      <c r="AS16" s="19"/>
      <c r="AT16" s="19"/>
      <c r="AU16" s="19"/>
      <c r="AV16" s="19"/>
      <c r="AW16" s="19"/>
      <c r="AX16" s="19"/>
      <c r="AY16" s="19"/>
      <c r="AZ16" s="19"/>
      <c r="BA16" s="19"/>
      <c r="BB16" s="19"/>
      <c r="BC16" s="19"/>
      <c r="BD16" s="19"/>
      <c r="BE16" s="19"/>
      <c r="BF16" s="19"/>
      <c r="BG16" s="19"/>
      <c r="BH16" s="19"/>
      <c r="BI16" s="19"/>
      <c r="BJ16" s="19"/>
      <c r="BK16" s="19"/>
      <c r="BL16" s="82"/>
      <c r="BM16" s="93"/>
      <c r="BN16" s="19"/>
      <c r="BO16" s="72"/>
    </row>
    <row r="17" spans="1:68" s="1" customFormat="1">
      <c r="B17" s="982"/>
      <c r="C17" s="972"/>
      <c r="D17" s="29"/>
      <c r="E17" s="18"/>
      <c r="F17" s="19"/>
      <c r="G17" s="20"/>
      <c r="H17" s="20"/>
      <c r="I17" s="20"/>
      <c r="J17" s="56"/>
      <c r="K17" s="969"/>
      <c r="L17" s="54" t="s">
        <v>264</v>
      </c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72"/>
      <c r="Z17" s="19"/>
      <c r="AA17" s="19"/>
      <c r="AB17" s="19"/>
      <c r="AC17" s="19"/>
      <c r="AD17" s="19"/>
      <c r="AE17" s="19"/>
      <c r="AF17" s="19"/>
      <c r="AG17" s="19"/>
      <c r="AH17" s="19"/>
      <c r="AI17" s="19"/>
      <c r="AJ17" s="19"/>
      <c r="AK17" s="19"/>
      <c r="AL17" s="19"/>
      <c r="AM17" s="19"/>
      <c r="AN17" s="19"/>
      <c r="AO17" s="19"/>
      <c r="AP17" s="19"/>
      <c r="AQ17" s="19"/>
      <c r="AR17" s="19"/>
      <c r="AS17" s="19"/>
      <c r="AT17" s="19"/>
      <c r="AU17" s="19"/>
      <c r="AV17" s="19"/>
      <c r="AW17" s="19"/>
      <c r="AX17" s="19"/>
      <c r="AY17" s="19"/>
      <c r="AZ17" s="19"/>
      <c r="BA17" s="19"/>
      <c r="BB17" s="19"/>
      <c r="BC17" s="19"/>
      <c r="BD17" s="19"/>
      <c r="BE17" s="19"/>
      <c r="BF17" s="19"/>
      <c r="BG17" s="19"/>
      <c r="BH17" s="19"/>
      <c r="BI17" s="19"/>
      <c r="BJ17" s="19"/>
      <c r="BK17" s="19"/>
      <c r="BL17" s="82"/>
      <c r="BM17" s="93"/>
      <c r="BN17" s="19"/>
      <c r="BO17" s="19"/>
    </row>
    <row r="18" spans="1:68" s="1" customFormat="1">
      <c r="B18" s="982"/>
      <c r="C18" s="972"/>
      <c r="D18" s="25" t="s">
        <v>280</v>
      </c>
      <c r="E18" s="26"/>
      <c r="F18" s="27"/>
      <c r="G18" s="28"/>
      <c r="H18" s="28"/>
      <c r="I18" s="28"/>
      <c r="J18" s="55"/>
      <c r="K18" s="968">
        <v>0.2</v>
      </c>
      <c r="L18" s="47" t="s">
        <v>262</v>
      </c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72"/>
      <c r="Z18" s="19"/>
      <c r="AA18" s="19"/>
      <c r="AB18" s="19"/>
      <c r="AC18" s="79">
        <v>20</v>
      </c>
      <c r="AD18" s="19"/>
      <c r="AE18" s="19"/>
      <c r="AF18" s="19"/>
      <c r="AG18" s="19"/>
      <c r="AH18" s="19"/>
      <c r="AI18" s="19"/>
      <c r="AJ18" s="19"/>
      <c r="AK18" s="19"/>
      <c r="AL18" s="19"/>
      <c r="AM18" s="19"/>
      <c r="AN18" s="19"/>
      <c r="AO18" s="19"/>
      <c r="AP18" s="19"/>
      <c r="AQ18" s="19"/>
      <c r="AR18" s="19"/>
      <c r="AS18" s="19"/>
      <c r="AT18" s="19"/>
      <c r="AU18" s="19"/>
      <c r="AV18" s="19"/>
      <c r="AW18" s="19"/>
      <c r="AX18" s="19"/>
      <c r="AY18" s="19"/>
      <c r="AZ18" s="19"/>
      <c r="BA18" s="19"/>
      <c r="BB18" s="19"/>
      <c r="BC18" s="19"/>
      <c r="BD18" s="19"/>
      <c r="BE18" s="19"/>
      <c r="BF18" s="19"/>
      <c r="BG18" s="19"/>
      <c r="BH18" s="19"/>
      <c r="BI18" s="19"/>
      <c r="BJ18" s="19"/>
      <c r="BK18" s="19"/>
      <c r="BL18" s="82"/>
      <c r="BM18" s="93"/>
      <c r="BN18" s="19"/>
      <c r="BO18" s="19"/>
    </row>
    <row r="19" spans="1:68" s="1" customFormat="1" ht="15.2">
      <c r="B19" s="982"/>
      <c r="C19" s="972"/>
      <c r="D19" s="29"/>
      <c r="E19" s="18"/>
      <c r="F19" s="19"/>
      <c r="G19" s="20"/>
      <c r="H19" s="20"/>
      <c r="I19" s="20"/>
      <c r="J19" s="57"/>
      <c r="K19" s="970"/>
      <c r="L19" s="54" t="s">
        <v>264</v>
      </c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19"/>
      <c r="AI19" s="19"/>
      <c r="AJ19" s="19"/>
      <c r="AK19" s="19"/>
      <c r="AL19" s="19"/>
      <c r="AM19" s="19"/>
      <c r="AN19" s="19"/>
      <c r="AO19" s="19"/>
      <c r="AP19" s="19"/>
      <c r="AQ19" s="19"/>
      <c r="AR19" s="19"/>
      <c r="AS19" s="19"/>
      <c r="AT19" s="19"/>
      <c r="AU19" s="19"/>
      <c r="AV19" s="19"/>
      <c r="AW19" s="19"/>
      <c r="AX19" s="19"/>
      <c r="AY19" s="19"/>
      <c r="AZ19" s="19"/>
      <c r="BA19" s="19"/>
      <c r="BB19" s="19"/>
      <c r="BC19" s="19"/>
      <c r="BD19" s="19"/>
      <c r="BE19" s="19"/>
      <c r="BF19" s="19"/>
      <c r="BG19" s="19"/>
      <c r="BH19" s="19"/>
      <c r="BI19" s="19"/>
      <c r="BJ19" s="19"/>
      <c r="BK19" s="19"/>
      <c r="BL19" s="82"/>
      <c r="BM19" s="93"/>
      <c r="BN19" s="19"/>
      <c r="BO19" s="19"/>
    </row>
    <row r="20" spans="1:68" s="3" customFormat="1" hidden="1">
      <c r="A20" s="30"/>
      <c r="B20" s="982"/>
      <c r="C20" s="972"/>
      <c r="D20" s="957" t="s">
        <v>281</v>
      </c>
      <c r="E20" s="958"/>
      <c r="F20" s="958"/>
      <c r="G20" s="958"/>
      <c r="H20" s="958"/>
      <c r="I20" s="958"/>
      <c r="J20" s="958"/>
      <c r="K20" s="959"/>
      <c r="L20" s="58"/>
      <c r="M20" s="59"/>
      <c r="N20" s="59"/>
      <c r="O20" s="59"/>
      <c r="P20" s="59"/>
      <c r="Q20" s="59"/>
      <c r="R20" s="59"/>
      <c r="S20" s="75"/>
      <c r="T20" s="75"/>
      <c r="U20" s="75"/>
      <c r="V20" s="75"/>
      <c r="W20" s="75"/>
      <c r="X20" s="75"/>
      <c r="Y20" s="75">
        <f>Y14+Y16+Y18</f>
        <v>5</v>
      </c>
      <c r="Z20" s="75">
        <f>Z14+Z16+Z18</f>
        <v>10</v>
      </c>
      <c r="AA20" s="75">
        <f>AA14+AA16+AA18</f>
        <v>20</v>
      </c>
      <c r="AB20" s="75">
        <f>AB14+AB16+AB18</f>
        <v>25</v>
      </c>
      <c r="AC20" s="75">
        <f>AC14+AC16+AC18</f>
        <v>40</v>
      </c>
      <c r="AD20" s="75"/>
      <c r="AE20" s="75"/>
      <c r="AF20" s="75"/>
      <c r="AG20" s="75"/>
      <c r="AH20" s="75"/>
      <c r="AI20" s="75"/>
      <c r="AJ20" s="75"/>
      <c r="AK20" s="75"/>
      <c r="AL20" s="75"/>
      <c r="AM20" s="59"/>
      <c r="AN20" s="59"/>
      <c r="AO20" s="59"/>
      <c r="AP20" s="59"/>
      <c r="AQ20" s="59"/>
      <c r="AR20" s="59"/>
      <c r="AS20" s="59"/>
      <c r="AT20" s="59"/>
      <c r="AU20" s="59"/>
      <c r="AV20" s="59"/>
      <c r="AW20" s="59"/>
      <c r="AX20" s="59"/>
      <c r="AY20" s="59"/>
      <c r="AZ20" s="59"/>
      <c r="BA20" s="59"/>
      <c r="BB20" s="59"/>
      <c r="BC20" s="59"/>
      <c r="BD20" s="59"/>
      <c r="BE20" s="59"/>
      <c r="BF20" s="59"/>
      <c r="BG20" s="59"/>
      <c r="BH20" s="59"/>
      <c r="BI20" s="59"/>
      <c r="BJ20" s="59"/>
      <c r="BK20" s="59"/>
      <c r="BL20" s="59"/>
      <c r="BM20" s="58"/>
      <c r="BN20" s="59"/>
      <c r="BO20" s="59"/>
    </row>
    <row r="21" spans="1:68" s="3" customFormat="1" hidden="1">
      <c r="A21" s="30"/>
      <c r="B21" s="982"/>
      <c r="C21" s="972"/>
      <c r="D21" s="31" t="s">
        <v>282</v>
      </c>
      <c r="E21" s="32"/>
      <c r="F21" s="32"/>
      <c r="G21" s="32"/>
      <c r="H21" s="32"/>
      <c r="I21" s="32"/>
      <c r="J21" s="32"/>
      <c r="K21" s="60"/>
      <c r="L21" s="61"/>
      <c r="M21" s="62"/>
      <c r="N21" s="62"/>
      <c r="O21" s="62"/>
      <c r="P21" s="62"/>
      <c r="Q21" s="62"/>
      <c r="R21" s="62"/>
      <c r="S21" s="76"/>
      <c r="T21" s="76"/>
      <c r="U21" s="76"/>
      <c r="V21" s="76"/>
      <c r="W21" s="76"/>
      <c r="X21" s="76"/>
      <c r="Y21" s="76">
        <f>X21+Y20</f>
        <v>5</v>
      </c>
      <c r="Z21" s="76">
        <f>Y21+Z20</f>
        <v>15</v>
      </c>
      <c r="AA21" s="76">
        <f>Z21+AA20</f>
        <v>35</v>
      </c>
      <c r="AB21" s="76">
        <f>AA21+AB20</f>
        <v>60</v>
      </c>
      <c r="AC21" s="76">
        <f>AB21+AC20</f>
        <v>100</v>
      </c>
      <c r="AD21" s="76"/>
      <c r="AE21" s="76"/>
      <c r="AF21" s="76"/>
      <c r="AG21" s="76"/>
      <c r="AH21" s="76"/>
      <c r="AI21" s="76"/>
      <c r="AJ21" s="76"/>
      <c r="AK21" s="76"/>
      <c r="AL21" s="76"/>
      <c r="AM21" s="62"/>
      <c r="AN21" s="62"/>
      <c r="AO21" s="62"/>
      <c r="AP21" s="62"/>
      <c r="AQ21" s="62"/>
      <c r="AR21" s="62"/>
      <c r="AS21" s="62"/>
      <c r="AT21" s="62"/>
      <c r="AU21" s="62"/>
      <c r="AV21" s="62"/>
      <c r="AW21" s="62"/>
      <c r="AX21" s="62"/>
      <c r="AY21" s="62"/>
      <c r="AZ21" s="62"/>
      <c r="BA21" s="62"/>
      <c r="BB21" s="62"/>
      <c r="BC21" s="62"/>
      <c r="BD21" s="62"/>
      <c r="BE21" s="62"/>
      <c r="BF21" s="62"/>
      <c r="BG21" s="62"/>
      <c r="BH21" s="62"/>
      <c r="BI21" s="62"/>
      <c r="BJ21" s="62"/>
      <c r="BK21" s="62"/>
      <c r="BL21" s="62"/>
      <c r="BM21" s="96"/>
      <c r="BN21" s="62"/>
      <c r="BO21" s="62"/>
    </row>
    <row r="22" spans="1:68" s="3" customFormat="1" hidden="1">
      <c r="A22" s="30"/>
      <c r="B22" s="982"/>
      <c r="C22" s="972"/>
      <c r="D22" s="960" t="s">
        <v>283</v>
      </c>
      <c r="E22" s="961"/>
      <c r="F22" s="961"/>
      <c r="G22" s="961"/>
      <c r="H22" s="961"/>
      <c r="I22" s="961"/>
      <c r="J22" s="961"/>
      <c r="K22" s="962"/>
      <c r="L22" s="61"/>
      <c r="M22" s="62"/>
      <c r="N22" s="62"/>
      <c r="O22" s="62"/>
      <c r="P22" s="62"/>
      <c r="Q22" s="62"/>
      <c r="R22" s="62"/>
      <c r="S22" s="76"/>
      <c r="T22" s="76"/>
      <c r="U22" s="76"/>
      <c r="V22" s="76"/>
      <c r="W22" s="76"/>
      <c r="X22" s="76"/>
      <c r="Y22" s="76">
        <f>Y15+Y17+Y19</f>
        <v>0</v>
      </c>
      <c r="Z22" s="76">
        <f>Z15+Z17+Z19</f>
        <v>0</v>
      </c>
      <c r="AA22" s="76">
        <f>AA15+AA17+AA19</f>
        <v>0</v>
      </c>
      <c r="AB22" s="76">
        <f>AB15+AB17+AB19</f>
        <v>0</v>
      </c>
      <c r="AC22" s="76">
        <f>AC15+AC17+AC19</f>
        <v>0</v>
      </c>
      <c r="AD22" s="76"/>
      <c r="AE22" s="76"/>
      <c r="AF22" s="76"/>
      <c r="AG22" s="76"/>
      <c r="AH22" s="76"/>
      <c r="AI22" s="76"/>
      <c r="AJ22" s="76"/>
      <c r="AK22" s="76"/>
      <c r="AL22" s="76"/>
      <c r="AM22" s="62"/>
      <c r="AN22" s="62"/>
      <c r="AO22" s="62"/>
      <c r="AP22" s="62"/>
      <c r="AQ22" s="62"/>
      <c r="AR22" s="62"/>
      <c r="AS22" s="62"/>
      <c r="AT22" s="62"/>
      <c r="AU22" s="62"/>
      <c r="AV22" s="62"/>
      <c r="AW22" s="62"/>
      <c r="AX22" s="62"/>
      <c r="AY22" s="62"/>
      <c r="AZ22" s="62"/>
      <c r="BA22" s="62"/>
      <c r="BB22" s="62"/>
      <c r="BC22" s="62"/>
      <c r="BD22" s="62"/>
      <c r="BE22" s="62"/>
      <c r="BF22" s="62"/>
      <c r="BG22" s="62"/>
      <c r="BH22" s="62"/>
      <c r="BI22" s="62"/>
      <c r="BJ22" s="62"/>
      <c r="BK22" s="62"/>
      <c r="BL22" s="62"/>
      <c r="BM22" s="96"/>
      <c r="BN22" s="62"/>
      <c r="BO22" s="62"/>
    </row>
    <row r="23" spans="1:68" s="3" customFormat="1" hidden="1">
      <c r="A23" s="30"/>
      <c r="B23" s="982"/>
      <c r="C23" s="972"/>
      <c r="D23" s="31" t="s">
        <v>284</v>
      </c>
      <c r="E23" s="32"/>
      <c r="F23" s="32"/>
      <c r="G23" s="32"/>
      <c r="H23" s="32"/>
      <c r="I23" s="32"/>
      <c r="J23" s="32"/>
      <c r="K23" s="60"/>
      <c r="L23" s="61"/>
      <c r="M23" s="62"/>
      <c r="N23" s="62"/>
      <c r="O23" s="62"/>
      <c r="P23" s="62"/>
      <c r="Q23" s="62"/>
      <c r="R23" s="62"/>
      <c r="S23" s="76"/>
      <c r="T23" s="76"/>
      <c r="U23" s="76"/>
      <c r="V23" s="76"/>
      <c r="W23" s="76"/>
      <c r="X23" s="76"/>
      <c r="Y23" s="76">
        <f>X23+Y22</f>
        <v>0</v>
      </c>
      <c r="Z23" s="76">
        <f>Y23+Z22</f>
        <v>0</v>
      </c>
      <c r="AA23" s="76">
        <f>Z23+AA22</f>
        <v>0</v>
      </c>
      <c r="AB23" s="76">
        <f>AA23+AB22</f>
        <v>0</v>
      </c>
      <c r="AC23" s="76">
        <f>AB23+AC22</f>
        <v>0</v>
      </c>
      <c r="AD23" s="76"/>
      <c r="AE23" s="76"/>
      <c r="AF23" s="76"/>
      <c r="AG23" s="76"/>
      <c r="AH23" s="76"/>
      <c r="AI23" s="76"/>
      <c r="AJ23" s="76"/>
      <c r="AK23" s="76"/>
      <c r="AL23" s="76"/>
      <c r="AM23" s="62"/>
      <c r="AN23" s="62"/>
      <c r="AO23" s="62"/>
      <c r="AP23" s="62"/>
      <c r="AQ23" s="62"/>
      <c r="AR23" s="62"/>
      <c r="AS23" s="62"/>
      <c r="AT23" s="62"/>
      <c r="AU23" s="62"/>
      <c r="AV23" s="62"/>
      <c r="AW23" s="62"/>
      <c r="AX23" s="62"/>
      <c r="AY23" s="62"/>
      <c r="AZ23" s="62"/>
      <c r="BA23" s="62"/>
      <c r="BB23" s="62"/>
      <c r="BC23" s="62"/>
      <c r="BD23" s="62"/>
      <c r="BE23" s="62"/>
      <c r="BF23" s="62"/>
      <c r="BG23" s="62"/>
      <c r="BH23" s="62"/>
      <c r="BI23" s="62"/>
      <c r="BJ23" s="62"/>
      <c r="BK23" s="62"/>
      <c r="BL23" s="62"/>
      <c r="BM23" s="96"/>
      <c r="BN23" s="62"/>
      <c r="BO23" s="62"/>
    </row>
    <row r="24" spans="1:68" s="3" customFormat="1" ht="15.2" hidden="1">
      <c r="A24" s="30"/>
      <c r="B24" s="981"/>
      <c r="C24" s="973"/>
      <c r="D24" s="963" t="s">
        <v>285</v>
      </c>
      <c r="E24" s="964"/>
      <c r="F24" s="964"/>
      <c r="G24" s="964"/>
      <c r="H24" s="964"/>
      <c r="I24" s="964"/>
      <c r="J24" s="964"/>
      <c r="K24" s="965"/>
      <c r="L24" s="63"/>
      <c r="M24" s="64"/>
      <c r="N24" s="64"/>
      <c r="O24" s="64"/>
      <c r="P24" s="64"/>
      <c r="Q24" s="64"/>
      <c r="R24" s="64"/>
      <c r="S24" s="77"/>
      <c r="T24" s="78"/>
      <c r="U24" s="78"/>
      <c r="V24" s="78"/>
      <c r="W24" s="78"/>
      <c r="X24" s="78"/>
      <c r="Y24" s="78">
        <f>Y23-Y21</f>
        <v>-5</v>
      </c>
      <c r="Z24" s="78">
        <f>Z23-Z21</f>
        <v>-15</v>
      </c>
      <c r="AA24" s="78">
        <f>AA23-AA21</f>
        <v>-35</v>
      </c>
      <c r="AB24" s="78">
        <f>AB23-AB21</f>
        <v>-60</v>
      </c>
      <c r="AC24" s="78">
        <f>AC23-AC21</f>
        <v>-100</v>
      </c>
      <c r="AD24" s="78"/>
      <c r="AE24" s="78"/>
      <c r="AF24" s="78"/>
      <c r="AG24" s="78"/>
      <c r="AH24" s="78"/>
      <c r="AI24" s="78"/>
      <c r="AJ24" s="78"/>
      <c r="AK24" s="78"/>
      <c r="AL24" s="78"/>
      <c r="AM24" s="64"/>
      <c r="AN24" s="64"/>
      <c r="AO24" s="64"/>
      <c r="AP24" s="64"/>
      <c r="AQ24" s="64"/>
      <c r="AR24" s="64"/>
      <c r="AS24" s="64"/>
      <c r="AT24" s="64"/>
      <c r="AU24" s="64"/>
      <c r="AV24" s="64"/>
      <c r="AW24" s="64"/>
      <c r="AX24" s="64"/>
      <c r="AY24" s="64"/>
      <c r="AZ24" s="64"/>
      <c r="BA24" s="64"/>
      <c r="BB24" s="64"/>
      <c r="BC24" s="64"/>
      <c r="BD24" s="64"/>
      <c r="BE24" s="64"/>
      <c r="BF24" s="64"/>
      <c r="BG24" s="64"/>
      <c r="BH24" s="64"/>
      <c r="BI24" s="64"/>
      <c r="BJ24" s="64"/>
      <c r="BK24" s="64"/>
      <c r="BL24" s="64"/>
      <c r="BM24" s="97"/>
      <c r="BN24" s="64"/>
      <c r="BO24" s="64"/>
      <c r="BP24" s="98"/>
    </row>
    <row r="25" spans="1:68" s="1" customFormat="1">
      <c r="B25" s="980">
        <v>4</v>
      </c>
      <c r="C25" s="971" t="s">
        <v>286</v>
      </c>
      <c r="D25" s="21" t="s">
        <v>287</v>
      </c>
      <c r="E25" s="22">
        <v>43506</v>
      </c>
      <c r="F25" s="23"/>
      <c r="G25" s="24" t="s">
        <v>288</v>
      </c>
      <c r="H25" s="24" t="s">
        <v>289</v>
      </c>
      <c r="I25" s="24" t="s">
        <v>290</v>
      </c>
      <c r="J25" s="65">
        <v>43562</v>
      </c>
      <c r="K25" s="66">
        <v>1</v>
      </c>
      <c r="L25" s="54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  <c r="AA25" s="19"/>
      <c r="AB25" s="19"/>
      <c r="AC25" s="19"/>
      <c r="AD25" s="19"/>
      <c r="AE25" s="19"/>
      <c r="AF25" s="19"/>
      <c r="AG25" s="19"/>
      <c r="AH25" s="19"/>
      <c r="AI25" s="19"/>
      <c r="AJ25" s="19"/>
      <c r="AK25" s="19"/>
      <c r="AL25" s="19"/>
      <c r="AM25" s="19"/>
      <c r="AN25" s="19"/>
      <c r="AO25" s="19"/>
      <c r="AP25" s="19"/>
      <c r="AQ25" s="19"/>
      <c r="AR25" s="19"/>
      <c r="AS25" s="19"/>
      <c r="AT25" s="19"/>
      <c r="AU25" s="19"/>
      <c r="AV25" s="19"/>
      <c r="AW25" s="19"/>
      <c r="AX25" s="19"/>
      <c r="AY25" s="19"/>
      <c r="AZ25" s="19"/>
      <c r="BA25" s="19"/>
      <c r="BB25" s="19"/>
      <c r="BC25" s="19"/>
      <c r="BD25" s="19"/>
      <c r="BE25" s="19"/>
      <c r="BF25" s="19"/>
      <c r="BG25" s="19"/>
      <c r="BH25" s="19"/>
      <c r="BI25" s="19"/>
      <c r="BJ25" s="19"/>
      <c r="BK25" s="19"/>
      <c r="BL25" s="82"/>
      <c r="BM25" s="54">
        <v>2</v>
      </c>
      <c r="BN25" s="19" t="s">
        <v>263</v>
      </c>
      <c r="BO25" s="19"/>
    </row>
    <row r="26" spans="1:68" s="1" customFormat="1">
      <c r="B26" s="982"/>
      <c r="C26" s="972"/>
      <c r="D26" s="25" t="s">
        <v>291</v>
      </c>
      <c r="E26" s="26"/>
      <c r="F26" s="27"/>
      <c r="G26" s="28"/>
      <c r="H26" s="28"/>
      <c r="I26" s="28"/>
      <c r="J26" s="67"/>
      <c r="K26" s="968">
        <v>0.6</v>
      </c>
      <c r="L26" s="47" t="s">
        <v>262</v>
      </c>
      <c r="M26" s="19"/>
      <c r="N26" s="19"/>
      <c r="O26" s="19"/>
      <c r="P26" s="19"/>
      <c r="Q26" s="19"/>
      <c r="R26" s="19"/>
      <c r="S26" s="19"/>
      <c r="T26" s="19"/>
      <c r="U26" s="79">
        <v>5</v>
      </c>
      <c r="V26" s="79">
        <v>10</v>
      </c>
      <c r="W26" s="79">
        <v>20</v>
      </c>
      <c r="X26" s="79">
        <v>25</v>
      </c>
      <c r="Y26" s="72"/>
      <c r="Z26" s="19"/>
      <c r="AA26" s="19"/>
      <c r="AB26" s="19"/>
      <c r="AC26" s="19"/>
      <c r="AD26" s="19"/>
      <c r="AE26" s="19"/>
      <c r="AF26" s="19"/>
      <c r="AG26" s="19"/>
      <c r="AH26" s="19"/>
      <c r="AI26" s="19"/>
      <c r="AJ26" s="19"/>
      <c r="AK26" s="19"/>
      <c r="AL26" s="19"/>
      <c r="AM26" s="19"/>
      <c r="AN26" s="19"/>
      <c r="AO26" s="19"/>
      <c r="AP26" s="19"/>
      <c r="AQ26" s="19"/>
      <c r="AR26" s="19"/>
      <c r="AS26" s="19"/>
      <c r="AT26" s="19"/>
      <c r="AU26" s="19"/>
      <c r="AV26" s="19"/>
      <c r="AW26" s="19"/>
      <c r="AX26" s="19"/>
      <c r="AY26" s="19"/>
      <c r="AZ26" s="19"/>
      <c r="BA26" s="19"/>
      <c r="BB26" s="19"/>
      <c r="BC26" s="19"/>
      <c r="BD26" s="19"/>
      <c r="BE26" s="19"/>
      <c r="BF26" s="19"/>
      <c r="BG26" s="19"/>
      <c r="BH26" s="19"/>
      <c r="BI26" s="19"/>
      <c r="BJ26" s="19"/>
      <c r="BK26" s="19"/>
      <c r="BL26" s="82"/>
      <c r="BM26" s="93"/>
      <c r="BN26" s="19"/>
      <c r="BO26" s="72"/>
    </row>
    <row r="27" spans="1:68" s="1" customFormat="1" ht="43.5">
      <c r="B27" s="982"/>
      <c r="C27" s="972"/>
      <c r="D27" s="29"/>
      <c r="E27" s="18"/>
      <c r="F27" s="19"/>
      <c r="G27" s="20"/>
      <c r="H27" s="20"/>
      <c r="I27" s="20"/>
      <c r="J27" s="57"/>
      <c r="K27" s="969"/>
      <c r="L27" s="54" t="s">
        <v>264</v>
      </c>
      <c r="M27" s="19"/>
      <c r="N27" s="19"/>
      <c r="O27" s="19"/>
      <c r="P27" s="19"/>
      <c r="Q27" s="19"/>
      <c r="R27" s="19"/>
      <c r="S27" s="19"/>
      <c r="T27" s="19"/>
      <c r="U27" s="73">
        <v>5</v>
      </c>
      <c r="V27" s="73">
        <v>10</v>
      </c>
      <c r="W27" s="73">
        <v>5</v>
      </c>
      <c r="X27" s="73">
        <v>5</v>
      </c>
      <c r="Y27" s="73">
        <v>5</v>
      </c>
      <c r="Z27" s="73">
        <v>30</v>
      </c>
      <c r="AA27" s="19"/>
      <c r="AB27" s="19"/>
      <c r="AC27" s="19"/>
      <c r="AD27" s="19"/>
      <c r="AE27" s="19"/>
      <c r="AF27" s="19"/>
      <c r="AG27" s="19"/>
      <c r="AH27" s="19"/>
      <c r="AI27" s="19"/>
      <c r="AJ27" s="19"/>
      <c r="AK27" s="19"/>
      <c r="AL27" s="19"/>
      <c r="AM27" s="19"/>
      <c r="AN27" s="19"/>
      <c r="AO27" s="19"/>
      <c r="AP27" s="19"/>
      <c r="AQ27" s="19"/>
      <c r="AR27" s="19"/>
      <c r="AS27" s="19"/>
      <c r="AT27" s="19"/>
      <c r="AU27" s="19"/>
      <c r="AV27" s="19"/>
      <c r="AW27" s="19"/>
      <c r="AX27" s="19"/>
      <c r="AY27" s="19"/>
      <c r="AZ27" s="19"/>
      <c r="BA27" s="19"/>
      <c r="BB27" s="19"/>
      <c r="BC27" s="19"/>
      <c r="BD27" s="19"/>
      <c r="BE27" s="19"/>
      <c r="BF27" s="19"/>
      <c r="BG27" s="19"/>
      <c r="BH27" s="19"/>
      <c r="BI27" s="19"/>
      <c r="BJ27" s="19"/>
      <c r="BK27" s="19"/>
      <c r="BL27" s="82"/>
      <c r="BM27" s="93"/>
      <c r="BN27" s="19"/>
      <c r="BO27" s="20" t="s">
        <v>292</v>
      </c>
    </row>
    <row r="28" spans="1:68" s="1" customFormat="1">
      <c r="B28" s="982"/>
      <c r="C28" s="972"/>
      <c r="D28" s="25" t="s">
        <v>293</v>
      </c>
      <c r="E28" s="26"/>
      <c r="F28" s="27"/>
      <c r="G28" s="28"/>
      <c r="H28" s="28"/>
      <c r="I28" s="28"/>
      <c r="J28" s="67"/>
      <c r="K28" s="968">
        <v>0.4</v>
      </c>
      <c r="L28" s="47" t="s">
        <v>262</v>
      </c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72"/>
      <c r="Y28" s="79">
        <v>40</v>
      </c>
      <c r="Z28" s="19"/>
      <c r="AA28" s="19"/>
      <c r="AB28" s="19"/>
      <c r="AC28" s="19"/>
      <c r="AD28" s="19"/>
      <c r="AE28" s="19"/>
      <c r="AF28" s="19"/>
      <c r="AG28" s="19"/>
      <c r="AH28" s="19"/>
      <c r="AI28" s="19"/>
      <c r="AJ28" s="19"/>
      <c r="AK28" s="19"/>
      <c r="AL28" s="19"/>
      <c r="AM28" s="19"/>
      <c r="AN28" s="19"/>
      <c r="AO28" s="19"/>
      <c r="AP28" s="19"/>
      <c r="AQ28" s="19"/>
      <c r="AR28" s="19"/>
      <c r="AS28" s="19"/>
      <c r="AT28" s="19"/>
      <c r="AU28" s="19"/>
      <c r="AV28" s="19"/>
      <c r="AW28" s="19"/>
      <c r="AX28" s="19"/>
      <c r="AY28" s="19"/>
      <c r="AZ28" s="19"/>
      <c r="BA28" s="19"/>
      <c r="BB28" s="19"/>
      <c r="BC28" s="19"/>
      <c r="BD28" s="19"/>
      <c r="BE28" s="19"/>
      <c r="BF28" s="19"/>
      <c r="BG28" s="19"/>
      <c r="BH28" s="19"/>
      <c r="BI28" s="19"/>
      <c r="BJ28" s="19"/>
      <c r="BK28" s="19"/>
      <c r="BL28" s="82"/>
      <c r="BM28" s="93"/>
      <c r="BN28" s="19"/>
      <c r="BO28" s="99"/>
    </row>
    <row r="29" spans="1:68" s="1" customFormat="1" ht="15.2">
      <c r="B29" s="982"/>
      <c r="C29" s="972"/>
      <c r="D29" s="29"/>
      <c r="E29" s="18"/>
      <c r="F29" s="19"/>
      <c r="G29" s="20"/>
      <c r="H29" s="20"/>
      <c r="I29" s="20"/>
      <c r="J29" s="57"/>
      <c r="K29" s="970"/>
      <c r="L29" s="54" t="s">
        <v>264</v>
      </c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80"/>
      <c r="AA29" s="73">
        <v>5</v>
      </c>
      <c r="AB29" s="23">
        <v>35</v>
      </c>
      <c r="AC29" s="19"/>
      <c r="AD29" s="19"/>
      <c r="AE29" s="19"/>
      <c r="AF29" s="19"/>
      <c r="AG29" s="19"/>
      <c r="AH29" s="19"/>
      <c r="AI29" s="19"/>
      <c r="AJ29" s="19"/>
      <c r="AK29" s="19"/>
      <c r="AL29" s="19"/>
      <c r="AM29" s="19"/>
      <c r="AN29" s="19"/>
      <c r="AO29" s="19"/>
      <c r="AP29" s="19"/>
      <c r="AQ29" s="19"/>
      <c r="AR29" s="19"/>
      <c r="AS29" s="19"/>
      <c r="AT29" s="19"/>
      <c r="AU29" s="19"/>
      <c r="AV29" s="19"/>
      <c r="AW29" s="19"/>
      <c r="AX29" s="19"/>
      <c r="AY29" s="19"/>
      <c r="AZ29" s="19"/>
      <c r="BA29" s="19"/>
      <c r="BB29" s="19"/>
      <c r="BC29" s="19"/>
      <c r="BD29" s="19"/>
      <c r="BE29" s="19"/>
      <c r="BF29" s="19"/>
      <c r="BG29" s="19"/>
      <c r="BH29" s="19"/>
      <c r="BI29" s="19"/>
      <c r="BJ29" s="19"/>
      <c r="BK29" s="19"/>
      <c r="BL29" s="82"/>
      <c r="BM29" s="93"/>
      <c r="BN29" s="19"/>
      <c r="BO29" s="19" t="s">
        <v>294</v>
      </c>
    </row>
    <row r="30" spans="1:68" s="3" customFormat="1" hidden="1">
      <c r="A30" s="30"/>
      <c r="B30" s="982"/>
      <c r="C30" s="972"/>
      <c r="D30" s="957" t="s">
        <v>281</v>
      </c>
      <c r="E30" s="958"/>
      <c r="F30" s="958"/>
      <c r="G30" s="958"/>
      <c r="H30" s="958"/>
      <c r="I30" s="958"/>
      <c r="J30" s="958"/>
      <c r="K30" s="959"/>
      <c r="L30" s="58"/>
      <c r="M30" s="59"/>
      <c r="N30" s="59"/>
      <c r="O30" s="59"/>
      <c r="P30" s="59"/>
      <c r="Q30" s="59"/>
      <c r="R30" s="59"/>
      <c r="S30" s="75"/>
      <c r="T30" s="75"/>
      <c r="U30" s="75">
        <f>U26+U28</f>
        <v>5</v>
      </c>
      <c r="V30" s="75">
        <f>V26+V28</f>
        <v>10</v>
      </c>
      <c r="W30" s="75">
        <f>W26+W28</f>
        <v>20</v>
      </c>
      <c r="X30" s="75">
        <f>X26+X28</f>
        <v>25</v>
      </c>
      <c r="Y30" s="75">
        <f>Y26+Y28</f>
        <v>40</v>
      </c>
      <c r="Z30" s="75"/>
      <c r="AA30" s="75"/>
      <c r="AB30" s="75"/>
      <c r="AC30" s="75"/>
      <c r="AD30" s="75"/>
      <c r="AE30" s="75"/>
      <c r="AF30" s="75"/>
      <c r="AG30" s="75"/>
      <c r="AH30" s="75"/>
      <c r="AI30" s="75"/>
      <c r="AJ30" s="75"/>
      <c r="AK30" s="75"/>
      <c r="AL30" s="75"/>
      <c r="AM30" s="59"/>
      <c r="AN30" s="59"/>
      <c r="AO30" s="59"/>
      <c r="AP30" s="59"/>
      <c r="AQ30" s="59"/>
      <c r="AR30" s="59"/>
      <c r="AS30" s="59"/>
      <c r="AT30" s="59"/>
      <c r="AU30" s="59"/>
      <c r="AV30" s="59"/>
      <c r="AW30" s="59"/>
      <c r="AX30" s="59"/>
      <c r="AY30" s="59"/>
      <c r="AZ30" s="59"/>
      <c r="BA30" s="59"/>
      <c r="BB30" s="59"/>
      <c r="BC30" s="59"/>
      <c r="BD30" s="59"/>
      <c r="BE30" s="59"/>
      <c r="BF30" s="59"/>
      <c r="BG30" s="59"/>
      <c r="BH30" s="59"/>
      <c r="BI30" s="59"/>
      <c r="BJ30" s="59"/>
      <c r="BK30" s="59"/>
      <c r="BL30" s="59"/>
      <c r="BM30" s="58"/>
      <c r="BN30" s="59"/>
      <c r="BO30" s="59"/>
    </row>
    <row r="31" spans="1:68" s="3" customFormat="1" hidden="1">
      <c r="A31" s="30"/>
      <c r="B31" s="982"/>
      <c r="C31" s="972"/>
      <c r="D31" s="31" t="s">
        <v>282</v>
      </c>
      <c r="E31" s="32"/>
      <c r="F31" s="32"/>
      <c r="G31" s="32"/>
      <c r="H31" s="32"/>
      <c r="I31" s="32"/>
      <c r="J31" s="32"/>
      <c r="K31" s="60"/>
      <c r="L31" s="61"/>
      <c r="M31" s="62"/>
      <c r="N31" s="62"/>
      <c r="O31" s="62"/>
      <c r="P31" s="62"/>
      <c r="Q31" s="62"/>
      <c r="R31" s="62"/>
      <c r="S31" s="76"/>
      <c r="T31" s="76"/>
      <c r="U31" s="76">
        <f>T31+U30</f>
        <v>5</v>
      </c>
      <c r="V31" s="76">
        <f>U31+V30</f>
        <v>15</v>
      </c>
      <c r="W31" s="76">
        <f>V31+W30</f>
        <v>35</v>
      </c>
      <c r="X31" s="76">
        <f>W31+X30</f>
        <v>60</v>
      </c>
      <c r="Y31" s="76">
        <f>X31+Y30</f>
        <v>100</v>
      </c>
      <c r="Z31" s="76"/>
      <c r="AA31" s="76"/>
      <c r="AB31" s="76"/>
      <c r="AC31" s="76"/>
      <c r="AD31" s="76"/>
      <c r="AE31" s="76"/>
      <c r="AF31" s="76"/>
      <c r="AG31" s="76"/>
      <c r="AH31" s="76"/>
      <c r="AI31" s="76"/>
      <c r="AJ31" s="76"/>
      <c r="AK31" s="76"/>
      <c r="AL31" s="76"/>
      <c r="AM31" s="62"/>
      <c r="AN31" s="62"/>
      <c r="AO31" s="62"/>
      <c r="AP31" s="62"/>
      <c r="AQ31" s="62"/>
      <c r="AR31" s="62"/>
      <c r="AS31" s="62"/>
      <c r="AT31" s="62"/>
      <c r="AU31" s="62"/>
      <c r="AV31" s="62"/>
      <c r="AW31" s="62"/>
      <c r="AX31" s="62"/>
      <c r="AY31" s="62"/>
      <c r="AZ31" s="62"/>
      <c r="BA31" s="62"/>
      <c r="BB31" s="62"/>
      <c r="BC31" s="62"/>
      <c r="BD31" s="62"/>
      <c r="BE31" s="62"/>
      <c r="BF31" s="62"/>
      <c r="BG31" s="62"/>
      <c r="BH31" s="62"/>
      <c r="BI31" s="62"/>
      <c r="BJ31" s="62"/>
      <c r="BK31" s="62"/>
      <c r="BL31" s="62"/>
      <c r="BM31" s="96"/>
      <c r="BN31" s="62"/>
      <c r="BO31" s="62"/>
    </row>
    <row r="32" spans="1:68" s="3" customFormat="1" hidden="1">
      <c r="A32" s="30"/>
      <c r="B32" s="982"/>
      <c r="C32" s="972"/>
      <c r="D32" s="960" t="s">
        <v>283</v>
      </c>
      <c r="E32" s="961"/>
      <c r="F32" s="961"/>
      <c r="G32" s="961"/>
      <c r="H32" s="961"/>
      <c r="I32" s="961"/>
      <c r="J32" s="961"/>
      <c r="K32" s="962"/>
      <c r="L32" s="61"/>
      <c r="M32" s="62"/>
      <c r="N32" s="62"/>
      <c r="O32" s="62"/>
      <c r="P32" s="62"/>
      <c r="Q32" s="62"/>
      <c r="R32" s="62"/>
      <c r="S32" s="76"/>
      <c r="T32" s="76"/>
      <c r="U32" s="76">
        <f>U27+U29</f>
        <v>5</v>
      </c>
      <c r="V32" s="76">
        <f>V27+V29</f>
        <v>10</v>
      </c>
      <c r="W32" s="76">
        <f>W27+W29</f>
        <v>5</v>
      </c>
      <c r="X32" s="76">
        <f>X27+X29</f>
        <v>5</v>
      </c>
      <c r="Y32" s="76">
        <f>Y27+Y29</f>
        <v>5</v>
      </c>
      <c r="Z32" s="76"/>
      <c r="AA32" s="76"/>
      <c r="AB32" s="76"/>
      <c r="AC32" s="76"/>
      <c r="AD32" s="76"/>
      <c r="AE32" s="76"/>
      <c r="AF32" s="76"/>
      <c r="AG32" s="76"/>
      <c r="AH32" s="76"/>
      <c r="AI32" s="76"/>
      <c r="AJ32" s="76"/>
      <c r="AK32" s="76"/>
      <c r="AL32" s="76"/>
      <c r="AM32" s="62"/>
      <c r="AN32" s="62"/>
      <c r="AO32" s="62"/>
      <c r="AP32" s="62"/>
      <c r="AQ32" s="62"/>
      <c r="AR32" s="62"/>
      <c r="AS32" s="62"/>
      <c r="AT32" s="62"/>
      <c r="AU32" s="62"/>
      <c r="AV32" s="62"/>
      <c r="AW32" s="62"/>
      <c r="AX32" s="62"/>
      <c r="AY32" s="62"/>
      <c r="AZ32" s="62"/>
      <c r="BA32" s="62"/>
      <c r="BB32" s="62"/>
      <c r="BC32" s="62"/>
      <c r="BD32" s="62"/>
      <c r="BE32" s="62"/>
      <c r="BF32" s="62"/>
      <c r="BG32" s="62"/>
      <c r="BH32" s="62"/>
      <c r="BI32" s="62"/>
      <c r="BJ32" s="62"/>
      <c r="BK32" s="62"/>
      <c r="BL32" s="62"/>
      <c r="BM32" s="96"/>
      <c r="BN32" s="62"/>
      <c r="BO32" s="62"/>
    </row>
    <row r="33" spans="1:67" s="3" customFormat="1" hidden="1">
      <c r="A33" s="30"/>
      <c r="B33" s="982"/>
      <c r="C33" s="972"/>
      <c r="D33" s="31" t="s">
        <v>284</v>
      </c>
      <c r="E33" s="32"/>
      <c r="F33" s="32"/>
      <c r="G33" s="32"/>
      <c r="H33" s="32"/>
      <c r="I33" s="32"/>
      <c r="J33" s="32"/>
      <c r="K33" s="60"/>
      <c r="L33" s="61"/>
      <c r="M33" s="62"/>
      <c r="N33" s="62"/>
      <c r="O33" s="62"/>
      <c r="P33" s="62"/>
      <c r="Q33" s="62"/>
      <c r="R33" s="62"/>
      <c r="S33" s="76"/>
      <c r="T33" s="76"/>
      <c r="U33" s="76">
        <f>T33+U32</f>
        <v>5</v>
      </c>
      <c r="V33" s="76">
        <f>U33+V32</f>
        <v>15</v>
      </c>
      <c r="W33" s="76">
        <f>V33+W32</f>
        <v>20</v>
      </c>
      <c r="X33" s="76">
        <f>W33+X32</f>
        <v>25</v>
      </c>
      <c r="Y33" s="76">
        <f>X33+Y32</f>
        <v>30</v>
      </c>
      <c r="Z33" s="76"/>
      <c r="AA33" s="76"/>
      <c r="AB33" s="76"/>
      <c r="AC33" s="76"/>
      <c r="AD33" s="76"/>
      <c r="AE33" s="76"/>
      <c r="AF33" s="76"/>
      <c r="AG33" s="76"/>
      <c r="AH33" s="76"/>
      <c r="AI33" s="76"/>
      <c r="AJ33" s="76"/>
      <c r="AK33" s="76"/>
      <c r="AL33" s="76"/>
      <c r="AM33" s="62"/>
      <c r="AN33" s="62"/>
      <c r="AO33" s="62"/>
      <c r="AP33" s="62"/>
      <c r="AQ33" s="62"/>
      <c r="AR33" s="62"/>
      <c r="AS33" s="62"/>
      <c r="AT33" s="62"/>
      <c r="AU33" s="62"/>
      <c r="AV33" s="62"/>
      <c r="AW33" s="62"/>
      <c r="AX33" s="62"/>
      <c r="AY33" s="62"/>
      <c r="AZ33" s="62"/>
      <c r="BA33" s="62"/>
      <c r="BB33" s="62"/>
      <c r="BC33" s="62"/>
      <c r="BD33" s="62"/>
      <c r="BE33" s="62"/>
      <c r="BF33" s="62"/>
      <c r="BG33" s="62"/>
      <c r="BH33" s="62"/>
      <c r="BI33" s="62"/>
      <c r="BJ33" s="62"/>
      <c r="BK33" s="62"/>
      <c r="BL33" s="62"/>
      <c r="BM33" s="96"/>
      <c r="BN33" s="62"/>
      <c r="BO33" s="62"/>
    </row>
    <row r="34" spans="1:67" s="3" customFormat="1" ht="15.2" hidden="1">
      <c r="A34" s="30"/>
      <c r="B34" s="981"/>
      <c r="C34" s="973"/>
      <c r="D34" s="963" t="s">
        <v>285</v>
      </c>
      <c r="E34" s="964"/>
      <c r="F34" s="964"/>
      <c r="G34" s="964"/>
      <c r="H34" s="964"/>
      <c r="I34" s="964"/>
      <c r="J34" s="964"/>
      <c r="K34" s="965"/>
      <c r="L34" s="63"/>
      <c r="M34" s="64"/>
      <c r="N34" s="64"/>
      <c r="O34" s="64"/>
      <c r="P34" s="64"/>
      <c r="Q34" s="64"/>
      <c r="R34" s="64"/>
      <c r="S34" s="77"/>
      <c r="T34" s="78"/>
      <c r="U34" s="78">
        <f>U33-U31</f>
        <v>0</v>
      </c>
      <c r="V34" s="78">
        <f>V33-V31</f>
        <v>0</v>
      </c>
      <c r="W34" s="78">
        <f>W33-W31</f>
        <v>-15</v>
      </c>
      <c r="X34" s="78">
        <f>X33-X31</f>
        <v>-35</v>
      </c>
      <c r="Y34" s="78">
        <f>Y33-Y31</f>
        <v>-70</v>
      </c>
      <c r="Z34" s="78"/>
      <c r="AA34" s="78"/>
      <c r="AB34" s="78"/>
      <c r="AC34" s="78"/>
      <c r="AD34" s="78"/>
      <c r="AE34" s="78"/>
      <c r="AF34" s="78"/>
      <c r="AG34" s="78"/>
      <c r="AH34" s="78"/>
      <c r="AI34" s="78"/>
      <c r="AJ34" s="78"/>
      <c r="AK34" s="78"/>
      <c r="AL34" s="78"/>
      <c r="AM34" s="64"/>
      <c r="AN34" s="64"/>
      <c r="AO34" s="64"/>
      <c r="AP34" s="64"/>
      <c r="AQ34" s="64"/>
      <c r="AR34" s="64"/>
      <c r="AS34" s="64"/>
      <c r="AT34" s="64"/>
      <c r="AU34" s="64"/>
      <c r="AV34" s="64"/>
      <c r="AW34" s="64"/>
      <c r="AX34" s="64"/>
      <c r="AY34" s="64"/>
      <c r="AZ34" s="64"/>
      <c r="BA34" s="64"/>
      <c r="BB34" s="64"/>
      <c r="BC34" s="64"/>
      <c r="BD34" s="64"/>
      <c r="BE34" s="64"/>
      <c r="BF34" s="64"/>
      <c r="BG34" s="64"/>
      <c r="BH34" s="64"/>
      <c r="BI34" s="64"/>
      <c r="BJ34" s="64"/>
      <c r="BK34" s="64"/>
      <c r="BL34" s="64"/>
      <c r="BM34" s="97"/>
      <c r="BN34" s="64"/>
      <c r="BO34" s="64"/>
    </row>
    <row r="35" spans="1:67" s="1" customFormat="1">
      <c r="B35" s="980">
        <v>5</v>
      </c>
      <c r="C35" s="971" t="s">
        <v>295</v>
      </c>
      <c r="D35" s="34" t="s">
        <v>296</v>
      </c>
      <c r="E35" s="22">
        <v>43506</v>
      </c>
      <c r="F35" s="23"/>
      <c r="G35" s="24" t="s">
        <v>297</v>
      </c>
      <c r="H35" s="24" t="s">
        <v>298</v>
      </c>
      <c r="I35" s="24" t="s">
        <v>275</v>
      </c>
      <c r="J35" s="65">
        <v>43554</v>
      </c>
      <c r="K35" s="66">
        <v>1</v>
      </c>
      <c r="L35" s="47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19"/>
      <c r="AC35" s="19"/>
      <c r="AD35" s="19"/>
      <c r="AE35" s="19"/>
      <c r="AF35" s="19"/>
      <c r="AG35" s="19"/>
      <c r="AH35" s="19"/>
      <c r="AI35" s="19"/>
      <c r="AJ35" s="19"/>
      <c r="AK35" s="19"/>
      <c r="AL35" s="19"/>
      <c r="AM35" s="19"/>
      <c r="AN35" s="19"/>
      <c r="AO35" s="19"/>
      <c r="AP35" s="19"/>
      <c r="AQ35" s="19"/>
      <c r="AR35" s="19"/>
      <c r="AS35" s="19"/>
      <c r="AT35" s="19"/>
      <c r="AU35" s="19"/>
      <c r="AV35" s="19"/>
      <c r="AW35" s="19"/>
      <c r="AX35" s="19"/>
      <c r="AY35" s="19"/>
      <c r="AZ35" s="19"/>
      <c r="BA35" s="19"/>
      <c r="BB35" s="19"/>
      <c r="BC35" s="19"/>
      <c r="BD35" s="19"/>
      <c r="BE35" s="19"/>
      <c r="BF35" s="19"/>
      <c r="BG35" s="19"/>
      <c r="BH35" s="19"/>
      <c r="BI35" s="19"/>
      <c r="BJ35" s="19"/>
      <c r="BK35" s="19"/>
      <c r="BL35" s="82"/>
      <c r="BM35" s="54">
        <v>3</v>
      </c>
      <c r="BN35" s="19" t="s">
        <v>263</v>
      </c>
      <c r="BO35" s="95" t="s">
        <v>299</v>
      </c>
    </row>
    <row r="36" spans="1:67" s="1" customFormat="1">
      <c r="B36" s="982"/>
      <c r="C36" s="972"/>
      <c r="D36" s="25" t="s">
        <v>300</v>
      </c>
      <c r="E36" s="26"/>
      <c r="F36" s="27"/>
      <c r="G36" s="28"/>
      <c r="H36" s="28"/>
      <c r="I36" s="28"/>
      <c r="J36" s="67"/>
      <c r="K36" s="968">
        <v>1</v>
      </c>
      <c r="L36" s="54" t="s">
        <v>262</v>
      </c>
      <c r="M36" s="19"/>
      <c r="N36" s="19"/>
      <c r="O36" s="19"/>
      <c r="P36" s="19"/>
      <c r="Q36" s="19"/>
      <c r="R36" s="19"/>
      <c r="S36" s="19"/>
      <c r="T36" s="19"/>
      <c r="U36" s="79">
        <v>10</v>
      </c>
      <c r="V36" s="79">
        <v>20</v>
      </c>
      <c r="W36" s="79">
        <v>30</v>
      </c>
      <c r="X36" s="79">
        <v>40</v>
      </c>
      <c r="Y36" s="19"/>
      <c r="Z36" s="19"/>
      <c r="AA36" s="19"/>
      <c r="AB36" s="19"/>
      <c r="AC36" s="19"/>
      <c r="AD36" s="19"/>
      <c r="AE36" s="19"/>
      <c r="AF36" s="19"/>
      <c r="AG36" s="19"/>
      <c r="AH36" s="19"/>
      <c r="AI36" s="19"/>
      <c r="AJ36" s="19"/>
      <c r="AK36" s="19"/>
      <c r="AL36" s="19"/>
      <c r="AM36" s="19"/>
      <c r="AN36" s="19"/>
      <c r="AO36" s="19"/>
      <c r="AP36" s="19"/>
      <c r="AQ36" s="19"/>
      <c r="AR36" s="19"/>
      <c r="AS36" s="19"/>
      <c r="AT36" s="19"/>
      <c r="AU36" s="19"/>
      <c r="AV36" s="19"/>
      <c r="AW36" s="19"/>
      <c r="AX36" s="19"/>
      <c r="AY36" s="19"/>
      <c r="AZ36" s="19"/>
      <c r="BA36" s="19"/>
      <c r="BB36" s="19"/>
      <c r="BC36" s="19"/>
      <c r="BD36" s="19"/>
      <c r="BE36" s="19"/>
      <c r="BF36" s="19"/>
      <c r="BG36" s="19"/>
      <c r="BH36" s="19"/>
      <c r="BI36" s="19"/>
      <c r="BJ36" s="19"/>
      <c r="BK36" s="19"/>
      <c r="BL36" s="82"/>
      <c r="BM36" s="93"/>
      <c r="BN36" s="19"/>
      <c r="BO36" s="100"/>
    </row>
    <row r="37" spans="1:67" s="1" customFormat="1" ht="15.2">
      <c r="B37" s="982"/>
      <c r="C37" s="972"/>
      <c r="D37" s="29"/>
      <c r="E37" s="18"/>
      <c r="F37" s="19"/>
      <c r="G37" s="20"/>
      <c r="H37" s="20"/>
      <c r="I37" s="20"/>
      <c r="J37" s="57"/>
      <c r="K37" s="970"/>
      <c r="L37" s="54" t="s">
        <v>264</v>
      </c>
      <c r="M37" s="19"/>
      <c r="N37" s="19"/>
      <c r="O37" s="19"/>
      <c r="P37" s="19"/>
      <c r="Q37" s="19"/>
      <c r="R37" s="19"/>
      <c r="S37" s="19"/>
      <c r="T37" s="19"/>
      <c r="U37" s="73">
        <v>10</v>
      </c>
      <c r="V37" s="73">
        <v>90</v>
      </c>
      <c r="W37" s="80"/>
      <c r="X37" s="19"/>
      <c r="Y37" s="19"/>
      <c r="Z37" s="19"/>
      <c r="AA37" s="19"/>
      <c r="AB37" s="19"/>
      <c r="AC37" s="19"/>
      <c r="AD37" s="19"/>
      <c r="AE37" s="19"/>
      <c r="AF37" s="19"/>
      <c r="AG37" s="19"/>
      <c r="AH37" s="19"/>
      <c r="AI37" s="19"/>
      <c r="AJ37" s="19"/>
      <c r="AK37" s="19"/>
      <c r="AL37" s="19"/>
      <c r="AM37" s="19"/>
      <c r="AN37" s="19"/>
      <c r="AO37" s="19"/>
      <c r="AP37" s="19"/>
      <c r="AQ37" s="19"/>
      <c r="AR37" s="19"/>
      <c r="AS37" s="19"/>
      <c r="AT37" s="19"/>
      <c r="AU37" s="19"/>
      <c r="AV37" s="19"/>
      <c r="AW37" s="19"/>
      <c r="AX37" s="19"/>
      <c r="AY37" s="19"/>
      <c r="AZ37" s="19"/>
      <c r="BA37" s="19"/>
      <c r="BB37" s="19"/>
      <c r="BC37" s="19"/>
      <c r="BD37" s="19"/>
      <c r="BE37" s="19"/>
      <c r="BF37" s="19"/>
      <c r="BG37" s="19"/>
      <c r="BH37" s="19"/>
      <c r="BI37" s="19"/>
      <c r="BJ37" s="19"/>
      <c r="BK37" s="19"/>
      <c r="BL37" s="82"/>
      <c r="BM37" s="93"/>
      <c r="BN37" s="19"/>
      <c r="BO37" s="101"/>
    </row>
    <row r="38" spans="1:67" s="3" customFormat="1" hidden="1">
      <c r="A38" s="30"/>
      <c r="B38" s="982"/>
      <c r="C38" s="972"/>
      <c r="D38" s="957" t="s">
        <v>281</v>
      </c>
      <c r="E38" s="958"/>
      <c r="F38" s="958"/>
      <c r="G38" s="958"/>
      <c r="H38" s="958"/>
      <c r="I38" s="958"/>
      <c r="J38" s="958"/>
      <c r="K38" s="959"/>
      <c r="L38" s="58"/>
      <c r="M38" s="59"/>
      <c r="N38" s="59"/>
      <c r="O38" s="59"/>
      <c r="P38" s="59"/>
      <c r="Q38" s="59"/>
      <c r="R38" s="59"/>
      <c r="S38" s="75"/>
      <c r="T38" s="75"/>
      <c r="U38" s="75">
        <f>U36</f>
        <v>10</v>
      </c>
      <c r="V38" s="75">
        <f>V36</f>
        <v>20</v>
      </c>
      <c r="W38" s="75">
        <f>W36</f>
        <v>30</v>
      </c>
      <c r="X38" s="75">
        <f>X36</f>
        <v>40</v>
      </c>
      <c r="Y38" s="75"/>
      <c r="Z38" s="75"/>
      <c r="AA38" s="75"/>
      <c r="AB38" s="75"/>
      <c r="AC38" s="75"/>
      <c r="AD38" s="75"/>
      <c r="AE38" s="75"/>
      <c r="AF38" s="75"/>
      <c r="AG38" s="75"/>
      <c r="AH38" s="75"/>
      <c r="AI38" s="75"/>
      <c r="AJ38" s="75"/>
      <c r="AK38" s="75"/>
      <c r="AL38" s="75"/>
      <c r="AM38" s="59"/>
      <c r="AN38" s="59"/>
      <c r="AO38" s="59"/>
      <c r="AP38" s="59"/>
      <c r="AQ38" s="59"/>
      <c r="AR38" s="59"/>
      <c r="AS38" s="59"/>
      <c r="AT38" s="59"/>
      <c r="AU38" s="59"/>
      <c r="AV38" s="59"/>
      <c r="AW38" s="59"/>
      <c r="AX38" s="59"/>
      <c r="AY38" s="59"/>
      <c r="AZ38" s="59"/>
      <c r="BA38" s="59"/>
      <c r="BB38" s="59"/>
      <c r="BC38" s="59"/>
      <c r="BD38" s="59"/>
      <c r="BE38" s="59"/>
      <c r="BF38" s="59"/>
      <c r="BG38" s="59"/>
      <c r="BH38" s="59"/>
      <c r="BI38" s="59"/>
      <c r="BJ38" s="59"/>
      <c r="BK38" s="59"/>
      <c r="BL38" s="59"/>
      <c r="BM38" s="58"/>
      <c r="BN38" s="59"/>
      <c r="BO38" s="59"/>
    </row>
    <row r="39" spans="1:67" s="3" customFormat="1" hidden="1">
      <c r="A39" s="30"/>
      <c r="B39" s="982"/>
      <c r="C39" s="972"/>
      <c r="D39" s="31" t="s">
        <v>282</v>
      </c>
      <c r="E39" s="32"/>
      <c r="F39" s="32"/>
      <c r="G39" s="32"/>
      <c r="H39" s="32"/>
      <c r="I39" s="32"/>
      <c r="J39" s="32"/>
      <c r="K39" s="60"/>
      <c r="L39" s="61"/>
      <c r="M39" s="62"/>
      <c r="N39" s="62"/>
      <c r="O39" s="62"/>
      <c r="P39" s="62"/>
      <c r="Q39" s="62"/>
      <c r="R39" s="62"/>
      <c r="S39" s="76"/>
      <c r="T39" s="76"/>
      <c r="U39" s="76">
        <f>T39+U38</f>
        <v>10</v>
      </c>
      <c r="V39" s="76">
        <f>U39+V38</f>
        <v>30</v>
      </c>
      <c r="W39" s="76">
        <f>V39+W38</f>
        <v>60</v>
      </c>
      <c r="X39" s="76">
        <f>W39+X38</f>
        <v>100</v>
      </c>
      <c r="Y39" s="76"/>
      <c r="Z39" s="76"/>
      <c r="AA39" s="76"/>
      <c r="AB39" s="76"/>
      <c r="AC39" s="76"/>
      <c r="AD39" s="76"/>
      <c r="AE39" s="76"/>
      <c r="AF39" s="76"/>
      <c r="AG39" s="76"/>
      <c r="AH39" s="76"/>
      <c r="AI39" s="76"/>
      <c r="AJ39" s="76"/>
      <c r="AK39" s="76"/>
      <c r="AL39" s="76"/>
      <c r="AM39" s="62"/>
      <c r="AN39" s="62"/>
      <c r="AO39" s="62"/>
      <c r="AP39" s="62"/>
      <c r="AQ39" s="62"/>
      <c r="AR39" s="62"/>
      <c r="AS39" s="62"/>
      <c r="AT39" s="62"/>
      <c r="AU39" s="62"/>
      <c r="AV39" s="62"/>
      <c r="AW39" s="62"/>
      <c r="AX39" s="62"/>
      <c r="AY39" s="62"/>
      <c r="AZ39" s="62"/>
      <c r="BA39" s="62"/>
      <c r="BB39" s="62"/>
      <c r="BC39" s="62"/>
      <c r="BD39" s="62"/>
      <c r="BE39" s="62"/>
      <c r="BF39" s="62"/>
      <c r="BG39" s="62"/>
      <c r="BH39" s="62"/>
      <c r="BI39" s="62"/>
      <c r="BJ39" s="62"/>
      <c r="BK39" s="62"/>
      <c r="BL39" s="62"/>
      <c r="BM39" s="96"/>
      <c r="BN39" s="62"/>
      <c r="BO39" s="62"/>
    </row>
    <row r="40" spans="1:67" s="3" customFormat="1" hidden="1">
      <c r="A40" s="30"/>
      <c r="B40" s="982"/>
      <c r="C40" s="972"/>
      <c r="D40" s="960" t="s">
        <v>283</v>
      </c>
      <c r="E40" s="961"/>
      <c r="F40" s="961"/>
      <c r="G40" s="961"/>
      <c r="H40" s="961"/>
      <c r="I40" s="961"/>
      <c r="J40" s="961"/>
      <c r="K40" s="962"/>
      <c r="L40" s="61"/>
      <c r="M40" s="62"/>
      <c r="N40" s="62"/>
      <c r="O40" s="62"/>
      <c r="P40" s="62"/>
      <c r="Q40" s="62"/>
      <c r="R40" s="62"/>
      <c r="S40" s="76"/>
      <c r="T40" s="76"/>
      <c r="U40" s="76">
        <f>U37</f>
        <v>10</v>
      </c>
      <c r="V40" s="76">
        <f>V37</f>
        <v>90</v>
      </c>
      <c r="W40" s="76">
        <f>W37</f>
        <v>0</v>
      </c>
      <c r="X40" s="76">
        <f>X37</f>
        <v>0</v>
      </c>
      <c r="Y40" s="76"/>
      <c r="Z40" s="76"/>
      <c r="AA40" s="76"/>
      <c r="AB40" s="76"/>
      <c r="AC40" s="76"/>
      <c r="AD40" s="76"/>
      <c r="AE40" s="76"/>
      <c r="AF40" s="76"/>
      <c r="AG40" s="76"/>
      <c r="AH40" s="76"/>
      <c r="AI40" s="76"/>
      <c r="AJ40" s="76"/>
      <c r="AK40" s="76"/>
      <c r="AL40" s="76"/>
      <c r="AM40" s="62"/>
      <c r="AN40" s="62"/>
      <c r="AO40" s="62"/>
      <c r="AP40" s="62"/>
      <c r="AQ40" s="62"/>
      <c r="AR40" s="62"/>
      <c r="AS40" s="62"/>
      <c r="AT40" s="62"/>
      <c r="AU40" s="62"/>
      <c r="AV40" s="62"/>
      <c r="AW40" s="62"/>
      <c r="AX40" s="62"/>
      <c r="AY40" s="62"/>
      <c r="AZ40" s="62"/>
      <c r="BA40" s="62"/>
      <c r="BB40" s="62"/>
      <c r="BC40" s="62"/>
      <c r="BD40" s="62"/>
      <c r="BE40" s="62"/>
      <c r="BF40" s="62"/>
      <c r="BG40" s="62"/>
      <c r="BH40" s="62"/>
      <c r="BI40" s="62"/>
      <c r="BJ40" s="62"/>
      <c r="BK40" s="62"/>
      <c r="BL40" s="62"/>
      <c r="BM40" s="96"/>
      <c r="BN40" s="62"/>
      <c r="BO40" s="62"/>
    </row>
    <row r="41" spans="1:67" s="3" customFormat="1" hidden="1">
      <c r="A41" s="30"/>
      <c r="B41" s="982"/>
      <c r="C41" s="972"/>
      <c r="D41" s="31" t="s">
        <v>284</v>
      </c>
      <c r="E41" s="32"/>
      <c r="F41" s="32"/>
      <c r="G41" s="32"/>
      <c r="H41" s="32"/>
      <c r="I41" s="32"/>
      <c r="J41" s="32"/>
      <c r="K41" s="60"/>
      <c r="L41" s="61"/>
      <c r="M41" s="62"/>
      <c r="N41" s="62"/>
      <c r="O41" s="62"/>
      <c r="P41" s="62"/>
      <c r="Q41" s="62"/>
      <c r="R41" s="62"/>
      <c r="S41" s="76"/>
      <c r="T41" s="76"/>
      <c r="U41" s="76">
        <f>T41+U40</f>
        <v>10</v>
      </c>
      <c r="V41" s="76">
        <f>U41+V40</f>
        <v>100</v>
      </c>
      <c r="W41" s="76">
        <f>V41+W40</f>
        <v>100</v>
      </c>
      <c r="X41" s="76">
        <f>W41+X40</f>
        <v>100</v>
      </c>
      <c r="Y41" s="76"/>
      <c r="Z41" s="76"/>
      <c r="AA41" s="76"/>
      <c r="AB41" s="76"/>
      <c r="AC41" s="76"/>
      <c r="AD41" s="76"/>
      <c r="AE41" s="76"/>
      <c r="AF41" s="76"/>
      <c r="AG41" s="76"/>
      <c r="AH41" s="76"/>
      <c r="AI41" s="76"/>
      <c r="AJ41" s="76"/>
      <c r="AK41" s="76"/>
      <c r="AL41" s="76"/>
      <c r="AM41" s="62"/>
      <c r="AN41" s="62"/>
      <c r="AO41" s="62"/>
      <c r="AP41" s="62"/>
      <c r="AQ41" s="62"/>
      <c r="AR41" s="62"/>
      <c r="AS41" s="62"/>
      <c r="AT41" s="62"/>
      <c r="AU41" s="62"/>
      <c r="AV41" s="62"/>
      <c r="AW41" s="62"/>
      <c r="AX41" s="62"/>
      <c r="AY41" s="62"/>
      <c r="AZ41" s="62"/>
      <c r="BA41" s="62"/>
      <c r="BB41" s="62"/>
      <c r="BC41" s="62"/>
      <c r="BD41" s="62"/>
      <c r="BE41" s="62"/>
      <c r="BF41" s="62"/>
      <c r="BG41" s="62"/>
      <c r="BH41" s="62"/>
      <c r="BI41" s="62"/>
      <c r="BJ41" s="62"/>
      <c r="BK41" s="62"/>
      <c r="BL41" s="62"/>
      <c r="BM41" s="96"/>
      <c r="BN41" s="62"/>
      <c r="BO41" s="62"/>
    </row>
    <row r="42" spans="1:67" s="3" customFormat="1" ht="15.2" hidden="1">
      <c r="A42" s="30"/>
      <c r="B42" s="981"/>
      <c r="C42" s="973"/>
      <c r="D42" s="963" t="s">
        <v>285</v>
      </c>
      <c r="E42" s="964"/>
      <c r="F42" s="964"/>
      <c r="G42" s="964"/>
      <c r="H42" s="964"/>
      <c r="I42" s="964"/>
      <c r="J42" s="964"/>
      <c r="K42" s="965"/>
      <c r="L42" s="63"/>
      <c r="M42" s="64"/>
      <c r="N42" s="64"/>
      <c r="O42" s="64"/>
      <c r="P42" s="64"/>
      <c r="Q42" s="64"/>
      <c r="R42" s="64"/>
      <c r="S42" s="77"/>
      <c r="T42" s="78"/>
      <c r="U42" s="78">
        <f>U41-U39</f>
        <v>0</v>
      </c>
      <c r="V42" s="78">
        <f>V41-V39</f>
        <v>70</v>
      </c>
      <c r="W42" s="78">
        <f>W41-W39</f>
        <v>40</v>
      </c>
      <c r="X42" s="78">
        <f>X41-X39</f>
        <v>0</v>
      </c>
      <c r="Y42" s="78"/>
      <c r="Z42" s="78"/>
      <c r="AA42" s="78"/>
      <c r="AB42" s="78"/>
      <c r="AC42" s="78"/>
      <c r="AD42" s="78"/>
      <c r="AE42" s="78"/>
      <c r="AF42" s="78"/>
      <c r="AG42" s="78"/>
      <c r="AH42" s="78"/>
      <c r="AI42" s="78"/>
      <c r="AJ42" s="78"/>
      <c r="AK42" s="78"/>
      <c r="AL42" s="78"/>
      <c r="AM42" s="64"/>
      <c r="AN42" s="64"/>
      <c r="AO42" s="64"/>
      <c r="AP42" s="64"/>
      <c r="AQ42" s="64"/>
      <c r="AR42" s="64"/>
      <c r="AS42" s="64"/>
      <c r="AT42" s="64"/>
      <c r="AU42" s="64"/>
      <c r="AV42" s="64"/>
      <c r="AW42" s="64"/>
      <c r="AX42" s="64"/>
      <c r="AY42" s="64"/>
      <c r="AZ42" s="64"/>
      <c r="BA42" s="64"/>
      <c r="BB42" s="64"/>
      <c r="BC42" s="64"/>
      <c r="BD42" s="64"/>
      <c r="BE42" s="64"/>
      <c r="BF42" s="64"/>
      <c r="BG42" s="64"/>
      <c r="BH42" s="64"/>
      <c r="BI42" s="64"/>
      <c r="BJ42" s="64"/>
      <c r="BK42" s="64"/>
      <c r="BL42" s="64"/>
      <c r="BM42" s="97"/>
      <c r="BN42" s="64"/>
      <c r="BO42" s="64"/>
    </row>
    <row r="43" spans="1:67" s="1" customFormat="1">
      <c r="B43" s="980">
        <v>6</v>
      </c>
      <c r="C43" s="971" t="s">
        <v>301</v>
      </c>
      <c r="D43" s="21" t="s">
        <v>302</v>
      </c>
      <c r="E43" s="22">
        <v>43502</v>
      </c>
      <c r="F43" s="23"/>
      <c r="G43" s="24" t="s">
        <v>274</v>
      </c>
      <c r="H43" s="24"/>
      <c r="I43" s="24" t="s">
        <v>275</v>
      </c>
      <c r="J43" s="65">
        <v>43592</v>
      </c>
      <c r="K43" s="66">
        <v>1</v>
      </c>
      <c r="L43" s="54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9"/>
      <c r="AB43" s="19"/>
      <c r="AC43" s="19"/>
      <c r="AD43" s="19"/>
      <c r="AE43" s="19"/>
      <c r="AF43" s="19"/>
      <c r="AG43" s="19"/>
      <c r="AH43" s="19"/>
      <c r="AI43" s="19"/>
      <c r="AJ43" s="19"/>
      <c r="AK43" s="19"/>
      <c r="AL43" s="19"/>
      <c r="AM43" s="19"/>
      <c r="AN43" s="19"/>
      <c r="AO43" s="19"/>
      <c r="AP43" s="19"/>
      <c r="AQ43" s="19"/>
      <c r="AR43" s="19"/>
      <c r="AS43" s="19"/>
      <c r="AT43" s="19"/>
      <c r="AU43" s="19"/>
      <c r="AV43" s="19"/>
      <c r="AW43" s="19"/>
      <c r="AX43" s="19"/>
      <c r="AY43" s="19"/>
      <c r="AZ43" s="19"/>
      <c r="BA43" s="19"/>
      <c r="BB43" s="19"/>
      <c r="BC43" s="19"/>
      <c r="BD43" s="19"/>
      <c r="BE43" s="19"/>
      <c r="BF43" s="19"/>
      <c r="BG43" s="19"/>
      <c r="BH43" s="19"/>
      <c r="BI43" s="83" t="s">
        <v>276</v>
      </c>
      <c r="BJ43" s="84">
        <v>13593985</v>
      </c>
      <c r="BK43" s="84">
        <v>2388502</v>
      </c>
      <c r="BL43" s="85"/>
      <c r="BM43" s="54">
        <v>3</v>
      </c>
      <c r="BN43" s="19" t="s">
        <v>263</v>
      </c>
      <c r="BO43" s="19"/>
    </row>
    <row r="44" spans="1:67" s="1" customFormat="1">
      <c r="B44" s="982"/>
      <c r="C44" s="972"/>
      <c r="D44" s="25" t="s">
        <v>277</v>
      </c>
      <c r="E44" s="26"/>
      <c r="F44" s="27"/>
      <c r="G44" s="28"/>
      <c r="H44" s="28"/>
      <c r="I44" s="28"/>
      <c r="J44" s="67"/>
      <c r="K44" s="966">
        <v>0.6</v>
      </c>
      <c r="L44" s="54" t="s">
        <v>262</v>
      </c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79">
        <v>5</v>
      </c>
      <c r="Z44" s="79">
        <v>10</v>
      </c>
      <c r="AA44" s="79">
        <v>20</v>
      </c>
      <c r="AB44" s="79">
        <v>25</v>
      </c>
      <c r="AC44" s="19"/>
      <c r="AD44" s="19"/>
      <c r="AE44" s="19"/>
      <c r="AF44" s="19"/>
      <c r="AG44" s="19"/>
      <c r="AH44" s="19"/>
      <c r="AI44" s="19"/>
      <c r="AJ44" s="19"/>
      <c r="AK44" s="19"/>
      <c r="AL44" s="19"/>
      <c r="AM44" s="19"/>
      <c r="AN44" s="19"/>
      <c r="AO44" s="19"/>
      <c r="AP44" s="19"/>
      <c r="AQ44" s="19"/>
      <c r="AR44" s="19"/>
      <c r="AS44" s="19"/>
      <c r="AT44" s="19"/>
      <c r="AU44" s="19"/>
      <c r="AV44" s="19"/>
      <c r="AW44" s="19"/>
      <c r="AX44" s="19"/>
      <c r="AY44" s="19"/>
      <c r="AZ44" s="19"/>
      <c r="BA44" s="19"/>
      <c r="BB44" s="19"/>
      <c r="BC44" s="19"/>
      <c r="BD44" s="19"/>
      <c r="BE44" s="19"/>
      <c r="BF44" s="19"/>
      <c r="BG44" s="19"/>
      <c r="BH44" s="19"/>
      <c r="BI44" s="19"/>
      <c r="BJ44" s="19"/>
      <c r="BK44" s="19"/>
      <c r="BL44" s="82"/>
      <c r="BM44" s="93"/>
      <c r="BN44" s="19"/>
      <c r="BO44" s="72"/>
    </row>
    <row r="45" spans="1:67" s="1" customFormat="1">
      <c r="B45" s="982"/>
      <c r="C45" s="972"/>
      <c r="D45" s="29"/>
      <c r="E45" s="18"/>
      <c r="F45" s="19"/>
      <c r="G45" s="20"/>
      <c r="H45" s="20"/>
      <c r="I45" s="20"/>
      <c r="J45" s="57"/>
      <c r="K45" s="967"/>
      <c r="L45" s="54" t="s">
        <v>264</v>
      </c>
      <c r="M45" s="19"/>
      <c r="N45" s="19"/>
      <c r="O45" s="19"/>
      <c r="P45" s="19"/>
      <c r="Q45" s="19"/>
      <c r="R45" s="19"/>
      <c r="S45" s="19"/>
      <c r="T45" s="19"/>
      <c r="U45" s="19"/>
      <c r="V45" s="73">
        <v>5</v>
      </c>
      <c r="W45" s="73">
        <v>55</v>
      </c>
      <c r="X45" s="19"/>
      <c r="Y45" s="19"/>
      <c r="Z45" s="19"/>
      <c r="AA45" s="19"/>
      <c r="AB45" s="19"/>
      <c r="AC45" s="19"/>
      <c r="AD45" s="19"/>
      <c r="AE45" s="19"/>
      <c r="AF45" s="19"/>
      <c r="AG45" s="19"/>
      <c r="AH45" s="19"/>
      <c r="AI45" s="19"/>
      <c r="AJ45" s="19"/>
      <c r="AK45" s="19"/>
      <c r="AL45" s="19"/>
      <c r="AM45" s="19"/>
      <c r="AN45" s="19"/>
      <c r="AO45" s="19"/>
      <c r="AP45" s="19"/>
      <c r="AQ45" s="19"/>
      <c r="AR45" s="19"/>
      <c r="AS45" s="19"/>
      <c r="AT45" s="19"/>
      <c r="AU45" s="19"/>
      <c r="AV45" s="19"/>
      <c r="AW45" s="19"/>
      <c r="AX45" s="19"/>
      <c r="AY45" s="19"/>
      <c r="AZ45" s="19"/>
      <c r="BA45" s="19"/>
      <c r="BB45" s="19"/>
      <c r="BC45" s="19"/>
      <c r="BD45" s="19"/>
      <c r="BE45" s="19"/>
      <c r="BF45" s="19"/>
      <c r="BG45" s="19"/>
      <c r="BH45" s="19"/>
      <c r="BI45" s="19"/>
      <c r="BJ45" s="19"/>
      <c r="BK45" s="19"/>
      <c r="BL45" s="82"/>
      <c r="BM45" s="93"/>
      <c r="BN45" s="19"/>
      <c r="BO45" s="95" t="s">
        <v>278</v>
      </c>
    </row>
    <row r="46" spans="1:67" s="1" customFormat="1">
      <c r="B46" s="982"/>
      <c r="C46" s="972"/>
      <c r="D46" s="25" t="s">
        <v>279</v>
      </c>
      <c r="E46" s="26"/>
      <c r="F46" s="27"/>
      <c r="G46" s="28"/>
      <c r="H46" s="28"/>
      <c r="I46" s="28"/>
      <c r="J46" s="67"/>
      <c r="K46" s="966">
        <v>0.3</v>
      </c>
      <c r="L46" s="54" t="s">
        <v>262</v>
      </c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72"/>
      <c r="Z46" s="19"/>
      <c r="AA46" s="19"/>
      <c r="AB46" s="19"/>
      <c r="AC46" s="79">
        <v>30</v>
      </c>
      <c r="AD46" s="19"/>
      <c r="AE46" s="19"/>
      <c r="AF46" s="19"/>
      <c r="AG46" s="19"/>
      <c r="AH46" s="19"/>
      <c r="AI46" s="19"/>
      <c r="AJ46" s="19"/>
      <c r="AK46" s="19"/>
      <c r="AL46" s="19"/>
      <c r="AM46" s="19"/>
      <c r="AN46" s="19"/>
      <c r="AO46" s="19"/>
      <c r="AP46" s="19"/>
      <c r="AQ46" s="19"/>
      <c r="AR46" s="19"/>
      <c r="AS46" s="19"/>
      <c r="AT46" s="19"/>
      <c r="AU46" s="19"/>
      <c r="AV46" s="19"/>
      <c r="AW46" s="19"/>
      <c r="AX46" s="19"/>
      <c r="AY46" s="19"/>
      <c r="AZ46" s="19"/>
      <c r="BA46" s="19"/>
      <c r="BB46" s="19"/>
      <c r="BC46" s="19"/>
      <c r="BD46" s="19"/>
      <c r="BE46" s="19"/>
      <c r="BF46" s="19"/>
      <c r="BG46" s="19"/>
      <c r="BH46" s="19"/>
      <c r="BI46" s="19"/>
      <c r="BJ46" s="19"/>
      <c r="BK46" s="19"/>
      <c r="BL46" s="82"/>
      <c r="BM46" s="93"/>
      <c r="BN46" s="19"/>
      <c r="BO46" s="72"/>
    </row>
    <row r="47" spans="1:67" s="1" customFormat="1">
      <c r="B47" s="982"/>
      <c r="C47" s="972"/>
      <c r="D47" s="29"/>
      <c r="E47" s="18"/>
      <c r="F47" s="19"/>
      <c r="G47" s="20"/>
      <c r="H47" s="20"/>
      <c r="I47" s="20"/>
      <c r="J47" s="57"/>
      <c r="K47" s="967"/>
      <c r="L47" s="54" t="s">
        <v>264</v>
      </c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72"/>
      <c r="Z47" s="19"/>
      <c r="AA47" s="19"/>
      <c r="AB47" s="19"/>
      <c r="AC47" s="19"/>
      <c r="AD47" s="19"/>
      <c r="AE47" s="19"/>
      <c r="AF47" s="19"/>
      <c r="AG47" s="19"/>
      <c r="AH47" s="19"/>
      <c r="AI47" s="19"/>
      <c r="AJ47" s="19"/>
      <c r="AK47" s="19"/>
      <c r="AL47" s="19"/>
      <c r="AM47" s="19"/>
      <c r="AN47" s="19"/>
      <c r="AO47" s="19"/>
      <c r="AP47" s="19"/>
      <c r="AQ47" s="19"/>
      <c r="AR47" s="19"/>
      <c r="AS47" s="19"/>
      <c r="AT47" s="19"/>
      <c r="AU47" s="19"/>
      <c r="AV47" s="19"/>
      <c r="AW47" s="19"/>
      <c r="AX47" s="19"/>
      <c r="AY47" s="19"/>
      <c r="AZ47" s="19"/>
      <c r="BA47" s="19"/>
      <c r="BB47" s="19"/>
      <c r="BC47" s="19"/>
      <c r="BD47" s="19"/>
      <c r="BE47" s="19"/>
      <c r="BF47" s="19"/>
      <c r="BG47" s="19"/>
      <c r="BH47" s="19"/>
      <c r="BI47" s="19"/>
      <c r="BJ47" s="19"/>
      <c r="BK47" s="19"/>
      <c r="BL47" s="82"/>
      <c r="BM47" s="93"/>
      <c r="BN47" s="19"/>
      <c r="BO47" s="19"/>
    </row>
    <row r="48" spans="1:67" s="1" customFormat="1">
      <c r="B48" s="982"/>
      <c r="C48" s="972"/>
      <c r="D48" s="25" t="s">
        <v>280</v>
      </c>
      <c r="E48" s="26"/>
      <c r="F48" s="27"/>
      <c r="G48" s="28"/>
      <c r="H48" s="28"/>
      <c r="I48" s="28"/>
      <c r="J48" s="67"/>
      <c r="K48" s="966">
        <v>0.1</v>
      </c>
      <c r="L48" s="54" t="s">
        <v>262</v>
      </c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72"/>
      <c r="Z48" s="19"/>
      <c r="AA48" s="19"/>
      <c r="AB48" s="19"/>
      <c r="AC48" s="79">
        <v>10</v>
      </c>
      <c r="AD48" s="19"/>
      <c r="AE48" s="19"/>
      <c r="AF48" s="19"/>
      <c r="AG48" s="19"/>
      <c r="AH48" s="19"/>
      <c r="AI48" s="19"/>
      <c r="AJ48" s="19"/>
      <c r="AK48" s="19"/>
      <c r="AL48" s="19"/>
      <c r="AM48" s="19"/>
      <c r="AN48" s="19"/>
      <c r="AO48" s="19"/>
      <c r="AP48" s="19"/>
      <c r="AQ48" s="19"/>
      <c r="AR48" s="19"/>
      <c r="AS48" s="19"/>
      <c r="AT48" s="19"/>
      <c r="AU48" s="19"/>
      <c r="AV48" s="19"/>
      <c r="AW48" s="19"/>
      <c r="AX48" s="19"/>
      <c r="AY48" s="19"/>
      <c r="AZ48" s="19"/>
      <c r="BA48" s="19"/>
      <c r="BB48" s="19"/>
      <c r="BC48" s="19"/>
      <c r="BD48" s="19"/>
      <c r="BE48" s="19"/>
      <c r="BF48" s="19"/>
      <c r="BG48" s="19"/>
      <c r="BH48" s="19"/>
      <c r="BI48" s="19"/>
      <c r="BJ48" s="19"/>
      <c r="BK48" s="19"/>
      <c r="BL48" s="82"/>
      <c r="BM48" s="93"/>
      <c r="BN48" s="19"/>
      <c r="BO48" s="19"/>
    </row>
    <row r="49" spans="1:67" s="1" customFormat="1" ht="15.2">
      <c r="B49" s="982"/>
      <c r="C49" s="972"/>
      <c r="D49" s="29"/>
      <c r="E49" s="18"/>
      <c r="F49" s="19"/>
      <c r="G49" s="20"/>
      <c r="H49" s="20"/>
      <c r="I49" s="20"/>
      <c r="J49" s="57"/>
      <c r="K49" s="967"/>
      <c r="L49" s="54" t="s">
        <v>264</v>
      </c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  <c r="AA49" s="19"/>
      <c r="AB49" s="19"/>
      <c r="AC49" s="19"/>
      <c r="AD49" s="19"/>
      <c r="AE49" s="19"/>
      <c r="AF49" s="19"/>
      <c r="AG49" s="19"/>
      <c r="AH49" s="19"/>
      <c r="AI49" s="19"/>
      <c r="AJ49" s="19"/>
      <c r="AK49" s="19"/>
      <c r="AL49" s="19"/>
      <c r="AM49" s="19"/>
      <c r="AN49" s="19"/>
      <c r="AO49" s="19"/>
      <c r="AP49" s="19"/>
      <c r="AQ49" s="19"/>
      <c r="AR49" s="19"/>
      <c r="AS49" s="19"/>
      <c r="AT49" s="19"/>
      <c r="AU49" s="19"/>
      <c r="AV49" s="19"/>
      <c r="AW49" s="19"/>
      <c r="AX49" s="19"/>
      <c r="AY49" s="19"/>
      <c r="AZ49" s="19"/>
      <c r="BA49" s="19"/>
      <c r="BB49" s="19"/>
      <c r="BC49" s="19"/>
      <c r="BD49" s="19"/>
      <c r="BE49" s="19"/>
      <c r="BF49" s="19"/>
      <c r="BG49" s="19"/>
      <c r="BH49" s="19"/>
      <c r="BI49" s="19"/>
      <c r="BJ49" s="19"/>
      <c r="BK49" s="19"/>
      <c r="BL49" s="82"/>
      <c r="BM49" s="93"/>
      <c r="BN49" s="19"/>
      <c r="BO49" s="19"/>
    </row>
    <row r="50" spans="1:67" s="3" customFormat="1" hidden="1">
      <c r="A50" s="30"/>
      <c r="B50" s="982"/>
      <c r="C50" s="972"/>
      <c r="D50" s="957" t="s">
        <v>281</v>
      </c>
      <c r="E50" s="958"/>
      <c r="F50" s="958"/>
      <c r="G50" s="958"/>
      <c r="H50" s="958"/>
      <c r="I50" s="958"/>
      <c r="J50" s="958"/>
      <c r="K50" s="959"/>
      <c r="L50" s="58"/>
      <c r="M50" s="59"/>
      <c r="N50" s="59"/>
      <c r="O50" s="59"/>
      <c r="P50" s="59"/>
      <c r="Q50" s="59"/>
      <c r="R50" s="59"/>
      <c r="S50" s="75"/>
      <c r="T50" s="75"/>
      <c r="U50" s="75"/>
      <c r="V50" s="59"/>
      <c r="W50" s="59"/>
      <c r="X50" s="59"/>
      <c r="Y50" s="59">
        <f>Y44+Y46+Y48</f>
        <v>5</v>
      </c>
      <c r="Z50" s="59">
        <f>Z44+Z46+Z48</f>
        <v>10</v>
      </c>
      <c r="AA50" s="59">
        <f>AA44+AA46+AA48</f>
        <v>20</v>
      </c>
      <c r="AB50" s="59">
        <f>AB44+AB46+AB48</f>
        <v>25</v>
      </c>
      <c r="AC50" s="59">
        <f>AC44+AC46+AC48</f>
        <v>40</v>
      </c>
      <c r="AD50" s="59"/>
      <c r="AE50" s="59"/>
      <c r="AF50" s="59"/>
      <c r="AG50" s="59"/>
      <c r="AH50" s="59"/>
      <c r="AI50" s="59"/>
      <c r="AJ50" s="59"/>
      <c r="AK50" s="59"/>
      <c r="AL50" s="59"/>
      <c r="AM50" s="59"/>
      <c r="AN50" s="59"/>
      <c r="AO50" s="59"/>
      <c r="AP50" s="59"/>
      <c r="AQ50" s="59"/>
      <c r="AR50" s="59"/>
      <c r="AS50" s="59"/>
      <c r="AT50" s="59"/>
      <c r="AU50" s="59"/>
      <c r="AV50" s="59"/>
      <c r="AW50" s="59"/>
      <c r="AX50" s="59"/>
      <c r="AY50" s="59"/>
      <c r="AZ50" s="59"/>
      <c r="BA50" s="59"/>
      <c r="BB50" s="59"/>
      <c r="BC50" s="59"/>
      <c r="BD50" s="59"/>
      <c r="BE50" s="59"/>
      <c r="BF50" s="59"/>
      <c r="BG50" s="59"/>
      <c r="BH50" s="59"/>
      <c r="BI50" s="59"/>
      <c r="BJ50" s="59"/>
      <c r="BK50" s="59"/>
      <c r="BL50" s="59"/>
      <c r="BM50" s="58"/>
      <c r="BN50" s="59"/>
      <c r="BO50" s="59"/>
    </row>
    <row r="51" spans="1:67" s="3" customFormat="1" hidden="1">
      <c r="A51" s="30"/>
      <c r="B51" s="982"/>
      <c r="C51" s="972"/>
      <c r="D51" s="31" t="s">
        <v>282</v>
      </c>
      <c r="E51" s="32"/>
      <c r="F51" s="32"/>
      <c r="G51" s="32"/>
      <c r="H51" s="32"/>
      <c r="I51" s="32"/>
      <c r="J51" s="32"/>
      <c r="K51" s="60"/>
      <c r="L51" s="61"/>
      <c r="M51" s="62"/>
      <c r="N51" s="62"/>
      <c r="O51" s="62"/>
      <c r="P51" s="62"/>
      <c r="Q51" s="62"/>
      <c r="R51" s="62"/>
      <c r="S51" s="76"/>
      <c r="T51" s="76"/>
      <c r="U51" s="76"/>
      <c r="V51" s="62"/>
      <c r="W51" s="62"/>
      <c r="X51" s="62"/>
      <c r="Y51" s="62">
        <f>X51+Y50</f>
        <v>5</v>
      </c>
      <c r="Z51" s="62">
        <f>Y51+Z50</f>
        <v>15</v>
      </c>
      <c r="AA51" s="62">
        <f>Z51+AA50</f>
        <v>35</v>
      </c>
      <c r="AB51" s="62">
        <f>AA51+AB50</f>
        <v>60</v>
      </c>
      <c r="AC51" s="62">
        <f>AB51+AC50</f>
        <v>100</v>
      </c>
      <c r="AD51" s="62"/>
      <c r="AE51" s="62"/>
      <c r="AF51" s="62"/>
      <c r="AG51" s="62"/>
      <c r="AH51" s="62"/>
      <c r="AI51" s="62"/>
      <c r="AJ51" s="62"/>
      <c r="AK51" s="62"/>
      <c r="AL51" s="62"/>
      <c r="AM51" s="62"/>
      <c r="AN51" s="62"/>
      <c r="AO51" s="62"/>
      <c r="AP51" s="62"/>
      <c r="AQ51" s="62"/>
      <c r="AR51" s="62"/>
      <c r="AS51" s="62"/>
      <c r="AT51" s="62"/>
      <c r="AU51" s="62"/>
      <c r="AV51" s="62"/>
      <c r="AW51" s="62"/>
      <c r="AX51" s="62"/>
      <c r="AY51" s="62"/>
      <c r="AZ51" s="62"/>
      <c r="BA51" s="62"/>
      <c r="BB51" s="62"/>
      <c r="BC51" s="62"/>
      <c r="BD51" s="62"/>
      <c r="BE51" s="62"/>
      <c r="BF51" s="62"/>
      <c r="BG51" s="62"/>
      <c r="BH51" s="62"/>
      <c r="BI51" s="62"/>
      <c r="BJ51" s="62"/>
      <c r="BK51" s="62"/>
      <c r="BL51" s="62"/>
      <c r="BM51" s="96"/>
      <c r="BN51" s="62"/>
      <c r="BO51" s="62"/>
    </row>
    <row r="52" spans="1:67" s="3" customFormat="1" hidden="1">
      <c r="A52" s="30"/>
      <c r="B52" s="982"/>
      <c r="C52" s="972"/>
      <c r="D52" s="960" t="s">
        <v>283</v>
      </c>
      <c r="E52" s="961"/>
      <c r="F52" s="961"/>
      <c r="G52" s="961"/>
      <c r="H52" s="961"/>
      <c r="I52" s="961"/>
      <c r="J52" s="961"/>
      <c r="K52" s="962"/>
      <c r="L52" s="61"/>
      <c r="M52" s="62"/>
      <c r="N52" s="62"/>
      <c r="O52" s="62"/>
      <c r="P52" s="62"/>
      <c r="Q52" s="62"/>
      <c r="R52" s="62"/>
      <c r="S52" s="76"/>
      <c r="T52" s="76"/>
      <c r="U52" s="76"/>
      <c r="V52" s="62"/>
      <c r="W52" s="62"/>
      <c r="X52" s="62"/>
      <c r="Y52" s="62">
        <f>Y45+Y47+Y49</f>
        <v>0</v>
      </c>
      <c r="Z52" s="62">
        <f>Z45+Z47+Z49</f>
        <v>0</v>
      </c>
      <c r="AA52" s="62">
        <f>AA45+AA47+AA49</f>
        <v>0</v>
      </c>
      <c r="AB52" s="62">
        <f>AB45+AB47+AB49</f>
        <v>0</v>
      </c>
      <c r="AC52" s="62">
        <f>AC45+AC47+AC49</f>
        <v>0</v>
      </c>
      <c r="AD52" s="62"/>
      <c r="AE52" s="62"/>
      <c r="AF52" s="62"/>
      <c r="AG52" s="62"/>
      <c r="AH52" s="62"/>
      <c r="AI52" s="62"/>
      <c r="AJ52" s="62"/>
      <c r="AK52" s="62"/>
      <c r="AL52" s="62"/>
      <c r="AM52" s="62"/>
      <c r="AN52" s="62"/>
      <c r="AO52" s="62"/>
      <c r="AP52" s="62"/>
      <c r="AQ52" s="62"/>
      <c r="AR52" s="62"/>
      <c r="AS52" s="62"/>
      <c r="AT52" s="62"/>
      <c r="AU52" s="62"/>
      <c r="AV52" s="62"/>
      <c r="AW52" s="62"/>
      <c r="AX52" s="62"/>
      <c r="AY52" s="62"/>
      <c r="AZ52" s="62"/>
      <c r="BA52" s="62"/>
      <c r="BB52" s="62"/>
      <c r="BC52" s="62"/>
      <c r="BD52" s="62"/>
      <c r="BE52" s="62"/>
      <c r="BF52" s="62"/>
      <c r="BG52" s="62"/>
      <c r="BH52" s="62"/>
      <c r="BI52" s="62"/>
      <c r="BJ52" s="62"/>
      <c r="BK52" s="62"/>
      <c r="BL52" s="62"/>
      <c r="BM52" s="96"/>
      <c r="BN52" s="62"/>
      <c r="BO52" s="62"/>
    </row>
    <row r="53" spans="1:67" s="3" customFormat="1" hidden="1">
      <c r="A53" s="30"/>
      <c r="B53" s="982"/>
      <c r="C53" s="972"/>
      <c r="D53" s="31" t="s">
        <v>284</v>
      </c>
      <c r="E53" s="32"/>
      <c r="F53" s="32"/>
      <c r="G53" s="32"/>
      <c r="H53" s="32"/>
      <c r="I53" s="32"/>
      <c r="J53" s="32"/>
      <c r="K53" s="60"/>
      <c r="L53" s="61"/>
      <c r="M53" s="62"/>
      <c r="N53" s="62"/>
      <c r="O53" s="62"/>
      <c r="P53" s="62"/>
      <c r="Q53" s="62"/>
      <c r="R53" s="62"/>
      <c r="S53" s="76"/>
      <c r="T53" s="76"/>
      <c r="U53" s="76"/>
      <c r="V53" s="62"/>
      <c r="W53" s="62"/>
      <c r="X53" s="62"/>
      <c r="Y53" s="62">
        <f>X53+Y52</f>
        <v>0</v>
      </c>
      <c r="Z53" s="62">
        <f>Y53+Z52</f>
        <v>0</v>
      </c>
      <c r="AA53" s="62">
        <f>Z53+AA52</f>
        <v>0</v>
      </c>
      <c r="AB53" s="62">
        <f>AA53+AB52</f>
        <v>0</v>
      </c>
      <c r="AC53" s="62">
        <f>AB53+AC52</f>
        <v>0</v>
      </c>
      <c r="AD53" s="62"/>
      <c r="AE53" s="62"/>
      <c r="AF53" s="62"/>
      <c r="AG53" s="62"/>
      <c r="AH53" s="62"/>
      <c r="AI53" s="62"/>
      <c r="AJ53" s="62"/>
      <c r="AK53" s="62"/>
      <c r="AL53" s="62"/>
      <c r="AM53" s="62"/>
      <c r="AN53" s="62"/>
      <c r="AO53" s="62"/>
      <c r="AP53" s="62"/>
      <c r="AQ53" s="62"/>
      <c r="AR53" s="62"/>
      <c r="AS53" s="62"/>
      <c r="AT53" s="62"/>
      <c r="AU53" s="62"/>
      <c r="AV53" s="62"/>
      <c r="AW53" s="62"/>
      <c r="AX53" s="62"/>
      <c r="AY53" s="62"/>
      <c r="AZ53" s="62"/>
      <c r="BA53" s="62"/>
      <c r="BB53" s="62"/>
      <c r="BC53" s="62"/>
      <c r="BD53" s="62"/>
      <c r="BE53" s="62"/>
      <c r="BF53" s="62"/>
      <c r="BG53" s="62"/>
      <c r="BH53" s="62"/>
      <c r="BI53" s="62"/>
      <c r="BJ53" s="62"/>
      <c r="BK53" s="62"/>
      <c r="BL53" s="62"/>
      <c r="BM53" s="96"/>
      <c r="BN53" s="62"/>
      <c r="BO53" s="62"/>
    </row>
    <row r="54" spans="1:67" s="3" customFormat="1" ht="15.2" hidden="1">
      <c r="A54" s="30"/>
      <c r="B54" s="981"/>
      <c r="C54" s="973"/>
      <c r="D54" s="963" t="s">
        <v>285</v>
      </c>
      <c r="E54" s="964"/>
      <c r="F54" s="964"/>
      <c r="G54" s="964"/>
      <c r="H54" s="964"/>
      <c r="I54" s="964"/>
      <c r="J54" s="964"/>
      <c r="K54" s="965"/>
      <c r="L54" s="63"/>
      <c r="M54" s="64"/>
      <c r="N54" s="64"/>
      <c r="O54" s="64"/>
      <c r="P54" s="64"/>
      <c r="Q54" s="64"/>
      <c r="R54" s="64"/>
      <c r="S54" s="77"/>
      <c r="T54" s="78"/>
      <c r="U54" s="78"/>
      <c r="V54" s="64"/>
      <c r="W54" s="64"/>
      <c r="X54" s="64"/>
      <c r="Y54" s="64">
        <f>Y53-Y51</f>
        <v>-5</v>
      </c>
      <c r="Z54" s="64">
        <f>Z53-Z51</f>
        <v>-15</v>
      </c>
      <c r="AA54" s="64">
        <f>AA53-AA51</f>
        <v>-35</v>
      </c>
      <c r="AB54" s="64">
        <f>AB53-AB51</f>
        <v>-60</v>
      </c>
      <c r="AC54" s="64">
        <f>AC53-AC51</f>
        <v>-100</v>
      </c>
      <c r="AD54" s="64"/>
      <c r="AE54" s="64"/>
      <c r="AF54" s="64"/>
      <c r="AG54" s="64"/>
      <c r="AH54" s="64"/>
      <c r="AI54" s="64"/>
      <c r="AJ54" s="64"/>
      <c r="AK54" s="64"/>
      <c r="AL54" s="64"/>
      <c r="AM54" s="64"/>
      <c r="AN54" s="64"/>
      <c r="AO54" s="64"/>
      <c r="AP54" s="64"/>
      <c r="AQ54" s="64"/>
      <c r="AR54" s="64"/>
      <c r="AS54" s="64"/>
      <c r="AT54" s="64"/>
      <c r="AU54" s="64"/>
      <c r="AV54" s="64"/>
      <c r="AW54" s="64"/>
      <c r="AX54" s="64"/>
      <c r="AY54" s="64"/>
      <c r="AZ54" s="64"/>
      <c r="BA54" s="64"/>
      <c r="BB54" s="64"/>
      <c r="BC54" s="64"/>
      <c r="BD54" s="64"/>
      <c r="BE54" s="64"/>
      <c r="BF54" s="64"/>
      <c r="BG54" s="64"/>
      <c r="BH54" s="64"/>
      <c r="BI54" s="64"/>
      <c r="BJ54" s="64"/>
      <c r="BK54" s="64"/>
      <c r="BL54" s="64"/>
      <c r="BM54" s="97"/>
      <c r="BN54" s="64"/>
      <c r="BO54" s="64"/>
    </row>
    <row r="55" spans="1:67" s="1" customFormat="1">
      <c r="B55" s="983">
        <v>7</v>
      </c>
      <c r="C55" s="971" t="s">
        <v>303</v>
      </c>
      <c r="D55" s="21" t="s">
        <v>304</v>
      </c>
      <c r="E55" s="22">
        <v>43508</v>
      </c>
      <c r="F55" s="23"/>
      <c r="G55" s="24" t="s">
        <v>305</v>
      </c>
      <c r="H55" s="24"/>
      <c r="I55" s="24" t="s">
        <v>275</v>
      </c>
      <c r="J55" s="65">
        <v>43569</v>
      </c>
      <c r="K55" s="66">
        <v>1</v>
      </c>
      <c r="L55" s="54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  <c r="AA55" s="19"/>
      <c r="AB55" s="19"/>
      <c r="AC55" s="19"/>
      <c r="AD55" s="19"/>
      <c r="AE55" s="19"/>
      <c r="AF55" s="19"/>
      <c r="AG55" s="19"/>
      <c r="AH55" s="19"/>
      <c r="AI55" s="19"/>
      <c r="AJ55" s="19"/>
      <c r="AK55" s="19"/>
      <c r="AL55" s="19"/>
      <c r="AM55" s="19"/>
      <c r="AN55" s="19"/>
      <c r="AO55" s="19"/>
      <c r="AP55" s="19"/>
      <c r="AQ55" s="19"/>
      <c r="AR55" s="19"/>
      <c r="AS55" s="19"/>
      <c r="AT55" s="19"/>
      <c r="AU55" s="19"/>
      <c r="AV55" s="19"/>
      <c r="AW55" s="19"/>
      <c r="AX55" s="19"/>
      <c r="AY55" s="19"/>
      <c r="AZ55" s="19"/>
      <c r="BA55" s="19"/>
      <c r="BB55" s="19"/>
      <c r="BC55" s="19"/>
      <c r="BD55" s="19"/>
      <c r="BE55" s="19"/>
      <c r="BF55" s="19"/>
      <c r="BG55" s="19"/>
      <c r="BH55" s="19"/>
      <c r="BI55" s="19"/>
      <c r="BJ55" s="19"/>
      <c r="BK55" s="19"/>
      <c r="BL55" s="82"/>
      <c r="BM55" s="54">
        <v>2</v>
      </c>
      <c r="BN55" s="19" t="s">
        <v>263</v>
      </c>
      <c r="BO55" s="102" t="s">
        <v>306</v>
      </c>
    </row>
    <row r="56" spans="1:67" s="1" customFormat="1">
      <c r="B56" s="984"/>
      <c r="C56" s="972"/>
      <c r="D56" s="25" t="s">
        <v>307</v>
      </c>
      <c r="E56" s="26"/>
      <c r="F56" s="27"/>
      <c r="G56" s="28"/>
      <c r="H56" s="28"/>
      <c r="I56" s="28"/>
      <c r="J56" s="67"/>
      <c r="K56" s="966">
        <v>0.6</v>
      </c>
      <c r="L56" s="54" t="s">
        <v>262</v>
      </c>
      <c r="M56" s="19"/>
      <c r="N56" s="19"/>
      <c r="O56" s="19"/>
      <c r="P56" s="19"/>
      <c r="Q56" s="19"/>
      <c r="R56" s="19"/>
      <c r="S56" s="19"/>
      <c r="T56" s="19"/>
      <c r="U56" s="19"/>
      <c r="V56" s="79">
        <v>5</v>
      </c>
      <c r="W56" s="79">
        <v>10</v>
      </c>
      <c r="X56" s="79">
        <v>20</v>
      </c>
      <c r="Y56" s="79">
        <v>25</v>
      </c>
      <c r="Z56" s="19"/>
      <c r="AA56" s="72"/>
      <c r="AB56" s="72"/>
      <c r="AC56" s="72"/>
      <c r="AD56" s="19"/>
      <c r="AE56" s="19"/>
      <c r="AF56" s="19"/>
      <c r="AG56" s="19"/>
      <c r="AH56" s="19"/>
      <c r="AI56" s="19"/>
      <c r="AJ56" s="19"/>
      <c r="AK56" s="19"/>
      <c r="AL56" s="19"/>
      <c r="AM56" s="19"/>
      <c r="AN56" s="19"/>
      <c r="AO56" s="19"/>
      <c r="AP56" s="19"/>
      <c r="AQ56" s="19"/>
      <c r="AR56" s="19"/>
      <c r="AS56" s="19"/>
      <c r="AT56" s="19"/>
      <c r="AU56" s="19"/>
      <c r="AV56" s="19"/>
      <c r="AW56" s="19"/>
      <c r="AX56" s="19"/>
      <c r="AY56" s="19"/>
      <c r="AZ56" s="19"/>
      <c r="BA56" s="19"/>
      <c r="BB56" s="19"/>
      <c r="BC56" s="19"/>
      <c r="BD56" s="19"/>
      <c r="BE56" s="19"/>
      <c r="BF56" s="19"/>
      <c r="BG56" s="19"/>
      <c r="BH56" s="19"/>
      <c r="BI56" s="19"/>
      <c r="BJ56" s="19"/>
      <c r="BK56" s="19"/>
      <c r="BL56" s="82"/>
      <c r="BM56" s="93"/>
      <c r="BN56" s="19"/>
      <c r="BO56" s="100"/>
    </row>
    <row r="57" spans="1:67" s="1" customFormat="1">
      <c r="B57" s="984"/>
      <c r="C57" s="972"/>
      <c r="D57" s="19"/>
      <c r="E57" s="18"/>
      <c r="F57" s="19"/>
      <c r="G57" s="20"/>
      <c r="H57" s="20"/>
      <c r="I57" s="20"/>
      <c r="J57" s="57"/>
      <c r="K57" s="967"/>
      <c r="L57" s="54" t="s">
        <v>264</v>
      </c>
      <c r="M57" s="19"/>
      <c r="N57" s="19"/>
      <c r="O57" s="19"/>
      <c r="P57" s="19"/>
      <c r="Q57" s="19"/>
      <c r="R57" s="19"/>
      <c r="S57" s="19"/>
      <c r="T57" s="19"/>
      <c r="U57" s="19"/>
      <c r="V57" s="73">
        <v>5</v>
      </c>
      <c r="W57" s="73">
        <v>55</v>
      </c>
      <c r="X57" s="80"/>
      <c r="Y57" s="19"/>
      <c r="Z57" s="19"/>
      <c r="AA57" s="72"/>
      <c r="AB57" s="72"/>
      <c r="AC57" s="72"/>
      <c r="AD57" s="19"/>
      <c r="AE57" s="19"/>
      <c r="AF57" s="19"/>
      <c r="AG57" s="19"/>
      <c r="AH57" s="19"/>
      <c r="AI57" s="19"/>
      <c r="AJ57" s="19"/>
      <c r="AK57" s="19"/>
      <c r="AL57" s="19"/>
      <c r="AM57" s="19"/>
      <c r="AN57" s="19"/>
      <c r="AO57" s="19"/>
      <c r="AP57" s="19"/>
      <c r="AQ57" s="19"/>
      <c r="AR57" s="19"/>
      <c r="AS57" s="19"/>
      <c r="AT57" s="19"/>
      <c r="AU57" s="19"/>
      <c r="AV57" s="19"/>
      <c r="AW57" s="19"/>
      <c r="AX57" s="19"/>
      <c r="AY57" s="19"/>
      <c r="AZ57" s="19"/>
      <c r="BA57" s="19"/>
      <c r="BB57" s="19"/>
      <c r="BC57" s="19"/>
      <c r="BD57" s="19"/>
      <c r="BE57" s="19"/>
      <c r="BF57" s="19"/>
      <c r="BG57" s="19"/>
      <c r="BH57" s="19"/>
      <c r="BI57" s="19"/>
      <c r="BJ57" s="19"/>
      <c r="BK57" s="19"/>
      <c r="BL57" s="82"/>
      <c r="BM57" s="93"/>
      <c r="BN57" s="19"/>
      <c r="BO57" s="103"/>
    </row>
    <row r="58" spans="1:67" s="1" customFormat="1">
      <c r="B58" s="984"/>
      <c r="C58" s="972"/>
      <c r="D58" s="35" t="s">
        <v>308</v>
      </c>
      <c r="E58" s="36"/>
      <c r="F58" s="37"/>
      <c r="G58" s="38"/>
      <c r="H58" s="38"/>
      <c r="I58" s="38"/>
      <c r="J58" s="68"/>
      <c r="K58" s="69"/>
      <c r="L58" s="54"/>
      <c r="M58" s="19"/>
      <c r="N58" s="19"/>
      <c r="O58" s="19"/>
      <c r="P58" s="19"/>
      <c r="Q58" s="19"/>
      <c r="R58" s="19"/>
      <c r="S58" s="19"/>
      <c r="T58" s="19"/>
      <c r="U58" s="19"/>
      <c r="V58" s="72"/>
      <c r="W58" s="19"/>
      <c r="X58" s="19"/>
      <c r="Y58" s="19"/>
      <c r="Z58" s="19"/>
      <c r="AA58" s="72"/>
      <c r="AB58" s="72"/>
      <c r="AC58" s="72"/>
      <c r="AD58" s="19"/>
      <c r="AE58" s="19"/>
      <c r="AF58" s="19"/>
      <c r="AG58" s="19"/>
      <c r="AH58" s="19"/>
      <c r="AI58" s="19"/>
      <c r="AJ58" s="19"/>
      <c r="AK58" s="19"/>
      <c r="AL58" s="19"/>
      <c r="AM58" s="19"/>
      <c r="AN58" s="19"/>
      <c r="AO58" s="19"/>
      <c r="AP58" s="19"/>
      <c r="AQ58" s="19"/>
      <c r="AR58" s="19"/>
      <c r="AS58" s="19"/>
      <c r="AT58" s="19"/>
      <c r="AU58" s="19"/>
      <c r="AV58" s="19"/>
      <c r="AW58" s="19"/>
      <c r="AX58" s="19"/>
      <c r="AY58" s="19"/>
      <c r="AZ58" s="19"/>
      <c r="BA58" s="19"/>
      <c r="BB58" s="19"/>
      <c r="BC58" s="19"/>
      <c r="BD58" s="19"/>
      <c r="BE58" s="19"/>
      <c r="BF58" s="19"/>
      <c r="BG58" s="19"/>
      <c r="BH58" s="19"/>
      <c r="BI58" s="86" t="s">
        <v>309</v>
      </c>
      <c r="BJ58" s="87" t="s">
        <v>310</v>
      </c>
      <c r="BK58" s="84">
        <v>2361686</v>
      </c>
      <c r="BL58" s="88">
        <v>4100000</v>
      </c>
      <c r="BM58" s="88"/>
      <c r="BN58" s="23" t="s">
        <v>263</v>
      </c>
      <c r="BO58" s="95" t="s">
        <v>311</v>
      </c>
    </row>
    <row r="59" spans="1:67" s="1" customFormat="1">
      <c r="B59" s="984"/>
      <c r="C59" s="972"/>
      <c r="D59" s="39" t="s">
        <v>312</v>
      </c>
      <c r="E59" s="36"/>
      <c r="F59" s="37"/>
      <c r="G59" s="38"/>
      <c r="H59" s="38"/>
      <c r="I59" s="38"/>
      <c r="J59" s="68"/>
      <c r="K59" s="69"/>
      <c r="L59" s="54"/>
      <c r="M59" s="19"/>
      <c r="N59" s="19"/>
      <c r="O59" s="19"/>
      <c r="P59" s="19"/>
      <c r="Q59" s="19"/>
      <c r="R59" s="19"/>
      <c r="S59" s="19"/>
      <c r="T59" s="19"/>
      <c r="U59" s="19"/>
      <c r="V59" s="72"/>
      <c r="W59" s="19"/>
      <c r="X59" s="19"/>
      <c r="Y59" s="19"/>
      <c r="Z59" s="19"/>
      <c r="AA59" s="72"/>
      <c r="AB59" s="72"/>
      <c r="AC59" s="72"/>
      <c r="AD59" s="19"/>
      <c r="AE59" s="19"/>
      <c r="AF59" s="19"/>
      <c r="AG59" s="19"/>
      <c r="AH59" s="19"/>
      <c r="AI59" s="19"/>
      <c r="AJ59" s="19"/>
      <c r="AK59" s="19"/>
      <c r="AL59" s="19"/>
      <c r="AM59" s="19"/>
      <c r="AN59" s="19"/>
      <c r="AO59" s="19"/>
      <c r="AP59" s="19"/>
      <c r="AQ59" s="19"/>
      <c r="AR59" s="19"/>
      <c r="AS59" s="19"/>
      <c r="AT59" s="19"/>
      <c r="AU59" s="19"/>
      <c r="AV59" s="19"/>
      <c r="AW59" s="19"/>
      <c r="AX59" s="19"/>
      <c r="AY59" s="19"/>
      <c r="AZ59" s="19"/>
      <c r="BA59" s="19"/>
      <c r="BB59" s="19"/>
      <c r="BC59" s="19"/>
      <c r="BD59" s="19"/>
      <c r="BE59" s="19"/>
      <c r="BF59" s="19"/>
      <c r="BG59" s="19"/>
      <c r="BH59" s="19"/>
      <c r="BI59" s="86" t="s">
        <v>309</v>
      </c>
      <c r="BJ59" s="87" t="s">
        <v>310</v>
      </c>
      <c r="BK59" s="84">
        <v>2361686</v>
      </c>
      <c r="BL59" s="89">
        <v>768000</v>
      </c>
      <c r="BM59" s="104"/>
      <c r="BN59" s="23" t="s">
        <v>263</v>
      </c>
      <c r="BO59" s="95" t="s">
        <v>311</v>
      </c>
    </row>
    <row r="60" spans="1:67" s="1" customFormat="1" ht="14.25" hidden="1" customHeight="1">
      <c r="B60" s="984"/>
      <c r="C60" s="972"/>
      <c r="D60" s="39" t="s">
        <v>313</v>
      </c>
      <c r="E60" s="36"/>
      <c r="F60" s="37"/>
      <c r="G60" s="38"/>
      <c r="H60" s="38"/>
      <c r="I60" s="38"/>
      <c r="J60" s="68"/>
      <c r="K60" s="69"/>
      <c r="L60" s="54"/>
      <c r="M60" s="19"/>
      <c r="N60" s="19"/>
      <c r="O60" s="19"/>
      <c r="P60" s="19"/>
      <c r="Q60" s="19"/>
      <c r="R60" s="19"/>
      <c r="S60" s="19"/>
      <c r="T60" s="19"/>
      <c r="U60" s="19"/>
      <c r="V60" s="72"/>
      <c r="W60" s="19"/>
      <c r="X60" s="19"/>
      <c r="Y60" s="19"/>
      <c r="Z60" s="19"/>
      <c r="AA60" s="72"/>
      <c r="AB60" s="72"/>
      <c r="AC60" s="72"/>
      <c r="AD60" s="19"/>
      <c r="AE60" s="19"/>
      <c r="AF60" s="19"/>
      <c r="AG60" s="19"/>
      <c r="AH60" s="19"/>
      <c r="AI60" s="19"/>
      <c r="AJ60" s="19"/>
      <c r="AK60" s="19"/>
      <c r="AL60" s="19"/>
      <c r="AM60" s="19"/>
      <c r="AN60" s="19"/>
      <c r="AO60" s="19"/>
      <c r="AP60" s="19"/>
      <c r="AQ60" s="19"/>
      <c r="AR60" s="19"/>
      <c r="AS60" s="19"/>
      <c r="AT60" s="19"/>
      <c r="AU60" s="19"/>
      <c r="AV60" s="19"/>
      <c r="AW60" s="19"/>
      <c r="AX60" s="19"/>
      <c r="AY60" s="19"/>
      <c r="AZ60" s="19"/>
      <c r="BA60" s="19"/>
      <c r="BB60" s="19"/>
      <c r="BC60" s="19"/>
      <c r="BD60" s="19"/>
      <c r="BE60" s="19"/>
      <c r="BF60" s="19"/>
      <c r="BG60" s="19"/>
      <c r="BH60" s="19"/>
      <c r="BI60" s="19"/>
      <c r="BJ60" s="19"/>
      <c r="BK60" s="19"/>
      <c r="BL60" s="90">
        <v>425000</v>
      </c>
      <c r="BM60" s="105"/>
      <c r="BN60" s="23" t="s">
        <v>263</v>
      </c>
      <c r="BO60" s="19" t="s">
        <v>314</v>
      </c>
    </row>
    <row r="61" spans="1:67" s="1" customFormat="1">
      <c r="B61" s="984"/>
      <c r="C61" s="972"/>
      <c r="D61" s="39" t="s">
        <v>315</v>
      </c>
      <c r="E61" s="36"/>
      <c r="F61" s="37"/>
      <c r="G61" s="38"/>
      <c r="H61" s="38"/>
      <c r="I61" s="38"/>
      <c r="J61" s="68"/>
      <c r="K61" s="69"/>
      <c r="L61" s="54"/>
      <c r="M61" s="19"/>
      <c r="N61" s="19"/>
      <c r="O61" s="19"/>
      <c r="P61" s="19"/>
      <c r="Q61" s="19"/>
      <c r="R61" s="19"/>
      <c r="S61" s="19"/>
      <c r="T61" s="19"/>
      <c r="U61" s="19"/>
      <c r="V61" s="72"/>
      <c r="W61" s="19"/>
      <c r="X61" s="19"/>
      <c r="Y61" s="19"/>
      <c r="Z61" s="19"/>
      <c r="AA61" s="72"/>
      <c r="AB61" s="72"/>
      <c r="AC61" s="72"/>
      <c r="AD61" s="19"/>
      <c r="AE61" s="19"/>
      <c r="AF61" s="19"/>
      <c r="AG61" s="19"/>
      <c r="AH61" s="19"/>
      <c r="AI61" s="19"/>
      <c r="AJ61" s="19"/>
      <c r="AK61" s="19"/>
      <c r="AL61" s="19"/>
      <c r="AM61" s="19"/>
      <c r="AN61" s="19"/>
      <c r="AO61" s="19"/>
      <c r="AP61" s="19"/>
      <c r="AQ61" s="19"/>
      <c r="AR61" s="19"/>
      <c r="AS61" s="19"/>
      <c r="AT61" s="19"/>
      <c r="AU61" s="19"/>
      <c r="AV61" s="19"/>
      <c r="AW61" s="19"/>
      <c r="AX61" s="19"/>
      <c r="AY61" s="19"/>
      <c r="AZ61" s="19"/>
      <c r="BA61" s="19"/>
      <c r="BB61" s="19"/>
      <c r="BC61" s="19"/>
      <c r="BD61" s="19"/>
      <c r="BE61" s="19"/>
      <c r="BF61" s="19"/>
      <c r="BG61" s="19"/>
      <c r="BH61" s="19"/>
      <c r="BI61" s="91" t="s">
        <v>316</v>
      </c>
      <c r="BJ61" s="84">
        <v>13593974</v>
      </c>
      <c r="BK61" s="92">
        <v>2388138</v>
      </c>
      <c r="BL61" s="90">
        <v>1651500</v>
      </c>
      <c r="BM61" s="105"/>
      <c r="BN61" s="23" t="s">
        <v>263</v>
      </c>
      <c r="BO61" s="95" t="s">
        <v>317</v>
      </c>
    </row>
    <row r="62" spans="1:67" s="1" customFormat="1">
      <c r="B62" s="984"/>
      <c r="C62" s="972"/>
      <c r="D62" s="39" t="s">
        <v>318</v>
      </c>
      <c r="E62" s="36"/>
      <c r="F62" s="37"/>
      <c r="G62" s="38"/>
      <c r="H62" s="38"/>
      <c r="I62" s="38"/>
      <c r="J62" s="68"/>
      <c r="K62" s="69"/>
      <c r="L62" s="54"/>
      <c r="M62" s="19"/>
      <c r="N62" s="19"/>
      <c r="O62" s="19"/>
      <c r="P62" s="19"/>
      <c r="Q62" s="19"/>
      <c r="R62" s="19"/>
      <c r="S62" s="19"/>
      <c r="T62" s="19"/>
      <c r="U62" s="19"/>
      <c r="V62" s="72"/>
      <c r="W62" s="19"/>
      <c r="X62" s="19"/>
      <c r="Y62" s="19"/>
      <c r="Z62" s="19"/>
      <c r="AA62" s="72"/>
      <c r="AB62" s="72"/>
      <c r="AC62" s="72"/>
      <c r="AD62" s="19"/>
      <c r="AE62" s="19"/>
      <c r="AF62" s="19"/>
      <c r="AG62" s="19"/>
      <c r="AH62" s="19"/>
      <c r="AI62" s="19"/>
      <c r="AJ62" s="19"/>
      <c r="AK62" s="19"/>
      <c r="AL62" s="19"/>
      <c r="AM62" s="19"/>
      <c r="AN62" s="19"/>
      <c r="AO62" s="19"/>
      <c r="AP62" s="19"/>
      <c r="AQ62" s="19"/>
      <c r="AR62" s="19"/>
      <c r="AS62" s="19"/>
      <c r="AT62" s="19"/>
      <c r="AU62" s="19"/>
      <c r="AV62" s="19"/>
      <c r="AW62" s="19"/>
      <c r="AX62" s="19"/>
      <c r="AY62" s="19"/>
      <c r="AZ62" s="19"/>
      <c r="BA62" s="19"/>
      <c r="BB62" s="19"/>
      <c r="BC62" s="19"/>
      <c r="BD62" s="19"/>
      <c r="BE62" s="19"/>
      <c r="BF62" s="19"/>
      <c r="BG62" s="19"/>
      <c r="BH62" s="19"/>
      <c r="BI62" s="91" t="s">
        <v>316</v>
      </c>
      <c r="BJ62" s="84">
        <v>13593974</v>
      </c>
      <c r="BK62" s="92">
        <v>2388138</v>
      </c>
      <c r="BL62" s="90">
        <v>8013140</v>
      </c>
      <c r="BM62" s="105"/>
      <c r="BN62" s="23" t="s">
        <v>263</v>
      </c>
      <c r="BO62" s="95" t="s">
        <v>317</v>
      </c>
    </row>
    <row r="63" spans="1:67" s="1" customFormat="1">
      <c r="B63" s="984"/>
      <c r="C63" s="972"/>
      <c r="D63" s="39" t="s">
        <v>319</v>
      </c>
      <c r="E63" s="36"/>
      <c r="F63" s="37"/>
      <c r="G63" s="38"/>
      <c r="H63" s="38"/>
      <c r="I63" s="38"/>
      <c r="J63" s="68"/>
      <c r="K63" s="69"/>
      <c r="L63" s="54"/>
      <c r="M63" s="19"/>
      <c r="N63" s="19"/>
      <c r="O63" s="19"/>
      <c r="P63" s="19"/>
      <c r="Q63" s="19"/>
      <c r="R63" s="19"/>
      <c r="S63" s="19"/>
      <c r="T63" s="19"/>
      <c r="U63" s="19"/>
      <c r="V63" s="72"/>
      <c r="W63" s="19"/>
      <c r="X63" s="19"/>
      <c r="Y63" s="19"/>
      <c r="Z63" s="19"/>
      <c r="AA63" s="72"/>
      <c r="AB63" s="72"/>
      <c r="AC63" s="72"/>
      <c r="AD63" s="19"/>
      <c r="AE63" s="19"/>
      <c r="AF63" s="19"/>
      <c r="AG63" s="19"/>
      <c r="AH63" s="19"/>
      <c r="AI63" s="19"/>
      <c r="AJ63" s="19"/>
      <c r="AK63" s="19"/>
      <c r="AL63" s="19"/>
      <c r="AM63" s="19"/>
      <c r="AN63" s="19"/>
      <c r="AO63" s="19"/>
      <c r="AP63" s="19"/>
      <c r="AQ63" s="19"/>
      <c r="AR63" s="19"/>
      <c r="AS63" s="19"/>
      <c r="AT63" s="19"/>
      <c r="AU63" s="19"/>
      <c r="AV63" s="19"/>
      <c r="AW63" s="19"/>
      <c r="AX63" s="19"/>
      <c r="AY63" s="19"/>
      <c r="AZ63" s="19"/>
      <c r="BA63" s="19"/>
      <c r="BB63" s="19"/>
      <c r="BC63" s="19"/>
      <c r="BD63" s="19"/>
      <c r="BE63" s="19"/>
      <c r="BF63" s="19"/>
      <c r="BG63" s="19"/>
      <c r="BH63" s="19"/>
      <c r="BI63" s="91" t="s">
        <v>316</v>
      </c>
      <c r="BJ63" s="84">
        <v>13593974</v>
      </c>
      <c r="BK63" s="92">
        <v>2388138</v>
      </c>
      <c r="BL63" s="90">
        <v>5860150</v>
      </c>
      <c r="BM63" s="105"/>
      <c r="BN63" s="23" t="s">
        <v>263</v>
      </c>
      <c r="BO63" s="95" t="s">
        <v>317</v>
      </c>
    </row>
    <row r="64" spans="1:67" s="1" customFormat="1">
      <c r="B64" s="984"/>
      <c r="C64" s="972"/>
      <c r="D64" s="39" t="s">
        <v>320</v>
      </c>
      <c r="E64" s="36"/>
      <c r="F64" s="37"/>
      <c r="G64" s="38"/>
      <c r="H64" s="38"/>
      <c r="I64" s="38"/>
      <c r="J64" s="68"/>
      <c r="K64" s="69"/>
      <c r="L64" s="54"/>
      <c r="M64" s="19"/>
      <c r="N64" s="19"/>
      <c r="O64" s="19"/>
      <c r="P64" s="19"/>
      <c r="Q64" s="19"/>
      <c r="R64" s="19"/>
      <c r="S64" s="19"/>
      <c r="T64" s="19"/>
      <c r="U64" s="19"/>
      <c r="V64" s="72"/>
      <c r="W64" s="19"/>
      <c r="X64" s="19"/>
      <c r="Y64" s="19"/>
      <c r="Z64" s="19"/>
      <c r="AA64" s="72"/>
      <c r="AB64" s="72"/>
      <c r="AC64" s="72"/>
      <c r="AD64" s="19"/>
      <c r="AE64" s="19"/>
      <c r="AF64" s="19"/>
      <c r="AG64" s="19"/>
      <c r="AH64" s="19"/>
      <c r="AI64" s="19"/>
      <c r="AJ64" s="19"/>
      <c r="AK64" s="19"/>
      <c r="AL64" s="19"/>
      <c r="AM64" s="19"/>
      <c r="AN64" s="19"/>
      <c r="AO64" s="19"/>
      <c r="AP64" s="19"/>
      <c r="AQ64" s="19"/>
      <c r="AR64" s="19"/>
      <c r="AS64" s="19"/>
      <c r="AT64" s="19"/>
      <c r="AU64" s="19"/>
      <c r="AV64" s="19"/>
      <c r="AW64" s="19"/>
      <c r="AX64" s="19"/>
      <c r="AY64" s="19"/>
      <c r="AZ64" s="19"/>
      <c r="BA64" s="19"/>
      <c r="BB64" s="19"/>
      <c r="BC64" s="19"/>
      <c r="BD64" s="19"/>
      <c r="BE64" s="19"/>
      <c r="BF64" s="19"/>
      <c r="BG64" s="19"/>
      <c r="BH64" s="19"/>
      <c r="BI64" s="91" t="s">
        <v>316</v>
      </c>
      <c r="BJ64" s="84">
        <v>13593974</v>
      </c>
      <c r="BK64" s="92">
        <v>2388138</v>
      </c>
      <c r="BL64" s="90">
        <v>5550000</v>
      </c>
      <c r="BM64" s="105"/>
      <c r="BN64" s="23" t="s">
        <v>263</v>
      </c>
      <c r="BO64" s="95" t="s">
        <v>317</v>
      </c>
    </row>
    <row r="65" spans="1:67" s="1" customFormat="1">
      <c r="B65" s="984"/>
      <c r="C65" s="972"/>
      <c r="D65" s="39" t="s">
        <v>321</v>
      </c>
      <c r="E65" s="36"/>
      <c r="F65" s="37"/>
      <c r="G65" s="38"/>
      <c r="H65" s="38"/>
      <c r="I65" s="38"/>
      <c r="J65" s="68"/>
      <c r="K65" s="69"/>
      <c r="L65" s="54"/>
      <c r="M65" s="19"/>
      <c r="N65" s="19"/>
      <c r="O65" s="19"/>
      <c r="P65" s="19"/>
      <c r="Q65" s="19"/>
      <c r="R65" s="19"/>
      <c r="S65" s="19"/>
      <c r="T65" s="19"/>
      <c r="U65" s="19"/>
      <c r="V65" s="72"/>
      <c r="W65" s="19"/>
      <c r="X65" s="19"/>
      <c r="Y65" s="19"/>
      <c r="Z65" s="19"/>
      <c r="AA65" s="72"/>
      <c r="AB65" s="72"/>
      <c r="AC65" s="72"/>
      <c r="AD65" s="19"/>
      <c r="AE65" s="19"/>
      <c r="AF65" s="19"/>
      <c r="AG65" s="19"/>
      <c r="AH65" s="19"/>
      <c r="AI65" s="19"/>
      <c r="AJ65" s="19"/>
      <c r="AK65" s="19"/>
      <c r="AL65" s="19"/>
      <c r="AM65" s="19"/>
      <c r="AN65" s="19"/>
      <c r="AO65" s="19"/>
      <c r="AP65" s="19"/>
      <c r="AQ65" s="19"/>
      <c r="AR65" s="19"/>
      <c r="AS65" s="19"/>
      <c r="AT65" s="19"/>
      <c r="AU65" s="19"/>
      <c r="AV65" s="19"/>
      <c r="AW65" s="19"/>
      <c r="AX65" s="19"/>
      <c r="AY65" s="19"/>
      <c r="AZ65" s="19"/>
      <c r="BA65" s="19"/>
      <c r="BB65" s="19"/>
      <c r="BC65" s="19"/>
      <c r="BD65" s="19"/>
      <c r="BE65" s="19"/>
      <c r="BF65" s="19"/>
      <c r="BG65" s="19"/>
      <c r="BH65" s="19"/>
      <c r="BI65" s="91" t="s">
        <v>316</v>
      </c>
      <c r="BJ65" s="84">
        <v>13593974</v>
      </c>
      <c r="BK65" s="92">
        <v>2388138</v>
      </c>
      <c r="BL65" s="89">
        <v>1250000</v>
      </c>
      <c r="BM65" s="104"/>
      <c r="BN65" s="23" t="s">
        <v>263</v>
      </c>
      <c r="BO65" s="95" t="s">
        <v>317</v>
      </c>
    </row>
    <row r="66" spans="1:67" s="1" customFormat="1" ht="14.25" hidden="1" customHeight="1">
      <c r="B66" s="984"/>
      <c r="C66" s="972"/>
      <c r="D66" s="106" t="s">
        <v>322</v>
      </c>
      <c r="E66" s="36"/>
      <c r="F66" s="37"/>
      <c r="G66" s="38"/>
      <c r="H66" s="38"/>
      <c r="I66" s="38"/>
      <c r="J66" s="68"/>
      <c r="K66" s="69"/>
      <c r="L66" s="54"/>
      <c r="M66" s="19"/>
      <c r="N66" s="19"/>
      <c r="O66" s="19"/>
      <c r="P66" s="19"/>
      <c r="Q66" s="19"/>
      <c r="R66" s="19"/>
      <c r="S66" s="19"/>
      <c r="T66" s="19"/>
      <c r="U66" s="19"/>
      <c r="V66" s="72"/>
      <c r="W66" s="19"/>
      <c r="X66" s="19"/>
      <c r="Y66" s="19"/>
      <c r="Z66" s="19"/>
      <c r="AA66" s="72"/>
      <c r="AB66" s="72"/>
      <c r="AC66" s="72"/>
      <c r="AD66" s="19"/>
      <c r="AE66" s="19"/>
      <c r="AF66" s="19"/>
      <c r="AG66" s="19"/>
      <c r="AH66" s="19"/>
      <c r="AI66" s="19"/>
      <c r="AJ66" s="19"/>
      <c r="AK66" s="19"/>
      <c r="AL66" s="19"/>
      <c r="AM66" s="19"/>
      <c r="AN66" s="19"/>
      <c r="AO66" s="19"/>
      <c r="AP66" s="19"/>
      <c r="AQ66" s="19"/>
      <c r="AR66" s="19"/>
      <c r="AS66" s="19"/>
      <c r="AT66" s="19"/>
      <c r="AU66" s="19"/>
      <c r="AV66" s="19"/>
      <c r="AW66" s="19"/>
      <c r="AX66" s="19"/>
      <c r="AY66" s="19"/>
      <c r="AZ66" s="19"/>
      <c r="BA66" s="19"/>
      <c r="BB66" s="19"/>
      <c r="BC66" s="19"/>
      <c r="BD66" s="19"/>
      <c r="BE66" s="19"/>
      <c r="BF66" s="19"/>
      <c r="BG66" s="19"/>
      <c r="BH66" s="19"/>
      <c r="BI66" s="19"/>
      <c r="BJ66" s="19"/>
      <c r="BK66" s="19"/>
      <c r="BL66" s="85">
        <v>5945040</v>
      </c>
      <c r="BM66" s="131"/>
      <c r="BN66" s="23" t="s">
        <v>263</v>
      </c>
      <c r="BO66" s="19" t="s">
        <v>314</v>
      </c>
    </row>
    <row r="67" spans="1:67" s="1" customFormat="1" ht="14.25" hidden="1" customHeight="1">
      <c r="B67" s="984"/>
      <c r="C67" s="972"/>
      <c r="D67" s="106" t="s">
        <v>323</v>
      </c>
      <c r="E67" s="36"/>
      <c r="F67" s="37"/>
      <c r="G67" s="38"/>
      <c r="H67" s="38"/>
      <c r="I67" s="38"/>
      <c r="J67" s="68"/>
      <c r="K67" s="69"/>
      <c r="L67" s="54"/>
      <c r="M67" s="19"/>
      <c r="N67" s="19"/>
      <c r="O67" s="19"/>
      <c r="P67" s="19"/>
      <c r="Q67" s="19"/>
      <c r="R67" s="19"/>
      <c r="S67" s="19"/>
      <c r="T67" s="19"/>
      <c r="U67" s="19"/>
      <c r="V67" s="72"/>
      <c r="W67" s="19"/>
      <c r="X67" s="19"/>
      <c r="Y67" s="19"/>
      <c r="Z67" s="19"/>
      <c r="AA67" s="72"/>
      <c r="AB67" s="72"/>
      <c r="AC67" s="72"/>
      <c r="AD67" s="19"/>
      <c r="AE67" s="19"/>
      <c r="AF67" s="19"/>
      <c r="AG67" s="19"/>
      <c r="AH67" s="19"/>
      <c r="AI67" s="19"/>
      <c r="AJ67" s="19"/>
      <c r="AK67" s="19"/>
      <c r="AL67" s="19"/>
      <c r="AM67" s="19"/>
      <c r="AN67" s="19"/>
      <c r="AO67" s="19"/>
      <c r="AP67" s="19"/>
      <c r="AQ67" s="19"/>
      <c r="AR67" s="19"/>
      <c r="AS67" s="19"/>
      <c r="AT67" s="19"/>
      <c r="AU67" s="19"/>
      <c r="AV67" s="19"/>
      <c r="AW67" s="19"/>
      <c r="AX67" s="19"/>
      <c r="AY67" s="19"/>
      <c r="AZ67" s="19"/>
      <c r="BA67" s="19"/>
      <c r="BB67" s="19"/>
      <c r="BC67" s="19"/>
      <c r="BD67" s="19"/>
      <c r="BE67" s="19"/>
      <c r="BF67" s="19"/>
      <c r="BG67" s="19"/>
      <c r="BH67" s="19"/>
      <c r="BI67" s="19"/>
      <c r="BJ67" s="19"/>
      <c r="BK67" s="19"/>
      <c r="BL67" s="90">
        <v>729720</v>
      </c>
      <c r="BM67" s="105"/>
      <c r="BN67" s="23" t="s">
        <v>263</v>
      </c>
      <c r="BO67" s="19" t="s">
        <v>314</v>
      </c>
    </row>
    <row r="68" spans="1:67" s="1" customFormat="1">
      <c r="B68" s="984"/>
      <c r="C68" s="972"/>
      <c r="D68" s="106" t="s">
        <v>324</v>
      </c>
      <c r="E68" s="36"/>
      <c r="F68" s="37"/>
      <c r="G68" s="38"/>
      <c r="H68" s="38"/>
      <c r="I68" s="38"/>
      <c r="J68" s="68"/>
      <c r="K68" s="69"/>
      <c r="L68" s="54"/>
      <c r="M68" s="19"/>
      <c r="N68" s="19"/>
      <c r="O68" s="19"/>
      <c r="P68" s="19"/>
      <c r="Q68" s="19"/>
      <c r="R68" s="19"/>
      <c r="S68" s="19"/>
      <c r="T68" s="19"/>
      <c r="U68" s="19"/>
      <c r="V68" s="72"/>
      <c r="W68" s="19"/>
      <c r="X68" s="19"/>
      <c r="Y68" s="19"/>
      <c r="Z68" s="19"/>
      <c r="AA68" s="72"/>
      <c r="AB68" s="72"/>
      <c r="AC68" s="72"/>
      <c r="AD68" s="19"/>
      <c r="AE68" s="19"/>
      <c r="AF68" s="19"/>
      <c r="AG68" s="19"/>
      <c r="AH68" s="19"/>
      <c r="AI68" s="19"/>
      <c r="AJ68" s="19"/>
      <c r="AK68" s="19"/>
      <c r="AL68" s="19"/>
      <c r="AM68" s="19"/>
      <c r="AN68" s="19"/>
      <c r="AO68" s="19"/>
      <c r="AP68" s="19"/>
      <c r="AQ68" s="19"/>
      <c r="AR68" s="19"/>
      <c r="AS68" s="19"/>
      <c r="AT68" s="19"/>
      <c r="AU68" s="19"/>
      <c r="AV68" s="19"/>
      <c r="AW68" s="19"/>
      <c r="AX68" s="19"/>
      <c r="AY68" s="19"/>
      <c r="AZ68" s="19"/>
      <c r="BA68" s="19"/>
      <c r="BB68" s="19"/>
      <c r="BC68" s="19"/>
      <c r="BD68" s="19"/>
      <c r="BE68" s="19"/>
      <c r="BF68" s="19"/>
      <c r="BG68" s="19"/>
      <c r="BH68" s="19"/>
      <c r="BI68" s="126" t="s">
        <v>325</v>
      </c>
      <c r="BJ68" s="84">
        <v>13596378</v>
      </c>
      <c r="BK68" s="84">
        <v>2395009</v>
      </c>
      <c r="BL68" s="105">
        <v>85700000</v>
      </c>
      <c r="BM68" s="105"/>
      <c r="BN68" s="23" t="s">
        <v>263</v>
      </c>
      <c r="BO68" s="19" t="s">
        <v>326</v>
      </c>
    </row>
    <row r="69" spans="1:67" s="1" customFormat="1">
      <c r="B69" s="984"/>
      <c r="C69" s="972"/>
      <c r="D69" s="25" t="s">
        <v>327</v>
      </c>
      <c r="E69" s="26"/>
      <c r="F69" s="27"/>
      <c r="G69" s="28"/>
      <c r="H69" s="28"/>
      <c r="I69" s="28"/>
      <c r="J69" s="67"/>
      <c r="K69" s="966">
        <v>0.3</v>
      </c>
      <c r="L69" s="54" t="s">
        <v>262</v>
      </c>
      <c r="M69" s="19"/>
      <c r="N69" s="19"/>
      <c r="O69" s="19"/>
      <c r="P69" s="19"/>
      <c r="Q69" s="19"/>
      <c r="R69" s="19"/>
      <c r="S69" s="19"/>
      <c r="T69" s="19"/>
      <c r="U69" s="19"/>
      <c r="V69" s="72"/>
      <c r="W69" s="19"/>
      <c r="X69" s="19"/>
      <c r="Y69" s="19"/>
      <c r="Z69" s="79">
        <v>30</v>
      </c>
      <c r="AA69" s="72"/>
      <c r="AB69" s="72"/>
      <c r="AC69" s="72"/>
      <c r="AD69" s="19"/>
      <c r="AE69" s="19"/>
      <c r="AF69" s="19"/>
      <c r="AG69" s="19"/>
      <c r="AH69" s="19"/>
      <c r="AI69" s="19"/>
      <c r="AJ69" s="19"/>
      <c r="AK69" s="19"/>
      <c r="AL69" s="19"/>
      <c r="AM69" s="19"/>
      <c r="AN69" s="19"/>
      <c r="AO69" s="19"/>
      <c r="AP69" s="19"/>
      <c r="AQ69" s="19"/>
      <c r="AR69" s="19"/>
      <c r="AS69" s="19"/>
      <c r="AT69" s="19"/>
      <c r="AU69" s="19"/>
      <c r="AV69" s="19"/>
      <c r="AW69" s="19"/>
      <c r="AX69" s="19"/>
      <c r="AY69" s="19"/>
      <c r="AZ69" s="19"/>
      <c r="BA69" s="19"/>
      <c r="BB69" s="19"/>
      <c r="BC69" s="19"/>
      <c r="BD69" s="19"/>
      <c r="BE69" s="19"/>
      <c r="BF69" s="19"/>
      <c r="BG69" s="19"/>
      <c r="BH69" s="19"/>
      <c r="BI69" s="19"/>
      <c r="BJ69" s="19"/>
      <c r="BK69" s="19"/>
      <c r="BL69" s="82"/>
      <c r="BM69" s="93"/>
      <c r="BN69" s="19"/>
      <c r="BO69" s="19"/>
    </row>
    <row r="70" spans="1:67" s="1" customFormat="1">
      <c r="B70" s="984"/>
      <c r="C70" s="972"/>
      <c r="D70" s="29"/>
      <c r="E70" s="18"/>
      <c r="F70" s="19"/>
      <c r="G70" s="20"/>
      <c r="H70" s="20"/>
      <c r="I70" s="20"/>
      <c r="J70" s="57"/>
      <c r="K70" s="967"/>
      <c r="L70" s="54" t="s">
        <v>264</v>
      </c>
      <c r="M70" s="19"/>
      <c r="N70" s="19"/>
      <c r="O70" s="19"/>
      <c r="P70" s="19"/>
      <c r="Q70" s="19"/>
      <c r="R70" s="19"/>
      <c r="S70" s="19"/>
      <c r="T70" s="19"/>
      <c r="U70" s="19"/>
      <c r="V70" s="72"/>
      <c r="W70" s="19"/>
      <c r="X70" s="73">
        <v>30</v>
      </c>
      <c r="Y70" s="33"/>
      <c r="Z70" s="72"/>
      <c r="AA70" s="72"/>
      <c r="AB70" s="72"/>
      <c r="AC70" s="72"/>
      <c r="AD70" s="19"/>
      <c r="AE70" s="19"/>
      <c r="AF70" s="19"/>
      <c r="AG70" s="19"/>
      <c r="AH70" s="19"/>
      <c r="AI70" s="19"/>
      <c r="AJ70" s="19"/>
      <c r="AK70" s="19"/>
      <c r="AL70" s="19"/>
      <c r="AM70" s="19"/>
      <c r="AN70" s="19"/>
      <c r="AO70" s="19"/>
      <c r="AP70" s="19"/>
      <c r="AQ70" s="19"/>
      <c r="AR70" s="19"/>
      <c r="AS70" s="19"/>
      <c r="AT70" s="19"/>
      <c r="AU70" s="19"/>
      <c r="AV70" s="19"/>
      <c r="AW70" s="19"/>
      <c r="AX70" s="19"/>
      <c r="AY70" s="19"/>
      <c r="AZ70" s="19"/>
      <c r="BA70" s="19"/>
      <c r="BB70" s="19"/>
      <c r="BC70" s="19"/>
      <c r="BD70" s="19"/>
      <c r="BE70" s="19"/>
      <c r="BF70" s="19"/>
      <c r="BG70" s="19"/>
      <c r="BH70" s="19"/>
      <c r="BI70" s="19"/>
      <c r="BJ70" s="19"/>
      <c r="BK70" s="19"/>
      <c r="BL70" s="82"/>
      <c r="BM70" s="93"/>
      <c r="BN70" s="19" t="s">
        <v>263</v>
      </c>
      <c r="BO70" s="19" t="s">
        <v>328</v>
      </c>
    </row>
    <row r="71" spans="1:67" s="1" customFormat="1">
      <c r="B71" s="984"/>
      <c r="C71" s="972"/>
      <c r="D71" s="25" t="s">
        <v>329</v>
      </c>
      <c r="E71" s="26"/>
      <c r="F71" s="27"/>
      <c r="G71" s="28"/>
      <c r="H71" s="28"/>
      <c r="I71" s="28"/>
      <c r="J71" s="67"/>
      <c r="K71" s="966">
        <v>0.1</v>
      </c>
      <c r="L71" s="54" t="s">
        <v>262</v>
      </c>
      <c r="M71" s="19"/>
      <c r="N71" s="19"/>
      <c r="O71" s="19"/>
      <c r="P71" s="19"/>
      <c r="Q71" s="19"/>
      <c r="R71" s="19"/>
      <c r="S71" s="19"/>
      <c r="T71" s="19"/>
      <c r="U71" s="19"/>
      <c r="V71" s="72"/>
      <c r="W71" s="19"/>
      <c r="X71" s="33"/>
      <c r="Y71" s="33"/>
      <c r="Z71" s="79">
        <v>10</v>
      </c>
      <c r="AA71" s="72"/>
      <c r="AB71" s="72"/>
      <c r="AC71" s="72"/>
      <c r="AD71" s="19"/>
      <c r="AE71" s="19"/>
      <c r="AF71" s="19"/>
      <c r="AG71" s="19"/>
      <c r="AH71" s="19"/>
      <c r="AI71" s="19"/>
      <c r="AJ71" s="19"/>
      <c r="AK71" s="19"/>
      <c r="AL71" s="19"/>
      <c r="AM71" s="19"/>
      <c r="AN71" s="19"/>
      <c r="AO71" s="19"/>
      <c r="AP71" s="19"/>
      <c r="AQ71" s="19"/>
      <c r="AR71" s="19"/>
      <c r="AS71" s="19"/>
      <c r="AT71" s="19"/>
      <c r="AU71" s="19"/>
      <c r="AV71" s="19"/>
      <c r="AW71" s="19"/>
      <c r="AX71" s="19"/>
      <c r="AY71" s="19"/>
      <c r="AZ71" s="19"/>
      <c r="BA71" s="19"/>
      <c r="BB71" s="19"/>
      <c r="BC71" s="19"/>
      <c r="BD71" s="19"/>
      <c r="BE71" s="19"/>
      <c r="BF71" s="19"/>
      <c r="BG71" s="19"/>
      <c r="BH71" s="19"/>
      <c r="BI71" s="19"/>
      <c r="BJ71" s="19"/>
      <c r="BK71" s="19"/>
      <c r="BL71" s="82"/>
      <c r="BM71" s="93"/>
      <c r="BN71" s="19"/>
      <c r="BO71" s="19"/>
    </row>
    <row r="72" spans="1:67" s="1" customFormat="1" ht="29.85">
      <c r="B72" s="984"/>
      <c r="C72" s="972"/>
      <c r="D72" s="29"/>
      <c r="E72" s="18"/>
      <c r="F72" s="19"/>
      <c r="G72" s="20"/>
      <c r="H72" s="20"/>
      <c r="I72" s="20"/>
      <c r="J72" s="57"/>
      <c r="K72" s="967"/>
      <c r="L72" s="54" t="s">
        <v>264</v>
      </c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73">
        <v>5</v>
      </c>
      <c r="Y72" s="73">
        <v>5</v>
      </c>
      <c r="Z72" s="72"/>
      <c r="AA72" s="72"/>
      <c r="AB72" s="72"/>
      <c r="AC72" s="72"/>
      <c r="AD72" s="19"/>
      <c r="AE72" s="19"/>
      <c r="AF72" s="19"/>
      <c r="AG72" s="19"/>
      <c r="AH72" s="19"/>
      <c r="AI72" s="19"/>
      <c r="AJ72" s="19"/>
      <c r="AK72" s="19"/>
      <c r="AL72" s="19"/>
      <c r="AM72" s="19"/>
      <c r="AN72" s="19"/>
      <c r="AO72" s="19"/>
      <c r="AP72" s="19"/>
      <c r="AQ72" s="19"/>
      <c r="AR72" s="19"/>
      <c r="AS72" s="19"/>
      <c r="AT72" s="19"/>
      <c r="AU72" s="19"/>
      <c r="AV72" s="19"/>
      <c r="AW72" s="19"/>
      <c r="AX72" s="19"/>
      <c r="AY72" s="19"/>
      <c r="AZ72" s="19"/>
      <c r="BA72" s="19"/>
      <c r="BB72" s="19"/>
      <c r="BC72" s="19"/>
      <c r="BD72" s="19"/>
      <c r="BE72" s="19"/>
      <c r="BF72" s="19"/>
      <c r="BG72" s="19"/>
      <c r="BH72" s="19"/>
      <c r="BI72" s="19"/>
      <c r="BJ72" s="19"/>
      <c r="BK72" s="19"/>
      <c r="BL72" s="82"/>
      <c r="BM72" s="93"/>
      <c r="BN72" s="132" t="s">
        <v>263</v>
      </c>
      <c r="BO72" s="20" t="s">
        <v>330</v>
      </c>
    </row>
    <row r="73" spans="1:67" s="3" customFormat="1" ht="14.65" hidden="1" customHeight="1">
      <c r="A73" s="30"/>
      <c r="B73" s="984"/>
      <c r="C73" s="972"/>
      <c r="D73" s="957" t="s">
        <v>281</v>
      </c>
      <c r="E73" s="958"/>
      <c r="F73" s="958"/>
      <c r="G73" s="958"/>
      <c r="H73" s="958"/>
      <c r="I73" s="958"/>
      <c r="J73" s="958"/>
      <c r="K73" s="959"/>
      <c r="L73" s="58"/>
      <c r="M73" s="59"/>
      <c r="N73" s="59"/>
      <c r="O73" s="59"/>
      <c r="P73" s="59"/>
      <c r="Q73" s="59"/>
      <c r="R73" s="59"/>
      <c r="S73" s="75"/>
      <c r="T73" s="75"/>
      <c r="U73" s="75"/>
      <c r="V73" s="59">
        <f>V56+V69+V71</f>
        <v>5</v>
      </c>
      <c r="W73" s="59">
        <f>W56+W69+W71</f>
        <v>10</v>
      </c>
      <c r="X73" s="59">
        <f>X56+X69+X71</f>
        <v>20</v>
      </c>
      <c r="Y73" s="59">
        <f>Y56+Y69+Y71</f>
        <v>25</v>
      </c>
      <c r="Z73" s="59">
        <f>Z56+Z69+Z71</f>
        <v>40</v>
      </c>
      <c r="AA73" s="59"/>
      <c r="AB73" s="59"/>
      <c r="AC73" s="59"/>
      <c r="AD73" s="59"/>
      <c r="AE73" s="59"/>
      <c r="AF73" s="59"/>
      <c r="AG73" s="59"/>
      <c r="AH73" s="59"/>
      <c r="AI73" s="59"/>
      <c r="AJ73" s="59"/>
      <c r="AK73" s="59"/>
      <c r="AL73" s="59"/>
      <c r="AM73" s="59"/>
      <c r="AN73" s="59"/>
      <c r="AO73" s="59"/>
      <c r="AP73" s="59"/>
      <c r="AQ73" s="59"/>
      <c r="AR73" s="59"/>
      <c r="AS73" s="59"/>
      <c r="AT73" s="59"/>
      <c r="AU73" s="59"/>
      <c r="AV73" s="59"/>
      <c r="AW73" s="59"/>
      <c r="AX73" s="59"/>
      <c r="AY73" s="59"/>
      <c r="AZ73" s="59"/>
      <c r="BA73" s="59"/>
      <c r="BB73" s="59"/>
      <c r="BC73" s="59"/>
      <c r="BD73" s="59"/>
      <c r="BE73" s="59"/>
      <c r="BF73" s="59"/>
      <c r="BG73" s="59"/>
      <c r="BH73" s="59"/>
      <c r="BI73" s="59"/>
      <c r="BJ73" s="59"/>
      <c r="BK73" s="59"/>
      <c r="BL73" s="59"/>
      <c r="BM73" s="58"/>
      <c r="BN73" s="59"/>
      <c r="BO73" s="59"/>
    </row>
    <row r="74" spans="1:67" s="3" customFormat="1" ht="14.65" hidden="1" customHeight="1">
      <c r="A74" s="30"/>
      <c r="B74" s="984"/>
      <c r="C74" s="972"/>
      <c r="D74" s="31" t="s">
        <v>282</v>
      </c>
      <c r="E74" s="32"/>
      <c r="F74" s="32"/>
      <c r="G74" s="32"/>
      <c r="H74" s="32"/>
      <c r="I74" s="32"/>
      <c r="J74" s="32"/>
      <c r="K74" s="60"/>
      <c r="L74" s="61"/>
      <c r="M74" s="62"/>
      <c r="N74" s="62"/>
      <c r="O74" s="62"/>
      <c r="P74" s="62"/>
      <c r="Q74" s="62"/>
      <c r="R74" s="62"/>
      <c r="S74" s="76"/>
      <c r="T74" s="76"/>
      <c r="U74" s="76"/>
      <c r="V74" s="62">
        <f>U74+V73</f>
        <v>5</v>
      </c>
      <c r="W74" s="62">
        <f>V74+W73</f>
        <v>15</v>
      </c>
      <c r="X74" s="62">
        <f>W74+X73</f>
        <v>35</v>
      </c>
      <c r="Y74" s="62">
        <f>X74+Y73</f>
        <v>60</v>
      </c>
      <c r="Z74" s="62">
        <f>Y74+Z73</f>
        <v>100</v>
      </c>
      <c r="AA74" s="62"/>
      <c r="AB74" s="62"/>
      <c r="AC74" s="62"/>
      <c r="AD74" s="62"/>
      <c r="AE74" s="62"/>
      <c r="AF74" s="62"/>
      <c r="AG74" s="62"/>
      <c r="AH74" s="62"/>
      <c r="AI74" s="62"/>
      <c r="AJ74" s="62"/>
      <c r="AK74" s="62"/>
      <c r="AL74" s="62"/>
      <c r="AM74" s="62"/>
      <c r="AN74" s="62"/>
      <c r="AO74" s="62"/>
      <c r="AP74" s="62"/>
      <c r="AQ74" s="62"/>
      <c r="AR74" s="62"/>
      <c r="AS74" s="62"/>
      <c r="AT74" s="62"/>
      <c r="AU74" s="62"/>
      <c r="AV74" s="62"/>
      <c r="AW74" s="62"/>
      <c r="AX74" s="62"/>
      <c r="AY74" s="62"/>
      <c r="AZ74" s="62"/>
      <c r="BA74" s="62"/>
      <c r="BB74" s="62"/>
      <c r="BC74" s="62"/>
      <c r="BD74" s="62"/>
      <c r="BE74" s="62"/>
      <c r="BF74" s="62"/>
      <c r="BG74" s="62"/>
      <c r="BH74" s="62"/>
      <c r="BI74" s="62"/>
      <c r="BJ74" s="62"/>
      <c r="BK74" s="62"/>
      <c r="BL74" s="62"/>
      <c r="BM74" s="96"/>
      <c r="BN74" s="62"/>
      <c r="BO74" s="62"/>
    </row>
    <row r="75" spans="1:67" s="3" customFormat="1" ht="14.65" hidden="1" customHeight="1">
      <c r="A75" s="30"/>
      <c r="B75" s="984"/>
      <c r="C75" s="972"/>
      <c r="D75" s="960" t="s">
        <v>283</v>
      </c>
      <c r="E75" s="961"/>
      <c r="F75" s="961"/>
      <c r="G75" s="961"/>
      <c r="H75" s="961"/>
      <c r="I75" s="961"/>
      <c r="J75" s="961"/>
      <c r="K75" s="962"/>
      <c r="L75" s="61"/>
      <c r="M75" s="62"/>
      <c r="N75" s="62"/>
      <c r="O75" s="62"/>
      <c r="P75" s="62"/>
      <c r="Q75" s="62"/>
      <c r="R75" s="62"/>
      <c r="S75" s="76"/>
      <c r="T75" s="76"/>
      <c r="U75" s="76"/>
      <c r="V75" s="62">
        <f>V57+V70+V72</f>
        <v>5</v>
      </c>
      <c r="W75" s="62">
        <f>W57+W70+W72</f>
        <v>55</v>
      </c>
      <c r="X75" s="62">
        <f>X57+X70+X72</f>
        <v>35</v>
      </c>
      <c r="Y75" s="62">
        <f>Y57+Y70+Y72</f>
        <v>5</v>
      </c>
      <c r="Z75" s="62">
        <f>Z57+Z70+Z72</f>
        <v>0</v>
      </c>
      <c r="AA75" s="62"/>
      <c r="AB75" s="62"/>
      <c r="AC75" s="62"/>
      <c r="AD75" s="62"/>
      <c r="AE75" s="62"/>
      <c r="AF75" s="62"/>
      <c r="AG75" s="62"/>
      <c r="AH75" s="62"/>
      <c r="AI75" s="62"/>
      <c r="AJ75" s="62"/>
      <c r="AK75" s="62"/>
      <c r="AL75" s="62"/>
      <c r="AM75" s="62"/>
      <c r="AN75" s="62"/>
      <c r="AO75" s="62"/>
      <c r="AP75" s="62"/>
      <c r="AQ75" s="62"/>
      <c r="AR75" s="62"/>
      <c r="AS75" s="62"/>
      <c r="AT75" s="62"/>
      <c r="AU75" s="62"/>
      <c r="AV75" s="62"/>
      <c r="AW75" s="62"/>
      <c r="AX75" s="62"/>
      <c r="AY75" s="62"/>
      <c r="AZ75" s="62"/>
      <c r="BA75" s="62"/>
      <c r="BB75" s="62"/>
      <c r="BC75" s="62"/>
      <c r="BD75" s="62"/>
      <c r="BE75" s="62"/>
      <c r="BF75" s="62"/>
      <c r="BG75" s="62"/>
      <c r="BH75" s="62"/>
      <c r="BI75" s="62"/>
      <c r="BJ75" s="62"/>
      <c r="BK75" s="62"/>
      <c r="BL75" s="62"/>
      <c r="BM75" s="96"/>
      <c r="BN75" s="62"/>
      <c r="BO75" s="62"/>
    </row>
    <row r="76" spans="1:67" s="3" customFormat="1" ht="14.65" hidden="1" customHeight="1">
      <c r="A76" s="30"/>
      <c r="B76" s="984"/>
      <c r="C76" s="972"/>
      <c r="D76" s="31" t="s">
        <v>284</v>
      </c>
      <c r="E76" s="32"/>
      <c r="F76" s="32"/>
      <c r="G76" s="32"/>
      <c r="H76" s="32"/>
      <c r="I76" s="32"/>
      <c r="J76" s="32"/>
      <c r="K76" s="60"/>
      <c r="L76" s="61"/>
      <c r="M76" s="62"/>
      <c r="N76" s="62"/>
      <c r="O76" s="62"/>
      <c r="P76" s="62"/>
      <c r="Q76" s="62"/>
      <c r="R76" s="62"/>
      <c r="S76" s="76"/>
      <c r="T76" s="76"/>
      <c r="U76" s="76"/>
      <c r="V76" s="62">
        <f>U76+V75</f>
        <v>5</v>
      </c>
      <c r="W76" s="62">
        <f>V76+W75</f>
        <v>60</v>
      </c>
      <c r="X76" s="62">
        <f>W76+X75</f>
        <v>95</v>
      </c>
      <c r="Y76" s="62">
        <f>X76+Y75</f>
        <v>100</v>
      </c>
      <c r="Z76" s="62">
        <f>Y76+Z75</f>
        <v>100</v>
      </c>
      <c r="AA76" s="62"/>
      <c r="AB76" s="62"/>
      <c r="AC76" s="62"/>
      <c r="AD76" s="62"/>
      <c r="AE76" s="62"/>
      <c r="AF76" s="62"/>
      <c r="AG76" s="62"/>
      <c r="AH76" s="62"/>
      <c r="AI76" s="62"/>
      <c r="AJ76" s="62"/>
      <c r="AK76" s="62"/>
      <c r="AL76" s="62"/>
      <c r="AM76" s="62"/>
      <c r="AN76" s="62"/>
      <c r="AO76" s="62"/>
      <c r="AP76" s="62"/>
      <c r="AQ76" s="62"/>
      <c r="AR76" s="62"/>
      <c r="AS76" s="62"/>
      <c r="AT76" s="62"/>
      <c r="AU76" s="62"/>
      <c r="AV76" s="62"/>
      <c r="AW76" s="62"/>
      <c r="AX76" s="62"/>
      <c r="AY76" s="62"/>
      <c r="AZ76" s="62"/>
      <c r="BA76" s="62"/>
      <c r="BB76" s="62"/>
      <c r="BC76" s="62"/>
      <c r="BD76" s="62"/>
      <c r="BE76" s="62"/>
      <c r="BF76" s="62"/>
      <c r="BG76" s="62"/>
      <c r="BH76" s="62"/>
      <c r="BI76" s="62"/>
      <c r="BJ76" s="62"/>
      <c r="BK76" s="62"/>
      <c r="BL76" s="62"/>
      <c r="BM76" s="96"/>
      <c r="BN76" s="62"/>
      <c r="BO76" s="62"/>
    </row>
    <row r="77" spans="1:67" s="3" customFormat="1" ht="14.65" hidden="1" customHeight="1">
      <c r="A77" s="30"/>
      <c r="B77" s="984"/>
      <c r="C77" s="972"/>
      <c r="D77" s="963" t="s">
        <v>285</v>
      </c>
      <c r="E77" s="964"/>
      <c r="F77" s="964"/>
      <c r="G77" s="964"/>
      <c r="H77" s="964"/>
      <c r="I77" s="964"/>
      <c r="J77" s="964"/>
      <c r="K77" s="965"/>
      <c r="L77" s="63"/>
      <c r="M77" s="64"/>
      <c r="N77" s="64"/>
      <c r="O77" s="64"/>
      <c r="P77" s="64"/>
      <c r="Q77" s="64"/>
      <c r="R77" s="64"/>
      <c r="S77" s="77"/>
      <c r="T77" s="78"/>
      <c r="U77" s="78"/>
      <c r="V77" s="64">
        <f>V76-V74</f>
        <v>0</v>
      </c>
      <c r="W77" s="64">
        <f>W76-W74</f>
        <v>45</v>
      </c>
      <c r="X77" s="64">
        <f>X76-X74</f>
        <v>60</v>
      </c>
      <c r="Y77" s="64">
        <f>Y76-Y74</f>
        <v>40</v>
      </c>
      <c r="Z77" s="64">
        <f>Z76-Z74</f>
        <v>0</v>
      </c>
      <c r="AA77" s="64"/>
      <c r="AB77" s="64"/>
      <c r="AC77" s="64"/>
      <c r="AD77" s="64"/>
      <c r="AE77" s="64"/>
      <c r="AF77" s="64"/>
      <c r="AG77" s="64"/>
      <c r="AH77" s="64"/>
      <c r="AI77" s="64"/>
      <c r="AJ77" s="64"/>
      <c r="AK77" s="64"/>
      <c r="AL77" s="64"/>
      <c r="AM77" s="64"/>
      <c r="AN77" s="64"/>
      <c r="AO77" s="64"/>
      <c r="AP77" s="64"/>
      <c r="AQ77" s="64"/>
      <c r="AR77" s="64"/>
      <c r="AS77" s="64"/>
      <c r="AT77" s="64"/>
      <c r="AU77" s="64"/>
      <c r="AV77" s="64"/>
      <c r="AW77" s="64"/>
      <c r="AX77" s="64"/>
      <c r="AY77" s="64"/>
      <c r="AZ77" s="64"/>
      <c r="BA77" s="64"/>
      <c r="BB77" s="64"/>
      <c r="BC77" s="64"/>
      <c r="BD77" s="64"/>
      <c r="BE77" s="64"/>
      <c r="BF77" s="64"/>
      <c r="BG77" s="64"/>
      <c r="BH77" s="64"/>
      <c r="BI77" s="127"/>
      <c r="BJ77" s="127"/>
      <c r="BK77" s="127"/>
      <c r="BL77" s="127"/>
      <c r="BM77" s="133"/>
      <c r="BN77" s="64"/>
      <c r="BO77" s="64"/>
    </row>
    <row r="78" spans="1:67" s="1" customFormat="1" ht="14.25" customHeight="1">
      <c r="B78" s="984"/>
      <c r="C78" s="972"/>
      <c r="D78" s="21" t="s">
        <v>331</v>
      </c>
      <c r="E78" s="22">
        <v>43508</v>
      </c>
      <c r="F78" s="23"/>
      <c r="G78" s="24" t="s">
        <v>305</v>
      </c>
      <c r="H78" s="24"/>
      <c r="I78" s="24" t="s">
        <v>275</v>
      </c>
      <c r="J78" s="65">
        <v>43569</v>
      </c>
      <c r="K78" s="66">
        <v>1</v>
      </c>
      <c r="L78" s="54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  <c r="AA78" s="19"/>
      <c r="AB78" s="19"/>
      <c r="AC78" s="19"/>
      <c r="AD78" s="19"/>
      <c r="AE78" s="19"/>
      <c r="AF78" s="19"/>
      <c r="AG78" s="19"/>
      <c r="AH78" s="19"/>
      <c r="AI78" s="19"/>
      <c r="AJ78" s="19"/>
      <c r="AK78" s="19"/>
      <c r="AL78" s="19"/>
      <c r="AM78" s="19"/>
      <c r="AN78" s="19"/>
      <c r="AO78" s="19"/>
      <c r="AP78" s="19"/>
      <c r="AQ78" s="19"/>
      <c r="AR78" s="19"/>
      <c r="AS78" s="19"/>
      <c r="AT78" s="19"/>
      <c r="AU78" s="19"/>
      <c r="AV78" s="19"/>
      <c r="AW78" s="19"/>
      <c r="AX78" s="19"/>
      <c r="AY78" s="19"/>
      <c r="AZ78" s="19"/>
      <c r="BA78" s="19"/>
      <c r="BB78" s="19"/>
      <c r="BC78" s="19"/>
      <c r="BD78" s="19"/>
      <c r="BE78" s="19"/>
      <c r="BF78" s="19"/>
      <c r="BG78" s="19"/>
      <c r="BH78" s="19"/>
      <c r="BI78" s="128" t="s">
        <v>332</v>
      </c>
      <c r="BJ78" s="84">
        <v>13589661</v>
      </c>
      <c r="BK78" s="87" t="s">
        <v>333</v>
      </c>
      <c r="BL78" s="89">
        <v>7630000</v>
      </c>
      <c r="BM78" s="54">
        <v>2</v>
      </c>
      <c r="BN78" s="19" t="s">
        <v>334</v>
      </c>
      <c r="BO78" s="102"/>
    </row>
    <row r="79" spans="1:67" s="1" customFormat="1">
      <c r="B79" s="984"/>
      <c r="C79" s="972"/>
      <c r="D79" s="25" t="s">
        <v>335</v>
      </c>
      <c r="E79" s="26"/>
      <c r="F79" s="27"/>
      <c r="G79" s="28"/>
      <c r="H79" s="28"/>
      <c r="I79" s="28"/>
      <c r="J79" s="67"/>
      <c r="K79" s="966">
        <v>0.6</v>
      </c>
      <c r="L79" s="54" t="s">
        <v>262</v>
      </c>
      <c r="M79" s="19"/>
      <c r="N79" s="19"/>
      <c r="O79" s="19"/>
      <c r="P79" s="19"/>
      <c r="Q79" s="19"/>
      <c r="R79" s="19"/>
      <c r="S79" s="19"/>
      <c r="T79" s="19"/>
      <c r="U79" s="19"/>
      <c r="V79" s="48"/>
      <c r="W79" s="48"/>
      <c r="X79" s="48"/>
      <c r="Y79" s="117">
        <v>5</v>
      </c>
      <c r="Z79" s="117">
        <v>10</v>
      </c>
      <c r="AA79" s="117">
        <v>20</v>
      </c>
      <c r="AB79" s="117">
        <v>25</v>
      </c>
      <c r="AC79" s="33"/>
      <c r="AD79" s="33"/>
      <c r="AE79" s="33"/>
      <c r="AF79" s="19"/>
      <c r="AG79" s="19"/>
      <c r="AH79" s="19"/>
      <c r="AI79" s="19"/>
      <c r="AJ79" s="19"/>
      <c r="AK79" s="19"/>
      <c r="AL79" s="19"/>
      <c r="AM79" s="19"/>
      <c r="AN79" s="19"/>
      <c r="AO79" s="72"/>
      <c r="AP79" s="72"/>
      <c r="AQ79" s="72"/>
      <c r="AR79" s="72"/>
      <c r="AS79" s="72"/>
      <c r="AT79" s="72"/>
      <c r="AU79" s="19"/>
      <c r="AV79" s="19"/>
      <c r="AW79" s="19"/>
      <c r="AX79" s="19"/>
      <c r="AY79" s="19"/>
      <c r="AZ79" s="19"/>
      <c r="BA79" s="19"/>
      <c r="BB79" s="19"/>
      <c r="BC79" s="19"/>
      <c r="BD79" s="19"/>
      <c r="BE79" s="19"/>
      <c r="BF79" s="19"/>
      <c r="BG79" s="19"/>
      <c r="BH79" s="19"/>
      <c r="BI79" s="19"/>
      <c r="BJ79" s="19"/>
      <c r="BK79" s="19"/>
      <c r="BL79" s="82"/>
      <c r="BM79" s="93"/>
      <c r="BN79" s="19"/>
      <c r="BO79" s="23" t="s">
        <v>336</v>
      </c>
    </row>
    <row r="80" spans="1:67" s="1" customFormat="1">
      <c r="B80" s="984"/>
      <c r="C80" s="972"/>
      <c r="D80" s="29"/>
      <c r="E80" s="18"/>
      <c r="F80" s="19"/>
      <c r="G80" s="20"/>
      <c r="H80" s="20"/>
      <c r="I80" s="20"/>
      <c r="J80" s="57"/>
      <c r="K80" s="967"/>
      <c r="L80" s="54" t="s">
        <v>264</v>
      </c>
      <c r="M80" s="19"/>
      <c r="N80" s="19"/>
      <c r="O80" s="19"/>
      <c r="P80" s="19"/>
      <c r="Q80" s="19"/>
      <c r="R80" s="19"/>
      <c r="S80" s="19"/>
      <c r="T80" s="19"/>
      <c r="U80" s="19"/>
      <c r="V80" s="48"/>
      <c r="W80" s="48"/>
      <c r="X80" s="48"/>
      <c r="Y80" s="73">
        <v>5</v>
      </c>
      <c r="Z80" s="73">
        <v>5</v>
      </c>
      <c r="AA80" s="73">
        <v>5</v>
      </c>
      <c r="AB80" s="73">
        <v>35</v>
      </c>
      <c r="AC80" s="80"/>
      <c r="AD80" s="33"/>
      <c r="AE80" s="33"/>
      <c r="AF80" s="19"/>
      <c r="AG80" s="19"/>
      <c r="AH80" s="19"/>
      <c r="AI80" s="19"/>
      <c r="AJ80" s="19"/>
      <c r="AK80" s="19"/>
      <c r="AL80" s="19"/>
      <c r="AM80" s="19"/>
      <c r="AN80" s="19"/>
      <c r="AO80" s="72"/>
      <c r="AP80" s="72"/>
      <c r="AQ80" s="72"/>
      <c r="AR80" s="72"/>
      <c r="AS80" s="72"/>
      <c r="AT80" s="72"/>
      <c r="AU80" s="19"/>
      <c r="AV80" s="19"/>
      <c r="AW80" s="19"/>
      <c r="AX80" s="19"/>
      <c r="AY80" s="19"/>
      <c r="AZ80" s="19"/>
      <c r="BA80" s="19"/>
      <c r="BB80" s="19"/>
      <c r="BC80" s="19"/>
      <c r="BD80" s="19"/>
      <c r="BE80" s="19"/>
      <c r="BF80" s="19"/>
      <c r="BG80" s="19"/>
      <c r="BH80" s="19"/>
      <c r="BI80" s="19"/>
      <c r="BJ80" s="19"/>
      <c r="BK80" s="19"/>
      <c r="BL80" s="82"/>
      <c r="BM80" s="93"/>
      <c r="BN80" s="19"/>
      <c r="BO80" s="134" t="s">
        <v>337</v>
      </c>
    </row>
    <row r="81" spans="1:67" s="1" customFormat="1">
      <c r="B81" s="984"/>
      <c r="C81" s="972"/>
      <c r="D81" s="25" t="s">
        <v>338</v>
      </c>
      <c r="E81" s="26"/>
      <c r="F81" s="27"/>
      <c r="G81" s="28"/>
      <c r="H81" s="28"/>
      <c r="I81" s="28"/>
      <c r="J81" s="67"/>
      <c r="K81" s="966">
        <v>0.3</v>
      </c>
      <c r="L81" s="54" t="s">
        <v>262</v>
      </c>
      <c r="M81" s="19"/>
      <c r="N81" s="19"/>
      <c r="O81" s="19"/>
      <c r="P81" s="19"/>
      <c r="Q81" s="19"/>
      <c r="R81" s="19"/>
      <c r="S81" s="19"/>
      <c r="T81" s="19"/>
      <c r="U81" s="19"/>
      <c r="V81" s="48"/>
      <c r="W81" s="48"/>
      <c r="X81" s="48"/>
      <c r="Y81" s="80"/>
      <c r="Z81" s="33"/>
      <c r="AA81" s="33"/>
      <c r="AB81" s="33"/>
      <c r="AC81" s="117">
        <v>30</v>
      </c>
      <c r="AD81" s="33"/>
      <c r="AE81" s="33"/>
      <c r="AF81" s="19"/>
      <c r="AG81" s="19"/>
      <c r="AH81" s="19"/>
      <c r="AI81" s="19"/>
      <c r="AJ81" s="19"/>
      <c r="AK81" s="19"/>
      <c r="AL81" s="19"/>
      <c r="AM81" s="19"/>
      <c r="AN81" s="19"/>
      <c r="AO81" s="72"/>
      <c r="AP81" s="72"/>
      <c r="AQ81" s="72"/>
      <c r="AR81" s="72"/>
      <c r="AS81" s="72"/>
      <c r="AT81" s="72"/>
      <c r="AU81" s="19"/>
      <c r="AV81" s="19"/>
      <c r="AW81" s="19"/>
      <c r="AX81" s="19"/>
      <c r="AY81" s="19"/>
      <c r="AZ81" s="19"/>
      <c r="BA81" s="19"/>
      <c r="BB81" s="19"/>
      <c r="BC81" s="19"/>
      <c r="BD81" s="19"/>
      <c r="BE81" s="19"/>
      <c r="BF81" s="19"/>
      <c r="BG81" s="19"/>
      <c r="BH81" s="19"/>
      <c r="BI81" s="19"/>
      <c r="BJ81" s="19"/>
      <c r="BK81" s="19"/>
      <c r="BL81" s="82"/>
      <c r="BM81" s="93"/>
      <c r="BN81" s="19"/>
      <c r="BO81" s="19"/>
    </row>
    <row r="82" spans="1:67" s="1" customFormat="1">
      <c r="B82" s="984"/>
      <c r="C82" s="972"/>
      <c r="D82" s="29"/>
      <c r="E82" s="18"/>
      <c r="F82" s="19"/>
      <c r="G82" s="20"/>
      <c r="H82" s="20"/>
      <c r="I82" s="20"/>
      <c r="J82" s="57"/>
      <c r="K82" s="967"/>
      <c r="L82" s="54" t="s">
        <v>264</v>
      </c>
      <c r="M82" s="19"/>
      <c r="N82" s="19"/>
      <c r="O82" s="19"/>
      <c r="P82" s="19"/>
      <c r="Q82" s="19"/>
      <c r="R82" s="19"/>
      <c r="S82" s="19"/>
      <c r="T82" s="19"/>
      <c r="U82" s="19"/>
      <c r="V82" s="48"/>
      <c r="W82" s="48"/>
      <c r="X82" s="48"/>
      <c r="Y82" s="80"/>
      <c r="Z82" s="33"/>
      <c r="AA82" s="33"/>
      <c r="AB82" s="33"/>
      <c r="AC82" s="33"/>
      <c r="AD82" s="33"/>
      <c r="AE82" s="33"/>
      <c r="AF82" s="19"/>
      <c r="AG82" s="19"/>
      <c r="AH82" s="19"/>
      <c r="AI82" s="19"/>
      <c r="AJ82" s="19"/>
      <c r="AK82" s="19"/>
      <c r="AL82" s="19"/>
      <c r="AM82" s="19"/>
      <c r="AN82" s="19"/>
      <c r="AO82" s="72"/>
      <c r="AP82" s="72"/>
      <c r="AQ82" s="72"/>
      <c r="AR82" s="72"/>
      <c r="AS82" s="72"/>
      <c r="AT82" s="72"/>
      <c r="AU82" s="19"/>
      <c r="AV82" s="19"/>
      <c r="AW82" s="19"/>
      <c r="AX82" s="19"/>
      <c r="AY82" s="19"/>
      <c r="AZ82" s="19"/>
      <c r="BA82" s="19"/>
      <c r="BB82" s="19"/>
      <c r="BC82" s="19"/>
      <c r="BD82" s="19"/>
      <c r="BE82" s="19"/>
      <c r="BF82" s="19"/>
      <c r="BG82" s="19"/>
      <c r="BH82" s="19"/>
      <c r="BI82" s="19"/>
      <c r="BJ82" s="19"/>
      <c r="BK82" s="19"/>
      <c r="BL82" s="82"/>
      <c r="BM82" s="93"/>
      <c r="BN82" s="19"/>
      <c r="BO82" s="19"/>
    </row>
    <row r="83" spans="1:67" s="1" customFormat="1">
      <c r="B83" s="984"/>
      <c r="C83" s="972"/>
      <c r="D83" s="25" t="s">
        <v>339</v>
      </c>
      <c r="E83" s="26"/>
      <c r="F83" s="27"/>
      <c r="G83" s="28"/>
      <c r="H83" s="28"/>
      <c r="I83" s="28"/>
      <c r="J83" s="67"/>
      <c r="K83" s="966">
        <v>0.1</v>
      </c>
      <c r="L83" s="54" t="s">
        <v>262</v>
      </c>
      <c r="M83" s="19"/>
      <c r="N83" s="19"/>
      <c r="O83" s="19"/>
      <c r="P83" s="19"/>
      <c r="Q83" s="19"/>
      <c r="R83" s="19"/>
      <c r="S83" s="19"/>
      <c r="T83" s="19"/>
      <c r="U83" s="19"/>
      <c r="V83" s="48"/>
      <c r="W83" s="48"/>
      <c r="X83" s="48"/>
      <c r="Y83" s="80"/>
      <c r="Z83" s="33"/>
      <c r="AA83" s="33"/>
      <c r="AB83" s="33"/>
      <c r="AC83" s="117">
        <v>10</v>
      </c>
      <c r="AD83" s="33"/>
      <c r="AE83" s="33"/>
      <c r="AF83" s="19"/>
      <c r="AG83" s="19"/>
      <c r="AH83" s="19"/>
      <c r="AI83" s="19"/>
      <c r="AJ83" s="19"/>
      <c r="AK83" s="19"/>
      <c r="AL83" s="19"/>
      <c r="AM83" s="19"/>
      <c r="AN83" s="19"/>
      <c r="AO83" s="72"/>
      <c r="AP83" s="72"/>
      <c r="AQ83" s="72"/>
      <c r="AR83" s="72"/>
      <c r="AS83" s="72"/>
      <c r="AT83" s="72"/>
      <c r="AU83" s="19"/>
      <c r="AV83" s="19"/>
      <c r="AW83" s="19"/>
      <c r="AX83" s="19"/>
      <c r="AY83" s="19"/>
      <c r="AZ83" s="19"/>
      <c r="BA83" s="19"/>
      <c r="BB83" s="19"/>
      <c r="BC83" s="19"/>
      <c r="BD83" s="19"/>
      <c r="BE83" s="19"/>
      <c r="BF83" s="19"/>
      <c r="BG83" s="19"/>
      <c r="BH83" s="19"/>
      <c r="BI83" s="19"/>
      <c r="BJ83" s="19"/>
      <c r="BK83" s="19"/>
      <c r="BL83" s="82"/>
      <c r="BM83" s="93"/>
      <c r="BN83" s="19"/>
      <c r="BO83" s="19"/>
    </row>
    <row r="84" spans="1:67" s="1" customFormat="1" ht="15.2">
      <c r="B84" s="984"/>
      <c r="C84" s="972"/>
      <c r="D84" s="29"/>
      <c r="E84" s="18"/>
      <c r="F84" s="19"/>
      <c r="G84" s="20"/>
      <c r="H84" s="20"/>
      <c r="I84" s="20"/>
      <c r="J84" s="57"/>
      <c r="K84" s="967"/>
      <c r="L84" s="54" t="s">
        <v>264</v>
      </c>
      <c r="M84" s="19"/>
      <c r="N84" s="19"/>
      <c r="O84" s="19"/>
      <c r="P84" s="19"/>
      <c r="Q84" s="19"/>
      <c r="R84" s="19"/>
      <c r="S84" s="19"/>
      <c r="T84" s="19"/>
      <c r="U84" s="19"/>
      <c r="V84" s="113"/>
      <c r="W84" s="113"/>
      <c r="X84" s="113"/>
      <c r="Y84" s="33"/>
      <c r="Z84" s="33"/>
      <c r="AA84" s="33"/>
      <c r="AB84" s="33"/>
      <c r="AC84" s="33"/>
      <c r="AD84" s="33"/>
      <c r="AE84" s="33"/>
      <c r="AF84" s="19"/>
      <c r="AG84" s="19"/>
      <c r="AH84" s="19"/>
      <c r="AI84" s="19"/>
      <c r="AJ84" s="19"/>
      <c r="AK84" s="19"/>
      <c r="AL84" s="19"/>
      <c r="AM84" s="19"/>
      <c r="AN84" s="19"/>
      <c r="AO84" s="72"/>
      <c r="AP84" s="72"/>
      <c r="AQ84" s="72"/>
      <c r="AR84" s="72"/>
      <c r="AS84" s="72"/>
      <c r="AT84" s="72"/>
      <c r="AU84" s="19"/>
      <c r="AV84" s="19"/>
      <c r="AW84" s="19"/>
      <c r="AX84" s="19"/>
      <c r="AY84" s="19"/>
      <c r="AZ84" s="19"/>
      <c r="BA84" s="19"/>
      <c r="BB84" s="19"/>
      <c r="BC84" s="19"/>
      <c r="BD84" s="19"/>
      <c r="BE84" s="19"/>
      <c r="BF84" s="19"/>
      <c r="BG84" s="19"/>
      <c r="BH84" s="19"/>
      <c r="BI84" s="19"/>
      <c r="BJ84" s="19"/>
      <c r="BK84" s="19"/>
      <c r="BL84" s="82"/>
      <c r="BM84" s="93"/>
      <c r="BN84" s="19"/>
      <c r="BO84" s="19"/>
    </row>
    <row r="85" spans="1:67" s="3" customFormat="1" ht="14.65" hidden="1" customHeight="1">
      <c r="A85" s="30"/>
      <c r="B85" s="984"/>
      <c r="C85" s="972"/>
      <c r="D85" s="957" t="s">
        <v>281</v>
      </c>
      <c r="E85" s="958"/>
      <c r="F85" s="958"/>
      <c r="G85" s="958"/>
      <c r="H85" s="958"/>
      <c r="I85" s="958"/>
      <c r="J85" s="958"/>
      <c r="K85" s="959"/>
      <c r="L85" s="58"/>
      <c r="M85" s="59"/>
      <c r="N85" s="59"/>
      <c r="O85" s="59"/>
      <c r="P85" s="59"/>
      <c r="Q85" s="59"/>
      <c r="R85" s="59"/>
      <c r="S85" s="75"/>
      <c r="T85" s="75"/>
      <c r="U85" s="75"/>
      <c r="V85" s="59"/>
      <c r="W85" s="59"/>
      <c r="X85" s="59"/>
      <c r="Y85" s="118">
        <f>Y79+Y81+Y83</f>
        <v>5</v>
      </c>
      <c r="Z85" s="118">
        <f>Z79+Z81+Z83</f>
        <v>10</v>
      </c>
      <c r="AA85" s="118">
        <f>AA79+AA81+AA83</f>
        <v>20</v>
      </c>
      <c r="AB85" s="118">
        <f>AB79+AB81+AB83</f>
        <v>25</v>
      </c>
      <c r="AC85" s="118">
        <f>AC79+AC81+AC83</f>
        <v>40</v>
      </c>
      <c r="AD85" s="118"/>
      <c r="AE85" s="118"/>
      <c r="AF85" s="59"/>
      <c r="AG85" s="59"/>
      <c r="AH85" s="59"/>
      <c r="AI85" s="59"/>
      <c r="AJ85" s="59"/>
      <c r="AK85" s="59"/>
      <c r="AL85" s="59"/>
      <c r="AM85" s="59"/>
      <c r="AN85" s="59"/>
      <c r="AO85" s="123"/>
      <c r="AP85" s="123"/>
      <c r="AQ85" s="123"/>
      <c r="AR85" s="123"/>
      <c r="AS85" s="123"/>
      <c r="AT85" s="123"/>
      <c r="AU85" s="59"/>
      <c r="AV85" s="59"/>
      <c r="AW85" s="59"/>
      <c r="AX85" s="59"/>
      <c r="AY85" s="59"/>
      <c r="AZ85" s="59"/>
      <c r="BA85" s="59"/>
      <c r="BB85" s="59"/>
      <c r="BC85" s="59"/>
      <c r="BD85" s="59"/>
      <c r="BE85" s="59"/>
      <c r="BF85" s="59"/>
      <c r="BG85" s="59"/>
      <c r="BH85" s="59"/>
      <c r="BI85" s="59"/>
      <c r="BJ85" s="59"/>
      <c r="BK85" s="59"/>
      <c r="BL85" s="59"/>
      <c r="BM85" s="58"/>
      <c r="BN85" s="59"/>
      <c r="BO85" s="59"/>
    </row>
    <row r="86" spans="1:67" s="3" customFormat="1" ht="14.65" hidden="1" customHeight="1">
      <c r="A86" s="30"/>
      <c r="B86" s="984"/>
      <c r="C86" s="972"/>
      <c r="D86" s="31" t="s">
        <v>282</v>
      </c>
      <c r="E86" s="32"/>
      <c r="F86" s="32"/>
      <c r="G86" s="32"/>
      <c r="H86" s="32"/>
      <c r="I86" s="32"/>
      <c r="J86" s="32"/>
      <c r="K86" s="60"/>
      <c r="L86" s="61"/>
      <c r="M86" s="62"/>
      <c r="N86" s="62"/>
      <c r="O86" s="62"/>
      <c r="P86" s="62"/>
      <c r="Q86" s="62"/>
      <c r="R86" s="62"/>
      <c r="S86" s="76"/>
      <c r="T86" s="76"/>
      <c r="U86" s="76"/>
      <c r="V86" s="62"/>
      <c r="W86" s="62"/>
      <c r="X86" s="62"/>
      <c r="Y86" s="119">
        <f>E86+Y85</f>
        <v>5</v>
      </c>
      <c r="Z86" s="119">
        <f>Y86+Z85</f>
        <v>15</v>
      </c>
      <c r="AA86" s="119">
        <f>Z86+AA85</f>
        <v>35</v>
      </c>
      <c r="AB86" s="119">
        <f>AA86+AB85</f>
        <v>60</v>
      </c>
      <c r="AC86" s="119">
        <f>AB86+AC85</f>
        <v>100</v>
      </c>
      <c r="AD86" s="119"/>
      <c r="AE86" s="119"/>
      <c r="AF86" s="62"/>
      <c r="AG86" s="62"/>
      <c r="AH86" s="62"/>
      <c r="AI86" s="62"/>
      <c r="AJ86" s="62"/>
      <c r="AK86" s="62"/>
      <c r="AL86" s="62"/>
      <c r="AM86" s="62"/>
      <c r="AN86" s="62"/>
      <c r="AO86" s="124"/>
      <c r="AP86" s="124"/>
      <c r="AQ86" s="124"/>
      <c r="AR86" s="124"/>
      <c r="AS86" s="124"/>
      <c r="AT86" s="124"/>
      <c r="AU86" s="62"/>
      <c r="AV86" s="62"/>
      <c r="AW86" s="62"/>
      <c r="AX86" s="62"/>
      <c r="AY86" s="62"/>
      <c r="AZ86" s="62"/>
      <c r="BA86" s="62"/>
      <c r="BB86" s="62"/>
      <c r="BC86" s="62"/>
      <c r="BD86" s="62"/>
      <c r="BE86" s="62"/>
      <c r="BF86" s="62"/>
      <c r="BG86" s="62"/>
      <c r="BH86" s="62"/>
      <c r="BI86" s="62"/>
      <c r="BJ86" s="62"/>
      <c r="BK86" s="62"/>
      <c r="BL86" s="62"/>
      <c r="BM86" s="96"/>
      <c r="BN86" s="62"/>
      <c r="BO86" s="62"/>
    </row>
    <row r="87" spans="1:67" s="3" customFormat="1" ht="14.65" hidden="1" customHeight="1">
      <c r="A87" s="30"/>
      <c r="B87" s="984"/>
      <c r="C87" s="972"/>
      <c r="D87" s="960" t="s">
        <v>283</v>
      </c>
      <c r="E87" s="961"/>
      <c r="F87" s="961"/>
      <c r="G87" s="961"/>
      <c r="H87" s="961"/>
      <c r="I87" s="961"/>
      <c r="J87" s="961"/>
      <c r="K87" s="962"/>
      <c r="L87" s="61"/>
      <c r="M87" s="62"/>
      <c r="N87" s="62"/>
      <c r="O87" s="62"/>
      <c r="P87" s="62"/>
      <c r="Q87" s="62"/>
      <c r="R87" s="62"/>
      <c r="S87" s="76"/>
      <c r="T87" s="76"/>
      <c r="U87" s="76"/>
      <c r="V87" s="62"/>
      <c r="W87" s="62"/>
      <c r="X87" s="62"/>
      <c r="Y87" s="119">
        <f>Y80+Y82+Y84</f>
        <v>5</v>
      </c>
      <c r="Z87" s="119">
        <f>Z80+Z82+Z84</f>
        <v>5</v>
      </c>
      <c r="AA87" s="119">
        <f>AA80+AA82+AA84</f>
        <v>5</v>
      </c>
      <c r="AB87" s="119">
        <f>AB80+AB82+AB84</f>
        <v>35</v>
      </c>
      <c r="AC87" s="119">
        <f>AC80+AC82+AC84</f>
        <v>0</v>
      </c>
      <c r="AD87" s="119"/>
      <c r="AE87" s="119"/>
      <c r="AF87" s="62"/>
      <c r="AG87" s="62"/>
      <c r="AH87" s="62"/>
      <c r="AI87" s="62"/>
      <c r="AJ87" s="62"/>
      <c r="AK87" s="62"/>
      <c r="AL87" s="62"/>
      <c r="AM87" s="62"/>
      <c r="AN87" s="62"/>
      <c r="AO87" s="124"/>
      <c r="AP87" s="124"/>
      <c r="AQ87" s="124"/>
      <c r="AR87" s="124"/>
      <c r="AS87" s="124"/>
      <c r="AT87" s="124"/>
      <c r="AU87" s="62"/>
      <c r="AV87" s="62"/>
      <c r="AW87" s="62"/>
      <c r="AX87" s="62"/>
      <c r="AY87" s="62"/>
      <c r="AZ87" s="62"/>
      <c r="BA87" s="62"/>
      <c r="BB87" s="62"/>
      <c r="BC87" s="62"/>
      <c r="BD87" s="62"/>
      <c r="BE87" s="62"/>
      <c r="BF87" s="62"/>
      <c r="BG87" s="62"/>
      <c r="BH87" s="62"/>
      <c r="BI87" s="62"/>
      <c r="BJ87" s="62"/>
      <c r="BK87" s="62"/>
      <c r="BL87" s="62"/>
      <c r="BM87" s="96"/>
      <c r="BN87" s="62"/>
      <c r="BO87" s="62"/>
    </row>
    <row r="88" spans="1:67" s="3" customFormat="1" ht="14.65" hidden="1" customHeight="1">
      <c r="A88" s="30"/>
      <c r="B88" s="984"/>
      <c r="C88" s="972"/>
      <c r="D88" s="31" t="s">
        <v>284</v>
      </c>
      <c r="E88" s="32"/>
      <c r="F88" s="32"/>
      <c r="G88" s="32"/>
      <c r="H88" s="32"/>
      <c r="I88" s="32"/>
      <c r="J88" s="32"/>
      <c r="K88" s="60"/>
      <c r="L88" s="61"/>
      <c r="M88" s="62"/>
      <c r="N88" s="62"/>
      <c r="O88" s="62"/>
      <c r="P88" s="62"/>
      <c r="Q88" s="62"/>
      <c r="R88" s="62"/>
      <c r="S88" s="76"/>
      <c r="T88" s="76"/>
      <c r="U88" s="76"/>
      <c r="V88" s="62"/>
      <c r="W88" s="62"/>
      <c r="X88" s="62"/>
      <c r="Y88" s="119">
        <f>E88+Y87</f>
        <v>5</v>
      </c>
      <c r="Z88" s="119">
        <f>Y88+Z87</f>
        <v>10</v>
      </c>
      <c r="AA88" s="119">
        <f>Z88+AA87</f>
        <v>15</v>
      </c>
      <c r="AB88" s="119">
        <f>AA88+AB87</f>
        <v>50</v>
      </c>
      <c r="AC88" s="119">
        <f>AB88+AC87</f>
        <v>50</v>
      </c>
      <c r="AD88" s="119"/>
      <c r="AE88" s="119"/>
      <c r="AF88" s="62"/>
      <c r="AG88" s="62"/>
      <c r="AH88" s="62"/>
      <c r="AI88" s="62"/>
      <c r="AJ88" s="62"/>
      <c r="AK88" s="62"/>
      <c r="AL88" s="62"/>
      <c r="AM88" s="62"/>
      <c r="AN88" s="62"/>
      <c r="AO88" s="124"/>
      <c r="AP88" s="124"/>
      <c r="AQ88" s="124"/>
      <c r="AR88" s="124"/>
      <c r="AS88" s="124"/>
      <c r="AT88" s="124"/>
      <c r="AU88" s="62"/>
      <c r="AV88" s="62"/>
      <c r="AW88" s="62"/>
      <c r="AX88" s="62"/>
      <c r="AY88" s="62"/>
      <c r="AZ88" s="62"/>
      <c r="BA88" s="62"/>
      <c r="BB88" s="62"/>
      <c r="BC88" s="62"/>
      <c r="BD88" s="62"/>
      <c r="BE88" s="62"/>
      <c r="BF88" s="62"/>
      <c r="BG88" s="62"/>
      <c r="BH88" s="62"/>
      <c r="BI88" s="62"/>
      <c r="BJ88" s="62"/>
      <c r="BK88" s="62"/>
      <c r="BL88" s="62"/>
      <c r="BM88" s="96"/>
      <c r="BN88" s="62"/>
      <c r="BO88" s="62"/>
    </row>
    <row r="89" spans="1:67" s="3" customFormat="1" ht="14.65" hidden="1" customHeight="1">
      <c r="A89" s="30"/>
      <c r="B89" s="984"/>
      <c r="C89" s="972"/>
      <c r="D89" s="963" t="s">
        <v>285</v>
      </c>
      <c r="E89" s="964"/>
      <c r="F89" s="964"/>
      <c r="G89" s="964"/>
      <c r="H89" s="964"/>
      <c r="I89" s="964"/>
      <c r="J89" s="964"/>
      <c r="K89" s="965"/>
      <c r="L89" s="63"/>
      <c r="M89" s="64"/>
      <c r="N89" s="64"/>
      <c r="O89" s="64"/>
      <c r="P89" s="64"/>
      <c r="Q89" s="64"/>
      <c r="R89" s="64"/>
      <c r="S89" s="77"/>
      <c r="T89" s="78"/>
      <c r="U89" s="78"/>
      <c r="V89" s="64"/>
      <c r="W89" s="64"/>
      <c r="X89" s="64"/>
      <c r="Y89" s="120">
        <f>Y88-Y86</f>
        <v>0</v>
      </c>
      <c r="Z89" s="120">
        <f>Z88-Z86</f>
        <v>-5</v>
      </c>
      <c r="AA89" s="120">
        <f>AA88-AA86</f>
        <v>-20</v>
      </c>
      <c r="AB89" s="120">
        <f>AB88-AB86</f>
        <v>-10</v>
      </c>
      <c r="AC89" s="120">
        <f>AC88-AC86</f>
        <v>-50</v>
      </c>
      <c r="AD89" s="120"/>
      <c r="AE89" s="120"/>
      <c r="AF89" s="64"/>
      <c r="AG89" s="64"/>
      <c r="AH89" s="64"/>
      <c r="AI89" s="64"/>
      <c r="AJ89" s="64"/>
      <c r="AK89" s="64"/>
      <c r="AL89" s="64"/>
      <c r="AM89" s="64"/>
      <c r="AN89" s="64"/>
      <c r="AO89" s="125"/>
      <c r="AP89" s="125"/>
      <c r="AQ89" s="125"/>
      <c r="AR89" s="125"/>
      <c r="AS89" s="125"/>
      <c r="AT89" s="125"/>
      <c r="AU89" s="64"/>
      <c r="AV89" s="64"/>
      <c r="AW89" s="64"/>
      <c r="AX89" s="64"/>
      <c r="AY89" s="64"/>
      <c r="AZ89" s="64"/>
      <c r="BA89" s="64"/>
      <c r="BB89" s="64"/>
      <c r="BC89" s="64"/>
      <c r="BD89" s="64"/>
      <c r="BE89" s="64"/>
      <c r="BF89" s="64"/>
      <c r="BG89" s="64"/>
      <c r="BH89" s="64"/>
      <c r="BI89" s="64"/>
      <c r="BJ89" s="64"/>
      <c r="BK89" s="64"/>
      <c r="BL89" s="64"/>
      <c r="BM89" s="97"/>
      <c r="BN89" s="64"/>
      <c r="BO89" s="64"/>
    </row>
    <row r="90" spans="1:67" s="1" customFormat="1" ht="14.25" customHeight="1">
      <c r="B90" s="984"/>
      <c r="C90" s="972"/>
      <c r="D90" s="21" t="s">
        <v>340</v>
      </c>
      <c r="E90" s="22">
        <v>43508</v>
      </c>
      <c r="F90" s="23"/>
      <c r="G90" s="24" t="s">
        <v>305</v>
      </c>
      <c r="H90" s="24"/>
      <c r="I90" s="24" t="s">
        <v>275</v>
      </c>
      <c r="J90" s="65">
        <v>43569</v>
      </c>
      <c r="K90" s="66">
        <v>1</v>
      </c>
      <c r="L90" s="54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33"/>
      <c r="Z90" s="33"/>
      <c r="AA90" s="33"/>
      <c r="AB90" s="33"/>
      <c r="AC90" s="33"/>
      <c r="AD90" s="33"/>
      <c r="AE90" s="33"/>
      <c r="AF90" s="19"/>
      <c r="AG90" s="19"/>
      <c r="AH90" s="19"/>
      <c r="AI90" s="19"/>
      <c r="AJ90" s="19"/>
      <c r="AK90" s="19"/>
      <c r="AL90" s="19"/>
      <c r="AM90" s="19"/>
      <c r="AN90" s="19"/>
      <c r="AO90" s="19"/>
      <c r="AP90" s="19"/>
      <c r="AQ90" s="19"/>
      <c r="AR90" s="19"/>
      <c r="AS90" s="19"/>
      <c r="AT90" s="19"/>
      <c r="AU90" s="19"/>
      <c r="AV90" s="19"/>
      <c r="AW90" s="19"/>
      <c r="AX90" s="19"/>
      <c r="AY90" s="19"/>
      <c r="AZ90" s="19"/>
      <c r="BA90" s="19"/>
      <c r="BB90" s="19"/>
      <c r="BC90" s="19"/>
      <c r="BD90" s="19"/>
      <c r="BE90" s="19"/>
      <c r="BF90" s="19"/>
      <c r="BG90" s="19"/>
      <c r="BH90" s="19"/>
      <c r="BI90" s="128" t="s">
        <v>332</v>
      </c>
      <c r="BJ90" s="84">
        <v>13589661</v>
      </c>
      <c r="BK90" s="87" t="s">
        <v>333</v>
      </c>
      <c r="BL90" s="85">
        <v>5000000</v>
      </c>
      <c r="BM90" s="54">
        <v>2</v>
      </c>
      <c r="BN90" s="19" t="s">
        <v>334</v>
      </c>
      <c r="BO90" s="102"/>
    </row>
    <row r="91" spans="1:67" s="1" customFormat="1">
      <c r="B91" s="984"/>
      <c r="C91" s="972"/>
      <c r="D91" s="25" t="s">
        <v>341</v>
      </c>
      <c r="E91" s="26"/>
      <c r="F91" s="27"/>
      <c r="G91" s="28"/>
      <c r="H91" s="28"/>
      <c r="I91" s="28"/>
      <c r="J91" s="67"/>
      <c r="K91" s="966">
        <v>0.6</v>
      </c>
      <c r="L91" s="54" t="s">
        <v>262</v>
      </c>
      <c r="M91" s="19"/>
      <c r="N91" s="19"/>
      <c r="O91" s="19"/>
      <c r="P91" s="19"/>
      <c r="Q91" s="19"/>
      <c r="R91" s="19"/>
      <c r="S91" s="19"/>
      <c r="T91" s="19"/>
      <c r="U91" s="19"/>
      <c r="V91" s="48"/>
      <c r="W91" s="48"/>
      <c r="X91" s="48"/>
      <c r="Y91" s="121"/>
      <c r="Z91" s="121"/>
      <c r="AA91" s="117">
        <v>5</v>
      </c>
      <c r="AB91" s="117">
        <v>10</v>
      </c>
      <c r="AC91" s="117">
        <v>20</v>
      </c>
      <c r="AD91" s="117">
        <v>25</v>
      </c>
      <c r="AE91" s="33"/>
      <c r="AF91" s="19"/>
      <c r="AG91" s="19"/>
      <c r="AH91" s="19"/>
      <c r="AI91" s="19"/>
      <c r="AJ91" s="19"/>
      <c r="AK91" s="19"/>
      <c r="AL91" s="19"/>
      <c r="AM91" s="19"/>
      <c r="AN91" s="19"/>
      <c r="AO91" s="19"/>
      <c r="AP91" s="19"/>
      <c r="AQ91" s="19"/>
      <c r="AR91" s="19"/>
      <c r="AS91" s="19"/>
      <c r="AT91" s="19"/>
      <c r="AU91" s="19"/>
      <c r="AV91" s="19"/>
      <c r="AW91" s="19"/>
      <c r="AX91" s="19"/>
      <c r="AY91" s="19"/>
      <c r="AZ91" s="19"/>
      <c r="BA91" s="19"/>
      <c r="BB91" s="19"/>
      <c r="BC91" s="19"/>
      <c r="BD91" s="19"/>
      <c r="BE91" s="19"/>
      <c r="BF91" s="19"/>
      <c r="BG91" s="19"/>
      <c r="BH91" s="19"/>
      <c r="BI91" s="19"/>
      <c r="BJ91" s="19"/>
      <c r="BK91" s="19"/>
      <c r="BL91" s="82"/>
      <c r="BM91" s="93"/>
      <c r="BN91" s="19"/>
      <c r="BO91" s="23" t="s">
        <v>336</v>
      </c>
    </row>
    <row r="92" spans="1:67" s="1" customFormat="1">
      <c r="B92" s="984"/>
      <c r="C92" s="972"/>
      <c r="D92" s="29"/>
      <c r="E92" s="18"/>
      <c r="F92" s="19"/>
      <c r="G92" s="20"/>
      <c r="H92" s="20"/>
      <c r="I92" s="20"/>
      <c r="J92" s="57"/>
      <c r="K92" s="967"/>
      <c r="L92" s="54" t="s">
        <v>264</v>
      </c>
      <c r="M92" s="19"/>
      <c r="N92" s="19"/>
      <c r="O92" s="19"/>
      <c r="P92" s="19"/>
      <c r="Q92" s="19"/>
      <c r="R92" s="19"/>
      <c r="S92" s="19"/>
      <c r="T92" s="19"/>
      <c r="U92" s="19"/>
      <c r="V92" s="48"/>
      <c r="W92" s="48"/>
      <c r="X92" s="48"/>
      <c r="Y92" s="121"/>
      <c r="Z92" s="122">
        <v>5</v>
      </c>
      <c r="AA92" s="73">
        <v>5</v>
      </c>
      <c r="AB92" s="73">
        <v>35</v>
      </c>
      <c r="AC92" s="80"/>
      <c r="AD92" s="33"/>
      <c r="AE92" s="33"/>
      <c r="AF92" s="19"/>
      <c r="AG92" s="19"/>
      <c r="AH92" s="19"/>
      <c r="AI92" s="19"/>
      <c r="AJ92" s="19"/>
      <c r="AK92" s="19"/>
      <c r="AL92" s="19"/>
      <c r="AM92" s="19"/>
      <c r="AN92" s="19"/>
      <c r="AO92" s="19"/>
      <c r="AP92" s="19"/>
      <c r="AQ92" s="19"/>
      <c r="AR92" s="19"/>
      <c r="AS92" s="19"/>
      <c r="AT92" s="19"/>
      <c r="AU92" s="19"/>
      <c r="AV92" s="19"/>
      <c r="AW92" s="19"/>
      <c r="AX92" s="19"/>
      <c r="AY92" s="19"/>
      <c r="AZ92" s="19"/>
      <c r="BA92" s="19"/>
      <c r="BB92" s="19"/>
      <c r="BC92" s="19"/>
      <c r="BD92" s="19"/>
      <c r="BE92" s="19"/>
      <c r="BF92" s="19"/>
      <c r="BG92" s="19"/>
      <c r="BH92" s="19"/>
      <c r="BI92" s="19"/>
      <c r="BJ92" s="19"/>
      <c r="BK92" s="19"/>
      <c r="BL92" s="82"/>
      <c r="BM92" s="93"/>
      <c r="BN92" s="19"/>
      <c r="BO92" s="134" t="s">
        <v>337</v>
      </c>
    </row>
    <row r="93" spans="1:67" s="1" customFormat="1">
      <c r="B93" s="984"/>
      <c r="C93" s="972"/>
      <c r="D93" s="25" t="s">
        <v>342</v>
      </c>
      <c r="E93" s="26"/>
      <c r="F93" s="27"/>
      <c r="G93" s="28"/>
      <c r="H93" s="28"/>
      <c r="I93" s="28"/>
      <c r="J93" s="67"/>
      <c r="K93" s="966">
        <v>0.3</v>
      </c>
      <c r="L93" s="54" t="s">
        <v>262</v>
      </c>
      <c r="M93" s="19"/>
      <c r="N93" s="19"/>
      <c r="O93" s="19"/>
      <c r="P93" s="19"/>
      <c r="Q93" s="19"/>
      <c r="R93" s="19"/>
      <c r="S93" s="19"/>
      <c r="T93" s="19"/>
      <c r="U93" s="19"/>
      <c r="V93" s="48"/>
      <c r="W93" s="48"/>
      <c r="X93" s="48"/>
      <c r="Y93" s="121"/>
      <c r="Z93" s="121"/>
      <c r="AA93" s="80"/>
      <c r="AB93" s="33"/>
      <c r="AC93" s="33"/>
      <c r="AD93" s="33"/>
      <c r="AE93" s="117">
        <v>30</v>
      </c>
      <c r="AF93" s="19"/>
      <c r="AG93" s="19"/>
      <c r="AH93" s="19"/>
      <c r="AI93" s="19"/>
      <c r="AJ93" s="19"/>
      <c r="AK93" s="19"/>
      <c r="AL93" s="19"/>
      <c r="AM93" s="19"/>
      <c r="AN93" s="19"/>
      <c r="AO93" s="19"/>
      <c r="AP93" s="19"/>
      <c r="AQ93" s="19"/>
      <c r="AR93" s="19"/>
      <c r="AS93" s="19"/>
      <c r="AT93" s="19"/>
      <c r="AU93" s="19"/>
      <c r="AV93" s="19"/>
      <c r="AW93" s="19"/>
      <c r="AX93" s="19"/>
      <c r="AY93" s="19"/>
      <c r="AZ93" s="19"/>
      <c r="BA93" s="19"/>
      <c r="BB93" s="19"/>
      <c r="BC93" s="19"/>
      <c r="BD93" s="19"/>
      <c r="BE93" s="19"/>
      <c r="BF93" s="19"/>
      <c r="BG93" s="19"/>
      <c r="BH93" s="19"/>
      <c r="BI93" s="19"/>
      <c r="BJ93" s="19"/>
      <c r="BK93" s="19"/>
      <c r="BL93" s="82"/>
      <c r="BM93" s="93"/>
      <c r="BN93" s="19"/>
      <c r="BO93" s="19"/>
    </row>
    <row r="94" spans="1:67" s="1" customFormat="1">
      <c r="B94" s="984"/>
      <c r="C94" s="972"/>
      <c r="D94" s="29"/>
      <c r="E94" s="18"/>
      <c r="F94" s="19"/>
      <c r="G94" s="20"/>
      <c r="H94" s="20"/>
      <c r="I94" s="20"/>
      <c r="J94" s="57"/>
      <c r="K94" s="967"/>
      <c r="L94" s="54" t="s">
        <v>264</v>
      </c>
      <c r="M94" s="19"/>
      <c r="N94" s="19"/>
      <c r="O94" s="19"/>
      <c r="P94" s="19"/>
      <c r="Q94" s="19"/>
      <c r="R94" s="19"/>
      <c r="S94" s="19"/>
      <c r="T94" s="19"/>
      <c r="U94" s="19"/>
      <c r="V94" s="48"/>
      <c r="W94" s="48"/>
      <c r="X94" s="48"/>
      <c r="Y94" s="121"/>
      <c r="Z94" s="121"/>
      <c r="AA94" s="80"/>
      <c r="AB94" s="33"/>
      <c r="AC94" s="33"/>
      <c r="AD94" s="33"/>
      <c r="AE94" s="33"/>
      <c r="AF94" s="19"/>
      <c r="AG94" s="19"/>
      <c r="AH94" s="19"/>
      <c r="AI94" s="19"/>
      <c r="AJ94" s="19"/>
      <c r="AK94" s="19"/>
      <c r="AL94" s="19"/>
      <c r="AM94" s="19"/>
      <c r="AN94" s="19"/>
      <c r="AO94" s="19"/>
      <c r="AP94" s="19"/>
      <c r="AQ94" s="19"/>
      <c r="AR94" s="19"/>
      <c r="AS94" s="19"/>
      <c r="AT94" s="19"/>
      <c r="AU94" s="19"/>
      <c r="AV94" s="19"/>
      <c r="AW94" s="19"/>
      <c r="AX94" s="19"/>
      <c r="AY94" s="19"/>
      <c r="AZ94" s="19"/>
      <c r="BA94" s="19"/>
      <c r="BB94" s="19"/>
      <c r="BC94" s="19"/>
      <c r="BD94" s="19"/>
      <c r="BE94" s="19"/>
      <c r="BF94" s="19"/>
      <c r="BG94" s="19"/>
      <c r="BH94" s="19"/>
      <c r="BI94" s="19"/>
      <c r="BJ94" s="19"/>
      <c r="BK94" s="19"/>
      <c r="BL94" s="82"/>
      <c r="BM94" s="93"/>
      <c r="BN94" s="19"/>
      <c r="BO94" s="19"/>
    </row>
    <row r="95" spans="1:67" s="1" customFormat="1">
      <c r="B95" s="984"/>
      <c r="C95" s="972"/>
      <c r="D95" s="25" t="s">
        <v>343</v>
      </c>
      <c r="E95" s="26"/>
      <c r="F95" s="27"/>
      <c r="G95" s="28"/>
      <c r="H95" s="28"/>
      <c r="I95" s="28"/>
      <c r="J95" s="67"/>
      <c r="K95" s="966">
        <v>0.1</v>
      </c>
      <c r="L95" s="54" t="s">
        <v>262</v>
      </c>
      <c r="M95" s="19"/>
      <c r="N95" s="19"/>
      <c r="O95" s="19"/>
      <c r="P95" s="19"/>
      <c r="Q95" s="19"/>
      <c r="R95" s="19"/>
      <c r="S95" s="19"/>
      <c r="T95" s="19"/>
      <c r="U95" s="19"/>
      <c r="V95" s="48"/>
      <c r="W95" s="48"/>
      <c r="X95" s="48"/>
      <c r="Y95" s="121"/>
      <c r="Z95" s="121"/>
      <c r="AA95" s="80"/>
      <c r="AB95" s="33"/>
      <c r="AC95" s="33"/>
      <c r="AD95" s="33"/>
      <c r="AE95" s="117">
        <v>10</v>
      </c>
      <c r="AF95" s="19"/>
      <c r="AG95" s="19"/>
      <c r="AH95" s="19"/>
      <c r="AI95" s="19"/>
      <c r="AJ95" s="19"/>
      <c r="AK95" s="19"/>
      <c r="AL95" s="19"/>
      <c r="AM95" s="19"/>
      <c r="AN95" s="19"/>
      <c r="AO95" s="19"/>
      <c r="AP95" s="19"/>
      <c r="AQ95" s="19"/>
      <c r="AR95" s="19"/>
      <c r="AS95" s="19"/>
      <c r="AT95" s="19"/>
      <c r="AU95" s="19"/>
      <c r="AV95" s="19"/>
      <c r="AW95" s="19"/>
      <c r="AX95" s="19"/>
      <c r="AY95" s="19"/>
      <c r="AZ95" s="19"/>
      <c r="BA95" s="19"/>
      <c r="BB95" s="19"/>
      <c r="BC95" s="19"/>
      <c r="BD95" s="19"/>
      <c r="BE95" s="19"/>
      <c r="BF95" s="19"/>
      <c r="BG95" s="19"/>
      <c r="BH95" s="19"/>
      <c r="BI95" s="19"/>
      <c r="BJ95" s="19"/>
      <c r="BK95" s="19"/>
      <c r="BL95" s="82"/>
      <c r="BM95" s="93"/>
      <c r="BN95" s="19"/>
      <c r="BO95" s="19"/>
    </row>
    <row r="96" spans="1:67" s="1" customFormat="1" ht="15.2">
      <c r="B96" s="984"/>
      <c r="C96" s="972"/>
      <c r="D96" s="29"/>
      <c r="E96" s="18"/>
      <c r="F96" s="19"/>
      <c r="G96" s="20"/>
      <c r="H96" s="20"/>
      <c r="I96" s="20"/>
      <c r="J96" s="57"/>
      <c r="K96" s="967"/>
      <c r="L96" s="54" t="s">
        <v>264</v>
      </c>
      <c r="M96" s="19"/>
      <c r="N96" s="19"/>
      <c r="O96" s="19"/>
      <c r="P96" s="19"/>
      <c r="Q96" s="19"/>
      <c r="R96" s="19"/>
      <c r="S96" s="19"/>
      <c r="T96" s="19"/>
      <c r="U96" s="19"/>
      <c r="V96" s="113"/>
      <c r="W96" s="113"/>
      <c r="X96" s="113"/>
      <c r="Y96" s="113"/>
      <c r="Z96" s="113"/>
      <c r="AA96" s="19"/>
      <c r="AB96" s="19"/>
      <c r="AC96" s="19"/>
      <c r="AD96" s="19"/>
      <c r="AE96" s="19"/>
      <c r="AF96" s="19"/>
      <c r="AG96" s="19"/>
      <c r="AH96" s="19"/>
      <c r="AI96" s="19"/>
      <c r="AJ96" s="19"/>
      <c r="AK96" s="19"/>
      <c r="AL96" s="19"/>
      <c r="AM96" s="19"/>
      <c r="AN96" s="19"/>
      <c r="AO96" s="19"/>
      <c r="AP96" s="19"/>
      <c r="AQ96" s="19"/>
      <c r="AR96" s="19"/>
      <c r="AS96" s="19"/>
      <c r="AT96" s="19"/>
      <c r="AU96" s="19"/>
      <c r="AV96" s="19"/>
      <c r="AW96" s="19"/>
      <c r="AX96" s="19"/>
      <c r="AY96" s="19"/>
      <c r="AZ96" s="19"/>
      <c r="BA96" s="19"/>
      <c r="BB96" s="19"/>
      <c r="BC96" s="19"/>
      <c r="BD96" s="19"/>
      <c r="BE96" s="19"/>
      <c r="BF96" s="19"/>
      <c r="BG96" s="19"/>
      <c r="BH96" s="19"/>
      <c r="BI96" s="19"/>
      <c r="BJ96" s="19"/>
      <c r="BK96" s="19"/>
      <c r="BL96" s="82"/>
      <c r="BM96" s="93"/>
      <c r="BN96" s="19"/>
      <c r="BO96" s="19"/>
    </row>
    <row r="97" spans="1:67" s="3" customFormat="1" ht="14.25" hidden="1" customHeight="1">
      <c r="A97" s="30"/>
      <c r="B97" s="984"/>
      <c r="C97" s="972"/>
      <c r="D97" s="957" t="s">
        <v>281</v>
      </c>
      <c r="E97" s="958"/>
      <c r="F97" s="958"/>
      <c r="G97" s="958"/>
      <c r="H97" s="958"/>
      <c r="I97" s="958"/>
      <c r="J97" s="958"/>
      <c r="K97" s="959"/>
      <c r="L97" s="58"/>
      <c r="M97" s="59"/>
      <c r="N97" s="59"/>
      <c r="O97" s="59"/>
      <c r="P97" s="59"/>
      <c r="Q97" s="59"/>
      <c r="R97" s="59"/>
      <c r="S97" s="75"/>
      <c r="T97" s="75"/>
      <c r="U97" s="75"/>
      <c r="W97" s="59"/>
      <c r="X97" s="114"/>
      <c r="Y97" s="114"/>
      <c r="Z97" s="114"/>
      <c r="AA97" s="59">
        <f>AA91+AA93+AA95</f>
        <v>5</v>
      </c>
      <c r="AB97" s="59">
        <f>AB91+AB93+AB95</f>
        <v>10</v>
      </c>
      <c r="AC97" s="59">
        <f>AC91+AC93+AC95</f>
        <v>20</v>
      </c>
      <c r="AD97" s="59">
        <f>AD91+AD93+AD95</f>
        <v>25</v>
      </c>
      <c r="AE97" s="59">
        <f>AE91+AE93+AE95</f>
        <v>40</v>
      </c>
      <c r="AF97" s="59"/>
      <c r="AG97" s="59"/>
      <c r="AH97" s="59"/>
      <c r="AI97" s="59"/>
      <c r="AJ97" s="59"/>
      <c r="AK97" s="59"/>
      <c r="AL97" s="59"/>
      <c r="AM97" s="59"/>
      <c r="AN97" s="59"/>
      <c r="AO97" s="59"/>
      <c r="AP97" s="59"/>
      <c r="AQ97" s="59"/>
      <c r="AR97" s="59"/>
      <c r="AS97" s="59"/>
      <c r="AT97" s="59"/>
      <c r="AU97" s="59"/>
      <c r="AV97" s="59"/>
      <c r="AW97" s="59"/>
      <c r="AX97" s="59"/>
      <c r="AY97" s="59"/>
      <c r="AZ97" s="59"/>
      <c r="BA97" s="59"/>
      <c r="BB97" s="59"/>
      <c r="BC97" s="59"/>
      <c r="BD97" s="59"/>
      <c r="BE97" s="59"/>
      <c r="BF97" s="59"/>
      <c r="BG97" s="59"/>
      <c r="BH97" s="59"/>
      <c r="BI97" s="59"/>
      <c r="BJ97" s="59"/>
      <c r="BK97" s="59"/>
      <c r="BL97" s="59"/>
      <c r="BM97" s="58"/>
      <c r="BN97" s="59"/>
      <c r="BO97" s="59"/>
    </row>
    <row r="98" spans="1:67" s="3" customFormat="1" ht="14.25" hidden="1" customHeight="1">
      <c r="A98" s="30"/>
      <c r="B98" s="984"/>
      <c r="C98" s="972"/>
      <c r="D98" s="31" t="s">
        <v>282</v>
      </c>
      <c r="E98" s="32"/>
      <c r="F98" s="32"/>
      <c r="G98" s="32"/>
      <c r="H98" s="32"/>
      <c r="I98" s="32"/>
      <c r="J98" s="32"/>
      <c r="K98" s="60"/>
      <c r="L98" s="61"/>
      <c r="M98" s="62"/>
      <c r="N98" s="62"/>
      <c r="O98" s="62"/>
      <c r="P98" s="62"/>
      <c r="Q98" s="62"/>
      <c r="R98" s="62"/>
      <c r="S98" s="76"/>
      <c r="T98" s="76"/>
      <c r="U98" s="76"/>
      <c r="V98" s="62"/>
      <c r="W98" s="62"/>
      <c r="X98" s="62"/>
      <c r="Y98" s="62"/>
      <c r="Z98" s="62"/>
      <c r="AA98" s="62">
        <f>U98+AA97</f>
        <v>5</v>
      </c>
      <c r="AB98" s="62">
        <f>AA98+AB97</f>
        <v>15</v>
      </c>
      <c r="AC98" s="62">
        <f>AB98+AC97</f>
        <v>35</v>
      </c>
      <c r="AD98" s="62">
        <f>AC98+AD97</f>
        <v>60</v>
      </c>
      <c r="AE98" s="62">
        <f>AD98+AE97</f>
        <v>100</v>
      </c>
      <c r="AF98" s="62"/>
      <c r="AG98" s="62"/>
      <c r="AH98" s="62"/>
      <c r="AI98" s="62"/>
      <c r="AJ98" s="62"/>
      <c r="AK98" s="62"/>
      <c r="AL98" s="62"/>
      <c r="AM98" s="62"/>
      <c r="AN98" s="62"/>
      <c r="AO98" s="62"/>
      <c r="AP98" s="62"/>
      <c r="AQ98" s="62"/>
      <c r="AR98" s="62"/>
      <c r="AS98" s="62"/>
      <c r="AT98" s="62"/>
      <c r="AU98" s="62"/>
      <c r="AV98" s="62"/>
      <c r="AW98" s="62"/>
      <c r="AX98" s="62"/>
      <c r="AY98" s="62"/>
      <c r="AZ98" s="62"/>
      <c r="BA98" s="62"/>
      <c r="BB98" s="62"/>
      <c r="BC98" s="62"/>
      <c r="BD98" s="62"/>
      <c r="BE98" s="62"/>
      <c r="BF98" s="62"/>
      <c r="BG98" s="62"/>
      <c r="BH98" s="62"/>
      <c r="BI98" s="62"/>
      <c r="BJ98" s="62"/>
      <c r="BK98" s="62"/>
      <c r="BL98" s="62"/>
      <c r="BM98" s="96"/>
      <c r="BN98" s="62"/>
      <c r="BO98" s="62"/>
    </row>
    <row r="99" spans="1:67" s="3" customFormat="1" ht="14.25" hidden="1" customHeight="1">
      <c r="A99" s="30"/>
      <c r="B99" s="984"/>
      <c r="C99" s="972"/>
      <c r="D99" s="960" t="s">
        <v>283</v>
      </c>
      <c r="E99" s="961"/>
      <c r="F99" s="961"/>
      <c r="G99" s="961"/>
      <c r="H99" s="961"/>
      <c r="I99" s="961"/>
      <c r="J99" s="961"/>
      <c r="K99" s="962"/>
      <c r="L99" s="61"/>
      <c r="M99" s="62"/>
      <c r="N99" s="62"/>
      <c r="O99" s="62"/>
      <c r="P99" s="62"/>
      <c r="Q99" s="62"/>
      <c r="R99" s="62"/>
      <c r="S99" s="76"/>
      <c r="T99" s="76"/>
      <c r="U99" s="76"/>
      <c r="V99" s="62"/>
      <c r="W99" s="62"/>
      <c r="X99" s="62"/>
      <c r="Y99" s="62"/>
      <c r="Z99" s="62"/>
      <c r="AA99" s="62">
        <f>AA92+AA94+AA96</f>
        <v>5</v>
      </c>
      <c r="AB99" s="62">
        <f>AB92+AB94+AB96</f>
        <v>35</v>
      </c>
      <c r="AC99" s="62">
        <f>AC92+AC94+AC96</f>
        <v>0</v>
      </c>
      <c r="AD99" s="62">
        <f>AD92+AD94+AD96</f>
        <v>0</v>
      </c>
      <c r="AE99" s="62">
        <f>AE92+AE94+AE96</f>
        <v>0</v>
      </c>
      <c r="AF99" s="62"/>
      <c r="AG99" s="62"/>
      <c r="AH99" s="62"/>
      <c r="AI99" s="62"/>
      <c r="AJ99" s="62"/>
      <c r="AK99" s="62"/>
      <c r="AL99" s="62"/>
      <c r="AM99" s="62"/>
      <c r="AN99" s="62"/>
      <c r="AO99" s="62"/>
      <c r="AP99" s="62"/>
      <c r="AQ99" s="62"/>
      <c r="AR99" s="62"/>
      <c r="AS99" s="62"/>
      <c r="AT99" s="62"/>
      <c r="AU99" s="62"/>
      <c r="AV99" s="62"/>
      <c r="AW99" s="62"/>
      <c r="AX99" s="62"/>
      <c r="AY99" s="62"/>
      <c r="AZ99" s="62"/>
      <c r="BA99" s="62"/>
      <c r="BB99" s="62"/>
      <c r="BC99" s="62"/>
      <c r="BD99" s="62"/>
      <c r="BE99" s="62"/>
      <c r="BF99" s="62"/>
      <c r="BG99" s="62"/>
      <c r="BH99" s="62"/>
      <c r="BI99" s="62"/>
      <c r="BJ99" s="62"/>
      <c r="BK99" s="62"/>
      <c r="BL99" s="62"/>
      <c r="BM99" s="96"/>
      <c r="BN99" s="62"/>
      <c r="BO99" s="62"/>
    </row>
    <row r="100" spans="1:67" s="3" customFormat="1" ht="14.25" hidden="1" customHeight="1">
      <c r="A100" s="30"/>
      <c r="B100" s="984"/>
      <c r="C100" s="972"/>
      <c r="D100" s="31" t="s">
        <v>284</v>
      </c>
      <c r="E100" s="32"/>
      <c r="F100" s="32"/>
      <c r="G100" s="32"/>
      <c r="H100" s="32"/>
      <c r="I100" s="32"/>
      <c r="J100" s="32"/>
      <c r="K100" s="60"/>
      <c r="L100" s="61"/>
      <c r="M100" s="62"/>
      <c r="N100" s="62"/>
      <c r="O100" s="62"/>
      <c r="P100" s="62"/>
      <c r="Q100" s="62"/>
      <c r="R100" s="62"/>
      <c r="S100" s="76"/>
      <c r="T100" s="76"/>
      <c r="U100" s="76"/>
      <c r="V100" s="62"/>
      <c r="W100" s="62"/>
      <c r="X100" s="62"/>
      <c r="Y100" s="62"/>
      <c r="Z100" s="62"/>
      <c r="AA100" s="62">
        <f>U100+AA99</f>
        <v>5</v>
      </c>
      <c r="AB100" s="62">
        <f>AA100+AB99</f>
        <v>40</v>
      </c>
      <c r="AC100" s="62">
        <f>AB100+AC99</f>
        <v>40</v>
      </c>
      <c r="AD100" s="62">
        <f>AC100+AD99</f>
        <v>40</v>
      </c>
      <c r="AE100" s="62">
        <f>AD100+AE99</f>
        <v>40</v>
      </c>
      <c r="AF100" s="62"/>
      <c r="AG100" s="62"/>
      <c r="AH100" s="62"/>
      <c r="AI100" s="62"/>
      <c r="AJ100" s="62"/>
      <c r="AK100" s="62"/>
      <c r="AL100" s="62"/>
      <c r="AM100" s="62"/>
      <c r="AN100" s="62"/>
      <c r="AO100" s="62"/>
      <c r="AP100" s="62"/>
      <c r="AQ100" s="62"/>
      <c r="AR100" s="62"/>
      <c r="AS100" s="62"/>
      <c r="AT100" s="62"/>
      <c r="AU100" s="62"/>
      <c r="AV100" s="62"/>
      <c r="AW100" s="62"/>
      <c r="AX100" s="62"/>
      <c r="AY100" s="62"/>
      <c r="AZ100" s="62"/>
      <c r="BA100" s="62"/>
      <c r="BB100" s="62"/>
      <c r="BC100" s="62"/>
      <c r="BD100" s="62"/>
      <c r="BE100" s="62"/>
      <c r="BF100" s="62"/>
      <c r="BG100" s="62"/>
      <c r="BH100" s="62"/>
      <c r="BI100" s="62"/>
      <c r="BJ100" s="62"/>
      <c r="BK100" s="62"/>
      <c r="BL100" s="62"/>
      <c r="BM100" s="96"/>
      <c r="BN100" s="62"/>
      <c r="BO100" s="62"/>
    </row>
    <row r="101" spans="1:67" s="3" customFormat="1" ht="14.65" hidden="1" customHeight="1">
      <c r="A101" s="30"/>
      <c r="B101" s="985"/>
      <c r="C101" s="973"/>
      <c r="D101" s="963" t="s">
        <v>285</v>
      </c>
      <c r="E101" s="964"/>
      <c r="F101" s="964"/>
      <c r="G101" s="964"/>
      <c r="H101" s="964"/>
      <c r="I101" s="964"/>
      <c r="J101" s="964"/>
      <c r="K101" s="965"/>
      <c r="L101" s="63"/>
      <c r="M101" s="64"/>
      <c r="N101" s="64"/>
      <c r="O101" s="64"/>
      <c r="P101" s="64"/>
      <c r="Q101" s="64"/>
      <c r="R101" s="64"/>
      <c r="S101" s="77"/>
      <c r="T101" s="78"/>
      <c r="U101" s="78"/>
      <c r="V101" s="64"/>
      <c r="W101" s="64"/>
      <c r="X101" s="64"/>
      <c r="Y101" s="64"/>
      <c r="Z101" s="64"/>
      <c r="AA101" s="64">
        <f>AA100-AA98</f>
        <v>0</v>
      </c>
      <c r="AB101" s="64">
        <f>AB100-AB98</f>
        <v>25</v>
      </c>
      <c r="AC101" s="64">
        <f>AC100-AC98</f>
        <v>5</v>
      </c>
      <c r="AD101" s="64">
        <f>AD100-AD98</f>
        <v>-20</v>
      </c>
      <c r="AE101" s="64">
        <f>AE100-AE98</f>
        <v>-60</v>
      </c>
      <c r="AF101" s="64"/>
      <c r="AG101" s="64"/>
      <c r="AH101" s="64"/>
      <c r="AI101" s="64"/>
      <c r="AJ101" s="64"/>
      <c r="AK101" s="64"/>
      <c r="AL101" s="64"/>
      <c r="AM101" s="64"/>
      <c r="AN101" s="64"/>
      <c r="AO101" s="64"/>
      <c r="AP101" s="64"/>
      <c r="AQ101" s="64"/>
      <c r="AR101" s="64"/>
      <c r="AS101" s="64"/>
      <c r="AT101" s="64"/>
      <c r="AU101" s="64"/>
      <c r="AV101" s="64"/>
      <c r="AW101" s="64"/>
      <c r="AX101" s="64"/>
      <c r="AY101" s="64"/>
      <c r="AZ101" s="64"/>
      <c r="BA101" s="64"/>
      <c r="BB101" s="64"/>
      <c r="BC101" s="64"/>
      <c r="BD101" s="64"/>
      <c r="BE101" s="64"/>
      <c r="BF101" s="64"/>
      <c r="BG101" s="64"/>
      <c r="BH101" s="64"/>
      <c r="BI101" s="64"/>
      <c r="BJ101" s="64"/>
      <c r="BK101" s="64"/>
      <c r="BL101" s="64"/>
      <c r="BM101" s="97"/>
      <c r="BN101" s="64"/>
      <c r="BO101" s="64"/>
    </row>
    <row r="102" spans="1:67" s="1" customFormat="1">
      <c r="B102" s="980">
        <v>8</v>
      </c>
      <c r="C102" s="971" t="s">
        <v>344</v>
      </c>
      <c r="D102" s="107" t="s">
        <v>345</v>
      </c>
      <c r="E102" s="22">
        <v>43502</v>
      </c>
      <c r="F102" s="108"/>
      <c r="G102" s="108" t="s">
        <v>346</v>
      </c>
      <c r="H102" s="109" t="s">
        <v>347</v>
      </c>
      <c r="I102" s="24" t="s">
        <v>275</v>
      </c>
      <c r="J102" s="65">
        <v>43562</v>
      </c>
      <c r="K102" s="66">
        <v>1</v>
      </c>
      <c r="L102" s="54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  <c r="AA102" s="19"/>
      <c r="AB102" s="19"/>
      <c r="AC102" s="19"/>
      <c r="AD102" s="19"/>
      <c r="AE102" s="19"/>
      <c r="AF102" s="19"/>
      <c r="AG102" s="19"/>
      <c r="AH102" s="19"/>
      <c r="AI102" s="19"/>
      <c r="AJ102" s="19"/>
      <c r="AK102" s="19"/>
      <c r="AL102" s="19"/>
      <c r="AM102" s="19"/>
      <c r="AN102" s="19"/>
      <c r="AO102" s="19"/>
      <c r="AP102" s="19"/>
      <c r="AQ102" s="19"/>
      <c r="AR102" s="19"/>
      <c r="AS102" s="19"/>
      <c r="AT102" s="19"/>
      <c r="AU102" s="19"/>
      <c r="AV102" s="19"/>
      <c r="AW102" s="19"/>
      <c r="AX102" s="19"/>
      <c r="AY102" s="19"/>
      <c r="AZ102" s="19"/>
      <c r="BA102" s="19"/>
      <c r="BB102" s="19"/>
      <c r="BC102" s="19"/>
      <c r="BD102" s="19"/>
      <c r="BE102" s="19"/>
      <c r="BF102" s="19"/>
      <c r="BG102" s="19"/>
      <c r="BH102" s="19"/>
      <c r="BI102" s="126" t="s">
        <v>348</v>
      </c>
      <c r="BJ102" s="84">
        <v>21137109</v>
      </c>
      <c r="BK102" s="84">
        <v>2361608</v>
      </c>
      <c r="BL102" s="129">
        <v>12256370</v>
      </c>
      <c r="BM102" s="54">
        <v>2</v>
      </c>
      <c r="BN102" s="23" t="s">
        <v>263</v>
      </c>
      <c r="BO102" s="95" t="s">
        <v>349</v>
      </c>
    </row>
    <row r="103" spans="1:67" s="1" customFormat="1">
      <c r="B103" s="982"/>
      <c r="C103" s="972"/>
      <c r="D103" s="25" t="s">
        <v>350</v>
      </c>
      <c r="E103" s="26"/>
      <c r="F103" s="27"/>
      <c r="G103" s="27"/>
      <c r="H103" s="28"/>
      <c r="I103" s="28"/>
      <c r="J103" s="67"/>
      <c r="K103" s="968">
        <v>0.6</v>
      </c>
      <c r="L103" s="54" t="s">
        <v>262</v>
      </c>
      <c r="M103" s="19"/>
      <c r="N103" s="19"/>
      <c r="O103" s="19"/>
      <c r="P103" s="19"/>
      <c r="Q103" s="19"/>
      <c r="R103" s="19"/>
      <c r="S103" s="19"/>
      <c r="T103" s="72"/>
      <c r="U103" s="79">
        <v>5</v>
      </c>
      <c r="V103" s="79">
        <v>10</v>
      </c>
      <c r="W103" s="79">
        <v>20</v>
      </c>
      <c r="X103" s="79">
        <v>25</v>
      </c>
      <c r="Y103" s="72"/>
      <c r="Z103" s="19"/>
      <c r="AA103" s="19"/>
      <c r="AB103" s="19"/>
      <c r="AC103" s="19"/>
      <c r="AD103" s="19"/>
      <c r="AE103" s="19"/>
      <c r="AF103" s="19"/>
      <c r="AG103" s="19"/>
      <c r="AH103" s="19"/>
      <c r="AI103" s="19"/>
      <c r="AJ103" s="19"/>
      <c r="AK103" s="19"/>
      <c r="AL103" s="19"/>
      <c r="AM103" s="19"/>
      <c r="AN103" s="19"/>
      <c r="AO103" s="19"/>
      <c r="AP103" s="19"/>
      <c r="AQ103" s="19"/>
      <c r="AR103" s="19"/>
      <c r="AS103" s="19"/>
      <c r="AT103" s="19"/>
      <c r="AU103" s="19"/>
      <c r="AV103" s="19"/>
      <c r="AW103" s="19"/>
      <c r="AX103" s="19"/>
      <c r="AY103" s="19"/>
      <c r="AZ103" s="19"/>
      <c r="BA103" s="19"/>
      <c r="BB103" s="19"/>
      <c r="BC103" s="19"/>
      <c r="BD103" s="19"/>
      <c r="BE103" s="19"/>
      <c r="BF103" s="19"/>
      <c r="BG103" s="19"/>
      <c r="BH103" s="19"/>
      <c r="BI103" s="19"/>
      <c r="BJ103" s="19"/>
      <c r="BK103" s="19"/>
      <c r="BL103" s="81"/>
      <c r="BM103" s="93"/>
      <c r="BN103" s="19"/>
      <c r="BO103" s="100" t="s">
        <v>351</v>
      </c>
    </row>
    <row r="104" spans="1:67" s="1" customFormat="1">
      <c r="B104" s="982"/>
      <c r="C104" s="972"/>
      <c r="D104" s="29"/>
      <c r="E104" s="18"/>
      <c r="F104" s="19"/>
      <c r="G104" s="19"/>
      <c r="H104" s="20"/>
      <c r="I104" s="20"/>
      <c r="J104" s="57"/>
      <c r="K104" s="969"/>
      <c r="L104" s="54" t="s">
        <v>264</v>
      </c>
      <c r="M104" s="19"/>
      <c r="N104" s="19"/>
      <c r="O104" s="19"/>
      <c r="P104" s="19"/>
      <c r="Q104" s="19"/>
      <c r="R104" s="19"/>
      <c r="S104" s="19"/>
      <c r="T104" s="72"/>
      <c r="U104" s="23">
        <v>5</v>
      </c>
      <c r="V104" s="23">
        <v>10</v>
      </c>
      <c r="W104" s="23">
        <v>20</v>
      </c>
      <c r="X104" s="23">
        <v>25</v>
      </c>
      <c r="Y104" s="19"/>
      <c r="Z104" s="19"/>
      <c r="AA104" s="19"/>
      <c r="AB104" s="19"/>
      <c r="AC104" s="19"/>
      <c r="AD104" s="19"/>
      <c r="AE104" s="19"/>
      <c r="AF104" s="19"/>
      <c r="AG104" s="19"/>
      <c r="AH104" s="19"/>
      <c r="AI104" s="19"/>
      <c r="AJ104" s="19"/>
      <c r="AK104" s="19"/>
      <c r="AL104" s="19"/>
      <c r="AM104" s="19"/>
      <c r="AN104" s="19"/>
      <c r="AO104" s="19"/>
      <c r="AP104" s="19"/>
      <c r="AQ104" s="19"/>
      <c r="AR104" s="19"/>
      <c r="AS104" s="19"/>
      <c r="AT104" s="19"/>
      <c r="AU104" s="19"/>
      <c r="AV104" s="19"/>
      <c r="AW104" s="19"/>
      <c r="AX104" s="19"/>
      <c r="AY104" s="19"/>
      <c r="AZ104" s="19"/>
      <c r="BA104" s="19"/>
      <c r="BB104" s="19"/>
      <c r="BC104" s="19"/>
      <c r="BD104" s="19"/>
      <c r="BE104" s="19"/>
      <c r="BF104" s="19"/>
      <c r="BG104" s="19"/>
      <c r="BH104" s="19"/>
      <c r="BI104" s="19"/>
      <c r="BJ104" s="19"/>
      <c r="BK104" s="19"/>
      <c r="BL104" s="82"/>
      <c r="BM104" s="93"/>
      <c r="BN104" s="19"/>
      <c r="BO104" s="103"/>
    </row>
    <row r="105" spans="1:67" s="1" customFormat="1">
      <c r="B105" s="982"/>
      <c r="C105" s="972"/>
      <c r="D105" s="25" t="s">
        <v>352</v>
      </c>
      <c r="E105" s="26"/>
      <c r="F105" s="27"/>
      <c r="G105" s="27"/>
      <c r="H105" s="28"/>
      <c r="I105" s="28"/>
      <c r="J105" s="67"/>
      <c r="K105" s="968">
        <v>0.4</v>
      </c>
      <c r="L105" s="54" t="s">
        <v>262</v>
      </c>
      <c r="M105" s="19"/>
      <c r="N105" s="19"/>
      <c r="O105" s="19"/>
      <c r="P105" s="19"/>
      <c r="Q105" s="19"/>
      <c r="R105" s="19"/>
      <c r="S105" s="19"/>
      <c r="T105" s="72"/>
      <c r="U105" s="19"/>
      <c r="V105" s="19"/>
      <c r="W105" s="19"/>
      <c r="X105" s="72"/>
      <c r="Y105" s="79">
        <v>40</v>
      </c>
      <c r="Z105" s="19"/>
      <c r="AA105" s="19"/>
      <c r="AB105" s="19"/>
      <c r="AC105" s="19"/>
      <c r="AD105" s="19"/>
      <c r="AE105" s="19"/>
      <c r="AF105" s="19"/>
      <c r="AG105" s="19"/>
      <c r="AH105" s="19"/>
      <c r="AI105" s="19"/>
      <c r="AJ105" s="19"/>
      <c r="AK105" s="19"/>
      <c r="AL105" s="19"/>
      <c r="AM105" s="19"/>
      <c r="AN105" s="19"/>
      <c r="AO105" s="19"/>
      <c r="AP105" s="19"/>
      <c r="AQ105" s="19"/>
      <c r="AR105" s="19"/>
      <c r="AS105" s="19"/>
      <c r="AT105" s="19"/>
      <c r="AU105" s="19"/>
      <c r="AV105" s="19"/>
      <c r="AW105" s="19"/>
      <c r="AX105" s="19"/>
      <c r="AY105" s="19"/>
      <c r="AZ105" s="19"/>
      <c r="BA105" s="19"/>
      <c r="BB105" s="19"/>
      <c r="BC105" s="19"/>
      <c r="BD105" s="19"/>
      <c r="BE105" s="19"/>
      <c r="BF105" s="19"/>
      <c r="BG105" s="19"/>
      <c r="BH105" s="19"/>
      <c r="BI105" s="19"/>
      <c r="BJ105" s="19"/>
      <c r="BK105" s="19"/>
      <c r="BL105" s="82"/>
      <c r="BM105" s="93"/>
      <c r="BN105" s="19"/>
      <c r="BO105" s="19"/>
    </row>
    <row r="106" spans="1:67" s="1" customFormat="1" ht="15.2">
      <c r="B106" s="982"/>
      <c r="C106" s="972"/>
      <c r="D106" s="110"/>
      <c r="E106" s="18"/>
      <c r="F106" s="19"/>
      <c r="G106" s="20"/>
      <c r="H106" s="20"/>
      <c r="I106" s="20"/>
      <c r="J106" s="57"/>
      <c r="K106" s="970"/>
      <c r="L106" s="54" t="s">
        <v>264</v>
      </c>
      <c r="M106" s="19"/>
      <c r="N106" s="19"/>
      <c r="O106" s="19"/>
      <c r="P106" s="19"/>
      <c r="Q106" s="19"/>
      <c r="R106" s="19"/>
      <c r="S106" s="19"/>
      <c r="T106" s="72"/>
      <c r="U106" s="19"/>
      <c r="V106" s="19"/>
      <c r="W106" s="19"/>
      <c r="X106" s="19"/>
      <c r="Y106" s="19"/>
      <c r="Z106" s="19"/>
      <c r="AA106" s="19"/>
      <c r="AB106" s="19"/>
      <c r="AC106" s="19"/>
      <c r="AD106" s="19"/>
      <c r="AE106" s="19"/>
      <c r="AF106" s="19"/>
      <c r="AG106" s="19"/>
      <c r="AH106" s="19"/>
      <c r="AI106" s="19"/>
      <c r="AJ106" s="19"/>
      <c r="AK106" s="19"/>
      <c r="AL106" s="19"/>
      <c r="AM106" s="19"/>
      <c r="AN106" s="19"/>
      <c r="AO106" s="19"/>
      <c r="AP106" s="19"/>
      <c r="AQ106" s="19"/>
      <c r="AR106" s="19"/>
      <c r="AS106" s="19"/>
      <c r="AT106" s="19"/>
      <c r="AU106" s="19"/>
      <c r="AV106" s="19"/>
      <c r="AW106" s="19"/>
      <c r="AX106" s="19"/>
      <c r="AY106" s="19"/>
      <c r="AZ106" s="19"/>
      <c r="BA106" s="19"/>
      <c r="BB106" s="19"/>
      <c r="BC106" s="19"/>
      <c r="BD106" s="19"/>
      <c r="BE106" s="19"/>
      <c r="BF106" s="19"/>
      <c r="BG106" s="19"/>
      <c r="BH106" s="19"/>
      <c r="BI106" s="19"/>
      <c r="BJ106" s="19"/>
      <c r="BK106" s="19"/>
      <c r="BL106" s="82"/>
      <c r="BM106" s="93"/>
      <c r="BN106" s="19"/>
      <c r="BO106" s="19"/>
    </row>
    <row r="107" spans="1:67" s="3" customFormat="1" hidden="1">
      <c r="A107" s="30"/>
      <c r="B107" s="982"/>
      <c r="C107" s="972"/>
      <c r="D107" s="957" t="s">
        <v>281</v>
      </c>
      <c r="E107" s="958"/>
      <c r="F107" s="958"/>
      <c r="G107" s="958"/>
      <c r="H107" s="958"/>
      <c r="I107" s="958"/>
      <c r="J107" s="958"/>
      <c r="K107" s="959"/>
      <c r="L107" s="58"/>
      <c r="M107" s="59"/>
      <c r="N107" s="59"/>
      <c r="O107" s="59"/>
      <c r="P107" s="59"/>
      <c r="Q107" s="59"/>
      <c r="R107" s="59"/>
      <c r="S107" s="75"/>
      <c r="T107" s="115"/>
      <c r="U107" s="75">
        <f>U103+U105</f>
        <v>5</v>
      </c>
      <c r="V107" s="75">
        <f>V103+V105</f>
        <v>10</v>
      </c>
      <c r="W107" s="75">
        <f>W103+W105</f>
        <v>20</v>
      </c>
      <c r="X107" s="75">
        <f>X103+X105</f>
        <v>25</v>
      </c>
      <c r="Y107" s="75">
        <f>Y103+Y105</f>
        <v>40</v>
      </c>
      <c r="Z107" s="59"/>
      <c r="AA107" s="59"/>
      <c r="AB107" s="59"/>
      <c r="AC107" s="59"/>
      <c r="AD107" s="59"/>
      <c r="AE107" s="59"/>
      <c r="AF107" s="59"/>
      <c r="AG107" s="59"/>
      <c r="AH107" s="59"/>
      <c r="AI107" s="59"/>
      <c r="AJ107" s="59"/>
      <c r="AK107" s="59"/>
      <c r="AL107" s="59"/>
      <c r="AM107" s="59"/>
      <c r="AN107" s="59"/>
      <c r="AO107" s="59"/>
      <c r="AP107" s="59"/>
      <c r="AQ107" s="59"/>
      <c r="AR107" s="59"/>
      <c r="AS107" s="59"/>
      <c r="AT107" s="59"/>
      <c r="AU107" s="59"/>
      <c r="AV107" s="59"/>
      <c r="AW107" s="59"/>
      <c r="AX107" s="59"/>
      <c r="AY107" s="59"/>
      <c r="AZ107" s="59"/>
      <c r="BA107" s="59"/>
      <c r="BB107" s="59"/>
      <c r="BC107" s="59"/>
      <c r="BD107" s="59"/>
      <c r="BE107" s="59"/>
      <c r="BF107" s="59"/>
      <c r="BG107" s="59"/>
      <c r="BH107" s="59"/>
      <c r="BI107" s="59"/>
      <c r="BJ107" s="59"/>
      <c r="BK107" s="59"/>
      <c r="BL107" s="59"/>
      <c r="BM107" s="58"/>
      <c r="BN107" s="59"/>
      <c r="BO107" s="59"/>
    </row>
    <row r="108" spans="1:67" s="3" customFormat="1" hidden="1">
      <c r="A108" s="30"/>
      <c r="B108" s="982"/>
      <c r="C108" s="972"/>
      <c r="D108" s="31" t="s">
        <v>282</v>
      </c>
      <c r="E108" s="32"/>
      <c r="F108" s="32"/>
      <c r="G108" s="32"/>
      <c r="H108" s="32"/>
      <c r="I108" s="32"/>
      <c r="J108" s="32"/>
      <c r="K108" s="60"/>
      <c r="L108" s="61"/>
      <c r="M108" s="62"/>
      <c r="N108" s="62"/>
      <c r="O108" s="62"/>
      <c r="P108" s="62"/>
      <c r="Q108" s="62"/>
      <c r="R108" s="62"/>
      <c r="S108" s="76"/>
      <c r="T108" s="116"/>
      <c r="U108" s="76">
        <f>T108+U107</f>
        <v>5</v>
      </c>
      <c r="V108" s="76">
        <f>U108+V107</f>
        <v>15</v>
      </c>
      <c r="W108" s="76">
        <f>V108+W107</f>
        <v>35</v>
      </c>
      <c r="X108" s="76">
        <f>W108+X107</f>
        <v>60</v>
      </c>
      <c r="Y108" s="76">
        <f>X108+Y107</f>
        <v>100</v>
      </c>
      <c r="Z108" s="62"/>
      <c r="AA108" s="62"/>
      <c r="AB108" s="62"/>
      <c r="AC108" s="62"/>
      <c r="AD108" s="62"/>
      <c r="AE108" s="62"/>
      <c r="AF108" s="62"/>
      <c r="AG108" s="62"/>
      <c r="AH108" s="62"/>
      <c r="AI108" s="62"/>
      <c r="AJ108" s="62"/>
      <c r="AK108" s="62"/>
      <c r="AL108" s="62"/>
      <c r="AM108" s="62"/>
      <c r="AN108" s="62"/>
      <c r="AO108" s="62"/>
      <c r="AP108" s="62"/>
      <c r="AQ108" s="62"/>
      <c r="AR108" s="62"/>
      <c r="AS108" s="62"/>
      <c r="AT108" s="62"/>
      <c r="AU108" s="62"/>
      <c r="AV108" s="62"/>
      <c r="AW108" s="62"/>
      <c r="AX108" s="62"/>
      <c r="AY108" s="62"/>
      <c r="AZ108" s="62"/>
      <c r="BA108" s="62"/>
      <c r="BB108" s="62"/>
      <c r="BC108" s="62"/>
      <c r="BD108" s="62"/>
      <c r="BE108" s="62"/>
      <c r="BF108" s="62"/>
      <c r="BG108" s="62"/>
      <c r="BH108" s="62"/>
      <c r="BI108" s="62"/>
      <c r="BJ108" s="62"/>
      <c r="BK108" s="62"/>
      <c r="BL108" s="62"/>
      <c r="BM108" s="96"/>
      <c r="BN108" s="62"/>
      <c r="BO108" s="62"/>
    </row>
    <row r="109" spans="1:67" s="3" customFormat="1" hidden="1">
      <c r="A109" s="30"/>
      <c r="B109" s="982"/>
      <c r="C109" s="972"/>
      <c r="D109" s="960" t="s">
        <v>283</v>
      </c>
      <c r="E109" s="961"/>
      <c r="F109" s="961"/>
      <c r="G109" s="961"/>
      <c r="H109" s="961"/>
      <c r="I109" s="961"/>
      <c r="J109" s="961"/>
      <c r="K109" s="962"/>
      <c r="L109" s="61"/>
      <c r="M109" s="62"/>
      <c r="N109" s="62"/>
      <c r="O109" s="62"/>
      <c r="P109" s="62"/>
      <c r="Q109" s="62"/>
      <c r="R109" s="62"/>
      <c r="S109" s="76"/>
      <c r="T109" s="116"/>
      <c r="U109" s="76">
        <f>U104+U106</f>
        <v>5</v>
      </c>
      <c r="V109" s="76">
        <f>V104+V106</f>
        <v>10</v>
      </c>
      <c r="W109" s="76">
        <f>W104+W106</f>
        <v>20</v>
      </c>
      <c r="X109" s="76">
        <f>X104+X106</f>
        <v>25</v>
      </c>
      <c r="Y109" s="76">
        <f>Y104+Y106</f>
        <v>0</v>
      </c>
      <c r="Z109" s="62"/>
      <c r="AA109" s="62"/>
      <c r="AB109" s="62"/>
      <c r="AC109" s="62"/>
      <c r="AD109" s="62"/>
      <c r="AE109" s="62"/>
      <c r="AF109" s="62"/>
      <c r="AG109" s="62"/>
      <c r="AH109" s="62"/>
      <c r="AI109" s="62"/>
      <c r="AJ109" s="62"/>
      <c r="AK109" s="62"/>
      <c r="AL109" s="62"/>
      <c r="AM109" s="62"/>
      <c r="AN109" s="62"/>
      <c r="AO109" s="62"/>
      <c r="AP109" s="62"/>
      <c r="AQ109" s="62"/>
      <c r="AR109" s="62"/>
      <c r="AS109" s="62"/>
      <c r="AT109" s="62"/>
      <c r="AU109" s="62"/>
      <c r="AV109" s="62"/>
      <c r="AW109" s="62"/>
      <c r="AX109" s="62"/>
      <c r="AY109" s="62"/>
      <c r="AZ109" s="62"/>
      <c r="BA109" s="62"/>
      <c r="BB109" s="62"/>
      <c r="BC109" s="62"/>
      <c r="BD109" s="62"/>
      <c r="BE109" s="62"/>
      <c r="BF109" s="62"/>
      <c r="BG109" s="62"/>
      <c r="BH109" s="62"/>
      <c r="BI109" s="62"/>
      <c r="BJ109" s="62"/>
      <c r="BK109" s="62"/>
      <c r="BL109" s="62"/>
      <c r="BM109" s="96"/>
      <c r="BN109" s="62"/>
      <c r="BO109" s="62"/>
    </row>
    <row r="110" spans="1:67" s="3" customFormat="1" hidden="1">
      <c r="A110" s="30"/>
      <c r="B110" s="982"/>
      <c r="C110" s="972"/>
      <c r="D110" s="31" t="s">
        <v>284</v>
      </c>
      <c r="E110" s="32"/>
      <c r="F110" s="32"/>
      <c r="G110" s="32"/>
      <c r="H110" s="32"/>
      <c r="I110" s="32"/>
      <c r="J110" s="32"/>
      <c r="K110" s="60"/>
      <c r="L110" s="61"/>
      <c r="M110" s="62"/>
      <c r="N110" s="62"/>
      <c r="O110" s="62"/>
      <c r="P110" s="62"/>
      <c r="Q110" s="62"/>
      <c r="R110" s="62"/>
      <c r="S110" s="76"/>
      <c r="T110" s="116"/>
      <c r="U110" s="76">
        <f>T110+U109</f>
        <v>5</v>
      </c>
      <c r="V110" s="76">
        <f>U110+V109</f>
        <v>15</v>
      </c>
      <c r="W110" s="76">
        <f>V110+W109</f>
        <v>35</v>
      </c>
      <c r="X110" s="76">
        <f>W110+X109</f>
        <v>60</v>
      </c>
      <c r="Y110" s="76">
        <f>X110+Y109</f>
        <v>60</v>
      </c>
      <c r="Z110" s="62"/>
      <c r="AA110" s="62"/>
      <c r="AB110" s="62"/>
      <c r="AC110" s="62"/>
      <c r="AD110" s="62"/>
      <c r="AE110" s="62"/>
      <c r="AF110" s="62"/>
      <c r="AG110" s="62"/>
      <c r="AH110" s="62"/>
      <c r="AI110" s="62"/>
      <c r="AJ110" s="62"/>
      <c r="AK110" s="62"/>
      <c r="AL110" s="62"/>
      <c r="AM110" s="62"/>
      <c r="AN110" s="62"/>
      <c r="AO110" s="62"/>
      <c r="AP110" s="62"/>
      <c r="AQ110" s="62"/>
      <c r="AR110" s="62"/>
      <c r="AS110" s="62"/>
      <c r="AT110" s="62"/>
      <c r="AU110" s="62"/>
      <c r="AV110" s="62"/>
      <c r="AW110" s="62"/>
      <c r="AX110" s="62"/>
      <c r="AY110" s="62"/>
      <c r="AZ110" s="62"/>
      <c r="BA110" s="62"/>
      <c r="BB110" s="62"/>
      <c r="BC110" s="62"/>
      <c r="BD110" s="62"/>
      <c r="BE110" s="62"/>
      <c r="BF110" s="62"/>
      <c r="BG110" s="62"/>
      <c r="BH110" s="62"/>
      <c r="BI110" s="62"/>
      <c r="BJ110" s="62"/>
      <c r="BK110" s="62"/>
      <c r="BL110" s="62"/>
      <c r="BM110" s="96"/>
      <c r="BN110" s="62"/>
      <c r="BO110" s="62"/>
    </row>
    <row r="111" spans="1:67" s="3" customFormat="1" ht="15.2" hidden="1">
      <c r="A111" s="30"/>
      <c r="B111" s="981"/>
      <c r="C111" s="973"/>
      <c r="D111" s="963" t="s">
        <v>285</v>
      </c>
      <c r="E111" s="964"/>
      <c r="F111" s="964"/>
      <c r="G111" s="964"/>
      <c r="H111" s="964"/>
      <c r="I111" s="964"/>
      <c r="J111" s="964"/>
      <c r="K111" s="965"/>
      <c r="L111" s="63"/>
      <c r="M111" s="64"/>
      <c r="N111" s="64"/>
      <c r="O111" s="64"/>
      <c r="P111" s="64"/>
      <c r="Q111" s="64"/>
      <c r="R111" s="64"/>
      <c r="S111" s="77"/>
      <c r="T111" s="78"/>
      <c r="U111" s="78">
        <f>U110-U108</f>
        <v>0</v>
      </c>
      <c r="V111" s="78">
        <f>V110-V108</f>
        <v>0</v>
      </c>
      <c r="W111" s="78">
        <f>W110-W108</f>
        <v>0</v>
      </c>
      <c r="X111" s="78">
        <f>X110-X108</f>
        <v>0</v>
      </c>
      <c r="Y111" s="78">
        <f>Y110-Y108</f>
        <v>-40</v>
      </c>
      <c r="Z111" s="64"/>
      <c r="AA111" s="64"/>
      <c r="AB111" s="64"/>
      <c r="AC111" s="64"/>
      <c r="AD111" s="64"/>
      <c r="AE111" s="64"/>
      <c r="AF111" s="64"/>
      <c r="AG111" s="64"/>
      <c r="AH111" s="64"/>
      <c r="AI111" s="64"/>
      <c r="AJ111" s="64"/>
      <c r="AK111" s="64"/>
      <c r="AL111" s="64"/>
      <c r="AM111" s="64"/>
      <c r="AN111" s="64"/>
      <c r="AO111" s="64"/>
      <c r="AP111" s="64"/>
      <c r="AQ111" s="64"/>
      <c r="AR111" s="64"/>
      <c r="AS111" s="64"/>
      <c r="AT111" s="64"/>
      <c r="AU111" s="64"/>
      <c r="AV111" s="64"/>
      <c r="AW111" s="64"/>
      <c r="AX111" s="64"/>
      <c r="AY111" s="64"/>
      <c r="AZ111" s="64"/>
      <c r="BA111" s="64"/>
      <c r="BB111" s="64"/>
      <c r="BC111" s="64"/>
      <c r="BD111" s="64"/>
      <c r="BE111" s="64"/>
      <c r="BF111" s="64"/>
      <c r="BG111" s="64"/>
      <c r="BH111" s="64"/>
      <c r="BI111" s="64"/>
      <c r="BJ111" s="64"/>
      <c r="BK111" s="64"/>
      <c r="BL111" s="64"/>
      <c r="BM111" s="97"/>
      <c r="BN111" s="64"/>
      <c r="BO111" s="64"/>
    </row>
    <row r="112" spans="1:67" s="1" customFormat="1" ht="14.25" customHeight="1">
      <c r="B112" s="980">
        <v>9</v>
      </c>
      <c r="C112" s="971" t="s">
        <v>353</v>
      </c>
      <c r="D112" s="107" t="s">
        <v>345</v>
      </c>
      <c r="E112" s="111">
        <v>43502</v>
      </c>
      <c r="F112" s="23"/>
      <c r="G112" s="24" t="s">
        <v>354</v>
      </c>
      <c r="H112" s="24" t="s">
        <v>355</v>
      </c>
      <c r="I112" s="24" t="s">
        <v>275</v>
      </c>
      <c r="J112" s="65">
        <v>43562</v>
      </c>
      <c r="K112" s="66">
        <v>1</v>
      </c>
      <c r="L112" s="54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  <c r="AA112" s="19"/>
      <c r="AB112" s="19"/>
      <c r="AC112" s="19"/>
      <c r="AD112" s="19"/>
      <c r="AE112" s="19"/>
      <c r="AF112" s="19"/>
      <c r="AG112" s="19"/>
      <c r="AH112" s="19"/>
      <c r="AI112" s="19"/>
      <c r="AJ112" s="19"/>
      <c r="AK112" s="19"/>
      <c r="AL112" s="19"/>
      <c r="AM112" s="19"/>
      <c r="AN112" s="19"/>
      <c r="AO112" s="19"/>
      <c r="AP112" s="19"/>
      <c r="AQ112" s="19"/>
      <c r="AR112" s="19"/>
      <c r="AS112" s="19"/>
      <c r="AT112" s="19"/>
      <c r="AU112" s="19"/>
      <c r="AV112" s="19"/>
      <c r="AW112" s="19"/>
      <c r="AX112" s="19"/>
      <c r="AY112" s="19"/>
      <c r="AZ112" s="19"/>
      <c r="BA112" s="19"/>
      <c r="BB112" s="19"/>
      <c r="BC112" s="19"/>
      <c r="BD112" s="19"/>
      <c r="BE112" s="19"/>
      <c r="BF112" s="19"/>
      <c r="BG112" s="19"/>
      <c r="BH112" s="19"/>
      <c r="BI112" s="126" t="s">
        <v>356</v>
      </c>
      <c r="BJ112" s="84">
        <v>21137119</v>
      </c>
      <c r="BK112" s="92">
        <v>2361762</v>
      </c>
      <c r="BL112" s="130">
        <v>8550000</v>
      </c>
      <c r="BM112" s="54">
        <v>2</v>
      </c>
      <c r="BN112" s="23" t="s">
        <v>263</v>
      </c>
      <c r="BO112" s="95" t="s">
        <v>349</v>
      </c>
    </row>
    <row r="113" spans="1:67" s="1" customFormat="1">
      <c r="B113" s="982"/>
      <c r="C113" s="972"/>
      <c r="D113" s="25" t="s">
        <v>357</v>
      </c>
      <c r="E113" s="26"/>
      <c r="F113" s="27"/>
      <c r="G113" s="28"/>
      <c r="H113" s="28"/>
      <c r="I113" s="28"/>
      <c r="J113" s="67"/>
      <c r="K113" s="968">
        <v>0.6</v>
      </c>
      <c r="L113" s="54" t="s">
        <v>262</v>
      </c>
      <c r="M113" s="19"/>
      <c r="N113" s="19"/>
      <c r="O113" s="19"/>
      <c r="P113" s="19"/>
      <c r="Q113" s="19"/>
      <c r="R113" s="19"/>
      <c r="S113" s="19"/>
      <c r="T113" s="72"/>
      <c r="U113" s="79">
        <v>5</v>
      </c>
      <c r="V113" s="79">
        <v>10</v>
      </c>
      <c r="W113" s="79">
        <v>20</v>
      </c>
      <c r="X113" s="79">
        <v>25</v>
      </c>
      <c r="Y113" s="72"/>
      <c r="Z113" s="19"/>
      <c r="AA113" s="19"/>
      <c r="AB113" s="19"/>
      <c r="AC113" s="19"/>
      <c r="AD113" s="19"/>
      <c r="AE113" s="19"/>
      <c r="AF113" s="19"/>
      <c r="AG113" s="19"/>
      <c r="AH113" s="19"/>
      <c r="AI113" s="19"/>
      <c r="AJ113" s="19"/>
      <c r="AK113" s="19"/>
      <c r="AL113" s="19"/>
      <c r="AM113" s="19"/>
      <c r="AN113" s="19"/>
      <c r="AO113" s="19"/>
      <c r="AP113" s="19"/>
      <c r="AQ113" s="19"/>
      <c r="AR113" s="19"/>
      <c r="AS113" s="19"/>
      <c r="AT113" s="19"/>
      <c r="AU113" s="19"/>
      <c r="AV113" s="19"/>
      <c r="AW113" s="19"/>
      <c r="AX113" s="19"/>
      <c r="AY113" s="19"/>
      <c r="AZ113" s="19"/>
      <c r="BA113" s="19"/>
      <c r="BB113" s="19"/>
      <c r="BC113" s="19"/>
      <c r="BD113" s="19"/>
      <c r="BE113" s="19"/>
      <c r="BF113" s="19"/>
      <c r="BG113" s="19"/>
      <c r="BH113" s="19"/>
      <c r="BI113" s="19"/>
      <c r="BJ113" s="19"/>
      <c r="BK113" s="19"/>
      <c r="BL113" s="82"/>
      <c r="BM113" s="93"/>
      <c r="BN113" s="19"/>
      <c r="BO113" s="100" t="s">
        <v>351</v>
      </c>
    </row>
    <row r="114" spans="1:67" s="1" customFormat="1">
      <c r="B114" s="982"/>
      <c r="C114" s="972"/>
      <c r="D114" s="29"/>
      <c r="E114" s="18"/>
      <c r="F114" s="19"/>
      <c r="G114" s="20"/>
      <c r="H114" s="20"/>
      <c r="I114" s="20"/>
      <c r="J114" s="57"/>
      <c r="K114" s="969"/>
      <c r="L114" s="54" t="s">
        <v>264</v>
      </c>
      <c r="M114" s="19"/>
      <c r="N114" s="19"/>
      <c r="O114" s="19"/>
      <c r="P114" s="19"/>
      <c r="Q114" s="19"/>
      <c r="R114" s="19"/>
      <c r="S114" s="19"/>
      <c r="T114" s="72"/>
      <c r="U114" s="23">
        <v>5</v>
      </c>
      <c r="V114" s="23">
        <v>10</v>
      </c>
      <c r="W114" s="23">
        <v>20</v>
      </c>
      <c r="X114" s="23">
        <v>25</v>
      </c>
      <c r="Y114" s="19"/>
      <c r="Z114" s="19"/>
      <c r="AA114" s="19"/>
      <c r="AB114" s="19"/>
      <c r="AC114" s="19"/>
      <c r="AD114" s="19"/>
      <c r="AE114" s="19"/>
      <c r="AF114" s="19"/>
      <c r="AG114" s="19"/>
      <c r="AH114" s="19"/>
      <c r="AI114" s="19"/>
      <c r="AJ114" s="19"/>
      <c r="AK114" s="19"/>
      <c r="AL114" s="19"/>
      <c r="AM114" s="19"/>
      <c r="AN114" s="19"/>
      <c r="AO114" s="19"/>
      <c r="AP114" s="19"/>
      <c r="AQ114" s="19"/>
      <c r="AR114" s="19"/>
      <c r="AS114" s="19"/>
      <c r="AT114" s="19"/>
      <c r="AU114" s="19"/>
      <c r="AV114" s="19"/>
      <c r="AW114" s="19"/>
      <c r="AX114" s="19"/>
      <c r="AY114" s="19"/>
      <c r="AZ114" s="19"/>
      <c r="BA114" s="19"/>
      <c r="BB114" s="19"/>
      <c r="BC114" s="19"/>
      <c r="BD114" s="19"/>
      <c r="BE114" s="19"/>
      <c r="BF114" s="19"/>
      <c r="BG114" s="19"/>
      <c r="BH114" s="19"/>
      <c r="BI114" s="19"/>
      <c r="BJ114" s="19"/>
      <c r="BK114" s="19"/>
      <c r="BL114" s="82"/>
      <c r="BM114" s="93"/>
      <c r="BN114" s="19"/>
      <c r="BO114" s="103"/>
    </row>
    <row r="115" spans="1:67" s="1" customFormat="1">
      <c r="B115" s="982"/>
      <c r="C115" s="972"/>
      <c r="D115" s="25" t="s">
        <v>358</v>
      </c>
      <c r="E115" s="26"/>
      <c r="F115" s="27"/>
      <c r="G115" s="28"/>
      <c r="H115" s="28"/>
      <c r="I115" s="28"/>
      <c r="J115" s="67"/>
      <c r="K115" s="968">
        <v>0.4</v>
      </c>
      <c r="L115" s="54" t="s">
        <v>262</v>
      </c>
      <c r="M115" s="72"/>
      <c r="N115" s="72"/>
      <c r="O115" s="72"/>
      <c r="P115" s="72"/>
      <c r="Q115" s="19"/>
      <c r="R115" s="19"/>
      <c r="S115" s="19"/>
      <c r="T115" s="72"/>
      <c r="U115" s="19"/>
      <c r="V115" s="19"/>
      <c r="W115" s="19"/>
      <c r="X115" s="72"/>
      <c r="Y115" s="79">
        <v>40</v>
      </c>
      <c r="Z115" s="19"/>
      <c r="AA115" s="19"/>
      <c r="AB115" s="19"/>
      <c r="AC115" s="19"/>
      <c r="AD115" s="19"/>
      <c r="AE115" s="19"/>
      <c r="AF115" s="19"/>
      <c r="AG115" s="19"/>
      <c r="AH115" s="19"/>
      <c r="AI115" s="19"/>
      <c r="AJ115" s="19"/>
      <c r="AK115" s="19"/>
      <c r="AL115" s="19"/>
      <c r="AM115" s="19"/>
      <c r="AN115" s="19"/>
      <c r="AO115" s="19"/>
      <c r="AP115" s="19"/>
      <c r="AQ115" s="19"/>
      <c r="AR115" s="19"/>
      <c r="AS115" s="19"/>
      <c r="AT115" s="19"/>
      <c r="AU115" s="19"/>
      <c r="AV115" s="19"/>
      <c r="AW115" s="19"/>
      <c r="AX115" s="19"/>
      <c r="AY115" s="19"/>
      <c r="AZ115" s="19"/>
      <c r="BA115" s="19"/>
      <c r="BB115" s="19"/>
      <c r="BC115" s="19"/>
      <c r="BD115" s="19"/>
      <c r="BE115" s="19"/>
      <c r="BF115" s="19"/>
      <c r="BG115" s="19"/>
      <c r="BH115" s="19"/>
      <c r="BI115" s="19"/>
      <c r="BJ115" s="19"/>
      <c r="BK115" s="19"/>
      <c r="BL115" s="82"/>
      <c r="BM115" s="93"/>
      <c r="BN115" s="19"/>
      <c r="BO115" s="19"/>
    </row>
    <row r="116" spans="1:67" s="1" customFormat="1" ht="15.2">
      <c r="B116" s="982"/>
      <c r="C116" s="972"/>
      <c r="D116" s="19"/>
      <c r="E116" s="19"/>
      <c r="F116" s="19"/>
      <c r="G116" s="20"/>
      <c r="H116" s="20"/>
      <c r="I116" s="20"/>
      <c r="J116" s="57"/>
      <c r="K116" s="970"/>
      <c r="L116" s="54" t="s">
        <v>264</v>
      </c>
      <c r="M116" s="72"/>
      <c r="N116" s="72"/>
      <c r="O116" s="72"/>
      <c r="P116" s="72"/>
      <c r="Q116" s="19"/>
      <c r="R116" s="19"/>
      <c r="S116" s="19"/>
      <c r="T116" s="72"/>
      <c r="U116" s="19"/>
      <c r="V116" s="19"/>
      <c r="W116" s="19"/>
      <c r="X116" s="19"/>
      <c r="Y116" s="19"/>
      <c r="Z116" s="19"/>
      <c r="AA116" s="19"/>
      <c r="AB116" s="19"/>
      <c r="AC116" s="19"/>
      <c r="AD116" s="19"/>
      <c r="AE116" s="19"/>
      <c r="AF116" s="19"/>
      <c r="AG116" s="19"/>
      <c r="AH116" s="19"/>
      <c r="AI116" s="19"/>
      <c r="AJ116" s="19"/>
      <c r="AK116" s="19"/>
      <c r="AL116" s="19"/>
      <c r="AM116" s="19"/>
      <c r="AN116" s="19"/>
      <c r="AO116" s="19"/>
      <c r="AP116" s="19"/>
      <c r="AQ116" s="19"/>
      <c r="AR116" s="19"/>
      <c r="AS116" s="19"/>
      <c r="AT116" s="19"/>
      <c r="AU116" s="19"/>
      <c r="AV116" s="19"/>
      <c r="AW116" s="19"/>
      <c r="AX116" s="19"/>
      <c r="AY116" s="19"/>
      <c r="AZ116" s="19"/>
      <c r="BA116" s="19"/>
      <c r="BB116" s="19"/>
      <c r="BC116" s="19"/>
      <c r="BD116" s="19"/>
      <c r="BE116" s="19"/>
      <c r="BF116" s="19"/>
      <c r="BG116" s="19"/>
      <c r="BH116" s="19"/>
      <c r="BI116" s="19"/>
      <c r="BJ116" s="19"/>
      <c r="BK116" s="19"/>
      <c r="BL116" s="82"/>
      <c r="BM116" s="93"/>
      <c r="BN116" s="19"/>
      <c r="BO116" s="19"/>
    </row>
    <row r="117" spans="1:67" s="3" customFormat="1" hidden="1">
      <c r="A117" s="30"/>
      <c r="B117" s="982"/>
      <c r="C117" s="972"/>
      <c r="D117" s="957" t="s">
        <v>281</v>
      </c>
      <c r="E117" s="958"/>
      <c r="F117" s="958"/>
      <c r="G117" s="958"/>
      <c r="H117" s="958"/>
      <c r="I117" s="958"/>
      <c r="J117" s="958"/>
      <c r="K117" s="959"/>
      <c r="L117" s="58"/>
      <c r="M117" s="59"/>
      <c r="N117" s="59"/>
      <c r="O117" s="59"/>
      <c r="P117" s="59"/>
      <c r="Q117" s="59"/>
      <c r="R117" s="59"/>
      <c r="S117" s="75"/>
      <c r="T117" s="115"/>
      <c r="U117" s="75">
        <f>U113+U115</f>
        <v>5</v>
      </c>
      <c r="V117" s="75">
        <f>V113+V115</f>
        <v>10</v>
      </c>
      <c r="W117" s="75">
        <f>W113+W115</f>
        <v>20</v>
      </c>
      <c r="X117" s="75">
        <f>X113+X115</f>
        <v>25</v>
      </c>
      <c r="Y117" s="75">
        <f>Y113+Y115</f>
        <v>40</v>
      </c>
      <c r="Z117" s="59"/>
      <c r="AA117" s="59"/>
      <c r="AB117" s="59"/>
      <c r="AC117" s="59"/>
      <c r="AD117" s="59"/>
      <c r="AE117" s="59"/>
      <c r="AF117" s="59"/>
      <c r="AG117" s="59"/>
      <c r="AH117" s="59"/>
      <c r="AI117" s="59"/>
      <c r="AJ117" s="59"/>
      <c r="AK117" s="59"/>
      <c r="AL117" s="59"/>
      <c r="AM117" s="59"/>
      <c r="AN117" s="59"/>
      <c r="AO117" s="59"/>
      <c r="AP117" s="59"/>
      <c r="AQ117" s="59"/>
      <c r="AR117" s="59"/>
      <c r="AS117" s="59"/>
      <c r="AT117" s="59"/>
      <c r="AU117" s="59"/>
      <c r="AV117" s="59"/>
      <c r="AW117" s="59"/>
      <c r="AX117" s="59"/>
      <c r="AY117" s="59"/>
      <c r="AZ117" s="59"/>
      <c r="BA117" s="59"/>
      <c r="BB117" s="59"/>
      <c r="BC117" s="59"/>
      <c r="BD117" s="59"/>
      <c r="BE117" s="59"/>
      <c r="BF117" s="59"/>
      <c r="BG117" s="59"/>
      <c r="BH117" s="59"/>
      <c r="BI117" s="59"/>
      <c r="BJ117" s="59"/>
      <c r="BK117" s="59"/>
      <c r="BL117" s="59"/>
      <c r="BM117" s="58"/>
      <c r="BN117" s="59"/>
      <c r="BO117" s="59"/>
    </row>
    <row r="118" spans="1:67" s="3" customFormat="1" hidden="1">
      <c r="A118" s="30"/>
      <c r="B118" s="982"/>
      <c r="C118" s="972"/>
      <c r="D118" s="31" t="s">
        <v>282</v>
      </c>
      <c r="E118" s="32"/>
      <c r="F118" s="32"/>
      <c r="G118" s="32"/>
      <c r="H118" s="32"/>
      <c r="I118" s="32"/>
      <c r="J118" s="32"/>
      <c r="K118" s="60"/>
      <c r="L118" s="61"/>
      <c r="M118" s="62"/>
      <c r="N118" s="62"/>
      <c r="O118" s="62"/>
      <c r="P118" s="62"/>
      <c r="Q118" s="62"/>
      <c r="R118" s="62"/>
      <c r="S118" s="76"/>
      <c r="T118" s="116"/>
      <c r="U118" s="76">
        <f>T118+U117</f>
        <v>5</v>
      </c>
      <c r="V118" s="76">
        <f>U118+V117</f>
        <v>15</v>
      </c>
      <c r="W118" s="76">
        <f>V118+W117</f>
        <v>35</v>
      </c>
      <c r="X118" s="76">
        <f>W118+X117</f>
        <v>60</v>
      </c>
      <c r="Y118" s="76">
        <f>X118+Y117</f>
        <v>100</v>
      </c>
      <c r="Z118" s="62"/>
      <c r="AA118" s="62"/>
      <c r="AB118" s="62"/>
      <c r="AC118" s="62"/>
      <c r="AD118" s="62"/>
      <c r="AE118" s="62"/>
      <c r="AF118" s="62"/>
      <c r="AG118" s="62"/>
      <c r="AH118" s="62"/>
      <c r="AI118" s="62"/>
      <c r="AJ118" s="62"/>
      <c r="AK118" s="62"/>
      <c r="AL118" s="62"/>
      <c r="AM118" s="62"/>
      <c r="AN118" s="62"/>
      <c r="AO118" s="62"/>
      <c r="AP118" s="62"/>
      <c r="AQ118" s="62"/>
      <c r="AR118" s="62"/>
      <c r="AS118" s="62"/>
      <c r="AT118" s="62"/>
      <c r="AU118" s="62"/>
      <c r="AV118" s="62"/>
      <c r="AW118" s="62"/>
      <c r="AX118" s="62"/>
      <c r="AY118" s="62"/>
      <c r="AZ118" s="62"/>
      <c r="BA118" s="62"/>
      <c r="BB118" s="62"/>
      <c r="BC118" s="62"/>
      <c r="BD118" s="62"/>
      <c r="BE118" s="62"/>
      <c r="BF118" s="62"/>
      <c r="BG118" s="62"/>
      <c r="BH118" s="62"/>
      <c r="BI118" s="62"/>
      <c r="BJ118" s="62"/>
      <c r="BK118" s="62"/>
      <c r="BL118" s="62"/>
      <c r="BM118" s="96"/>
      <c r="BN118" s="62"/>
      <c r="BO118" s="62"/>
    </row>
    <row r="119" spans="1:67" s="3" customFormat="1" hidden="1">
      <c r="A119" s="30"/>
      <c r="B119" s="982"/>
      <c r="C119" s="972"/>
      <c r="D119" s="960" t="s">
        <v>283</v>
      </c>
      <c r="E119" s="961"/>
      <c r="F119" s="961"/>
      <c r="G119" s="961"/>
      <c r="H119" s="961"/>
      <c r="I119" s="961"/>
      <c r="J119" s="961"/>
      <c r="K119" s="962"/>
      <c r="L119" s="61"/>
      <c r="M119" s="62"/>
      <c r="N119" s="62"/>
      <c r="O119" s="62"/>
      <c r="P119" s="62"/>
      <c r="Q119" s="62"/>
      <c r="R119" s="62"/>
      <c r="S119" s="76"/>
      <c r="T119" s="116"/>
      <c r="U119" s="76">
        <f>U114+U116</f>
        <v>5</v>
      </c>
      <c r="V119" s="76">
        <f>V114+V116</f>
        <v>10</v>
      </c>
      <c r="W119" s="76">
        <f>W114+W116</f>
        <v>20</v>
      </c>
      <c r="X119" s="76">
        <f>X114+X116</f>
        <v>25</v>
      </c>
      <c r="Y119" s="76">
        <f>Y114+Y116</f>
        <v>0</v>
      </c>
      <c r="Z119" s="62"/>
      <c r="AA119" s="62"/>
      <c r="AB119" s="62"/>
      <c r="AC119" s="62"/>
      <c r="AD119" s="62"/>
      <c r="AE119" s="62"/>
      <c r="AF119" s="62"/>
      <c r="AG119" s="62"/>
      <c r="AH119" s="62"/>
      <c r="AI119" s="62"/>
      <c r="AJ119" s="62"/>
      <c r="AK119" s="62"/>
      <c r="AL119" s="62"/>
      <c r="AM119" s="62"/>
      <c r="AN119" s="62"/>
      <c r="AO119" s="62"/>
      <c r="AP119" s="62"/>
      <c r="AQ119" s="62"/>
      <c r="AR119" s="62"/>
      <c r="AS119" s="62"/>
      <c r="AT119" s="62"/>
      <c r="AU119" s="62"/>
      <c r="AV119" s="62"/>
      <c r="AW119" s="62"/>
      <c r="AX119" s="62"/>
      <c r="AY119" s="62"/>
      <c r="AZ119" s="62"/>
      <c r="BA119" s="62"/>
      <c r="BB119" s="62"/>
      <c r="BC119" s="62"/>
      <c r="BD119" s="62"/>
      <c r="BE119" s="62"/>
      <c r="BF119" s="62"/>
      <c r="BG119" s="62"/>
      <c r="BH119" s="62"/>
      <c r="BI119" s="62"/>
      <c r="BJ119" s="62"/>
      <c r="BK119" s="62"/>
      <c r="BL119" s="62"/>
      <c r="BM119" s="96"/>
      <c r="BN119" s="62"/>
      <c r="BO119" s="62"/>
    </row>
    <row r="120" spans="1:67" s="3" customFormat="1" hidden="1">
      <c r="A120" s="30"/>
      <c r="B120" s="982"/>
      <c r="C120" s="972"/>
      <c r="D120" s="31" t="s">
        <v>284</v>
      </c>
      <c r="E120" s="32"/>
      <c r="F120" s="32"/>
      <c r="G120" s="32"/>
      <c r="H120" s="32"/>
      <c r="I120" s="32"/>
      <c r="J120" s="32"/>
      <c r="K120" s="60"/>
      <c r="L120" s="61"/>
      <c r="M120" s="62"/>
      <c r="N120" s="62"/>
      <c r="O120" s="62"/>
      <c r="P120" s="62"/>
      <c r="Q120" s="62"/>
      <c r="R120" s="62"/>
      <c r="S120" s="76"/>
      <c r="T120" s="116"/>
      <c r="U120" s="76">
        <f>T120+U119</f>
        <v>5</v>
      </c>
      <c r="V120" s="76">
        <f>U120+V119</f>
        <v>15</v>
      </c>
      <c r="W120" s="76">
        <f>V120+W119</f>
        <v>35</v>
      </c>
      <c r="X120" s="76">
        <f>W120+X119</f>
        <v>60</v>
      </c>
      <c r="Y120" s="76">
        <f>X120+Y119</f>
        <v>60</v>
      </c>
      <c r="Z120" s="62"/>
      <c r="AA120" s="62"/>
      <c r="AB120" s="62"/>
      <c r="AC120" s="62"/>
      <c r="AD120" s="62"/>
      <c r="AE120" s="62"/>
      <c r="AF120" s="62"/>
      <c r="AG120" s="62"/>
      <c r="AH120" s="62"/>
      <c r="AI120" s="62"/>
      <c r="AJ120" s="62"/>
      <c r="AK120" s="62"/>
      <c r="AL120" s="62"/>
      <c r="AM120" s="62"/>
      <c r="AN120" s="62"/>
      <c r="AO120" s="62"/>
      <c r="AP120" s="62"/>
      <c r="AQ120" s="62"/>
      <c r="AR120" s="62"/>
      <c r="AS120" s="62"/>
      <c r="AT120" s="62"/>
      <c r="AU120" s="62"/>
      <c r="AV120" s="62"/>
      <c r="AW120" s="62"/>
      <c r="AX120" s="62"/>
      <c r="AY120" s="62"/>
      <c r="AZ120" s="62"/>
      <c r="BA120" s="62"/>
      <c r="BB120" s="62"/>
      <c r="BC120" s="62"/>
      <c r="BD120" s="62"/>
      <c r="BE120" s="62"/>
      <c r="BF120" s="62"/>
      <c r="BG120" s="62"/>
      <c r="BH120" s="62"/>
      <c r="BI120" s="62"/>
      <c r="BJ120" s="62"/>
      <c r="BK120" s="62"/>
      <c r="BL120" s="62"/>
      <c r="BM120" s="96"/>
      <c r="BN120" s="62"/>
      <c r="BO120" s="62"/>
    </row>
    <row r="121" spans="1:67" s="3" customFormat="1" ht="15.2" hidden="1">
      <c r="A121" s="30"/>
      <c r="B121" s="981"/>
      <c r="C121" s="973"/>
      <c r="D121" s="963" t="s">
        <v>285</v>
      </c>
      <c r="E121" s="964"/>
      <c r="F121" s="964"/>
      <c r="G121" s="964"/>
      <c r="H121" s="964"/>
      <c r="I121" s="964"/>
      <c r="J121" s="964"/>
      <c r="K121" s="965"/>
      <c r="L121" s="63"/>
      <c r="M121" s="64"/>
      <c r="N121" s="64"/>
      <c r="O121" s="64"/>
      <c r="P121" s="64"/>
      <c r="Q121" s="64"/>
      <c r="R121" s="64"/>
      <c r="S121" s="77"/>
      <c r="T121" s="78"/>
      <c r="U121" s="78">
        <f>U120-U118</f>
        <v>0</v>
      </c>
      <c r="V121" s="78">
        <f>V120-V118</f>
        <v>0</v>
      </c>
      <c r="W121" s="78">
        <f>W120-W118</f>
        <v>0</v>
      </c>
      <c r="X121" s="78">
        <f>X120-X118</f>
        <v>0</v>
      </c>
      <c r="Y121" s="78">
        <f>Y120-Y118</f>
        <v>-40</v>
      </c>
      <c r="Z121" s="64"/>
      <c r="AA121" s="64"/>
      <c r="AB121" s="64"/>
      <c r="AC121" s="64"/>
      <c r="AD121" s="64"/>
      <c r="AE121" s="64"/>
      <c r="AF121" s="64"/>
      <c r="AG121" s="64"/>
      <c r="AH121" s="64"/>
      <c r="AI121" s="64"/>
      <c r="AJ121" s="64"/>
      <c r="AK121" s="64"/>
      <c r="AL121" s="64"/>
      <c r="AM121" s="64"/>
      <c r="AN121" s="64"/>
      <c r="AO121" s="64"/>
      <c r="AP121" s="64"/>
      <c r="AQ121" s="64"/>
      <c r="AR121" s="64"/>
      <c r="AS121" s="64"/>
      <c r="AT121" s="64"/>
      <c r="AU121" s="64"/>
      <c r="AV121" s="64"/>
      <c r="AW121" s="64"/>
      <c r="AX121" s="64"/>
      <c r="AY121" s="64"/>
      <c r="AZ121" s="64"/>
      <c r="BA121" s="64"/>
      <c r="BB121" s="64"/>
      <c r="BC121" s="64"/>
      <c r="BD121" s="64"/>
      <c r="BE121" s="64"/>
      <c r="BF121" s="64"/>
      <c r="BG121" s="64"/>
      <c r="BH121" s="64"/>
      <c r="BI121" s="64"/>
      <c r="BJ121" s="64"/>
      <c r="BK121" s="64"/>
      <c r="BL121" s="64"/>
      <c r="BM121" s="97"/>
      <c r="BN121" s="64"/>
      <c r="BO121" s="64"/>
    </row>
    <row r="122" spans="1:67" s="1" customFormat="1" ht="14.25" customHeight="1">
      <c r="B122" s="980">
        <v>10</v>
      </c>
      <c r="C122" s="971" t="s">
        <v>359</v>
      </c>
      <c r="D122" s="112" t="s">
        <v>345</v>
      </c>
      <c r="E122" s="111">
        <v>43502</v>
      </c>
      <c r="F122" s="23"/>
      <c r="G122" s="24" t="s">
        <v>360</v>
      </c>
      <c r="H122" s="24" t="s">
        <v>361</v>
      </c>
      <c r="I122" s="24" t="s">
        <v>275</v>
      </c>
      <c r="J122" s="65">
        <v>43562</v>
      </c>
      <c r="K122" s="66">
        <v>1</v>
      </c>
      <c r="L122" s="54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  <c r="AA122" s="19"/>
      <c r="AB122" s="19"/>
      <c r="AC122" s="19"/>
      <c r="AD122" s="19"/>
      <c r="AE122" s="19"/>
      <c r="AF122" s="19"/>
      <c r="AG122" s="19"/>
      <c r="AH122" s="19"/>
      <c r="AI122" s="19"/>
      <c r="AJ122" s="19"/>
      <c r="AK122" s="19"/>
      <c r="AL122" s="19"/>
      <c r="AM122" s="19"/>
      <c r="AN122" s="19"/>
      <c r="AO122" s="19"/>
      <c r="AP122" s="19"/>
      <c r="AQ122" s="19"/>
      <c r="AR122" s="19"/>
      <c r="AS122" s="19"/>
      <c r="AT122" s="19"/>
      <c r="AU122" s="19"/>
      <c r="AV122" s="19"/>
      <c r="AW122" s="19"/>
      <c r="AX122" s="19"/>
      <c r="AY122" s="19"/>
      <c r="AZ122" s="19"/>
      <c r="BA122" s="19"/>
      <c r="BB122" s="19"/>
      <c r="BC122" s="19"/>
      <c r="BD122" s="19"/>
      <c r="BE122" s="19"/>
      <c r="BF122" s="19"/>
      <c r="BG122" s="19"/>
      <c r="BH122" s="19"/>
      <c r="BI122" s="126" t="s">
        <v>362</v>
      </c>
      <c r="BJ122" s="84">
        <v>21137234</v>
      </c>
      <c r="BK122" s="92">
        <v>2367014</v>
      </c>
      <c r="BL122" s="130">
        <v>4450000</v>
      </c>
      <c r="BM122" s="54">
        <v>2</v>
      </c>
      <c r="BN122" s="23" t="s">
        <v>263</v>
      </c>
      <c r="BO122" s="95" t="s">
        <v>349</v>
      </c>
    </row>
    <row r="123" spans="1:67" s="1" customFormat="1">
      <c r="B123" s="982"/>
      <c r="C123" s="972"/>
      <c r="D123" s="25" t="s">
        <v>363</v>
      </c>
      <c r="E123" s="27"/>
      <c r="F123" s="27"/>
      <c r="G123" s="28"/>
      <c r="H123" s="28"/>
      <c r="I123" s="28"/>
      <c r="J123" s="67"/>
      <c r="K123" s="968">
        <v>0.6</v>
      </c>
      <c r="L123" s="54" t="s">
        <v>262</v>
      </c>
      <c r="M123" s="19"/>
      <c r="N123" s="19"/>
      <c r="O123" s="19"/>
      <c r="P123" s="19"/>
      <c r="Q123" s="19"/>
      <c r="R123" s="19"/>
      <c r="S123" s="19"/>
      <c r="T123" s="19"/>
      <c r="U123" s="79">
        <v>5</v>
      </c>
      <c r="V123" s="79">
        <v>10</v>
      </c>
      <c r="W123" s="79">
        <v>20</v>
      </c>
      <c r="X123" s="79">
        <v>25</v>
      </c>
      <c r="Y123" s="72"/>
      <c r="Z123" s="19"/>
      <c r="AA123" s="19"/>
      <c r="AB123" s="19"/>
      <c r="AC123" s="19"/>
      <c r="AD123" s="19"/>
      <c r="AE123" s="19"/>
      <c r="AF123" s="19"/>
      <c r="AG123" s="19"/>
      <c r="AH123" s="19"/>
      <c r="AI123" s="19"/>
      <c r="AJ123" s="19"/>
      <c r="AK123" s="19"/>
      <c r="AL123" s="19"/>
      <c r="AM123" s="19"/>
      <c r="AN123" s="19"/>
      <c r="AO123" s="19"/>
      <c r="AP123" s="19"/>
      <c r="AQ123" s="19"/>
      <c r="AR123" s="19"/>
      <c r="AS123" s="19"/>
      <c r="AT123" s="19"/>
      <c r="AU123" s="19"/>
      <c r="AV123" s="19"/>
      <c r="AW123" s="19"/>
      <c r="AX123" s="19"/>
      <c r="AY123" s="19"/>
      <c r="AZ123" s="19"/>
      <c r="BA123" s="19"/>
      <c r="BB123" s="19"/>
      <c r="BC123" s="19"/>
      <c r="BD123" s="19"/>
      <c r="BE123" s="19"/>
      <c r="BF123" s="19"/>
      <c r="BG123" s="19"/>
      <c r="BH123" s="19"/>
      <c r="BI123" s="19"/>
      <c r="BJ123" s="19"/>
      <c r="BK123" s="19"/>
      <c r="BL123" s="82"/>
      <c r="BM123" s="93"/>
      <c r="BN123" s="19"/>
      <c r="BO123" s="100" t="s">
        <v>351</v>
      </c>
    </row>
    <row r="124" spans="1:67" s="1" customFormat="1">
      <c r="B124" s="982"/>
      <c r="C124" s="972"/>
      <c r="D124" s="29"/>
      <c r="E124" s="19"/>
      <c r="F124" s="19"/>
      <c r="G124" s="20"/>
      <c r="H124" s="20"/>
      <c r="I124" s="20"/>
      <c r="J124" s="57"/>
      <c r="K124" s="969"/>
      <c r="L124" s="54" t="s">
        <v>264</v>
      </c>
      <c r="M124" s="19"/>
      <c r="N124" s="19"/>
      <c r="O124" s="19"/>
      <c r="P124" s="19"/>
      <c r="Q124" s="19"/>
      <c r="R124" s="19"/>
      <c r="S124" s="19"/>
      <c r="T124" s="19"/>
      <c r="U124" s="23">
        <v>5</v>
      </c>
      <c r="V124" s="23">
        <v>10</v>
      </c>
      <c r="W124" s="23">
        <v>20</v>
      </c>
      <c r="X124" s="23">
        <v>25</v>
      </c>
      <c r="Y124" s="19"/>
      <c r="Z124" s="19"/>
      <c r="AA124" s="19"/>
      <c r="AB124" s="19"/>
      <c r="AC124" s="19"/>
      <c r="AD124" s="19"/>
      <c r="AE124" s="19"/>
      <c r="AF124" s="19"/>
      <c r="AG124" s="19"/>
      <c r="AH124" s="19"/>
      <c r="AI124" s="19"/>
      <c r="AJ124" s="19"/>
      <c r="AK124" s="19"/>
      <c r="AL124" s="19"/>
      <c r="AM124" s="19"/>
      <c r="AN124" s="19"/>
      <c r="AO124" s="19"/>
      <c r="AP124" s="19"/>
      <c r="AQ124" s="19"/>
      <c r="AR124" s="19"/>
      <c r="AS124" s="19"/>
      <c r="AT124" s="19"/>
      <c r="AU124" s="19"/>
      <c r="AV124" s="19"/>
      <c r="AW124" s="19"/>
      <c r="AX124" s="19"/>
      <c r="AY124" s="19"/>
      <c r="AZ124" s="19"/>
      <c r="BA124" s="19"/>
      <c r="BB124" s="19"/>
      <c r="BC124" s="19"/>
      <c r="BD124" s="19"/>
      <c r="BE124" s="19"/>
      <c r="BF124" s="19"/>
      <c r="BG124" s="19"/>
      <c r="BH124" s="19"/>
      <c r="BI124" s="19"/>
      <c r="BJ124" s="19"/>
      <c r="BK124" s="19"/>
      <c r="BL124" s="82"/>
      <c r="BM124" s="93"/>
      <c r="BN124" s="19"/>
      <c r="BO124" s="103"/>
    </row>
    <row r="125" spans="1:67" s="1" customFormat="1">
      <c r="B125" s="982"/>
      <c r="C125" s="972"/>
      <c r="D125" s="25" t="s">
        <v>364</v>
      </c>
      <c r="E125" s="27"/>
      <c r="F125" s="27"/>
      <c r="G125" s="28"/>
      <c r="H125" s="28"/>
      <c r="I125" s="28"/>
      <c r="J125" s="67"/>
      <c r="K125" s="968">
        <v>0.4</v>
      </c>
      <c r="L125" s="54" t="s">
        <v>262</v>
      </c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72"/>
      <c r="Y125" s="79">
        <v>40</v>
      </c>
      <c r="Z125" s="19"/>
      <c r="AA125" s="19"/>
      <c r="AB125" s="19"/>
      <c r="AC125" s="19"/>
      <c r="AD125" s="19"/>
      <c r="AE125" s="19"/>
      <c r="AF125" s="19"/>
      <c r="AG125" s="19"/>
      <c r="AH125" s="19"/>
      <c r="AI125" s="19"/>
      <c r="AJ125" s="19"/>
      <c r="AK125" s="19"/>
      <c r="AL125" s="19"/>
      <c r="AM125" s="19"/>
      <c r="AN125" s="19"/>
      <c r="AO125" s="19"/>
      <c r="AP125" s="19"/>
      <c r="AQ125" s="19"/>
      <c r="AR125" s="19"/>
      <c r="AS125" s="19"/>
      <c r="AT125" s="19"/>
      <c r="AU125" s="19"/>
      <c r="AV125" s="19"/>
      <c r="AW125" s="19"/>
      <c r="AX125" s="19"/>
      <c r="AY125" s="19"/>
      <c r="AZ125" s="19"/>
      <c r="BA125" s="19"/>
      <c r="BB125" s="19"/>
      <c r="BC125" s="19"/>
      <c r="BD125" s="19"/>
      <c r="BE125" s="19"/>
      <c r="BF125" s="19"/>
      <c r="BG125" s="19"/>
      <c r="BH125" s="19"/>
      <c r="BI125" s="19"/>
      <c r="BJ125" s="19"/>
      <c r="BK125" s="19"/>
      <c r="BL125" s="82"/>
      <c r="BM125" s="93"/>
      <c r="BN125" s="19"/>
      <c r="BO125" s="19"/>
    </row>
    <row r="126" spans="1:67" s="1" customFormat="1" ht="15.2">
      <c r="B126" s="982"/>
      <c r="C126" s="972"/>
      <c r="D126" s="20"/>
      <c r="E126" s="19"/>
      <c r="F126" s="19"/>
      <c r="G126" s="20"/>
      <c r="H126" s="20"/>
      <c r="I126" s="20"/>
      <c r="J126" s="57"/>
      <c r="K126" s="970"/>
      <c r="L126" s="54" t="s">
        <v>264</v>
      </c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  <c r="AA126" s="19"/>
      <c r="AB126" s="19"/>
      <c r="AC126" s="19"/>
      <c r="AD126" s="19"/>
      <c r="AE126" s="19"/>
      <c r="AF126" s="19"/>
      <c r="AG126" s="19"/>
      <c r="AH126" s="19"/>
      <c r="AI126" s="19"/>
      <c r="AJ126" s="19"/>
      <c r="AK126" s="19"/>
      <c r="AL126" s="19"/>
      <c r="AM126" s="19"/>
      <c r="AN126" s="19"/>
      <c r="AO126" s="19"/>
      <c r="AP126" s="19"/>
      <c r="AQ126" s="19"/>
      <c r="AR126" s="19"/>
      <c r="AS126" s="19"/>
      <c r="AT126" s="19"/>
      <c r="AU126" s="19"/>
      <c r="AV126" s="19"/>
      <c r="AW126" s="19"/>
      <c r="AX126" s="19"/>
      <c r="AY126" s="19"/>
      <c r="AZ126" s="19"/>
      <c r="BA126" s="19"/>
      <c r="BB126" s="19"/>
      <c r="BC126" s="19"/>
      <c r="BD126" s="19"/>
      <c r="BE126" s="19"/>
      <c r="BF126" s="19"/>
      <c r="BG126" s="19"/>
      <c r="BH126" s="19"/>
      <c r="BI126" s="19"/>
      <c r="BJ126" s="19"/>
      <c r="BK126" s="19"/>
      <c r="BL126" s="82"/>
      <c r="BM126" s="93"/>
      <c r="BN126" s="19"/>
      <c r="BO126" s="19"/>
    </row>
    <row r="127" spans="1:67" s="3" customFormat="1" hidden="1">
      <c r="A127" s="30"/>
      <c r="B127" s="982"/>
      <c r="C127" s="972"/>
      <c r="D127" s="957" t="s">
        <v>281</v>
      </c>
      <c r="E127" s="958"/>
      <c r="F127" s="958"/>
      <c r="G127" s="958"/>
      <c r="H127" s="958"/>
      <c r="I127" s="958"/>
      <c r="J127" s="958"/>
      <c r="K127" s="959"/>
      <c r="L127" s="58"/>
      <c r="M127" s="59"/>
      <c r="N127" s="59"/>
      <c r="O127" s="59"/>
      <c r="P127" s="59"/>
      <c r="Q127" s="59"/>
      <c r="R127" s="59"/>
      <c r="S127" s="75"/>
      <c r="T127" s="75"/>
      <c r="U127" s="75">
        <f>U123+U125</f>
        <v>5</v>
      </c>
      <c r="V127" s="75">
        <f>V123+V125</f>
        <v>10</v>
      </c>
      <c r="W127" s="75">
        <f>W123+W125</f>
        <v>20</v>
      </c>
      <c r="X127" s="75">
        <f>X123+X125</f>
        <v>25</v>
      </c>
      <c r="Y127" s="75">
        <f>Y123+Y125</f>
        <v>40</v>
      </c>
      <c r="Z127" s="59"/>
      <c r="AA127" s="59"/>
      <c r="AB127" s="59"/>
      <c r="AC127" s="59"/>
      <c r="AD127" s="59"/>
      <c r="AE127" s="59"/>
      <c r="AF127" s="59"/>
      <c r="AG127" s="59"/>
      <c r="AH127" s="59"/>
      <c r="AI127" s="59"/>
      <c r="AJ127" s="59"/>
      <c r="AK127" s="59"/>
      <c r="AL127" s="59"/>
      <c r="AM127" s="59"/>
      <c r="AN127" s="59"/>
      <c r="AO127" s="59"/>
      <c r="AP127" s="59"/>
      <c r="AQ127" s="59"/>
      <c r="AR127" s="59"/>
      <c r="AS127" s="59"/>
      <c r="AT127" s="59"/>
      <c r="AU127" s="59"/>
      <c r="AV127" s="59"/>
      <c r="AW127" s="59"/>
      <c r="AX127" s="59"/>
      <c r="AY127" s="59"/>
      <c r="AZ127" s="59"/>
      <c r="BA127" s="59"/>
      <c r="BB127" s="59"/>
      <c r="BC127" s="59"/>
      <c r="BD127" s="59"/>
      <c r="BE127" s="59"/>
      <c r="BF127" s="59"/>
      <c r="BG127" s="59"/>
      <c r="BH127" s="59"/>
      <c r="BI127" s="59"/>
      <c r="BJ127" s="59"/>
      <c r="BK127" s="59"/>
      <c r="BL127" s="59"/>
      <c r="BM127" s="58"/>
      <c r="BN127" s="59"/>
      <c r="BO127" s="59"/>
    </row>
    <row r="128" spans="1:67" s="3" customFormat="1" hidden="1">
      <c r="A128" s="30"/>
      <c r="B128" s="982"/>
      <c r="C128" s="972"/>
      <c r="D128" s="31" t="s">
        <v>282</v>
      </c>
      <c r="E128" s="32"/>
      <c r="F128" s="32"/>
      <c r="G128" s="32"/>
      <c r="H128" s="32"/>
      <c r="I128" s="32"/>
      <c r="J128" s="32"/>
      <c r="K128" s="60"/>
      <c r="L128" s="61"/>
      <c r="M128" s="62"/>
      <c r="N128" s="62"/>
      <c r="O128" s="62"/>
      <c r="P128" s="62"/>
      <c r="Q128" s="62"/>
      <c r="R128" s="62"/>
      <c r="S128" s="76"/>
      <c r="T128" s="76"/>
      <c r="U128" s="76">
        <f>T128+U127</f>
        <v>5</v>
      </c>
      <c r="V128" s="76">
        <f>U128+V127</f>
        <v>15</v>
      </c>
      <c r="W128" s="76">
        <f>V128+W127</f>
        <v>35</v>
      </c>
      <c r="X128" s="76">
        <f>W128+X127</f>
        <v>60</v>
      </c>
      <c r="Y128" s="76">
        <f>X128+Y127</f>
        <v>100</v>
      </c>
      <c r="Z128" s="62"/>
      <c r="AA128" s="62"/>
      <c r="AB128" s="62"/>
      <c r="AC128" s="62"/>
      <c r="AD128" s="62"/>
      <c r="AE128" s="62"/>
      <c r="AF128" s="62"/>
      <c r="AG128" s="62"/>
      <c r="AH128" s="62"/>
      <c r="AI128" s="62"/>
      <c r="AJ128" s="62"/>
      <c r="AK128" s="62"/>
      <c r="AL128" s="62"/>
      <c r="AM128" s="62"/>
      <c r="AN128" s="62"/>
      <c r="AO128" s="62"/>
      <c r="AP128" s="62"/>
      <c r="AQ128" s="62"/>
      <c r="AR128" s="62"/>
      <c r="AS128" s="62"/>
      <c r="AT128" s="62"/>
      <c r="AU128" s="62"/>
      <c r="AV128" s="62"/>
      <c r="AW128" s="62"/>
      <c r="AX128" s="62"/>
      <c r="AY128" s="62"/>
      <c r="AZ128" s="62"/>
      <c r="BA128" s="62"/>
      <c r="BB128" s="62"/>
      <c r="BC128" s="62"/>
      <c r="BD128" s="62"/>
      <c r="BE128" s="62"/>
      <c r="BF128" s="62"/>
      <c r="BG128" s="62"/>
      <c r="BH128" s="62"/>
      <c r="BI128" s="62"/>
      <c r="BJ128" s="62"/>
      <c r="BK128" s="62"/>
      <c r="BL128" s="62"/>
      <c r="BM128" s="96"/>
      <c r="BN128" s="62"/>
      <c r="BO128" s="62"/>
    </row>
    <row r="129" spans="1:67" s="3" customFormat="1" hidden="1">
      <c r="A129" s="30"/>
      <c r="B129" s="982"/>
      <c r="C129" s="972"/>
      <c r="D129" s="960" t="s">
        <v>283</v>
      </c>
      <c r="E129" s="961"/>
      <c r="F129" s="961"/>
      <c r="G129" s="961"/>
      <c r="H129" s="961"/>
      <c r="I129" s="961"/>
      <c r="J129" s="961"/>
      <c r="K129" s="962"/>
      <c r="L129" s="61"/>
      <c r="M129" s="62"/>
      <c r="N129" s="62"/>
      <c r="O129" s="62"/>
      <c r="P129" s="62"/>
      <c r="Q129" s="62"/>
      <c r="R129" s="62"/>
      <c r="S129" s="76"/>
      <c r="T129" s="76"/>
      <c r="U129" s="76">
        <f>U124+U126</f>
        <v>5</v>
      </c>
      <c r="V129" s="76">
        <f>V124+V126</f>
        <v>10</v>
      </c>
      <c r="W129" s="76">
        <f>W124+W126</f>
        <v>20</v>
      </c>
      <c r="X129" s="76">
        <f>X124+X126</f>
        <v>25</v>
      </c>
      <c r="Y129" s="76">
        <f>Y124+Y126</f>
        <v>0</v>
      </c>
      <c r="Z129" s="62"/>
      <c r="AA129" s="62"/>
      <c r="AB129" s="62"/>
      <c r="AC129" s="62"/>
      <c r="AD129" s="62"/>
      <c r="AE129" s="62"/>
      <c r="AF129" s="62"/>
      <c r="AG129" s="62"/>
      <c r="AH129" s="62"/>
      <c r="AI129" s="62"/>
      <c r="AJ129" s="62"/>
      <c r="AK129" s="62"/>
      <c r="AL129" s="62"/>
      <c r="AM129" s="62"/>
      <c r="AN129" s="62"/>
      <c r="AO129" s="62"/>
      <c r="AP129" s="62"/>
      <c r="AQ129" s="62"/>
      <c r="AR129" s="62"/>
      <c r="AS129" s="62"/>
      <c r="AT129" s="62"/>
      <c r="AU129" s="62"/>
      <c r="AV129" s="62"/>
      <c r="AW129" s="62"/>
      <c r="AX129" s="62"/>
      <c r="AY129" s="62"/>
      <c r="AZ129" s="62"/>
      <c r="BA129" s="62"/>
      <c r="BB129" s="62"/>
      <c r="BC129" s="62"/>
      <c r="BD129" s="62"/>
      <c r="BE129" s="62"/>
      <c r="BF129" s="62"/>
      <c r="BG129" s="62"/>
      <c r="BH129" s="62"/>
      <c r="BI129" s="62"/>
      <c r="BJ129" s="62"/>
      <c r="BK129" s="62"/>
      <c r="BL129" s="62"/>
      <c r="BM129" s="96"/>
      <c r="BN129" s="62"/>
      <c r="BO129" s="62"/>
    </row>
    <row r="130" spans="1:67" s="3" customFormat="1" hidden="1">
      <c r="A130" s="30"/>
      <c r="B130" s="982"/>
      <c r="C130" s="972"/>
      <c r="D130" s="31" t="s">
        <v>284</v>
      </c>
      <c r="E130" s="32"/>
      <c r="F130" s="32"/>
      <c r="G130" s="32"/>
      <c r="H130" s="32"/>
      <c r="I130" s="32"/>
      <c r="J130" s="32"/>
      <c r="K130" s="60"/>
      <c r="L130" s="61"/>
      <c r="M130" s="62"/>
      <c r="N130" s="62"/>
      <c r="O130" s="62"/>
      <c r="P130" s="62"/>
      <c r="Q130" s="62"/>
      <c r="R130" s="62"/>
      <c r="S130" s="76"/>
      <c r="T130" s="76"/>
      <c r="U130" s="76">
        <f>T130+U129</f>
        <v>5</v>
      </c>
      <c r="V130" s="76">
        <f>U130+V129</f>
        <v>15</v>
      </c>
      <c r="W130" s="76">
        <f>V130+W129</f>
        <v>35</v>
      </c>
      <c r="X130" s="76">
        <f>W130+X129</f>
        <v>60</v>
      </c>
      <c r="Y130" s="76">
        <f>X130+Y129</f>
        <v>60</v>
      </c>
      <c r="Z130" s="62"/>
      <c r="AA130" s="62"/>
      <c r="AB130" s="62"/>
      <c r="AC130" s="62"/>
      <c r="AD130" s="62"/>
      <c r="AE130" s="62"/>
      <c r="AF130" s="62"/>
      <c r="AG130" s="62"/>
      <c r="AH130" s="62"/>
      <c r="AI130" s="62"/>
      <c r="AJ130" s="62"/>
      <c r="AK130" s="62"/>
      <c r="AL130" s="62"/>
      <c r="AM130" s="62"/>
      <c r="AN130" s="62"/>
      <c r="AO130" s="62"/>
      <c r="AP130" s="62"/>
      <c r="AQ130" s="62"/>
      <c r="AR130" s="62"/>
      <c r="AS130" s="62"/>
      <c r="AT130" s="62"/>
      <c r="AU130" s="62"/>
      <c r="AV130" s="62"/>
      <c r="AW130" s="62"/>
      <c r="AX130" s="62"/>
      <c r="AY130" s="62"/>
      <c r="AZ130" s="62"/>
      <c r="BA130" s="62"/>
      <c r="BB130" s="62"/>
      <c r="BC130" s="62"/>
      <c r="BD130" s="62"/>
      <c r="BE130" s="62"/>
      <c r="BF130" s="62"/>
      <c r="BG130" s="62"/>
      <c r="BH130" s="62"/>
      <c r="BI130" s="62"/>
      <c r="BJ130" s="62"/>
      <c r="BK130" s="62"/>
      <c r="BL130" s="62"/>
      <c r="BM130" s="96"/>
      <c r="BN130" s="62"/>
      <c r="BO130" s="62"/>
    </row>
    <row r="131" spans="1:67" s="3" customFormat="1" ht="15.2" hidden="1">
      <c r="A131" s="30"/>
      <c r="B131" s="981"/>
      <c r="C131" s="973"/>
      <c r="D131" s="963" t="s">
        <v>285</v>
      </c>
      <c r="E131" s="964"/>
      <c r="F131" s="964"/>
      <c r="G131" s="964"/>
      <c r="H131" s="964"/>
      <c r="I131" s="964"/>
      <c r="J131" s="964"/>
      <c r="K131" s="965"/>
      <c r="L131" s="63"/>
      <c r="M131" s="64"/>
      <c r="N131" s="64"/>
      <c r="O131" s="64"/>
      <c r="P131" s="64"/>
      <c r="Q131" s="64"/>
      <c r="R131" s="64"/>
      <c r="S131" s="77"/>
      <c r="T131" s="78"/>
      <c r="U131" s="78">
        <f>U130-U128</f>
        <v>0</v>
      </c>
      <c r="V131" s="78">
        <f>V130-V128</f>
        <v>0</v>
      </c>
      <c r="W131" s="78">
        <f>W130-W128</f>
        <v>0</v>
      </c>
      <c r="X131" s="78">
        <f>X130-X128</f>
        <v>0</v>
      </c>
      <c r="Y131" s="78">
        <f>Y130-Y128</f>
        <v>-40</v>
      </c>
      <c r="Z131" s="64"/>
      <c r="AA131" s="64"/>
      <c r="AB131" s="64"/>
      <c r="AC131" s="64"/>
      <c r="AD131" s="64"/>
      <c r="AE131" s="64"/>
      <c r="AF131" s="64"/>
      <c r="AG131" s="64"/>
      <c r="AH131" s="64"/>
      <c r="AI131" s="64"/>
      <c r="AJ131" s="64"/>
      <c r="AK131" s="64"/>
      <c r="AL131" s="64"/>
      <c r="AM131" s="64"/>
      <c r="AN131" s="64"/>
      <c r="AO131" s="64"/>
      <c r="AP131" s="64"/>
      <c r="AQ131" s="64"/>
      <c r="AR131" s="64"/>
      <c r="AS131" s="64"/>
      <c r="AT131" s="64"/>
      <c r="AU131" s="64"/>
      <c r="AV131" s="64"/>
      <c r="AW131" s="64"/>
      <c r="AX131" s="64"/>
      <c r="AY131" s="64"/>
      <c r="AZ131" s="64"/>
      <c r="BA131" s="64"/>
      <c r="BB131" s="64"/>
      <c r="BC131" s="64"/>
      <c r="BD131" s="64"/>
      <c r="BE131" s="64"/>
      <c r="BF131" s="64"/>
      <c r="BG131" s="64"/>
      <c r="BH131" s="64"/>
      <c r="BI131" s="64"/>
      <c r="BJ131" s="64"/>
      <c r="BK131" s="64"/>
      <c r="BL131" s="64"/>
      <c r="BM131" s="97"/>
      <c r="BN131" s="64"/>
      <c r="BO131" s="64"/>
    </row>
    <row r="132" spans="1:67" s="1" customFormat="1" ht="14.25" customHeight="1">
      <c r="B132" s="980">
        <v>11</v>
      </c>
      <c r="C132" s="971" t="s">
        <v>365</v>
      </c>
      <c r="D132" s="107" t="s">
        <v>366</v>
      </c>
      <c r="E132" s="111">
        <v>43502</v>
      </c>
      <c r="F132" s="108"/>
      <c r="G132" s="108" t="s">
        <v>367</v>
      </c>
      <c r="H132" s="109" t="s">
        <v>368</v>
      </c>
      <c r="I132" s="108" t="s">
        <v>369</v>
      </c>
      <c r="J132" s="65">
        <v>43545</v>
      </c>
      <c r="K132" s="143">
        <v>1</v>
      </c>
      <c r="L132" s="144"/>
      <c r="M132" s="145"/>
      <c r="N132" s="145"/>
      <c r="O132" s="145"/>
      <c r="P132" s="145"/>
      <c r="Q132" s="145"/>
      <c r="R132" s="145"/>
      <c r="S132" s="145"/>
      <c r="T132" s="145"/>
      <c r="U132" s="145"/>
      <c r="V132" s="145"/>
      <c r="W132" s="145"/>
      <c r="X132" s="145"/>
      <c r="Y132" s="145"/>
      <c r="Z132" s="145"/>
      <c r="AA132" s="145"/>
      <c r="AB132" s="145"/>
      <c r="AC132" s="145"/>
      <c r="AD132" s="145"/>
      <c r="AE132" s="145"/>
      <c r="AF132" s="145"/>
      <c r="AG132" s="145"/>
      <c r="AH132" s="145"/>
      <c r="AI132" s="145"/>
      <c r="AJ132" s="145"/>
      <c r="AK132" s="145"/>
      <c r="AL132" s="145"/>
      <c r="AM132" s="145"/>
      <c r="AN132" s="145"/>
      <c r="AO132" s="145"/>
      <c r="AP132" s="145"/>
      <c r="AQ132" s="145"/>
      <c r="AR132" s="145"/>
      <c r="AS132" s="145"/>
      <c r="AT132" s="145"/>
      <c r="AU132" s="145"/>
      <c r="AV132" s="145"/>
      <c r="AW132" s="145"/>
      <c r="AX132" s="145"/>
      <c r="AY132" s="145"/>
      <c r="AZ132" s="145"/>
      <c r="BA132" s="145"/>
      <c r="BB132" s="145"/>
      <c r="BC132" s="145"/>
      <c r="BD132" s="145"/>
      <c r="BE132" s="145"/>
      <c r="BF132" s="145"/>
      <c r="BG132" s="145"/>
      <c r="BH132" s="145"/>
      <c r="BI132" s="167">
        <v>300000551551</v>
      </c>
      <c r="BJ132" s="145"/>
      <c r="BK132" s="145"/>
      <c r="BL132" s="81"/>
      <c r="BM132" s="54">
        <v>2</v>
      </c>
      <c r="BN132" s="23" t="s">
        <v>263</v>
      </c>
      <c r="BO132" s="95" t="s">
        <v>349</v>
      </c>
    </row>
    <row r="133" spans="1:67" s="1" customFormat="1">
      <c r="B133" s="982"/>
      <c r="C133" s="972"/>
      <c r="D133" s="25" t="s">
        <v>370</v>
      </c>
      <c r="E133" s="27"/>
      <c r="F133" s="27"/>
      <c r="G133" s="27"/>
      <c r="H133" s="27"/>
      <c r="I133" s="27"/>
      <c r="J133" s="27"/>
      <c r="K133" s="968">
        <v>0.5</v>
      </c>
      <c r="L133" s="54" t="s">
        <v>262</v>
      </c>
      <c r="M133" s="48"/>
      <c r="N133" s="48"/>
      <c r="O133" s="48"/>
      <c r="P133" s="48"/>
      <c r="Q133" s="48"/>
      <c r="R133" s="48"/>
      <c r="S133" s="48"/>
      <c r="T133" s="48"/>
      <c r="U133" s="154">
        <v>20</v>
      </c>
      <c r="V133" s="154">
        <v>30</v>
      </c>
      <c r="W133" s="121"/>
      <c r="X133" s="48"/>
      <c r="Y133" s="48"/>
      <c r="Z133" s="48"/>
      <c r="AA133" s="48"/>
      <c r="AB133" s="48"/>
      <c r="AC133" s="48"/>
      <c r="AD133" s="48"/>
      <c r="AE133" s="48"/>
      <c r="AF133" s="48"/>
      <c r="AG133" s="48"/>
      <c r="AH133" s="48"/>
      <c r="AI133" s="48"/>
      <c r="AJ133" s="48"/>
      <c r="AK133" s="48"/>
      <c r="AL133" s="48"/>
      <c r="AM133" s="48"/>
      <c r="AN133" s="48"/>
      <c r="AO133" s="48"/>
      <c r="AP133" s="48"/>
      <c r="AQ133" s="48"/>
      <c r="AR133" s="48"/>
      <c r="AS133" s="48"/>
      <c r="AT133" s="48"/>
      <c r="AU133" s="48"/>
      <c r="AV133" s="48"/>
      <c r="AW133" s="48"/>
      <c r="AX133" s="48"/>
      <c r="AY133" s="48"/>
      <c r="AZ133" s="48"/>
      <c r="BA133" s="48"/>
      <c r="BB133" s="48"/>
      <c r="BC133" s="48"/>
      <c r="BD133" s="48"/>
      <c r="BE133" s="48"/>
      <c r="BF133" s="48"/>
      <c r="BG133" s="48"/>
      <c r="BH133" s="48"/>
      <c r="BI133" s="48"/>
      <c r="BJ133" s="48"/>
      <c r="BK133" s="48"/>
      <c r="BL133" s="81"/>
      <c r="BM133" s="170"/>
      <c r="BN133" s="48"/>
      <c r="BO133" s="38"/>
    </row>
    <row r="134" spans="1:67" s="1" customFormat="1">
      <c r="B134" s="982"/>
      <c r="C134" s="972"/>
      <c r="D134" s="29"/>
      <c r="E134" s="19"/>
      <c r="F134" s="19"/>
      <c r="G134" s="19"/>
      <c r="H134" s="19"/>
      <c r="I134" s="19"/>
      <c r="J134" s="19"/>
      <c r="K134" s="969"/>
      <c r="L134" s="54" t="s">
        <v>264</v>
      </c>
      <c r="M134" s="48"/>
      <c r="N134" s="48"/>
      <c r="O134" s="48"/>
      <c r="P134" s="48"/>
      <c r="Q134" s="48"/>
      <c r="R134" s="48"/>
      <c r="S134" s="48"/>
      <c r="T134" s="48"/>
      <c r="U134" s="122">
        <v>20</v>
      </c>
      <c r="V134" s="122">
        <v>30</v>
      </c>
      <c r="W134" s="121"/>
      <c r="X134" s="48"/>
      <c r="Y134" s="48"/>
      <c r="Z134" s="48"/>
      <c r="AA134" s="48"/>
      <c r="AB134" s="48"/>
      <c r="AC134" s="48"/>
      <c r="AD134" s="48"/>
      <c r="AE134" s="48"/>
      <c r="AF134" s="48"/>
      <c r="AG134" s="48"/>
      <c r="AH134" s="48"/>
      <c r="AI134" s="48"/>
      <c r="AJ134" s="48"/>
      <c r="AK134" s="48"/>
      <c r="AL134" s="48"/>
      <c r="AM134" s="48"/>
      <c r="AN134" s="48"/>
      <c r="AO134" s="48"/>
      <c r="AP134" s="48"/>
      <c r="AQ134" s="48"/>
      <c r="AR134" s="48"/>
      <c r="AS134" s="48"/>
      <c r="AT134" s="48"/>
      <c r="AU134" s="48"/>
      <c r="AV134" s="48"/>
      <c r="AW134" s="48"/>
      <c r="AX134" s="48"/>
      <c r="AY134" s="48"/>
      <c r="AZ134" s="48"/>
      <c r="BA134" s="48"/>
      <c r="BB134" s="48"/>
      <c r="BC134" s="48"/>
      <c r="BD134" s="48"/>
      <c r="BE134" s="48"/>
      <c r="BF134" s="48"/>
      <c r="BG134" s="48"/>
      <c r="BH134" s="48"/>
      <c r="BI134" s="48"/>
      <c r="BJ134" s="48"/>
      <c r="BK134" s="48"/>
      <c r="BL134" s="81"/>
      <c r="BM134" s="170"/>
      <c r="BN134" s="48"/>
      <c r="BO134" s="20"/>
    </row>
    <row r="135" spans="1:67" s="1" customFormat="1">
      <c r="B135" s="982"/>
      <c r="C135" s="972"/>
      <c r="D135" s="25" t="s">
        <v>371</v>
      </c>
      <c r="E135" s="27"/>
      <c r="F135" s="27"/>
      <c r="G135" s="27"/>
      <c r="H135" s="27"/>
      <c r="I135" s="27"/>
      <c r="J135" s="27"/>
      <c r="K135" s="968">
        <v>0.3</v>
      </c>
      <c r="L135" s="54" t="s">
        <v>262</v>
      </c>
      <c r="M135" s="48"/>
      <c r="N135" s="48"/>
      <c r="O135" s="48"/>
      <c r="P135" s="48"/>
      <c r="Q135" s="48"/>
      <c r="R135" s="48"/>
      <c r="S135" s="48"/>
      <c r="T135" s="48"/>
      <c r="U135" s="121"/>
      <c r="V135" s="121"/>
      <c r="W135" s="154">
        <v>30</v>
      </c>
      <c r="X135" s="48"/>
      <c r="Y135" s="48"/>
      <c r="Z135" s="48"/>
      <c r="AA135" s="48"/>
      <c r="AB135" s="48"/>
      <c r="AC135" s="48"/>
      <c r="AD135" s="48"/>
      <c r="AE135" s="48"/>
      <c r="AF135" s="48"/>
      <c r="AG135" s="48"/>
      <c r="AH135" s="48"/>
      <c r="AI135" s="48"/>
      <c r="AJ135" s="48"/>
      <c r="AK135" s="48"/>
      <c r="AL135" s="48"/>
      <c r="AM135" s="48"/>
      <c r="AN135" s="48"/>
      <c r="AO135" s="48"/>
      <c r="AP135" s="48"/>
      <c r="AQ135" s="48"/>
      <c r="AR135" s="48"/>
      <c r="AS135" s="48"/>
      <c r="AT135" s="48"/>
      <c r="AU135" s="48"/>
      <c r="AV135" s="48"/>
      <c r="AW135" s="48"/>
      <c r="AX135" s="48"/>
      <c r="AY135" s="48"/>
      <c r="AZ135" s="48"/>
      <c r="BA135" s="48"/>
      <c r="BB135" s="48"/>
      <c r="BC135" s="48"/>
      <c r="BD135" s="48"/>
      <c r="BE135" s="48"/>
      <c r="BF135" s="48"/>
      <c r="BG135" s="48"/>
      <c r="BH135" s="48"/>
      <c r="BI135" s="48"/>
      <c r="BJ135" s="48"/>
      <c r="BK135" s="48"/>
      <c r="BL135" s="81"/>
      <c r="BM135" s="170"/>
      <c r="BN135" s="48"/>
      <c r="BO135" s="48" t="s">
        <v>372</v>
      </c>
    </row>
    <row r="136" spans="1:67">
      <c r="B136" s="982"/>
      <c r="C136" s="972"/>
      <c r="D136" s="29"/>
      <c r="E136" s="19"/>
      <c r="F136" s="19"/>
      <c r="G136" s="19"/>
      <c r="H136" s="19"/>
      <c r="I136" s="19"/>
      <c r="J136" s="19"/>
      <c r="K136" s="969"/>
      <c r="L136" s="54" t="s">
        <v>264</v>
      </c>
      <c r="M136" s="48"/>
      <c r="N136" s="48"/>
      <c r="O136" s="48"/>
      <c r="P136" s="48"/>
      <c r="Q136" s="48"/>
      <c r="R136" s="48"/>
      <c r="S136" s="48"/>
      <c r="T136" s="48"/>
      <c r="U136" s="121"/>
      <c r="V136" s="122">
        <v>10</v>
      </c>
      <c r="W136" s="122">
        <v>20</v>
      </c>
      <c r="X136" s="48"/>
      <c r="Y136" s="48"/>
      <c r="Z136" s="48"/>
      <c r="AA136" s="48"/>
      <c r="AB136" s="48"/>
      <c r="AC136" s="48"/>
      <c r="AD136" s="48"/>
      <c r="AE136" s="48"/>
      <c r="AF136" s="48"/>
      <c r="AG136" s="48"/>
      <c r="AH136" s="48"/>
      <c r="AI136" s="48"/>
      <c r="AJ136" s="48"/>
      <c r="AK136" s="48"/>
      <c r="AL136" s="48"/>
      <c r="AM136" s="48"/>
      <c r="AN136" s="48"/>
      <c r="AO136" s="48"/>
      <c r="AP136" s="48"/>
      <c r="AQ136" s="48"/>
      <c r="AR136" s="48"/>
      <c r="AS136" s="48"/>
      <c r="AT136" s="48"/>
      <c r="AU136" s="48"/>
      <c r="AV136" s="48"/>
      <c r="AW136" s="48"/>
      <c r="AX136" s="48"/>
      <c r="AY136" s="48"/>
      <c r="AZ136" s="48"/>
      <c r="BA136" s="48"/>
      <c r="BB136" s="48"/>
      <c r="BC136" s="48"/>
      <c r="BD136" s="48"/>
      <c r="BE136" s="48"/>
      <c r="BF136" s="48"/>
      <c r="BG136" s="48"/>
      <c r="BH136" s="48"/>
      <c r="BI136" s="48"/>
      <c r="BJ136" s="48"/>
      <c r="BK136" s="48"/>
      <c r="BL136" s="81"/>
      <c r="BM136" s="170"/>
      <c r="BN136" s="48"/>
      <c r="BO136" s="171"/>
    </row>
    <row r="137" spans="1:67">
      <c r="B137" s="982"/>
      <c r="C137" s="972"/>
      <c r="D137" s="25" t="s">
        <v>373</v>
      </c>
      <c r="E137" s="27"/>
      <c r="F137" s="27"/>
      <c r="G137" s="27"/>
      <c r="H137" s="27"/>
      <c r="I137" s="27"/>
      <c r="J137" s="27"/>
      <c r="K137" s="968">
        <v>0.2</v>
      </c>
      <c r="L137" s="54" t="s">
        <v>262</v>
      </c>
      <c r="M137" s="48"/>
      <c r="N137" s="48"/>
      <c r="O137" s="48"/>
      <c r="P137" s="48"/>
      <c r="Q137" s="48"/>
      <c r="R137" s="48"/>
      <c r="S137" s="48"/>
      <c r="T137" s="48"/>
      <c r="U137" s="121"/>
      <c r="V137" s="121"/>
      <c r="W137" s="154">
        <v>20</v>
      </c>
      <c r="X137" s="48"/>
      <c r="Y137" s="48"/>
      <c r="Z137" s="48"/>
      <c r="AA137" s="48"/>
      <c r="AB137" s="48"/>
      <c r="AC137" s="48"/>
      <c r="AD137" s="48"/>
      <c r="AE137" s="48"/>
      <c r="AF137" s="48"/>
      <c r="AG137" s="48"/>
      <c r="AH137" s="48"/>
      <c r="AI137" s="48"/>
      <c r="AJ137" s="48"/>
      <c r="AK137" s="48"/>
      <c r="AL137" s="48"/>
      <c r="AM137" s="48"/>
      <c r="AN137" s="48"/>
      <c r="AO137" s="48"/>
      <c r="AP137" s="48"/>
      <c r="AQ137" s="48"/>
      <c r="AR137" s="48"/>
      <c r="AS137" s="48"/>
      <c r="AT137" s="48"/>
      <c r="AU137" s="48"/>
      <c r="AV137" s="48"/>
      <c r="AW137" s="48"/>
      <c r="AX137" s="48"/>
      <c r="AY137" s="48"/>
      <c r="AZ137" s="48"/>
      <c r="BA137" s="48"/>
      <c r="BB137" s="48"/>
      <c r="BC137" s="48"/>
      <c r="BD137" s="48"/>
      <c r="BE137" s="48"/>
      <c r="BF137" s="48"/>
      <c r="BG137" s="48"/>
      <c r="BH137" s="48"/>
      <c r="BI137" s="48"/>
      <c r="BJ137" s="48"/>
      <c r="BK137" s="48"/>
      <c r="BL137" s="81"/>
      <c r="BM137" s="170"/>
      <c r="BN137" s="48"/>
      <c r="BO137" s="48"/>
    </row>
    <row r="138" spans="1:67" ht="15.2">
      <c r="B138" s="982"/>
      <c r="C138" s="972"/>
      <c r="D138" s="19"/>
      <c r="E138" s="19"/>
      <c r="F138" s="19"/>
      <c r="G138" s="19"/>
      <c r="H138" s="19"/>
      <c r="I138" s="19"/>
      <c r="J138" s="19"/>
      <c r="K138" s="969"/>
      <c r="L138" s="54" t="s">
        <v>264</v>
      </c>
      <c r="M138" s="48"/>
      <c r="N138" s="48"/>
      <c r="O138" s="48"/>
      <c r="P138" s="48"/>
      <c r="Q138" s="48"/>
      <c r="R138" s="48"/>
      <c r="S138" s="48"/>
      <c r="T138" s="48"/>
      <c r="U138" s="48"/>
      <c r="V138" s="48"/>
      <c r="W138" s="48"/>
      <c r="X138" s="122">
        <v>5</v>
      </c>
      <c r="Y138" s="122">
        <v>5</v>
      </c>
      <c r="Z138" s="122">
        <v>5</v>
      </c>
      <c r="AA138" s="122">
        <v>5</v>
      </c>
      <c r="AB138" s="122">
        <v>5</v>
      </c>
      <c r="AC138" s="48"/>
      <c r="AD138" s="48"/>
      <c r="AE138" s="48"/>
      <c r="AF138" s="48"/>
      <c r="AG138" s="48"/>
      <c r="AH138" s="48"/>
      <c r="AI138" s="48"/>
      <c r="AJ138" s="48"/>
      <c r="AK138" s="48"/>
      <c r="AL138" s="48"/>
      <c r="AM138" s="48"/>
      <c r="AN138" s="48"/>
      <c r="AO138" s="48"/>
      <c r="AP138" s="48"/>
      <c r="AQ138" s="48"/>
      <c r="AR138" s="48"/>
      <c r="AS138" s="48"/>
      <c r="AT138" s="48"/>
      <c r="AU138" s="48"/>
      <c r="AV138" s="48"/>
      <c r="AW138" s="48"/>
      <c r="AX138" s="48"/>
      <c r="AY138" s="48"/>
      <c r="AZ138" s="48"/>
      <c r="BA138" s="48"/>
      <c r="BB138" s="48"/>
      <c r="BC138" s="48"/>
      <c r="BD138" s="48"/>
      <c r="BE138" s="48"/>
      <c r="BF138" s="48"/>
      <c r="BG138" s="48"/>
      <c r="BH138" s="48"/>
      <c r="BI138" s="48"/>
      <c r="BJ138" s="48"/>
      <c r="BK138" s="48"/>
      <c r="BL138" s="81"/>
      <c r="BM138" s="170"/>
      <c r="BN138" s="48"/>
      <c r="BO138" s="171" t="s">
        <v>374</v>
      </c>
    </row>
    <row r="139" spans="1:67" s="3" customFormat="1" hidden="1">
      <c r="A139" s="30"/>
      <c r="B139" s="982"/>
      <c r="C139" s="972"/>
      <c r="D139" s="957" t="s">
        <v>281</v>
      </c>
      <c r="E139" s="958"/>
      <c r="F139" s="958"/>
      <c r="G139" s="958"/>
      <c r="H139" s="958"/>
      <c r="I139" s="958"/>
      <c r="J139" s="958"/>
      <c r="K139" s="959"/>
      <c r="L139" s="58"/>
      <c r="M139" s="59"/>
      <c r="N139" s="59"/>
      <c r="O139" s="59"/>
      <c r="P139" s="59"/>
      <c r="Q139" s="59"/>
      <c r="R139" s="59"/>
      <c r="S139" s="75"/>
      <c r="T139" s="75"/>
      <c r="U139" s="75">
        <f>U133+U135+U137</f>
        <v>20</v>
      </c>
      <c r="V139" s="75">
        <f>V133+V135+V137</f>
        <v>30</v>
      </c>
      <c r="W139" s="75">
        <f>W133+W135+W137</f>
        <v>50</v>
      </c>
      <c r="X139" s="59"/>
      <c r="Y139" s="59"/>
      <c r="Z139" s="59"/>
      <c r="AA139" s="59"/>
      <c r="AB139" s="59"/>
      <c r="AC139" s="59"/>
      <c r="AD139" s="59"/>
      <c r="AE139" s="59"/>
      <c r="AF139" s="59"/>
      <c r="AG139" s="59"/>
      <c r="AH139" s="59"/>
      <c r="AI139" s="59"/>
      <c r="AJ139" s="59"/>
      <c r="AK139" s="59"/>
      <c r="AL139" s="59"/>
      <c r="AM139" s="59"/>
      <c r="AN139" s="59"/>
      <c r="AO139" s="59"/>
      <c r="AP139" s="59"/>
      <c r="AQ139" s="59"/>
      <c r="AR139" s="59"/>
      <c r="AS139" s="59"/>
      <c r="AT139" s="59"/>
      <c r="AU139" s="59"/>
      <c r="AV139" s="59"/>
      <c r="AW139" s="59"/>
      <c r="AX139" s="59"/>
      <c r="AY139" s="59"/>
      <c r="AZ139" s="59"/>
      <c r="BA139" s="59"/>
      <c r="BB139" s="59"/>
      <c r="BC139" s="59"/>
      <c r="BD139" s="59"/>
      <c r="BE139" s="59"/>
      <c r="BF139" s="59"/>
      <c r="BG139" s="59"/>
      <c r="BH139" s="59"/>
      <c r="BI139" s="59"/>
      <c r="BJ139" s="59"/>
      <c r="BK139" s="59"/>
      <c r="BL139" s="59"/>
      <c r="BM139" s="58"/>
      <c r="BN139" s="59"/>
      <c r="BO139" s="59"/>
    </row>
    <row r="140" spans="1:67" s="3" customFormat="1" hidden="1">
      <c r="A140" s="30"/>
      <c r="B140" s="982"/>
      <c r="C140" s="972"/>
      <c r="D140" s="31" t="s">
        <v>282</v>
      </c>
      <c r="E140" s="32"/>
      <c r="F140" s="32"/>
      <c r="G140" s="32"/>
      <c r="H140" s="32"/>
      <c r="I140" s="32"/>
      <c r="J140" s="32"/>
      <c r="K140" s="60"/>
      <c r="L140" s="61"/>
      <c r="M140" s="62"/>
      <c r="N140" s="62"/>
      <c r="O140" s="62"/>
      <c r="P140" s="62"/>
      <c r="Q140" s="62"/>
      <c r="R140" s="62"/>
      <c r="S140" s="76"/>
      <c r="T140" s="76"/>
      <c r="U140" s="76">
        <f>T140+U139</f>
        <v>20</v>
      </c>
      <c r="V140" s="76">
        <f>U140+V139</f>
        <v>50</v>
      </c>
      <c r="W140" s="76">
        <f>V140+W139</f>
        <v>100</v>
      </c>
      <c r="X140" s="62"/>
      <c r="Y140" s="62"/>
      <c r="Z140" s="62"/>
      <c r="AA140" s="62"/>
      <c r="AB140" s="62"/>
      <c r="AC140" s="62"/>
      <c r="AD140" s="62"/>
      <c r="AE140" s="62"/>
      <c r="AF140" s="62"/>
      <c r="AG140" s="62"/>
      <c r="AH140" s="62"/>
      <c r="AI140" s="62"/>
      <c r="AJ140" s="62"/>
      <c r="AK140" s="62"/>
      <c r="AL140" s="62"/>
      <c r="AM140" s="62"/>
      <c r="AN140" s="62"/>
      <c r="AO140" s="62"/>
      <c r="AP140" s="62"/>
      <c r="AQ140" s="62"/>
      <c r="AR140" s="62"/>
      <c r="AS140" s="62"/>
      <c r="AT140" s="62"/>
      <c r="AU140" s="62"/>
      <c r="AV140" s="62"/>
      <c r="AW140" s="62"/>
      <c r="AX140" s="62"/>
      <c r="AY140" s="62"/>
      <c r="AZ140" s="62"/>
      <c r="BA140" s="62"/>
      <c r="BB140" s="62"/>
      <c r="BC140" s="62"/>
      <c r="BD140" s="62"/>
      <c r="BE140" s="62"/>
      <c r="BF140" s="62"/>
      <c r="BG140" s="62"/>
      <c r="BH140" s="62"/>
      <c r="BI140" s="62"/>
      <c r="BJ140" s="62"/>
      <c r="BK140" s="62"/>
      <c r="BL140" s="62"/>
      <c r="BM140" s="96"/>
      <c r="BN140" s="62"/>
      <c r="BO140" s="62"/>
    </row>
    <row r="141" spans="1:67" s="3" customFormat="1" hidden="1">
      <c r="A141" s="30"/>
      <c r="B141" s="982"/>
      <c r="C141" s="972"/>
      <c r="D141" s="960" t="s">
        <v>283</v>
      </c>
      <c r="E141" s="961"/>
      <c r="F141" s="961"/>
      <c r="G141" s="961"/>
      <c r="H141" s="961"/>
      <c r="I141" s="961"/>
      <c r="J141" s="961"/>
      <c r="K141" s="962"/>
      <c r="L141" s="61"/>
      <c r="M141" s="62"/>
      <c r="N141" s="62"/>
      <c r="O141" s="62"/>
      <c r="P141" s="62"/>
      <c r="Q141" s="62"/>
      <c r="R141" s="62"/>
      <c r="S141" s="76"/>
      <c r="T141" s="76"/>
      <c r="U141" s="76">
        <f>U134+U136+U138</f>
        <v>20</v>
      </c>
      <c r="V141" s="76">
        <f>V134+V136+V138</f>
        <v>40</v>
      </c>
      <c r="W141" s="76">
        <f>W134+W136+W138</f>
        <v>20</v>
      </c>
      <c r="X141" s="62"/>
      <c r="Y141" s="62"/>
      <c r="Z141" s="62"/>
      <c r="AA141" s="62"/>
      <c r="AB141" s="62"/>
      <c r="AC141" s="62"/>
      <c r="AD141" s="62"/>
      <c r="AE141" s="62"/>
      <c r="AF141" s="62"/>
      <c r="AG141" s="62"/>
      <c r="AH141" s="62"/>
      <c r="AI141" s="62"/>
      <c r="AJ141" s="62"/>
      <c r="AK141" s="62"/>
      <c r="AL141" s="62"/>
      <c r="AM141" s="62"/>
      <c r="AN141" s="62"/>
      <c r="AO141" s="62"/>
      <c r="AP141" s="62"/>
      <c r="AQ141" s="62"/>
      <c r="AR141" s="62"/>
      <c r="AS141" s="62"/>
      <c r="AT141" s="62"/>
      <c r="AU141" s="62"/>
      <c r="AV141" s="62"/>
      <c r="AW141" s="62"/>
      <c r="AX141" s="62"/>
      <c r="AY141" s="62"/>
      <c r="AZ141" s="62"/>
      <c r="BA141" s="62"/>
      <c r="BB141" s="62"/>
      <c r="BC141" s="62"/>
      <c r="BD141" s="62"/>
      <c r="BE141" s="62"/>
      <c r="BF141" s="62"/>
      <c r="BG141" s="62"/>
      <c r="BH141" s="62"/>
      <c r="BI141" s="62"/>
      <c r="BJ141" s="62"/>
      <c r="BK141" s="62"/>
      <c r="BL141" s="62"/>
      <c r="BM141" s="96"/>
      <c r="BN141" s="62"/>
      <c r="BO141" s="62"/>
    </row>
    <row r="142" spans="1:67" s="3" customFormat="1" hidden="1">
      <c r="A142" s="30"/>
      <c r="B142" s="982"/>
      <c r="C142" s="972"/>
      <c r="D142" s="31" t="s">
        <v>284</v>
      </c>
      <c r="E142" s="32"/>
      <c r="F142" s="32"/>
      <c r="G142" s="32"/>
      <c r="H142" s="32"/>
      <c r="I142" s="32"/>
      <c r="J142" s="32"/>
      <c r="K142" s="60"/>
      <c r="L142" s="61"/>
      <c r="M142" s="62"/>
      <c r="N142" s="62"/>
      <c r="O142" s="62"/>
      <c r="P142" s="62"/>
      <c r="Q142" s="62"/>
      <c r="R142" s="62"/>
      <c r="S142" s="76"/>
      <c r="T142" s="76"/>
      <c r="U142" s="76">
        <f>T142+U141</f>
        <v>20</v>
      </c>
      <c r="V142" s="76">
        <f>U142+V141</f>
        <v>60</v>
      </c>
      <c r="W142" s="76">
        <f>V142+W141</f>
        <v>80</v>
      </c>
      <c r="X142" s="62"/>
      <c r="Y142" s="62"/>
      <c r="Z142" s="62"/>
      <c r="AA142" s="62"/>
      <c r="AB142" s="62"/>
      <c r="AC142" s="62"/>
      <c r="AD142" s="62"/>
      <c r="AE142" s="62"/>
      <c r="AF142" s="62"/>
      <c r="AG142" s="62"/>
      <c r="AH142" s="62"/>
      <c r="AI142" s="62"/>
      <c r="AJ142" s="62"/>
      <c r="AK142" s="62"/>
      <c r="AL142" s="62"/>
      <c r="AM142" s="62"/>
      <c r="AN142" s="62"/>
      <c r="AO142" s="62"/>
      <c r="AP142" s="62"/>
      <c r="AQ142" s="62"/>
      <c r="AR142" s="62"/>
      <c r="AS142" s="62"/>
      <c r="AT142" s="62"/>
      <c r="AU142" s="62"/>
      <c r="AV142" s="62"/>
      <c r="AW142" s="62"/>
      <c r="AX142" s="62"/>
      <c r="AY142" s="62"/>
      <c r="AZ142" s="62"/>
      <c r="BA142" s="62"/>
      <c r="BB142" s="62"/>
      <c r="BC142" s="62"/>
      <c r="BD142" s="62"/>
      <c r="BE142" s="62"/>
      <c r="BF142" s="62"/>
      <c r="BG142" s="62"/>
      <c r="BH142" s="62"/>
      <c r="BI142" s="62"/>
      <c r="BJ142" s="62"/>
      <c r="BK142" s="62"/>
      <c r="BL142" s="62"/>
      <c r="BM142" s="96"/>
      <c r="BN142" s="62"/>
      <c r="BO142" s="62"/>
    </row>
    <row r="143" spans="1:67" s="3" customFormat="1" ht="15.2" hidden="1">
      <c r="A143" s="30"/>
      <c r="B143" s="981"/>
      <c r="C143" s="973"/>
      <c r="D143" s="963" t="s">
        <v>285</v>
      </c>
      <c r="E143" s="964"/>
      <c r="F143" s="964"/>
      <c r="G143" s="964"/>
      <c r="H143" s="964"/>
      <c r="I143" s="964"/>
      <c r="J143" s="964"/>
      <c r="K143" s="965"/>
      <c r="L143" s="63"/>
      <c r="M143" s="64"/>
      <c r="N143" s="64"/>
      <c r="O143" s="64"/>
      <c r="P143" s="64"/>
      <c r="Q143" s="64"/>
      <c r="R143" s="64"/>
      <c r="S143" s="77"/>
      <c r="T143" s="78"/>
      <c r="U143" s="78">
        <f>U142-U140</f>
        <v>0</v>
      </c>
      <c r="V143" s="78">
        <f>V142-V140</f>
        <v>10</v>
      </c>
      <c r="W143" s="78">
        <f>W142-W140</f>
        <v>-20</v>
      </c>
      <c r="X143" s="64"/>
      <c r="Y143" s="64"/>
      <c r="Z143" s="64"/>
      <c r="AA143" s="64"/>
      <c r="AB143" s="64"/>
      <c r="AC143" s="64"/>
      <c r="AD143" s="64"/>
      <c r="AE143" s="64"/>
      <c r="AF143" s="64"/>
      <c r="AG143" s="64"/>
      <c r="AH143" s="64"/>
      <c r="AI143" s="64"/>
      <c r="AJ143" s="64"/>
      <c r="AK143" s="64"/>
      <c r="AL143" s="64"/>
      <c r="AM143" s="64"/>
      <c r="AN143" s="64"/>
      <c r="AO143" s="64"/>
      <c r="AP143" s="64"/>
      <c r="AQ143" s="64"/>
      <c r="AR143" s="64"/>
      <c r="AS143" s="64"/>
      <c r="AT143" s="64"/>
      <c r="AU143" s="64"/>
      <c r="AV143" s="64"/>
      <c r="AW143" s="64"/>
      <c r="AX143" s="64"/>
      <c r="AY143" s="64"/>
      <c r="AZ143" s="64"/>
      <c r="BA143" s="64"/>
      <c r="BB143" s="64"/>
      <c r="BC143" s="64"/>
      <c r="BD143" s="64"/>
      <c r="BE143" s="64"/>
      <c r="BF143" s="64"/>
      <c r="BG143" s="64"/>
      <c r="BH143" s="64"/>
      <c r="BI143" s="64"/>
      <c r="BJ143" s="64"/>
      <c r="BK143" s="64"/>
      <c r="BL143" s="64"/>
      <c r="BM143" s="97"/>
      <c r="BN143" s="64"/>
      <c r="BO143" s="64"/>
    </row>
    <row r="144" spans="1:67" ht="29.1">
      <c r="B144" s="980">
        <v>12</v>
      </c>
      <c r="C144" s="971" t="s">
        <v>375</v>
      </c>
      <c r="D144" s="135" t="s">
        <v>376</v>
      </c>
      <c r="E144" s="136">
        <v>43577</v>
      </c>
      <c r="F144" s="122"/>
      <c r="G144" s="137" t="s">
        <v>377</v>
      </c>
      <c r="H144" s="138" t="s">
        <v>378</v>
      </c>
      <c r="I144" s="146" t="s">
        <v>379</v>
      </c>
      <c r="J144" s="52">
        <v>43562</v>
      </c>
      <c r="K144" s="53">
        <v>1</v>
      </c>
      <c r="L144" s="54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  <c r="AA144" s="19"/>
      <c r="AB144" s="19"/>
      <c r="AC144" s="19"/>
      <c r="AD144" s="19"/>
      <c r="AE144" s="19"/>
      <c r="AF144" s="19"/>
      <c r="AG144" s="19"/>
      <c r="AH144" s="19"/>
      <c r="AI144" s="19"/>
      <c r="AJ144" s="19"/>
      <c r="AK144" s="19"/>
      <c r="AL144" s="19"/>
      <c r="AM144" s="19"/>
      <c r="AN144" s="19"/>
      <c r="AO144" s="19"/>
      <c r="AP144" s="19"/>
      <c r="AQ144" s="19"/>
      <c r="AR144" s="19"/>
      <c r="AS144" s="19"/>
      <c r="AT144" s="19"/>
      <c r="AU144" s="19"/>
      <c r="AV144" s="19"/>
      <c r="AW144" s="19"/>
      <c r="AX144" s="19"/>
      <c r="AY144" s="19"/>
      <c r="AZ144" s="19"/>
      <c r="BA144" s="19"/>
      <c r="BB144" s="19"/>
      <c r="BC144" s="19"/>
      <c r="BD144" s="19"/>
      <c r="BE144" s="19"/>
      <c r="BF144" s="19"/>
      <c r="BG144" s="19"/>
      <c r="BH144" s="19"/>
      <c r="BI144" s="126"/>
      <c r="BJ144" s="84"/>
      <c r="BK144" s="84"/>
      <c r="BL144" s="129"/>
      <c r="BM144" s="33">
        <v>3</v>
      </c>
      <c r="BN144" s="172" t="s">
        <v>263</v>
      </c>
      <c r="BO144" s="95" t="s">
        <v>380</v>
      </c>
    </row>
    <row r="145" spans="1:67">
      <c r="B145" s="982"/>
      <c r="C145" s="972"/>
      <c r="D145" s="25" t="s">
        <v>381</v>
      </c>
      <c r="E145" s="26"/>
      <c r="F145" s="27"/>
      <c r="G145" s="27"/>
      <c r="H145" s="28"/>
      <c r="I145" s="28"/>
      <c r="J145" s="67"/>
      <c r="K145" s="968">
        <v>0.4</v>
      </c>
      <c r="L145" s="54" t="s">
        <v>262</v>
      </c>
      <c r="M145" s="19"/>
      <c r="N145" s="19"/>
      <c r="O145" s="19"/>
      <c r="P145" s="19"/>
      <c r="Q145" s="19"/>
      <c r="R145" s="19"/>
      <c r="S145" s="19"/>
      <c r="T145" s="72"/>
      <c r="U145" s="72"/>
      <c r="V145" s="72"/>
      <c r="W145" s="72"/>
      <c r="X145" s="72"/>
      <c r="Y145" s="72"/>
      <c r="Z145" s="19"/>
      <c r="AA145" s="117">
        <v>40</v>
      </c>
      <c r="AB145" s="33"/>
      <c r="AC145" s="19"/>
      <c r="AD145" s="19"/>
      <c r="AE145" s="19"/>
      <c r="AF145" s="19"/>
      <c r="AG145" s="19"/>
      <c r="AH145" s="19"/>
      <c r="AI145" s="19"/>
      <c r="AJ145" s="19"/>
      <c r="AK145" s="19"/>
      <c r="AL145" s="19"/>
      <c r="AM145" s="19"/>
      <c r="AN145" s="19"/>
      <c r="AO145" s="19"/>
      <c r="AP145" s="19"/>
      <c r="AQ145" s="19"/>
      <c r="AR145" s="19"/>
      <c r="AS145" s="19"/>
      <c r="AT145" s="19"/>
      <c r="AU145" s="19"/>
      <c r="AV145" s="19"/>
      <c r="AW145" s="19"/>
      <c r="AX145" s="19"/>
      <c r="AY145" s="19"/>
      <c r="AZ145" s="19"/>
      <c r="BA145" s="19"/>
      <c r="BB145" s="19"/>
      <c r="BC145" s="19"/>
      <c r="BD145" s="19"/>
      <c r="BE145" s="19"/>
      <c r="BF145" s="19"/>
      <c r="BG145" s="19"/>
      <c r="BH145" s="19"/>
      <c r="BI145" s="19"/>
      <c r="BJ145" s="19"/>
      <c r="BK145" s="19"/>
      <c r="BL145" s="81"/>
      <c r="BM145" s="54"/>
      <c r="BN145" s="19"/>
      <c r="BO145" s="173" t="s">
        <v>382</v>
      </c>
    </row>
    <row r="146" spans="1:67">
      <c r="B146" s="982"/>
      <c r="C146" s="972"/>
      <c r="D146" s="29"/>
      <c r="E146" s="18"/>
      <c r="F146" s="19"/>
      <c r="G146" s="19"/>
      <c r="H146" s="20"/>
      <c r="I146" s="20"/>
      <c r="J146" s="57"/>
      <c r="K146" s="969"/>
      <c r="L146" s="54" t="s">
        <v>264</v>
      </c>
      <c r="M146" s="19"/>
      <c r="N146" s="19"/>
      <c r="O146" s="19"/>
      <c r="P146" s="19"/>
      <c r="Q146" s="19"/>
      <c r="R146" s="19"/>
      <c r="S146" s="19"/>
      <c r="T146" s="72"/>
      <c r="U146" s="72"/>
      <c r="V146" s="72"/>
      <c r="W146" s="72"/>
      <c r="X146" s="72"/>
      <c r="Y146" s="72"/>
      <c r="Z146" s="19"/>
      <c r="AA146" s="73">
        <v>40</v>
      </c>
      <c r="AB146" s="33"/>
      <c r="AC146" s="19"/>
      <c r="AD146" s="19"/>
      <c r="AE146" s="19"/>
      <c r="AF146" s="19"/>
      <c r="AG146" s="19"/>
      <c r="AH146" s="19"/>
      <c r="AI146" s="19"/>
      <c r="AJ146" s="19"/>
      <c r="AK146" s="19"/>
      <c r="AL146" s="19"/>
      <c r="AM146" s="19"/>
      <c r="AN146" s="19"/>
      <c r="AO146" s="19"/>
      <c r="AP146" s="19"/>
      <c r="AQ146" s="19"/>
      <c r="AR146" s="19"/>
      <c r="AS146" s="19"/>
      <c r="AT146" s="19"/>
      <c r="AU146" s="19"/>
      <c r="AV146" s="19"/>
      <c r="AW146" s="19"/>
      <c r="AX146" s="19"/>
      <c r="AY146" s="19"/>
      <c r="AZ146" s="19"/>
      <c r="BA146" s="19"/>
      <c r="BB146" s="19"/>
      <c r="BC146" s="19"/>
      <c r="BD146" s="19"/>
      <c r="BE146" s="19"/>
      <c r="BF146" s="19"/>
      <c r="BG146" s="19"/>
      <c r="BH146" s="19"/>
      <c r="BI146" s="19"/>
      <c r="BJ146" s="19"/>
      <c r="BK146" s="19"/>
      <c r="BL146" s="82"/>
      <c r="BM146" s="93"/>
      <c r="BN146" s="19"/>
      <c r="BO146" s="103"/>
    </row>
    <row r="147" spans="1:67">
      <c r="B147" s="982"/>
      <c r="C147" s="972"/>
      <c r="D147" s="25" t="s">
        <v>383</v>
      </c>
      <c r="E147" s="26"/>
      <c r="F147" s="27"/>
      <c r="G147" s="27"/>
      <c r="H147" s="28"/>
      <c r="I147" s="28"/>
      <c r="J147" s="67"/>
      <c r="K147" s="968">
        <v>0.6</v>
      </c>
      <c r="L147" s="54" t="s">
        <v>262</v>
      </c>
      <c r="M147" s="19"/>
      <c r="N147" s="19"/>
      <c r="O147" s="19"/>
      <c r="P147" s="19"/>
      <c r="Q147" s="19"/>
      <c r="R147" s="19"/>
      <c r="S147" s="19"/>
      <c r="T147" s="72"/>
      <c r="U147" s="72"/>
      <c r="V147" s="72"/>
      <c r="W147" s="72"/>
      <c r="X147" s="72"/>
      <c r="Y147" s="72"/>
      <c r="Z147" s="19"/>
      <c r="AA147" s="160">
        <v>5</v>
      </c>
      <c r="AB147" s="160">
        <v>5</v>
      </c>
      <c r="AC147" s="160">
        <v>5</v>
      </c>
      <c r="AD147" s="160">
        <v>5</v>
      </c>
      <c r="AE147" s="160">
        <v>5</v>
      </c>
      <c r="AF147" s="160">
        <v>5</v>
      </c>
      <c r="AG147" s="160">
        <v>5</v>
      </c>
      <c r="AH147" s="160">
        <v>5</v>
      </c>
      <c r="AI147" s="160">
        <v>5</v>
      </c>
      <c r="AJ147" s="160">
        <v>5</v>
      </c>
      <c r="AK147" s="160">
        <v>5</v>
      </c>
      <c r="AL147" s="160">
        <v>5</v>
      </c>
      <c r="AM147" s="19"/>
      <c r="AN147" s="19"/>
      <c r="AO147" s="19"/>
      <c r="AP147" s="19"/>
      <c r="AQ147" s="19"/>
      <c r="AR147" s="19"/>
      <c r="AS147" s="19"/>
      <c r="AT147" s="19"/>
      <c r="AU147" s="19"/>
      <c r="AV147" s="19"/>
      <c r="AW147" s="19"/>
      <c r="AX147" s="19"/>
      <c r="AY147" s="19"/>
      <c r="AZ147" s="19"/>
      <c r="BA147" s="19"/>
      <c r="BB147" s="19"/>
      <c r="BC147" s="19"/>
      <c r="BD147" s="19"/>
      <c r="BE147" s="19"/>
      <c r="BF147" s="19"/>
      <c r="BG147" s="19"/>
      <c r="BH147" s="19"/>
      <c r="BI147" s="19"/>
      <c r="BJ147" s="19"/>
      <c r="BK147" s="19"/>
      <c r="BL147" s="82"/>
      <c r="BM147" s="93"/>
      <c r="BN147" s="19"/>
      <c r="BO147" s="19"/>
    </row>
    <row r="148" spans="1:67" ht="15.2">
      <c r="B148" s="982"/>
      <c r="C148" s="972"/>
      <c r="D148" s="110"/>
      <c r="E148" s="18"/>
      <c r="F148" s="19"/>
      <c r="G148" s="20"/>
      <c r="H148" s="20"/>
      <c r="I148" s="20"/>
      <c r="J148" s="57"/>
      <c r="K148" s="970"/>
      <c r="L148" s="54" t="s">
        <v>264</v>
      </c>
      <c r="M148" s="19"/>
      <c r="N148" s="19"/>
      <c r="O148" s="19"/>
      <c r="P148" s="19"/>
      <c r="Q148" s="19"/>
      <c r="R148" s="19"/>
      <c r="S148" s="19"/>
      <c r="T148" s="72"/>
      <c r="U148" s="72"/>
      <c r="V148" s="72"/>
      <c r="W148" s="72"/>
      <c r="X148" s="72"/>
      <c r="Y148" s="72"/>
      <c r="Z148" s="19"/>
      <c r="AA148" s="73">
        <v>5</v>
      </c>
      <c r="AB148" s="73">
        <v>5</v>
      </c>
      <c r="AC148" s="73">
        <v>5</v>
      </c>
      <c r="AD148" s="73">
        <v>5</v>
      </c>
      <c r="AE148" s="73">
        <v>5</v>
      </c>
      <c r="AF148" s="73">
        <v>5</v>
      </c>
      <c r="AG148" s="161"/>
      <c r="AH148" s="73">
        <v>5</v>
      </c>
      <c r="AI148" s="73">
        <v>5</v>
      </c>
      <c r="AJ148" s="73">
        <v>5</v>
      </c>
      <c r="AK148" s="73">
        <v>5</v>
      </c>
      <c r="AL148" s="73">
        <v>5</v>
      </c>
      <c r="AM148" s="19"/>
      <c r="AN148" s="19"/>
      <c r="AO148" s="19"/>
      <c r="AP148" s="19"/>
      <c r="AQ148" s="19"/>
      <c r="AR148" s="19"/>
      <c r="AS148" s="19"/>
      <c r="AT148" s="19"/>
      <c r="AU148" s="19"/>
      <c r="AV148" s="19"/>
      <c r="AW148" s="19"/>
      <c r="AX148" s="19"/>
      <c r="AY148" s="19"/>
      <c r="AZ148" s="19"/>
      <c r="BA148" s="19"/>
      <c r="BB148" s="19"/>
      <c r="BC148" s="19"/>
      <c r="BD148" s="19"/>
      <c r="BE148" s="19"/>
      <c r="BF148" s="19"/>
      <c r="BG148" s="19"/>
      <c r="BH148" s="19"/>
      <c r="BI148" s="19"/>
      <c r="BJ148" s="19"/>
      <c r="BK148" s="19"/>
      <c r="BL148" s="82"/>
      <c r="BM148" s="93"/>
      <c r="BN148" s="19"/>
      <c r="BO148" s="174"/>
    </row>
    <row r="149" spans="1:67" hidden="1">
      <c r="B149" s="982"/>
      <c r="C149" s="972"/>
      <c r="D149" s="957" t="s">
        <v>281</v>
      </c>
      <c r="E149" s="958"/>
      <c r="F149" s="958"/>
      <c r="G149" s="958"/>
      <c r="H149" s="958"/>
      <c r="I149" s="958"/>
      <c r="J149" s="958"/>
      <c r="K149" s="959"/>
      <c r="L149" s="58"/>
      <c r="M149" s="59"/>
      <c r="N149" s="59"/>
      <c r="O149" s="59"/>
      <c r="P149" s="59"/>
      <c r="Q149" s="59"/>
      <c r="R149" s="59"/>
      <c r="S149" s="75"/>
      <c r="T149" s="115"/>
      <c r="U149" s="115"/>
      <c r="V149" s="115"/>
      <c r="W149" s="115"/>
      <c r="X149" s="115"/>
      <c r="Y149" s="115"/>
      <c r="Z149" s="59"/>
      <c r="AA149" s="59">
        <f t="shared" ref="AA149:AL149" si="0">AA145+AA147</f>
        <v>45</v>
      </c>
      <c r="AB149" s="59">
        <f t="shared" si="0"/>
        <v>5</v>
      </c>
      <c r="AC149" s="59">
        <f t="shared" si="0"/>
        <v>5</v>
      </c>
      <c r="AD149" s="59">
        <f t="shared" si="0"/>
        <v>5</v>
      </c>
      <c r="AE149" s="59">
        <f t="shared" si="0"/>
        <v>5</v>
      </c>
      <c r="AF149" s="59">
        <f t="shared" si="0"/>
        <v>5</v>
      </c>
      <c r="AG149" s="59">
        <f t="shared" si="0"/>
        <v>5</v>
      </c>
      <c r="AH149" s="59">
        <f t="shared" si="0"/>
        <v>5</v>
      </c>
      <c r="AI149" s="59">
        <f t="shared" si="0"/>
        <v>5</v>
      </c>
      <c r="AJ149" s="59">
        <f t="shared" si="0"/>
        <v>5</v>
      </c>
      <c r="AK149" s="59">
        <f t="shared" si="0"/>
        <v>5</v>
      </c>
      <c r="AL149" s="59">
        <f t="shared" si="0"/>
        <v>5</v>
      </c>
      <c r="AM149" s="59"/>
      <c r="AN149" s="59"/>
      <c r="AO149" s="59"/>
      <c r="AP149" s="59"/>
      <c r="AQ149" s="59"/>
      <c r="AR149" s="59"/>
      <c r="AS149" s="59"/>
      <c r="AT149" s="59"/>
      <c r="AU149" s="59"/>
      <c r="AV149" s="59"/>
      <c r="AW149" s="59"/>
      <c r="AX149" s="59"/>
      <c r="AY149" s="59"/>
      <c r="AZ149" s="59"/>
      <c r="BA149" s="59"/>
      <c r="BB149" s="59"/>
      <c r="BC149" s="59"/>
      <c r="BD149" s="59"/>
      <c r="BE149" s="59"/>
      <c r="BF149" s="59"/>
      <c r="BG149" s="59"/>
      <c r="BH149" s="59"/>
      <c r="BI149" s="59"/>
      <c r="BJ149" s="59"/>
      <c r="BK149" s="59"/>
      <c r="BL149" s="59"/>
      <c r="BM149" s="58"/>
      <c r="BN149" s="59"/>
      <c r="BO149" s="59"/>
    </row>
    <row r="150" spans="1:67" hidden="1">
      <c r="B150" s="982"/>
      <c r="C150" s="972"/>
      <c r="D150" s="31" t="s">
        <v>282</v>
      </c>
      <c r="E150" s="32"/>
      <c r="F150" s="32"/>
      <c r="G150" s="32"/>
      <c r="H150" s="32"/>
      <c r="I150" s="32"/>
      <c r="J150" s="32"/>
      <c r="K150" s="60"/>
      <c r="L150" s="61"/>
      <c r="M150" s="62"/>
      <c r="N150" s="62"/>
      <c r="O150" s="62"/>
      <c r="P150" s="62"/>
      <c r="Q150" s="62"/>
      <c r="R150" s="62"/>
      <c r="S150" s="76"/>
      <c r="T150" s="116"/>
      <c r="U150" s="116"/>
      <c r="V150" s="116"/>
      <c r="W150" s="116"/>
      <c r="X150" s="116"/>
      <c r="Y150" s="116"/>
      <c r="Z150" s="62"/>
      <c r="AA150" s="62">
        <f t="shared" ref="AA150:AL150" si="1">Z150+AA149</f>
        <v>45</v>
      </c>
      <c r="AB150" s="62">
        <f t="shared" si="1"/>
        <v>50</v>
      </c>
      <c r="AC150" s="62">
        <f t="shared" si="1"/>
        <v>55</v>
      </c>
      <c r="AD150" s="62">
        <f t="shared" si="1"/>
        <v>60</v>
      </c>
      <c r="AE150" s="62">
        <f t="shared" si="1"/>
        <v>65</v>
      </c>
      <c r="AF150" s="62">
        <f t="shared" si="1"/>
        <v>70</v>
      </c>
      <c r="AG150" s="62">
        <f t="shared" si="1"/>
        <v>75</v>
      </c>
      <c r="AH150" s="62">
        <f t="shared" si="1"/>
        <v>80</v>
      </c>
      <c r="AI150" s="62">
        <f t="shared" si="1"/>
        <v>85</v>
      </c>
      <c r="AJ150" s="62">
        <f t="shared" si="1"/>
        <v>90</v>
      </c>
      <c r="AK150" s="62">
        <f t="shared" si="1"/>
        <v>95</v>
      </c>
      <c r="AL150" s="62">
        <f t="shared" si="1"/>
        <v>100</v>
      </c>
      <c r="AM150" s="62"/>
      <c r="AN150" s="62"/>
      <c r="AO150" s="62"/>
      <c r="AP150" s="62"/>
      <c r="AQ150" s="62"/>
      <c r="AR150" s="62"/>
      <c r="AS150" s="62"/>
      <c r="AT150" s="62"/>
      <c r="AU150" s="62"/>
      <c r="AV150" s="62"/>
      <c r="AW150" s="62"/>
      <c r="AX150" s="62"/>
      <c r="AY150" s="62"/>
      <c r="AZ150" s="62"/>
      <c r="BA150" s="62"/>
      <c r="BB150" s="62"/>
      <c r="BC150" s="62"/>
      <c r="BD150" s="62"/>
      <c r="BE150" s="62"/>
      <c r="BF150" s="62"/>
      <c r="BG150" s="62"/>
      <c r="BH150" s="62"/>
      <c r="BI150" s="62"/>
      <c r="BJ150" s="62"/>
      <c r="BK150" s="62"/>
      <c r="BL150" s="62"/>
      <c r="BM150" s="96"/>
      <c r="BN150" s="62"/>
      <c r="BO150" s="62"/>
    </row>
    <row r="151" spans="1:67" hidden="1">
      <c r="B151" s="982"/>
      <c r="C151" s="972"/>
      <c r="D151" s="960" t="s">
        <v>283</v>
      </c>
      <c r="E151" s="961"/>
      <c r="F151" s="961"/>
      <c r="G151" s="961"/>
      <c r="H151" s="961"/>
      <c r="I151" s="961"/>
      <c r="J151" s="961"/>
      <c r="K151" s="962"/>
      <c r="L151" s="61"/>
      <c r="M151" s="62"/>
      <c r="N151" s="62"/>
      <c r="O151" s="62"/>
      <c r="P151" s="62"/>
      <c r="Q151" s="62"/>
      <c r="R151" s="62"/>
      <c r="S151" s="76"/>
      <c r="T151" s="116"/>
      <c r="U151" s="116"/>
      <c r="V151" s="116"/>
      <c r="W151" s="116"/>
      <c r="X151" s="116"/>
      <c r="Y151" s="116"/>
      <c r="Z151" s="62"/>
      <c r="AA151" s="62">
        <f t="shared" ref="AA151:AL151" si="2">AA146+AA148</f>
        <v>45</v>
      </c>
      <c r="AB151" s="62">
        <f t="shared" si="2"/>
        <v>5</v>
      </c>
      <c r="AC151" s="62">
        <f t="shared" si="2"/>
        <v>5</v>
      </c>
      <c r="AD151" s="62">
        <f t="shared" si="2"/>
        <v>5</v>
      </c>
      <c r="AE151" s="62">
        <f t="shared" si="2"/>
        <v>5</v>
      </c>
      <c r="AF151" s="62">
        <f t="shared" si="2"/>
        <v>5</v>
      </c>
      <c r="AG151" s="62">
        <f t="shared" si="2"/>
        <v>0</v>
      </c>
      <c r="AH151" s="62">
        <f t="shared" si="2"/>
        <v>5</v>
      </c>
      <c r="AI151" s="62">
        <f t="shared" si="2"/>
        <v>5</v>
      </c>
      <c r="AJ151" s="62">
        <f t="shared" si="2"/>
        <v>5</v>
      </c>
      <c r="AK151" s="62">
        <f t="shared" si="2"/>
        <v>5</v>
      </c>
      <c r="AL151" s="62">
        <f t="shared" si="2"/>
        <v>5</v>
      </c>
      <c r="AM151" s="62"/>
      <c r="AN151" s="62"/>
      <c r="AO151" s="62"/>
      <c r="AP151" s="62"/>
      <c r="AQ151" s="62"/>
      <c r="AR151" s="62"/>
      <c r="AS151" s="62"/>
      <c r="AT151" s="62"/>
      <c r="AU151" s="62"/>
      <c r="AV151" s="62"/>
      <c r="AW151" s="62"/>
      <c r="AX151" s="62"/>
      <c r="AY151" s="62"/>
      <c r="AZ151" s="62"/>
      <c r="BA151" s="62"/>
      <c r="BB151" s="62"/>
      <c r="BC151" s="62"/>
      <c r="BD151" s="62"/>
      <c r="BE151" s="62"/>
      <c r="BF151" s="62"/>
      <c r="BG151" s="62"/>
      <c r="BH151" s="62"/>
      <c r="BI151" s="62"/>
      <c r="BJ151" s="62"/>
      <c r="BK151" s="62"/>
      <c r="BL151" s="62"/>
      <c r="BM151" s="96"/>
      <c r="BN151" s="62"/>
      <c r="BO151" s="62"/>
    </row>
    <row r="152" spans="1:67" hidden="1">
      <c r="B152" s="982"/>
      <c r="C152" s="972"/>
      <c r="D152" s="31" t="s">
        <v>284</v>
      </c>
      <c r="E152" s="32"/>
      <c r="F152" s="32"/>
      <c r="G152" s="32"/>
      <c r="H152" s="32"/>
      <c r="I152" s="32"/>
      <c r="J152" s="32"/>
      <c r="K152" s="60"/>
      <c r="L152" s="61"/>
      <c r="M152" s="62"/>
      <c r="N152" s="62"/>
      <c r="O152" s="62"/>
      <c r="P152" s="62"/>
      <c r="Q152" s="62"/>
      <c r="R152" s="62"/>
      <c r="S152" s="76"/>
      <c r="T152" s="116"/>
      <c r="U152" s="116"/>
      <c r="V152" s="116"/>
      <c r="W152" s="116"/>
      <c r="X152" s="116"/>
      <c r="Y152" s="116"/>
      <c r="Z152" s="62"/>
      <c r="AA152" s="62">
        <f t="shared" ref="AA152:AL152" si="3">Z152+AA151</f>
        <v>45</v>
      </c>
      <c r="AB152" s="62">
        <f t="shared" si="3"/>
        <v>50</v>
      </c>
      <c r="AC152" s="62">
        <f t="shared" si="3"/>
        <v>55</v>
      </c>
      <c r="AD152" s="62">
        <f t="shared" si="3"/>
        <v>60</v>
      </c>
      <c r="AE152" s="62">
        <f t="shared" si="3"/>
        <v>65</v>
      </c>
      <c r="AF152" s="62">
        <f t="shared" si="3"/>
        <v>70</v>
      </c>
      <c r="AG152" s="62">
        <f t="shared" si="3"/>
        <v>70</v>
      </c>
      <c r="AH152" s="62">
        <f t="shared" si="3"/>
        <v>75</v>
      </c>
      <c r="AI152" s="62">
        <f t="shared" si="3"/>
        <v>80</v>
      </c>
      <c r="AJ152" s="62">
        <f t="shared" si="3"/>
        <v>85</v>
      </c>
      <c r="AK152" s="62">
        <f t="shared" si="3"/>
        <v>90</v>
      </c>
      <c r="AL152" s="62">
        <f t="shared" si="3"/>
        <v>95</v>
      </c>
      <c r="AM152" s="62"/>
      <c r="AN152" s="62"/>
      <c r="AO152" s="62"/>
      <c r="AP152" s="62"/>
      <c r="AQ152" s="62"/>
      <c r="AR152" s="62"/>
      <c r="AS152" s="62"/>
      <c r="AT152" s="62"/>
      <c r="AU152" s="62"/>
      <c r="AV152" s="62"/>
      <c r="AW152" s="62"/>
      <c r="AX152" s="62"/>
      <c r="AY152" s="62"/>
      <c r="AZ152" s="62"/>
      <c r="BA152" s="62"/>
      <c r="BB152" s="62"/>
      <c r="BC152" s="62"/>
      <c r="BD152" s="62"/>
      <c r="BE152" s="62"/>
      <c r="BF152" s="62"/>
      <c r="BG152" s="62"/>
      <c r="BH152" s="62"/>
      <c r="BI152" s="62"/>
      <c r="BJ152" s="62"/>
      <c r="BK152" s="62"/>
      <c r="BL152" s="62"/>
      <c r="BM152" s="96"/>
      <c r="BN152" s="62"/>
      <c r="BO152" s="62"/>
    </row>
    <row r="153" spans="1:67" ht="15.2" hidden="1">
      <c r="B153" s="981"/>
      <c r="C153" s="973"/>
      <c r="D153" s="963" t="s">
        <v>285</v>
      </c>
      <c r="E153" s="964"/>
      <c r="F153" s="964"/>
      <c r="G153" s="964"/>
      <c r="H153" s="964"/>
      <c r="I153" s="964"/>
      <c r="J153" s="964"/>
      <c r="K153" s="965"/>
      <c r="L153" s="63"/>
      <c r="M153" s="64"/>
      <c r="N153" s="64"/>
      <c r="O153" s="64"/>
      <c r="P153" s="64"/>
      <c r="Q153" s="64"/>
      <c r="R153" s="64"/>
      <c r="S153" s="77"/>
      <c r="T153" s="78"/>
      <c r="U153" s="78"/>
      <c r="V153" s="78"/>
      <c r="W153" s="78"/>
      <c r="X153" s="78"/>
      <c r="Y153" s="78"/>
      <c r="Z153" s="64"/>
      <c r="AA153" s="64">
        <f t="shared" ref="AA153:AL153" si="4">AA152-AA150</f>
        <v>0</v>
      </c>
      <c r="AB153" s="64">
        <f t="shared" si="4"/>
        <v>0</v>
      </c>
      <c r="AC153" s="64">
        <f t="shared" si="4"/>
        <v>0</v>
      </c>
      <c r="AD153" s="64">
        <f t="shared" si="4"/>
        <v>0</v>
      </c>
      <c r="AE153" s="64">
        <f t="shared" si="4"/>
        <v>0</v>
      </c>
      <c r="AF153" s="64">
        <f t="shared" si="4"/>
        <v>0</v>
      </c>
      <c r="AG153" s="64">
        <f t="shared" si="4"/>
        <v>-5</v>
      </c>
      <c r="AH153" s="64">
        <f t="shared" si="4"/>
        <v>-5</v>
      </c>
      <c r="AI153" s="64">
        <f t="shared" si="4"/>
        <v>-5</v>
      </c>
      <c r="AJ153" s="64">
        <f t="shared" si="4"/>
        <v>-5</v>
      </c>
      <c r="AK153" s="64">
        <f t="shared" si="4"/>
        <v>-5</v>
      </c>
      <c r="AL153" s="64">
        <f t="shared" si="4"/>
        <v>-5</v>
      </c>
      <c r="AM153" s="64"/>
      <c r="AN153" s="64"/>
      <c r="AO153" s="64"/>
      <c r="AP153" s="64"/>
      <c r="AQ153" s="64"/>
      <c r="AR153" s="64"/>
      <c r="AS153" s="64"/>
      <c r="AT153" s="64"/>
      <c r="AU153" s="64"/>
      <c r="AV153" s="64"/>
      <c r="AW153" s="64"/>
      <c r="AX153" s="64"/>
      <c r="AY153" s="64"/>
      <c r="AZ153" s="64"/>
      <c r="BA153" s="64"/>
      <c r="BB153" s="64"/>
      <c r="BC153" s="64"/>
      <c r="BD153" s="64"/>
      <c r="BE153" s="64"/>
      <c r="BF153" s="64"/>
      <c r="BG153" s="64"/>
      <c r="BH153" s="64"/>
      <c r="BI153" s="64"/>
      <c r="BJ153" s="64"/>
      <c r="BK153" s="64"/>
      <c r="BL153" s="64"/>
      <c r="BM153" s="97"/>
      <c r="BN153" s="64"/>
      <c r="BO153" s="64"/>
    </row>
    <row r="154" spans="1:67">
      <c r="B154" s="983">
        <v>13</v>
      </c>
      <c r="C154" s="971" t="s">
        <v>384</v>
      </c>
      <c r="D154" s="139" t="s">
        <v>385</v>
      </c>
      <c r="E154" s="111">
        <v>43514</v>
      </c>
      <c r="F154" s="15"/>
      <c r="G154" s="15" t="s">
        <v>386</v>
      </c>
      <c r="H154" s="15" t="s">
        <v>387</v>
      </c>
      <c r="I154" s="15" t="s">
        <v>388</v>
      </c>
      <c r="J154" s="65">
        <v>43722</v>
      </c>
      <c r="K154" s="147">
        <v>1</v>
      </c>
      <c r="L154" s="148"/>
      <c r="M154" s="27"/>
      <c r="N154" s="27"/>
      <c r="O154" s="27"/>
      <c r="P154" s="27"/>
      <c r="Q154" s="27"/>
      <c r="R154" s="27"/>
      <c r="S154" s="27"/>
      <c r="T154" s="27"/>
      <c r="U154" s="27"/>
      <c r="V154" s="27"/>
      <c r="W154" s="27"/>
      <c r="X154" s="27"/>
      <c r="Y154" s="27"/>
      <c r="Z154" s="27"/>
      <c r="AA154" s="27"/>
      <c r="AB154" s="27"/>
      <c r="AC154" s="27"/>
      <c r="AD154" s="27"/>
      <c r="AE154" s="27"/>
      <c r="AF154" s="27"/>
      <c r="AG154" s="27"/>
      <c r="AH154" s="27"/>
      <c r="AI154" s="27"/>
      <c r="AJ154" s="27"/>
      <c r="AK154" s="27"/>
      <c r="AL154" s="27"/>
      <c r="AM154" s="27"/>
      <c r="AN154" s="27"/>
      <c r="AO154" s="27"/>
      <c r="AP154" s="27"/>
      <c r="AQ154" s="27"/>
      <c r="AR154" s="27"/>
      <c r="AS154" s="27"/>
      <c r="AT154" s="27"/>
      <c r="AU154" s="27"/>
      <c r="AV154" s="27"/>
      <c r="AW154" s="27"/>
      <c r="AX154" s="27"/>
      <c r="AY154" s="27"/>
      <c r="AZ154" s="27"/>
      <c r="BA154" s="27"/>
      <c r="BB154" s="27"/>
      <c r="BC154" s="27"/>
      <c r="BD154" s="27"/>
      <c r="BE154" s="27"/>
      <c r="BF154" s="27"/>
      <c r="BG154" s="27"/>
      <c r="BH154" s="27"/>
      <c r="BI154" s="167">
        <v>300000550372</v>
      </c>
      <c r="BJ154" s="27"/>
      <c r="BK154" s="27"/>
      <c r="BL154" s="168"/>
      <c r="BM154" s="54">
        <v>3</v>
      </c>
      <c r="BN154" s="48" t="s">
        <v>334</v>
      </c>
      <c r="BO154" s="27"/>
    </row>
    <row r="155" spans="1:67">
      <c r="B155" s="984"/>
      <c r="C155" s="972"/>
      <c r="D155" s="25" t="s">
        <v>389</v>
      </c>
      <c r="E155" s="27"/>
      <c r="F155" s="27"/>
      <c r="G155" s="27"/>
      <c r="H155" s="27"/>
      <c r="I155" s="27"/>
      <c r="J155" s="27"/>
      <c r="K155" s="968">
        <v>0.8</v>
      </c>
      <c r="L155" s="54" t="s">
        <v>262</v>
      </c>
      <c r="M155" s="27"/>
      <c r="N155" s="27"/>
      <c r="O155" s="27"/>
      <c r="P155" s="27"/>
      <c r="Q155" s="27"/>
      <c r="R155" s="27"/>
      <c r="S155" s="27"/>
      <c r="T155" s="27"/>
      <c r="U155" s="27"/>
      <c r="V155" s="27"/>
      <c r="W155" s="27"/>
      <c r="X155" s="27"/>
      <c r="Y155" s="27"/>
      <c r="Z155" s="27"/>
      <c r="AA155" s="27"/>
      <c r="AB155" s="27"/>
      <c r="AC155" s="27"/>
      <c r="AD155" s="27"/>
      <c r="AE155" s="27"/>
      <c r="AF155" s="27"/>
      <c r="AG155" s="162">
        <v>5</v>
      </c>
      <c r="AH155" s="162">
        <v>5</v>
      </c>
      <c r="AI155" s="162">
        <v>5</v>
      </c>
      <c r="AJ155" s="162">
        <v>5</v>
      </c>
      <c r="AK155" s="162">
        <v>5</v>
      </c>
      <c r="AL155" s="162">
        <v>5</v>
      </c>
      <c r="AM155" s="162">
        <v>5</v>
      </c>
      <c r="AN155" s="162">
        <v>5</v>
      </c>
      <c r="AO155" s="162">
        <v>5</v>
      </c>
      <c r="AP155" s="162">
        <v>10</v>
      </c>
      <c r="AQ155" s="162">
        <v>10</v>
      </c>
      <c r="AR155" s="162">
        <v>15</v>
      </c>
      <c r="AS155" s="27"/>
      <c r="AT155" s="27"/>
      <c r="AU155" s="27"/>
      <c r="AV155" s="27"/>
      <c r="AW155" s="27"/>
      <c r="AX155" s="27"/>
      <c r="AY155" s="27"/>
      <c r="AZ155" s="27"/>
      <c r="BA155" s="27"/>
      <c r="BB155" s="27"/>
      <c r="BC155" s="27"/>
      <c r="BD155" s="27"/>
      <c r="BE155" s="27"/>
      <c r="BF155" s="27"/>
      <c r="BG155" s="27"/>
      <c r="BH155" s="27"/>
      <c r="BI155" s="27"/>
      <c r="BJ155" s="27"/>
      <c r="BK155" s="27"/>
      <c r="BL155" s="168"/>
      <c r="BM155" s="175"/>
      <c r="BN155" s="27"/>
      <c r="BO155" s="176" t="s">
        <v>390</v>
      </c>
    </row>
    <row r="156" spans="1:67" ht="29.1">
      <c r="B156" s="984"/>
      <c r="C156" s="972"/>
      <c r="D156" s="29"/>
      <c r="E156" s="19"/>
      <c r="F156" s="19"/>
      <c r="G156" s="19"/>
      <c r="H156" s="19"/>
      <c r="I156" s="19"/>
      <c r="J156" s="19"/>
      <c r="K156" s="969"/>
      <c r="L156" s="54" t="s">
        <v>264</v>
      </c>
      <c r="M156" s="27"/>
      <c r="N156" s="27"/>
      <c r="O156" s="27"/>
      <c r="P156" s="27"/>
      <c r="Q156" s="27"/>
      <c r="R156" s="27"/>
      <c r="S156" s="27"/>
      <c r="T156" s="155"/>
      <c r="U156" s="155"/>
      <c r="V156" s="155"/>
      <c r="W156" s="155"/>
      <c r="X156" s="155"/>
      <c r="Y156" s="155"/>
      <c r="Z156" s="155"/>
      <c r="AA156" s="155"/>
      <c r="AB156" s="155"/>
      <c r="AC156" s="27"/>
      <c r="AD156" s="27"/>
      <c r="AE156" s="27"/>
      <c r="AF156" s="27"/>
      <c r="AG156" s="27"/>
      <c r="AH156" s="27"/>
      <c r="AI156" s="27"/>
      <c r="AJ156" s="27"/>
      <c r="AK156" s="27"/>
      <c r="AL156" s="27"/>
      <c r="AM156" s="27"/>
      <c r="AN156" s="27"/>
      <c r="AO156" s="27"/>
      <c r="AP156" s="27"/>
      <c r="AQ156" s="27"/>
      <c r="AR156" s="27"/>
      <c r="AS156" s="27"/>
      <c r="AT156" s="27"/>
      <c r="AU156" s="27"/>
      <c r="AV156" s="27"/>
      <c r="AW156" s="27"/>
      <c r="AX156" s="27"/>
      <c r="AY156" s="27"/>
      <c r="AZ156" s="27"/>
      <c r="BA156" s="27"/>
      <c r="BB156" s="27"/>
      <c r="BC156" s="27"/>
      <c r="BD156" s="27"/>
      <c r="BE156" s="27"/>
      <c r="BF156" s="27"/>
      <c r="BG156" s="27"/>
      <c r="BH156" s="27"/>
      <c r="BI156" s="27"/>
      <c r="BJ156" s="27"/>
      <c r="BK156" s="27"/>
      <c r="BL156" s="168"/>
      <c r="BM156" s="175"/>
      <c r="BN156" s="27"/>
      <c r="BO156" s="171" t="s">
        <v>391</v>
      </c>
    </row>
    <row r="157" spans="1:67">
      <c r="B157" s="984"/>
      <c r="C157" s="972"/>
      <c r="D157" s="25" t="s">
        <v>392</v>
      </c>
      <c r="E157" s="27"/>
      <c r="F157" s="27"/>
      <c r="G157" s="27"/>
      <c r="H157" s="27"/>
      <c r="I157" s="27"/>
      <c r="J157" s="27"/>
      <c r="K157" s="968">
        <v>0.2</v>
      </c>
      <c r="L157" s="54" t="s">
        <v>262</v>
      </c>
      <c r="M157" s="27"/>
      <c r="N157" s="27"/>
      <c r="O157" s="27"/>
      <c r="P157" s="27"/>
      <c r="Q157" s="27"/>
      <c r="R157" s="27"/>
      <c r="S157" s="27"/>
      <c r="T157" s="27"/>
      <c r="U157" s="27"/>
      <c r="V157" s="27"/>
      <c r="W157" s="27"/>
      <c r="X157" s="27"/>
      <c r="Y157" s="27"/>
      <c r="Z157" s="27"/>
      <c r="AA157" s="27"/>
      <c r="AB157" s="27"/>
      <c r="AC157" s="27"/>
      <c r="AD157" s="27"/>
      <c r="AE157" s="27"/>
      <c r="AF157" s="27"/>
      <c r="AG157" s="27"/>
      <c r="AH157" s="27"/>
      <c r="AI157" s="27"/>
      <c r="AJ157" s="27"/>
      <c r="AK157" s="27"/>
      <c r="AL157" s="27"/>
      <c r="AM157" s="27"/>
      <c r="AN157" s="27"/>
      <c r="AO157" s="27"/>
      <c r="AP157" s="27"/>
      <c r="AQ157" s="27"/>
      <c r="AR157" s="27"/>
      <c r="AS157" s="162">
        <v>10</v>
      </c>
      <c r="AT157" s="162">
        <v>10</v>
      </c>
      <c r="AU157" s="27"/>
      <c r="AV157" s="27"/>
      <c r="AW157" s="27"/>
      <c r="AX157" s="27"/>
      <c r="AY157" s="27"/>
      <c r="AZ157" s="27"/>
      <c r="BA157" s="27"/>
      <c r="BB157" s="27"/>
      <c r="BC157" s="27"/>
      <c r="BD157" s="27"/>
      <c r="BE157" s="27"/>
      <c r="BF157" s="27"/>
      <c r="BG157" s="27"/>
      <c r="BH157" s="27"/>
      <c r="BI157" s="27"/>
      <c r="BJ157" s="27"/>
      <c r="BK157" s="27"/>
      <c r="BL157" s="168"/>
      <c r="BM157" s="170"/>
      <c r="BN157" s="27"/>
      <c r="BO157" s="27"/>
    </row>
    <row r="158" spans="1:67">
      <c r="B158" s="984"/>
      <c r="C158" s="972"/>
      <c r="D158" s="29"/>
      <c r="E158" s="19"/>
      <c r="F158" s="19"/>
      <c r="G158" s="19"/>
      <c r="H158" s="19"/>
      <c r="I158" s="19"/>
      <c r="J158" s="19"/>
      <c r="K158" s="969"/>
      <c r="L158" s="54" t="s">
        <v>264</v>
      </c>
      <c r="M158" s="27"/>
      <c r="N158" s="27"/>
      <c r="O158" s="27"/>
      <c r="P158" s="27"/>
      <c r="Q158" s="27"/>
      <c r="R158" s="27"/>
      <c r="S158" s="27"/>
      <c r="T158" s="27"/>
      <c r="U158" s="27"/>
      <c r="V158" s="27"/>
      <c r="W158" s="27"/>
      <c r="X158" s="27"/>
      <c r="Y158" s="27"/>
      <c r="Z158" s="27"/>
      <c r="AA158" s="27"/>
      <c r="AB158" s="27"/>
      <c r="AC158" s="27"/>
      <c r="AD158" s="27"/>
      <c r="AE158" s="27"/>
      <c r="AF158" s="27"/>
      <c r="AG158" s="27"/>
      <c r="AH158" s="27"/>
      <c r="AI158" s="27"/>
      <c r="AJ158" s="27"/>
      <c r="AK158" s="27"/>
      <c r="AL158" s="27"/>
      <c r="AM158" s="27"/>
      <c r="AN158" s="27"/>
      <c r="AO158" s="27"/>
      <c r="AP158" s="27"/>
      <c r="AQ158" s="27"/>
      <c r="AR158" s="27"/>
      <c r="AS158" s="166"/>
      <c r="AT158" s="166"/>
      <c r="AU158" s="27"/>
      <c r="AV158" s="27"/>
      <c r="AW158" s="27"/>
      <c r="AX158" s="27"/>
      <c r="AY158" s="27"/>
      <c r="AZ158" s="27"/>
      <c r="BA158" s="27"/>
      <c r="BB158" s="27"/>
      <c r="BC158" s="27"/>
      <c r="BD158" s="27"/>
      <c r="BE158" s="27"/>
      <c r="BF158" s="27"/>
      <c r="BG158" s="27"/>
      <c r="BH158" s="27"/>
      <c r="BI158" s="27"/>
      <c r="BJ158" s="27"/>
      <c r="BK158" s="27"/>
      <c r="BL158" s="168"/>
      <c r="BM158" s="54"/>
      <c r="BN158" s="27"/>
      <c r="BO158" s="27"/>
    </row>
    <row r="159" spans="1:67" s="3" customFormat="1" hidden="1">
      <c r="A159" s="30"/>
      <c r="B159" s="984"/>
      <c r="C159" s="972"/>
      <c r="D159" s="957" t="s">
        <v>281</v>
      </c>
      <c r="E159" s="958"/>
      <c r="F159" s="958"/>
      <c r="G159" s="958"/>
      <c r="H159" s="958"/>
      <c r="I159" s="958"/>
      <c r="J159" s="958"/>
      <c r="K159" s="959"/>
      <c r="L159" s="58"/>
      <c r="M159" s="59"/>
      <c r="N159" s="59"/>
      <c r="O159" s="59"/>
      <c r="P159" s="59"/>
      <c r="Q159" s="59"/>
      <c r="R159" s="59"/>
      <c r="S159" s="75"/>
      <c r="T159" s="75"/>
      <c r="U159" s="75"/>
      <c r="V159" s="59"/>
      <c r="W159" s="59"/>
      <c r="X159" s="59"/>
      <c r="Y159" s="59"/>
      <c r="Z159" s="59"/>
      <c r="AA159" s="59"/>
      <c r="AB159" s="59"/>
      <c r="AC159" s="59"/>
      <c r="AD159" s="59"/>
      <c r="AE159" s="59"/>
      <c r="AF159" s="59"/>
      <c r="AG159" s="59">
        <f t="shared" ref="AG159:AT159" si="5">AG155+AG157</f>
        <v>5</v>
      </c>
      <c r="AH159" s="59">
        <f t="shared" si="5"/>
        <v>5</v>
      </c>
      <c r="AI159" s="59">
        <f t="shared" si="5"/>
        <v>5</v>
      </c>
      <c r="AJ159" s="59">
        <f t="shared" si="5"/>
        <v>5</v>
      </c>
      <c r="AK159" s="59">
        <f t="shared" si="5"/>
        <v>5</v>
      </c>
      <c r="AL159" s="59">
        <f t="shared" si="5"/>
        <v>5</v>
      </c>
      <c r="AM159" s="59">
        <f t="shared" si="5"/>
        <v>5</v>
      </c>
      <c r="AN159" s="59">
        <f t="shared" si="5"/>
        <v>5</v>
      </c>
      <c r="AO159" s="59">
        <f t="shared" si="5"/>
        <v>5</v>
      </c>
      <c r="AP159" s="59">
        <f t="shared" si="5"/>
        <v>10</v>
      </c>
      <c r="AQ159" s="59">
        <f t="shared" si="5"/>
        <v>10</v>
      </c>
      <c r="AR159" s="59">
        <f t="shared" si="5"/>
        <v>15</v>
      </c>
      <c r="AS159" s="59">
        <f t="shared" si="5"/>
        <v>10</v>
      </c>
      <c r="AT159" s="59">
        <f t="shared" si="5"/>
        <v>10</v>
      </c>
      <c r="AU159" s="59"/>
      <c r="AV159" s="59"/>
      <c r="AW159" s="59"/>
      <c r="AX159" s="59"/>
      <c r="AY159" s="59"/>
      <c r="AZ159" s="59"/>
      <c r="BA159" s="59"/>
      <c r="BB159" s="59"/>
      <c r="BC159" s="59"/>
      <c r="BD159" s="59"/>
      <c r="BE159" s="59"/>
      <c r="BF159" s="59"/>
      <c r="BG159" s="59"/>
      <c r="BH159" s="59"/>
      <c r="BI159" s="59"/>
      <c r="BJ159" s="59"/>
      <c r="BK159" s="59"/>
      <c r="BL159" s="59"/>
      <c r="BM159" s="58"/>
      <c r="BN159" s="59"/>
      <c r="BO159" s="59"/>
    </row>
    <row r="160" spans="1:67" s="3" customFormat="1" hidden="1">
      <c r="A160" s="30"/>
      <c r="B160" s="984"/>
      <c r="C160" s="972"/>
      <c r="D160" s="31" t="s">
        <v>282</v>
      </c>
      <c r="E160" s="32"/>
      <c r="F160" s="32"/>
      <c r="G160" s="32"/>
      <c r="H160" s="32"/>
      <c r="I160" s="32"/>
      <c r="J160" s="32"/>
      <c r="K160" s="60"/>
      <c r="L160" s="61"/>
      <c r="M160" s="62"/>
      <c r="N160" s="62"/>
      <c r="O160" s="62"/>
      <c r="P160" s="62"/>
      <c r="Q160" s="62"/>
      <c r="R160" s="62"/>
      <c r="S160" s="76"/>
      <c r="T160" s="76"/>
      <c r="U160" s="76"/>
      <c r="V160" s="62"/>
      <c r="W160" s="62"/>
      <c r="X160" s="62"/>
      <c r="Y160" s="62"/>
      <c r="Z160" s="62"/>
      <c r="AA160" s="62"/>
      <c r="AB160" s="62"/>
      <c r="AC160" s="62"/>
      <c r="AD160" s="62"/>
      <c r="AE160" s="62"/>
      <c r="AF160" s="62"/>
      <c r="AG160" s="62">
        <f t="shared" ref="AG160:AT160" si="6">AF160+AG159</f>
        <v>5</v>
      </c>
      <c r="AH160" s="62">
        <f t="shared" si="6"/>
        <v>10</v>
      </c>
      <c r="AI160" s="62">
        <f t="shared" si="6"/>
        <v>15</v>
      </c>
      <c r="AJ160" s="62">
        <f t="shared" si="6"/>
        <v>20</v>
      </c>
      <c r="AK160" s="62">
        <f t="shared" si="6"/>
        <v>25</v>
      </c>
      <c r="AL160" s="62">
        <f t="shared" si="6"/>
        <v>30</v>
      </c>
      <c r="AM160" s="62">
        <f t="shared" si="6"/>
        <v>35</v>
      </c>
      <c r="AN160" s="62">
        <f t="shared" si="6"/>
        <v>40</v>
      </c>
      <c r="AO160" s="62">
        <f t="shared" si="6"/>
        <v>45</v>
      </c>
      <c r="AP160" s="62">
        <f t="shared" si="6"/>
        <v>55</v>
      </c>
      <c r="AQ160" s="62">
        <f t="shared" si="6"/>
        <v>65</v>
      </c>
      <c r="AR160" s="62">
        <f t="shared" si="6"/>
        <v>80</v>
      </c>
      <c r="AS160" s="62">
        <f t="shared" si="6"/>
        <v>90</v>
      </c>
      <c r="AT160" s="62">
        <f t="shared" si="6"/>
        <v>100</v>
      </c>
      <c r="AU160" s="62"/>
      <c r="AV160" s="62"/>
      <c r="AW160" s="62"/>
      <c r="AX160" s="62"/>
      <c r="AY160" s="62"/>
      <c r="AZ160" s="62"/>
      <c r="BA160" s="62"/>
      <c r="BB160" s="62"/>
      <c r="BC160" s="62"/>
      <c r="BD160" s="62"/>
      <c r="BE160" s="62"/>
      <c r="BF160" s="62"/>
      <c r="BG160" s="62"/>
      <c r="BH160" s="62"/>
      <c r="BI160" s="62"/>
      <c r="BJ160" s="62"/>
      <c r="BK160" s="62"/>
      <c r="BL160" s="62"/>
      <c r="BM160" s="96"/>
      <c r="BN160" s="62"/>
      <c r="BO160" s="62"/>
    </row>
    <row r="161" spans="1:90" s="3" customFormat="1" hidden="1">
      <c r="A161" s="30"/>
      <c r="B161" s="984"/>
      <c r="C161" s="972"/>
      <c r="D161" s="960" t="s">
        <v>283</v>
      </c>
      <c r="E161" s="961"/>
      <c r="F161" s="961"/>
      <c r="G161" s="961"/>
      <c r="H161" s="961"/>
      <c r="I161" s="961"/>
      <c r="J161" s="961"/>
      <c r="K161" s="962"/>
      <c r="L161" s="61"/>
      <c r="M161" s="62"/>
      <c r="N161" s="62"/>
      <c r="O161" s="62"/>
      <c r="P161" s="62"/>
      <c r="Q161" s="62"/>
      <c r="R161" s="62"/>
      <c r="S161" s="76"/>
      <c r="T161" s="76"/>
      <c r="U161" s="76"/>
      <c r="V161" s="62"/>
      <c r="W161" s="62"/>
      <c r="X161" s="62"/>
      <c r="Y161" s="62"/>
      <c r="Z161" s="62"/>
      <c r="AA161" s="62"/>
      <c r="AB161" s="62"/>
      <c r="AC161" s="62"/>
      <c r="AD161" s="62"/>
      <c r="AE161" s="62"/>
      <c r="AF161" s="62"/>
      <c r="AG161" s="62">
        <f t="shared" ref="AG161:AT161" si="7">AG156+AG158</f>
        <v>0</v>
      </c>
      <c r="AH161" s="62">
        <f t="shared" si="7"/>
        <v>0</v>
      </c>
      <c r="AI161" s="62">
        <f t="shared" si="7"/>
        <v>0</v>
      </c>
      <c r="AJ161" s="62">
        <f t="shared" si="7"/>
        <v>0</v>
      </c>
      <c r="AK161" s="62">
        <f t="shared" si="7"/>
        <v>0</v>
      </c>
      <c r="AL161" s="62">
        <f t="shared" si="7"/>
        <v>0</v>
      </c>
      <c r="AM161" s="62">
        <f t="shared" si="7"/>
        <v>0</v>
      </c>
      <c r="AN161" s="62">
        <f t="shared" si="7"/>
        <v>0</v>
      </c>
      <c r="AO161" s="62">
        <f t="shared" si="7"/>
        <v>0</v>
      </c>
      <c r="AP161" s="62">
        <f t="shared" si="7"/>
        <v>0</v>
      </c>
      <c r="AQ161" s="62">
        <f t="shared" si="7"/>
        <v>0</v>
      </c>
      <c r="AR161" s="62">
        <f t="shared" si="7"/>
        <v>0</v>
      </c>
      <c r="AS161" s="62">
        <f t="shared" si="7"/>
        <v>0</v>
      </c>
      <c r="AT161" s="62">
        <f t="shared" si="7"/>
        <v>0</v>
      </c>
      <c r="AU161" s="62"/>
      <c r="AV161" s="62"/>
      <c r="AW161" s="62"/>
      <c r="AX161" s="62"/>
      <c r="AY161" s="62"/>
      <c r="AZ161" s="62"/>
      <c r="BA161" s="62"/>
      <c r="BB161" s="62"/>
      <c r="BC161" s="62"/>
      <c r="BD161" s="62"/>
      <c r="BE161" s="62"/>
      <c r="BF161" s="62"/>
      <c r="BG161" s="62"/>
      <c r="BH161" s="62"/>
      <c r="BI161" s="62"/>
      <c r="BJ161" s="62"/>
      <c r="BK161" s="62"/>
      <c r="BL161" s="62"/>
      <c r="BM161" s="96"/>
      <c r="BN161" s="62"/>
      <c r="BO161" s="62"/>
    </row>
    <row r="162" spans="1:90" s="3" customFormat="1" hidden="1">
      <c r="A162" s="30"/>
      <c r="B162" s="984"/>
      <c r="C162" s="972"/>
      <c r="D162" s="31" t="s">
        <v>284</v>
      </c>
      <c r="E162" s="32"/>
      <c r="F162" s="32"/>
      <c r="G162" s="32"/>
      <c r="H162" s="32"/>
      <c r="I162" s="32"/>
      <c r="J162" s="32"/>
      <c r="K162" s="60"/>
      <c r="L162" s="61"/>
      <c r="M162" s="62"/>
      <c r="N162" s="62"/>
      <c r="O162" s="62"/>
      <c r="P162" s="62"/>
      <c r="Q162" s="62"/>
      <c r="R162" s="62"/>
      <c r="S162" s="76"/>
      <c r="T162" s="76"/>
      <c r="U162" s="76"/>
      <c r="V162" s="62"/>
      <c r="W162" s="62"/>
      <c r="X162" s="62"/>
      <c r="Y162" s="62"/>
      <c r="Z162" s="62"/>
      <c r="AA162" s="62"/>
      <c r="AB162" s="62"/>
      <c r="AC162" s="62"/>
      <c r="AD162" s="62"/>
      <c r="AE162" s="62"/>
      <c r="AF162" s="62"/>
      <c r="AG162" s="62">
        <f t="shared" ref="AG162:AT162" si="8">AF162+AG161</f>
        <v>0</v>
      </c>
      <c r="AH162" s="62">
        <f t="shared" si="8"/>
        <v>0</v>
      </c>
      <c r="AI162" s="62">
        <f t="shared" si="8"/>
        <v>0</v>
      </c>
      <c r="AJ162" s="62">
        <f t="shared" si="8"/>
        <v>0</v>
      </c>
      <c r="AK162" s="62">
        <f t="shared" si="8"/>
        <v>0</v>
      </c>
      <c r="AL162" s="62">
        <f t="shared" si="8"/>
        <v>0</v>
      </c>
      <c r="AM162" s="62">
        <f t="shared" si="8"/>
        <v>0</v>
      </c>
      <c r="AN162" s="62">
        <f t="shared" si="8"/>
        <v>0</v>
      </c>
      <c r="AO162" s="62">
        <f t="shared" si="8"/>
        <v>0</v>
      </c>
      <c r="AP162" s="62">
        <f t="shared" si="8"/>
        <v>0</v>
      </c>
      <c r="AQ162" s="62">
        <f t="shared" si="8"/>
        <v>0</v>
      </c>
      <c r="AR162" s="62">
        <f t="shared" si="8"/>
        <v>0</v>
      </c>
      <c r="AS162" s="62">
        <f t="shared" si="8"/>
        <v>0</v>
      </c>
      <c r="AT162" s="62">
        <f t="shared" si="8"/>
        <v>0</v>
      </c>
      <c r="AU162" s="62"/>
      <c r="AV162" s="62"/>
      <c r="AW162" s="62"/>
      <c r="AX162" s="62"/>
      <c r="AY162" s="62"/>
      <c r="AZ162" s="62"/>
      <c r="BA162" s="62"/>
      <c r="BB162" s="62"/>
      <c r="BC162" s="62"/>
      <c r="BD162" s="62"/>
      <c r="BE162" s="62"/>
      <c r="BF162" s="62"/>
      <c r="BG162" s="62"/>
      <c r="BH162" s="62"/>
      <c r="BI162" s="62"/>
      <c r="BJ162" s="62"/>
      <c r="BK162" s="62"/>
      <c r="BL162" s="62"/>
      <c r="BM162" s="96"/>
      <c r="BN162" s="62"/>
      <c r="BO162" s="62"/>
    </row>
    <row r="163" spans="1:90" s="3" customFormat="1" ht="15.2" hidden="1">
      <c r="A163" s="30"/>
      <c r="B163" s="985"/>
      <c r="C163" s="973"/>
      <c r="D163" s="963" t="s">
        <v>285</v>
      </c>
      <c r="E163" s="964"/>
      <c r="F163" s="964"/>
      <c r="G163" s="964"/>
      <c r="H163" s="964"/>
      <c r="I163" s="964"/>
      <c r="J163" s="964"/>
      <c r="K163" s="965"/>
      <c r="L163" s="63"/>
      <c r="M163" s="64"/>
      <c r="N163" s="64"/>
      <c r="O163" s="64"/>
      <c r="P163" s="64"/>
      <c r="Q163" s="64"/>
      <c r="R163" s="64"/>
      <c r="S163" s="77"/>
      <c r="T163" s="78"/>
      <c r="U163" s="78"/>
      <c r="V163" s="64"/>
      <c r="W163" s="64"/>
      <c r="X163" s="64"/>
      <c r="Y163" s="64"/>
      <c r="Z163" s="64"/>
      <c r="AA163" s="64"/>
      <c r="AB163" s="64"/>
      <c r="AC163" s="64"/>
      <c r="AD163" s="64"/>
      <c r="AE163" s="64"/>
      <c r="AF163" s="64"/>
      <c r="AG163" s="64">
        <f t="shared" ref="AG163:AT163" si="9">AG162-AG160</f>
        <v>-5</v>
      </c>
      <c r="AH163" s="64">
        <f t="shared" si="9"/>
        <v>-10</v>
      </c>
      <c r="AI163" s="64">
        <f t="shared" si="9"/>
        <v>-15</v>
      </c>
      <c r="AJ163" s="64">
        <f t="shared" si="9"/>
        <v>-20</v>
      </c>
      <c r="AK163" s="64">
        <f t="shared" si="9"/>
        <v>-25</v>
      </c>
      <c r="AL163" s="64">
        <f t="shared" si="9"/>
        <v>-30</v>
      </c>
      <c r="AM163" s="64">
        <f t="shared" si="9"/>
        <v>-35</v>
      </c>
      <c r="AN163" s="64">
        <f t="shared" si="9"/>
        <v>-40</v>
      </c>
      <c r="AO163" s="64">
        <f t="shared" si="9"/>
        <v>-45</v>
      </c>
      <c r="AP163" s="64">
        <f t="shared" si="9"/>
        <v>-55</v>
      </c>
      <c r="AQ163" s="64">
        <f t="shared" si="9"/>
        <v>-65</v>
      </c>
      <c r="AR163" s="64">
        <f t="shared" si="9"/>
        <v>-80</v>
      </c>
      <c r="AS163" s="64">
        <f t="shared" si="9"/>
        <v>-90</v>
      </c>
      <c r="AT163" s="64">
        <f t="shared" si="9"/>
        <v>-100</v>
      </c>
      <c r="AU163" s="64"/>
      <c r="AV163" s="64"/>
      <c r="AW163" s="64"/>
      <c r="AX163" s="64"/>
      <c r="AY163" s="64"/>
      <c r="AZ163" s="64"/>
      <c r="BA163" s="64"/>
      <c r="BB163" s="64"/>
      <c r="BC163" s="64"/>
      <c r="BD163" s="64"/>
      <c r="BE163" s="64"/>
      <c r="BF163" s="64"/>
      <c r="BG163" s="64"/>
      <c r="BH163" s="64"/>
      <c r="BI163" s="64"/>
      <c r="BJ163" s="64"/>
      <c r="BK163" s="64"/>
      <c r="BL163" s="64"/>
      <c r="BM163" s="97"/>
      <c r="BN163" s="64"/>
      <c r="BO163" s="64"/>
    </row>
    <row r="164" spans="1:90">
      <c r="B164" s="983">
        <v>14</v>
      </c>
      <c r="C164" s="971" t="s">
        <v>393</v>
      </c>
      <c r="D164" s="112" t="s">
        <v>394</v>
      </c>
      <c r="E164" s="111">
        <v>43502</v>
      </c>
      <c r="F164" s="108"/>
      <c r="G164" s="108" t="s">
        <v>395</v>
      </c>
      <c r="H164" s="108" t="s">
        <v>396</v>
      </c>
      <c r="I164" s="108" t="s">
        <v>397</v>
      </c>
      <c r="J164" s="65">
        <v>43637</v>
      </c>
      <c r="K164" s="143">
        <v>1</v>
      </c>
      <c r="L164" s="47"/>
      <c r="M164" s="48"/>
      <c r="N164" s="48"/>
      <c r="O164" s="48"/>
      <c r="P164" s="48"/>
      <c r="Q164" s="48"/>
      <c r="R164" s="48"/>
      <c r="S164" s="48"/>
      <c r="T164" s="48"/>
      <c r="U164" s="48"/>
      <c r="V164" s="48"/>
      <c r="W164" s="48"/>
      <c r="X164" s="48"/>
      <c r="Y164" s="48"/>
      <c r="Z164" s="48"/>
      <c r="AA164" s="48"/>
      <c r="AB164" s="48"/>
      <c r="AC164" s="48"/>
      <c r="AD164" s="48"/>
      <c r="AE164" s="48"/>
      <c r="AF164" s="48"/>
      <c r="AG164" s="48"/>
      <c r="AH164" s="48"/>
      <c r="AI164" s="48"/>
      <c r="AJ164" s="48"/>
      <c r="AK164" s="48"/>
      <c r="AL164" s="48"/>
      <c r="AM164" s="48"/>
      <c r="AN164" s="48"/>
      <c r="AO164" s="48"/>
      <c r="AP164" s="48"/>
      <c r="AQ164" s="48"/>
      <c r="AR164" s="48"/>
      <c r="AS164" s="48"/>
      <c r="AT164" s="48"/>
      <c r="AU164" s="48"/>
      <c r="AV164" s="48"/>
      <c r="AW164" s="48"/>
      <c r="AX164" s="48"/>
      <c r="AY164" s="48"/>
      <c r="AZ164" s="48"/>
      <c r="BA164" s="48"/>
      <c r="BB164" s="48"/>
      <c r="BC164" s="48"/>
      <c r="BD164" s="48"/>
      <c r="BE164" s="48"/>
      <c r="BF164" s="48"/>
      <c r="BG164" s="48"/>
      <c r="BH164" s="48"/>
      <c r="BI164" s="167">
        <v>300000550372</v>
      </c>
      <c r="BJ164" s="48"/>
      <c r="BK164" s="48"/>
      <c r="BL164" s="81"/>
      <c r="BM164" s="177">
        <v>2</v>
      </c>
      <c r="BN164" s="19" t="s">
        <v>334</v>
      </c>
      <c r="BO164" s="48"/>
    </row>
    <row r="165" spans="1:90">
      <c r="B165" s="984"/>
      <c r="C165" s="972"/>
      <c r="D165" s="25" t="s">
        <v>398</v>
      </c>
      <c r="E165" s="27"/>
      <c r="F165" s="27"/>
      <c r="G165" s="27"/>
      <c r="H165" s="27"/>
      <c r="I165" s="27"/>
      <c r="J165" s="27"/>
      <c r="K165" s="968">
        <v>0.2</v>
      </c>
      <c r="L165" s="54" t="s">
        <v>262</v>
      </c>
      <c r="M165" s="48"/>
      <c r="N165" s="48"/>
      <c r="O165" s="48"/>
      <c r="P165" s="48"/>
      <c r="Q165" s="48"/>
      <c r="R165" s="48"/>
      <c r="S165" s="48"/>
      <c r="T165" s="154">
        <v>5</v>
      </c>
      <c r="U165" s="154">
        <v>5</v>
      </c>
      <c r="V165" s="154">
        <v>5</v>
      </c>
      <c r="W165" s="154">
        <v>5</v>
      </c>
      <c r="X165" s="48"/>
      <c r="Y165" s="48"/>
      <c r="Z165" s="48"/>
      <c r="AA165" s="48"/>
      <c r="AB165" s="48"/>
      <c r="AC165" s="48"/>
      <c r="AD165" s="48"/>
      <c r="AE165" s="48"/>
      <c r="AF165" s="48"/>
      <c r="AG165" s="48"/>
      <c r="AH165" s="48"/>
      <c r="AI165" s="48"/>
      <c r="AJ165" s="48"/>
      <c r="AK165" s="48"/>
      <c r="AL165" s="48"/>
      <c r="AM165" s="48"/>
      <c r="AN165" s="48"/>
      <c r="AO165" s="48"/>
      <c r="AP165" s="48"/>
      <c r="AQ165" s="48"/>
      <c r="AR165" s="48"/>
      <c r="AS165" s="48"/>
      <c r="AT165" s="48"/>
      <c r="AU165" s="48"/>
      <c r="AV165" s="48"/>
      <c r="AW165" s="48"/>
      <c r="AX165" s="48"/>
      <c r="AY165" s="48"/>
      <c r="AZ165" s="48"/>
      <c r="BA165" s="48"/>
      <c r="BB165" s="48"/>
      <c r="BC165" s="48"/>
      <c r="BD165" s="48"/>
      <c r="BE165" s="48"/>
      <c r="BF165" s="48"/>
      <c r="BG165" s="48"/>
      <c r="BH165" s="48"/>
      <c r="BI165" s="48"/>
      <c r="BJ165" s="48"/>
      <c r="BK165" s="48"/>
      <c r="BL165" s="81"/>
      <c r="BM165" s="170"/>
      <c r="BN165" s="48"/>
      <c r="BO165" s="23" t="s">
        <v>399</v>
      </c>
    </row>
    <row r="166" spans="1:90">
      <c r="B166" s="984"/>
      <c r="C166" s="972"/>
      <c r="D166" s="29"/>
      <c r="E166" s="19"/>
      <c r="F166" s="19"/>
      <c r="G166" s="19"/>
      <c r="H166" s="19"/>
      <c r="I166" s="19"/>
      <c r="J166" s="19"/>
      <c r="K166" s="969"/>
      <c r="L166" s="54" t="s">
        <v>264</v>
      </c>
      <c r="M166" s="48"/>
      <c r="N166" s="48"/>
      <c r="O166" s="48"/>
      <c r="P166" s="48"/>
      <c r="Q166" s="48"/>
      <c r="R166" s="48"/>
      <c r="S166" s="48"/>
      <c r="T166" s="122">
        <v>5</v>
      </c>
      <c r="U166" s="122">
        <v>5</v>
      </c>
      <c r="V166" s="122">
        <v>5</v>
      </c>
      <c r="W166" s="122">
        <v>5</v>
      </c>
      <c r="X166" s="122">
        <v>5</v>
      </c>
      <c r="Y166" s="122">
        <v>5</v>
      </c>
      <c r="Z166" s="122">
        <v>5</v>
      </c>
      <c r="AA166" s="122">
        <v>5</v>
      </c>
      <c r="AB166" s="122">
        <v>5</v>
      </c>
      <c r="AC166" s="122">
        <v>5</v>
      </c>
      <c r="AD166" s="48"/>
      <c r="AE166" s="48"/>
      <c r="AF166" s="48"/>
      <c r="AG166" s="48"/>
      <c r="AH166" s="48"/>
      <c r="AI166" s="48"/>
      <c r="AJ166" s="48"/>
      <c r="AK166" s="48"/>
      <c r="AL166" s="48"/>
      <c r="AM166" s="48"/>
      <c r="AN166" s="48"/>
      <c r="AO166" s="48"/>
      <c r="AP166" s="48"/>
      <c r="AQ166" s="48"/>
      <c r="AR166" s="48"/>
      <c r="AS166" s="48"/>
      <c r="AT166" s="48"/>
      <c r="AU166" s="48"/>
      <c r="AV166" s="48"/>
      <c r="AW166" s="48"/>
      <c r="AX166" s="48"/>
      <c r="AY166" s="48"/>
      <c r="AZ166" s="48"/>
      <c r="BA166" s="48"/>
      <c r="BB166" s="48"/>
      <c r="BC166" s="48"/>
      <c r="BD166" s="48"/>
      <c r="BE166" s="48"/>
      <c r="BF166" s="48"/>
      <c r="BG166" s="48"/>
      <c r="BH166" s="48"/>
      <c r="BI166" s="48"/>
      <c r="BJ166" s="48"/>
      <c r="BK166" s="48"/>
      <c r="BL166" s="81"/>
      <c r="BM166" s="170"/>
      <c r="BN166" s="48"/>
      <c r="BO166" s="109" t="s">
        <v>400</v>
      </c>
    </row>
    <row r="167" spans="1:90" ht="29.1">
      <c r="B167" s="984"/>
      <c r="C167" s="972"/>
      <c r="D167" s="25" t="s">
        <v>401</v>
      </c>
      <c r="E167" s="27"/>
      <c r="F167" s="27"/>
      <c r="G167" s="27"/>
      <c r="H167" s="27"/>
      <c r="I167" s="27"/>
      <c r="J167" s="27"/>
      <c r="K167" s="968">
        <v>0.3</v>
      </c>
      <c r="L167" s="54" t="s">
        <v>262</v>
      </c>
      <c r="M167" s="48"/>
      <c r="N167" s="48"/>
      <c r="O167" s="48"/>
      <c r="P167" s="48"/>
      <c r="Q167" s="48"/>
      <c r="R167" s="48"/>
      <c r="S167" s="48"/>
      <c r="T167" s="48"/>
      <c r="U167" s="48"/>
      <c r="V167" s="48"/>
      <c r="W167" s="48"/>
      <c r="X167" s="71">
        <v>5</v>
      </c>
      <c r="Y167" s="71">
        <v>5</v>
      </c>
      <c r="Z167" s="71">
        <v>5</v>
      </c>
      <c r="AA167" s="71">
        <v>5</v>
      </c>
      <c r="AB167" s="71">
        <v>5</v>
      </c>
      <c r="AC167" s="71">
        <v>5</v>
      </c>
      <c r="AD167" s="48"/>
      <c r="AE167" s="48"/>
      <c r="AF167" s="48"/>
      <c r="AG167" s="48"/>
      <c r="AH167" s="48"/>
      <c r="AI167" s="48"/>
      <c r="AJ167" s="48"/>
      <c r="AK167" s="48"/>
      <c r="AL167" s="48"/>
      <c r="AM167" s="48"/>
      <c r="AN167" s="48"/>
      <c r="AO167" s="48"/>
      <c r="AP167" s="48"/>
      <c r="AQ167" s="48"/>
      <c r="AR167" s="48"/>
      <c r="AS167" s="48"/>
      <c r="AT167" s="48"/>
      <c r="AU167" s="48"/>
      <c r="AV167" s="48"/>
      <c r="AW167" s="48"/>
      <c r="AX167" s="48"/>
      <c r="AY167" s="48"/>
      <c r="AZ167" s="48"/>
      <c r="BA167" s="48"/>
      <c r="BB167" s="48"/>
      <c r="BC167" s="48"/>
      <c r="BD167" s="48"/>
      <c r="BE167" s="48"/>
      <c r="BF167" s="48"/>
      <c r="BG167" s="48"/>
      <c r="BH167" s="48"/>
      <c r="BI167" s="48"/>
      <c r="BJ167" s="48"/>
      <c r="BK167" s="48"/>
      <c r="BL167" s="81"/>
      <c r="BM167" s="170"/>
      <c r="BN167" s="48"/>
      <c r="BO167" s="109" t="s">
        <v>402</v>
      </c>
    </row>
    <row r="168" spans="1:90" ht="29.1">
      <c r="B168" s="984"/>
      <c r="C168" s="972"/>
      <c r="D168" s="29"/>
      <c r="E168" s="19"/>
      <c r="F168" s="19"/>
      <c r="G168" s="19"/>
      <c r="H168" s="19"/>
      <c r="I168" s="19"/>
      <c r="J168" s="19"/>
      <c r="K168" s="969"/>
      <c r="L168" s="54" t="s">
        <v>264</v>
      </c>
      <c r="M168" s="48"/>
      <c r="N168" s="48"/>
      <c r="O168" s="48"/>
      <c r="P168" s="48"/>
      <c r="Q168" s="48"/>
      <c r="R168" s="48"/>
      <c r="S168" s="48"/>
      <c r="T168" s="48"/>
      <c r="U168" s="48"/>
      <c r="V168" s="48"/>
      <c r="W168" s="48"/>
      <c r="X168" s="48"/>
      <c r="Y168" s="48"/>
      <c r="Z168" s="48"/>
      <c r="AA168" s="48"/>
      <c r="AB168" s="48"/>
      <c r="AC168" s="48"/>
      <c r="AD168" s="122">
        <v>5</v>
      </c>
      <c r="AE168" s="122">
        <v>5</v>
      </c>
      <c r="AF168" s="122">
        <v>5</v>
      </c>
      <c r="AG168" s="163"/>
      <c r="AH168" s="122">
        <v>5</v>
      </c>
      <c r="AI168" s="122">
        <v>5</v>
      </c>
      <c r="AJ168" s="122">
        <v>5</v>
      </c>
      <c r="AK168" s="122">
        <v>5</v>
      </c>
      <c r="AL168" s="122">
        <v>5</v>
      </c>
      <c r="AM168" s="122">
        <v>5</v>
      </c>
      <c r="AN168" s="48"/>
      <c r="AO168" s="48"/>
      <c r="AP168" s="48"/>
      <c r="AQ168" s="48"/>
      <c r="AR168" s="48"/>
      <c r="AS168" s="48"/>
      <c r="AT168" s="48"/>
      <c r="AU168" s="48"/>
      <c r="AV168" s="48"/>
      <c r="AW168" s="48"/>
      <c r="AX168" s="48"/>
      <c r="AY168" s="48"/>
      <c r="AZ168" s="48"/>
      <c r="BA168" s="48"/>
      <c r="BB168" s="48"/>
      <c r="BC168" s="48"/>
      <c r="BD168" s="48"/>
      <c r="BE168" s="48"/>
      <c r="BF168" s="48"/>
      <c r="BG168" s="48"/>
      <c r="BH168" s="48"/>
      <c r="BI168" s="48"/>
      <c r="BJ168" s="48"/>
      <c r="BK168" s="48"/>
      <c r="BL168" s="81"/>
      <c r="BM168" s="170"/>
      <c r="BN168" s="48"/>
      <c r="BO168" s="178" t="s">
        <v>403</v>
      </c>
    </row>
    <row r="169" spans="1:90">
      <c r="B169" s="984"/>
      <c r="C169" s="972"/>
      <c r="D169" s="25" t="s">
        <v>404</v>
      </c>
      <c r="E169" s="27"/>
      <c r="F169" s="27"/>
      <c r="G169" s="27"/>
      <c r="H169" s="27"/>
      <c r="I169" s="27"/>
      <c r="J169" s="27"/>
      <c r="K169" s="968">
        <v>0.5</v>
      </c>
      <c r="L169" s="54" t="s">
        <v>262</v>
      </c>
      <c r="M169" s="48"/>
      <c r="N169" s="48"/>
      <c r="O169" s="48"/>
      <c r="P169" s="48"/>
      <c r="Q169" s="48"/>
      <c r="R169" s="48"/>
      <c r="S169" s="48"/>
      <c r="T169" s="48"/>
      <c r="U169" s="48"/>
      <c r="V169" s="48"/>
      <c r="W169" s="48"/>
      <c r="X169" s="48"/>
      <c r="Y169" s="48"/>
      <c r="Z169" s="48"/>
      <c r="AA169" s="48"/>
      <c r="AB169" s="48"/>
      <c r="AC169" s="48"/>
      <c r="AD169" s="71">
        <v>5</v>
      </c>
      <c r="AE169" s="71">
        <v>5</v>
      </c>
      <c r="AF169" s="71">
        <v>5</v>
      </c>
      <c r="AG169" s="71">
        <v>10</v>
      </c>
      <c r="AH169" s="71">
        <v>10</v>
      </c>
      <c r="AI169" s="71">
        <v>15</v>
      </c>
      <c r="AJ169" s="145"/>
      <c r="AK169" s="145"/>
      <c r="AL169" s="164"/>
      <c r="AM169" s="48"/>
      <c r="AN169" s="48"/>
      <c r="AO169" s="48"/>
      <c r="AP169" s="48"/>
      <c r="AQ169" s="48"/>
      <c r="AR169" s="48"/>
      <c r="AS169" s="48"/>
      <c r="AT169" s="48"/>
      <c r="AU169" s="48"/>
      <c r="AV169" s="48"/>
      <c r="AW169" s="48"/>
      <c r="AX169" s="48"/>
      <c r="AY169" s="48"/>
      <c r="AZ169" s="48"/>
      <c r="BA169" s="48"/>
      <c r="BB169" s="48"/>
      <c r="BC169" s="48"/>
      <c r="BD169" s="48"/>
      <c r="BE169" s="48"/>
      <c r="BF169" s="48"/>
      <c r="BG169" s="48"/>
      <c r="BH169" s="48"/>
      <c r="BI169" s="48"/>
      <c r="BJ169" s="48"/>
      <c r="BK169" s="48"/>
      <c r="BL169" s="81"/>
      <c r="BM169" s="170"/>
      <c r="BN169" s="48"/>
      <c r="BO169" s="48"/>
    </row>
    <row r="170" spans="1:90">
      <c r="B170" s="984"/>
      <c r="C170" s="972"/>
      <c r="D170" s="29"/>
      <c r="E170" s="19"/>
      <c r="F170" s="19"/>
      <c r="G170" s="19"/>
      <c r="H170" s="19"/>
      <c r="I170" s="19"/>
      <c r="J170" s="19"/>
      <c r="K170" s="969"/>
      <c r="L170" s="54" t="s">
        <v>264</v>
      </c>
      <c r="M170" s="27"/>
      <c r="N170" s="27"/>
      <c r="O170" s="27"/>
      <c r="P170" s="27"/>
      <c r="Q170" s="27"/>
      <c r="R170" s="27"/>
      <c r="S170" s="27"/>
      <c r="T170" s="27"/>
      <c r="U170" s="27"/>
      <c r="V170" s="27"/>
      <c r="W170" s="27"/>
      <c r="X170" s="27"/>
      <c r="Y170" s="27"/>
      <c r="Z170" s="27"/>
      <c r="AA170" s="27"/>
      <c r="AB170" s="27"/>
      <c r="AC170" s="27"/>
      <c r="AD170" s="27"/>
      <c r="AE170" s="27"/>
      <c r="AF170" s="27"/>
      <c r="AG170" s="27"/>
      <c r="AH170" s="27"/>
      <c r="AI170" s="27"/>
      <c r="AJ170" s="27"/>
      <c r="AK170" s="27"/>
      <c r="AL170" s="27"/>
      <c r="AM170" s="27"/>
      <c r="AN170" s="27"/>
      <c r="AO170" s="27"/>
      <c r="AP170" s="27"/>
      <c r="AQ170" s="27"/>
      <c r="AR170" s="27"/>
      <c r="AS170" s="27"/>
      <c r="AT170" s="27"/>
      <c r="AU170" s="27"/>
      <c r="AV170" s="27"/>
      <c r="AW170" s="27"/>
      <c r="AX170" s="27"/>
      <c r="AY170" s="27"/>
      <c r="AZ170" s="27"/>
      <c r="BA170" s="27"/>
      <c r="BB170" s="27"/>
      <c r="BC170" s="27"/>
      <c r="BD170" s="27"/>
      <c r="BE170" s="27"/>
      <c r="BF170" s="27"/>
      <c r="BG170" s="27"/>
      <c r="BH170" s="27"/>
      <c r="BI170" s="27"/>
      <c r="BJ170" s="27"/>
      <c r="BK170" s="27"/>
      <c r="BL170" s="168"/>
      <c r="BM170" s="54"/>
      <c r="BN170" s="27"/>
      <c r="BO170" s="27"/>
    </row>
    <row r="171" spans="1:90" s="3" customFormat="1" hidden="1">
      <c r="A171" s="30"/>
      <c r="B171" s="984"/>
      <c r="C171" s="972"/>
      <c r="D171" s="957" t="s">
        <v>281</v>
      </c>
      <c r="E171" s="958"/>
      <c r="F171" s="958"/>
      <c r="G171" s="958"/>
      <c r="H171" s="958"/>
      <c r="I171" s="958"/>
      <c r="J171" s="958"/>
      <c r="K171" s="959"/>
      <c r="L171" s="58"/>
      <c r="M171" s="59"/>
      <c r="N171" s="59"/>
      <c r="O171" s="59"/>
      <c r="P171" s="59"/>
      <c r="Q171" s="59"/>
      <c r="R171" s="59"/>
      <c r="S171" s="75"/>
      <c r="T171" s="75">
        <f t="shared" ref="T171:AI171" si="10">T165+T167+T169</f>
        <v>5</v>
      </c>
      <c r="U171" s="75">
        <f t="shared" si="10"/>
        <v>5</v>
      </c>
      <c r="V171" s="75">
        <f t="shared" si="10"/>
        <v>5</v>
      </c>
      <c r="W171" s="75">
        <f t="shared" si="10"/>
        <v>5</v>
      </c>
      <c r="X171" s="75">
        <f t="shared" si="10"/>
        <v>5</v>
      </c>
      <c r="Y171" s="75">
        <f t="shared" si="10"/>
        <v>5</v>
      </c>
      <c r="Z171" s="75">
        <f t="shared" si="10"/>
        <v>5</v>
      </c>
      <c r="AA171" s="75">
        <f t="shared" si="10"/>
        <v>5</v>
      </c>
      <c r="AB171" s="75">
        <f t="shared" si="10"/>
        <v>5</v>
      </c>
      <c r="AC171" s="75">
        <f t="shared" si="10"/>
        <v>5</v>
      </c>
      <c r="AD171" s="75">
        <f t="shared" si="10"/>
        <v>5</v>
      </c>
      <c r="AE171" s="75">
        <f t="shared" si="10"/>
        <v>5</v>
      </c>
      <c r="AF171" s="75">
        <f t="shared" si="10"/>
        <v>5</v>
      </c>
      <c r="AG171" s="75">
        <f t="shared" si="10"/>
        <v>10</v>
      </c>
      <c r="AH171" s="75">
        <f t="shared" si="10"/>
        <v>10</v>
      </c>
      <c r="AI171" s="75">
        <f t="shared" si="10"/>
        <v>15</v>
      </c>
      <c r="AJ171" s="59"/>
      <c r="AK171" s="59"/>
      <c r="AL171" s="59"/>
      <c r="AM171" s="59"/>
      <c r="AN171" s="59"/>
      <c r="AO171" s="59"/>
      <c r="AP171" s="59"/>
      <c r="AQ171" s="59"/>
      <c r="AR171" s="59"/>
      <c r="AS171" s="59"/>
      <c r="AT171" s="59"/>
      <c r="AU171" s="59"/>
      <c r="AV171" s="59"/>
      <c r="AW171" s="59"/>
      <c r="AX171" s="59"/>
      <c r="AY171" s="59"/>
      <c r="AZ171" s="59"/>
      <c r="BA171" s="59"/>
      <c r="BB171" s="59"/>
      <c r="BC171" s="59"/>
      <c r="BD171" s="59"/>
      <c r="BE171" s="59"/>
      <c r="BF171" s="59"/>
      <c r="BG171" s="59"/>
      <c r="BH171" s="59"/>
      <c r="BI171" s="59"/>
      <c r="BJ171" s="59"/>
      <c r="BK171" s="59"/>
      <c r="BL171" s="59"/>
      <c r="BM171" s="58"/>
      <c r="BN171" s="59"/>
      <c r="BO171" s="59"/>
    </row>
    <row r="172" spans="1:90" s="3" customFormat="1" hidden="1">
      <c r="A172" s="30"/>
      <c r="B172" s="984"/>
      <c r="C172" s="972"/>
      <c r="D172" s="31" t="s">
        <v>282</v>
      </c>
      <c r="E172" s="32"/>
      <c r="F172" s="32"/>
      <c r="G172" s="32"/>
      <c r="H172" s="32"/>
      <c r="I172" s="32"/>
      <c r="J172" s="32"/>
      <c r="K172" s="60"/>
      <c r="L172" s="61"/>
      <c r="M172" s="62"/>
      <c r="N172" s="62"/>
      <c r="O172" s="62"/>
      <c r="P172" s="62"/>
      <c r="Q172" s="62"/>
      <c r="R172" s="62"/>
      <c r="S172" s="76"/>
      <c r="T172" s="76">
        <f t="shared" ref="T172:AI172" si="11">S172+T171</f>
        <v>5</v>
      </c>
      <c r="U172" s="76">
        <f t="shared" si="11"/>
        <v>10</v>
      </c>
      <c r="V172" s="76">
        <f t="shared" si="11"/>
        <v>15</v>
      </c>
      <c r="W172" s="76">
        <f t="shared" si="11"/>
        <v>20</v>
      </c>
      <c r="X172" s="76">
        <f t="shared" si="11"/>
        <v>25</v>
      </c>
      <c r="Y172" s="76">
        <f t="shared" si="11"/>
        <v>30</v>
      </c>
      <c r="Z172" s="76">
        <f t="shared" si="11"/>
        <v>35</v>
      </c>
      <c r="AA172" s="76">
        <f t="shared" si="11"/>
        <v>40</v>
      </c>
      <c r="AB172" s="76">
        <f t="shared" si="11"/>
        <v>45</v>
      </c>
      <c r="AC172" s="76">
        <f t="shared" si="11"/>
        <v>50</v>
      </c>
      <c r="AD172" s="76">
        <f t="shared" si="11"/>
        <v>55</v>
      </c>
      <c r="AE172" s="76">
        <f t="shared" si="11"/>
        <v>60</v>
      </c>
      <c r="AF172" s="76">
        <f t="shared" si="11"/>
        <v>65</v>
      </c>
      <c r="AG172" s="76">
        <f t="shared" si="11"/>
        <v>75</v>
      </c>
      <c r="AH172" s="76">
        <f t="shared" si="11"/>
        <v>85</v>
      </c>
      <c r="AI172" s="76">
        <f t="shared" si="11"/>
        <v>100</v>
      </c>
      <c r="AJ172" s="62"/>
      <c r="AK172" s="62"/>
      <c r="AL172" s="62"/>
      <c r="AM172" s="62"/>
      <c r="AN172" s="62"/>
      <c r="AO172" s="62"/>
      <c r="AP172" s="62"/>
      <c r="AQ172" s="62"/>
      <c r="AR172" s="62"/>
      <c r="AS172" s="62"/>
      <c r="AT172" s="62"/>
      <c r="AU172" s="62"/>
      <c r="AV172" s="62"/>
      <c r="AW172" s="62"/>
      <c r="AX172" s="62"/>
      <c r="AY172" s="62"/>
      <c r="AZ172" s="62"/>
      <c r="BA172" s="62"/>
      <c r="BB172" s="62"/>
      <c r="BC172" s="62"/>
      <c r="BD172" s="62"/>
      <c r="BE172" s="62"/>
      <c r="BF172" s="62"/>
      <c r="BG172" s="62"/>
      <c r="BH172" s="62"/>
      <c r="BI172" s="62"/>
      <c r="BJ172" s="62"/>
      <c r="BK172" s="62"/>
      <c r="BL172" s="62"/>
      <c r="BM172" s="96"/>
      <c r="BN172" s="62"/>
      <c r="BO172" s="62"/>
    </row>
    <row r="173" spans="1:90" s="3" customFormat="1" hidden="1">
      <c r="A173" s="30"/>
      <c r="B173" s="984"/>
      <c r="C173" s="972"/>
      <c r="D173" s="960" t="s">
        <v>283</v>
      </c>
      <c r="E173" s="961"/>
      <c r="F173" s="961"/>
      <c r="G173" s="961"/>
      <c r="H173" s="961"/>
      <c r="I173" s="961"/>
      <c r="J173" s="961"/>
      <c r="K173" s="962"/>
      <c r="L173" s="61"/>
      <c r="M173" s="62"/>
      <c r="N173" s="62"/>
      <c r="O173" s="62"/>
      <c r="P173" s="62"/>
      <c r="Q173" s="62"/>
      <c r="R173" s="62"/>
      <c r="S173" s="76"/>
      <c r="T173" s="76">
        <f t="shared" ref="T173:AI173" si="12">T166+T168+T170</f>
        <v>5</v>
      </c>
      <c r="U173" s="76">
        <f t="shared" si="12"/>
        <v>5</v>
      </c>
      <c r="V173" s="76">
        <f t="shared" si="12"/>
        <v>5</v>
      </c>
      <c r="W173" s="76">
        <f t="shared" si="12"/>
        <v>5</v>
      </c>
      <c r="X173" s="76">
        <f t="shared" si="12"/>
        <v>5</v>
      </c>
      <c r="Y173" s="76">
        <f t="shared" si="12"/>
        <v>5</v>
      </c>
      <c r="Z173" s="76">
        <f t="shared" si="12"/>
        <v>5</v>
      </c>
      <c r="AA173" s="76">
        <f t="shared" si="12"/>
        <v>5</v>
      </c>
      <c r="AB173" s="76">
        <f t="shared" si="12"/>
        <v>5</v>
      </c>
      <c r="AC173" s="76">
        <f t="shared" si="12"/>
        <v>5</v>
      </c>
      <c r="AD173" s="76">
        <f t="shared" si="12"/>
        <v>5</v>
      </c>
      <c r="AE173" s="76">
        <f t="shared" si="12"/>
        <v>5</v>
      </c>
      <c r="AF173" s="76">
        <f t="shared" si="12"/>
        <v>5</v>
      </c>
      <c r="AG173" s="76">
        <f t="shared" si="12"/>
        <v>0</v>
      </c>
      <c r="AH173" s="76">
        <f t="shared" si="12"/>
        <v>5</v>
      </c>
      <c r="AI173" s="76">
        <f t="shared" si="12"/>
        <v>5</v>
      </c>
      <c r="AJ173" s="62"/>
      <c r="AK173" s="62"/>
      <c r="AL173" s="62"/>
      <c r="AM173" s="62"/>
      <c r="AN173" s="62"/>
      <c r="AO173" s="62"/>
      <c r="AP173" s="62"/>
      <c r="AQ173" s="62"/>
      <c r="AR173" s="62"/>
      <c r="AS173" s="62"/>
      <c r="AT173" s="62"/>
      <c r="AU173" s="62"/>
      <c r="AV173" s="62"/>
      <c r="AW173" s="62"/>
      <c r="AX173" s="62"/>
      <c r="AY173" s="62"/>
      <c r="AZ173" s="62"/>
      <c r="BA173" s="62"/>
      <c r="BB173" s="62"/>
      <c r="BC173" s="62"/>
      <c r="BD173" s="62"/>
      <c r="BE173" s="62"/>
      <c r="BF173" s="62"/>
      <c r="BG173" s="62"/>
      <c r="BH173" s="62"/>
      <c r="BI173" s="62"/>
      <c r="BJ173" s="62"/>
      <c r="BK173" s="62"/>
      <c r="BL173" s="62"/>
      <c r="BM173" s="96"/>
      <c r="BN173" s="62"/>
      <c r="BO173" s="62"/>
    </row>
    <row r="174" spans="1:90" s="3" customFormat="1" hidden="1">
      <c r="A174" s="30"/>
      <c r="B174" s="984"/>
      <c r="C174" s="972"/>
      <c r="D174" s="31" t="s">
        <v>284</v>
      </c>
      <c r="E174" s="32"/>
      <c r="F174" s="32"/>
      <c r="G174" s="32"/>
      <c r="H174" s="32"/>
      <c r="I174" s="32"/>
      <c r="J174" s="32"/>
      <c r="K174" s="60"/>
      <c r="L174" s="61"/>
      <c r="M174" s="62"/>
      <c r="N174" s="62"/>
      <c r="O174" s="62"/>
      <c r="P174" s="62"/>
      <c r="Q174" s="62"/>
      <c r="R174" s="62"/>
      <c r="S174" s="76"/>
      <c r="T174" s="76">
        <f t="shared" ref="T174:AI174" si="13">S174+T173</f>
        <v>5</v>
      </c>
      <c r="U174" s="76">
        <f t="shared" si="13"/>
        <v>10</v>
      </c>
      <c r="V174" s="76">
        <f t="shared" si="13"/>
        <v>15</v>
      </c>
      <c r="W174" s="76">
        <f t="shared" si="13"/>
        <v>20</v>
      </c>
      <c r="X174" s="76">
        <f t="shared" si="13"/>
        <v>25</v>
      </c>
      <c r="Y174" s="76">
        <f t="shared" si="13"/>
        <v>30</v>
      </c>
      <c r="Z174" s="76">
        <f t="shared" si="13"/>
        <v>35</v>
      </c>
      <c r="AA174" s="76">
        <f t="shared" si="13"/>
        <v>40</v>
      </c>
      <c r="AB174" s="76">
        <f t="shared" si="13"/>
        <v>45</v>
      </c>
      <c r="AC174" s="76">
        <f t="shared" si="13"/>
        <v>50</v>
      </c>
      <c r="AD174" s="76">
        <f t="shared" si="13"/>
        <v>55</v>
      </c>
      <c r="AE174" s="76">
        <f t="shared" si="13"/>
        <v>60</v>
      </c>
      <c r="AF174" s="76">
        <f t="shared" si="13"/>
        <v>65</v>
      </c>
      <c r="AG174" s="76">
        <f t="shared" si="13"/>
        <v>65</v>
      </c>
      <c r="AH174" s="76">
        <f t="shared" si="13"/>
        <v>70</v>
      </c>
      <c r="AI174" s="76">
        <f t="shared" si="13"/>
        <v>75</v>
      </c>
      <c r="AJ174" s="62"/>
      <c r="AK174" s="62"/>
      <c r="AL174" s="62"/>
      <c r="AM174" s="62"/>
      <c r="AN174" s="62"/>
      <c r="AO174" s="62"/>
      <c r="AP174" s="62"/>
      <c r="AQ174" s="62"/>
      <c r="AR174" s="62"/>
      <c r="AS174" s="62"/>
      <c r="AT174" s="62"/>
      <c r="AU174" s="62"/>
      <c r="AV174" s="62"/>
      <c r="AW174" s="62"/>
      <c r="AX174" s="62"/>
      <c r="AY174" s="62"/>
      <c r="AZ174" s="62"/>
      <c r="BA174" s="62"/>
      <c r="BB174" s="62"/>
      <c r="BC174" s="62"/>
      <c r="BD174" s="62"/>
      <c r="BE174" s="62"/>
      <c r="BF174" s="62"/>
      <c r="BG174" s="62"/>
      <c r="BH174" s="62"/>
      <c r="BI174" s="62"/>
      <c r="BJ174" s="62"/>
      <c r="BK174" s="62"/>
      <c r="BL174" s="62"/>
      <c r="BM174" s="96"/>
      <c r="BN174" s="62"/>
      <c r="BO174" s="62"/>
    </row>
    <row r="175" spans="1:90" s="3" customFormat="1" ht="15.2" hidden="1">
      <c r="A175" s="30"/>
      <c r="B175" s="985"/>
      <c r="C175" s="973"/>
      <c r="D175" s="963" t="s">
        <v>285</v>
      </c>
      <c r="E175" s="964"/>
      <c r="F175" s="964"/>
      <c r="G175" s="964"/>
      <c r="H175" s="964"/>
      <c r="I175" s="964"/>
      <c r="J175" s="964"/>
      <c r="K175" s="965"/>
      <c r="L175" s="63"/>
      <c r="M175" s="64"/>
      <c r="N175" s="64"/>
      <c r="O175" s="64"/>
      <c r="P175" s="64"/>
      <c r="Q175" s="64"/>
      <c r="R175" s="64"/>
      <c r="S175" s="77"/>
      <c r="T175" s="78">
        <f t="shared" ref="T175:AI175" si="14">T174-T172</f>
        <v>0</v>
      </c>
      <c r="U175" s="78">
        <f t="shared" si="14"/>
        <v>0</v>
      </c>
      <c r="V175" s="78">
        <f t="shared" si="14"/>
        <v>0</v>
      </c>
      <c r="W175" s="78">
        <f t="shared" si="14"/>
        <v>0</v>
      </c>
      <c r="X175" s="78">
        <f t="shared" si="14"/>
        <v>0</v>
      </c>
      <c r="Y175" s="78">
        <f t="shared" si="14"/>
        <v>0</v>
      </c>
      <c r="Z175" s="78">
        <f t="shared" si="14"/>
        <v>0</v>
      </c>
      <c r="AA175" s="78">
        <f t="shared" si="14"/>
        <v>0</v>
      </c>
      <c r="AB175" s="78">
        <f t="shared" si="14"/>
        <v>0</v>
      </c>
      <c r="AC175" s="78">
        <f t="shared" si="14"/>
        <v>0</v>
      </c>
      <c r="AD175" s="78">
        <f t="shared" si="14"/>
        <v>0</v>
      </c>
      <c r="AE175" s="78">
        <f t="shared" si="14"/>
        <v>0</v>
      </c>
      <c r="AF175" s="78">
        <f t="shared" si="14"/>
        <v>0</v>
      </c>
      <c r="AG175" s="78">
        <f t="shared" si="14"/>
        <v>-10</v>
      </c>
      <c r="AH175" s="78">
        <f t="shared" si="14"/>
        <v>-15</v>
      </c>
      <c r="AI175" s="78">
        <f t="shared" si="14"/>
        <v>-25</v>
      </c>
      <c r="AJ175" s="64"/>
      <c r="AK175" s="64"/>
      <c r="AL175" s="64"/>
      <c r="AM175" s="64"/>
      <c r="AN175" s="64"/>
      <c r="AO175" s="64"/>
      <c r="AP175" s="64"/>
      <c r="AQ175" s="64"/>
      <c r="AR175" s="64"/>
      <c r="AS175" s="64"/>
      <c r="AT175" s="64"/>
      <c r="AU175" s="64"/>
      <c r="AV175" s="64"/>
      <c r="AW175" s="64"/>
      <c r="AX175" s="64"/>
      <c r="AY175" s="64"/>
      <c r="AZ175" s="64"/>
      <c r="BA175" s="64"/>
      <c r="BB175" s="64"/>
      <c r="BC175" s="64"/>
      <c r="BD175" s="64"/>
      <c r="BE175" s="64"/>
      <c r="BF175" s="64"/>
      <c r="BG175" s="64"/>
      <c r="BH175" s="64"/>
      <c r="BI175" s="64"/>
      <c r="BJ175" s="64"/>
      <c r="BK175" s="64"/>
      <c r="BL175" s="64"/>
      <c r="BM175" s="133"/>
      <c r="BN175" s="127"/>
      <c r="BO175" s="64"/>
    </row>
    <row r="176" spans="1:90">
      <c r="B176" s="983">
        <v>15</v>
      </c>
      <c r="C176" s="971" t="s">
        <v>405</v>
      </c>
      <c r="D176" s="112" t="s">
        <v>406</v>
      </c>
      <c r="E176" s="22">
        <v>43508</v>
      </c>
      <c r="F176" s="108"/>
      <c r="G176" s="108" t="s">
        <v>407</v>
      </c>
      <c r="H176" s="108" t="s">
        <v>274</v>
      </c>
      <c r="I176" s="108" t="s">
        <v>408</v>
      </c>
      <c r="J176" s="65">
        <v>43677</v>
      </c>
      <c r="K176" s="143">
        <v>1</v>
      </c>
      <c r="L176" s="47"/>
      <c r="M176" s="48"/>
      <c r="N176" s="48"/>
      <c r="O176" s="48"/>
      <c r="P176" s="48"/>
      <c r="Q176" s="48"/>
      <c r="R176" s="48"/>
      <c r="S176" s="48"/>
      <c r="T176" s="48"/>
      <c r="U176" s="48"/>
      <c r="V176" s="48"/>
      <c r="W176" s="48"/>
      <c r="X176" s="48"/>
      <c r="Y176" s="48"/>
      <c r="Z176" s="48"/>
      <c r="AA176" s="48"/>
      <c r="AB176" s="48"/>
      <c r="AC176" s="48"/>
      <c r="AD176" s="48"/>
      <c r="AE176" s="48"/>
      <c r="AF176" s="48"/>
      <c r="AG176" s="48"/>
      <c r="AH176" s="48"/>
      <c r="AI176" s="48"/>
      <c r="AJ176" s="48"/>
      <c r="AK176" s="48"/>
      <c r="AL176" s="48"/>
      <c r="AM176" s="48"/>
      <c r="AN176" s="48"/>
      <c r="AO176" s="48"/>
      <c r="AP176" s="48"/>
      <c r="AQ176" s="48"/>
      <c r="AR176" s="48"/>
      <c r="AS176" s="48"/>
      <c r="AT176" s="48"/>
      <c r="AU176" s="48"/>
      <c r="AV176" s="48"/>
      <c r="AW176" s="48"/>
      <c r="AX176" s="48"/>
      <c r="AY176" s="48"/>
      <c r="AZ176" s="48"/>
      <c r="BA176" s="48"/>
      <c r="BB176" s="48"/>
      <c r="BC176" s="48"/>
      <c r="BD176" s="48"/>
      <c r="BE176" s="48"/>
      <c r="BF176" s="48"/>
      <c r="BG176" s="48"/>
      <c r="BH176" s="48"/>
      <c r="BI176" s="167">
        <v>300000550372</v>
      </c>
      <c r="BJ176" s="48"/>
      <c r="BK176" s="48"/>
      <c r="BL176" s="81"/>
      <c r="BM176" s="179">
        <v>2</v>
      </c>
      <c r="BN176" s="19" t="s">
        <v>334</v>
      </c>
      <c r="BO176" s="48"/>
      <c r="BP176" s="180"/>
      <c r="BQ176" s="181"/>
      <c r="BR176" s="181"/>
      <c r="BS176" s="181"/>
      <c r="BT176" s="181"/>
      <c r="BU176" s="181"/>
      <c r="BV176" s="181"/>
      <c r="BW176" s="181"/>
      <c r="BX176" s="181"/>
      <c r="BY176" s="181"/>
      <c r="BZ176" s="181"/>
      <c r="CA176" s="181"/>
      <c r="CB176" s="181"/>
      <c r="CC176" s="181"/>
      <c r="CD176" s="181"/>
      <c r="CE176" s="181"/>
      <c r="CF176" s="181"/>
      <c r="CG176" s="181"/>
      <c r="CH176" s="181"/>
      <c r="CI176" s="181"/>
      <c r="CJ176" s="181"/>
      <c r="CK176" s="181"/>
      <c r="CL176" s="181"/>
    </row>
    <row r="177" spans="1:90">
      <c r="B177" s="984"/>
      <c r="C177" s="972"/>
      <c r="D177" s="25" t="s">
        <v>398</v>
      </c>
      <c r="E177" s="27"/>
      <c r="F177" s="27"/>
      <c r="G177" s="27"/>
      <c r="H177" s="27"/>
      <c r="I177" s="27"/>
      <c r="J177" s="27"/>
      <c r="K177" s="968">
        <v>0.2</v>
      </c>
      <c r="L177" s="54" t="s">
        <v>262</v>
      </c>
      <c r="M177" s="48"/>
      <c r="N177" s="48"/>
      <c r="O177" s="48"/>
      <c r="P177" s="48"/>
      <c r="Q177" s="48"/>
      <c r="R177" s="48"/>
      <c r="S177" s="48"/>
      <c r="T177" s="156"/>
      <c r="U177" s="156"/>
      <c r="V177" s="156"/>
      <c r="W177" s="156"/>
      <c r="X177" s="156"/>
      <c r="Y177" s="71">
        <v>5</v>
      </c>
      <c r="Z177" s="71">
        <v>5</v>
      </c>
      <c r="AA177" s="71">
        <v>5</v>
      </c>
      <c r="AB177" s="71">
        <v>5</v>
      </c>
      <c r="AC177" s="48"/>
      <c r="AD177" s="48"/>
      <c r="AE177" s="48"/>
      <c r="AF177" s="48"/>
      <c r="AG177" s="48"/>
      <c r="AH177" s="48"/>
      <c r="AI177" s="48"/>
      <c r="AJ177" s="48"/>
      <c r="AK177" s="48"/>
      <c r="AL177" s="48"/>
      <c r="AM177" s="48"/>
      <c r="AN177" s="48"/>
      <c r="AO177" s="48"/>
      <c r="AP177" s="48"/>
      <c r="AQ177" s="48"/>
      <c r="AR177" s="48"/>
      <c r="AS177" s="48"/>
      <c r="AT177" s="48"/>
      <c r="AU177" s="48"/>
      <c r="AV177" s="48"/>
      <c r="AW177" s="48"/>
      <c r="AX177" s="48"/>
      <c r="AY177" s="48"/>
      <c r="AZ177" s="48"/>
      <c r="BA177" s="48"/>
      <c r="BB177" s="48"/>
      <c r="BC177" s="48"/>
      <c r="BD177" s="48"/>
      <c r="BE177" s="48"/>
      <c r="BF177" s="48"/>
      <c r="BG177" s="48"/>
      <c r="BH177" s="48"/>
      <c r="BI177" s="48"/>
      <c r="BJ177" s="48"/>
      <c r="BK177" s="48"/>
      <c r="BL177" s="81"/>
      <c r="BM177" s="170"/>
      <c r="BN177" s="48"/>
      <c r="BO177" s="23" t="s">
        <v>399</v>
      </c>
      <c r="BP177" s="180"/>
      <c r="BQ177" s="181"/>
      <c r="BR177" s="181"/>
      <c r="BS177" s="181"/>
      <c r="BT177" s="181"/>
      <c r="BU177" s="181"/>
      <c r="BV177" s="181"/>
      <c r="BW177" s="181"/>
      <c r="BX177" s="181"/>
      <c r="BY177" s="181"/>
      <c r="BZ177" s="181"/>
      <c r="CA177" s="181"/>
      <c r="CB177" s="181"/>
      <c r="CC177" s="181"/>
      <c r="CD177" s="181"/>
      <c r="CE177" s="181"/>
      <c r="CF177" s="181"/>
      <c r="CG177" s="181"/>
      <c r="CH177" s="181"/>
      <c r="CI177" s="181"/>
      <c r="CJ177" s="181"/>
      <c r="CK177" s="181"/>
      <c r="CL177" s="181"/>
    </row>
    <row r="178" spans="1:90">
      <c r="B178" s="984"/>
      <c r="C178" s="972"/>
      <c r="D178" s="29"/>
      <c r="E178" s="19"/>
      <c r="F178" s="19"/>
      <c r="G178" s="19"/>
      <c r="H178" s="19"/>
      <c r="I178" s="19"/>
      <c r="J178" s="19"/>
      <c r="K178" s="969"/>
      <c r="L178" s="54" t="s">
        <v>264</v>
      </c>
      <c r="M178" s="48"/>
      <c r="N178" s="48"/>
      <c r="O178" s="48"/>
      <c r="P178" s="48"/>
      <c r="Q178" s="48"/>
      <c r="R178" s="48"/>
      <c r="S178" s="48"/>
      <c r="T178" s="156"/>
      <c r="U178" s="156"/>
      <c r="V178" s="157">
        <v>5</v>
      </c>
      <c r="W178" s="157">
        <v>5</v>
      </c>
      <c r="X178" s="157">
        <v>5</v>
      </c>
      <c r="Y178" s="122">
        <v>5</v>
      </c>
      <c r="Z178" s="122">
        <v>5</v>
      </c>
      <c r="AA178" s="122">
        <v>5</v>
      </c>
      <c r="AB178" s="122">
        <v>5</v>
      </c>
      <c r="AC178" s="122">
        <v>5</v>
      </c>
      <c r="AD178" s="48"/>
      <c r="AE178" s="48"/>
      <c r="AF178" s="48"/>
      <c r="AG178" s="48"/>
      <c r="AH178" s="48"/>
      <c r="AI178" s="48"/>
      <c r="AJ178" s="48"/>
      <c r="AK178" s="48"/>
      <c r="AL178" s="48"/>
      <c r="AM178" s="48"/>
      <c r="AN178" s="48"/>
      <c r="AO178" s="48"/>
      <c r="AP178" s="48"/>
      <c r="AQ178" s="48"/>
      <c r="AR178" s="48"/>
      <c r="AS178" s="48"/>
      <c r="AT178" s="48"/>
      <c r="AU178" s="48"/>
      <c r="AV178" s="48"/>
      <c r="AW178" s="48"/>
      <c r="AX178" s="48"/>
      <c r="AY178" s="48"/>
      <c r="AZ178" s="48"/>
      <c r="BA178" s="48"/>
      <c r="BB178" s="48"/>
      <c r="BC178" s="48"/>
      <c r="BD178" s="48"/>
      <c r="BE178" s="48"/>
      <c r="BF178" s="48"/>
      <c r="BG178" s="48"/>
      <c r="BH178" s="48"/>
      <c r="BI178" s="48"/>
      <c r="BJ178" s="48"/>
      <c r="BK178" s="48"/>
      <c r="BL178" s="81"/>
      <c r="BM178" s="170"/>
      <c r="BN178" s="48"/>
      <c r="BO178" s="109" t="s">
        <v>400</v>
      </c>
      <c r="BP178" s="180"/>
      <c r="BQ178" s="181"/>
      <c r="BR178" s="181"/>
      <c r="BS178" s="181"/>
      <c r="BT178" s="181"/>
      <c r="BU178" s="181"/>
      <c r="BV178" s="181"/>
      <c r="BW178" s="181"/>
      <c r="BX178" s="181"/>
      <c r="BY178" s="181"/>
      <c r="BZ178" s="181"/>
      <c r="CA178" s="181"/>
      <c r="CB178" s="181"/>
      <c r="CC178" s="181"/>
      <c r="CD178" s="181"/>
      <c r="CE178" s="181"/>
      <c r="CF178" s="181"/>
      <c r="CG178" s="181"/>
      <c r="CH178" s="181"/>
      <c r="CI178" s="181"/>
      <c r="CJ178" s="181"/>
      <c r="CK178" s="181"/>
      <c r="CL178" s="181"/>
    </row>
    <row r="179" spans="1:90" ht="29.1">
      <c r="B179" s="984"/>
      <c r="C179" s="972"/>
      <c r="D179" s="25" t="s">
        <v>401</v>
      </c>
      <c r="E179" s="27"/>
      <c r="F179" s="27"/>
      <c r="G179" s="27"/>
      <c r="H179" s="27"/>
      <c r="I179" s="27"/>
      <c r="J179" s="27"/>
      <c r="K179" s="968">
        <v>0.3</v>
      </c>
      <c r="L179" s="54" t="s">
        <v>262</v>
      </c>
      <c r="M179" s="48"/>
      <c r="N179" s="48"/>
      <c r="O179" s="48"/>
      <c r="P179" s="48"/>
      <c r="Q179" s="48"/>
      <c r="R179" s="48"/>
      <c r="S179" s="48"/>
      <c r="T179" s="156"/>
      <c r="U179" s="156"/>
      <c r="V179" s="156"/>
      <c r="W179" s="156"/>
      <c r="X179" s="156"/>
      <c r="Y179" s="48"/>
      <c r="Z179" s="48"/>
      <c r="AA179" s="48"/>
      <c r="AB179" s="48"/>
      <c r="AC179" s="71">
        <v>5</v>
      </c>
      <c r="AD179" s="71">
        <v>5</v>
      </c>
      <c r="AE179" s="71">
        <v>5</v>
      </c>
      <c r="AF179" s="71">
        <v>5</v>
      </c>
      <c r="AG179" s="71">
        <v>5</v>
      </c>
      <c r="AH179" s="71">
        <v>5</v>
      </c>
      <c r="AI179" s="48"/>
      <c r="AJ179" s="48"/>
      <c r="AK179" s="48"/>
      <c r="AL179" s="48"/>
      <c r="AM179" s="48"/>
      <c r="AN179" s="48"/>
      <c r="AO179" s="48"/>
      <c r="AP179" s="48"/>
      <c r="AQ179" s="48"/>
      <c r="AR179" s="48"/>
      <c r="AS179" s="48"/>
      <c r="AT179" s="48"/>
      <c r="AU179" s="48"/>
      <c r="AV179" s="48"/>
      <c r="AW179" s="48"/>
      <c r="AX179" s="48"/>
      <c r="AY179" s="48"/>
      <c r="AZ179" s="48"/>
      <c r="BA179" s="48"/>
      <c r="BB179" s="48"/>
      <c r="BC179" s="48"/>
      <c r="BD179" s="48"/>
      <c r="BE179" s="48"/>
      <c r="BF179" s="48"/>
      <c r="BG179" s="48"/>
      <c r="BH179" s="48"/>
      <c r="BI179" s="48"/>
      <c r="BJ179" s="48"/>
      <c r="BK179" s="48"/>
      <c r="BL179" s="81"/>
      <c r="BM179" s="170"/>
      <c r="BN179" s="48"/>
      <c r="BO179" s="109" t="s">
        <v>402</v>
      </c>
      <c r="BP179" s="180"/>
      <c r="BQ179" s="181"/>
      <c r="BR179" s="181"/>
      <c r="BS179" s="181"/>
      <c r="BT179" s="181"/>
      <c r="BU179" s="181"/>
      <c r="BV179" s="181"/>
      <c r="BW179" s="181"/>
      <c r="BX179" s="181"/>
      <c r="BY179" s="181"/>
      <c r="BZ179" s="181"/>
      <c r="CA179" s="181"/>
      <c r="CB179" s="181"/>
      <c r="CC179" s="181"/>
      <c r="CD179" s="181"/>
      <c r="CE179" s="181"/>
      <c r="CF179" s="181"/>
      <c r="CG179" s="181"/>
      <c r="CH179" s="181"/>
      <c r="CI179" s="181"/>
      <c r="CJ179" s="181"/>
      <c r="CK179" s="181"/>
      <c r="CL179" s="181"/>
    </row>
    <row r="180" spans="1:90" ht="29.1">
      <c r="B180" s="984"/>
      <c r="C180" s="972"/>
      <c r="D180" s="29"/>
      <c r="E180" s="19"/>
      <c r="F180" s="19"/>
      <c r="G180" s="19"/>
      <c r="H180" s="19"/>
      <c r="I180" s="19"/>
      <c r="J180" s="19"/>
      <c r="K180" s="969"/>
      <c r="L180" s="54" t="s">
        <v>264</v>
      </c>
      <c r="M180" s="48"/>
      <c r="N180" s="48"/>
      <c r="O180" s="48"/>
      <c r="P180" s="48"/>
      <c r="Q180" s="48"/>
      <c r="R180" s="48"/>
      <c r="S180" s="48"/>
      <c r="T180" s="156"/>
      <c r="U180" s="156"/>
      <c r="V180" s="156"/>
      <c r="W180" s="156"/>
      <c r="X180" s="156"/>
      <c r="Y180" s="48"/>
      <c r="Z180" s="48"/>
      <c r="AA180" s="48"/>
      <c r="AB180" s="48"/>
      <c r="AC180" s="48"/>
      <c r="AD180" s="122">
        <v>5</v>
      </c>
      <c r="AE180" s="122">
        <v>5</v>
      </c>
      <c r="AF180" s="122">
        <v>5</v>
      </c>
      <c r="AG180" s="163"/>
      <c r="AH180" s="122">
        <v>5</v>
      </c>
      <c r="AI180" s="122">
        <v>5</v>
      </c>
      <c r="AJ180" s="122">
        <v>5</v>
      </c>
      <c r="AK180" s="122">
        <v>5</v>
      </c>
      <c r="AL180" s="122">
        <v>5</v>
      </c>
      <c r="AM180" s="122">
        <v>5</v>
      </c>
      <c r="AN180" s="48"/>
      <c r="AO180" s="48"/>
      <c r="AP180" s="48"/>
      <c r="AQ180" s="48"/>
      <c r="AR180" s="48"/>
      <c r="AS180" s="48"/>
      <c r="AT180" s="48"/>
      <c r="AU180" s="48"/>
      <c r="AV180" s="48"/>
      <c r="AW180" s="48"/>
      <c r="AX180" s="48"/>
      <c r="AY180" s="48"/>
      <c r="AZ180" s="48"/>
      <c r="BA180" s="48"/>
      <c r="BB180" s="48"/>
      <c r="BC180" s="48"/>
      <c r="BD180" s="48"/>
      <c r="BE180" s="48"/>
      <c r="BF180" s="48"/>
      <c r="BG180" s="48"/>
      <c r="BH180" s="48"/>
      <c r="BI180" s="48"/>
      <c r="BJ180" s="48"/>
      <c r="BK180" s="48"/>
      <c r="BL180" s="81"/>
      <c r="BM180" s="170"/>
      <c r="BN180" s="48"/>
      <c r="BO180" s="178" t="s">
        <v>403</v>
      </c>
      <c r="BP180" s="180"/>
      <c r="BQ180" s="181"/>
      <c r="BR180" s="181"/>
      <c r="BS180" s="181"/>
      <c r="BT180" s="181"/>
      <c r="BU180" s="181"/>
      <c r="BV180" s="181"/>
      <c r="BW180" s="181"/>
      <c r="BX180" s="181"/>
      <c r="BY180" s="181"/>
      <c r="BZ180" s="181"/>
      <c r="CA180" s="181"/>
      <c r="CB180" s="181"/>
      <c r="CC180" s="181"/>
      <c r="CD180" s="181"/>
      <c r="CE180" s="181"/>
      <c r="CF180" s="181"/>
      <c r="CG180" s="181"/>
      <c r="CH180" s="181"/>
      <c r="CI180" s="181"/>
      <c r="CJ180" s="181"/>
      <c r="CK180" s="181"/>
      <c r="CL180" s="181"/>
    </row>
    <row r="181" spans="1:90">
      <c r="B181" s="984"/>
      <c r="C181" s="972"/>
      <c r="D181" s="25" t="s">
        <v>404</v>
      </c>
      <c r="E181" s="27"/>
      <c r="F181" s="27"/>
      <c r="G181" s="27"/>
      <c r="H181" s="27"/>
      <c r="I181" s="27"/>
      <c r="J181" s="27"/>
      <c r="K181" s="968">
        <v>0.5</v>
      </c>
      <c r="L181" s="54" t="s">
        <v>262</v>
      </c>
      <c r="M181" s="48"/>
      <c r="N181" s="48"/>
      <c r="O181" s="48"/>
      <c r="P181" s="48"/>
      <c r="Q181" s="48"/>
      <c r="R181" s="48"/>
      <c r="S181" s="48"/>
      <c r="T181" s="156"/>
      <c r="U181" s="156"/>
      <c r="V181" s="156"/>
      <c r="W181" s="156"/>
      <c r="X181" s="156"/>
      <c r="Y181" s="48"/>
      <c r="Z181" s="48"/>
      <c r="AA181" s="48"/>
      <c r="AB181" s="48"/>
      <c r="AC181" s="48"/>
      <c r="AD181" s="48"/>
      <c r="AE181" s="48"/>
      <c r="AF181" s="48"/>
      <c r="AG181" s="48"/>
      <c r="AH181" s="48"/>
      <c r="AI181" s="154">
        <v>5</v>
      </c>
      <c r="AJ181" s="154">
        <v>5</v>
      </c>
      <c r="AK181" s="154">
        <v>5</v>
      </c>
      <c r="AL181" s="154">
        <v>10</v>
      </c>
      <c r="AM181" s="154">
        <v>10</v>
      </c>
      <c r="AN181" s="154">
        <v>15</v>
      </c>
      <c r="AO181" s="48"/>
      <c r="AP181" s="48"/>
      <c r="AQ181" s="48"/>
      <c r="AR181" s="48"/>
      <c r="AS181" s="48"/>
      <c r="AT181" s="48"/>
      <c r="AU181" s="48"/>
      <c r="AV181" s="48"/>
      <c r="AW181" s="48"/>
      <c r="AX181" s="48"/>
      <c r="AY181" s="48"/>
      <c r="AZ181" s="48"/>
      <c r="BA181" s="48"/>
      <c r="BB181" s="48"/>
      <c r="BC181" s="48"/>
      <c r="BD181" s="48"/>
      <c r="BE181" s="48"/>
      <c r="BF181" s="48"/>
      <c r="BG181" s="48"/>
      <c r="BH181" s="48"/>
      <c r="BI181" s="48"/>
      <c r="BJ181" s="48"/>
      <c r="BK181" s="48"/>
      <c r="BL181" s="81"/>
      <c r="BM181" s="170"/>
      <c r="BN181" s="48"/>
      <c r="BO181" s="171"/>
      <c r="BP181" s="180"/>
      <c r="BQ181" s="181"/>
      <c r="BR181" s="181"/>
      <c r="BS181" s="181"/>
      <c r="BT181" s="181"/>
      <c r="BU181" s="181"/>
      <c r="BV181" s="181"/>
      <c r="BW181" s="181"/>
      <c r="BX181" s="181"/>
      <c r="BY181" s="181"/>
      <c r="BZ181" s="181"/>
      <c r="CA181" s="181"/>
      <c r="CB181" s="181"/>
      <c r="CC181" s="181"/>
      <c r="CD181" s="181"/>
      <c r="CE181" s="181"/>
      <c r="CF181" s="181"/>
      <c r="CG181" s="181"/>
      <c r="CH181" s="181"/>
      <c r="CI181" s="181"/>
      <c r="CJ181" s="181"/>
      <c r="CK181" s="181"/>
      <c r="CL181" s="181"/>
    </row>
    <row r="182" spans="1:90" ht="15.2">
      <c r="B182" s="984"/>
      <c r="C182" s="972"/>
      <c r="D182" s="29"/>
      <c r="E182" s="19"/>
      <c r="F182" s="19"/>
      <c r="G182" s="19"/>
      <c r="H182" s="19"/>
      <c r="I182" s="19"/>
      <c r="J182" s="19"/>
      <c r="K182" s="969"/>
      <c r="L182" s="54" t="s">
        <v>264</v>
      </c>
      <c r="M182" s="27"/>
      <c r="N182" s="27"/>
      <c r="O182" s="27"/>
      <c r="P182" s="27"/>
      <c r="Q182" s="27"/>
      <c r="R182" s="27"/>
      <c r="S182" s="27"/>
      <c r="T182" s="158"/>
      <c r="U182" s="158"/>
      <c r="V182" s="158"/>
      <c r="W182" s="158"/>
      <c r="X182" s="158"/>
      <c r="Y182" s="27"/>
      <c r="Z182" s="27"/>
      <c r="AA182" s="27"/>
      <c r="AB182" s="27"/>
      <c r="AC182" s="27"/>
      <c r="AD182" s="27"/>
      <c r="AE182" s="27"/>
      <c r="AF182" s="27"/>
      <c r="AG182" s="27"/>
      <c r="AH182" s="27"/>
      <c r="AI182" s="27"/>
      <c r="AJ182" s="27"/>
      <c r="AK182" s="27"/>
      <c r="AL182" s="27"/>
      <c r="AM182" s="27"/>
      <c r="AN182" s="27"/>
      <c r="AO182" s="27"/>
      <c r="AP182" s="27"/>
      <c r="AQ182" s="27"/>
      <c r="AR182" s="27"/>
      <c r="AS182" s="27"/>
      <c r="AT182" s="27"/>
      <c r="AU182" s="27"/>
      <c r="AV182" s="27"/>
      <c r="AW182" s="27"/>
      <c r="AX182" s="27"/>
      <c r="AY182" s="27"/>
      <c r="AZ182" s="27"/>
      <c r="BA182" s="27"/>
      <c r="BB182" s="27"/>
      <c r="BC182" s="27"/>
      <c r="BD182" s="27"/>
      <c r="BE182" s="27"/>
      <c r="BF182" s="27"/>
      <c r="BG182" s="27"/>
      <c r="BH182" s="27"/>
      <c r="BI182" s="27"/>
      <c r="BJ182" s="27"/>
      <c r="BK182" s="27"/>
      <c r="BL182" s="168"/>
      <c r="BM182" s="175"/>
      <c r="BN182" s="27"/>
      <c r="BO182" s="27"/>
      <c r="BP182" s="180"/>
      <c r="BQ182" s="181"/>
      <c r="BR182" s="181"/>
      <c r="BS182" s="181"/>
      <c r="BT182" s="181"/>
      <c r="BU182" s="181"/>
      <c r="BV182" s="181"/>
      <c r="BW182" s="181"/>
      <c r="BX182" s="181"/>
      <c r="BY182" s="181"/>
      <c r="BZ182" s="181"/>
      <c r="CA182" s="181"/>
      <c r="CB182" s="181"/>
      <c r="CC182" s="181"/>
      <c r="CD182" s="181"/>
      <c r="CE182" s="181"/>
      <c r="CF182" s="181"/>
      <c r="CG182" s="181"/>
      <c r="CH182" s="181"/>
      <c r="CI182" s="181"/>
      <c r="CJ182" s="181"/>
      <c r="CK182" s="181"/>
      <c r="CL182" s="181"/>
    </row>
    <row r="183" spans="1:90" s="3" customFormat="1" hidden="1">
      <c r="A183" s="30"/>
      <c r="B183" s="984"/>
      <c r="C183" s="972"/>
      <c r="D183" s="957" t="s">
        <v>281</v>
      </c>
      <c r="E183" s="958"/>
      <c r="F183" s="958"/>
      <c r="G183" s="958"/>
      <c r="H183" s="958"/>
      <c r="I183" s="958"/>
      <c r="J183" s="958"/>
      <c r="K183" s="959"/>
      <c r="L183" s="58"/>
      <c r="M183" s="59"/>
      <c r="N183" s="59"/>
      <c r="O183" s="59"/>
      <c r="P183" s="59"/>
      <c r="Q183" s="59"/>
      <c r="R183" s="59"/>
      <c r="S183" s="75"/>
      <c r="T183" s="59"/>
      <c r="U183" s="59"/>
      <c r="V183" s="59"/>
      <c r="W183" s="59"/>
      <c r="X183" s="59"/>
      <c r="Y183" s="75">
        <f t="shared" ref="Y183:AN183" si="15">Y177+Y179+Y181</f>
        <v>5</v>
      </c>
      <c r="Z183" s="75">
        <f t="shared" si="15"/>
        <v>5</v>
      </c>
      <c r="AA183" s="75">
        <f t="shared" si="15"/>
        <v>5</v>
      </c>
      <c r="AB183" s="75">
        <f t="shared" si="15"/>
        <v>5</v>
      </c>
      <c r="AC183" s="75">
        <f t="shared" si="15"/>
        <v>5</v>
      </c>
      <c r="AD183" s="75">
        <f t="shared" si="15"/>
        <v>5</v>
      </c>
      <c r="AE183" s="75">
        <f t="shared" si="15"/>
        <v>5</v>
      </c>
      <c r="AF183" s="75">
        <f t="shared" si="15"/>
        <v>5</v>
      </c>
      <c r="AG183" s="75">
        <f t="shared" si="15"/>
        <v>5</v>
      </c>
      <c r="AH183" s="75">
        <f t="shared" si="15"/>
        <v>5</v>
      </c>
      <c r="AI183" s="75">
        <f t="shared" si="15"/>
        <v>5</v>
      </c>
      <c r="AJ183" s="75">
        <f t="shared" si="15"/>
        <v>5</v>
      </c>
      <c r="AK183" s="75">
        <f t="shared" si="15"/>
        <v>5</v>
      </c>
      <c r="AL183" s="75">
        <f t="shared" si="15"/>
        <v>10</v>
      </c>
      <c r="AM183" s="75">
        <f t="shared" si="15"/>
        <v>10</v>
      </c>
      <c r="AN183" s="75">
        <f t="shared" si="15"/>
        <v>15</v>
      </c>
      <c r="AO183" s="59"/>
      <c r="AP183" s="59"/>
      <c r="AQ183" s="59"/>
      <c r="AR183" s="59"/>
      <c r="AS183" s="59"/>
      <c r="AT183" s="59"/>
      <c r="AU183" s="59"/>
      <c r="AV183" s="59"/>
      <c r="AW183" s="59"/>
      <c r="AX183" s="59"/>
      <c r="AY183" s="59"/>
      <c r="AZ183" s="59"/>
      <c r="BA183" s="59"/>
      <c r="BB183" s="59"/>
      <c r="BC183" s="59"/>
      <c r="BD183" s="59"/>
      <c r="BE183" s="59"/>
      <c r="BF183" s="59"/>
      <c r="BG183" s="59"/>
      <c r="BH183" s="59"/>
      <c r="BI183" s="59"/>
      <c r="BJ183" s="59"/>
      <c r="BK183" s="59"/>
      <c r="BL183" s="59"/>
      <c r="BM183" s="58"/>
      <c r="BN183" s="59"/>
      <c r="BO183" s="59"/>
      <c r="BP183" s="98"/>
    </row>
    <row r="184" spans="1:90" s="3" customFormat="1" hidden="1">
      <c r="A184" s="30"/>
      <c r="B184" s="984"/>
      <c r="C184" s="972"/>
      <c r="D184" s="31" t="s">
        <v>282</v>
      </c>
      <c r="E184" s="32"/>
      <c r="F184" s="32"/>
      <c r="G184" s="32"/>
      <c r="H184" s="32"/>
      <c r="I184" s="32"/>
      <c r="J184" s="32"/>
      <c r="K184" s="60"/>
      <c r="L184" s="61"/>
      <c r="M184" s="62"/>
      <c r="N184" s="62"/>
      <c r="O184" s="62"/>
      <c r="P184" s="62"/>
      <c r="Q184" s="62"/>
      <c r="R184" s="62"/>
      <c r="S184" s="76"/>
      <c r="T184" s="62"/>
      <c r="U184" s="62"/>
      <c r="V184" s="62"/>
      <c r="W184" s="62"/>
      <c r="X184" s="62"/>
      <c r="Y184" s="76">
        <f>S184+Y183</f>
        <v>5</v>
      </c>
      <c r="Z184" s="76">
        <f t="shared" ref="Z184:AN184" si="16">Y184+Z183</f>
        <v>10</v>
      </c>
      <c r="AA184" s="76">
        <f t="shared" si="16"/>
        <v>15</v>
      </c>
      <c r="AB184" s="76">
        <f t="shared" si="16"/>
        <v>20</v>
      </c>
      <c r="AC184" s="76">
        <f t="shared" si="16"/>
        <v>25</v>
      </c>
      <c r="AD184" s="76">
        <f t="shared" si="16"/>
        <v>30</v>
      </c>
      <c r="AE184" s="76">
        <f t="shared" si="16"/>
        <v>35</v>
      </c>
      <c r="AF184" s="76">
        <f t="shared" si="16"/>
        <v>40</v>
      </c>
      <c r="AG184" s="76">
        <f t="shared" si="16"/>
        <v>45</v>
      </c>
      <c r="AH184" s="76">
        <f t="shared" si="16"/>
        <v>50</v>
      </c>
      <c r="AI184" s="76">
        <f t="shared" si="16"/>
        <v>55</v>
      </c>
      <c r="AJ184" s="76">
        <f t="shared" si="16"/>
        <v>60</v>
      </c>
      <c r="AK184" s="76">
        <f t="shared" si="16"/>
        <v>65</v>
      </c>
      <c r="AL184" s="76">
        <f t="shared" si="16"/>
        <v>75</v>
      </c>
      <c r="AM184" s="76">
        <f t="shared" si="16"/>
        <v>85</v>
      </c>
      <c r="AN184" s="76">
        <f t="shared" si="16"/>
        <v>100</v>
      </c>
      <c r="AO184" s="62"/>
      <c r="AP184" s="62"/>
      <c r="AQ184" s="62"/>
      <c r="AR184" s="62"/>
      <c r="AS184" s="62"/>
      <c r="AT184" s="62"/>
      <c r="AU184" s="62"/>
      <c r="AV184" s="62"/>
      <c r="AW184" s="62"/>
      <c r="AX184" s="62"/>
      <c r="AY184" s="62"/>
      <c r="AZ184" s="62"/>
      <c r="BA184" s="62"/>
      <c r="BB184" s="62"/>
      <c r="BC184" s="62"/>
      <c r="BD184" s="62"/>
      <c r="BE184" s="62"/>
      <c r="BF184" s="62"/>
      <c r="BG184" s="62"/>
      <c r="BH184" s="62"/>
      <c r="BI184" s="62"/>
      <c r="BJ184" s="62"/>
      <c r="BK184" s="62"/>
      <c r="BL184" s="62"/>
      <c r="BM184" s="96"/>
      <c r="BN184" s="62"/>
      <c r="BO184" s="62"/>
      <c r="BP184" s="98"/>
    </row>
    <row r="185" spans="1:90" s="3" customFormat="1" hidden="1">
      <c r="A185" s="30"/>
      <c r="B185" s="984"/>
      <c r="C185" s="972"/>
      <c r="D185" s="960" t="s">
        <v>283</v>
      </c>
      <c r="E185" s="961"/>
      <c r="F185" s="961"/>
      <c r="G185" s="961"/>
      <c r="H185" s="961"/>
      <c r="I185" s="961"/>
      <c r="J185" s="961"/>
      <c r="K185" s="962"/>
      <c r="L185" s="61"/>
      <c r="M185" s="62"/>
      <c r="N185" s="62"/>
      <c r="O185" s="62"/>
      <c r="P185" s="62"/>
      <c r="Q185" s="62"/>
      <c r="R185" s="62"/>
      <c r="S185" s="76"/>
      <c r="T185" s="62"/>
      <c r="U185" s="62"/>
      <c r="V185" s="62"/>
      <c r="W185" s="62"/>
      <c r="X185" s="62"/>
      <c r="Y185" s="76">
        <f t="shared" ref="Y185:AN185" si="17">Y178+Y180+Y182</f>
        <v>5</v>
      </c>
      <c r="Z185" s="76">
        <f t="shared" si="17"/>
        <v>5</v>
      </c>
      <c r="AA185" s="76">
        <f t="shared" si="17"/>
        <v>5</v>
      </c>
      <c r="AB185" s="76">
        <f t="shared" si="17"/>
        <v>5</v>
      </c>
      <c r="AC185" s="76">
        <f t="shared" si="17"/>
        <v>5</v>
      </c>
      <c r="AD185" s="76">
        <f t="shared" si="17"/>
        <v>5</v>
      </c>
      <c r="AE185" s="76">
        <f t="shared" si="17"/>
        <v>5</v>
      </c>
      <c r="AF185" s="76">
        <f t="shared" si="17"/>
        <v>5</v>
      </c>
      <c r="AG185" s="76">
        <f t="shared" si="17"/>
        <v>0</v>
      </c>
      <c r="AH185" s="76">
        <f t="shared" si="17"/>
        <v>5</v>
      </c>
      <c r="AI185" s="76">
        <f t="shared" si="17"/>
        <v>5</v>
      </c>
      <c r="AJ185" s="76">
        <f t="shared" si="17"/>
        <v>5</v>
      </c>
      <c r="AK185" s="76">
        <f t="shared" si="17"/>
        <v>5</v>
      </c>
      <c r="AL185" s="76">
        <f t="shared" si="17"/>
        <v>5</v>
      </c>
      <c r="AM185" s="76">
        <f t="shared" si="17"/>
        <v>5</v>
      </c>
      <c r="AN185" s="76">
        <f t="shared" si="17"/>
        <v>0</v>
      </c>
      <c r="AO185" s="62"/>
      <c r="AP185" s="62"/>
      <c r="AQ185" s="62"/>
      <c r="AR185" s="62"/>
      <c r="AS185" s="62"/>
      <c r="AT185" s="62"/>
      <c r="AU185" s="62"/>
      <c r="AV185" s="62"/>
      <c r="AW185" s="62"/>
      <c r="AX185" s="62"/>
      <c r="AY185" s="62"/>
      <c r="AZ185" s="62"/>
      <c r="BA185" s="62"/>
      <c r="BB185" s="62"/>
      <c r="BC185" s="62"/>
      <c r="BD185" s="62"/>
      <c r="BE185" s="62"/>
      <c r="BF185" s="62"/>
      <c r="BG185" s="62"/>
      <c r="BH185" s="62"/>
      <c r="BI185" s="62"/>
      <c r="BJ185" s="62"/>
      <c r="BK185" s="62"/>
      <c r="BL185" s="62"/>
      <c r="BM185" s="96"/>
      <c r="BN185" s="62"/>
      <c r="BO185" s="62"/>
    </row>
    <row r="186" spans="1:90" s="3" customFormat="1" hidden="1">
      <c r="A186" s="30"/>
      <c r="B186" s="984"/>
      <c r="C186" s="972"/>
      <c r="D186" s="31" t="s">
        <v>284</v>
      </c>
      <c r="E186" s="32"/>
      <c r="F186" s="32"/>
      <c r="G186" s="32"/>
      <c r="H186" s="32"/>
      <c r="I186" s="32"/>
      <c r="J186" s="32"/>
      <c r="K186" s="60"/>
      <c r="L186" s="61"/>
      <c r="M186" s="62"/>
      <c r="N186" s="62"/>
      <c r="O186" s="62"/>
      <c r="P186" s="62"/>
      <c r="Q186" s="62"/>
      <c r="R186" s="62"/>
      <c r="S186" s="76"/>
      <c r="T186" s="62"/>
      <c r="U186" s="62"/>
      <c r="V186" s="62"/>
      <c r="W186" s="62"/>
      <c r="X186" s="62"/>
      <c r="Y186" s="76">
        <f>S186+Y185</f>
        <v>5</v>
      </c>
      <c r="Z186" s="76">
        <f t="shared" ref="Z186:AN186" si="18">Y186+Z185</f>
        <v>10</v>
      </c>
      <c r="AA186" s="76">
        <f t="shared" si="18"/>
        <v>15</v>
      </c>
      <c r="AB186" s="76">
        <f t="shared" si="18"/>
        <v>20</v>
      </c>
      <c r="AC186" s="76">
        <f t="shared" si="18"/>
        <v>25</v>
      </c>
      <c r="AD186" s="76">
        <f t="shared" si="18"/>
        <v>30</v>
      </c>
      <c r="AE186" s="76">
        <f t="shared" si="18"/>
        <v>35</v>
      </c>
      <c r="AF186" s="76">
        <f t="shared" si="18"/>
        <v>40</v>
      </c>
      <c r="AG186" s="76">
        <f t="shared" si="18"/>
        <v>40</v>
      </c>
      <c r="AH186" s="76">
        <f t="shared" si="18"/>
        <v>45</v>
      </c>
      <c r="AI186" s="76">
        <f t="shared" si="18"/>
        <v>50</v>
      </c>
      <c r="AJ186" s="76">
        <f t="shared" si="18"/>
        <v>55</v>
      </c>
      <c r="AK186" s="76">
        <f t="shared" si="18"/>
        <v>60</v>
      </c>
      <c r="AL186" s="76">
        <f t="shared" si="18"/>
        <v>65</v>
      </c>
      <c r="AM186" s="76">
        <f t="shared" si="18"/>
        <v>70</v>
      </c>
      <c r="AN186" s="76">
        <f t="shared" si="18"/>
        <v>70</v>
      </c>
      <c r="AO186" s="62"/>
      <c r="AP186" s="62"/>
      <c r="AQ186" s="62"/>
      <c r="AR186" s="62"/>
      <c r="AS186" s="62"/>
      <c r="AT186" s="62"/>
      <c r="AU186" s="62"/>
      <c r="AV186" s="62"/>
      <c r="AW186" s="62"/>
      <c r="AX186" s="62"/>
      <c r="AY186" s="62"/>
      <c r="AZ186" s="62"/>
      <c r="BA186" s="62"/>
      <c r="BB186" s="62"/>
      <c r="BC186" s="62"/>
      <c r="BD186" s="62"/>
      <c r="BE186" s="62"/>
      <c r="BF186" s="62"/>
      <c r="BG186" s="62"/>
      <c r="BH186" s="62"/>
      <c r="BI186" s="62"/>
      <c r="BJ186" s="62"/>
      <c r="BK186" s="62"/>
      <c r="BL186" s="62"/>
      <c r="BM186" s="96"/>
      <c r="BN186" s="62"/>
      <c r="BO186" s="62"/>
    </row>
    <row r="187" spans="1:90" s="3" customFormat="1" ht="15.2" hidden="1">
      <c r="A187" s="30"/>
      <c r="B187" s="985"/>
      <c r="C187" s="973"/>
      <c r="D187" s="963" t="s">
        <v>285</v>
      </c>
      <c r="E187" s="964"/>
      <c r="F187" s="964"/>
      <c r="G187" s="964"/>
      <c r="H187" s="964"/>
      <c r="I187" s="964"/>
      <c r="J187" s="964"/>
      <c r="K187" s="965"/>
      <c r="L187" s="63"/>
      <c r="M187" s="64"/>
      <c r="N187" s="64"/>
      <c r="O187" s="64"/>
      <c r="P187" s="64"/>
      <c r="Q187" s="64"/>
      <c r="R187" s="64"/>
      <c r="S187" s="77"/>
      <c r="T187" s="64"/>
      <c r="U187" s="64"/>
      <c r="V187" s="64"/>
      <c r="W187" s="64"/>
      <c r="X187" s="64"/>
      <c r="Y187" s="78">
        <f t="shared" ref="Y187:AN187" si="19">Y186-Y184</f>
        <v>0</v>
      </c>
      <c r="Z187" s="78">
        <f t="shared" si="19"/>
        <v>0</v>
      </c>
      <c r="AA187" s="78">
        <f t="shared" si="19"/>
        <v>0</v>
      </c>
      <c r="AB187" s="78">
        <f t="shared" si="19"/>
        <v>0</v>
      </c>
      <c r="AC187" s="78">
        <f t="shared" si="19"/>
        <v>0</v>
      </c>
      <c r="AD187" s="78">
        <f t="shared" si="19"/>
        <v>0</v>
      </c>
      <c r="AE187" s="78">
        <f t="shared" si="19"/>
        <v>0</v>
      </c>
      <c r="AF187" s="78">
        <f t="shared" si="19"/>
        <v>0</v>
      </c>
      <c r="AG187" s="78">
        <f t="shared" si="19"/>
        <v>-5</v>
      </c>
      <c r="AH187" s="78">
        <f t="shared" si="19"/>
        <v>-5</v>
      </c>
      <c r="AI187" s="78">
        <f t="shared" si="19"/>
        <v>-5</v>
      </c>
      <c r="AJ187" s="78">
        <f t="shared" si="19"/>
        <v>-5</v>
      </c>
      <c r="AK187" s="78">
        <f t="shared" si="19"/>
        <v>-5</v>
      </c>
      <c r="AL187" s="78">
        <f t="shared" si="19"/>
        <v>-10</v>
      </c>
      <c r="AM187" s="78">
        <f t="shared" si="19"/>
        <v>-15</v>
      </c>
      <c r="AN187" s="78">
        <f t="shared" si="19"/>
        <v>-30</v>
      </c>
      <c r="AO187" s="64"/>
      <c r="AP187" s="64"/>
      <c r="AQ187" s="64"/>
      <c r="AR187" s="64"/>
      <c r="AS187" s="64"/>
      <c r="AT187" s="64"/>
      <c r="AU187" s="64"/>
      <c r="AV187" s="64"/>
      <c r="AW187" s="64"/>
      <c r="AX187" s="64"/>
      <c r="AY187" s="64"/>
      <c r="AZ187" s="64"/>
      <c r="BA187" s="64"/>
      <c r="BB187" s="64"/>
      <c r="BC187" s="64"/>
      <c r="BD187" s="64"/>
      <c r="BE187" s="64"/>
      <c r="BF187" s="64"/>
      <c r="BG187" s="64"/>
      <c r="BH187" s="64"/>
      <c r="BI187" s="64"/>
      <c r="BJ187" s="64"/>
      <c r="BK187" s="64"/>
      <c r="BL187" s="64"/>
      <c r="BM187" s="97"/>
      <c r="BN187" s="64"/>
      <c r="BO187" s="64"/>
    </row>
    <row r="188" spans="1:90">
      <c r="B188" s="980">
        <v>16</v>
      </c>
      <c r="C188" s="971" t="s">
        <v>409</v>
      </c>
      <c r="D188" s="140" t="s">
        <v>410</v>
      </c>
      <c r="E188" s="141">
        <v>43502</v>
      </c>
      <c r="F188" s="142"/>
      <c r="G188" s="142" t="s">
        <v>411</v>
      </c>
      <c r="H188" s="142" t="s">
        <v>412</v>
      </c>
      <c r="I188" s="142" t="s">
        <v>413</v>
      </c>
      <c r="J188" s="149">
        <v>43830</v>
      </c>
      <c r="K188" s="150">
        <v>1</v>
      </c>
      <c r="L188" s="151" t="s">
        <v>262</v>
      </c>
      <c r="M188" s="152"/>
      <c r="N188" s="152"/>
      <c r="O188" s="152"/>
      <c r="P188" s="152"/>
      <c r="Q188" s="159">
        <v>1</v>
      </c>
      <c r="R188" s="159">
        <v>1</v>
      </c>
      <c r="S188" s="159">
        <v>1</v>
      </c>
      <c r="T188" s="159">
        <v>1</v>
      </c>
      <c r="U188" s="159">
        <v>1</v>
      </c>
      <c r="V188" s="159">
        <v>1</v>
      </c>
      <c r="W188" s="159">
        <v>1</v>
      </c>
      <c r="X188" s="159">
        <v>1</v>
      </c>
      <c r="Y188" s="159">
        <v>1</v>
      </c>
      <c r="Z188" s="159">
        <v>1</v>
      </c>
      <c r="AA188" s="159">
        <v>1</v>
      </c>
      <c r="AB188" s="159">
        <v>1</v>
      </c>
      <c r="AC188" s="159">
        <v>1</v>
      </c>
      <c r="AD188" s="159">
        <v>1</v>
      </c>
      <c r="AE188" s="159">
        <v>1</v>
      </c>
      <c r="AF188" s="159">
        <v>1</v>
      </c>
      <c r="AG188" s="159">
        <v>1</v>
      </c>
      <c r="AH188" s="159">
        <v>1</v>
      </c>
      <c r="AI188" s="159">
        <v>2</v>
      </c>
      <c r="AJ188" s="159">
        <v>2</v>
      </c>
      <c r="AK188" s="159">
        <v>2</v>
      </c>
      <c r="AL188" s="159">
        <v>2</v>
      </c>
      <c r="AM188" s="159">
        <v>2</v>
      </c>
      <c r="AN188" s="159">
        <v>2</v>
      </c>
      <c r="AO188" s="159">
        <v>2</v>
      </c>
      <c r="AP188" s="159">
        <v>2</v>
      </c>
      <c r="AQ188" s="159">
        <v>2</v>
      </c>
      <c r="AR188" s="159">
        <v>2</v>
      </c>
      <c r="AS188" s="159">
        <v>2</v>
      </c>
      <c r="AT188" s="159">
        <v>2</v>
      </c>
      <c r="AU188" s="159">
        <v>2</v>
      </c>
      <c r="AV188" s="159">
        <v>4</v>
      </c>
      <c r="AW188" s="159">
        <v>4</v>
      </c>
      <c r="AX188" s="159">
        <v>4</v>
      </c>
      <c r="AY188" s="159">
        <v>4</v>
      </c>
      <c r="AZ188" s="159">
        <v>4</v>
      </c>
      <c r="BA188" s="159">
        <v>4</v>
      </c>
      <c r="BB188" s="159">
        <v>4</v>
      </c>
      <c r="BC188" s="159">
        <v>4</v>
      </c>
      <c r="BD188" s="159">
        <v>4</v>
      </c>
      <c r="BE188" s="159">
        <v>5</v>
      </c>
      <c r="BF188" s="159">
        <v>5</v>
      </c>
      <c r="BG188" s="159">
        <v>5</v>
      </c>
      <c r="BH188" s="159">
        <v>5</v>
      </c>
      <c r="BI188" s="159"/>
      <c r="BJ188" s="159"/>
      <c r="BK188" s="159"/>
      <c r="BL188" s="169"/>
      <c r="BM188" s="54">
        <v>3</v>
      </c>
      <c r="BN188" s="182" t="s">
        <v>334</v>
      </c>
      <c r="BO188" s="986" t="s">
        <v>414</v>
      </c>
    </row>
    <row r="189" spans="1:90">
      <c r="B189" s="982"/>
      <c r="C189" s="972"/>
      <c r="D189" s="29"/>
      <c r="E189" s="19"/>
      <c r="F189" s="19"/>
      <c r="G189" s="19"/>
      <c r="H189" s="19"/>
      <c r="I189" s="19"/>
      <c r="J189" s="19"/>
      <c r="K189" s="153"/>
      <c r="L189" s="54" t="s">
        <v>264</v>
      </c>
      <c r="M189" s="48"/>
      <c r="N189" s="48"/>
      <c r="O189" s="48"/>
      <c r="P189" s="48"/>
      <c r="Q189" s="122">
        <v>1</v>
      </c>
      <c r="R189" s="122">
        <v>1</v>
      </c>
      <c r="S189" s="122">
        <v>1</v>
      </c>
      <c r="T189" s="122">
        <v>1</v>
      </c>
      <c r="U189" s="122">
        <v>1</v>
      </c>
      <c r="V189" s="122">
        <v>1</v>
      </c>
      <c r="W189" s="122">
        <v>1</v>
      </c>
      <c r="X189" s="122">
        <v>1</v>
      </c>
      <c r="Y189" s="122">
        <v>1</v>
      </c>
      <c r="Z189" s="122">
        <v>1</v>
      </c>
      <c r="AA189" s="122">
        <v>1</v>
      </c>
      <c r="AB189" s="122">
        <v>1</v>
      </c>
      <c r="AC189" s="122">
        <v>1</v>
      </c>
      <c r="AD189" s="122">
        <v>1</v>
      </c>
      <c r="AE189" s="122">
        <v>1</v>
      </c>
      <c r="AF189" s="122">
        <v>1</v>
      </c>
      <c r="AG189" s="163"/>
      <c r="AH189" s="122">
        <v>1</v>
      </c>
      <c r="AI189" s="122">
        <v>1</v>
      </c>
      <c r="AJ189" s="122">
        <v>1</v>
      </c>
      <c r="AK189" s="122">
        <v>1</v>
      </c>
      <c r="AL189" s="122">
        <v>1</v>
      </c>
      <c r="AM189" s="122">
        <v>1</v>
      </c>
      <c r="AN189" s="48"/>
      <c r="AO189" s="48"/>
      <c r="AP189" s="48"/>
      <c r="AQ189" s="48"/>
      <c r="AR189" s="48"/>
      <c r="AS189" s="48"/>
      <c r="AT189" s="48"/>
      <c r="AU189" s="48"/>
      <c r="AV189" s="48"/>
      <c r="AW189" s="48"/>
      <c r="AX189" s="48"/>
      <c r="AY189" s="48"/>
      <c r="AZ189" s="48"/>
      <c r="BA189" s="48"/>
      <c r="BB189" s="48"/>
      <c r="BC189" s="48"/>
      <c r="BD189" s="48"/>
      <c r="BE189" s="48"/>
      <c r="BF189" s="48"/>
      <c r="BG189" s="48"/>
      <c r="BH189" s="48"/>
      <c r="BI189" s="48"/>
      <c r="BJ189" s="48"/>
      <c r="BK189" s="48"/>
      <c r="BL189" s="81"/>
      <c r="BM189" s="170"/>
      <c r="BN189" s="48"/>
      <c r="BO189" s="987"/>
    </row>
    <row r="190" spans="1:90" s="3" customFormat="1" hidden="1">
      <c r="A190" s="30"/>
      <c r="B190" s="982"/>
      <c r="C190" s="972"/>
      <c r="D190" s="977" t="s">
        <v>281</v>
      </c>
      <c r="E190" s="978"/>
      <c r="F190" s="978"/>
      <c r="G190" s="978"/>
      <c r="H190" s="978"/>
      <c r="I190" s="978"/>
      <c r="J190" s="978"/>
      <c r="K190" s="979"/>
      <c r="L190" s="61"/>
      <c r="M190" s="114"/>
      <c r="N190" s="114"/>
      <c r="O190" s="114"/>
      <c r="P190" s="114"/>
      <c r="Q190" s="114">
        <f t="shared" ref="Q190:BH190" si="20">Q188</f>
        <v>1</v>
      </c>
      <c r="R190" s="114">
        <f t="shared" si="20"/>
        <v>1</v>
      </c>
      <c r="S190" s="114">
        <f t="shared" si="20"/>
        <v>1</v>
      </c>
      <c r="T190" s="114">
        <f t="shared" si="20"/>
        <v>1</v>
      </c>
      <c r="U190" s="114">
        <f t="shared" si="20"/>
        <v>1</v>
      </c>
      <c r="V190" s="114">
        <f t="shared" si="20"/>
        <v>1</v>
      </c>
      <c r="W190" s="114">
        <f t="shared" si="20"/>
        <v>1</v>
      </c>
      <c r="X190" s="114">
        <f t="shared" si="20"/>
        <v>1</v>
      </c>
      <c r="Y190" s="114">
        <f t="shared" si="20"/>
        <v>1</v>
      </c>
      <c r="Z190" s="114">
        <f t="shared" si="20"/>
        <v>1</v>
      </c>
      <c r="AA190" s="114">
        <f t="shared" si="20"/>
        <v>1</v>
      </c>
      <c r="AB190" s="114">
        <f t="shared" si="20"/>
        <v>1</v>
      </c>
      <c r="AC190" s="114">
        <f t="shared" si="20"/>
        <v>1</v>
      </c>
      <c r="AD190" s="114">
        <f t="shared" si="20"/>
        <v>1</v>
      </c>
      <c r="AE190" s="114">
        <f t="shared" si="20"/>
        <v>1</v>
      </c>
      <c r="AF190" s="114">
        <f t="shared" si="20"/>
        <v>1</v>
      </c>
      <c r="AG190" s="114">
        <f t="shared" si="20"/>
        <v>1</v>
      </c>
      <c r="AH190" s="165">
        <f t="shared" si="20"/>
        <v>1</v>
      </c>
      <c r="AI190" s="114">
        <f t="shared" si="20"/>
        <v>2</v>
      </c>
      <c r="AJ190" s="114">
        <f t="shared" si="20"/>
        <v>2</v>
      </c>
      <c r="AK190" s="114">
        <f t="shared" si="20"/>
        <v>2</v>
      </c>
      <c r="AL190" s="114">
        <f t="shared" si="20"/>
        <v>2</v>
      </c>
      <c r="AM190" s="114">
        <f t="shared" si="20"/>
        <v>2</v>
      </c>
      <c r="AN190" s="114">
        <f t="shared" si="20"/>
        <v>2</v>
      </c>
      <c r="AO190" s="114">
        <f t="shared" si="20"/>
        <v>2</v>
      </c>
      <c r="AP190" s="114">
        <f t="shared" si="20"/>
        <v>2</v>
      </c>
      <c r="AQ190" s="114">
        <f t="shared" si="20"/>
        <v>2</v>
      </c>
      <c r="AR190" s="114">
        <f t="shared" si="20"/>
        <v>2</v>
      </c>
      <c r="AS190" s="114">
        <f t="shared" si="20"/>
        <v>2</v>
      </c>
      <c r="AT190" s="114">
        <f t="shared" si="20"/>
        <v>2</v>
      </c>
      <c r="AU190" s="114">
        <f t="shared" si="20"/>
        <v>2</v>
      </c>
      <c r="AV190" s="114">
        <f t="shared" si="20"/>
        <v>4</v>
      </c>
      <c r="AW190" s="114">
        <f t="shared" si="20"/>
        <v>4</v>
      </c>
      <c r="AX190" s="114">
        <f t="shared" si="20"/>
        <v>4</v>
      </c>
      <c r="AY190" s="114">
        <f t="shared" si="20"/>
        <v>4</v>
      </c>
      <c r="AZ190" s="114">
        <f t="shared" si="20"/>
        <v>4</v>
      </c>
      <c r="BA190" s="114">
        <f t="shared" si="20"/>
        <v>4</v>
      </c>
      <c r="BB190" s="114">
        <f t="shared" si="20"/>
        <v>4</v>
      </c>
      <c r="BC190" s="114">
        <f t="shared" si="20"/>
        <v>4</v>
      </c>
      <c r="BD190" s="114">
        <f t="shared" si="20"/>
        <v>4</v>
      </c>
      <c r="BE190" s="114">
        <f t="shared" si="20"/>
        <v>5</v>
      </c>
      <c r="BF190" s="114">
        <f t="shared" si="20"/>
        <v>5</v>
      </c>
      <c r="BG190" s="114">
        <f t="shared" si="20"/>
        <v>5</v>
      </c>
      <c r="BH190" s="114">
        <f t="shared" si="20"/>
        <v>5</v>
      </c>
      <c r="BI190" s="114"/>
      <c r="BJ190" s="114"/>
      <c r="BK190" s="114"/>
      <c r="BL190" s="114"/>
      <c r="BM190" s="61"/>
      <c r="BN190" s="114"/>
      <c r="BO190" s="114"/>
    </row>
    <row r="191" spans="1:90" s="3" customFormat="1" hidden="1">
      <c r="A191" s="30"/>
      <c r="B191" s="982"/>
      <c r="C191" s="972"/>
      <c r="D191" s="31" t="s">
        <v>282</v>
      </c>
      <c r="E191" s="32"/>
      <c r="F191" s="32"/>
      <c r="G191" s="32"/>
      <c r="H191" s="32"/>
      <c r="I191" s="32"/>
      <c r="J191" s="32"/>
      <c r="K191" s="60"/>
      <c r="L191" s="61"/>
      <c r="M191" s="62"/>
      <c r="N191" s="62"/>
      <c r="O191" s="62"/>
      <c r="P191" s="62"/>
      <c r="Q191" s="62">
        <f t="shared" ref="Q191:BH191" si="21">P191+Q190</f>
        <v>1</v>
      </c>
      <c r="R191" s="62">
        <f t="shared" si="21"/>
        <v>2</v>
      </c>
      <c r="S191" s="62">
        <f t="shared" si="21"/>
        <v>3</v>
      </c>
      <c r="T191" s="62">
        <f t="shared" si="21"/>
        <v>4</v>
      </c>
      <c r="U191" s="62">
        <f t="shared" si="21"/>
        <v>5</v>
      </c>
      <c r="V191" s="62">
        <f t="shared" si="21"/>
        <v>6</v>
      </c>
      <c r="W191" s="62">
        <f t="shared" si="21"/>
        <v>7</v>
      </c>
      <c r="X191" s="62">
        <f t="shared" si="21"/>
        <v>8</v>
      </c>
      <c r="Y191" s="62">
        <f t="shared" si="21"/>
        <v>9</v>
      </c>
      <c r="Z191" s="62">
        <f t="shared" si="21"/>
        <v>10</v>
      </c>
      <c r="AA191" s="62">
        <f t="shared" si="21"/>
        <v>11</v>
      </c>
      <c r="AB191" s="62">
        <f t="shared" si="21"/>
        <v>12</v>
      </c>
      <c r="AC191" s="62">
        <f t="shared" si="21"/>
        <v>13</v>
      </c>
      <c r="AD191" s="62">
        <f t="shared" si="21"/>
        <v>14</v>
      </c>
      <c r="AE191" s="62">
        <f t="shared" si="21"/>
        <v>15</v>
      </c>
      <c r="AF191" s="62">
        <f t="shared" si="21"/>
        <v>16</v>
      </c>
      <c r="AG191" s="62">
        <f t="shared" si="21"/>
        <v>17</v>
      </c>
      <c r="AH191" s="119">
        <f t="shared" si="21"/>
        <v>18</v>
      </c>
      <c r="AI191" s="62">
        <f t="shared" si="21"/>
        <v>20</v>
      </c>
      <c r="AJ191" s="62">
        <f t="shared" si="21"/>
        <v>22</v>
      </c>
      <c r="AK191" s="62">
        <f t="shared" si="21"/>
        <v>24</v>
      </c>
      <c r="AL191" s="62">
        <f t="shared" si="21"/>
        <v>26</v>
      </c>
      <c r="AM191" s="62">
        <f t="shared" si="21"/>
        <v>28</v>
      </c>
      <c r="AN191" s="62">
        <f t="shared" si="21"/>
        <v>30</v>
      </c>
      <c r="AO191" s="62">
        <f t="shared" si="21"/>
        <v>32</v>
      </c>
      <c r="AP191" s="62">
        <f t="shared" si="21"/>
        <v>34</v>
      </c>
      <c r="AQ191" s="62">
        <f t="shared" si="21"/>
        <v>36</v>
      </c>
      <c r="AR191" s="62">
        <f t="shared" si="21"/>
        <v>38</v>
      </c>
      <c r="AS191" s="62">
        <f t="shared" si="21"/>
        <v>40</v>
      </c>
      <c r="AT191" s="62">
        <f t="shared" si="21"/>
        <v>42</v>
      </c>
      <c r="AU191" s="62">
        <f t="shared" si="21"/>
        <v>44</v>
      </c>
      <c r="AV191" s="62">
        <f t="shared" si="21"/>
        <v>48</v>
      </c>
      <c r="AW191" s="62">
        <f t="shared" si="21"/>
        <v>52</v>
      </c>
      <c r="AX191" s="62">
        <f t="shared" si="21"/>
        <v>56</v>
      </c>
      <c r="AY191" s="62">
        <f t="shared" si="21"/>
        <v>60</v>
      </c>
      <c r="AZ191" s="62">
        <f t="shared" si="21"/>
        <v>64</v>
      </c>
      <c r="BA191" s="62">
        <f t="shared" si="21"/>
        <v>68</v>
      </c>
      <c r="BB191" s="62">
        <f t="shared" si="21"/>
        <v>72</v>
      </c>
      <c r="BC191" s="62">
        <f t="shared" si="21"/>
        <v>76</v>
      </c>
      <c r="BD191" s="62">
        <f t="shared" si="21"/>
        <v>80</v>
      </c>
      <c r="BE191" s="62">
        <f t="shared" si="21"/>
        <v>85</v>
      </c>
      <c r="BF191" s="62">
        <f t="shared" si="21"/>
        <v>90</v>
      </c>
      <c r="BG191" s="62">
        <f t="shared" si="21"/>
        <v>95</v>
      </c>
      <c r="BH191" s="62">
        <f t="shared" si="21"/>
        <v>100</v>
      </c>
      <c r="BI191" s="62"/>
      <c r="BJ191" s="62"/>
      <c r="BK191" s="62"/>
      <c r="BL191" s="62"/>
      <c r="BM191" s="96"/>
      <c r="BN191" s="62"/>
      <c r="BO191" s="62"/>
    </row>
    <row r="192" spans="1:90" s="3" customFormat="1" hidden="1">
      <c r="A192" s="30"/>
      <c r="B192" s="982"/>
      <c r="C192" s="972"/>
      <c r="D192" s="960" t="s">
        <v>283</v>
      </c>
      <c r="E192" s="961"/>
      <c r="F192" s="961"/>
      <c r="G192" s="961"/>
      <c r="H192" s="961"/>
      <c r="I192" s="961"/>
      <c r="J192" s="961"/>
      <c r="K192" s="962"/>
      <c r="L192" s="61"/>
      <c r="M192" s="62"/>
      <c r="N192" s="62"/>
      <c r="O192" s="62"/>
      <c r="P192" s="62"/>
      <c r="Q192" s="62">
        <f t="shared" ref="Q192:BH192" si="22">Q189</f>
        <v>1</v>
      </c>
      <c r="R192" s="62">
        <f t="shared" si="22"/>
        <v>1</v>
      </c>
      <c r="S192" s="62">
        <f t="shared" si="22"/>
        <v>1</v>
      </c>
      <c r="T192" s="62">
        <f t="shared" si="22"/>
        <v>1</v>
      </c>
      <c r="U192" s="62">
        <f t="shared" si="22"/>
        <v>1</v>
      </c>
      <c r="V192" s="62">
        <f t="shared" si="22"/>
        <v>1</v>
      </c>
      <c r="W192" s="62">
        <f t="shared" si="22"/>
        <v>1</v>
      </c>
      <c r="X192" s="62">
        <f t="shared" si="22"/>
        <v>1</v>
      </c>
      <c r="Y192" s="62">
        <f t="shared" si="22"/>
        <v>1</v>
      </c>
      <c r="Z192" s="62">
        <f t="shared" si="22"/>
        <v>1</v>
      </c>
      <c r="AA192" s="62">
        <f t="shared" si="22"/>
        <v>1</v>
      </c>
      <c r="AB192" s="62">
        <f t="shared" si="22"/>
        <v>1</v>
      </c>
      <c r="AC192" s="62">
        <f t="shared" si="22"/>
        <v>1</v>
      </c>
      <c r="AD192" s="62">
        <f t="shared" si="22"/>
        <v>1</v>
      </c>
      <c r="AE192" s="62">
        <f t="shared" si="22"/>
        <v>1</v>
      </c>
      <c r="AF192" s="62">
        <f t="shared" si="22"/>
        <v>1</v>
      </c>
      <c r="AG192" s="62">
        <f t="shared" si="22"/>
        <v>0</v>
      </c>
      <c r="AH192" s="119">
        <f t="shared" si="22"/>
        <v>1</v>
      </c>
      <c r="AI192" s="62">
        <f t="shared" si="22"/>
        <v>1</v>
      </c>
      <c r="AJ192" s="62">
        <f t="shared" si="22"/>
        <v>1</v>
      </c>
      <c r="AK192" s="62">
        <f t="shared" si="22"/>
        <v>1</v>
      </c>
      <c r="AL192" s="62">
        <f t="shared" si="22"/>
        <v>1</v>
      </c>
      <c r="AM192" s="62">
        <f t="shared" si="22"/>
        <v>1</v>
      </c>
      <c r="AN192" s="62">
        <f t="shared" si="22"/>
        <v>0</v>
      </c>
      <c r="AO192" s="62">
        <f t="shared" si="22"/>
        <v>0</v>
      </c>
      <c r="AP192" s="62">
        <f t="shared" si="22"/>
        <v>0</v>
      </c>
      <c r="AQ192" s="62">
        <f t="shared" si="22"/>
        <v>0</v>
      </c>
      <c r="AR192" s="62">
        <f t="shared" si="22"/>
        <v>0</v>
      </c>
      <c r="AS192" s="62">
        <f t="shared" si="22"/>
        <v>0</v>
      </c>
      <c r="AT192" s="62">
        <f t="shared" si="22"/>
        <v>0</v>
      </c>
      <c r="AU192" s="62">
        <f t="shared" si="22"/>
        <v>0</v>
      </c>
      <c r="AV192" s="62">
        <f t="shared" si="22"/>
        <v>0</v>
      </c>
      <c r="AW192" s="62">
        <f t="shared" si="22"/>
        <v>0</v>
      </c>
      <c r="AX192" s="62">
        <f t="shared" si="22"/>
        <v>0</v>
      </c>
      <c r="AY192" s="62">
        <f t="shared" si="22"/>
        <v>0</v>
      </c>
      <c r="AZ192" s="62">
        <f t="shared" si="22"/>
        <v>0</v>
      </c>
      <c r="BA192" s="62">
        <f t="shared" si="22"/>
        <v>0</v>
      </c>
      <c r="BB192" s="62">
        <f t="shared" si="22"/>
        <v>0</v>
      </c>
      <c r="BC192" s="62">
        <f t="shared" si="22"/>
        <v>0</v>
      </c>
      <c r="BD192" s="62">
        <f t="shared" si="22"/>
        <v>0</v>
      </c>
      <c r="BE192" s="62">
        <f t="shared" si="22"/>
        <v>0</v>
      </c>
      <c r="BF192" s="62">
        <f t="shared" si="22"/>
        <v>0</v>
      </c>
      <c r="BG192" s="62">
        <f t="shared" si="22"/>
        <v>0</v>
      </c>
      <c r="BH192" s="62">
        <f t="shared" si="22"/>
        <v>0</v>
      </c>
      <c r="BI192" s="62"/>
      <c r="BJ192" s="62"/>
      <c r="BK192" s="62"/>
      <c r="BL192" s="62"/>
      <c r="BM192" s="96"/>
      <c r="BN192" s="62"/>
      <c r="BO192" s="62"/>
    </row>
    <row r="193" spans="1:67" s="3" customFormat="1" hidden="1">
      <c r="A193" s="30"/>
      <c r="B193" s="982"/>
      <c r="C193" s="972"/>
      <c r="D193" s="31" t="s">
        <v>284</v>
      </c>
      <c r="E193" s="32"/>
      <c r="F193" s="32"/>
      <c r="G193" s="32"/>
      <c r="H193" s="32"/>
      <c r="I193" s="32"/>
      <c r="J193" s="32"/>
      <c r="K193" s="60"/>
      <c r="L193" s="61"/>
      <c r="M193" s="62"/>
      <c r="N193" s="62"/>
      <c r="O193" s="62"/>
      <c r="P193" s="62"/>
      <c r="Q193" s="62">
        <f t="shared" ref="Q193:BH193" si="23">P193+Q192</f>
        <v>1</v>
      </c>
      <c r="R193" s="62">
        <f t="shared" si="23"/>
        <v>2</v>
      </c>
      <c r="S193" s="62">
        <f t="shared" si="23"/>
        <v>3</v>
      </c>
      <c r="T193" s="62">
        <f t="shared" si="23"/>
        <v>4</v>
      </c>
      <c r="U193" s="62">
        <f t="shared" si="23"/>
        <v>5</v>
      </c>
      <c r="V193" s="62">
        <f t="shared" si="23"/>
        <v>6</v>
      </c>
      <c r="W193" s="62">
        <f t="shared" si="23"/>
        <v>7</v>
      </c>
      <c r="X193" s="62">
        <f t="shared" si="23"/>
        <v>8</v>
      </c>
      <c r="Y193" s="62">
        <f t="shared" si="23"/>
        <v>9</v>
      </c>
      <c r="Z193" s="62">
        <f t="shared" si="23"/>
        <v>10</v>
      </c>
      <c r="AA193" s="62">
        <f t="shared" si="23"/>
        <v>11</v>
      </c>
      <c r="AB193" s="62">
        <f t="shared" si="23"/>
        <v>12</v>
      </c>
      <c r="AC193" s="62">
        <f t="shared" si="23"/>
        <v>13</v>
      </c>
      <c r="AD193" s="62">
        <f t="shared" si="23"/>
        <v>14</v>
      </c>
      <c r="AE193" s="62">
        <f t="shared" si="23"/>
        <v>15</v>
      </c>
      <c r="AF193" s="62">
        <f t="shared" si="23"/>
        <v>16</v>
      </c>
      <c r="AG193" s="62">
        <f t="shared" si="23"/>
        <v>16</v>
      </c>
      <c r="AH193" s="119">
        <f t="shared" si="23"/>
        <v>17</v>
      </c>
      <c r="AI193" s="62">
        <f t="shared" si="23"/>
        <v>18</v>
      </c>
      <c r="AJ193" s="62">
        <f t="shared" si="23"/>
        <v>19</v>
      </c>
      <c r="AK193" s="62">
        <f t="shared" si="23"/>
        <v>20</v>
      </c>
      <c r="AL193" s="62">
        <f t="shared" si="23"/>
        <v>21</v>
      </c>
      <c r="AM193" s="62">
        <f t="shared" si="23"/>
        <v>22</v>
      </c>
      <c r="AN193" s="62">
        <f t="shared" si="23"/>
        <v>22</v>
      </c>
      <c r="AO193" s="62">
        <f t="shared" si="23"/>
        <v>22</v>
      </c>
      <c r="AP193" s="62">
        <f t="shared" si="23"/>
        <v>22</v>
      </c>
      <c r="AQ193" s="62">
        <f t="shared" si="23"/>
        <v>22</v>
      </c>
      <c r="AR193" s="62">
        <f t="shared" si="23"/>
        <v>22</v>
      </c>
      <c r="AS193" s="62">
        <f t="shared" si="23"/>
        <v>22</v>
      </c>
      <c r="AT193" s="62">
        <f t="shared" si="23"/>
        <v>22</v>
      </c>
      <c r="AU193" s="62">
        <f t="shared" si="23"/>
        <v>22</v>
      </c>
      <c r="AV193" s="62">
        <f t="shared" si="23"/>
        <v>22</v>
      </c>
      <c r="AW193" s="62">
        <f t="shared" si="23"/>
        <v>22</v>
      </c>
      <c r="AX193" s="62">
        <f t="shared" si="23"/>
        <v>22</v>
      </c>
      <c r="AY193" s="62">
        <f t="shared" si="23"/>
        <v>22</v>
      </c>
      <c r="AZ193" s="62">
        <f t="shared" si="23"/>
        <v>22</v>
      </c>
      <c r="BA193" s="62">
        <f t="shared" si="23"/>
        <v>22</v>
      </c>
      <c r="BB193" s="62">
        <f t="shared" si="23"/>
        <v>22</v>
      </c>
      <c r="BC193" s="62">
        <f t="shared" si="23"/>
        <v>22</v>
      </c>
      <c r="BD193" s="62">
        <f t="shared" si="23"/>
        <v>22</v>
      </c>
      <c r="BE193" s="62">
        <f t="shared" si="23"/>
        <v>22</v>
      </c>
      <c r="BF193" s="62">
        <f t="shared" si="23"/>
        <v>22</v>
      </c>
      <c r="BG193" s="62">
        <f t="shared" si="23"/>
        <v>22</v>
      </c>
      <c r="BH193" s="62">
        <f t="shared" si="23"/>
        <v>22</v>
      </c>
      <c r="BI193" s="62"/>
      <c r="BJ193" s="62"/>
      <c r="BK193" s="62"/>
      <c r="BL193" s="62"/>
      <c r="BM193" s="96"/>
      <c r="BN193" s="62"/>
      <c r="BO193" s="62"/>
    </row>
    <row r="194" spans="1:67" s="3" customFormat="1" ht="15.2" hidden="1">
      <c r="A194" s="30"/>
      <c r="B194" s="981"/>
      <c r="C194" s="973"/>
      <c r="D194" s="963" t="s">
        <v>285</v>
      </c>
      <c r="E194" s="964"/>
      <c r="F194" s="964"/>
      <c r="G194" s="964"/>
      <c r="H194" s="964"/>
      <c r="I194" s="964"/>
      <c r="J194" s="964"/>
      <c r="K194" s="965"/>
      <c r="L194" s="63"/>
      <c r="M194" s="64"/>
      <c r="N194" s="64"/>
      <c r="O194" s="64"/>
      <c r="P194" s="64"/>
      <c r="Q194" s="64">
        <f t="shared" ref="Q194:BH194" si="24">Q193-Q191</f>
        <v>0</v>
      </c>
      <c r="R194" s="64">
        <f t="shared" si="24"/>
        <v>0</v>
      </c>
      <c r="S194" s="64">
        <f t="shared" si="24"/>
        <v>0</v>
      </c>
      <c r="T194" s="64">
        <f t="shared" si="24"/>
        <v>0</v>
      </c>
      <c r="U194" s="64">
        <f t="shared" si="24"/>
        <v>0</v>
      </c>
      <c r="V194" s="64">
        <f t="shared" si="24"/>
        <v>0</v>
      </c>
      <c r="W194" s="64">
        <f t="shared" si="24"/>
        <v>0</v>
      </c>
      <c r="X194" s="64">
        <f t="shared" si="24"/>
        <v>0</v>
      </c>
      <c r="Y194" s="64">
        <f t="shared" si="24"/>
        <v>0</v>
      </c>
      <c r="Z194" s="64">
        <f t="shared" si="24"/>
        <v>0</v>
      </c>
      <c r="AA194" s="64">
        <f t="shared" si="24"/>
        <v>0</v>
      </c>
      <c r="AB194" s="64">
        <f t="shared" si="24"/>
        <v>0</v>
      </c>
      <c r="AC194" s="64">
        <f t="shared" si="24"/>
        <v>0</v>
      </c>
      <c r="AD194" s="64">
        <f t="shared" si="24"/>
        <v>0</v>
      </c>
      <c r="AE194" s="64">
        <f t="shared" si="24"/>
        <v>0</v>
      </c>
      <c r="AF194" s="64">
        <f t="shared" si="24"/>
        <v>0</v>
      </c>
      <c r="AG194" s="64">
        <f t="shared" si="24"/>
        <v>-1</v>
      </c>
      <c r="AH194" s="120">
        <f t="shared" si="24"/>
        <v>-1</v>
      </c>
      <c r="AI194" s="64">
        <f t="shared" si="24"/>
        <v>-2</v>
      </c>
      <c r="AJ194" s="64">
        <f t="shared" si="24"/>
        <v>-3</v>
      </c>
      <c r="AK194" s="64">
        <f t="shared" si="24"/>
        <v>-4</v>
      </c>
      <c r="AL194" s="64">
        <f t="shared" si="24"/>
        <v>-5</v>
      </c>
      <c r="AM194" s="64">
        <f t="shared" si="24"/>
        <v>-6</v>
      </c>
      <c r="AN194" s="64">
        <f t="shared" si="24"/>
        <v>-8</v>
      </c>
      <c r="AO194" s="64">
        <f t="shared" si="24"/>
        <v>-10</v>
      </c>
      <c r="AP194" s="64">
        <f t="shared" si="24"/>
        <v>-12</v>
      </c>
      <c r="AQ194" s="64">
        <f t="shared" si="24"/>
        <v>-14</v>
      </c>
      <c r="AR194" s="64">
        <f t="shared" si="24"/>
        <v>-16</v>
      </c>
      <c r="AS194" s="64">
        <f t="shared" si="24"/>
        <v>-18</v>
      </c>
      <c r="AT194" s="64">
        <f t="shared" si="24"/>
        <v>-20</v>
      </c>
      <c r="AU194" s="64">
        <f t="shared" si="24"/>
        <v>-22</v>
      </c>
      <c r="AV194" s="64">
        <f t="shared" si="24"/>
        <v>-26</v>
      </c>
      <c r="AW194" s="64">
        <f t="shared" si="24"/>
        <v>-30</v>
      </c>
      <c r="AX194" s="64">
        <f t="shared" si="24"/>
        <v>-34</v>
      </c>
      <c r="AY194" s="64">
        <f t="shared" si="24"/>
        <v>-38</v>
      </c>
      <c r="AZ194" s="64">
        <f t="shared" si="24"/>
        <v>-42</v>
      </c>
      <c r="BA194" s="64">
        <f t="shared" si="24"/>
        <v>-46</v>
      </c>
      <c r="BB194" s="64">
        <f t="shared" si="24"/>
        <v>-50</v>
      </c>
      <c r="BC194" s="64">
        <f t="shared" si="24"/>
        <v>-54</v>
      </c>
      <c r="BD194" s="64">
        <f t="shared" si="24"/>
        <v>-58</v>
      </c>
      <c r="BE194" s="64">
        <f t="shared" si="24"/>
        <v>-63</v>
      </c>
      <c r="BF194" s="64">
        <f t="shared" si="24"/>
        <v>-68</v>
      </c>
      <c r="BG194" s="64">
        <f t="shared" si="24"/>
        <v>-73</v>
      </c>
      <c r="BH194" s="64">
        <f t="shared" si="24"/>
        <v>-78</v>
      </c>
      <c r="BI194" s="64"/>
      <c r="BJ194" s="64"/>
      <c r="BK194" s="64"/>
      <c r="BL194" s="64"/>
      <c r="BM194" s="97"/>
      <c r="BN194" s="64"/>
      <c r="BO194" s="64"/>
    </row>
    <row r="195" spans="1:67" s="1" customFormat="1">
      <c r="B195" s="983">
        <v>17</v>
      </c>
      <c r="C195" s="974" t="s">
        <v>257</v>
      </c>
      <c r="D195" s="13" t="s">
        <v>415</v>
      </c>
      <c r="E195" s="14">
        <v>43502</v>
      </c>
      <c r="F195" s="15"/>
      <c r="G195" s="16" t="s">
        <v>416</v>
      </c>
      <c r="H195" s="16" t="s">
        <v>417</v>
      </c>
      <c r="I195" s="16" t="s">
        <v>418</v>
      </c>
      <c r="J195" s="45">
        <v>43556</v>
      </c>
      <c r="K195" s="46">
        <v>1</v>
      </c>
      <c r="L195" s="47" t="s">
        <v>262</v>
      </c>
      <c r="M195" s="48"/>
      <c r="N195" s="48"/>
      <c r="O195" s="48"/>
      <c r="P195" s="48"/>
      <c r="Q195" s="48"/>
      <c r="R195" s="48"/>
      <c r="S195" s="48"/>
      <c r="T195" s="70"/>
      <c r="U195" s="145"/>
      <c r="V195" s="145"/>
      <c r="W195" s="48"/>
      <c r="X195" s="48"/>
      <c r="Y195" s="71">
        <v>100</v>
      </c>
      <c r="Z195" s="48"/>
      <c r="AA195" s="48"/>
      <c r="AB195" s="48"/>
      <c r="AC195" s="48"/>
      <c r="AD195" s="48"/>
      <c r="AE195" s="48"/>
      <c r="AF195" s="48"/>
      <c r="AG195" s="48"/>
      <c r="AH195" s="121"/>
      <c r="AI195" s="48"/>
      <c r="AJ195" s="48"/>
      <c r="AK195" s="48"/>
      <c r="AL195" s="48"/>
      <c r="AM195" s="48"/>
      <c r="AN195" s="48"/>
      <c r="AO195" s="48"/>
      <c r="AP195" s="48"/>
      <c r="AQ195" s="48"/>
      <c r="AR195" s="48"/>
      <c r="AS195" s="48"/>
      <c r="AT195" s="48"/>
      <c r="AU195" s="48"/>
      <c r="AV195" s="48"/>
      <c r="AW195" s="48"/>
      <c r="AX195" s="48"/>
      <c r="AY195" s="48"/>
      <c r="AZ195" s="48"/>
      <c r="BA195" s="48"/>
      <c r="BB195" s="48"/>
      <c r="BC195" s="48"/>
      <c r="BD195" s="48"/>
      <c r="BE195" s="48"/>
      <c r="BF195" s="48"/>
      <c r="BG195" s="48"/>
      <c r="BH195" s="48"/>
      <c r="BI195" s="48"/>
      <c r="BJ195" s="48"/>
      <c r="BK195" s="48"/>
      <c r="BL195" s="81"/>
      <c r="BM195" s="54">
        <v>3</v>
      </c>
      <c r="BN195" s="19" t="s">
        <v>334</v>
      </c>
      <c r="BO195" s="48"/>
    </row>
    <row r="196" spans="1:67" s="1" customFormat="1" ht="44.25">
      <c r="B196" s="985"/>
      <c r="C196" s="975"/>
      <c r="D196" s="17"/>
      <c r="E196" s="18"/>
      <c r="F196" s="19"/>
      <c r="G196" s="20"/>
      <c r="H196" s="20"/>
      <c r="I196" s="20"/>
      <c r="J196" s="49"/>
      <c r="K196" s="50"/>
      <c r="L196" s="47" t="s">
        <v>264</v>
      </c>
      <c r="M196" s="19"/>
      <c r="N196" s="19"/>
      <c r="O196" s="19"/>
      <c r="P196" s="19"/>
      <c r="Q196" s="19"/>
      <c r="R196" s="19"/>
      <c r="S196" s="19"/>
      <c r="T196" s="19"/>
      <c r="U196" s="72"/>
      <c r="V196" s="73">
        <v>5</v>
      </c>
      <c r="W196" s="73">
        <v>5</v>
      </c>
      <c r="X196" s="73">
        <v>5</v>
      </c>
      <c r="Y196" s="73">
        <v>5</v>
      </c>
      <c r="Z196" s="73">
        <v>5</v>
      </c>
      <c r="AA196" s="73">
        <v>5</v>
      </c>
      <c r="AB196" s="73">
        <v>5</v>
      </c>
      <c r="AC196" s="73">
        <v>5</v>
      </c>
      <c r="AD196" s="73">
        <v>5</v>
      </c>
      <c r="AE196" s="73">
        <v>5</v>
      </c>
      <c r="AF196" s="73">
        <v>5</v>
      </c>
      <c r="AG196" s="161"/>
      <c r="AH196" s="73">
        <v>5</v>
      </c>
      <c r="AI196" s="73">
        <v>5</v>
      </c>
      <c r="AJ196" s="73">
        <v>5</v>
      </c>
      <c r="AK196" s="73">
        <v>5</v>
      </c>
      <c r="AL196" s="73">
        <v>5</v>
      </c>
      <c r="AM196" s="73">
        <v>5</v>
      </c>
      <c r="AN196" s="19"/>
      <c r="AO196" s="19"/>
      <c r="AP196" s="19"/>
      <c r="AQ196" s="19"/>
      <c r="AR196" s="19"/>
      <c r="AS196" s="19"/>
      <c r="AT196" s="19"/>
      <c r="AU196" s="19"/>
      <c r="AV196" s="19"/>
      <c r="AW196" s="19"/>
      <c r="AX196" s="19"/>
      <c r="AY196" s="19"/>
      <c r="AZ196" s="19"/>
      <c r="BA196" s="19"/>
      <c r="BB196" s="19"/>
      <c r="BC196" s="19"/>
      <c r="BD196" s="19"/>
      <c r="BE196" s="19"/>
      <c r="BF196" s="19"/>
      <c r="BG196" s="19"/>
      <c r="BH196" s="19"/>
      <c r="BI196" s="19"/>
      <c r="BJ196" s="19"/>
      <c r="BK196" s="19"/>
      <c r="BL196" s="82"/>
      <c r="BM196" s="93"/>
      <c r="BN196" s="19"/>
      <c r="BO196" s="24" t="s">
        <v>419</v>
      </c>
    </row>
    <row r="197" spans="1:67" ht="15.2">
      <c r="B197" s="983">
        <v>17</v>
      </c>
      <c r="C197" s="974" t="s">
        <v>420</v>
      </c>
      <c r="D197" s="13" t="s">
        <v>421</v>
      </c>
      <c r="E197" s="14">
        <v>43502</v>
      </c>
      <c r="F197" s="15"/>
      <c r="G197" s="16" t="s">
        <v>422</v>
      </c>
      <c r="H197" s="16" t="s">
        <v>423</v>
      </c>
      <c r="I197" s="16" t="s">
        <v>424</v>
      </c>
      <c r="J197" s="45">
        <v>43769</v>
      </c>
      <c r="K197" s="46">
        <v>1</v>
      </c>
      <c r="L197" s="47" t="s">
        <v>262</v>
      </c>
      <c r="M197" s="48"/>
      <c r="N197" s="48"/>
      <c r="O197" s="48"/>
      <c r="P197" s="48"/>
      <c r="Q197" s="48"/>
      <c r="R197" s="48"/>
      <c r="S197" s="48"/>
      <c r="T197" s="70"/>
      <c r="U197" s="145"/>
      <c r="V197" s="145"/>
      <c r="W197" s="48"/>
      <c r="X197" s="48"/>
      <c r="Y197" s="48"/>
      <c r="Z197" s="48"/>
      <c r="AA197" s="48"/>
      <c r="AB197" s="48"/>
      <c r="AC197" s="48"/>
      <c r="AD197" s="48"/>
      <c r="AE197" s="48"/>
      <c r="AF197" s="48"/>
      <c r="AG197" s="48"/>
      <c r="AH197" s="121"/>
      <c r="AI197" s="48"/>
      <c r="AJ197" s="48"/>
      <c r="AK197" s="48"/>
      <c r="AL197" s="48"/>
      <c r="AM197" s="48"/>
      <c r="AN197" s="48"/>
      <c r="AO197" s="48"/>
      <c r="AP197" s="48"/>
      <c r="AQ197" s="48"/>
      <c r="AR197" s="48"/>
      <c r="AS197" s="48"/>
      <c r="AT197" s="48"/>
      <c r="AU197" s="48"/>
      <c r="AV197" s="48"/>
      <c r="AW197" s="48"/>
      <c r="AX197" s="48"/>
      <c r="AY197" s="48"/>
      <c r="AZ197" s="189">
        <v>100</v>
      </c>
      <c r="BA197" s="48"/>
      <c r="BB197" s="48"/>
      <c r="BC197" s="48"/>
      <c r="BD197" s="48"/>
      <c r="BE197" s="48"/>
      <c r="BF197" s="48"/>
      <c r="BG197" s="48"/>
      <c r="BH197" s="48"/>
      <c r="BI197" s="48"/>
      <c r="BJ197" s="48"/>
      <c r="BK197" s="48"/>
      <c r="BL197" s="81"/>
      <c r="BM197" s="179">
        <v>2</v>
      </c>
      <c r="BN197" s="19" t="s">
        <v>425</v>
      </c>
      <c r="BO197" s="986" t="s">
        <v>426</v>
      </c>
    </row>
    <row r="198" spans="1:67">
      <c r="B198" s="984"/>
      <c r="C198" s="976"/>
      <c r="D198" s="183" t="s">
        <v>427</v>
      </c>
      <c r="E198" s="36"/>
      <c r="F198" s="37"/>
      <c r="G198" s="38"/>
      <c r="H198" s="38"/>
      <c r="I198" s="38"/>
      <c r="J198" s="185"/>
      <c r="K198" s="186">
        <v>0.5</v>
      </c>
      <c r="L198" s="47" t="s">
        <v>262</v>
      </c>
      <c r="M198" s="19"/>
      <c r="N198" s="19"/>
      <c r="O198" s="19"/>
      <c r="P198" s="19"/>
      <c r="Q198" s="19"/>
      <c r="R198" s="19"/>
      <c r="S198" s="19"/>
      <c r="T198" s="187"/>
      <c r="U198" s="72"/>
      <c r="V198" s="72"/>
      <c r="W198" s="19"/>
      <c r="X198" s="19"/>
      <c r="Y198" s="19"/>
      <c r="Z198" s="19"/>
      <c r="AA198" s="19"/>
      <c r="AB198" s="19"/>
      <c r="AC198" s="19"/>
      <c r="AD198" s="19"/>
      <c r="AE198" s="19"/>
      <c r="AF198" s="19"/>
      <c r="AG198" s="19"/>
      <c r="AH198" s="33"/>
      <c r="AI198" s="19"/>
      <c r="AJ198" s="19"/>
      <c r="AK198" s="19"/>
      <c r="AL198" s="19"/>
      <c r="AM198" s="19"/>
      <c r="AN198" s="19"/>
      <c r="AO198" s="19"/>
      <c r="AP198" s="19"/>
      <c r="AQ198" s="19"/>
      <c r="AR198" s="19"/>
      <c r="AS198" s="188"/>
      <c r="AT198" s="188"/>
      <c r="AU198" s="159">
        <v>10</v>
      </c>
      <c r="AV198" s="159">
        <v>10</v>
      </c>
      <c r="AW198" s="159">
        <v>10</v>
      </c>
      <c r="AX198" s="159">
        <v>10</v>
      </c>
      <c r="AY198" s="159">
        <v>10</v>
      </c>
      <c r="AZ198" s="19"/>
      <c r="BA198" s="19"/>
      <c r="BB198" s="19"/>
      <c r="BC198" s="19"/>
      <c r="BD198" s="19"/>
      <c r="BE198" s="19"/>
      <c r="BF198" s="19"/>
      <c r="BG198" s="19"/>
      <c r="BH198" s="19"/>
      <c r="BI198" s="19"/>
      <c r="BJ198" s="19"/>
      <c r="BK198" s="19"/>
      <c r="BL198" s="82"/>
      <c r="BM198" s="54"/>
      <c r="BN198" s="19"/>
      <c r="BO198" s="987"/>
    </row>
    <row r="199" spans="1:67" ht="15.2">
      <c r="B199" s="984"/>
      <c r="C199" s="976"/>
      <c r="D199" s="184"/>
      <c r="E199" s="36"/>
      <c r="F199" s="37"/>
      <c r="G199" s="38"/>
      <c r="H199" s="38"/>
      <c r="I199" s="38"/>
      <c r="J199" s="185"/>
      <c r="K199" s="186"/>
      <c r="L199" s="47" t="s">
        <v>264</v>
      </c>
      <c r="M199" s="19"/>
      <c r="N199" s="19"/>
      <c r="O199" s="19"/>
      <c r="P199" s="19"/>
      <c r="Q199" s="19"/>
      <c r="R199" s="19"/>
      <c r="S199" s="19"/>
      <c r="T199" s="187"/>
      <c r="U199" s="72"/>
      <c r="V199" s="72"/>
      <c r="W199" s="19"/>
      <c r="X199" s="19"/>
      <c r="Y199" s="19"/>
      <c r="Z199" s="19"/>
      <c r="AA199" s="19"/>
      <c r="AB199" s="19"/>
      <c r="AC199" s="19"/>
      <c r="AD199" s="19"/>
      <c r="AE199" s="19"/>
      <c r="AF199" s="19"/>
      <c r="AG199" s="19"/>
      <c r="AH199" s="33"/>
      <c r="AI199" s="19"/>
      <c r="AJ199" s="19"/>
      <c r="AK199" s="19"/>
      <c r="AL199" s="19"/>
      <c r="AM199" s="19"/>
      <c r="AN199" s="19"/>
      <c r="AO199" s="19"/>
      <c r="AP199" s="19"/>
      <c r="AQ199" s="19"/>
      <c r="AR199" s="19"/>
      <c r="AS199" s="19"/>
      <c r="AT199" s="122">
        <v>10</v>
      </c>
      <c r="AU199" s="122">
        <v>10</v>
      </c>
      <c r="AV199" s="122">
        <v>10</v>
      </c>
      <c r="AW199" s="122">
        <v>10</v>
      </c>
      <c r="AX199" s="122">
        <v>10</v>
      </c>
      <c r="AY199" s="19"/>
      <c r="AZ199" s="19"/>
      <c r="BA199" s="19"/>
      <c r="BB199" s="19"/>
      <c r="BC199" s="19"/>
      <c r="BD199" s="19"/>
      <c r="BE199" s="19"/>
      <c r="BF199" s="19"/>
      <c r="BG199" s="19"/>
      <c r="BH199" s="19"/>
      <c r="BI199" s="19"/>
      <c r="BJ199" s="19"/>
      <c r="BK199" s="19"/>
      <c r="BL199" s="82"/>
      <c r="BM199" s="54"/>
      <c r="BN199" s="19"/>
      <c r="BO199" s="19"/>
    </row>
    <row r="200" spans="1:67" ht="29.1">
      <c r="B200" s="984"/>
      <c r="C200" s="976"/>
      <c r="D200" s="184" t="s">
        <v>428</v>
      </c>
      <c r="E200" s="36"/>
      <c r="F200" s="37"/>
      <c r="G200" s="38"/>
      <c r="H200" s="38"/>
      <c r="I200" s="38"/>
      <c r="J200" s="185"/>
      <c r="K200" s="186">
        <v>0.5</v>
      </c>
      <c r="L200" s="47" t="s">
        <v>262</v>
      </c>
      <c r="M200" s="19"/>
      <c r="N200" s="19"/>
      <c r="O200" s="19"/>
      <c r="P200" s="19"/>
      <c r="Q200" s="19"/>
      <c r="R200" s="19"/>
      <c r="S200" s="19"/>
      <c r="T200" s="187"/>
      <c r="U200" s="72"/>
      <c r="V200" s="72"/>
      <c r="W200" s="19"/>
      <c r="X200" s="19"/>
      <c r="Y200" s="19"/>
      <c r="Z200" s="19"/>
      <c r="AA200" s="19"/>
      <c r="AB200" s="19"/>
      <c r="AC200" s="19"/>
      <c r="AD200" s="19"/>
      <c r="AE200" s="19"/>
      <c r="AF200" s="19"/>
      <c r="AG200" s="19"/>
      <c r="AH200" s="33"/>
      <c r="AI200" s="19"/>
      <c r="AJ200" s="19"/>
      <c r="AK200" s="19"/>
      <c r="AL200" s="19"/>
      <c r="AM200" s="19"/>
      <c r="AN200" s="19"/>
      <c r="AO200" s="19"/>
      <c r="AP200" s="19"/>
      <c r="AQ200" s="19"/>
      <c r="AR200" s="19"/>
      <c r="AS200" s="19"/>
      <c r="AT200" s="19"/>
      <c r="AU200" s="19"/>
      <c r="AV200" s="19"/>
      <c r="AW200" s="19"/>
      <c r="AX200" s="19"/>
      <c r="AY200" s="159">
        <v>25</v>
      </c>
      <c r="AZ200" s="159">
        <v>25</v>
      </c>
      <c r="BA200" s="19"/>
      <c r="BB200" s="19"/>
      <c r="BC200" s="19"/>
      <c r="BD200" s="19"/>
      <c r="BE200" s="19"/>
      <c r="BF200" s="19"/>
      <c r="BG200" s="19"/>
      <c r="BH200" s="19"/>
      <c r="BI200" s="19"/>
      <c r="BJ200" s="19"/>
      <c r="BK200" s="19"/>
      <c r="BL200" s="82"/>
      <c r="BM200" s="54"/>
      <c r="BN200" s="19" t="s">
        <v>425</v>
      </c>
      <c r="BO200" s="191" t="s">
        <v>429</v>
      </c>
    </row>
    <row r="201" spans="1:67" ht="57.95">
      <c r="B201" s="985"/>
      <c r="C201" s="975"/>
      <c r="D201" s="17"/>
      <c r="E201" s="18"/>
      <c r="F201" s="19"/>
      <c r="G201" s="20"/>
      <c r="H201" s="20"/>
      <c r="I201" s="20"/>
      <c r="J201" s="49"/>
      <c r="K201" s="50"/>
      <c r="L201" s="47" t="s">
        <v>264</v>
      </c>
      <c r="M201" s="19"/>
      <c r="N201" s="19"/>
      <c r="O201" s="19"/>
      <c r="P201" s="19"/>
      <c r="Q201" s="19"/>
      <c r="R201" s="19"/>
      <c r="S201" s="19"/>
      <c r="T201" s="19"/>
      <c r="U201" s="72"/>
      <c r="V201" s="33"/>
      <c r="W201" s="33"/>
      <c r="X201" s="33"/>
      <c r="Y201" s="33"/>
      <c r="Z201" s="33"/>
      <c r="AA201" s="33"/>
      <c r="AB201" s="33"/>
      <c r="AC201" s="33"/>
      <c r="AD201" s="33"/>
      <c r="AE201" s="33"/>
      <c r="AF201" s="33"/>
      <c r="AG201" s="19"/>
      <c r="AH201" s="33"/>
      <c r="AI201" s="33"/>
      <c r="AJ201" s="33"/>
      <c r="AK201" s="33"/>
      <c r="AL201" s="33"/>
      <c r="AM201" s="33"/>
      <c r="AN201" s="19"/>
      <c r="AO201" s="19"/>
      <c r="AP201" s="19"/>
      <c r="AQ201" s="19"/>
      <c r="AR201" s="19"/>
      <c r="AS201" s="19"/>
      <c r="AT201" s="19"/>
      <c r="AU201" s="19"/>
      <c r="AV201" s="19"/>
      <c r="AW201" s="19"/>
      <c r="AX201" s="19"/>
      <c r="AY201" s="19"/>
      <c r="AZ201" s="190">
        <v>50</v>
      </c>
      <c r="BA201" s="19"/>
      <c r="BB201" s="19"/>
      <c r="BC201" s="19"/>
      <c r="BD201" s="19"/>
      <c r="BE201" s="19"/>
      <c r="BF201" s="19"/>
      <c r="BG201" s="19"/>
      <c r="BH201" s="19"/>
      <c r="BI201" s="19"/>
      <c r="BJ201" s="19"/>
      <c r="BK201" s="19"/>
      <c r="BL201" s="82"/>
      <c r="BM201" s="93"/>
      <c r="BN201" s="33" t="s">
        <v>430</v>
      </c>
      <c r="BO201" s="20" t="s">
        <v>431</v>
      </c>
    </row>
  </sheetData>
  <mergeCells count="153">
    <mergeCell ref="BO188:BO189"/>
    <mergeCell ref="BO197:BO198"/>
    <mergeCell ref="B2:BO3"/>
    <mergeCell ref="K155:K156"/>
    <mergeCell ref="K157:K158"/>
    <mergeCell ref="K165:K166"/>
    <mergeCell ref="K167:K168"/>
    <mergeCell ref="K169:K170"/>
    <mergeCell ref="K177:K178"/>
    <mergeCell ref="K179:K180"/>
    <mergeCell ref="K181:K182"/>
    <mergeCell ref="L7:L8"/>
    <mergeCell ref="K91:K92"/>
    <mergeCell ref="K93:K94"/>
    <mergeCell ref="K95:K96"/>
    <mergeCell ref="K103:K104"/>
    <mergeCell ref="K105:K106"/>
    <mergeCell ref="K113:K114"/>
    <mergeCell ref="K115:K116"/>
    <mergeCell ref="K123:K124"/>
    <mergeCell ref="K125:K126"/>
    <mergeCell ref="K14:K15"/>
    <mergeCell ref="K16:K17"/>
    <mergeCell ref="K18:K19"/>
    <mergeCell ref="K44:K45"/>
    <mergeCell ref="K46:K47"/>
    <mergeCell ref="K48:K49"/>
    <mergeCell ref="B195:B196"/>
    <mergeCell ref="B197:B201"/>
    <mergeCell ref="C7:C8"/>
    <mergeCell ref="C9:C10"/>
    <mergeCell ref="C11:C12"/>
    <mergeCell ref="C13:C24"/>
    <mergeCell ref="C25:C34"/>
    <mergeCell ref="C35:C42"/>
    <mergeCell ref="C43:C54"/>
    <mergeCell ref="C55:C101"/>
    <mergeCell ref="C102:C111"/>
    <mergeCell ref="C112:C121"/>
    <mergeCell ref="C122:C131"/>
    <mergeCell ref="C132:C143"/>
    <mergeCell ref="C144:C153"/>
    <mergeCell ref="C154:C163"/>
    <mergeCell ref="C164:C175"/>
    <mergeCell ref="C176:C187"/>
    <mergeCell ref="C188:C194"/>
    <mergeCell ref="C195:C196"/>
    <mergeCell ref="C197:C201"/>
    <mergeCell ref="D190:K190"/>
    <mergeCell ref="D192:K192"/>
    <mergeCell ref="D194:K194"/>
    <mergeCell ref="B7:B8"/>
    <mergeCell ref="B9:B10"/>
    <mergeCell ref="B11:B12"/>
    <mergeCell ref="B13:B24"/>
    <mergeCell ref="B25:B34"/>
    <mergeCell ref="B35:B42"/>
    <mergeCell ref="B43:B54"/>
    <mergeCell ref="B55:B101"/>
    <mergeCell ref="B102:B111"/>
    <mergeCell ref="B112:B121"/>
    <mergeCell ref="B122:B131"/>
    <mergeCell ref="B132:B143"/>
    <mergeCell ref="B144:B153"/>
    <mergeCell ref="B154:B163"/>
    <mergeCell ref="B164:B175"/>
    <mergeCell ref="B176:B187"/>
    <mergeCell ref="B188:B194"/>
    <mergeCell ref="D7:D8"/>
    <mergeCell ref="G7:G8"/>
    <mergeCell ref="D159:K159"/>
    <mergeCell ref="D161:K161"/>
    <mergeCell ref="D163:K163"/>
    <mergeCell ref="D171:K171"/>
    <mergeCell ref="D173:K173"/>
    <mergeCell ref="D175:K175"/>
    <mergeCell ref="D97:K97"/>
    <mergeCell ref="D99:K99"/>
    <mergeCell ref="D101:K101"/>
    <mergeCell ref="D107:K107"/>
    <mergeCell ref="D109:K109"/>
    <mergeCell ref="D111:K111"/>
    <mergeCell ref="D117:K117"/>
    <mergeCell ref="D119:K119"/>
    <mergeCell ref="D121:K121"/>
    <mergeCell ref="D50:K50"/>
    <mergeCell ref="D52:K52"/>
    <mergeCell ref="D54:K54"/>
    <mergeCell ref="D73:K73"/>
    <mergeCell ref="D75:K75"/>
    <mergeCell ref="D77:K77"/>
    <mergeCell ref="K26:K27"/>
    <mergeCell ref="K28:K29"/>
    <mergeCell ref="D183:K183"/>
    <mergeCell ref="D185:K185"/>
    <mergeCell ref="D187:K187"/>
    <mergeCell ref="D127:K127"/>
    <mergeCell ref="D129:K129"/>
    <mergeCell ref="D131:K131"/>
    <mergeCell ref="D139:K139"/>
    <mergeCell ref="D141:K141"/>
    <mergeCell ref="D143:K143"/>
    <mergeCell ref="D149:K149"/>
    <mergeCell ref="D151:K151"/>
    <mergeCell ref="D153:K153"/>
    <mergeCell ref="K133:K134"/>
    <mergeCell ref="K135:K136"/>
    <mergeCell ref="K137:K138"/>
    <mergeCell ref="K145:K146"/>
    <mergeCell ref="K147:K148"/>
    <mergeCell ref="D85:K85"/>
    <mergeCell ref="D87:K87"/>
    <mergeCell ref="D89:K89"/>
    <mergeCell ref="K56:K57"/>
    <mergeCell ref="K69:K70"/>
    <mergeCell ref="K71:K72"/>
    <mergeCell ref="K79:K80"/>
    <mergeCell ref="K81:K82"/>
    <mergeCell ref="K83:K84"/>
    <mergeCell ref="D20:K20"/>
    <mergeCell ref="D22:K22"/>
    <mergeCell ref="D24:K24"/>
    <mergeCell ref="D30:K30"/>
    <mergeCell ref="D32:K32"/>
    <mergeCell ref="D34:K34"/>
    <mergeCell ref="D38:K38"/>
    <mergeCell ref="D40:K40"/>
    <mergeCell ref="D42:K42"/>
    <mergeCell ref="K36:K37"/>
    <mergeCell ref="C4:E4"/>
    <mergeCell ref="B5:BO5"/>
    <mergeCell ref="M7:P7"/>
    <mergeCell ref="Q7:T7"/>
    <mergeCell ref="U7:X7"/>
    <mergeCell ref="Y7:AB7"/>
    <mergeCell ref="AC7:AF7"/>
    <mergeCell ref="AG7:AJ7"/>
    <mergeCell ref="AK7:AN7"/>
    <mergeCell ref="AO7:AR7"/>
    <mergeCell ref="AS7:AV7"/>
    <mergeCell ref="AW7:AZ7"/>
    <mergeCell ref="BA7:BD7"/>
    <mergeCell ref="BE7:BH7"/>
    <mergeCell ref="H7:H8"/>
    <mergeCell ref="I7:I8"/>
    <mergeCell ref="J7:J8"/>
    <mergeCell ref="K7:K8"/>
    <mergeCell ref="BL7:BL8"/>
    <mergeCell ref="BM7:BM8"/>
    <mergeCell ref="BN7:BN8"/>
    <mergeCell ref="BO7:BO8"/>
    <mergeCell ref="E7:E8"/>
    <mergeCell ref="F7:F8"/>
  </mergeCells>
  <conditionalFormatting sqref="BN102">
    <cfRule type="containsText" dxfId="49" priority="39" stopIfTrue="1" operator="containsText" text="Closed">
      <formula>NOT(ISERROR(SEARCH("Closed",BN102)))</formula>
    </cfRule>
    <cfRule type="containsText" dxfId="48" priority="40" stopIfTrue="1" operator="containsText" text="Open">
      <formula>NOT(ISERROR(SEARCH("Open",BN102)))</formula>
    </cfRule>
  </conditionalFormatting>
  <conditionalFormatting sqref="BN112">
    <cfRule type="containsText" dxfId="47" priority="37" stopIfTrue="1" operator="containsText" text="Closed">
      <formula>NOT(ISERROR(SEARCH("Closed",BN112)))</formula>
    </cfRule>
    <cfRule type="containsText" dxfId="46" priority="38" stopIfTrue="1" operator="containsText" text="Open">
      <formula>NOT(ISERROR(SEARCH("Open",BN112)))</formula>
    </cfRule>
  </conditionalFormatting>
  <conditionalFormatting sqref="BN122">
    <cfRule type="containsText" dxfId="45" priority="35" stopIfTrue="1" operator="containsText" text="Closed">
      <formula>NOT(ISERROR(SEARCH("Closed",BN122)))</formula>
    </cfRule>
    <cfRule type="containsText" dxfId="44" priority="36" stopIfTrue="1" operator="containsText" text="Open">
      <formula>NOT(ISERROR(SEARCH("Open",BN122)))</formula>
    </cfRule>
  </conditionalFormatting>
  <conditionalFormatting sqref="BN132">
    <cfRule type="containsText" dxfId="43" priority="33" stopIfTrue="1" operator="containsText" text="Closed">
      <formula>NOT(ISERROR(SEARCH("Closed",BN132)))</formula>
    </cfRule>
    <cfRule type="containsText" dxfId="42" priority="34" stopIfTrue="1" operator="containsText" text="Open">
      <formula>NOT(ISERROR(SEARCH("Open",BN132)))</formula>
    </cfRule>
  </conditionalFormatting>
  <conditionalFormatting sqref="BN144">
    <cfRule type="containsText" dxfId="41" priority="15" stopIfTrue="1" operator="containsText" text="Closed">
      <formula>NOT(ISERROR(SEARCH("Closed",BN144)))</formula>
    </cfRule>
    <cfRule type="containsText" dxfId="40" priority="16" stopIfTrue="1" operator="containsText" text="Open">
      <formula>NOT(ISERROR(SEARCH("Open",BN144)))</formula>
    </cfRule>
    <cfRule type="cellIs" dxfId="39" priority="13" stopIfTrue="1" operator="equal">
      <formula>"Close"</formula>
    </cfRule>
    <cfRule type="cellIs" dxfId="38" priority="14" stopIfTrue="1" operator="equal">
      <formula>"progress"</formula>
    </cfRule>
  </conditionalFormatting>
  <conditionalFormatting sqref="BN197">
    <cfRule type="containsText" dxfId="37" priority="7" stopIfTrue="1" operator="containsText" text="Closed">
      <formula>NOT(ISERROR(SEARCH("Closed",BN197)))</formula>
    </cfRule>
    <cfRule type="containsText" dxfId="36" priority="8" stopIfTrue="1" operator="containsText" text="Open">
      <formula>NOT(ISERROR(SEARCH("Open",BN197)))</formula>
    </cfRule>
    <cfRule type="cellIs" dxfId="35" priority="5" stopIfTrue="1" operator="equal">
      <formula>"Close"</formula>
    </cfRule>
    <cfRule type="cellIs" dxfId="34" priority="6" stopIfTrue="1" operator="equal">
      <formula>"progress"</formula>
    </cfRule>
  </conditionalFormatting>
  <conditionalFormatting sqref="BN200">
    <cfRule type="containsText" dxfId="33" priority="3" stopIfTrue="1" operator="containsText" text="Closed">
      <formula>NOT(ISERROR(SEARCH("Closed",BN200)))</formula>
    </cfRule>
    <cfRule type="containsText" dxfId="32" priority="4" stopIfTrue="1" operator="containsText" text="Open">
      <formula>NOT(ISERROR(SEARCH("Open",BN200)))</formula>
    </cfRule>
    <cfRule type="cellIs" dxfId="31" priority="1" stopIfTrue="1" operator="equal">
      <formula>"Close"</formula>
    </cfRule>
    <cfRule type="cellIs" dxfId="30" priority="2" stopIfTrue="1" operator="equal">
      <formula>"progress"</formula>
    </cfRule>
  </conditionalFormatting>
  <conditionalFormatting sqref="BN58:BN68">
    <cfRule type="containsText" dxfId="29" priority="41" stopIfTrue="1" operator="containsText" text="Closed">
      <formula>NOT(ISERROR(SEARCH("Closed",BN58)))</formula>
    </cfRule>
    <cfRule type="containsText" dxfId="28" priority="42" stopIfTrue="1" operator="containsText" text="Open">
      <formula>NOT(ISERROR(SEARCH("Open",BN58)))</formula>
    </cfRule>
  </conditionalFormatting>
  <conditionalFormatting sqref="BN78:BN84">
    <cfRule type="containsText" dxfId="27" priority="49" stopIfTrue="1" operator="containsText" text="Closed">
      <formula>NOT(ISERROR(SEARCH("Closed",BN78)))</formula>
    </cfRule>
    <cfRule type="containsText" dxfId="26" priority="50" stopIfTrue="1" operator="containsText" text="Open">
      <formula>NOT(ISERROR(SEARCH("Open",BN78)))</formula>
    </cfRule>
    <cfRule type="cellIs" dxfId="25" priority="47" stopIfTrue="1" operator="equal">
      <formula>"Close"</formula>
    </cfRule>
    <cfRule type="cellIs" dxfId="24" priority="48" stopIfTrue="1" operator="equal">
      <formula>"progress"</formula>
    </cfRule>
  </conditionalFormatting>
  <conditionalFormatting sqref="BN90:BN96">
    <cfRule type="containsText" dxfId="23" priority="45" stopIfTrue="1" operator="containsText" text="Closed">
      <formula>NOT(ISERROR(SEARCH("Closed",BN90)))</formula>
    </cfRule>
    <cfRule type="containsText" dxfId="22" priority="46" stopIfTrue="1" operator="containsText" text="Open">
      <formula>NOT(ISERROR(SEARCH("Open",BN90)))</formula>
    </cfRule>
    <cfRule type="cellIs" dxfId="21" priority="43" stopIfTrue="1" operator="equal">
      <formula>"Close"</formula>
    </cfRule>
    <cfRule type="cellIs" dxfId="20" priority="44" stopIfTrue="1" operator="equal">
      <formula>"progress"</formula>
    </cfRule>
  </conditionalFormatting>
  <conditionalFormatting sqref="BN145:BN148">
    <cfRule type="containsText" dxfId="19" priority="19" stopIfTrue="1" operator="containsText" text="Closed">
      <formula>NOT(ISERROR(SEARCH("Closed",BN145)))</formula>
    </cfRule>
    <cfRule type="containsText" dxfId="18" priority="20" stopIfTrue="1" operator="containsText" text="Open">
      <formula>NOT(ISERROR(SEARCH("Open",BN145)))</formula>
    </cfRule>
    <cfRule type="cellIs" dxfId="17" priority="17" stopIfTrue="1" operator="equal">
      <formula>"Close"</formula>
    </cfRule>
    <cfRule type="cellIs" dxfId="16" priority="18" stopIfTrue="1" operator="equal">
      <formula>"progress"</formula>
    </cfRule>
  </conditionalFormatting>
  <conditionalFormatting sqref="BN154:BN158">
    <cfRule type="containsText" dxfId="15" priority="31" stopIfTrue="1" operator="containsText" text="Closed">
      <formula>NOT(ISERROR(SEARCH("Closed",BN154)))</formula>
    </cfRule>
    <cfRule type="containsText" dxfId="14" priority="32" stopIfTrue="1" operator="containsText" text="Open">
      <formula>NOT(ISERROR(SEARCH("Open",BN154)))</formula>
    </cfRule>
    <cfRule type="cellIs" dxfId="13" priority="29" stopIfTrue="1" operator="equal">
      <formula>"Close"</formula>
    </cfRule>
    <cfRule type="cellIs" dxfId="12" priority="30" stopIfTrue="1" operator="equal">
      <formula>"progress"</formula>
    </cfRule>
  </conditionalFormatting>
  <conditionalFormatting sqref="BN176:BN182">
    <cfRule type="containsText" dxfId="11" priority="27" stopIfTrue="1" operator="containsText" text="Closed">
      <formula>NOT(ISERROR(SEARCH("Closed",BN176)))</formula>
    </cfRule>
    <cfRule type="containsText" dxfId="10" priority="28" stopIfTrue="1" operator="containsText" text="Open">
      <formula>NOT(ISERROR(SEARCH("Open",BN176)))</formula>
    </cfRule>
    <cfRule type="cellIs" dxfId="9" priority="25" stopIfTrue="1" operator="equal">
      <formula>"Close"</formula>
    </cfRule>
    <cfRule type="cellIs" dxfId="8" priority="26" stopIfTrue="1" operator="equal">
      <formula>"progress"</formula>
    </cfRule>
  </conditionalFormatting>
  <conditionalFormatting sqref="BN195:BN196">
    <cfRule type="containsText" dxfId="7" priority="23" stopIfTrue="1" operator="containsText" text="Closed">
      <formula>NOT(ISERROR(SEARCH("Closed",BN195)))</formula>
    </cfRule>
    <cfRule type="containsText" dxfId="6" priority="24" stopIfTrue="1" operator="containsText" text="Open">
      <formula>NOT(ISERROR(SEARCH("Open",BN195)))</formula>
    </cfRule>
    <cfRule type="cellIs" dxfId="5" priority="21" stopIfTrue="1" operator="equal">
      <formula>"Close"</formula>
    </cfRule>
    <cfRule type="cellIs" dxfId="4" priority="22" stopIfTrue="1" operator="equal">
      <formula>"progress"</formula>
    </cfRule>
  </conditionalFormatting>
  <conditionalFormatting sqref="BN197:BN201">
    <cfRule type="containsText" dxfId="3" priority="11" stopIfTrue="1" operator="containsText" text="Closed">
      <formula>NOT(ISERROR(SEARCH("Closed",BN197)))</formula>
    </cfRule>
    <cfRule type="containsText" dxfId="2" priority="12" stopIfTrue="1" operator="containsText" text="Open">
      <formula>NOT(ISERROR(SEARCH("Open",BN197)))</formula>
    </cfRule>
    <cfRule type="cellIs" dxfId="1" priority="9" stopIfTrue="1" operator="equal">
      <formula>"Close"</formula>
    </cfRule>
    <cfRule type="cellIs" dxfId="0" priority="10" stopIfTrue="1" operator="equal">
      <formula>"progress"</formula>
    </cfRule>
  </conditionalFormatting>
  <pageMargins left="0.69930555555555596" right="0.69930555555555596" top="0.75" bottom="0.75" header="0.3" footer="0.3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BELLA EKA DYAN SUPRAPTO</dc:creator>
  <cp:keywords/>
  <dc:description/>
  <cp:lastModifiedBy/>
  <cp:revision/>
  <dcterms:created xsi:type="dcterms:W3CDTF">2020-01-16T02:05:00Z</dcterms:created>
  <dcterms:modified xsi:type="dcterms:W3CDTF">2025-07-07T05:45:27Z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E984CA50D4124AC588BE8AB20AA04356_13</vt:lpwstr>
  </property>
  <property fmtid="{D5CDD505-2E9C-101B-9397-08002B2CF9AE}" pid="3" name="KSOProductBuildVer">
    <vt:lpwstr>1057-12.2.0.21546</vt:lpwstr>
  </property>
</Properties>
</file>