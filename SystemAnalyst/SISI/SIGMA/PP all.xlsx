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hrur.ridlo\Downloads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1" l="1"/>
  <c r="J38" i="1" s="1"/>
  <c r="K38" i="1" s="1"/>
  <c r="I37" i="1"/>
  <c r="J37" i="1" s="1"/>
  <c r="K37" i="1" s="1"/>
  <c r="T36" i="1"/>
  <c r="U36" i="1" s="1"/>
  <c r="S36" i="1"/>
  <c r="I36" i="1"/>
  <c r="J36" i="1" s="1"/>
  <c r="K36" i="1" s="1"/>
  <c r="S35" i="1"/>
  <c r="T35" i="1" s="1"/>
  <c r="U35" i="1" s="1"/>
  <c r="I35" i="1"/>
  <c r="J35" i="1" s="1"/>
  <c r="K35" i="1" s="1"/>
  <c r="S34" i="1"/>
  <c r="T34" i="1" s="1"/>
  <c r="U34" i="1" s="1"/>
  <c r="I34" i="1"/>
  <c r="J34" i="1" s="1"/>
  <c r="K34" i="1" s="1"/>
  <c r="S33" i="1"/>
  <c r="T33" i="1" s="1"/>
  <c r="U33" i="1" s="1"/>
  <c r="I33" i="1"/>
  <c r="J33" i="1" s="1"/>
  <c r="K33" i="1" s="1"/>
  <c r="S32" i="1"/>
  <c r="T32" i="1" s="1"/>
  <c r="U32" i="1" s="1"/>
  <c r="I32" i="1"/>
  <c r="J32" i="1" s="1"/>
  <c r="K32" i="1" s="1"/>
  <c r="S31" i="1"/>
  <c r="T31" i="1" s="1"/>
  <c r="U31" i="1" s="1"/>
  <c r="I31" i="1"/>
  <c r="J31" i="1" s="1"/>
  <c r="K31" i="1" s="1"/>
  <c r="S30" i="1"/>
  <c r="T30" i="1" s="1"/>
  <c r="U30" i="1" s="1"/>
  <c r="H30" i="1"/>
  <c r="T29" i="1"/>
  <c r="U29" i="1" s="1"/>
  <c r="I29" i="1"/>
  <c r="J29" i="1" s="1"/>
  <c r="K29" i="1" s="1"/>
  <c r="T28" i="1"/>
  <c r="U28" i="1" s="1"/>
  <c r="J28" i="1"/>
  <c r="K28" i="1" s="1"/>
  <c r="I28" i="1"/>
  <c r="T27" i="1"/>
  <c r="U27" i="1" s="1"/>
  <c r="I27" i="1"/>
  <c r="J27" i="1" s="1"/>
  <c r="K27" i="1" s="1"/>
  <c r="U26" i="1"/>
  <c r="T26" i="1"/>
  <c r="I26" i="1"/>
  <c r="J26" i="1" s="1"/>
  <c r="K26" i="1" s="1"/>
  <c r="T25" i="1"/>
  <c r="U25" i="1" s="1"/>
  <c r="J25" i="1"/>
  <c r="K25" i="1" s="1"/>
  <c r="I25" i="1"/>
  <c r="T24" i="1"/>
  <c r="U24" i="1" s="1"/>
  <c r="J24" i="1"/>
  <c r="K24" i="1" s="1"/>
  <c r="I24" i="1"/>
  <c r="T23" i="1"/>
  <c r="U23" i="1" s="1"/>
  <c r="I23" i="1"/>
  <c r="J23" i="1" s="1"/>
  <c r="K23" i="1" s="1"/>
  <c r="T22" i="1"/>
  <c r="U22" i="1" s="1"/>
  <c r="J22" i="1"/>
  <c r="K22" i="1" s="1"/>
  <c r="I22" i="1"/>
  <c r="T21" i="1"/>
  <c r="U21" i="1" s="1"/>
  <c r="I21" i="1"/>
  <c r="J21" i="1" s="1"/>
  <c r="K21" i="1" s="1"/>
  <c r="T20" i="1"/>
  <c r="U20" i="1" s="1"/>
  <c r="I20" i="1"/>
  <c r="J20" i="1" s="1"/>
  <c r="K20" i="1" s="1"/>
  <c r="T19" i="1"/>
  <c r="U19" i="1" s="1"/>
  <c r="J19" i="1"/>
  <c r="K19" i="1" s="1"/>
  <c r="I19" i="1"/>
  <c r="T18" i="1"/>
  <c r="U18" i="1" s="1"/>
  <c r="I18" i="1"/>
  <c r="J18" i="1" s="1"/>
  <c r="K18" i="1" s="1"/>
  <c r="U17" i="1"/>
  <c r="T17" i="1"/>
  <c r="I17" i="1"/>
  <c r="J17" i="1" s="1"/>
  <c r="K17" i="1" s="1"/>
  <c r="T16" i="1"/>
  <c r="U16" i="1" s="1"/>
  <c r="K16" i="1"/>
  <c r="J16" i="1"/>
  <c r="I16" i="1"/>
  <c r="T15" i="1"/>
  <c r="U15" i="1" s="1"/>
  <c r="I15" i="1"/>
  <c r="J15" i="1" s="1"/>
  <c r="K15" i="1" s="1"/>
  <c r="T14" i="1"/>
  <c r="U14" i="1" s="1"/>
  <c r="I14" i="1"/>
  <c r="J14" i="1" s="1"/>
  <c r="K14" i="1" s="1"/>
  <c r="U13" i="1"/>
  <c r="T13" i="1"/>
  <c r="J13" i="1"/>
  <c r="K13" i="1" s="1"/>
  <c r="I13" i="1"/>
  <c r="X12" i="1"/>
  <c r="T12" i="1"/>
  <c r="U12" i="1" s="1"/>
  <c r="I12" i="1"/>
  <c r="J12" i="1" s="1"/>
  <c r="K12" i="1" s="1"/>
  <c r="U11" i="1"/>
  <c r="T11" i="1"/>
  <c r="I11" i="1"/>
  <c r="J11" i="1" s="1"/>
  <c r="K11" i="1" s="1"/>
  <c r="T10" i="1"/>
  <c r="U10" i="1" s="1"/>
  <c r="I10" i="1"/>
  <c r="J10" i="1" s="1"/>
  <c r="K10" i="1" s="1"/>
  <c r="T9" i="1"/>
  <c r="U9" i="1" s="1"/>
  <c r="I9" i="1"/>
  <c r="J9" i="1" s="1"/>
  <c r="K9" i="1" s="1"/>
  <c r="T8" i="1"/>
  <c r="U8" i="1" s="1"/>
  <c r="I8" i="1"/>
  <c r="J8" i="1" s="1"/>
  <c r="K8" i="1" s="1"/>
  <c r="T7" i="1"/>
  <c r="U7" i="1" s="1"/>
  <c r="K7" i="1"/>
  <c r="I7" i="1"/>
  <c r="J7" i="1" s="1"/>
  <c r="T6" i="1"/>
  <c r="U6" i="1" s="1"/>
  <c r="I6" i="1"/>
  <c r="T5" i="1"/>
  <c r="U5" i="1" s="1"/>
  <c r="I5" i="1"/>
  <c r="J5" i="1" s="1"/>
  <c r="K5" i="1" s="1"/>
  <c r="T4" i="1"/>
  <c r="I4" i="1"/>
  <c r="J4" i="1" s="1"/>
  <c r="M36" i="1"/>
  <c r="M29" i="1"/>
  <c r="M26" i="1"/>
  <c r="M23" i="1"/>
  <c r="M20" i="1"/>
  <c r="M17" i="1"/>
  <c r="M14" i="1"/>
  <c r="M11" i="1"/>
  <c r="M8" i="1"/>
  <c r="M5" i="1"/>
  <c r="M37" i="1"/>
  <c r="M24" i="1"/>
  <c r="M22" i="1"/>
  <c r="M7" i="1"/>
  <c r="M34" i="1"/>
  <c r="M32" i="1"/>
  <c r="M28" i="1"/>
  <c r="M9" i="1"/>
  <c r="M4" i="1"/>
  <c r="M16" i="1"/>
  <c r="M12" i="1"/>
  <c r="M15" i="1"/>
  <c r="M13" i="1"/>
  <c r="M38" i="1"/>
  <c r="M30" i="1"/>
  <c r="M21" i="1"/>
  <c r="M19" i="1"/>
  <c r="M6" i="1"/>
  <c r="M27" i="1"/>
  <c r="M25" i="1"/>
  <c r="M35" i="1"/>
  <c r="M31" i="1"/>
  <c r="M10" i="1"/>
  <c r="M18" i="1"/>
  <c r="N18" i="1" l="1"/>
  <c r="O18" i="1" s="1"/>
  <c r="N10" i="1"/>
  <c r="O10" i="1" s="1"/>
  <c r="N31" i="1"/>
  <c r="O31" i="1" s="1"/>
  <c r="N35" i="1"/>
  <c r="O35" i="1" s="1"/>
  <c r="N25" i="1"/>
  <c r="O25" i="1" s="1"/>
  <c r="N27" i="1"/>
  <c r="O27" i="1" s="1"/>
  <c r="N6" i="1"/>
  <c r="O6" i="1" s="1"/>
  <c r="N19" i="1"/>
  <c r="O19" i="1" s="1"/>
  <c r="N21" i="1"/>
  <c r="O21" i="1" s="1"/>
  <c r="N30" i="1"/>
  <c r="O30" i="1" s="1"/>
  <c r="N38" i="1"/>
  <c r="O38" i="1" s="1"/>
  <c r="N13" i="1"/>
  <c r="O13" i="1" s="1"/>
  <c r="N15" i="1"/>
  <c r="O15" i="1" s="1"/>
  <c r="N12" i="1"/>
  <c r="O12" i="1" s="1"/>
  <c r="N16" i="1"/>
  <c r="O16" i="1" s="1"/>
  <c r="M40" i="1"/>
  <c r="N4" i="1"/>
  <c r="N9" i="1"/>
  <c r="O9" i="1" s="1"/>
  <c r="N28" i="1"/>
  <c r="O28" i="1" s="1"/>
  <c r="N32" i="1"/>
  <c r="O32" i="1" s="1"/>
  <c r="N34" i="1"/>
  <c r="O34" i="1" s="1"/>
  <c r="N7" i="1"/>
  <c r="O7" i="1" s="1"/>
  <c r="N22" i="1"/>
  <c r="O22" i="1" s="1"/>
  <c r="N24" i="1"/>
  <c r="O24" i="1" s="1"/>
  <c r="N37" i="1"/>
  <c r="O37" i="1" s="1"/>
  <c r="N5" i="1"/>
  <c r="O5" i="1" s="1"/>
  <c r="N8" i="1"/>
  <c r="O8" i="1" s="1"/>
  <c r="N11" i="1"/>
  <c r="O11" i="1" s="1"/>
  <c r="N14" i="1"/>
  <c r="O14" i="1" s="1"/>
  <c r="N17" i="1"/>
  <c r="O17" i="1" s="1"/>
  <c r="N20" i="1"/>
  <c r="O20" i="1" s="1"/>
  <c r="N23" i="1"/>
  <c r="O23" i="1" s="1"/>
  <c r="N26" i="1"/>
  <c r="O26" i="1" s="1"/>
  <c r="N29" i="1"/>
  <c r="O29" i="1" s="1"/>
  <c r="N36" i="1"/>
  <c r="O36" i="1" s="1"/>
  <c r="I40" i="1"/>
  <c r="K4" i="1"/>
  <c r="I30" i="1"/>
  <c r="J30" i="1" s="1"/>
  <c r="K30" i="1" s="1"/>
  <c r="J6" i="1"/>
  <c r="K6" i="1" s="1"/>
  <c r="T40" i="1"/>
  <c r="U4" i="1"/>
  <c r="U40" i="1" s="1"/>
  <c r="S40" i="1"/>
  <c r="N40" i="1" l="1"/>
  <c r="O4" i="1"/>
  <c r="O40" i="1" s="1"/>
  <c r="K40" i="1"/>
  <c r="J40" i="1"/>
</calcChain>
</file>

<file path=xl/sharedStrings.xml><?xml version="1.0" encoding="utf-8"?>
<sst xmlns="http://schemas.openxmlformats.org/spreadsheetml/2006/main" count="169" uniqueCount="93">
  <si>
    <t>Packer</t>
  </si>
  <si>
    <t>Area</t>
  </si>
  <si>
    <t>Nama Plant</t>
  </si>
  <si>
    <t>Kapasitas Silo</t>
  </si>
  <si>
    <t>Line of Packer</t>
  </si>
  <si>
    <t>Spec</t>
  </si>
  <si>
    <t>Supplier</t>
  </si>
  <si>
    <t>Design Capacity (TPH)</t>
  </si>
  <si>
    <t>Based on Max. Design Capacity</t>
  </si>
  <si>
    <t>Shift</t>
  </si>
  <si>
    <t>Based on Real Operation</t>
  </si>
  <si>
    <t>Line of Bulk</t>
  </si>
  <si>
    <t xml:space="preserve">Bulk Capacity (TPD)
</t>
  </si>
  <si>
    <t xml:space="preserve">Bulk Capacity (TPM)
</t>
  </si>
  <si>
    <t xml:space="preserve">Bulk Capacity (TPY)
</t>
  </si>
  <si>
    <t xml:space="preserve">Packer Caps (TPD)
</t>
  </si>
  <si>
    <t xml:space="preserve">Packer Caps (TPM)
</t>
  </si>
  <si>
    <t xml:space="preserve">Packer Caps (TPY)
</t>
  </si>
  <si>
    <t>PP Malahayati</t>
  </si>
  <si>
    <t>1 X 8.500</t>
  </si>
  <si>
    <t>Rotary_8 Spout</t>
  </si>
  <si>
    <t>Haver&amp;Boecker</t>
  </si>
  <si>
    <t>PP Lhokseumawe*</t>
  </si>
  <si>
    <t>2 X 2.750</t>
  </si>
  <si>
    <t>Inline_4 Spout</t>
  </si>
  <si>
    <t>-</t>
  </si>
  <si>
    <t>PP Batam*</t>
  </si>
  <si>
    <t>1 X 10.000</t>
  </si>
  <si>
    <t>PP Bengkulu</t>
  </si>
  <si>
    <t>3 X 3.000</t>
  </si>
  <si>
    <t>Ventomatic</t>
  </si>
  <si>
    <t>PP Lampung</t>
  </si>
  <si>
    <t>1 X 11.000</t>
  </si>
  <si>
    <t>PP Balikpapan</t>
  </si>
  <si>
    <t>1 X 5.000</t>
  </si>
  <si>
    <t>Claudius Peters</t>
  </si>
  <si>
    <t>PP Banjarmasin</t>
  </si>
  <si>
    <t>FLS</t>
  </si>
  <si>
    <t>PP Pontianak</t>
  </si>
  <si>
    <t>1 X 6.000</t>
  </si>
  <si>
    <t>PP Samarinda</t>
  </si>
  <si>
    <t>2 X 6.000</t>
  </si>
  <si>
    <t>Dumai</t>
  </si>
  <si>
    <t>GP Dumai</t>
  </si>
  <si>
    <t>Cigading</t>
  </si>
  <si>
    <t>GP Cigading</t>
  </si>
  <si>
    <t>1 X 10.000;     1 X 20.000</t>
  </si>
  <si>
    <t>Port</t>
  </si>
  <si>
    <t>UP Teluk Bayur</t>
  </si>
  <si>
    <t>4 X 6.300      1 X 10.200     2 X 6.500     2 X 23.200</t>
  </si>
  <si>
    <t>PP Ciwandan SI</t>
  </si>
  <si>
    <t>PP Tanjung Priok*</t>
  </si>
  <si>
    <t>2 X 10.000</t>
  </si>
  <si>
    <t>PP Banyuwangi</t>
  </si>
  <si>
    <t>PP Cel Bawang</t>
  </si>
  <si>
    <t>PP Bitung</t>
  </si>
  <si>
    <t>PP Kendari</t>
  </si>
  <si>
    <t>1 X 12.000</t>
  </si>
  <si>
    <t>PP Mamuju</t>
  </si>
  <si>
    <t>1 X 4.000</t>
  </si>
  <si>
    <t>PP Palu*</t>
  </si>
  <si>
    <t>PP Lembar*</t>
  </si>
  <si>
    <t>PP Ambon</t>
  </si>
  <si>
    <t>4 X 2.000</t>
  </si>
  <si>
    <t>PP Maluku Utara</t>
  </si>
  <si>
    <t>PP Sorong</t>
  </si>
  <si>
    <t>UP Biringkassi</t>
  </si>
  <si>
    <t xml:space="preserve">2 X 10.000          8 X 5.000 </t>
  </si>
  <si>
    <t>PP Makassar</t>
  </si>
  <si>
    <t>4 X 6.000</t>
  </si>
  <si>
    <t>SBI/SBA</t>
  </si>
  <si>
    <t>PP Batam SBA</t>
  </si>
  <si>
    <t>2 X 5.000</t>
  </si>
  <si>
    <t>Local Fab</t>
  </si>
  <si>
    <t>PP Belawan SBA</t>
  </si>
  <si>
    <t>8 X 2.500</t>
  </si>
  <si>
    <t>1 X 250 tph      1 X 40 tph</t>
  </si>
  <si>
    <t>PP Dumai SBA</t>
  </si>
  <si>
    <t>2 X 3.300</t>
  </si>
  <si>
    <t>Rotary_6 Spout</t>
  </si>
  <si>
    <t>PP Dumai SBI</t>
  </si>
  <si>
    <t>1 X 1.200      1 X 800</t>
  </si>
  <si>
    <t>PP Lampung SBI</t>
  </si>
  <si>
    <t>Rotary_12 Spout</t>
  </si>
  <si>
    <t>PP Lhokseumawe SBA</t>
  </si>
  <si>
    <t>1 X 530           2 X 730           2 X 460</t>
  </si>
  <si>
    <t>2 x 80 tph</t>
  </si>
  <si>
    <t>PP Pontianak SBI</t>
  </si>
  <si>
    <t>2 X 3.000</t>
  </si>
  <si>
    <t>SMBR</t>
  </si>
  <si>
    <t>GP Palembang</t>
  </si>
  <si>
    <t>2 x 2500</t>
  </si>
  <si>
    <t>GP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</si>
</sst>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8" x14ac:knownFonts="1">
    <font>
      <sz val="12"/>
      <color theme="1"/>
      <name val="SIG Text"/>
      <family val="2"/>
      <charset val="1"/>
    </font>
    <font>
      <sz val="12"/>
      <color theme="1"/>
      <name val="SIG Text"/>
      <family val="2"/>
      <charset val="1"/>
    </font>
    <font>
      <sz val="10"/>
      <name val="Calibri"/>
      <family val="2"/>
    </font>
    <font>
      <b/>
      <sz val="11"/>
      <name val="Calibri"/>
      <family val="2"/>
      <charset val="1"/>
      <scheme val="minor"/>
    </font>
    <font>
      <b/>
      <sz val="10"/>
      <name val="Calibri"/>
      <family val="2"/>
    </font>
    <font>
      <sz val="10"/>
      <color theme="7" tint="-0.249977111117893"/>
      <name val="Calibri"/>
      <family val="2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81">
    <xf numFmtId="0" fontId="0" fillId="0" borderId="0" xfId="0"/>
    <xf numFmtId="41" fontId="0" fillId="0" borderId="0" xfId="2" applyFont="1"/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0" fontId="3" fillId="2" borderId="0" xfId="3" applyFont="1" applyFill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top"/>
    </xf>
    <xf numFmtId="0" fontId="2" fillId="0" borderId="7" xfId="3" applyBorder="1"/>
    <xf numFmtId="0" fontId="5" fillId="0" borderId="8" xfId="3" applyFont="1" applyBorder="1" applyAlignment="1">
      <alignment horizontal="center" wrapText="1"/>
    </xf>
    <xf numFmtId="0" fontId="6" fillId="0" borderId="8" xfId="3" applyFont="1" applyBorder="1" applyAlignment="1">
      <alignment horizontal="center"/>
    </xf>
    <xf numFmtId="43" fontId="2" fillId="0" borderId="8" xfId="1" applyFont="1" applyFill="1" applyBorder="1" applyAlignment="1">
      <alignment horizontal="center"/>
    </xf>
    <xf numFmtId="41" fontId="2" fillId="0" borderId="8" xfId="2" applyFont="1" applyBorder="1"/>
    <xf numFmtId="164" fontId="2" fillId="0" borderId="8" xfId="1" applyNumberFormat="1" applyFont="1" applyFill="1" applyBorder="1" applyAlignment="1">
      <alignment horizontal="center"/>
    </xf>
    <xf numFmtId="0" fontId="2" fillId="0" borderId="8" xfId="1" applyNumberFormat="1" applyFont="1" applyFill="1" applyBorder="1" applyAlignment="1">
      <alignment horizontal="center"/>
    </xf>
    <xf numFmtId="165" fontId="2" fillId="0" borderId="8" xfId="1" applyNumberFormat="1" applyFont="1" applyFill="1" applyBorder="1" applyAlignment="1">
      <alignment horizontal="center"/>
    </xf>
    <xf numFmtId="0" fontId="2" fillId="0" borderId="9" xfId="3" applyBorder="1"/>
    <xf numFmtId="0" fontId="5" fillId="0" borderId="9" xfId="3" applyFont="1" applyBorder="1" applyAlignment="1">
      <alignment horizontal="center" wrapText="1"/>
    </xf>
    <xf numFmtId="0" fontId="6" fillId="0" borderId="9" xfId="3" applyFont="1" applyBorder="1" applyAlignment="1">
      <alignment horizontal="center"/>
    </xf>
    <xf numFmtId="43" fontId="2" fillId="0" borderId="9" xfId="1" applyFont="1" applyFill="1" applyBorder="1" applyAlignment="1">
      <alignment horizontal="center"/>
    </xf>
    <xf numFmtId="41" fontId="2" fillId="0" borderId="9" xfId="2" applyFont="1" applyBorder="1"/>
    <xf numFmtId="164" fontId="2" fillId="0" borderId="9" xfId="1" applyNumberFormat="1" applyFont="1" applyFill="1" applyBorder="1" applyAlignment="1">
      <alignment horizontal="center"/>
    </xf>
    <xf numFmtId="0" fontId="2" fillId="0" borderId="9" xfId="1" applyNumberFormat="1" applyFont="1" applyFill="1" applyBorder="1" applyAlignment="1">
      <alignment horizontal="center"/>
    </xf>
    <xf numFmtId="165" fontId="2" fillId="0" borderId="9" xfId="1" applyNumberFormat="1" applyFont="1" applyFill="1" applyBorder="1" applyAlignment="1">
      <alignment horizontal="center"/>
    </xf>
    <xf numFmtId="0" fontId="2" fillId="0" borderId="9" xfId="3" applyBorder="1" applyAlignment="1">
      <alignment horizontal="center" wrapText="1"/>
    </xf>
    <xf numFmtId="0" fontId="2" fillId="0" borderId="10" xfId="3" applyBorder="1"/>
    <xf numFmtId="0" fontId="5" fillId="0" borderId="10" xfId="3" applyFont="1" applyBorder="1" applyAlignment="1">
      <alignment horizontal="center" wrapText="1"/>
    </xf>
    <xf numFmtId="0" fontId="6" fillId="0" borderId="10" xfId="3" applyFont="1" applyBorder="1" applyAlignment="1">
      <alignment horizontal="center"/>
    </xf>
    <xf numFmtId="43" fontId="2" fillId="0" borderId="10" xfId="1" applyFont="1" applyFill="1" applyBorder="1" applyAlignment="1">
      <alignment horizontal="center"/>
    </xf>
    <xf numFmtId="41" fontId="2" fillId="0" borderId="10" xfId="2" applyFont="1" applyBorder="1"/>
    <xf numFmtId="164" fontId="2" fillId="0" borderId="10" xfId="1" applyNumberFormat="1" applyFont="1" applyFill="1" applyBorder="1" applyAlignment="1">
      <alignment horizontal="center"/>
    </xf>
    <xf numFmtId="0" fontId="2" fillId="0" borderId="10" xfId="1" applyNumberFormat="1" applyFont="1" applyFill="1" applyBorder="1" applyAlignment="1">
      <alignment horizontal="center"/>
    </xf>
    <xf numFmtId="165" fontId="2" fillId="0" borderId="10" xfId="1" applyNumberFormat="1" applyFont="1" applyFill="1" applyBorder="1" applyAlignment="1">
      <alignment horizontal="center"/>
    </xf>
    <xf numFmtId="0" fontId="4" fillId="0" borderId="11" xfId="3" applyFont="1" applyBorder="1" applyAlignment="1">
      <alignment horizontal="center" vertical="top"/>
    </xf>
    <xf numFmtId="0" fontId="2" fillId="0" borderId="12" xfId="3" applyBorder="1"/>
    <xf numFmtId="0" fontId="5" fillId="0" borderId="12" xfId="3" applyFont="1" applyBorder="1" applyAlignment="1">
      <alignment horizontal="center" wrapText="1"/>
    </xf>
    <xf numFmtId="0" fontId="6" fillId="0" borderId="12" xfId="3" applyFont="1" applyBorder="1" applyAlignment="1">
      <alignment horizontal="center"/>
    </xf>
    <xf numFmtId="43" fontId="2" fillId="0" borderId="12" xfId="1" applyFont="1" applyFill="1" applyBorder="1" applyAlignment="1">
      <alignment horizontal="center"/>
    </xf>
    <xf numFmtId="41" fontId="2" fillId="0" borderId="12" xfId="2" applyFont="1" applyBorder="1"/>
    <xf numFmtId="164" fontId="2" fillId="0" borderId="12" xfId="1" applyNumberFormat="1" applyFont="1" applyFill="1" applyBorder="1" applyAlignment="1">
      <alignment horizontal="center"/>
    </xf>
    <xf numFmtId="165" fontId="2" fillId="0" borderId="12" xfId="1" applyNumberFormat="1" applyFont="1" applyFill="1" applyBorder="1" applyAlignment="1">
      <alignment horizontal="center"/>
    </xf>
    <xf numFmtId="0" fontId="7" fillId="0" borderId="9" xfId="3" applyFont="1" applyBorder="1" applyAlignment="1">
      <alignment horizontal="center" wrapText="1"/>
    </xf>
    <xf numFmtId="0" fontId="4" fillId="0" borderId="13" xfId="3" applyFont="1" applyBorder="1" applyAlignment="1">
      <alignment horizontal="center" vertical="top"/>
    </xf>
    <xf numFmtId="0" fontId="2" fillId="0" borderId="10" xfId="3" applyBorder="1" applyAlignment="1">
      <alignment horizontal="center" vertical="top" wrapText="1"/>
    </xf>
    <xf numFmtId="0" fontId="2" fillId="0" borderId="12" xfId="1" applyNumberFormat="1" applyFont="1" applyFill="1" applyBorder="1" applyAlignment="1">
      <alignment horizontal="center"/>
    </xf>
    <xf numFmtId="0" fontId="2" fillId="0" borderId="9" xfId="3" applyBorder="1" applyAlignment="1">
      <alignment vertical="top"/>
    </xf>
    <xf numFmtId="0" fontId="6" fillId="0" borderId="9" xfId="3" applyFont="1" applyBorder="1" applyAlignment="1">
      <alignment horizontal="center" vertical="top"/>
    </xf>
    <xf numFmtId="43" fontId="2" fillId="0" borderId="9" xfId="1" applyFont="1" applyFill="1" applyBorder="1" applyAlignment="1">
      <alignment horizontal="center" vertical="top"/>
    </xf>
    <xf numFmtId="41" fontId="2" fillId="0" borderId="9" xfId="2" applyFont="1" applyBorder="1" applyAlignment="1">
      <alignment vertical="top"/>
    </xf>
    <xf numFmtId="164" fontId="2" fillId="0" borderId="9" xfId="1" applyNumberFormat="1" applyFont="1" applyFill="1" applyBorder="1" applyAlignment="1">
      <alignment horizontal="center" vertical="top"/>
    </xf>
    <xf numFmtId="0" fontId="2" fillId="0" borderId="9" xfId="1" applyNumberFormat="1" applyFont="1" applyFill="1" applyBorder="1" applyAlignment="1">
      <alignment horizontal="center" vertical="top"/>
    </xf>
    <xf numFmtId="165" fontId="2" fillId="0" borderId="9" xfId="1" applyNumberFormat="1" applyFont="1" applyFill="1" applyBorder="1" applyAlignment="1">
      <alignment horizontal="center" vertical="top"/>
    </xf>
    <xf numFmtId="0" fontId="2" fillId="0" borderId="10" xfId="3" applyBorder="1" applyAlignment="1">
      <alignment vertical="top"/>
    </xf>
    <xf numFmtId="0" fontId="5" fillId="0" borderId="10" xfId="3" applyFont="1" applyBorder="1" applyAlignment="1">
      <alignment horizontal="center" vertical="top" wrapText="1"/>
    </xf>
    <xf numFmtId="0" fontId="7" fillId="0" borderId="10" xfId="3" applyFont="1" applyBorder="1" applyAlignment="1">
      <alignment horizontal="center" vertical="top"/>
    </xf>
    <xf numFmtId="43" fontId="2" fillId="0" borderId="10" xfId="1" applyFont="1" applyFill="1" applyBorder="1" applyAlignment="1">
      <alignment horizontal="center" vertical="top"/>
    </xf>
    <xf numFmtId="41" fontId="2" fillId="0" borderId="10" xfId="2" applyFont="1" applyBorder="1" applyAlignment="1">
      <alignment vertical="top"/>
    </xf>
    <xf numFmtId="164" fontId="2" fillId="0" borderId="10" xfId="1" applyNumberFormat="1" applyFont="1" applyFill="1" applyBorder="1" applyAlignment="1">
      <alignment horizontal="center" vertical="top"/>
    </xf>
    <xf numFmtId="0" fontId="2" fillId="0" borderId="10" xfId="1" applyNumberFormat="1" applyFont="1" applyFill="1" applyBorder="1" applyAlignment="1">
      <alignment horizontal="center" vertical="top"/>
    </xf>
    <xf numFmtId="165" fontId="2" fillId="0" borderId="10" xfId="1" applyNumberFormat="1" applyFont="1" applyFill="1" applyBorder="1" applyAlignment="1">
      <alignment horizontal="center" vertical="top"/>
    </xf>
    <xf numFmtId="0" fontId="2" fillId="0" borderId="12" xfId="3" applyBorder="1" applyAlignment="1">
      <alignment horizontal="center" wrapText="1"/>
    </xf>
    <xf numFmtId="0" fontId="7" fillId="0" borderId="10" xfId="3" applyFont="1" applyBorder="1" applyAlignment="1">
      <alignment horizontal="center" wrapText="1"/>
    </xf>
    <xf numFmtId="0" fontId="6" fillId="3" borderId="10" xfId="3" applyFont="1" applyFill="1" applyBorder="1" applyAlignment="1">
      <alignment horizontal="center"/>
    </xf>
    <xf numFmtId="0" fontId="2" fillId="0" borderId="12" xfId="3" applyBorder="1" applyAlignment="1">
      <alignment horizontal="left" vertical="top"/>
    </xf>
    <xf numFmtId="0" fontId="5" fillId="0" borderId="9" xfId="3" applyFont="1" applyBorder="1" applyAlignment="1">
      <alignment horizontal="center" vertical="top" wrapText="1"/>
    </xf>
    <xf numFmtId="0" fontId="7" fillId="0" borderId="12" xfId="3" applyFont="1" applyBorder="1" applyAlignment="1">
      <alignment horizontal="center" vertical="top"/>
    </xf>
    <xf numFmtId="43" fontId="2" fillId="0" borderId="12" xfId="1" applyFont="1" applyFill="1" applyBorder="1" applyAlignment="1">
      <alignment horizontal="center" vertical="top"/>
    </xf>
    <xf numFmtId="41" fontId="2" fillId="0" borderId="12" xfId="2" applyFont="1" applyBorder="1" applyAlignment="1">
      <alignment vertical="top"/>
    </xf>
    <xf numFmtId="164" fontId="2" fillId="0" borderId="12" xfId="1" applyNumberFormat="1" applyFont="1" applyFill="1" applyBorder="1" applyAlignment="1">
      <alignment horizontal="center" vertical="top"/>
    </xf>
    <xf numFmtId="0" fontId="2" fillId="0" borderId="12" xfId="1" applyNumberFormat="1" applyFont="1" applyFill="1" applyBorder="1" applyAlignment="1">
      <alignment horizontal="center" vertical="top"/>
    </xf>
    <xf numFmtId="165" fontId="2" fillId="0" borderId="12" xfId="1" applyNumberFormat="1" applyFont="1" applyFill="1" applyBorder="1" applyAlignment="1">
      <alignment horizontal="center" vertical="top"/>
    </xf>
    <xf numFmtId="0" fontId="2" fillId="0" borderId="10" xfId="3" applyBorder="1" applyAlignment="1">
      <alignment horizontal="center" wrapText="1"/>
    </xf>
    <xf numFmtId="0" fontId="6" fillId="0" borderId="9" xfId="3" applyFont="1" applyBorder="1" applyAlignment="1">
      <alignment horizontal="center" vertical="top" wrapText="1"/>
    </xf>
    <xf numFmtId="43" fontId="2" fillId="0" borderId="14" xfId="1" applyFont="1" applyFill="1" applyBorder="1" applyAlignment="1">
      <alignment horizontal="center"/>
    </xf>
    <xf numFmtId="165" fontId="2" fillId="0" borderId="14" xfId="1" applyNumberFormat="1" applyFont="1" applyFill="1" applyBorder="1" applyAlignment="1">
      <alignment horizontal="center"/>
    </xf>
    <xf numFmtId="164" fontId="0" fillId="0" borderId="0" xfId="0" applyNumberFormat="1"/>
  </cellXfs>
  <cellStyles count="4">
    <cellStyle name="Comma" xfId="1" builtinId="3"/>
    <cellStyle name="Comma [0]" xfId="2" builtinId="6"/>
    <cellStyle name="Normal" xfId="0" builtinId="0"/>
    <cellStyle name="Normal 2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39</xdr:row>
      <xdr:rowOff>0</xdr:rowOff>
    </xdr:from>
    <xdr:to>
      <xdr:col>33</xdr:col>
      <xdr:colOff>187995</xdr:colOff>
      <xdr:row>47</xdr:row>
      <xdr:rowOff>183570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B4733-0177-4E95-BFAC-413591771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795" t="26341" r="8437" b="47936"/>
        <a:stretch/>
      </xdr:blipFill>
      <xdr:spPr>
        <a:xfrm>
          <a:off x="15227300" y="8439150"/>
          <a:ext cx="9128795" cy="18091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137583</xdr:rowOff>
    </xdr:from>
    <xdr:to>
      <xdr:col>16</xdr:col>
      <xdr:colOff>243028</xdr:colOff>
      <xdr:row>51</xdr:row>
      <xdr:rowOff>122186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5FED6C-1A22-4BC7-96E3-99F61549A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795" t="26341" r="8437" b="47936"/>
        <a:stretch/>
      </xdr:blipFill>
      <xdr:spPr>
        <a:xfrm>
          <a:off x="825500" y="9129183"/>
          <a:ext cx="11063428" cy="1813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0"/>
  <sheetViews>
    <sheetView tabSelected="1" zoomScale="70" zoomScaleNormal="70" workbookViewId="0">
      <selection activeCell="P6" sqref="P6"/>
    </sheetView>
  </sheetViews>
  <sheetFormatPr defaultRowHeight="16" x14ac:dyDescent="0.4"/>
  <cols>
    <col min="1" max="1" width="2.42578125" customWidth="1"/>
    <col min="3" max="3" width="13.640625" bestFit="1" customWidth="1"/>
    <col min="4" max="5" width="7.78515625" customWidth="1"/>
    <col min="6" max="6" width="6.42578125" customWidth="1"/>
    <col min="7" max="7" width="11.5" customWidth="1"/>
    <col min="8" max="8" width="9.78515625" customWidth="1"/>
    <col min="10" max="10" width="8.2109375" customWidth="1"/>
    <col min="11" max="11" width="9.140625" bestFit="1" customWidth="1"/>
    <col min="12" max="12" width="3.85546875" customWidth="1"/>
    <col min="13" max="13" width="7.85546875" customWidth="1"/>
    <col min="14" max="14" width="8.28515625" bestFit="1" customWidth="1"/>
    <col min="15" max="15" width="9.140625" bestFit="1" customWidth="1"/>
    <col min="20" max="20" width="8.28515625" bestFit="1" customWidth="1"/>
    <col min="21" max="21" width="9.140625" bestFit="1" customWidth="1"/>
  </cols>
  <sheetData>
    <row r="1" spans="2:24" x14ac:dyDescent="0.4">
      <c r="B1" t="s">
        <v>0</v>
      </c>
      <c r="I1">
        <v>24</v>
      </c>
      <c r="J1" s="1">
        <v>25</v>
      </c>
      <c r="N1" s="1"/>
      <c r="S1">
        <v>20</v>
      </c>
      <c r="T1" s="1">
        <v>25</v>
      </c>
    </row>
    <row r="2" spans="2:24" x14ac:dyDescent="0.4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5" t="s">
        <v>6</v>
      </c>
      <c r="H2" s="6" t="s">
        <v>7</v>
      </c>
      <c r="I2" s="7" t="s">
        <v>8</v>
      </c>
      <c r="J2" s="5"/>
      <c r="K2" s="8"/>
      <c r="L2" s="4" t="s">
        <v>9</v>
      </c>
      <c r="M2" s="7" t="s">
        <v>10</v>
      </c>
      <c r="N2" s="5"/>
      <c r="O2" s="8"/>
      <c r="Q2" s="5" t="s">
        <v>11</v>
      </c>
      <c r="R2" s="5" t="s">
        <v>7</v>
      </c>
      <c r="S2" s="5" t="s">
        <v>12</v>
      </c>
      <c r="T2" s="5" t="s">
        <v>13</v>
      </c>
      <c r="U2" s="5" t="s">
        <v>14</v>
      </c>
    </row>
    <row r="3" spans="2:24" ht="43.5" x14ac:dyDescent="0.4">
      <c r="B3" s="2"/>
      <c r="C3" s="9"/>
      <c r="D3" s="4"/>
      <c r="E3" s="5"/>
      <c r="F3" s="10"/>
      <c r="G3" s="5"/>
      <c r="H3" s="10"/>
      <c r="I3" s="11" t="s">
        <v>15</v>
      </c>
      <c r="J3" s="11" t="s">
        <v>16</v>
      </c>
      <c r="K3" s="11" t="s">
        <v>17</v>
      </c>
      <c r="L3" s="4"/>
      <c r="M3" s="11" t="s">
        <v>15</v>
      </c>
      <c r="N3" s="11" t="s">
        <v>16</v>
      </c>
      <c r="O3" s="11" t="s">
        <v>17</v>
      </c>
      <c r="Q3" s="5"/>
      <c r="R3" s="5"/>
      <c r="S3" s="5"/>
      <c r="T3" s="5"/>
      <c r="U3" s="5"/>
    </row>
    <row r="4" spans="2:24" x14ac:dyDescent="0.4">
      <c r="B4" s="12">
        <v>1</v>
      </c>
      <c r="C4" s="13" t="s">
        <v>18</v>
      </c>
      <c r="D4" s="14" t="s">
        <v>19</v>
      </c>
      <c r="E4" s="15">
        <v>1</v>
      </c>
      <c r="F4" s="16" t="s">
        <v>20</v>
      </c>
      <c r="G4" s="16" t="s">
        <v>21</v>
      </c>
      <c r="H4" s="17">
        <v>120</v>
      </c>
      <c r="I4" s="17">
        <f>E4*H4*$I$1</f>
        <v>2880</v>
      </c>
      <c r="J4" s="17">
        <f>I4*$J$1</f>
        <v>72000</v>
      </c>
      <c r="K4" s="18">
        <f>J4*12</f>
        <v>864000</v>
      </c>
      <c r="L4" s="19">
        <v>3</v>
      </c>
      <c r="M4" s="17" t="e">
        <f ca="1">((_xlfn.IFS(L4=1,H4*6,L4=2,H4*12,L4=3,H4*18)))*E4</f>
        <v>#NAME?</v>
      </c>
      <c r="N4" s="17" t="e">
        <f ca="1">M4*$J$1</f>
        <v>#NAME?</v>
      </c>
      <c r="O4" s="18" t="e">
        <f ca="1">N4*12</f>
        <v>#NAME?</v>
      </c>
      <c r="Q4" s="15">
        <v>1</v>
      </c>
      <c r="R4" s="20"/>
      <c r="S4" s="20">
        <v>1000</v>
      </c>
      <c r="T4" s="17">
        <f t="shared" ref="T4:T36" si="0">S4*$T$1</f>
        <v>25000</v>
      </c>
      <c r="U4" s="18">
        <f t="shared" ref="U4:U36" si="1">T4*12</f>
        <v>300000</v>
      </c>
    </row>
    <row r="5" spans="2:24" x14ac:dyDescent="0.4">
      <c r="B5" s="12"/>
      <c r="C5" s="21" t="s">
        <v>22</v>
      </c>
      <c r="D5" s="22" t="s">
        <v>23</v>
      </c>
      <c r="E5" s="23">
        <v>1</v>
      </c>
      <c r="F5" s="24" t="s">
        <v>24</v>
      </c>
      <c r="G5" s="24" t="s">
        <v>25</v>
      </c>
      <c r="H5" s="25">
        <v>60</v>
      </c>
      <c r="I5" s="25">
        <f t="shared" ref="I5:I38" si="2">E5*H5*$I$1</f>
        <v>1440</v>
      </c>
      <c r="J5" s="25">
        <f t="shared" ref="J5:J38" si="3">I5*$J$1</f>
        <v>36000</v>
      </c>
      <c r="K5" s="26">
        <f t="shared" ref="K5:K38" si="4">J5*12</f>
        <v>432000</v>
      </c>
      <c r="L5" s="27">
        <v>1</v>
      </c>
      <c r="M5" s="25" t="e">
        <f t="shared" ref="M5:M38" ca="1" si="5">((_xlfn.IFS(L5=1,H5*6,L5=2,H5*12,L5=3,H5*18)))*E5</f>
        <v>#NAME?</v>
      </c>
      <c r="N5" s="25" t="e">
        <f t="shared" ref="N5:N38" ca="1" si="6">M5*$J$1</f>
        <v>#NAME?</v>
      </c>
      <c r="O5" s="26" t="e">
        <f t="shared" ref="O5:O38" ca="1" si="7">N5*12</f>
        <v>#NAME?</v>
      </c>
      <c r="Q5" s="23">
        <v>1</v>
      </c>
      <c r="R5" s="28"/>
      <c r="S5" s="28">
        <v>1000</v>
      </c>
      <c r="T5" s="25">
        <f t="shared" si="0"/>
        <v>25000</v>
      </c>
      <c r="U5" s="26">
        <f t="shared" si="1"/>
        <v>300000</v>
      </c>
    </row>
    <row r="6" spans="2:24" x14ac:dyDescent="0.4">
      <c r="B6" s="12"/>
      <c r="C6" s="21" t="s">
        <v>26</v>
      </c>
      <c r="D6" s="29" t="s">
        <v>27</v>
      </c>
      <c r="E6" s="23">
        <v>1</v>
      </c>
      <c r="F6" s="24" t="s">
        <v>20</v>
      </c>
      <c r="G6" s="24" t="s">
        <v>21</v>
      </c>
      <c r="H6" s="25">
        <v>120</v>
      </c>
      <c r="I6" s="25">
        <f t="shared" si="2"/>
        <v>2880</v>
      </c>
      <c r="J6" s="25">
        <f t="shared" si="3"/>
        <v>72000</v>
      </c>
      <c r="K6" s="26">
        <f t="shared" si="4"/>
        <v>864000</v>
      </c>
      <c r="L6" s="27">
        <v>1</v>
      </c>
      <c r="M6" s="25" t="e">
        <f t="shared" ca="1" si="5"/>
        <v>#NAME?</v>
      </c>
      <c r="N6" s="25" t="e">
        <f t="shared" ca="1" si="6"/>
        <v>#NAME?</v>
      </c>
      <c r="O6" s="26" t="e">
        <f t="shared" ca="1" si="7"/>
        <v>#NAME?</v>
      </c>
      <c r="Q6" s="23">
        <v>1</v>
      </c>
      <c r="R6" s="28"/>
      <c r="S6" s="28">
        <v>1000</v>
      </c>
      <c r="T6" s="25">
        <f t="shared" si="0"/>
        <v>25000</v>
      </c>
      <c r="U6" s="26">
        <f t="shared" si="1"/>
        <v>300000</v>
      </c>
    </row>
    <row r="7" spans="2:24" x14ac:dyDescent="0.4">
      <c r="B7" s="12"/>
      <c r="C7" s="21" t="s">
        <v>28</v>
      </c>
      <c r="D7" s="22" t="s">
        <v>29</v>
      </c>
      <c r="E7" s="23">
        <v>1</v>
      </c>
      <c r="F7" s="24" t="s">
        <v>20</v>
      </c>
      <c r="G7" s="24" t="s">
        <v>30</v>
      </c>
      <c r="H7" s="25">
        <v>120</v>
      </c>
      <c r="I7" s="25">
        <f t="shared" si="2"/>
        <v>2880</v>
      </c>
      <c r="J7" s="25">
        <f t="shared" si="3"/>
        <v>72000</v>
      </c>
      <c r="K7" s="26">
        <f t="shared" si="4"/>
        <v>864000</v>
      </c>
      <c r="L7" s="27">
        <v>1</v>
      </c>
      <c r="M7" s="25" t="e">
        <f t="shared" ca="1" si="5"/>
        <v>#NAME?</v>
      </c>
      <c r="N7" s="25" t="e">
        <f t="shared" ca="1" si="6"/>
        <v>#NAME?</v>
      </c>
      <c r="O7" s="26" t="e">
        <f t="shared" ca="1" si="7"/>
        <v>#NAME?</v>
      </c>
      <c r="Q7" s="23">
        <v>1</v>
      </c>
      <c r="R7" s="28"/>
      <c r="S7" s="28">
        <v>1000</v>
      </c>
      <c r="T7" s="25">
        <f t="shared" si="0"/>
        <v>25000</v>
      </c>
      <c r="U7" s="26">
        <f t="shared" si="1"/>
        <v>300000</v>
      </c>
    </row>
    <row r="8" spans="2:24" ht="16.5" thickBot="1" x14ac:dyDescent="0.45">
      <c r="B8" s="12"/>
      <c r="C8" s="30" t="s">
        <v>31</v>
      </c>
      <c r="D8" s="31" t="s">
        <v>32</v>
      </c>
      <c r="E8" s="32">
        <v>1</v>
      </c>
      <c r="F8" s="33" t="s">
        <v>20</v>
      </c>
      <c r="G8" s="33" t="s">
        <v>30</v>
      </c>
      <c r="H8" s="34">
        <v>120</v>
      </c>
      <c r="I8" s="34">
        <f t="shared" si="2"/>
        <v>2880</v>
      </c>
      <c r="J8" s="34">
        <f t="shared" si="3"/>
        <v>72000</v>
      </c>
      <c r="K8" s="35">
        <f t="shared" si="4"/>
        <v>864000</v>
      </c>
      <c r="L8" s="36">
        <v>1</v>
      </c>
      <c r="M8" s="34" t="e">
        <f t="shared" ca="1" si="5"/>
        <v>#NAME?</v>
      </c>
      <c r="N8" s="34" t="e">
        <f t="shared" ca="1" si="6"/>
        <v>#NAME?</v>
      </c>
      <c r="O8" s="35" t="e">
        <f t="shared" ca="1" si="7"/>
        <v>#NAME?</v>
      </c>
      <c r="Q8" s="32">
        <v>1</v>
      </c>
      <c r="R8" s="37"/>
      <c r="S8" s="37">
        <v>1000</v>
      </c>
      <c r="T8" s="34">
        <f t="shared" si="0"/>
        <v>25000</v>
      </c>
      <c r="U8" s="35">
        <f t="shared" si="1"/>
        <v>300000</v>
      </c>
    </row>
    <row r="9" spans="2:24" x14ac:dyDescent="0.4">
      <c r="B9" s="38">
        <v>2</v>
      </c>
      <c r="C9" s="39" t="s">
        <v>33</v>
      </c>
      <c r="D9" s="40" t="s">
        <v>34</v>
      </c>
      <c r="E9" s="41">
        <v>1</v>
      </c>
      <c r="F9" s="42" t="s">
        <v>20</v>
      </c>
      <c r="G9" s="42" t="s">
        <v>35</v>
      </c>
      <c r="H9" s="43">
        <v>120</v>
      </c>
      <c r="I9" s="43">
        <f t="shared" si="2"/>
        <v>2880</v>
      </c>
      <c r="J9" s="43">
        <f t="shared" si="3"/>
        <v>72000</v>
      </c>
      <c r="K9" s="44">
        <f t="shared" si="4"/>
        <v>864000</v>
      </c>
      <c r="L9" s="19">
        <v>3</v>
      </c>
      <c r="M9" s="43" t="e">
        <f t="shared" ca="1" si="5"/>
        <v>#NAME?</v>
      </c>
      <c r="N9" s="43" t="e">
        <f t="shared" ca="1" si="6"/>
        <v>#NAME?</v>
      </c>
      <c r="O9" s="44" t="e">
        <f t="shared" ca="1" si="7"/>
        <v>#NAME?</v>
      </c>
      <c r="Q9" s="41">
        <v>2</v>
      </c>
      <c r="R9" s="45"/>
      <c r="S9" s="45">
        <v>2000</v>
      </c>
      <c r="T9" s="43">
        <f t="shared" si="0"/>
        <v>50000</v>
      </c>
      <c r="U9" s="44">
        <f t="shared" si="1"/>
        <v>600000</v>
      </c>
    </row>
    <row r="10" spans="2:24" x14ac:dyDescent="0.4">
      <c r="B10" s="12"/>
      <c r="C10" s="21" t="s">
        <v>36</v>
      </c>
      <c r="D10" s="22" t="s">
        <v>34</v>
      </c>
      <c r="E10" s="23">
        <v>1</v>
      </c>
      <c r="F10" s="24" t="s">
        <v>20</v>
      </c>
      <c r="G10" s="24" t="s">
        <v>37</v>
      </c>
      <c r="H10" s="25">
        <v>120</v>
      </c>
      <c r="I10" s="25">
        <f t="shared" si="2"/>
        <v>2880</v>
      </c>
      <c r="J10" s="25">
        <f t="shared" si="3"/>
        <v>72000</v>
      </c>
      <c r="K10" s="26">
        <f t="shared" si="4"/>
        <v>864000</v>
      </c>
      <c r="L10" s="27">
        <v>2</v>
      </c>
      <c r="M10" s="25" t="e">
        <f t="shared" ca="1" si="5"/>
        <v>#NAME?</v>
      </c>
      <c r="N10" s="25" t="e">
        <f t="shared" ca="1" si="6"/>
        <v>#NAME?</v>
      </c>
      <c r="O10" s="26" t="e">
        <f t="shared" ca="1" si="7"/>
        <v>#NAME?</v>
      </c>
      <c r="Q10" s="23">
        <v>1</v>
      </c>
      <c r="R10" s="28"/>
      <c r="S10" s="28">
        <v>1000</v>
      </c>
      <c r="T10" s="25">
        <f t="shared" si="0"/>
        <v>25000</v>
      </c>
      <c r="U10" s="26">
        <f t="shared" si="1"/>
        <v>300000</v>
      </c>
      <c r="X10">
        <v>120</v>
      </c>
    </row>
    <row r="11" spans="2:24" x14ac:dyDescent="0.4">
      <c r="B11" s="12"/>
      <c r="C11" s="21" t="s">
        <v>38</v>
      </c>
      <c r="D11" s="46" t="s">
        <v>39</v>
      </c>
      <c r="E11" s="23">
        <v>1</v>
      </c>
      <c r="F11" s="24" t="s">
        <v>20</v>
      </c>
      <c r="G11" s="24" t="s">
        <v>35</v>
      </c>
      <c r="H11" s="25">
        <v>120</v>
      </c>
      <c r="I11" s="25">
        <f t="shared" si="2"/>
        <v>2880</v>
      </c>
      <c r="J11" s="25">
        <f t="shared" si="3"/>
        <v>72000</v>
      </c>
      <c r="K11" s="26">
        <f t="shared" si="4"/>
        <v>864000</v>
      </c>
      <c r="L11" s="27">
        <v>2</v>
      </c>
      <c r="M11" s="25" t="e">
        <f t="shared" ca="1" si="5"/>
        <v>#NAME?</v>
      </c>
      <c r="N11" s="25" t="e">
        <f t="shared" ca="1" si="6"/>
        <v>#NAME?</v>
      </c>
      <c r="O11" s="26" t="e">
        <f t="shared" ca="1" si="7"/>
        <v>#NAME?</v>
      </c>
      <c r="Q11" s="23">
        <v>1</v>
      </c>
      <c r="R11" s="28"/>
      <c r="S11" s="28">
        <v>1000</v>
      </c>
      <c r="T11" s="25">
        <f t="shared" si="0"/>
        <v>25000</v>
      </c>
      <c r="U11" s="26">
        <f t="shared" si="1"/>
        <v>300000</v>
      </c>
      <c r="X11">
        <v>50</v>
      </c>
    </row>
    <row r="12" spans="2:24" ht="16.5" thickBot="1" x14ac:dyDescent="0.45">
      <c r="B12" s="47"/>
      <c r="C12" s="30" t="s">
        <v>40</v>
      </c>
      <c r="D12" s="48" t="s">
        <v>41</v>
      </c>
      <c r="E12" s="32">
        <v>2</v>
      </c>
      <c r="F12" s="33" t="s">
        <v>20</v>
      </c>
      <c r="G12" s="33" t="s">
        <v>21</v>
      </c>
      <c r="H12" s="34">
        <v>120</v>
      </c>
      <c r="I12" s="34">
        <f t="shared" si="2"/>
        <v>5760</v>
      </c>
      <c r="J12" s="34">
        <f t="shared" si="3"/>
        <v>144000</v>
      </c>
      <c r="K12" s="35">
        <f t="shared" si="4"/>
        <v>1728000</v>
      </c>
      <c r="L12" s="36">
        <v>3</v>
      </c>
      <c r="M12" s="34" t="e">
        <f t="shared" ca="1" si="5"/>
        <v>#NAME?</v>
      </c>
      <c r="N12" s="34" t="e">
        <f t="shared" ca="1" si="6"/>
        <v>#NAME?</v>
      </c>
      <c r="O12" s="35" t="e">
        <f t="shared" ca="1" si="7"/>
        <v>#NAME?</v>
      </c>
      <c r="Q12" s="32">
        <v>2</v>
      </c>
      <c r="R12" s="37"/>
      <c r="S12" s="37">
        <v>2000</v>
      </c>
      <c r="T12" s="34">
        <f t="shared" si="0"/>
        <v>50000</v>
      </c>
      <c r="U12" s="35">
        <f t="shared" si="1"/>
        <v>600000</v>
      </c>
      <c r="X12">
        <f>X10/X11</f>
        <v>2.4</v>
      </c>
    </row>
    <row r="13" spans="2:24" hidden="1" x14ac:dyDescent="0.4">
      <c r="B13" s="38" t="s">
        <v>42</v>
      </c>
      <c r="C13" s="39" t="s">
        <v>43</v>
      </c>
      <c r="D13" s="40" t="s">
        <v>32</v>
      </c>
      <c r="E13" s="41">
        <v>2</v>
      </c>
      <c r="F13" s="42" t="s">
        <v>20</v>
      </c>
      <c r="G13" s="42" t="s">
        <v>21</v>
      </c>
      <c r="H13" s="43">
        <v>120</v>
      </c>
      <c r="I13" s="43">
        <f t="shared" si="2"/>
        <v>5760</v>
      </c>
      <c r="J13" s="43">
        <f t="shared" si="3"/>
        <v>144000</v>
      </c>
      <c r="K13" s="44">
        <f t="shared" si="4"/>
        <v>1728000</v>
      </c>
      <c r="L13" s="49">
        <v>3</v>
      </c>
      <c r="M13" s="43" t="e">
        <f t="shared" ca="1" si="5"/>
        <v>#NAME?</v>
      </c>
      <c r="N13" s="43" t="e">
        <f t="shared" ca="1" si="6"/>
        <v>#NAME?</v>
      </c>
      <c r="O13" s="44" t="e">
        <f t="shared" ca="1" si="7"/>
        <v>#NAME?</v>
      </c>
      <c r="Q13" s="41">
        <v>1</v>
      </c>
      <c r="R13" s="45"/>
      <c r="S13" s="45">
        <v>1000</v>
      </c>
      <c r="T13" s="43">
        <f t="shared" si="0"/>
        <v>25000</v>
      </c>
      <c r="U13" s="44">
        <f t="shared" si="1"/>
        <v>300000</v>
      </c>
    </row>
    <row r="14" spans="2:24" ht="27" hidden="1" x14ac:dyDescent="0.4">
      <c r="B14" s="12" t="s">
        <v>44</v>
      </c>
      <c r="C14" s="50" t="s">
        <v>45</v>
      </c>
      <c r="D14" s="29" t="s">
        <v>46</v>
      </c>
      <c r="E14" s="51">
        <v>1</v>
      </c>
      <c r="F14" s="52" t="s">
        <v>20</v>
      </c>
      <c r="G14" s="52"/>
      <c r="H14" s="53">
        <v>120</v>
      </c>
      <c r="I14" s="53">
        <f t="shared" si="2"/>
        <v>2880</v>
      </c>
      <c r="J14" s="53">
        <f t="shared" si="3"/>
        <v>72000</v>
      </c>
      <c r="K14" s="54">
        <f t="shared" si="4"/>
        <v>864000</v>
      </c>
      <c r="L14" s="55">
        <v>2</v>
      </c>
      <c r="M14" s="53" t="e">
        <f t="shared" ca="1" si="5"/>
        <v>#NAME?</v>
      </c>
      <c r="N14" s="53" t="e">
        <f t="shared" ca="1" si="6"/>
        <v>#NAME?</v>
      </c>
      <c r="O14" s="54" t="e">
        <f t="shared" ca="1" si="7"/>
        <v>#NAME?</v>
      </c>
      <c r="Q14" s="51">
        <v>1</v>
      </c>
      <c r="R14" s="56"/>
      <c r="S14" s="56">
        <v>1000</v>
      </c>
      <c r="T14" s="53">
        <f t="shared" si="0"/>
        <v>25000</v>
      </c>
      <c r="U14" s="54">
        <f t="shared" si="1"/>
        <v>300000</v>
      </c>
    </row>
    <row r="15" spans="2:24" ht="52.5" thickBot="1" x14ac:dyDescent="0.45">
      <c r="B15" s="47" t="s">
        <v>47</v>
      </c>
      <c r="C15" s="57" t="s">
        <v>48</v>
      </c>
      <c r="D15" s="58" t="s">
        <v>49</v>
      </c>
      <c r="E15" s="59">
        <v>3</v>
      </c>
      <c r="F15" s="60" t="s">
        <v>20</v>
      </c>
      <c r="G15" s="60" t="s">
        <v>21</v>
      </c>
      <c r="H15" s="61">
        <v>100</v>
      </c>
      <c r="I15" s="61">
        <f t="shared" si="2"/>
        <v>7200</v>
      </c>
      <c r="J15" s="61">
        <f t="shared" si="3"/>
        <v>180000</v>
      </c>
      <c r="K15" s="62">
        <f t="shared" si="4"/>
        <v>2160000</v>
      </c>
      <c r="L15" s="63">
        <v>3</v>
      </c>
      <c r="M15" s="61" t="e">
        <f t="shared" ca="1" si="5"/>
        <v>#NAME?</v>
      </c>
      <c r="N15" s="61" t="e">
        <f t="shared" ca="1" si="6"/>
        <v>#NAME?</v>
      </c>
      <c r="O15" s="62" t="e">
        <f t="shared" ca="1" si="7"/>
        <v>#NAME?</v>
      </c>
      <c r="Q15" s="59">
        <v>3</v>
      </c>
      <c r="R15" s="64"/>
      <c r="S15" s="64">
        <v>27000</v>
      </c>
      <c r="T15" s="61">
        <f t="shared" si="0"/>
        <v>675000</v>
      </c>
      <c r="U15" s="62">
        <f t="shared" si="1"/>
        <v>8100000</v>
      </c>
    </row>
    <row r="16" spans="2:24" x14ac:dyDescent="0.4">
      <c r="B16" s="12">
        <v>3</v>
      </c>
      <c r="C16" s="39" t="s">
        <v>50</v>
      </c>
      <c r="D16" s="65" t="s">
        <v>27</v>
      </c>
      <c r="E16" s="41">
        <v>1</v>
      </c>
      <c r="F16" s="42" t="s">
        <v>20</v>
      </c>
      <c r="G16" s="42" t="s">
        <v>21</v>
      </c>
      <c r="H16" s="43">
        <v>120</v>
      </c>
      <c r="I16" s="43">
        <f t="shared" si="2"/>
        <v>2880</v>
      </c>
      <c r="J16" s="43">
        <f t="shared" si="3"/>
        <v>72000</v>
      </c>
      <c r="K16" s="44">
        <f t="shared" si="4"/>
        <v>864000</v>
      </c>
      <c r="L16" s="49">
        <v>2</v>
      </c>
      <c r="M16" s="43" t="e">
        <f t="shared" ca="1" si="5"/>
        <v>#NAME?</v>
      </c>
      <c r="N16" s="43" t="e">
        <f t="shared" ca="1" si="6"/>
        <v>#NAME?</v>
      </c>
      <c r="O16" s="44" t="e">
        <f t="shared" ca="1" si="7"/>
        <v>#NAME?</v>
      </c>
      <c r="Q16" s="41">
        <v>1</v>
      </c>
      <c r="R16" s="45"/>
      <c r="S16" s="45">
        <v>1000</v>
      </c>
      <c r="T16" s="43">
        <f t="shared" si="0"/>
        <v>25000</v>
      </c>
      <c r="U16" s="44">
        <f t="shared" si="1"/>
        <v>300000</v>
      </c>
    </row>
    <row r="17" spans="2:21" x14ac:dyDescent="0.4">
      <c r="B17" s="12"/>
      <c r="C17" s="21" t="s">
        <v>51</v>
      </c>
      <c r="D17" s="29" t="s">
        <v>52</v>
      </c>
      <c r="E17" s="23">
        <v>2</v>
      </c>
      <c r="F17" s="24" t="s">
        <v>20</v>
      </c>
      <c r="G17" s="24" t="s">
        <v>21</v>
      </c>
      <c r="H17" s="25">
        <v>120</v>
      </c>
      <c r="I17" s="25">
        <f t="shared" si="2"/>
        <v>5760</v>
      </c>
      <c r="J17" s="25">
        <f t="shared" si="3"/>
        <v>144000</v>
      </c>
      <c r="K17" s="26">
        <f t="shared" si="4"/>
        <v>1728000</v>
      </c>
      <c r="L17" s="27">
        <v>2</v>
      </c>
      <c r="M17" s="25" t="e">
        <f t="shared" ca="1" si="5"/>
        <v>#NAME?</v>
      </c>
      <c r="N17" s="25" t="e">
        <f t="shared" ca="1" si="6"/>
        <v>#NAME?</v>
      </c>
      <c r="O17" s="26" t="e">
        <f t="shared" ca="1" si="7"/>
        <v>#NAME?</v>
      </c>
      <c r="Q17" s="23">
        <v>2</v>
      </c>
      <c r="R17" s="28"/>
      <c r="S17" s="28">
        <v>2000</v>
      </c>
      <c r="T17" s="25">
        <f t="shared" si="0"/>
        <v>50000</v>
      </c>
      <c r="U17" s="26">
        <f t="shared" si="1"/>
        <v>600000</v>
      </c>
    </row>
    <row r="18" spans="2:21" x14ac:dyDescent="0.4">
      <c r="B18" s="12"/>
      <c r="C18" s="21" t="s">
        <v>53</v>
      </c>
      <c r="D18" s="29" t="s">
        <v>27</v>
      </c>
      <c r="E18" s="23">
        <v>1</v>
      </c>
      <c r="F18" s="24" t="s">
        <v>20</v>
      </c>
      <c r="G18" s="24" t="s">
        <v>35</v>
      </c>
      <c r="H18" s="25">
        <v>120</v>
      </c>
      <c r="I18" s="25">
        <f t="shared" si="2"/>
        <v>2880</v>
      </c>
      <c r="J18" s="25">
        <f t="shared" si="3"/>
        <v>72000</v>
      </c>
      <c r="K18" s="26">
        <f t="shared" si="4"/>
        <v>864000</v>
      </c>
      <c r="L18" s="27">
        <v>2</v>
      </c>
      <c r="M18" s="25" t="e">
        <f t="shared" ca="1" si="5"/>
        <v>#NAME?</v>
      </c>
      <c r="N18" s="25" t="e">
        <f t="shared" ca="1" si="6"/>
        <v>#NAME?</v>
      </c>
      <c r="O18" s="26" t="e">
        <f t="shared" ca="1" si="7"/>
        <v>#NAME?</v>
      </c>
      <c r="Q18" s="23">
        <v>1</v>
      </c>
      <c r="R18" s="28"/>
      <c r="S18" s="28">
        <v>1000</v>
      </c>
      <c r="T18" s="25">
        <f t="shared" si="0"/>
        <v>25000</v>
      </c>
      <c r="U18" s="26">
        <f t="shared" si="1"/>
        <v>300000</v>
      </c>
    </row>
    <row r="19" spans="2:21" ht="16.5" thickBot="1" x14ac:dyDescent="0.45">
      <c r="B19" s="12"/>
      <c r="C19" s="30" t="s">
        <v>54</v>
      </c>
      <c r="D19" s="66" t="s">
        <v>41</v>
      </c>
      <c r="E19" s="67">
        <v>2</v>
      </c>
      <c r="F19" s="33" t="s">
        <v>20</v>
      </c>
      <c r="G19" s="33" t="s">
        <v>21</v>
      </c>
      <c r="H19" s="34">
        <v>120</v>
      </c>
      <c r="I19" s="34">
        <f t="shared" si="2"/>
        <v>5760</v>
      </c>
      <c r="J19" s="34">
        <f t="shared" si="3"/>
        <v>144000</v>
      </c>
      <c r="K19" s="35">
        <f t="shared" si="4"/>
        <v>1728000</v>
      </c>
      <c r="L19" s="36">
        <v>2</v>
      </c>
      <c r="M19" s="34" t="e">
        <f t="shared" ca="1" si="5"/>
        <v>#NAME?</v>
      </c>
      <c r="N19" s="34" t="e">
        <f t="shared" ca="1" si="6"/>
        <v>#NAME?</v>
      </c>
      <c r="O19" s="35" t="e">
        <f t="shared" ca="1" si="7"/>
        <v>#NAME?</v>
      </c>
      <c r="Q19" s="32">
        <v>2</v>
      </c>
      <c r="R19" s="37"/>
      <c r="S19" s="37">
        <v>2000</v>
      </c>
      <c r="T19" s="34">
        <f t="shared" si="0"/>
        <v>50000</v>
      </c>
      <c r="U19" s="35">
        <f t="shared" si="1"/>
        <v>600000</v>
      </c>
    </row>
    <row r="20" spans="2:21" x14ac:dyDescent="0.4">
      <c r="B20" s="38">
        <v>4</v>
      </c>
      <c r="C20" s="39" t="s">
        <v>55</v>
      </c>
      <c r="D20" s="65" t="s">
        <v>41</v>
      </c>
      <c r="E20" s="41">
        <v>2</v>
      </c>
      <c r="F20" s="42" t="s">
        <v>20</v>
      </c>
      <c r="G20" s="42" t="s">
        <v>21</v>
      </c>
      <c r="H20" s="43">
        <v>100</v>
      </c>
      <c r="I20" s="43">
        <f t="shared" si="2"/>
        <v>4800</v>
      </c>
      <c r="J20" s="43">
        <f t="shared" si="3"/>
        <v>120000</v>
      </c>
      <c r="K20" s="44">
        <f t="shared" si="4"/>
        <v>1440000</v>
      </c>
      <c r="L20" s="49">
        <v>2</v>
      </c>
      <c r="M20" s="43" t="e">
        <f t="shared" ca="1" si="5"/>
        <v>#NAME?</v>
      </c>
      <c r="N20" s="43" t="e">
        <f t="shared" ca="1" si="6"/>
        <v>#NAME?</v>
      </c>
      <c r="O20" s="44" t="e">
        <f t="shared" ca="1" si="7"/>
        <v>#NAME?</v>
      </c>
      <c r="Q20" s="41">
        <v>1</v>
      </c>
      <c r="R20" s="45"/>
      <c r="S20" s="45">
        <v>1000</v>
      </c>
      <c r="T20" s="43">
        <f t="shared" si="0"/>
        <v>25000</v>
      </c>
      <c r="U20" s="44">
        <f t="shared" si="1"/>
        <v>300000</v>
      </c>
    </row>
    <row r="21" spans="2:21" x14ac:dyDescent="0.4">
      <c r="B21" s="12"/>
      <c r="C21" s="21" t="s">
        <v>56</v>
      </c>
      <c r="D21" s="22" t="s">
        <v>57</v>
      </c>
      <c r="E21" s="23">
        <v>1</v>
      </c>
      <c r="F21" s="24" t="s">
        <v>20</v>
      </c>
      <c r="G21" s="24" t="s">
        <v>35</v>
      </c>
      <c r="H21" s="25">
        <v>120</v>
      </c>
      <c r="I21" s="25">
        <f t="shared" si="2"/>
        <v>2880</v>
      </c>
      <c r="J21" s="25">
        <f t="shared" si="3"/>
        <v>72000</v>
      </c>
      <c r="K21" s="26">
        <f t="shared" si="4"/>
        <v>864000</v>
      </c>
      <c r="L21" s="27">
        <v>2</v>
      </c>
      <c r="M21" s="25" t="e">
        <f t="shared" ca="1" si="5"/>
        <v>#NAME?</v>
      </c>
      <c r="N21" s="25" t="e">
        <f t="shared" ca="1" si="6"/>
        <v>#NAME?</v>
      </c>
      <c r="O21" s="26" t="e">
        <f t="shared" ca="1" si="7"/>
        <v>#NAME?</v>
      </c>
      <c r="Q21" s="23">
        <v>1</v>
      </c>
      <c r="R21" s="28"/>
      <c r="S21" s="28">
        <v>1000</v>
      </c>
      <c r="T21" s="25">
        <f t="shared" si="0"/>
        <v>25000</v>
      </c>
      <c r="U21" s="26">
        <f t="shared" si="1"/>
        <v>300000</v>
      </c>
    </row>
    <row r="22" spans="2:21" x14ac:dyDescent="0.4">
      <c r="B22" s="12"/>
      <c r="C22" s="21" t="s">
        <v>58</v>
      </c>
      <c r="D22" s="29" t="s">
        <v>59</v>
      </c>
      <c r="E22" s="23">
        <v>1</v>
      </c>
      <c r="F22" s="24" t="s">
        <v>20</v>
      </c>
      <c r="G22" s="24" t="s">
        <v>35</v>
      </c>
      <c r="H22" s="25">
        <v>120</v>
      </c>
      <c r="I22" s="25">
        <f t="shared" si="2"/>
        <v>2880</v>
      </c>
      <c r="J22" s="25">
        <f t="shared" si="3"/>
        <v>72000</v>
      </c>
      <c r="K22" s="26">
        <f t="shared" si="4"/>
        <v>864000</v>
      </c>
      <c r="L22" s="27">
        <v>1</v>
      </c>
      <c r="M22" s="25" t="e">
        <f t="shared" ca="1" si="5"/>
        <v>#NAME?</v>
      </c>
      <c r="N22" s="25" t="e">
        <f t="shared" ca="1" si="6"/>
        <v>#NAME?</v>
      </c>
      <c r="O22" s="26" t="e">
        <f t="shared" ca="1" si="7"/>
        <v>#NAME?</v>
      </c>
      <c r="Q22" s="23">
        <v>1</v>
      </c>
      <c r="R22" s="28"/>
      <c r="S22" s="28">
        <v>1000</v>
      </c>
      <c r="T22" s="25">
        <f t="shared" si="0"/>
        <v>25000</v>
      </c>
      <c r="U22" s="26">
        <f t="shared" si="1"/>
        <v>300000</v>
      </c>
    </row>
    <row r="23" spans="2:21" ht="16.5" thickBot="1" x14ac:dyDescent="0.45">
      <c r="B23" s="47"/>
      <c r="C23" s="30" t="s">
        <v>60</v>
      </c>
      <c r="D23" s="31" t="s">
        <v>59</v>
      </c>
      <c r="E23" s="32">
        <v>1</v>
      </c>
      <c r="F23" s="33" t="s">
        <v>20</v>
      </c>
      <c r="G23" s="33" t="s">
        <v>30</v>
      </c>
      <c r="H23" s="34">
        <v>120</v>
      </c>
      <c r="I23" s="34">
        <f t="shared" si="2"/>
        <v>2880</v>
      </c>
      <c r="J23" s="34">
        <f t="shared" si="3"/>
        <v>72000</v>
      </c>
      <c r="K23" s="35">
        <f t="shared" si="4"/>
        <v>864000</v>
      </c>
      <c r="L23" s="36">
        <v>2</v>
      </c>
      <c r="M23" s="34" t="e">
        <f t="shared" ca="1" si="5"/>
        <v>#NAME?</v>
      </c>
      <c r="N23" s="34" t="e">
        <f t="shared" ca="1" si="6"/>
        <v>#NAME?</v>
      </c>
      <c r="O23" s="35" t="e">
        <f t="shared" ca="1" si="7"/>
        <v>#NAME?</v>
      </c>
      <c r="Q23" s="32">
        <v>1</v>
      </c>
      <c r="R23" s="37"/>
      <c r="S23" s="37">
        <v>1000</v>
      </c>
      <c r="T23" s="34">
        <f t="shared" si="0"/>
        <v>25000</v>
      </c>
      <c r="U23" s="35">
        <f t="shared" si="1"/>
        <v>300000</v>
      </c>
    </row>
    <row r="24" spans="2:21" x14ac:dyDescent="0.4">
      <c r="B24" s="12">
        <v>5</v>
      </c>
      <c r="C24" s="39" t="s">
        <v>61</v>
      </c>
      <c r="D24" s="65" t="s">
        <v>34</v>
      </c>
      <c r="E24" s="41">
        <v>1</v>
      </c>
      <c r="F24" s="42" t="s">
        <v>20</v>
      </c>
      <c r="G24" s="42" t="s">
        <v>30</v>
      </c>
      <c r="H24" s="43">
        <v>120</v>
      </c>
      <c r="I24" s="43">
        <f t="shared" si="2"/>
        <v>2880</v>
      </c>
      <c r="J24" s="43">
        <f t="shared" si="3"/>
        <v>72000</v>
      </c>
      <c r="K24" s="44">
        <f t="shared" si="4"/>
        <v>864000</v>
      </c>
      <c r="L24" s="49">
        <v>1</v>
      </c>
      <c r="M24" s="43" t="e">
        <f t="shared" ca="1" si="5"/>
        <v>#NAME?</v>
      </c>
      <c r="N24" s="43" t="e">
        <f t="shared" ca="1" si="6"/>
        <v>#NAME?</v>
      </c>
      <c r="O24" s="44" t="e">
        <f t="shared" ca="1" si="7"/>
        <v>#NAME?</v>
      </c>
      <c r="Q24" s="41">
        <v>1</v>
      </c>
      <c r="R24" s="45"/>
      <c r="S24" s="45">
        <v>1000</v>
      </c>
      <c r="T24" s="43">
        <f t="shared" si="0"/>
        <v>25000</v>
      </c>
      <c r="U24" s="44">
        <f t="shared" si="1"/>
        <v>300000</v>
      </c>
    </row>
    <row r="25" spans="2:21" x14ac:dyDescent="0.4">
      <c r="B25" s="12"/>
      <c r="C25" s="21" t="s">
        <v>62</v>
      </c>
      <c r="D25" s="22" t="s">
        <v>63</v>
      </c>
      <c r="E25" s="23">
        <v>1</v>
      </c>
      <c r="F25" s="24" t="s">
        <v>20</v>
      </c>
      <c r="G25" s="24" t="s">
        <v>30</v>
      </c>
      <c r="H25" s="25">
        <v>50</v>
      </c>
      <c r="I25" s="25">
        <f t="shared" si="2"/>
        <v>1200</v>
      </c>
      <c r="J25" s="25">
        <f t="shared" si="3"/>
        <v>30000</v>
      </c>
      <c r="K25" s="26">
        <f t="shared" si="4"/>
        <v>360000</v>
      </c>
      <c r="L25" s="27">
        <v>1</v>
      </c>
      <c r="M25" s="25" t="e">
        <f t="shared" ca="1" si="5"/>
        <v>#NAME?</v>
      </c>
      <c r="N25" s="25" t="e">
        <f t="shared" ca="1" si="6"/>
        <v>#NAME?</v>
      </c>
      <c r="O25" s="26" t="e">
        <f t="shared" ca="1" si="7"/>
        <v>#NAME?</v>
      </c>
      <c r="Q25" s="23">
        <v>1</v>
      </c>
      <c r="R25" s="28"/>
      <c r="S25" s="28">
        <v>1000</v>
      </c>
      <c r="T25" s="25">
        <f t="shared" si="0"/>
        <v>25000</v>
      </c>
      <c r="U25" s="26">
        <f t="shared" si="1"/>
        <v>300000</v>
      </c>
    </row>
    <row r="26" spans="2:21" x14ac:dyDescent="0.4">
      <c r="B26" s="12"/>
      <c r="C26" s="21" t="s">
        <v>64</v>
      </c>
      <c r="D26" s="29" t="s">
        <v>39</v>
      </c>
      <c r="E26" s="23">
        <v>1</v>
      </c>
      <c r="F26" s="24" t="s">
        <v>20</v>
      </c>
      <c r="G26" s="24" t="s">
        <v>21</v>
      </c>
      <c r="H26" s="25">
        <v>120</v>
      </c>
      <c r="I26" s="25">
        <f t="shared" si="2"/>
        <v>2880</v>
      </c>
      <c r="J26" s="25">
        <f t="shared" si="3"/>
        <v>72000</v>
      </c>
      <c r="K26" s="26">
        <f t="shared" si="4"/>
        <v>864000</v>
      </c>
      <c r="L26" s="27">
        <v>1</v>
      </c>
      <c r="M26" s="25" t="e">
        <f t="shared" ca="1" si="5"/>
        <v>#NAME?</v>
      </c>
      <c r="N26" s="25" t="e">
        <f t="shared" ca="1" si="6"/>
        <v>#NAME?</v>
      </c>
      <c r="O26" s="26" t="e">
        <f t="shared" ca="1" si="7"/>
        <v>#NAME?</v>
      </c>
      <c r="Q26" s="23">
        <v>1</v>
      </c>
      <c r="R26" s="28"/>
      <c r="S26" s="28">
        <v>1000</v>
      </c>
      <c r="T26" s="25">
        <f t="shared" si="0"/>
        <v>25000</v>
      </c>
      <c r="U26" s="26">
        <f t="shared" si="1"/>
        <v>300000</v>
      </c>
    </row>
    <row r="27" spans="2:21" ht="16.5" thickBot="1" x14ac:dyDescent="0.45">
      <c r="B27" s="47"/>
      <c r="C27" s="30" t="s">
        <v>65</v>
      </c>
      <c r="D27" s="31" t="s">
        <v>41</v>
      </c>
      <c r="E27" s="32">
        <v>1</v>
      </c>
      <c r="F27" s="33" t="s">
        <v>20</v>
      </c>
      <c r="G27" s="33" t="s">
        <v>37</v>
      </c>
      <c r="H27" s="34">
        <v>120</v>
      </c>
      <c r="I27" s="34">
        <f t="shared" si="2"/>
        <v>2880</v>
      </c>
      <c r="J27" s="34">
        <f t="shared" si="3"/>
        <v>72000</v>
      </c>
      <c r="K27" s="35">
        <f t="shared" si="4"/>
        <v>864000</v>
      </c>
      <c r="L27" s="36">
        <v>1</v>
      </c>
      <c r="M27" s="34" t="e">
        <f t="shared" ca="1" si="5"/>
        <v>#NAME?</v>
      </c>
      <c r="N27" s="34" t="e">
        <f t="shared" ca="1" si="6"/>
        <v>#NAME?</v>
      </c>
      <c r="O27" s="35" t="e">
        <f t="shared" ca="1" si="7"/>
        <v>#NAME?</v>
      </c>
      <c r="Q27" s="32">
        <v>1</v>
      </c>
      <c r="R27" s="37"/>
      <c r="S27" s="37">
        <v>1000</v>
      </c>
      <c r="T27" s="34">
        <f t="shared" si="0"/>
        <v>25000</v>
      </c>
      <c r="U27" s="35">
        <f t="shared" si="1"/>
        <v>300000</v>
      </c>
    </row>
    <row r="28" spans="2:21" ht="26" x14ac:dyDescent="0.4">
      <c r="B28" s="38" t="s">
        <v>47</v>
      </c>
      <c r="C28" s="68" t="s">
        <v>66</v>
      </c>
      <c r="D28" s="69" t="s">
        <v>67</v>
      </c>
      <c r="E28" s="70">
        <v>5</v>
      </c>
      <c r="F28" s="71" t="s">
        <v>20</v>
      </c>
      <c r="G28" s="71" t="s">
        <v>21</v>
      </c>
      <c r="H28" s="72">
        <v>100</v>
      </c>
      <c r="I28" s="72">
        <f t="shared" si="2"/>
        <v>12000</v>
      </c>
      <c r="J28" s="72">
        <f t="shared" si="3"/>
        <v>300000</v>
      </c>
      <c r="K28" s="73">
        <f t="shared" si="4"/>
        <v>3600000</v>
      </c>
      <c r="L28" s="74">
        <v>3</v>
      </c>
      <c r="M28" s="72" t="e">
        <f t="shared" ca="1" si="5"/>
        <v>#NAME?</v>
      </c>
      <c r="N28" s="72" t="e">
        <f t="shared" ca="1" si="6"/>
        <v>#NAME?</v>
      </c>
      <c r="O28" s="73" t="e">
        <f t="shared" ca="1" si="7"/>
        <v>#NAME?</v>
      </c>
      <c r="Q28" s="70">
        <v>2</v>
      </c>
      <c r="R28" s="75"/>
      <c r="S28" s="75">
        <v>10000</v>
      </c>
      <c r="T28" s="72">
        <f t="shared" si="0"/>
        <v>250000</v>
      </c>
      <c r="U28" s="73">
        <f t="shared" si="1"/>
        <v>3000000</v>
      </c>
    </row>
    <row r="29" spans="2:21" ht="16.5" thickBot="1" x14ac:dyDescent="0.45">
      <c r="B29" s="12"/>
      <c r="C29" s="30" t="s">
        <v>68</v>
      </c>
      <c r="D29" s="76" t="s">
        <v>69</v>
      </c>
      <c r="E29" s="32">
        <v>2</v>
      </c>
      <c r="F29" s="33" t="s">
        <v>20</v>
      </c>
      <c r="G29" s="33" t="s">
        <v>21</v>
      </c>
      <c r="H29" s="34">
        <v>100</v>
      </c>
      <c r="I29" s="34">
        <f t="shared" si="2"/>
        <v>4800</v>
      </c>
      <c r="J29" s="34">
        <f t="shared" si="3"/>
        <v>120000</v>
      </c>
      <c r="K29" s="35">
        <f t="shared" si="4"/>
        <v>1440000</v>
      </c>
      <c r="L29" s="36">
        <v>3</v>
      </c>
      <c r="M29" s="34" t="e">
        <f t="shared" ca="1" si="5"/>
        <v>#NAME?</v>
      </c>
      <c r="N29" s="34" t="e">
        <f t="shared" ca="1" si="6"/>
        <v>#NAME?</v>
      </c>
      <c r="O29" s="35" t="e">
        <f t="shared" ca="1" si="7"/>
        <v>#NAME?</v>
      </c>
      <c r="Q29" s="32">
        <v>2</v>
      </c>
      <c r="R29" s="37"/>
      <c r="S29" s="37">
        <v>2000</v>
      </c>
      <c r="T29" s="34">
        <f t="shared" si="0"/>
        <v>50000</v>
      </c>
      <c r="U29" s="35">
        <f t="shared" si="1"/>
        <v>600000</v>
      </c>
    </row>
    <row r="30" spans="2:21" x14ac:dyDescent="0.4">
      <c r="B30" s="38" t="s">
        <v>70</v>
      </c>
      <c r="C30" s="39" t="s">
        <v>71</v>
      </c>
      <c r="D30" s="40" t="s">
        <v>72</v>
      </c>
      <c r="E30" s="41">
        <v>2</v>
      </c>
      <c r="F30" s="42" t="s">
        <v>24</v>
      </c>
      <c r="G30" s="42" t="s">
        <v>73</v>
      </c>
      <c r="H30" s="43">
        <f>45 + 30</f>
        <v>75</v>
      </c>
      <c r="I30" s="43">
        <f t="shared" si="2"/>
        <v>3600</v>
      </c>
      <c r="J30" s="43">
        <f t="shared" si="3"/>
        <v>90000</v>
      </c>
      <c r="K30" s="44">
        <f t="shared" si="4"/>
        <v>1080000</v>
      </c>
      <c r="L30" s="49">
        <v>1</v>
      </c>
      <c r="M30" s="43" t="e">
        <f t="shared" ca="1" si="5"/>
        <v>#NAME?</v>
      </c>
      <c r="N30" s="43" t="e">
        <f t="shared" ca="1" si="6"/>
        <v>#NAME?</v>
      </c>
      <c r="O30" s="44" t="e">
        <f t="shared" ca="1" si="7"/>
        <v>#NAME?</v>
      </c>
      <c r="Q30" s="41">
        <v>1</v>
      </c>
      <c r="R30" s="45">
        <v>60</v>
      </c>
      <c r="S30" s="43">
        <f t="shared" ref="S30:S36" si="8">R30*$S$1</f>
        <v>1200</v>
      </c>
      <c r="T30" s="43">
        <f t="shared" si="0"/>
        <v>30000</v>
      </c>
      <c r="U30" s="44">
        <f t="shared" si="1"/>
        <v>360000</v>
      </c>
    </row>
    <row r="31" spans="2:21" ht="26" x14ac:dyDescent="0.4">
      <c r="B31" s="12"/>
      <c r="C31" s="21" t="s">
        <v>74</v>
      </c>
      <c r="D31" s="29" t="s">
        <v>75</v>
      </c>
      <c r="E31" s="23">
        <v>4</v>
      </c>
      <c r="F31" s="24" t="s">
        <v>20</v>
      </c>
      <c r="G31" s="24" t="s">
        <v>30</v>
      </c>
      <c r="H31" s="25">
        <v>75</v>
      </c>
      <c r="I31" s="25">
        <f t="shared" si="2"/>
        <v>7200</v>
      </c>
      <c r="J31" s="25">
        <f t="shared" si="3"/>
        <v>180000</v>
      </c>
      <c r="K31" s="26">
        <f t="shared" si="4"/>
        <v>2160000</v>
      </c>
      <c r="L31" s="27">
        <v>3</v>
      </c>
      <c r="M31" s="25" t="e">
        <f t="shared" ca="1" si="5"/>
        <v>#NAME?</v>
      </c>
      <c r="N31" s="25" t="e">
        <f t="shared" ca="1" si="6"/>
        <v>#NAME?</v>
      </c>
      <c r="O31" s="26" t="e">
        <f t="shared" ca="1" si="7"/>
        <v>#NAME?</v>
      </c>
      <c r="Q31" s="77" t="s">
        <v>76</v>
      </c>
      <c r="R31" s="56">
        <v>290</v>
      </c>
      <c r="S31" s="56">
        <f t="shared" si="8"/>
        <v>5800</v>
      </c>
      <c r="T31" s="53">
        <f t="shared" si="0"/>
        <v>145000</v>
      </c>
      <c r="U31" s="54">
        <f t="shared" si="1"/>
        <v>1740000</v>
      </c>
    </row>
    <row r="32" spans="2:21" x14ac:dyDescent="0.4">
      <c r="B32" s="12"/>
      <c r="C32" s="21" t="s">
        <v>77</v>
      </c>
      <c r="D32" s="29" t="s">
        <v>78</v>
      </c>
      <c r="E32" s="23">
        <v>2</v>
      </c>
      <c r="F32" s="24" t="s">
        <v>79</v>
      </c>
      <c r="G32" s="24" t="s">
        <v>30</v>
      </c>
      <c r="H32" s="25">
        <v>60</v>
      </c>
      <c r="I32" s="25">
        <f t="shared" si="2"/>
        <v>2880</v>
      </c>
      <c r="J32" s="25">
        <f t="shared" si="3"/>
        <v>72000</v>
      </c>
      <c r="K32" s="26">
        <f t="shared" si="4"/>
        <v>864000</v>
      </c>
      <c r="L32" s="27">
        <v>1</v>
      </c>
      <c r="M32" s="25" t="e">
        <f t="shared" ca="1" si="5"/>
        <v>#NAME?</v>
      </c>
      <c r="N32" s="25" t="e">
        <f t="shared" ca="1" si="6"/>
        <v>#NAME?</v>
      </c>
      <c r="O32" s="26" t="e">
        <f t="shared" ca="1" si="7"/>
        <v>#NAME?</v>
      </c>
      <c r="Q32" s="23">
        <v>1</v>
      </c>
      <c r="R32" s="28">
        <v>100</v>
      </c>
      <c r="S32" s="28">
        <f t="shared" si="8"/>
        <v>2000</v>
      </c>
      <c r="T32" s="25">
        <f t="shared" si="0"/>
        <v>50000</v>
      </c>
      <c r="U32" s="26">
        <f t="shared" si="1"/>
        <v>600000</v>
      </c>
    </row>
    <row r="33" spans="2:21" ht="26" x14ac:dyDescent="0.4">
      <c r="B33" s="12"/>
      <c r="C33" s="50" t="s">
        <v>80</v>
      </c>
      <c r="D33" s="69" t="s">
        <v>81</v>
      </c>
      <c r="E33" s="51">
        <v>1</v>
      </c>
      <c r="F33" s="52" t="s">
        <v>20</v>
      </c>
      <c r="G33" s="52" t="s">
        <v>30</v>
      </c>
      <c r="H33" s="53">
        <v>108</v>
      </c>
      <c r="I33" s="53">
        <f t="shared" si="2"/>
        <v>2592</v>
      </c>
      <c r="J33" s="53">
        <f t="shared" si="3"/>
        <v>64800</v>
      </c>
      <c r="K33" s="54">
        <f t="shared" si="4"/>
        <v>777600</v>
      </c>
      <c r="L33" s="55"/>
      <c r="M33" s="53"/>
      <c r="N33" s="53"/>
      <c r="O33" s="54"/>
      <c r="Q33" s="51">
        <v>1</v>
      </c>
      <c r="R33" s="56">
        <v>80</v>
      </c>
      <c r="S33" s="56">
        <f t="shared" si="8"/>
        <v>1600</v>
      </c>
      <c r="T33" s="53">
        <f t="shared" si="0"/>
        <v>40000</v>
      </c>
      <c r="U33" s="54">
        <f t="shared" si="1"/>
        <v>480000</v>
      </c>
    </row>
    <row r="34" spans="2:21" x14ac:dyDescent="0.4">
      <c r="B34" s="12"/>
      <c r="C34" s="21" t="s">
        <v>82</v>
      </c>
      <c r="D34" s="22" t="s">
        <v>52</v>
      </c>
      <c r="E34" s="23">
        <v>1</v>
      </c>
      <c r="F34" s="24" t="s">
        <v>83</v>
      </c>
      <c r="G34" s="24" t="s">
        <v>30</v>
      </c>
      <c r="H34" s="25">
        <v>180</v>
      </c>
      <c r="I34" s="25">
        <f t="shared" si="2"/>
        <v>4320</v>
      </c>
      <c r="J34" s="25">
        <f t="shared" si="3"/>
        <v>108000</v>
      </c>
      <c r="K34" s="26">
        <f t="shared" si="4"/>
        <v>1296000</v>
      </c>
      <c r="L34" s="27">
        <v>2</v>
      </c>
      <c r="M34" s="25" t="e">
        <f t="shared" ca="1" si="5"/>
        <v>#NAME?</v>
      </c>
      <c r="N34" s="25" t="e">
        <f t="shared" ca="1" si="6"/>
        <v>#NAME?</v>
      </c>
      <c r="O34" s="26" t="e">
        <f t="shared" ca="1" si="7"/>
        <v>#NAME?</v>
      </c>
      <c r="Q34" s="23">
        <v>1</v>
      </c>
      <c r="R34" s="28">
        <v>180</v>
      </c>
      <c r="S34" s="28">
        <f t="shared" si="8"/>
        <v>3600</v>
      </c>
      <c r="T34" s="25">
        <f t="shared" si="0"/>
        <v>90000</v>
      </c>
      <c r="U34" s="26">
        <f t="shared" si="1"/>
        <v>1080000</v>
      </c>
    </row>
    <row r="35" spans="2:21" ht="39" x14ac:dyDescent="0.4">
      <c r="B35" s="12"/>
      <c r="C35" s="21" t="s">
        <v>84</v>
      </c>
      <c r="D35" s="69" t="s">
        <v>85</v>
      </c>
      <c r="E35" s="23">
        <v>1</v>
      </c>
      <c r="F35" s="24" t="s">
        <v>24</v>
      </c>
      <c r="G35" s="24" t="s">
        <v>30</v>
      </c>
      <c r="H35" s="25">
        <v>55</v>
      </c>
      <c r="I35" s="25">
        <f t="shared" si="2"/>
        <v>1320</v>
      </c>
      <c r="J35" s="25">
        <f t="shared" si="3"/>
        <v>33000</v>
      </c>
      <c r="K35" s="26">
        <f t="shared" si="4"/>
        <v>396000</v>
      </c>
      <c r="L35" s="27">
        <v>2</v>
      </c>
      <c r="M35" s="25" t="e">
        <f t="shared" ca="1" si="5"/>
        <v>#NAME?</v>
      </c>
      <c r="N35" s="25" t="e">
        <f t="shared" ca="1" si="6"/>
        <v>#NAME?</v>
      </c>
      <c r="O35" s="26" t="e">
        <f t="shared" ca="1" si="7"/>
        <v>#NAME?</v>
      </c>
      <c r="Q35" s="51" t="s">
        <v>86</v>
      </c>
      <c r="R35" s="56">
        <v>160</v>
      </c>
      <c r="S35" s="56">
        <f t="shared" si="8"/>
        <v>3200</v>
      </c>
      <c r="T35" s="53">
        <f t="shared" si="0"/>
        <v>80000</v>
      </c>
      <c r="U35" s="54">
        <f t="shared" si="1"/>
        <v>960000</v>
      </c>
    </row>
    <row r="36" spans="2:21" ht="16.5" thickBot="1" x14ac:dyDescent="0.45">
      <c r="B36" s="47"/>
      <c r="C36" s="30" t="s">
        <v>87</v>
      </c>
      <c r="D36" s="76" t="s">
        <v>88</v>
      </c>
      <c r="E36" s="32">
        <v>2</v>
      </c>
      <c r="F36" s="33" t="s">
        <v>24</v>
      </c>
      <c r="G36" s="33" t="s">
        <v>73</v>
      </c>
      <c r="H36" s="34">
        <v>45</v>
      </c>
      <c r="I36" s="34">
        <f t="shared" si="2"/>
        <v>2160</v>
      </c>
      <c r="J36" s="34">
        <f t="shared" si="3"/>
        <v>54000</v>
      </c>
      <c r="K36" s="35">
        <f t="shared" si="4"/>
        <v>648000</v>
      </c>
      <c r="L36" s="36">
        <v>2</v>
      </c>
      <c r="M36" s="34" t="e">
        <f ca="1">((_xlfn.IFS(L36=1,H36*6,L36=2,H36*12,L36=3,H36*18)))*E36</f>
        <v>#NAME?</v>
      </c>
      <c r="N36" s="34" t="e">
        <f t="shared" ca="1" si="6"/>
        <v>#NAME?</v>
      </c>
      <c r="O36" s="35" t="e">
        <f t="shared" ca="1" si="7"/>
        <v>#NAME?</v>
      </c>
      <c r="Q36" s="32">
        <v>1</v>
      </c>
      <c r="R36" s="37">
        <v>35</v>
      </c>
      <c r="S36" s="37">
        <f t="shared" si="8"/>
        <v>700</v>
      </c>
      <c r="T36" s="34">
        <f t="shared" si="0"/>
        <v>17500</v>
      </c>
      <c r="U36" s="35">
        <f t="shared" si="1"/>
        <v>210000</v>
      </c>
    </row>
    <row r="37" spans="2:21" hidden="1" x14ac:dyDescent="0.4">
      <c r="B37" s="12" t="s">
        <v>89</v>
      </c>
      <c r="C37" s="21" t="s">
        <v>90</v>
      </c>
      <c r="D37" s="69" t="s">
        <v>91</v>
      </c>
      <c r="E37" s="23">
        <v>2</v>
      </c>
      <c r="F37" s="24" t="s">
        <v>20</v>
      </c>
      <c r="G37" s="24" t="s">
        <v>21</v>
      </c>
      <c r="H37" s="25">
        <v>80</v>
      </c>
      <c r="I37" s="25">
        <f t="shared" si="2"/>
        <v>3840</v>
      </c>
      <c r="J37" s="25">
        <f t="shared" si="3"/>
        <v>96000</v>
      </c>
      <c r="K37" s="26">
        <f t="shared" si="4"/>
        <v>1152000</v>
      </c>
      <c r="L37" s="49">
        <v>3</v>
      </c>
      <c r="M37" s="25" t="e">
        <f t="shared" ca="1" si="5"/>
        <v>#NAME?</v>
      </c>
      <c r="N37" s="25" t="e">
        <f t="shared" ca="1" si="6"/>
        <v>#NAME?</v>
      </c>
      <c r="O37" s="26" t="e">
        <f t="shared" ca="1" si="7"/>
        <v>#NAME?</v>
      </c>
      <c r="Q37" s="23">
        <v>2</v>
      </c>
      <c r="R37" s="28"/>
      <c r="S37" s="28">
        <v>2000</v>
      </c>
      <c r="T37" s="25">
        <v>50000</v>
      </c>
      <c r="U37" s="26">
        <v>600000</v>
      </c>
    </row>
    <row r="38" spans="2:21" ht="16.5" hidden="1" thickBot="1" x14ac:dyDescent="0.45">
      <c r="B38" s="47"/>
      <c r="C38" s="30" t="s">
        <v>92</v>
      </c>
      <c r="D38" s="76" t="s">
        <v>91</v>
      </c>
      <c r="E38" s="32">
        <v>2</v>
      </c>
      <c r="F38" s="33" t="s">
        <v>20</v>
      </c>
      <c r="G38" s="78" t="s">
        <v>21</v>
      </c>
      <c r="H38" s="34">
        <v>80</v>
      </c>
      <c r="I38" s="34">
        <f t="shared" si="2"/>
        <v>3840</v>
      </c>
      <c r="J38" s="34">
        <f t="shared" si="3"/>
        <v>96000</v>
      </c>
      <c r="K38" s="35">
        <f t="shared" si="4"/>
        <v>1152000</v>
      </c>
      <c r="L38" s="36">
        <v>3</v>
      </c>
      <c r="M38" s="34" t="e">
        <f t="shared" ca="1" si="5"/>
        <v>#NAME?</v>
      </c>
      <c r="N38" s="34" t="e">
        <f t="shared" ca="1" si="6"/>
        <v>#NAME?</v>
      </c>
      <c r="O38" s="35" t="e">
        <f t="shared" ca="1" si="7"/>
        <v>#NAME?</v>
      </c>
      <c r="Q38" s="32">
        <v>2</v>
      </c>
      <c r="R38" s="79"/>
      <c r="S38" s="79">
        <v>2000</v>
      </c>
      <c r="T38" s="34">
        <v>50000</v>
      </c>
      <c r="U38" s="35">
        <v>600000</v>
      </c>
    </row>
    <row r="40" spans="2:21" x14ac:dyDescent="0.4">
      <c r="I40" s="80">
        <f>SUM(I4:I38)-SUM(I13:I14,I33,I37:I38)</f>
        <v>113400</v>
      </c>
      <c r="J40" s="80">
        <f>SUM(J4:J38)-SUM(J13:J14,J33,J37:J38)</f>
        <v>2835000</v>
      </c>
      <c r="K40" s="80">
        <f>SUM(K4:K38)-SUM(K13:K14,K33,K37:K38)</f>
        <v>34020000</v>
      </c>
      <c r="L40" s="80"/>
      <c r="M40" s="80" t="e">
        <f ca="1">SUM(M4:M38)-SUM(M13:M14,M33,M37:M38)</f>
        <v>#NAME?</v>
      </c>
      <c r="N40" s="80" t="e">
        <f ca="1">SUM(N4:N38)-SUM(N13:N14,N33,N37:N38)</f>
        <v>#NAME?</v>
      </c>
      <c r="O40" s="80" t="e">
        <f ca="1">SUM(O4:O38)-SUM(O13:O14,O33,O37:O38)</f>
        <v>#NAME?</v>
      </c>
      <c r="S40" s="80">
        <f>SUM(S4:S38)-SUM(S13:S14,S33,S37:S38)</f>
        <v>80500</v>
      </c>
      <c r="T40" s="80">
        <f>SUM(T4:T38)-SUM(T13:T14,T33,T37:T38)</f>
        <v>2012500</v>
      </c>
      <c r="U40" s="80">
        <f>SUM(U4:U38)-SUM(U13:U14,U33,U37:U38)</f>
        <v>24150000</v>
      </c>
    </row>
  </sheetData>
  <mergeCells count="15">
    <mergeCell ref="S2:S3"/>
    <mergeCell ref="T2:T3"/>
    <mergeCell ref="U2:U3"/>
    <mergeCell ref="H2:H3"/>
    <mergeCell ref="I2:K2"/>
    <mergeCell ref="L2:L3"/>
    <mergeCell ref="M2:O2"/>
    <mergeCell ref="Q2:Q3"/>
    <mergeCell ref="R2:R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FACHRUR RIDLO</dc:creator>
  <cp:lastModifiedBy>FACHRUR RIDLO</cp:lastModifiedBy>
  <dcterms:created xsi:type="dcterms:W3CDTF">2025-07-09T07:26:03Z</dcterms:created>
  <dcterms:modified xsi:type="dcterms:W3CDTF">2025-07-09T07:27:04Z</dcterms:modified>
</cp:coreProperties>
</file>