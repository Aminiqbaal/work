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_Table" sheetId="1" r:id="rId4"/>
    <sheet state="visible" name="Copy of Task_Table" sheetId="2" r:id="rId5"/>
    <sheet state="visible" name="Sheet1" sheetId="3" r:id="rId6"/>
    <sheet state="visible" name="Timeline" sheetId="4" r:id="rId7"/>
    <sheet state="visible" name="Copy of Timeline" sheetId="5" r:id="rId8"/>
    <sheet state="visible" name="Kurva S" sheetId="6" r:id="rId9"/>
    <sheet state="visible" name="Copy of Kurva S" sheetId="7" r:id="rId10"/>
    <sheet state="visible" name="Master Data" sheetId="8" r:id="rId11"/>
  </sheets>
  <definedNames>
    <definedName name="Task_Table">Task_Table!$B$2:$D$2</definedName>
    <definedName localSheetId="1" name="Task_Table">'Copy of Task_Table'!$B$2:$D$2</definedName>
  </definedNames>
  <calcPr/>
  <extLst>
    <ext uri="GoogleSheetsCustomDataVersion2">
      <go:sheetsCustomData xmlns:go="http://customooxmlschemas.google.com/" r:id="rId12" roundtripDataChecksum="d/Wr4YJpZ/sAhDp2KBCRIa7G4HiWWI32E5TOdXiGI1E="/>
    </ext>
  </extLst>
</workbook>
</file>

<file path=xl/sharedStrings.xml><?xml version="1.0" encoding="utf-8"?>
<sst xmlns="http://schemas.openxmlformats.org/spreadsheetml/2006/main" count="367" uniqueCount="150">
  <si>
    <t>PLANNING</t>
  </si>
  <si>
    <t>Name</t>
  </si>
  <si>
    <t>Days</t>
  </si>
  <si>
    <t>Weight</t>
  </si>
  <si>
    <t>April</t>
  </si>
  <si>
    <t>Mei</t>
  </si>
  <si>
    <t>JUN</t>
  </si>
  <si>
    <t>Termin 1 
30 %</t>
  </si>
  <si>
    <t>SIGMA Implementation Task</t>
  </si>
  <si>
    <t>Fase 1</t>
  </si>
  <si>
    <t>Project Preparation</t>
  </si>
  <si>
    <t xml:space="preserve">   Kick Off</t>
  </si>
  <si>
    <t>Requirement Preparation</t>
  </si>
  <si>
    <t xml:space="preserve">  Gap Analysis</t>
  </si>
  <si>
    <t xml:space="preserve">  Blue Print</t>
  </si>
  <si>
    <t xml:space="preserve">  Mockup</t>
  </si>
  <si>
    <t>Termin 2
65 %</t>
  </si>
  <si>
    <t>Fase 2</t>
  </si>
  <si>
    <t>Enhanchement</t>
  </si>
  <si>
    <t xml:space="preserve">  Environment Preparation</t>
  </si>
  <si>
    <t xml:space="preserve">  Development</t>
  </si>
  <si>
    <t xml:space="preserve">  Unit Testing</t>
  </si>
  <si>
    <t>Acceptance</t>
  </si>
  <si>
    <t xml:space="preserve">  SIT</t>
  </si>
  <si>
    <t xml:space="preserve">  UAT</t>
  </si>
  <si>
    <t xml:space="preserve">  EUT</t>
  </si>
  <si>
    <t>Termin 3
5 %</t>
  </si>
  <si>
    <t>Fase 3</t>
  </si>
  <si>
    <t>Support</t>
  </si>
  <si>
    <t>Total</t>
  </si>
  <si>
    <t>Accumulated</t>
  </si>
  <si>
    <t>REAL</t>
  </si>
  <si>
    <t>Planning</t>
  </si>
  <si>
    <t>Real</t>
  </si>
  <si>
    <t>Gap</t>
  </si>
  <si>
    <t>Maret</t>
  </si>
  <si>
    <t>JUL</t>
  </si>
  <si>
    <t>AGUSTUS</t>
  </si>
  <si>
    <t>SEPTEMBER</t>
  </si>
  <si>
    <t>MD ROYALTY Implementation Task</t>
  </si>
  <si>
    <t>TERMIN 1</t>
  </si>
  <si>
    <t xml:space="preserve">   Project Charter</t>
  </si>
  <si>
    <t>Termin 2</t>
  </si>
  <si>
    <t>Live Preparation</t>
  </si>
  <si>
    <t xml:space="preserve">  Migration Data Preparation</t>
  </si>
  <si>
    <t xml:space="preserve">  Upload Migration to Production</t>
  </si>
  <si>
    <t>Transport Production</t>
  </si>
  <si>
    <t>Golive</t>
  </si>
  <si>
    <t>Termin 3</t>
  </si>
  <si>
    <t>ACTUAL</t>
  </si>
  <si>
    <t>Actual</t>
  </si>
  <si>
    <t>Termin 1</t>
  </si>
  <si>
    <t xml:space="preserve">  Kick Off</t>
  </si>
  <si>
    <t xml:space="preserve">  Project Charter</t>
  </si>
  <si>
    <t>0,2</t>
  </si>
  <si>
    <t>0,5</t>
  </si>
  <si>
    <t xml:space="preserve">  Preparation Master Data</t>
  </si>
  <si>
    <t xml:space="preserve">   Support</t>
  </si>
  <si>
    <t>No</t>
  </si>
  <si>
    <t>Keterangan</t>
  </si>
  <si>
    <t>Total Plan</t>
  </si>
  <si>
    <t>Plan Now</t>
  </si>
  <si>
    <t>May</t>
  </si>
  <si>
    <t>June</t>
  </si>
  <si>
    <t>July</t>
  </si>
  <si>
    <t>Agust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</si>
  <si>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</si>
  <si>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</si>
  <si>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</si>
  <si>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</si>
  <si>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</si>
  <si>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</si>
  <si>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</si>
  <si>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</si>
  <si>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</si>
  <si>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</si>
  <si>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</si>
  <si>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</si>
  <si>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</si>
  <si>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</si>
  <si>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</si>
  <si>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</si>
  <si>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</si>
  <si>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</si>
  <si>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</si>
  <si>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</si>
  <si>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</si>
  <si>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</si>
  <si>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</si>
  <si>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</si>
  <si>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</si>
  <si>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 xml:space="preserve">  Support</t>
  </si>
  <si>
    <t>Data</t>
  </si>
  <si>
    <t>Cuti Bersama Lebaran</t>
  </si>
  <si>
    <t>upload</t>
  </si>
  <si>
    <t>Migration</t>
  </si>
  <si>
    <t>Transport to Production</t>
  </si>
  <si>
    <t>Activity Done</t>
  </si>
  <si>
    <t>Activity In Progress</t>
  </si>
  <si>
    <t>Go Live</t>
  </si>
  <si>
    <t>August</t>
  </si>
  <si>
    <t>Septem</t>
  </si>
  <si>
    <t>Oktober</t>
  </si>
  <si>
    <t>W26</t>
  </si>
  <si>
    <t>W27</t>
  </si>
  <si>
    <t>W28</t>
  </si>
  <si>
    <t>W29</t>
  </si>
  <si>
    <t>W30</t>
  </si>
  <si>
    <t>W31</t>
  </si>
  <si>
    <t>W32</t>
  </si>
  <si>
    <t>W33</t>
  </si>
  <si>
    <t>Requirement &amp; Preparation</t>
  </si>
  <si>
    <t xml:space="preserve">   Kick Off &amp; Project Charter</t>
  </si>
  <si>
    <t xml:space="preserve">   Gap Analysis</t>
  </si>
  <si>
    <t xml:space="preserve">   Blueprint</t>
  </si>
  <si>
    <t>Enhancement</t>
  </si>
  <si>
    <t xml:space="preserve">   Environment Preparation</t>
  </si>
  <si>
    <t xml:space="preserve">   Development </t>
  </si>
  <si>
    <t xml:space="preserve">   Unit Testing</t>
  </si>
  <si>
    <t xml:space="preserve">   SIT Order Management</t>
  </si>
  <si>
    <t xml:space="preserve">   SIT Penagihan Royalty</t>
  </si>
  <si>
    <t xml:space="preserve">   UAT Order Management</t>
  </si>
  <si>
    <t xml:space="preserve">   UAT Penagihan Royalty</t>
  </si>
  <si>
    <t xml:space="preserve">   EUT Order Management</t>
  </si>
  <si>
    <t xml:space="preserve">   EUT Penagihan Royalty</t>
  </si>
  <si>
    <t xml:space="preserve">  Data Preparation</t>
  </si>
  <si>
    <t xml:space="preserve">  Transport ke Production</t>
  </si>
  <si>
    <t xml:space="preserve">  </t>
  </si>
  <si>
    <t>Realisasi</t>
  </si>
  <si>
    <t>muter2 da wkkw</t>
  </si>
  <si>
    <t>Master Data</t>
  </si>
  <si>
    <t>Master Material &amp; Kode Material</t>
  </si>
  <si>
    <t>Material vs Plant</t>
  </si>
  <si>
    <t>Semen Zak vs Kantong</t>
  </si>
  <si>
    <t>Material MD</t>
  </si>
  <si>
    <t>Brand vs Semen Zak</t>
  </si>
  <si>
    <t>Brand vs Plant vs Royalty</t>
  </si>
  <si>
    <t>Demand Marketing</t>
  </si>
  <si>
    <t>Target Distribution</t>
  </si>
  <si>
    <t>Mapping Ship To</t>
  </si>
  <si>
    <t>Sourcing Plant</t>
  </si>
  <si>
    <t>Pricing Semen</t>
  </si>
  <si>
    <t>Semen Zak vs Kantong vs Distrik</t>
  </si>
  <si>
    <t>BOM</t>
  </si>
  <si>
    <t>Routing PP</t>
  </si>
  <si>
    <t>Production Version</t>
  </si>
  <si>
    <t>Cost Estimate</t>
  </si>
  <si>
    <t>Material vs Conveyor</t>
  </si>
  <si>
    <t>Ongkos Angkut</t>
  </si>
  <si>
    <t>Jatah Expediture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</si>
</sst>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8">
    <font>
      <sz val="11.0"/>
      <color theme="1"/>
      <name val="Calibri"/>
      <scheme val="minor"/>
    </font>
    <font>
      <sz val="11.0"/>
      <color theme="1"/>
      <name val="Lato"/>
    </font>
    <font>
      <b/>
      <sz val="14.0"/>
      <color theme="1"/>
      <name val="Lato"/>
    </font>
    <font>
      <b/>
      <sz val="10.0"/>
      <color theme="1"/>
      <name val="Lato"/>
    </font>
    <font>
      <b/>
      <sz val="11.0"/>
      <color theme="1"/>
      <name val="Lato"/>
    </font>
    <font/>
    <font>
      <b/>
      <sz val="10.0"/>
      <color rgb="FF000000"/>
      <name val="Lato"/>
    </font>
    <font>
      <sz val="10.0"/>
      <color theme="1"/>
      <name val="Lato"/>
    </font>
    <font>
      <sz val="10.0"/>
      <color rgb="FF000000"/>
      <name val="Lato"/>
    </font>
    <font>
      <sz val="8.0"/>
      <color theme="1"/>
      <name val="Lato"/>
    </font>
    <font>
      <color theme="1"/>
      <name val="Calibri"/>
    </font>
    <font>
      <b/>
      <sz val="12.0"/>
      <color theme="1"/>
      <name val="Lato"/>
    </font>
    <font>
      <b/>
      <sz val="10.0"/>
      <color rgb="FF434343"/>
      <name val="Lato"/>
    </font>
    <font>
      <sz val="11.0"/>
      <color rgb="FF434343"/>
      <name val="Lato"/>
    </font>
    <font>
      <sz val="10.0"/>
      <color rgb="FF434343"/>
      <name val="Lato"/>
    </font>
    <font>
      <b/>
      <sz val="11.0"/>
      <color rgb="FF434343"/>
      <name val="Lato"/>
    </font>
    <font>
      <sz val="12.0"/>
      <color theme="1"/>
      <name val="Lato"/>
    </font>
    <font>
      <color theme="1"/>
      <name val="Arial"/>
    </font>
    <font>
      <b/>
      <color rgb="FFFFFFFF"/>
      <name val="Avenir"/>
    </font>
    <font>
      <b/>
      <sz val="9.0"/>
      <color rgb="FFFFFFFF"/>
      <name val="Avenir"/>
    </font>
    <font>
      <b/>
      <color theme="1"/>
      <name val="Avenir"/>
    </font>
    <font>
      <b/>
      <sz val="11.0"/>
      <color theme="1"/>
      <name val="Avenir"/>
    </font>
    <font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b/>
      <color theme="1"/>
      <name val="Calibri"/>
    </font>
    <font>
      <b/>
      <sz val="11.0"/>
      <color theme="1"/>
      <name val="Calibri"/>
    </font>
    <font>
      <sz val="11.0"/>
      <color theme="1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990000"/>
        <bgColor rgb="FF990000"/>
      </patternFill>
    </fill>
    <fill>
      <patternFill patternType="solid">
        <fgColor rgb="FFFFFF00"/>
        <bgColor rgb="FFFFFF00"/>
      </patternFill>
    </fill>
    <fill>
      <patternFill patternType="solid">
        <fgColor rgb="FFC00000"/>
        <bgColor rgb="FFC00000"/>
      </patternFill>
    </fill>
    <fill>
      <patternFill patternType="solid">
        <fgColor rgb="FF073763"/>
        <bgColor rgb="FF073763"/>
      </patternFill>
    </fill>
    <fill>
      <patternFill patternType="solid">
        <fgColor rgb="FFCFE2F3"/>
        <bgColor rgb="FFCFE2F3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6AA84F"/>
        <bgColor rgb="FF6AA84F"/>
      </patternFill>
    </fill>
    <fill>
      <patternFill patternType="solid">
        <fgColor rgb="FFFFE599"/>
        <bgColor rgb="FFFFE599"/>
      </patternFill>
    </fill>
    <fill>
      <patternFill patternType="solid">
        <fgColor rgb="FF0B5394"/>
        <bgColor rgb="FF0B5394"/>
      </patternFill>
    </fill>
    <fill>
      <patternFill patternType="solid">
        <fgColor rgb="FFFFD966"/>
        <bgColor rgb="FFFFD966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</border>
    <border>
      <right style="thin">
        <color rgb="FFFFFFFF"/>
      </right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FFFFFF"/>
      </right>
      <top style="thin">
        <color rgb="FF000000"/>
      </top>
    </border>
    <border>
      <top style="thin">
        <color rgb="FF000000"/>
      </top>
      <bottom style="thin">
        <color rgb="FFFFFFFF"/>
      </bottom>
    </border>
    <border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top style="thin">
        <color rgb="FF000000"/>
      </top>
      <bottom style="thin">
        <color rgb="FFFFFFFF"/>
      </bottom>
    </border>
    <border>
      <right style="thin">
        <color rgb="FF000000"/>
      </right>
      <top style="thin">
        <color rgb="FF000000"/>
      </top>
      <bottom style="thin">
        <color rgb="FFFFFFFF"/>
      </bottom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2" fontId="3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/>
    </xf>
    <xf borderId="3" fillId="0" fontId="5" numFmtId="0" xfId="0" applyBorder="1" applyFont="1"/>
    <xf borderId="4" fillId="0" fontId="5" numFmtId="0" xfId="0" applyBorder="1" applyFont="1"/>
    <xf borderId="1" fillId="2" fontId="4" numFmtId="0" xfId="0" applyAlignment="1" applyBorder="1" applyFont="1">
      <alignment horizontal="center" readingOrder="0"/>
    </xf>
    <xf borderId="1" fillId="2" fontId="4" numFmtId="0" xfId="0" applyAlignment="1" applyBorder="1" applyFont="1">
      <alignment horizontal="center"/>
    </xf>
    <xf borderId="1" fillId="2" fontId="1" numFmtId="0" xfId="0" applyAlignment="1" applyBorder="1" applyFont="1">
      <alignment horizontal="center"/>
    </xf>
    <xf borderId="5" fillId="0" fontId="4" numFmtId="0" xfId="0" applyAlignment="1" applyBorder="1" applyFont="1">
      <alignment horizontal="center" shrinkToFit="0" vertical="top" wrapText="1"/>
    </xf>
    <xf borderId="1" fillId="0" fontId="3" numFmtId="0" xfId="0" applyAlignment="1" applyBorder="1" applyFont="1">
      <alignment readingOrder="0"/>
    </xf>
    <xf borderId="1" fillId="3" fontId="6" numFmtId="0" xfId="0" applyAlignment="1" applyBorder="1" applyFill="1" applyFont="1">
      <alignment horizontal="right" shrinkToFit="0" vertical="center" wrapText="1"/>
    </xf>
    <xf borderId="1" fillId="0" fontId="3" numFmtId="0" xfId="0" applyBorder="1" applyFont="1"/>
    <xf borderId="1" fillId="4" fontId="3" numFmtId="0" xfId="0" applyBorder="1" applyFill="1" applyFont="1"/>
    <xf borderId="1" fillId="5" fontId="3" numFmtId="0" xfId="0" applyBorder="1" applyFill="1" applyFont="1"/>
    <xf borderId="1" fillId="4" fontId="1" numFmtId="0" xfId="0" applyBorder="1" applyFont="1"/>
    <xf borderId="1" fillId="4" fontId="1" numFmtId="0" xfId="0" applyAlignment="1" applyBorder="1" applyFont="1">
      <alignment horizontal="center"/>
    </xf>
    <xf borderId="5" fillId="0" fontId="5" numFmtId="0" xfId="0" applyBorder="1" applyFont="1"/>
    <xf borderId="1" fillId="6" fontId="3" numFmtId="0" xfId="0" applyAlignment="1" applyBorder="1" applyFill="1" applyFont="1">
      <alignment horizontal="left" readingOrder="0"/>
    </xf>
    <xf borderId="1" fillId="6" fontId="3" numFmtId="0" xfId="0" applyBorder="1" applyFont="1"/>
    <xf borderId="1" fillId="4" fontId="7" numFmtId="0" xfId="0" applyBorder="1" applyFont="1"/>
    <xf borderId="1" fillId="0" fontId="7" numFmtId="0" xfId="0" applyBorder="1" applyFont="1"/>
    <xf borderId="1" fillId="5" fontId="7" numFmtId="0" xfId="0" applyBorder="1" applyFont="1"/>
    <xf borderId="1" fillId="4" fontId="4" numFmtId="0" xfId="0" applyBorder="1" applyFont="1"/>
    <xf borderId="1" fillId="0" fontId="4" numFmtId="0" xfId="0" applyBorder="1" applyFont="1"/>
    <xf borderId="1" fillId="4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left"/>
    </xf>
    <xf borderId="1" fillId="0" fontId="7" numFmtId="0" xfId="0" applyAlignment="1" applyBorder="1" applyFont="1">
      <alignment horizontal="left" shrinkToFit="0" wrapText="0"/>
    </xf>
    <xf borderId="1" fillId="3" fontId="8" numFmtId="0" xfId="0" applyAlignment="1" applyBorder="1" applyFont="1">
      <alignment horizontal="right" shrinkToFit="0" vertical="center" wrapText="1"/>
    </xf>
    <xf borderId="1" fillId="0" fontId="7" numFmtId="0" xfId="0" applyAlignment="1" applyBorder="1" applyFont="1">
      <alignment readingOrder="0"/>
    </xf>
    <xf borderId="1" fillId="0" fontId="7" numFmtId="0" xfId="0" applyAlignment="1" applyBorder="1" applyFont="1">
      <alignment horizontal="left"/>
    </xf>
    <xf borderId="1" fillId="0" fontId="7" numFmtId="0" xfId="0" applyAlignment="1" applyBorder="1" applyFont="1">
      <alignment horizontal="left" readingOrder="0"/>
    </xf>
    <xf borderId="5" fillId="0" fontId="4" numFmtId="0" xfId="0" applyAlignment="1" applyBorder="1" applyFont="1">
      <alignment horizontal="center" readingOrder="0" shrinkToFit="0" vertical="top" wrapText="1"/>
    </xf>
    <xf borderId="1" fillId="4" fontId="7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3" numFmtId="0" xfId="0" applyAlignment="1" applyBorder="1" applyFont="1">
      <alignment horizontal="left" readingOrder="0"/>
    </xf>
    <xf borderId="1" fillId="0" fontId="9" numFmtId="0" xfId="0" applyBorder="1" applyFont="1"/>
    <xf borderId="2" fillId="0" fontId="1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2" fontId="3" numFmtId="0" xfId="0" applyAlignment="1" applyBorder="1" applyFont="1">
      <alignment horizontal="center" readingOrder="0" vertical="center"/>
    </xf>
    <xf borderId="1" fillId="3" fontId="8" numFmtId="0" xfId="0" applyAlignment="1" applyBorder="1" applyFont="1">
      <alignment horizontal="right" readingOrder="0" shrinkToFit="0" vertical="center" wrapText="1"/>
    </xf>
    <xf borderId="0" fillId="0" fontId="1" numFmtId="0" xfId="0" applyAlignment="1" applyFont="1">
      <alignment horizontal="right"/>
    </xf>
    <xf borderId="1" fillId="7" fontId="3" numFmtId="0" xfId="0" applyBorder="1" applyFill="1" applyFont="1"/>
    <xf borderId="1" fillId="6" fontId="3" numFmtId="0" xfId="0" applyAlignment="1" applyBorder="1" applyFont="1">
      <alignment horizontal="left"/>
    </xf>
    <xf borderId="1" fillId="7" fontId="7" numFmtId="0" xfId="0" applyBorder="1" applyFont="1"/>
    <xf borderId="1" fillId="0" fontId="10" numFmtId="0" xfId="0" applyBorder="1" applyFont="1"/>
    <xf borderId="1" fillId="0" fontId="3" numFmtId="0" xfId="0" applyAlignment="1" applyBorder="1" applyFont="1">
      <alignment horizontal="left"/>
    </xf>
    <xf borderId="0" fillId="0" fontId="2" numFmtId="0" xfId="0" applyFont="1"/>
    <xf borderId="2" fillId="2" fontId="4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 vertical="bottom"/>
    </xf>
    <xf borderId="1" fillId="2" fontId="4" numFmtId="0" xfId="0" applyAlignment="1" applyBorder="1" applyFont="1">
      <alignment horizontal="center" vertical="bottom"/>
    </xf>
    <xf borderId="5" fillId="0" fontId="4" numFmtId="0" xfId="0" applyAlignment="1" applyBorder="1" applyFont="1">
      <alignment horizontal="center" shrinkToFit="0" wrapText="1"/>
    </xf>
    <xf borderId="1" fillId="0" fontId="11" numFmtId="0" xfId="0" applyBorder="1" applyFont="1"/>
    <xf borderId="1" fillId="0" fontId="12" numFmtId="0" xfId="0" applyBorder="1" applyFont="1"/>
    <xf borderId="1" fillId="4" fontId="12" numFmtId="0" xfId="0" applyBorder="1" applyFont="1"/>
    <xf borderId="1" fillId="7" fontId="12" numFmtId="0" xfId="0" applyBorder="1" applyFont="1"/>
    <xf borderId="1" fillId="0" fontId="13" numFmtId="0" xfId="0" applyBorder="1" applyFont="1"/>
    <xf borderId="1" fillId="4" fontId="13" numFmtId="0" xfId="0" applyBorder="1" applyFont="1"/>
    <xf borderId="1" fillId="4" fontId="13" numFmtId="0" xfId="0" applyAlignment="1" applyBorder="1" applyFont="1">
      <alignment horizontal="center"/>
    </xf>
    <xf borderId="1" fillId="0" fontId="13" numFmtId="0" xfId="0" applyAlignment="1" applyBorder="1" applyFont="1">
      <alignment horizontal="center"/>
    </xf>
    <xf borderId="1" fillId="6" fontId="11" numFmtId="0" xfId="0" applyAlignment="1" applyBorder="1" applyFont="1">
      <alignment horizontal="left"/>
    </xf>
    <xf borderId="1" fillId="0" fontId="14" numFmtId="0" xfId="0" applyBorder="1" applyFont="1"/>
    <xf borderId="1" fillId="4" fontId="14" numFmtId="0" xfId="0" applyBorder="1" applyFont="1"/>
    <xf borderId="1" fillId="7" fontId="14" numFmtId="0" xfId="0" applyBorder="1" applyFont="1"/>
    <xf borderId="1" fillId="0" fontId="15" numFmtId="0" xfId="0" applyBorder="1" applyFont="1"/>
    <xf borderId="1" fillId="4" fontId="15" numFmtId="0" xfId="0" applyBorder="1" applyFont="1"/>
    <xf borderId="1" fillId="4" fontId="15" numFmtId="0" xfId="0" applyAlignment="1" applyBorder="1" applyFont="1">
      <alignment horizontal="center"/>
    </xf>
    <xf borderId="1" fillId="0" fontId="15" numFmtId="0" xfId="0" applyAlignment="1" applyBorder="1" applyFont="1">
      <alignment horizontal="center"/>
    </xf>
    <xf borderId="1" fillId="0" fontId="16" numFmtId="0" xfId="0" applyAlignment="1" applyBorder="1" applyFont="1">
      <alignment horizontal="left"/>
    </xf>
    <xf borderId="1" fillId="6" fontId="3" numFmtId="164" xfId="0" applyBorder="1" applyFont="1" applyNumberFormat="1"/>
    <xf borderId="1" fillId="0" fontId="3" numFmtId="164" xfId="0" applyBorder="1" applyFont="1" applyNumberFormat="1"/>
    <xf borderId="1" fillId="0" fontId="7" numFmtId="164" xfId="0" applyBorder="1" applyFont="1" applyNumberFormat="1"/>
    <xf borderId="1" fillId="0" fontId="1" numFmtId="164" xfId="0" applyBorder="1" applyFont="1" applyNumberFormat="1"/>
    <xf borderId="1" fillId="0" fontId="9" numFmtId="0" xfId="0" applyAlignment="1" applyBorder="1" applyFont="1">
      <alignment horizontal="center"/>
    </xf>
    <xf borderId="0" fillId="0" fontId="10" numFmtId="0" xfId="0" applyFont="1"/>
    <xf borderId="0" fillId="0" fontId="17" numFmtId="0" xfId="0" applyAlignment="1" applyFont="1">
      <alignment horizontal="center" vertical="bottom"/>
    </xf>
    <xf borderId="0" fillId="0" fontId="17" numFmtId="0" xfId="0" applyAlignment="1" applyFont="1">
      <alignment shrinkToFit="0" vertical="bottom" wrapText="1"/>
    </xf>
    <xf borderId="0" fillId="0" fontId="17" numFmtId="0" xfId="0" applyAlignment="1" applyFont="1">
      <alignment vertical="bottom"/>
    </xf>
    <xf borderId="6" fillId="0" fontId="17" numFmtId="0" xfId="0" applyAlignment="1" applyBorder="1" applyFont="1">
      <alignment horizontal="center" vertical="bottom"/>
    </xf>
    <xf borderId="6" fillId="0" fontId="17" numFmtId="0" xfId="0" applyAlignment="1" applyBorder="1" applyFont="1">
      <alignment shrinkToFit="0" vertical="bottom" wrapText="1"/>
    </xf>
    <xf borderId="6" fillId="0" fontId="17" numFmtId="0" xfId="0" applyAlignment="1" applyBorder="1" applyFont="1">
      <alignment vertical="bottom"/>
    </xf>
    <xf borderId="7" fillId="8" fontId="18" numFmtId="0" xfId="0" applyAlignment="1" applyBorder="1" applyFill="1" applyFont="1">
      <alignment horizontal="center"/>
    </xf>
    <xf borderId="0" fillId="8" fontId="18" numFmtId="0" xfId="0" applyAlignment="1" applyFont="1">
      <alignment horizontal="center" shrinkToFit="0" wrapText="1"/>
    </xf>
    <xf borderId="0" fillId="8" fontId="19" numFmtId="0" xfId="0" applyAlignment="1" applyFont="1">
      <alignment horizontal="center" shrinkToFit="0" vertical="center" wrapText="1"/>
    </xf>
    <xf borderId="0" fillId="8" fontId="19" numFmtId="0" xfId="0" applyAlignment="1" applyFont="1">
      <alignment horizontal="center" shrinkToFit="0" wrapText="1"/>
    </xf>
    <xf borderId="8" fillId="8" fontId="18" numFmtId="0" xfId="0" applyAlignment="1" applyBorder="1" applyFont="1">
      <alignment horizontal="center" vertical="center"/>
    </xf>
    <xf borderId="9" fillId="8" fontId="18" numFmtId="0" xfId="0" applyAlignment="1" applyBorder="1" applyFont="1">
      <alignment horizontal="center"/>
    </xf>
    <xf borderId="9" fillId="0" fontId="5" numFmtId="0" xfId="0" applyBorder="1" applyFont="1"/>
    <xf borderId="10" fillId="0" fontId="5" numFmtId="0" xfId="0" applyBorder="1" applyFont="1"/>
    <xf borderId="11" fillId="8" fontId="18" numFmtId="0" xfId="0" applyAlignment="1" applyBorder="1" applyFont="1">
      <alignment horizontal="center"/>
    </xf>
    <xf borderId="12" fillId="0" fontId="5" numFmtId="0" xfId="0" applyBorder="1" applyFont="1"/>
    <xf borderId="13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10" fillId="8" fontId="19" numFmtId="0" xfId="0" applyAlignment="1" applyBorder="1" applyFont="1">
      <alignment horizontal="center"/>
    </xf>
    <xf borderId="10" fillId="4" fontId="19" numFmtId="0" xfId="0" applyAlignment="1" applyBorder="1" applyFont="1">
      <alignment horizontal="center"/>
    </xf>
    <xf borderId="7" fillId="9" fontId="17" numFmtId="0" xfId="0" applyAlignment="1" applyBorder="1" applyFill="1" applyFont="1">
      <alignment horizontal="center" readingOrder="0" vertical="bottom"/>
    </xf>
    <xf borderId="0" fillId="9" fontId="20" numFmtId="0" xfId="0" applyAlignment="1" applyFont="1">
      <alignment shrinkToFit="0" vertical="bottom" wrapText="1"/>
    </xf>
    <xf borderId="0" fillId="9" fontId="20" numFmtId="0" xfId="0" applyAlignment="1" applyFont="1">
      <alignment readingOrder="0" vertical="bottom"/>
    </xf>
    <xf borderId="0" fillId="9" fontId="20" numFmtId="0" xfId="0" applyAlignment="1" applyFont="1">
      <alignment vertical="bottom"/>
    </xf>
    <xf borderId="7" fillId="0" fontId="17" numFmtId="0" xfId="0" applyAlignment="1" applyBorder="1" applyFont="1">
      <alignment horizontal="center" vertical="bottom"/>
    </xf>
    <xf borderId="0" fillId="0" fontId="20" numFmtId="0" xfId="0" applyAlignment="1" applyFont="1">
      <alignment shrinkToFit="0" vertical="bottom" wrapText="1"/>
    </xf>
    <xf borderId="0" fillId="0" fontId="20" numFmtId="0" xfId="0" applyAlignment="1" applyFont="1">
      <alignment readingOrder="0" vertical="bottom"/>
    </xf>
    <xf borderId="0" fillId="0" fontId="20" numFmtId="0" xfId="0" applyAlignment="1" applyFont="1">
      <alignment vertical="bottom"/>
    </xf>
    <xf borderId="0" fillId="0" fontId="17" numFmtId="0" xfId="0" applyAlignment="1" applyFont="1">
      <alignment vertical="top"/>
    </xf>
    <xf borderId="7" fillId="0" fontId="21" numFmtId="0" xfId="0" applyAlignment="1" applyBorder="1" applyFont="1">
      <alignment horizontal="center" vertical="bottom"/>
    </xf>
    <xf borderId="0" fillId="0" fontId="21" numFmtId="0" xfId="0" applyAlignment="1" applyFont="1">
      <alignment shrinkToFit="0" vertical="bottom" wrapText="1"/>
    </xf>
    <xf borderId="0" fillId="0" fontId="21" numFmtId="0" xfId="0" applyAlignment="1" applyFont="1">
      <alignment vertical="bottom"/>
    </xf>
    <xf borderId="0" fillId="0" fontId="20" numFmtId="0" xfId="0" applyAlignment="1" applyFont="1">
      <alignment readingOrder="0" shrinkToFit="0" vertical="bottom" wrapText="1"/>
    </xf>
    <xf borderId="0" fillId="4" fontId="17" numFmtId="0" xfId="0" applyAlignment="1" applyFont="1">
      <alignment vertical="bottom"/>
    </xf>
    <xf borderId="7" fillId="9" fontId="20" numFmtId="0" xfId="0" applyAlignment="1" applyBorder="1" applyFont="1">
      <alignment horizontal="center" vertical="bottom"/>
    </xf>
    <xf borderId="0" fillId="9" fontId="21" numFmtId="0" xfId="0" applyAlignment="1" applyFont="1">
      <alignment vertical="bottom"/>
    </xf>
    <xf borderId="7" fillId="0" fontId="20" numFmtId="0" xfId="0" applyAlignment="1" applyBorder="1" applyFont="1">
      <alignment horizontal="center" vertical="bottom"/>
    </xf>
    <xf borderId="0" fillId="0" fontId="21" numFmtId="164" xfId="0" applyAlignment="1" applyFont="1" applyNumberFormat="1">
      <alignment vertical="bottom"/>
    </xf>
    <xf borderId="0" fillId="9" fontId="20" numFmtId="0" xfId="0" applyAlignment="1" applyFont="1">
      <alignment horizontal="left" readingOrder="0" shrinkToFit="0" vertical="bottom" wrapText="0"/>
    </xf>
    <xf borderId="14" fillId="0" fontId="22" numFmtId="0" xfId="0" applyAlignment="1" applyBorder="1" applyFont="1">
      <alignment horizontal="center" vertical="bottom"/>
    </xf>
    <xf borderId="6" fillId="0" fontId="5" numFmtId="0" xfId="0" applyBorder="1" applyFont="1"/>
    <xf borderId="6" fillId="0" fontId="20" numFmtId="0" xfId="0" applyAlignment="1" applyBorder="1" applyFont="1">
      <alignment vertical="bottom"/>
    </xf>
    <xf borderId="6" fillId="0" fontId="20" numFmtId="164" xfId="0" applyAlignment="1" applyBorder="1" applyFont="1" applyNumberFormat="1">
      <alignment vertical="bottom"/>
    </xf>
    <xf borderId="15" fillId="0" fontId="17" numFmtId="0" xfId="0" applyAlignment="1" applyBorder="1" applyFont="1">
      <alignment vertical="bottom"/>
    </xf>
    <xf borderId="16" fillId="0" fontId="17" numFmtId="0" xfId="0" applyAlignment="1" applyBorder="1" applyFont="1">
      <alignment vertical="bottom"/>
    </xf>
    <xf borderId="17" fillId="0" fontId="17" numFmtId="0" xfId="0" applyAlignment="1" applyBorder="1" applyFont="1">
      <alignment vertical="bottom"/>
    </xf>
    <xf borderId="7" fillId="0" fontId="17" numFmtId="0" xfId="0" applyAlignment="1" applyBorder="1" applyFont="1">
      <alignment vertical="bottom"/>
    </xf>
    <xf borderId="0" fillId="5" fontId="17" numFmtId="0" xfId="0" applyAlignment="1" applyFont="1">
      <alignment vertical="bottom"/>
    </xf>
    <xf borderId="0" fillId="0" fontId="20" numFmtId="0" xfId="0" applyAlignment="1" applyFont="1">
      <alignment shrinkToFit="0" vertical="bottom" wrapText="0"/>
    </xf>
    <xf borderId="5" fillId="0" fontId="17" numFmtId="0" xfId="0" applyAlignment="1" applyBorder="1" applyFont="1">
      <alignment vertical="bottom"/>
    </xf>
    <xf borderId="0" fillId="10" fontId="17" numFmtId="0" xfId="0" applyAlignment="1" applyFill="1" applyFont="1">
      <alignment vertical="bottom"/>
    </xf>
    <xf borderId="0" fillId="11" fontId="17" numFmtId="0" xfId="0" applyAlignment="1" applyFill="1" applyFont="1">
      <alignment vertical="bottom"/>
    </xf>
    <xf borderId="0" fillId="12" fontId="17" numFmtId="0" xfId="0" applyAlignment="1" applyFill="1" applyFont="1">
      <alignment vertical="bottom"/>
    </xf>
    <xf borderId="0" fillId="13" fontId="17" numFmtId="0" xfId="0" applyAlignment="1" applyFill="1" applyFont="1">
      <alignment vertical="bottom"/>
    </xf>
    <xf borderId="0" fillId="14" fontId="17" numFmtId="0" xfId="0" applyAlignment="1" applyFill="1" applyFont="1">
      <alignment vertical="bottom"/>
    </xf>
    <xf borderId="14" fillId="0" fontId="17" numFmtId="0" xfId="0" applyAlignment="1" applyBorder="1" applyFont="1">
      <alignment vertical="bottom"/>
    </xf>
    <xf borderId="18" fillId="0" fontId="17" numFmtId="0" xfId="0" applyAlignment="1" applyBorder="1" applyFont="1">
      <alignment vertical="bottom"/>
    </xf>
    <xf borderId="15" fillId="8" fontId="18" numFmtId="0" xfId="0" applyAlignment="1" applyBorder="1" applyFont="1">
      <alignment horizontal="center"/>
    </xf>
    <xf borderId="16" fillId="8" fontId="18" numFmtId="0" xfId="0" applyAlignment="1" applyBorder="1" applyFont="1">
      <alignment horizontal="center" shrinkToFit="0" wrapText="1"/>
    </xf>
    <xf borderId="16" fillId="8" fontId="19" numFmtId="0" xfId="0" applyAlignment="1" applyBorder="1" applyFont="1">
      <alignment horizontal="center" shrinkToFit="0" vertical="center" wrapText="1"/>
    </xf>
    <xf borderId="16" fillId="8" fontId="19" numFmtId="0" xfId="0" applyAlignment="1" applyBorder="1" applyFont="1">
      <alignment horizontal="center" shrinkToFit="0" wrapText="1"/>
    </xf>
    <xf borderId="19" fillId="8" fontId="18" numFmtId="0" xfId="0" applyAlignment="1" applyBorder="1" applyFont="1">
      <alignment horizontal="center" vertical="center"/>
    </xf>
    <xf borderId="20" fillId="8" fontId="18" numFmtId="0" xfId="0" applyAlignment="1" applyBorder="1" applyFont="1">
      <alignment horizontal="center"/>
    </xf>
    <xf borderId="20" fillId="0" fontId="5" numFmtId="0" xfId="0" applyBorder="1" applyFont="1"/>
    <xf borderId="21" fillId="0" fontId="5" numFmtId="0" xfId="0" applyBorder="1" applyFont="1"/>
    <xf borderId="22" fillId="8" fontId="18" numFmtId="0" xfId="0" applyAlignment="1" applyBorder="1" applyFont="1">
      <alignment horizontal="center"/>
    </xf>
    <xf borderId="23" fillId="0" fontId="5" numFmtId="0" xfId="0" applyBorder="1" applyFont="1"/>
    <xf borderId="7" fillId="9" fontId="21" numFmtId="0" xfId="0" applyAlignment="1" applyBorder="1" applyFont="1">
      <alignment horizontal="center" vertical="bottom"/>
    </xf>
    <xf borderId="0" fillId="9" fontId="21" numFmtId="0" xfId="0" applyAlignment="1" applyFont="1">
      <alignment shrinkToFit="0" vertical="bottom" wrapText="1"/>
    </xf>
    <xf borderId="0" fillId="0" fontId="20" numFmtId="0" xfId="0" applyAlignment="1" applyFont="1">
      <alignment horizontal="left" shrinkToFit="0" vertical="bottom" wrapText="0"/>
    </xf>
    <xf borderId="7" fillId="9" fontId="17" numFmtId="0" xfId="0" applyAlignment="1" applyBorder="1" applyFont="1">
      <alignment horizontal="center" vertical="bottom"/>
    </xf>
    <xf borderId="0" fillId="15" fontId="17" numFmtId="0" xfId="0" applyAlignment="1" applyFill="1" applyFont="1">
      <alignment vertical="bottom"/>
    </xf>
    <xf borderId="1" fillId="13" fontId="23" numFmtId="0" xfId="0" applyAlignment="1" applyBorder="1" applyFont="1">
      <alignment shrinkToFit="0" vertical="bottom" wrapText="0"/>
    </xf>
    <xf borderId="1" fillId="13" fontId="24" numFmtId="0" xfId="0" applyAlignment="1" applyBorder="1" applyFont="1">
      <alignment horizontal="center" shrinkToFit="0" vertical="bottom" wrapText="0"/>
    </xf>
    <xf borderId="1" fillId="13" fontId="25" numFmtId="0" xfId="0" applyAlignment="1" applyBorder="1" applyFont="1">
      <alignment horizontal="center"/>
    </xf>
    <xf borderId="1" fillId="13" fontId="26" numFmtId="0" xfId="0" applyAlignment="1" applyBorder="1" applyFont="1">
      <alignment horizontal="center" vertical="bottom"/>
    </xf>
    <xf borderId="1" fillId="13" fontId="24" numFmtId="0" xfId="0" applyAlignment="1" applyBorder="1" applyFont="1">
      <alignment shrinkToFit="0" vertical="bottom" wrapText="0"/>
    </xf>
    <xf borderId="1" fillId="0" fontId="23" numFmtId="0" xfId="0" applyAlignment="1" applyBorder="1" applyFont="1">
      <alignment horizontal="center" shrinkToFit="0" vertical="bottom" wrapText="0"/>
    </xf>
    <xf borderId="1" fillId="4" fontId="23" numFmtId="0" xfId="0" applyAlignment="1" applyBorder="1" applyFont="1">
      <alignment horizontal="center" shrinkToFit="0" vertical="bottom" wrapText="0"/>
    </xf>
    <xf borderId="1" fillId="0" fontId="10" numFmtId="0" xfId="0" applyAlignment="1" applyBorder="1" applyFont="1">
      <alignment horizontal="center"/>
    </xf>
    <xf borderId="1" fillId="0" fontId="27" numFmtId="0" xfId="0" applyAlignment="1" applyBorder="1" applyFont="1">
      <alignment horizontal="center" vertical="bottom"/>
    </xf>
    <xf borderId="1" fillId="13" fontId="25" numFmtId="0" xfId="0" applyBorder="1" applyFont="1"/>
    <xf borderId="1" fillId="4" fontId="10" numFmtId="0" xfId="0" applyAlignment="1" applyBorder="1" applyFont="1">
      <alignment horizontal="center"/>
    </xf>
    <xf borderId="1" fillId="13" fontId="10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 Curve SIGMA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Task_Table!$A$52:$B$52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Task_Table!$C$52:$DV$52</c:f>
              <c:numCache/>
            </c:numRef>
          </c:val>
          <c:smooth val="0"/>
        </c:ser>
        <c:ser>
          <c:idx val="1"/>
          <c:order val="1"/>
          <c:tx>
            <c:strRef>
              <c:f>Task_Table!$A$53:$B$53</c:f>
            </c:strRef>
          </c:tx>
          <c:spPr>
            <a:ln cmpd="sng">
              <a:solidFill>
                <a:srgbClr val="1155CC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Task_Table!$C$53:$DV$53</c:f>
              <c:numCache/>
            </c:numRef>
          </c:val>
          <c:smooth val="0"/>
        </c:ser>
        <c:axId val="2117264623"/>
        <c:axId val="1911512804"/>
      </c:lineChart>
      <c:catAx>
        <c:axId val="21172646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1512804"/>
      </c:catAx>
      <c:valAx>
        <c:axId val="19115128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72646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S-Curve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Planning</c:v>
          </c:tx>
          <c:spPr>
            <a:ln cmpd="sng" w="28575">
              <a:solidFill>
                <a:srgbClr val="3D85C6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Task_Table!$E$25:$DV$25</c:f>
              <c:numCache/>
            </c:numRef>
          </c:val>
          <c:smooth val="0"/>
        </c:ser>
        <c:axId val="1404471712"/>
        <c:axId val="722611992"/>
      </c:lineChart>
      <c:catAx>
        <c:axId val="1404471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WEEK 25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</a:p>
        </c:txPr>
        <c:crossAx val="722611992"/>
      </c:catAx>
      <c:valAx>
        <c:axId val="7226119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</a:p>
        </c:txPr>
        <c:crossAx val="140447171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S-Curve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Planning</c:v>
          </c:tx>
          <c:spPr>
            <a:ln cmpd="sng" w="28575">
              <a:solidFill>
                <a:srgbClr val="3D85C6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Task_Table!$E$25:$DV$25</c:f>
              <c:numCache/>
            </c:numRef>
          </c:val>
          <c:smooth val="0"/>
        </c:ser>
        <c:axId val="1501034730"/>
        <c:axId val="1554064563"/>
      </c:lineChart>
      <c:catAx>
        <c:axId val="15010347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WEEK 18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</a:p>
        </c:txPr>
        <c:crossAx val="1554064563"/>
      </c:catAx>
      <c:valAx>
        <c:axId val="15540645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</a:p>
        </c:txPr>
        <c:crossAx val="150103473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57</xdr:row>
      <xdr:rowOff>47625</xdr:rowOff>
    </xdr:from>
    <xdr:ext cx="5715000" cy="3533775"/>
    <xdr:graphicFrame>
      <xdr:nvGraphicFramePr>
        <xdr:cNvPr id="2083925786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142875</xdr:rowOff>
    </xdr:from>
    <xdr:ext cx="1152525" cy="257175"/>
    <xdr:sp>
      <xdr:nvSpPr>
        <xdr:cNvPr id="3" name="Shape 3"/>
        <xdr:cNvSpPr/>
      </xdr:nvSpPr>
      <xdr:spPr>
        <a:xfrm>
          <a:off x="4774500" y="3656175"/>
          <a:ext cx="1143000" cy="247650"/>
        </a:xfrm>
        <a:prstGeom prst="rect">
          <a:avLst/>
        </a:prstGeom>
        <a:solidFill>
          <a:srgbClr val="0B5394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400050</xdr:colOff>
      <xdr:row>4</xdr:row>
      <xdr:rowOff>171450</xdr:rowOff>
    </xdr:from>
    <xdr:ext cx="285750" cy="114300"/>
    <xdr:sp>
      <xdr:nvSpPr>
        <xdr:cNvPr id="4" name="Shape 4"/>
        <xdr:cNvSpPr/>
      </xdr:nvSpPr>
      <xdr:spPr>
        <a:xfrm>
          <a:off x="5207888" y="3727613"/>
          <a:ext cx="276225" cy="104775"/>
        </a:xfrm>
        <a:prstGeom prst="rect">
          <a:avLst/>
        </a:prstGeom>
        <a:solidFill>
          <a:srgbClr val="0B5394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400050</xdr:colOff>
      <xdr:row>4</xdr:row>
      <xdr:rowOff>85725</xdr:rowOff>
    </xdr:from>
    <xdr:ext cx="285750" cy="114300"/>
    <xdr:sp>
      <xdr:nvSpPr>
        <xdr:cNvPr id="5" name="Shape 5"/>
        <xdr:cNvSpPr/>
      </xdr:nvSpPr>
      <xdr:spPr>
        <a:xfrm>
          <a:off x="5207888" y="3727613"/>
          <a:ext cx="276225" cy="104775"/>
        </a:xfrm>
        <a:prstGeom prst="rect">
          <a:avLst/>
        </a:prstGeom>
        <a:solidFill>
          <a:srgbClr val="6AA84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400050</xdr:colOff>
      <xdr:row>4</xdr:row>
      <xdr:rowOff>171450</xdr:rowOff>
    </xdr:from>
    <xdr:ext cx="600075" cy="114300"/>
    <xdr:sp>
      <xdr:nvSpPr>
        <xdr:cNvPr id="6" name="Shape 6"/>
        <xdr:cNvSpPr/>
      </xdr:nvSpPr>
      <xdr:spPr>
        <a:xfrm>
          <a:off x="5050725" y="3727613"/>
          <a:ext cx="590550" cy="104775"/>
        </a:xfrm>
        <a:prstGeom prst="rect">
          <a:avLst/>
        </a:prstGeom>
        <a:solidFill>
          <a:srgbClr val="0B5394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400050</xdr:colOff>
      <xdr:row>5</xdr:row>
      <xdr:rowOff>76200</xdr:rowOff>
    </xdr:from>
    <xdr:ext cx="952500" cy="114300"/>
    <xdr:sp>
      <xdr:nvSpPr>
        <xdr:cNvPr id="7" name="Shape 7"/>
        <xdr:cNvSpPr/>
      </xdr:nvSpPr>
      <xdr:spPr>
        <a:xfrm>
          <a:off x="4874513" y="3727613"/>
          <a:ext cx="942975" cy="104775"/>
        </a:xfrm>
        <a:prstGeom prst="rect">
          <a:avLst/>
        </a:prstGeom>
        <a:solidFill>
          <a:srgbClr val="6AA84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323850</xdr:colOff>
      <xdr:row>5</xdr:row>
      <xdr:rowOff>180975</xdr:rowOff>
    </xdr:from>
    <xdr:ext cx="1009650" cy="114300"/>
    <xdr:sp>
      <xdr:nvSpPr>
        <xdr:cNvPr id="8" name="Shape 8"/>
        <xdr:cNvSpPr/>
      </xdr:nvSpPr>
      <xdr:spPr>
        <a:xfrm>
          <a:off x="4845938" y="3727613"/>
          <a:ext cx="1000125" cy="104775"/>
        </a:xfrm>
        <a:prstGeom prst="rect">
          <a:avLst/>
        </a:prstGeom>
        <a:solidFill>
          <a:srgbClr val="0B5394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257175</xdr:colOff>
      <xdr:row>6</xdr:row>
      <xdr:rowOff>95250</xdr:rowOff>
    </xdr:from>
    <xdr:ext cx="2743200" cy="114300"/>
    <xdr:sp>
      <xdr:nvSpPr>
        <xdr:cNvPr id="9" name="Shape 9"/>
        <xdr:cNvSpPr/>
      </xdr:nvSpPr>
      <xdr:spPr>
        <a:xfrm>
          <a:off x="3979163" y="3727613"/>
          <a:ext cx="2733675" cy="104775"/>
        </a:xfrm>
        <a:prstGeom prst="rect">
          <a:avLst/>
        </a:prstGeom>
        <a:solidFill>
          <a:srgbClr val="6AA84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295275</xdr:colOff>
      <xdr:row>6</xdr:row>
      <xdr:rowOff>95250</xdr:rowOff>
    </xdr:from>
    <xdr:ext cx="371475" cy="114300"/>
    <xdr:sp>
      <xdr:nvSpPr>
        <xdr:cNvPr id="10" name="Shape 10"/>
        <xdr:cNvSpPr/>
      </xdr:nvSpPr>
      <xdr:spPr>
        <a:xfrm>
          <a:off x="5165025" y="3727613"/>
          <a:ext cx="361950" cy="104775"/>
        </a:xfrm>
        <a:prstGeom prst="rect">
          <a:avLst/>
        </a:prstGeom>
        <a:solidFill>
          <a:srgbClr val="FF0000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400050</xdr:colOff>
      <xdr:row>7</xdr:row>
      <xdr:rowOff>161925</xdr:rowOff>
    </xdr:from>
    <xdr:ext cx="600075" cy="114300"/>
    <xdr:sp>
      <xdr:nvSpPr>
        <xdr:cNvPr id="6" name="Shape 6"/>
        <xdr:cNvSpPr/>
      </xdr:nvSpPr>
      <xdr:spPr>
        <a:xfrm>
          <a:off x="5050725" y="3727613"/>
          <a:ext cx="590550" cy="104775"/>
        </a:xfrm>
        <a:prstGeom prst="rect">
          <a:avLst/>
        </a:prstGeom>
        <a:solidFill>
          <a:srgbClr val="0B5394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400050</xdr:colOff>
      <xdr:row>8</xdr:row>
      <xdr:rowOff>76200</xdr:rowOff>
    </xdr:from>
    <xdr:ext cx="600075" cy="114300"/>
    <xdr:sp>
      <xdr:nvSpPr>
        <xdr:cNvPr id="11" name="Shape 11"/>
        <xdr:cNvSpPr/>
      </xdr:nvSpPr>
      <xdr:spPr>
        <a:xfrm>
          <a:off x="5050725" y="3727613"/>
          <a:ext cx="590550" cy="104775"/>
        </a:xfrm>
        <a:prstGeom prst="rect">
          <a:avLst/>
        </a:prstGeom>
        <a:solidFill>
          <a:srgbClr val="6AA84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8</xdr:row>
      <xdr:rowOff>171450</xdr:rowOff>
    </xdr:from>
    <xdr:ext cx="1009650" cy="114300"/>
    <xdr:sp>
      <xdr:nvSpPr>
        <xdr:cNvPr id="12" name="Shape 12"/>
        <xdr:cNvSpPr/>
      </xdr:nvSpPr>
      <xdr:spPr>
        <a:xfrm>
          <a:off x="4845938" y="3727613"/>
          <a:ext cx="1000125" cy="104775"/>
        </a:xfrm>
        <a:prstGeom prst="rect">
          <a:avLst/>
        </a:prstGeom>
        <a:solidFill>
          <a:srgbClr val="0B5394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9</xdr:row>
      <xdr:rowOff>85725</xdr:rowOff>
    </xdr:from>
    <xdr:ext cx="1009650" cy="114300"/>
    <xdr:sp>
      <xdr:nvSpPr>
        <xdr:cNvPr id="13" name="Shape 13"/>
        <xdr:cNvSpPr/>
      </xdr:nvSpPr>
      <xdr:spPr>
        <a:xfrm>
          <a:off x="4845938" y="3727613"/>
          <a:ext cx="1000125" cy="104775"/>
        </a:xfrm>
        <a:prstGeom prst="rect">
          <a:avLst/>
        </a:prstGeom>
        <a:solidFill>
          <a:srgbClr val="6AA84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342900</xdr:colOff>
      <xdr:row>8</xdr:row>
      <xdr:rowOff>171450</xdr:rowOff>
    </xdr:from>
    <xdr:ext cx="695325" cy="114300"/>
    <xdr:sp>
      <xdr:nvSpPr>
        <xdr:cNvPr id="14" name="Shape 14"/>
        <xdr:cNvSpPr/>
      </xdr:nvSpPr>
      <xdr:spPr>
        <a:xfrm>
          <a:off x="5003100" y="3727613"/>
          <a:ext cx="685800" cy="104775"/>
        </a:xfrm>
        <a:prstGeom prst="rect">
          <a:avLst/>
        </a:prstGeom>
        <a:solidFill>
          <a:srgbClr val="0B5394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342900</xdr:colOff>
      <xdr:row>9</xdr:row>
      <xdr:rowOff>76200</xdr:rowOff>
    </xdr:from>
    <xdr:ext cx="2790825" cy="114300"/>
    <xdr:sp>
      <xdr:nvSpPr>
        <xdr:cNvPr id="15" name="Shape 15"/>
        <xdr:cNvSpPr/>
      </xdr:nvSpPr>
      <xdr:spPr>
        <a:xfrm>
          <a:off x="3955350" y="3727613"/>
          <a:ext cx="2781300" cy="104775"/>
        </a:xfrm>
        <a:prstGeom prst="rect">
          <a:avLst/>
        </a:prstGeom>
        <a:solidFill>
          <a:srgbClr val="6AA84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314325</xdr:colOff>
      <xdr:row>9</xdr:row>
      <xdr:rowOff>161925</xdr:rowOff>
    </xdr:from>
    <xdr:ext cx="342900" cy="114300"/>
    <xdr:sp>
      <xdr:nvSpPr>
        <xdr:cNvPr id="16" name="Shape 16"/>
        <xdr:cNvSpPr/>
      </xdr:nvSpPr>
      <xdr:spPr>
        <a:xfrm>
          <a:off x="5179313" y="3727613"/>
          <a:ext cx="333375" cy="104775"/>
        </a:xfrm>
        <a:prstGeom prst="rect">
          <a:avLst/>
        </a:prstGeom>
        <a:solidFill>
          <a:srgbClr val="0B5394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304800</xdr:colOff>
      <xdr:row>10</xdr:row>
      <xdr:rowOff>161925</xdr:rowOff>
    </xdr:from>
    <xdr:ext cx="342900" cy="114300"/>
    <xdr:sp>
      <xdr:nvSpPr>
        <xdr:cNvPr id="17" name="Shape 17"/>
        <xdr:cNvSpPr/>
      </xdr:nvSpPr>
      <xdr:spPr>
        <a:xfrm>
          <a:off x="5179313" y="3727613"/>
          <a:ext cx="333375" cy="104775"/>
        </a:xfrm>
        <a:prstGeom prst="rect">
          <a:avLst/>
        </a:prstGeom>
        <a:solidFill>
          <a:srgbClr val="0B5394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17</xdr:col>
      <xdr:colOff>361950</xdr:colOff>
      <xdr:row>11</xdr:row>
      <xdr:rowOff>161925</xdr:rowOff>
    </xdr:from>
    <xdr:ext cx="371475" cy="114300"/>
    <xdr:sp>
      <xdr:nvSpPr>
        <xdr:cNvPr id="18" name="Shape 18"/>
        <xdr:cNvSpPr/>
      </xdr:nvSpPr>
      <xdr:spPr>
        <a:xfrm>
          <a:off x="5165025" y="3727613"/>
          <a:ext cx="361950" cy="104775"/>
        </a:xfrm>
        <a:prstGeom prst="rect">
          <a:avLst/>
        </a:prstGeom>
        <a:solidFill>
          <a:srgbClr val="0B5394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333375</xdr:colOff>
      <xdr:row>12</xdr:row>
      <xdr:rowOff>142875</xdr:rowOff>
    </xdr:from>
    <xdr:ext cx="390525" cy="114300"/>
    <xdr:sp>
      <xdr:nvSpPr>
        <xdr:cNvPr id="19" name="Shape 19"/>
        <xdr:cNvSpPr/>
      </xdr:nvSpPr>
      <xdr:spPr>
        <a:xfrm>
          <a:off x="5155500" y="3727613"/>
          <a:ext cx="381000" cy="104775"/>
        </a:xfrm>
        <a:prstGeom prst="rect">
          <a:avLst/>
        </a:prstGeom>
        <a:solidFill>
          <a:srgbClr val="0B5394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23</xdr:col>
      <xdr:colOff>333375</xdr:colOff>
      <xdr:row>18</xdr:row>
      <xdr:rowOff>180975</xdr:rowOff>
    </xdr:from>
    <xdr:ext cx="371475" cy="114300"/>
    <xdr:sp>
      <xdr:nvSpPr>
        <xdr:cNvPr id="20" name="Shape 20"/>
        <xdr:cNvSpPr/>
      </xdr:nvSpPr>
      <xdr:spPr>
        <a:xfrm>
          <a:off x="5165025" y="3727613"/>
          <a:ext cx="361950" cy="104775"/>
        </a:xfrm>
        <a:prstGeom prst="rect">
          <a:avLst/>
        </a:prstGeom>
        <a:solidFill>
          <a:srgbClr val="00FF00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26</xdr:col>
      <xdr:colOff>314325</xdr:colOff>
      <xdr:row>20</xdr:row>
      <xdr:rowOff>171450</xdr:rowOff>
    </xdr:from>
    <xdr:ext cx="1362075" cy="114300"/>
    <xdr:sp>
      <xdr:nvSpPr>
        <xdr:cNvPr id="21" name="Shape 21"/>
        <xdr:cNvSpPr/>
      </xdr:nvSpPr>
      <xdr:spPr>
        <a:xfrm>
          <a:off x="4669725" y="3727613"/>
          <a:ext cx="1352550" cy="104775"/>
        </a:xfrm>
        <a:prstGeom prst="rect">
          <a:avLst/>
        </a:prstGeom>
        <a:solidFill>
          <a:srgbClr val="0B5394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314325</xdr:colOff>
      <xdr:row>10</xdr:row>
      <xdr:rowOff>76200</xdr:rowOff>
    </xdr:from>
    <xdr:ext cx="342900" cy="114300"/>
    <xdr:sp>
      <xdr:nvSpPr>
        <xdr:cNvPr id="22" name="Shape 22"/>
        <xdr:cNvSpPr/>
      </xdr:nvSpPr>
      <xdr:spPr>
        <a:xfrm>
          <a:off x="5179313" y="3727613"/>
          <a:ext cx="333375" cy="104775"/>
        </a:xfrm>
        <a:prstGeom prst="rect">
          <a:avLst/>
        </a:prstGeom>
        <a:solidFill>
          <a:srgbClr val="6AA84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304800</xdr:colOff>
      <xdr:row>11</xdr:row>
      <xdr:rowOff>57150</xdr:rowOff>
    </xdr:from>
    <xdr:ext cx="342900" cy="114300"/>
    <xdr:sp>
      <xdr:nvSpPr>
        <xdr:cNvPr id="22" name="Shape 22"/>
        <xdr:cNvSpPr/>
      </xdr:nvSpPr>
      <xdr:spPr>
        <a:xfrm>
          <a:off x="5179313" y="3727613"/>
          <a:ext cx="333375" cy="104775"/>
        </a:xfrm>
        <a:prstGeom prst="rect">
          <a:avLst/>
        </a:prstGeom>
        <a:solidFill>
          <a:srgbClr val="6AA84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333375</xdr:colOff>
      <xdr:row>13</xdr:row>
      <xdr:rowOff>57150</xdr:rowOff>
    </xdr:from>
    <xdr:ext cx="390525" cy="114300"/>
    <xdr:sp>
      <xdr:nvSpPr>
        <xdr:cNvPr id="23" name="Shape 23"/>
        <xdr:cNvSpPr/>
      </xdr:nvSpPr>
      <xdr:spPr>
        <a:xfrm>
          <a:off x="5155500" y="3727613"/>
          <a:ext cx="381000" cy="104775"/>
        </a:xfrm>
        <a:prstGeom prst="rect">
          <a:avLst/>
        </a:prstGeom>
        <a:solidFill>
          <a:srgbClr val="6AA84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18</xdr:col>
      <xdr:colOff>342900</xdr:colOff>
      <xdr:row>13</xdr:row>
      <xdr:rowOff>171450</xdr:rowOff>
    </xdr:from>
    <xdr:ext cx="342900" cy="114300"/>
    <xdr:sp>
      <xdr:nvSpPr>
        <xdr:cNvPr id="17" name="Shape 17"/>
        <xdr:cNvSpPr/>
      </xdr:nvSpPr>
      <xdr:spPr>
        <a:xfrm>
          <a:off x="5179313" y="3727613"/>
          <a:ext cx="333375" cy="104775"/>
        </a:xfrm>
        <a:prstGeom prst="rect">
          <a:avLst/>
        </a:prstGeom>
        <a:solidFill>
          <a:srgbClr val="0B5394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19</xdr:col>
      <xdr:colOff>295275</xdr:colOff>
      <xdr:row>14</xdr:row>
      <xdr:rowOff>180975</xdr:rowOff>
    </xdr:from>
    <xdr:ext cx="371475" cy="114300"/>
    <xdr:sp>
      <xdr:nvSpPr>
        <xdr:cNvPr id="18" name="Shape 18"/>
        <xdr:cNvSpPr/>
      </xdr:nvSpPr>
      <xdr:spPr>
        <a:xfrm>
          <a:off x="5165025" y="3727613"/>
          <a:ext cx="361950" cy="104775"/>
        </a:xfrm>
        <a:prstGeom prst="rect">
          <a:avLst/>
        </a:prstGeom>
        <a:solidFill>
          <a:srgbClr val="0B5394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19</xdr:col>
      <xdr:colOff>323850</xdr:colOff>
      <xdr:row>15</xdr:row>
      <xdr:rowOff>180975</xdr:rowOff>
    </xdr:from>
    <xdr:ext cx="342900" cy="114300"/>
    <xdr:sp>
      <xdr:nvSpPr>
        <xdr:cNvPr id="16" name="Shape 16"/>
        <xdr:cNvSpPr/>
      </xdr:nvSpPr>
      <xdr:spPr>
        <a:xfrm>
          <a:off x="5179313" y="3727613"/>
          <a:ext cx="333375" cy="104775"/>
        </a:xfrm>
        <a:prstGeom prst="rect">
          <a:avLst/>
        </a:prstGeom>
        <a:solidFill>
          <a:srgbClr val="0B5394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20</xdr:col>
      <xdr:colOff>295275</xdr:colOff>
      <xdr:row>17</xdr:row>
      <xdr:rowOff>171450</xdr:rowOff>
    </xdr:from>
    <xdr:ext cx="371475" cy="114300"/>
    <xdr:sp>
      <xdr:nvSpPr>
        <xdr:cNvPr id="24" name="Shape 24"/>
        <xdr:cNvSpPr/>
      </xdr:nvSpPr>
      <xdr:spPr>
        <a:xfrm>
          <a:off x="5165025" y="3727613"/>
          <a:ext cx="361950" cy="104775"/>
        </a:xfrm>
        <a:prstGeom prst="rect">
          <a:avLst/>
        </a:prstGeom>
        <a:solidFill>
          <a:srgbClr val="00FFF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20</xdr:col>
      <xdr:colOff>304800</xdr:colOff>
      <xdr:row>18</xdr:row>
      <xdr:rowOff>180975</xdr:rowOff>
    </xdr:from>
    <xdr:ext cx="342900" cy="114300"/>
    <xdr:sp>
      <xdr:nvSpPr>
        <xdr:cNvPr id="25" name="Shape 25"/>
        <xdr:cNvSpPr/>
      </xdr:nvSpPr>
      <xdr:spPr>
        <a:xfrm>
          <a:off x="5179313" y="3727613"/>
          <a:ext cx="333375" cy="104775"/>
        </a:xfrm>
        <a:prstGeom prst="rect">
          <a:avLst/>
        </a:prstGeom>
        <a:solidFill>
          <a:srgbClr val="00FFF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17</xdr:col>
      <xdr:colOff>361950</xdr:colOff>
      <xdr:row>12</xdr:row>
      <xdr:rowOff>76200</xdr:rowOff>
    </xdr:from>
    <xdr:ext cx="695325" cy="114300"/>
    <xdr:sp>
      <xdr:nvSpPr>
        <xdr:cNvPr id="26" name="Shape 26"/>
        <xdr:cNvSpPr/>
      </xdr:nvSpPr>
      <xdr:spPr>
        <a:xfrm>
          <a:off x="5003100" y="3727613"/>
          <a:ext cx="685800" cy="104775"/>
        </a:xfrm>
        <a:prstGeom prst="rect">
          <a:avLst/>
        </a:prstGeom>
        <a:solidFill>
          <a:srgbClr val="6AA84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19</xdr:col>
      <xdr:colOff>304800</xdr:colOff>
      <xdr:row>15</xdr:row>
      <xdr:rowOff>85725</xdr:rowOff>
    </xdr:from>
    <xdr:ext cx="1028700" cy="114300"/>
    <xdr:sp>
      <xdr:nvSpPr>
        <xdr:cNvPr id="27" name="Shape 27"/>
        <xdr:cNvSpPr/>
      </xdr:nvSpPr>
      <xdr:spPr>
        <a:xfrm>
          <a:off x="4836413" y="3727613"/>
          <a:ext cx="1019175" cy="104775"/>
        </a:xfrm>
        <a:prstGeom prst="rect">
          <a:avLst/>
        </a:prstGeom>
        <a:solidFill>
          <a:srgbClr val="6AA84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18</xdr:col>
      <xdr:colOff>342900</xdr:colOff>
      <xdr:row>14</xdr:row>
      <xdr:rowOff>66675</xdr:rowOff>
    </xdr:from>
    <xdr:ext cx="1343025" cy="114300"/>
    <xdr:sp>
      <xdr:nvSpPr>
        <xdr:cNvPr id="28" name="Shape 28"/>
        <xdr:cNvSpPr/>
      </xdr:nvSpPr>
      <xdr:spPr>
        <a:xfrm>
          <a:off x="4679250" y="3727613"/>
          <a:ext cx="1333500" cy="104775"/>
        </a:xfrm>
        <a:prstGeom prst="rect">
          <a:avLst/>
        </a:prstGeom>
        <a:solidFill>
          <a:srgbClr val="6AA84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19</xdr:col>
      <xdr:colOff>323850</xdr:colOff>
      <xdr:row>16</xdr:row>
      <xdr:rowOff>95250</xdr:rowOff>
    </xdr:from>
    <xdr:ext cx="1676400" cy="114300"/>
    <xdr:sp>
      <xdr:nvSpPr>
        <xdr:cNvPr id="29" name="Shape 29"/>
        <xdr:cNvSpPr/>
      </xdr:nvSpPr>
      <xdr:spPr>
        <a:xfrm>
          <a:off x="4512563" y="3727613"/>
          <a:ext cx="1666875" cy="104775"/>
        </a:xfrm>
        <a:prstGeom prst="rect">
          <a:avLst/>
        </a:prstGeom>
        <a:solidFill>
          <a:srgbClr val="6AA84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20</xdr:col>
      <xdr:colOff>304800</xdr:colOff>
      <xdr:row>18</xdr:row>
      <xdr:rowOff>85725</xdr:rowOff>
    </xdr:from>
    <xdr:ext cx="1714500" cy="114300"/>
    <xdr:sp>
      <xdr:nvSpPr>
        <xdr:cNvPr id="30" name="Shape 30"/>
        <xdr:cNvSpPr/>
      </xdr:nvSpPr>
      <xdr:spPr>
        <a:xfrm>
          <a:off x="4493513" y="3727613"/>
          <a:ext cx="1704975" cy="104775"/>
        </a:xfrm>
        <a:prstGeom prst="rect">
          <a:avLst/>
        </a:prstGeom>
        <a:solidFill>
          <a:srgbClr val="FFD966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20</xdr:col>
      <xdr:colOff>304800</xdr:colOff>
      <xdr:row>18</xdr:row>
      <xdr:rowOff>95250</xdr:rowOff>
    </xdr:from>
    <xdr:ext cx="1714500" cy="114300"/>
    <xdr:sp>
      <xdr:nvSpPr>
        <xdr:cNvPr id="30" name="Shape 30"/>
        <xdr:cNvSpPr/>
      </xdr:nvSpPr>
      <xdr:spPr>
        <a:xfrm>
          <a:off x="4493513" y="3727613"/>
          <a:ext cx="1704975" cy="104775"/>
        </a:xfrm>
        <a:prstGeom prst="rect">
          <a:avLst/>
        </a:prstGeom>
        <a:solidFill>
          <a:srgbClr val="FFD966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23</xdr:col>
      <xdr:colOff>333375</xdr:colOff>
      <xdr:row>19</xdr:row>
      <xdr:rowOff>57150</xdr:rowOff>
    </xdr:from>
    <xdr:ext cx="695325" cy="114300"/>
    <xdr:sp>
      <xdr:nvSpPr>
        <xdr:cNvPr id="31" name="Shape 31"/>
        <xdr:cNvSpPr/>
      </xdr:nvSpPr>
      <xdr:spPr>
        <a:xfrm>
          <a:off x="5003100" y="3727613"/>
          <a:ext cx="685800" cy="104775"/>
        </a:xfrm>
        <a:prstGeom prst="rect">
          <a:avLst/>
        </a:prstGeom>
        <a:solidFill>
          <a:srgbClr val="FFD966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25</xdr:col>
      <xdr:colOff>323850</xdr:colOff>
      <xdr:row>19</xdr:row>
      <xdr:rowOff>161925</xdr:rowOff>
    </xdr:from>
    <xdr:ext cx="371475" cy="114300"/>
    <xdr:sp>
      <xdr:nvSpPr>
        <xdr:cNvPr id="10" name="Shape 10"/>
        <xdr:cNvSpPr/>
      </xdr:nvSpPr>
      <xdr:spPr>
        <a:xfrm>
          <a:off x="5165025" y="3727613"/>
          <a:ext cx="361950" cy="104775"/>
        </a:xfrm>
        <a:prstGeom prst="rect">
          <a:avLst/>
        </a:prstGeom>
        <a:solidFill>
          <a:srgbClr val="FF0000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142875</xdr:rowOff>
    </xdr:from>
    <xdr:ext cx="1152525" cy="257175"/>
    <xdr:sp>
      <xdr:nvSpPr>
        <xdr:cNvPr id="3" name="Shape 3"/>
        <xdr:cNvSpPr/>
      </xdr:nvSpPr>
      <xdr:spPr>
        <a:xfrm>
          <a:off x="4774500" y="3656175"/>
          <a:ext cx="1143000" cy="247650"/>
        </a:xfrm>
        <a:prstGeom prst="rect">
          <a:avLst/>
        </a:prstGeom>
        <a:solidFill>
          <a:srgbClr val="0B5394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400050</xdr:colOff>
      <xdr:row>4</xdr:row>
      <xdr:rowOff>171450</xdr:rowOff>
    </xdr:from>
    <xdr:ext cx="285750" cy="114300"/>
    <xdr:sp>
      <xdr:nvSpPr>
        <xdr:cNvPr id="4" name="Shape 4"/>
        <xdr:cNvSpPr/>
      </xdr:nvSpPr>
      <xdr:spPr>
        <a:xfrm>
          <a:off x="5207888" y="3727613"/>
          <a:ext cx="276225" cy="104775"/>
        </a:xfrm>
        <a:prstGeom prst="rect">
          <a:avLst/>
        </a:prstGeom>
        <a:solidFill>
          <a:srgbClr val="0B5394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400050</xdr:colOff>
      <xdr:row>5</xdr:row>
      <xdr:rowOff>85725</xdr:rowOff>
    </xdr:from>
    <xdr:ext cx="285750" cy="114300"/>
    <xdr:sp>
      <xdr:nvSpPr>
        <xdr:cNvPr id="5" name="Shape 5"/>
        <xdr:cNvSpPr/>
      </xdr:nvSpPr>
      <xdr:spPr>
        <a:xfrm>
          <a:off x="5207888" y="3727613"/>
          <a:ext cx="276225" cy="104775"/>
        </a:xfrm>
        <a:prstGeom prst="rect">
          <a:avLst/>
        </a:prstGeom>
        <a:solidFill>
          <a:srgbClr val="6AA84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400050</xdr:colOff>
      <xdr:row>5</xdr:row>
      <xdr:rowOff>171450</xdr:rowOff>
    </xdr:from>
    <xdr:ext cx="600075" cy="114300"/>
    <xdr:sp>
      <xdr:nvSpPr>
        <xdr:cNvPr id="6" name="Shape 6"/>
        <xdr:cNvSpPr/>
      </xdr:nvSpPr>
      <xdr:spPr>
        <a:xfrm>
          <a:off x="5050725" y="3727613"/>
          <a:ext cx="590550" cy="104775"/>
        </a:xfrm>
        <a:prstGeom prst="rect">
          <a:avLst/>
        </a:prstGeom>
        <a:solidFill>
          <a:srgbClr val="0B5394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400050</xdr:colOff>
      <xdr:row>6</xdr:row>
      <xdr:rowOff>76200</xdr:rowOff>
    </xdr:from>
    <xdr:ext cx="952500" cy="114300"/>
    <xdr:sp>
      <xdr:nvSpPr>
        <xdr:cNvPr id="7" name="Shape 7"/>
        <xdr:cNvSpPr/>
      </xdr:nvSpPr>
      <xdr:spPr>
        <a:xfrm>
          <a:off x="4874513" y="3727613"/>
          <a:ext cx="942975" cy="104775"/>
        </a:xfrm>
        <a:prstGeom prst="rect">
          <a:avLst/>
        </a:prstGeom>
        <a:solidFill>
          <a:srgbClr val="6AA84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323850</xdr:colOff>
      <xdr:row>6</xdr:row>
      <xdr:rowOff>180975</xdr:rowOff>
    </xdr:from>
    <xdr:ext cx="1009650" cy="114300"/>
    <xdr:sp>
      <xdr:nvSpPr>
        <xdr:cNvPr id="8" name="Shape 8"/>
        <xdr:cNvSpPr/>
      </xdr:nvSpPr>
      <xdr:spPr>
        <a:xfrm>
          <a:off x="4845938" y="3727613"/>
          <a:ext cx="1000125" cy="104775"/>
        </a:xfrm>
        <a:prstGeom prst="rect">
          <a:avLst/>
        </a:prstGeom>
        <a:solidFill>
          <a:srgbClr val="0B5394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257175</xdr:colOff>
      <xdr:row>7</xdr:row>
      <xdr:rowOff>95250</xdr:rowOff>
    </xdr:from>
    <xdr:ext cx="2743200" cy="114300"/>
    <xdr:sp>
      <xdr:nvSpPr>
        <xdr:cNvPr id="9" name="Shape 9"/>
        <xdr:cNvSpPr/>
      </xdr:nvSpPr>
      <xdr:spPr>
        <a:xfrm>
          <a:off x="3979163" y="3727613"/>
          <a:ext cx="2733675" cy="104775"/>
        </a:xfrm>
        <a:prstGeom prst="rect">
          <a:avLst/>
        </a:prstGeom>
        <a:solidFill>
          <a:srgbClr val="6AA84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295275</xdr:colOff>
      <xdr:row>7</xdr:row>
      <xdr:rowOff>95250</xdr:rowOff>
    </xdr:from>
    <xdr:ext cx="371475" cy="114300"/>
    <xdr:sp>
      <xdr:nvSpPr>
        <xdr:cNvPr id="10" name="Shape 10"/>
        <xdr:cNvSpPr/>
      </xdr:nvSpPr>
      <xdr:spPr>
        <a:xfrm>
          <a:off x="5165025" y="3727613"/>
          <a:ext cx="361950" cy="104775"/>
        </a:xfrm>
        <a:prstGeom prst="rect">
          <a:avLst/>
        </a:prstGeom>
        <a:solidFill>
          <a:srgbClr val="FF0000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400050</xdr:colOff>
      <xdr:row>8</xdr:row>
      <xdr:rowOff>161925</xdr:rowOff>
    </xdr:from>
    <xdr:ext cx="600075" cy="114300"/>
    <xdr:sp>
      <xdr:nvSpPr>
        <xdr:cNvPr id="6" name="Shape 6"/>
        <xdr:cNvSpPr/>
      </xdr:nvSpPr>
      <xdr:spPr>
        <a:xfrm>
          <a:off x="5050725" y="3727613"/>
          <a:ext cx="590550" cy="104775"/>
        </a:xfrm>
        <a:prstGeom prst="rect">
          <a:avLst/>
        </a:prstGeom>
        <a:solidFill>
          <a:srgbClr val="0B5394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400050</xdr:colOff>
      <xdr:row>9</xdr:row>
      <xdr:rowOff>76200</xdr:rowOff>
    </xdr:from>
    <xdr:ext cx="600075" cy="114300"/>
    <xdr:sp>
      <xdr:nvSpPr>
        <xdr:cNvPr id="11" name="Shape 11"/>
        <xdr:cNvSpPr/>
      </xdr:nvSpPr>
      <xdr:spPr>
        <a:xfrm>
          <a:off x="5050725" y="3727613"/>
          <a:ext cx="590550" cy="104775"/>
        </a:xfrm>
        <a:prstGeom prst="rect">
          <a:avLst/>
        </a:prstGeom>
        <a:solidFill>
          <a:srgbClr val="6AA84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9</xdr:row>
      <xdr:rowOff>171450</xdr:rowOff>
    </xdr:from>
    <xdr:ext cx="1009650" cy="114300"/>
    <xdr:sp>
      <xdr:nvSpPr>
        <xdr:cNvPr id="12" name="Shape 12"/>
        <xdr:cNvSpPr/>
      </xdr:nvSpPr>
      <xdr:spPr>
        <a:xfrm>
          <a:off x="4845938" y="3727613"/>
          <a:ext cx="1000125" cy="104775"/>
        </a:xfrm>
        <a:prstGeom prst="rect">
          <a:avLst/>
        </a:prstGeom>
        <a:solidFill>
          <a:srgbClr val="0B5394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10</xdr:row>
      <xdr:rowOff>85725</xdr:rowOff>
    </xdr:from>
    <xdr:ext cx="1009650" cy="114300"/>
    <xdr:sp>
      <xdr:nvSpPr>
        <xdr:cNvPr id="13" name="Shape 13"/>
        <xdr:cNvSpPr/>
      </xdr:nvSpPr>
      <xdr:spPr>
        <a:xfrm>
          <a:off x="4845938" y="3727613"/>
          <a:ext cx="1000125" cy="104775"/>
        </a:xfrm>
        <a:prstGeom prst="rect">
          <a:avLst/>
        </a:prstGeom>
        <a:solidFill>
          <a:srgbClr val="6AA84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342900</xdr:colOff>
      <xdr:row>9</xdr:row>
      <xdr:rowOff>171450</xdr:rowOff>
    </xdr:from>
    <xdr:ext cx="695325" cy="114300"/>
    <xdr:sp>
      <xdr:nvSpPr>
        <xdr:cNvPr id="14" name="Shape 14"/>
        <xdr:cNvSpPr/>
      </xdr:nvSpPr>
      <xdr:spPr>
        <a:xfrm>
          <a:off x="5003100" y="3727613"/>
          <a:ext cx="685800" cy="104775"/>
        </a:xfrm>
        <a:prstGeom prst="rect">
          <a:avLst/>
        </a:prstGeom>
        <a:solidFill>
          <a:srgbClr val="0B5394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342900</xdr:colOff>
      <xdr:row>10</xdr:row>
      <xdr:rowOff>76200</xdr:rowOff>
    </xdr:from>
    <xdr:ext cx="2790825" cy="114300"/>
    <xdr:sp>
      <xdr:nvSpPr>
        <xdr:cNvPr id="15" name="Shape 15"/>
        <xdr:cNvSpPr/>
      </xdr:nvSpPr>
      <xdr:spPr>
        <a:xfrm>
          <a:off x="3955350" y="3727613"/>
          <a:ext cx="2781300" cy="104775"/>
        </a:xfrm>
        <a:prstGeom prst="rect">
          <a:avLst/>
        </a:prstGeom>
        <a:solidFill>
          <a:srgbClr val="6AA84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314325</xdr:colOff>
      <xdr:row>10</xdr:row>
      <xdr:rowOff>161925</xdr:rowOff>
    </xdr:from>
    <xdr:ext cx="342900" cy="114300"/>
    <xdr:sp>
      <xdr:nvSpPr>
        <xdr:cNvPr id="16" name="Shape 16"/>
        <xdr:cNvSpPr/>
      </xdr:nvSpPr>
      <xdr:spPr>
        <a:xfrm>
          <a:off x="5179313" y="3727613"/>
          <a:ext cx="333375" cy="104775"/>
        </a:xfrm>
        <a:prstGeom prst="rect">
          <a:avLst/>
        </a:prstGeom>
        <a:solidFill>
          <a:srgbClr val="0B5394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304800</xdr:colOff>
      <xdr:row>12</xdr:row>
      <xdr:rowOff>161925</xdr:rowOff>
    </xdr:from>
    <xdr:ext cx="342900" cy="114300"/>
    <xdr:sp>
      <xdr:nvSpPr>
        <xdr:cNvPr id="17" name="Shape 17"/>
        <xdr:cNvSpPr/>
      </xdr:nvSpPr>
      <xdr:spPr>
        <a:xfrm>
          <a:off x="5179313" y="3727613"/>
          <a:ext cx="333375" cy="104775"/>
        </a:xfrm>
        <a:prstGeom prst="rect">
          <a:avLst/>
        </a:prstGeom>
        <a:solidFill>
          <a:srgbClr val="0B5394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17</xdr:col>
      <xdr:colOff>361950</xdr:colOff>
      <xdr:row>13</xdr:row>
      <xdr:rowOff>161925</xdr:rowOff>
    </xdr:from>
    <xdr:ext cx="371475" cy="114300"/>
    <xdr:sp>
      <xdr:nvSpPr>
        <xdr:cNvPr id="18" name="Shape 18"/>
        <xdr:cNvSpPr/>
      </xdr:nvSpPr>
      <xdr:spPr>
        <a:xfrm>
          <a:off x="5165025" y="3727613"/>
          <a:ext cx="361950" cy="104775"/>
        </a:xfrm>
        <a:prstGeom prst="rect">
          <a:avLst/>
        </a:prstGeom>
        <a:solidFill>
          <a:srgbClr val="0B5394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333375</xdr:colOff>
      <xdr:row>14</xdr:row>
      <xdr:rowOff>142875</xdr:rowOff>
    </xdr:from>
    <xdr:ext cx="390525" cy="114300"/>
    <xdr:sp>
      <xdr:nvSpPr>
        <xdr:cNvPr id="19" name="Shape 19"/>
        <xdr:cNvSpPr/>
      </xdr:nvSpPr>
      <xdr:spPr>
        <a:xfrm>
          <a:off x="5155500" y="3727613"/>
          <a:ext cx="381000" cy="104775"/>
        </a:xfrm>
        <a:prstGeom prst="rect">
          <a:avLst/>
        </a:prstGeom>
        <a:solidFill>
          <a:srgbClr val="0B5394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23</xdr:col>
      <xdr:colOff>333375</xdr:colOff>
      <xdr:row>21</xdr:row>
      <xdr:rowOff>180975</xdr:rowOff>
    </xdr:from>
    <xdr:ext cx="371475" cy="114300"/>
    <xdr:sp>
      <xdr:nvSpPr>
        <xdr:cNvPr id="20" name="Shape 20"/>
        <xdr:cNvSpPr/>
      </xdr:nvSpPr>
      <xdr:spPr>
        <a:xfrm>
          <a:off x="5165025" y="3727613"/>
          <a:ext cx="361950" cy="104775"/>
        </a:xfrm>
        <a:prstGeom prst="rect">
          <a:avLst/>
        </a:prstGeom>
        <a:solidFill>
          <a:srgbClr val="00FF00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31</xdr:col>
      <xdr:colOff>314325</xdr:colOff>
      <xdr:row>23</xdr:row>
      <xdr:rowOff>171450</xdr:rowOff>
    </xdr:from>
    <xdr:ext cx="2419350" cy="114300"/>
    <xdr:sp>
      <xdr:nvSpPr>
        <xdr:cNvPr id="32" name="Shape 32"/>
        <xdr:cNvSpPr/>
      </xdr:nvSpPr>
      <xdr:spPr>
        <a:xfrm>
          <a:off x="4141088" y="3727613"/>
          <a:ext cx="2409825" cy="104775"/>
        </a:xfrm>
        <a:prstGeom prst="rect">
          <a:avLst/>
        </a:prstGeom>
        <a:solidFill>
          <a:srgbClr val="0B5394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314325</xdr:colOff>
      <xdr:row>11</xdr:row>
      <xdr:rowOff>76200</xdr:rowOff>
    </xdr:from>
    <xdr:ext cx="342900" cy="114300"/>
    <xdr:sp>
      <xdr:nvSpPr>
        <xdr:cNvPr id="22" name="Shape 22"/>
        <xdr:cNvSpPr/>
      </xdr:nvSpPr>
      <xdr:spPr>
        <a:xfrm>
          <a:off x="5179313" y="3727613"/>
          <a:ext cx="333375" cy="104775"/>
        </a:xfrm>
        <a:prstGeom prst="rect">
          <a:avLst/>
        </a:prstGeom>
        <a:solidFill>
          <a:srgbClr val="6AA84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304800</xdr:colOff>
      <xdr:row>13</xdr:row>
      <xdr:rowOff>57150</xdr:rowOff>
    </xdr:from>
    <xdr:ext cx="342900" cy="114300"/>
    <xdr:sp>
      <xdr:nvSpPr>
        <xdr:cNvPr id="22" name="Shape 22"/>
        <xdr:cNvSpPr/>
      </xdr:nvSpPr>
      <xdr:spPr>
        <a:xfrm>
          <a:off x="5179313" y="3727613"/>
          <a:ext cx="333375" cy="104775"/>
        </a:xfrm>
        <a:prstGeom prst="rect">
          <a:avLst/>
        </a:prstGeom>
        <a:solidFill>
          <a:srgbClr val="6AA84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333375</xdr:colOff>
      <xdr:row>15</xdr:row>
      <xdr:rowOff>57150</xdr:rowOff>
    </xdr:from>
    <xdr:ext cx="390525" cy="114300"/>
    <xdr:sp>
      <xdr:nvSpPr>
        <xdr:cNvPr id="23" name="Shape 23"/>
        <xdr:cNvSpPr/>
      </xdr:nvSpPr>
      <xdr:spPr>
        <a:xfrm>
          <a:off x="5155500" y="3727613"/>
          <a:ext cx="381000" cy="104775"/>
        </a:xfrm>
        <a:prstGeom prst="rect">
          <a:avLst/>
        </a:prstGeom>
        <a:solidFill>
          <a:srgbClr val="6AA84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18</xdr:col>
      <xdr:colOff>342900</xdr:colOff>
      <xdr:row>15</xdr:row>
      <xdr:rowOff>171450</xdr:rowOff>
    </xdr:from>
    <xdr:ext cx="342900" cy="114300"/>
    <xdr:sp>
      <xdr:nvSpPr>
        <xdr:cNvPr id="17" name="Shape 17"/>
        <xdr:cNvSpPr/>
      </xdr:nvSpPr>
      <xdr:spPr>
        <a:xfrm>
          <a:off x="5179313" y="3727613"/>
          <a:ext cx="333375" cy="104775"/>
        </a:xfrm>
        <a:prstGeom prst="rect">
          <a:avLst/>
        </a:prstGeom>
        <a:solidFill>
          <a:srgbClr val="0B5394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19</xdr:col>
      <xdr:colOff>295275</xdr:colOff>
      <xdr:row>16</xdr:row>
      <xdr:rowOff>180975</xdr:rowOff>
    </xdr:from>
    <xdr:ext cx="371475" cy="114300"/>
    <xdr:sp>
      <xdr:nvSpPr>
        <xdr:cNvPr id="18" name="Shape 18"/>
        <xdr:cNvSpPr/>
      </xdr:nvSpPr>
      <xdr:spPr>
        <a:xfrm>
          <a:off x="5165025" y="3727613"/>
          <a:ext cx="361950" cy="104775"/>
        </a:xfrm>
        <a:prstGeom prst="rect">
          <a:avLst/>
        </a:prstGeom>
        <a:solidFill>
          <a:srgbClr val="0B5394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19</xdr:col>
      <xdr:colOff>323850</xdr:colOff>
      <xdr:row>17</xdr:row>
      <xdr:rowOff>180975</xdr:rowOff>
    </xdr:from>
    <xdr:ext cx="342900" cy="114300"/>
    <xdr:sp>
      <xdr:nvSpPr>
        <xdr:cNvPr id="16" name="Shape 16"/>
        <xdr:cNvSpPr/>
      </xdr:nvSpPr>
      <xdr:spPr>
        <a:xfrm>
          <a:off x="5179313" y="3727613"/>
          <a:ext cx="333375" cy="104775"/>
        </a:xfrm>
        <a:prstGeom prst="rect">
          <a:avLst/>
        </a:prstGeom>
        <a:solidFill>
          <a:srgbClr val="0B5394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20</xdr:col>
      <xdr:colOff>295275</xdr:colOff>
      <xdr:row>19</xdr:row>
      <xdr:rowOff>171450</xdr:rowOff>
    </xdr:from>
    <xdr:ext cx="371475" cy="114300"/>
    <xdr:sp>
      <xdr:nvSpPr>
        <xdr:cNvPr id="24" name="Shape 24"/>
        <xdr:cNvSpPr/>
      </xdr:nvSpPr>
      <xdr:spPr>
        <a:xfrm>
          <a:off x="5165025" y="3727613"/>
          <a:ext cx="361950" cy="104775"/>
        </a:xfrm>
        <a:prstGeom prst="rect">
          <a:avLst/>
        </a:prstGeom>
        <a:solidFill>
          <a:srgbClr val="00FFF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20</xdr:col>
      <xdr:colOff>304800</xdr:colOff>
      <xdr:row>20</xdr:row>
      <xdr:rowOff>180975</xdr:rowOff>
    </xdr:from>
    <xdr:ext cx="342900" cy="114300"/>
    <xdr:sp>
      <xdr:nvSpPr>
        <xdr:cNvPr id="25" name="Shape 25"/>
        <xdr:cNvSpPr/>
      </xdr:nvSpPr>
      <xdr:spPr>
        <a:xfrm>
          <a:off x="5179313" y="3727613"/>
          <a:ext cx="333375" cy="104775"/>
        </a:xfrm>
        <a:prstGeom prst="rect">
          <a:avLst/>
        </a:prstGeom>
        <a:solidFill>
          <a:srgbClr val="00FFF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17</xdr:col>
      <xdr:colOff>361950</xdr:colOff>
      <xdr:row>14</xdr:row>
      <xdr:rowOff>76200</xdr:rowOff>
    </xdr:from>
    <xdr:ext cx="695325" cy="114300"/>
    <xdr:sp>
      <xdr:nvSpPr>
        <xdr:cNvPr id="26" name="Shape 26"/>
        <xdr:cNvSpPr/>
      </xdr:nvSpPr>
      <xdr:spPr>
        <a:xfrm>
          <a:off x="5003100" y="3727613"/>
          <a:ext cx="685800" cy="104775"/>
        </a:xfrm>
        <a:prstGeom prst="rect">
          <a:avLst/>
        </a:prstGeom>
        <a:solidFill>
          <a:srgbClr val="6AA84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19</xdr:col>
      <xdr:colOff>304800</xdr:colOff>
      <xdr:row>17</xdr:row>
      <xdr:rowOff>85725</xdr:rowOff>
    </xdr:from>
    <xdr:ext cx="1028700" cy="114300"/>
    <xdr:sp>
      <xdr:nvSpPr>
        <xdr:cNvPr id="27" name="Shape 27"/>
        <xdr:cNvSpPr/>
      </xdr:nvSpPr>
      <xdr:spPr>
        <a:xfrm>
          <a:off x="4836413" y="3727613"/>
          <a:ext cx="1019175" cy="104775"/>
        </a:xfrm>
        <a:prstGeom prst="rect">
          <a:avLst/>
        </a:prstGeom>
        <a:solidFill>
          <a:srgbClr val="6AA84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18</xdr:col>
      <xdr:colOff>342900</xdr:colOff>
      <xdr:row>16</xdr:row>
      <xdr:rowOff>66675</xdr:rowOff>
    </xdr:from>
    <xdr:ext cx="1343025" cy="114300"/>
    <xdr:sp>
      <xdr:nvSpPr>
        <xdr:cNvPr id="28" name="Shape 28"/>
        <xdr:cNvSpPr/>
      </xdr:nvSpPr>
      <xdr:spPr>
        <a:xfrm>
          <a:off x="4679250" y="3727613"/>
          <a:ext cx="1333500" cy="104775"/>
        </a:xfrm>
        <a:prstGeom prst="rect">
          <a:avLst/>
        </a:prstGeom>
        <a:solidFill>
          <a:srgbClr val="6AA84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19</xdr:col>
      <xdr:colOff>323850</xdr:colOff>
      <xdr:row>18</xdr:row>
      <xdr:rowOff>95250</xdr:rowOff>
    </xdr:from>
    <xdr:ext cx="1676400" cy="114300"/>
    <xdr:sp>
      <xdr:nvSpPr>
        <xdr:cNvPr id="29" name="Shape 29"/>
        <xdr:cNvSpPr/>
      </xdr:nvSpPr>
      <xdr:spPr>
        <a:xfrm>
          <a:off x="4512563" y="3727613"/>
          <a:ext cx="1666875" cy="104775"/>
        </a:xfrm>
        <a:prstGeom prst="rect">
          <a:avLst/>
        </a:prstGeom>
        <a:solidFill>
          <a:srgbClr val="6AA84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20</xdr:col>
      <xdr:colOff>304800</xdr:colOff>
      <xdr:row>20</xdr:row>
      <xdr:rowOff>85725</xdr:rowOff>
    </xdr:from>
    <xdr:ext cx="2752725" cy="114300"/>
    <xdr:sp>
      <xdr:nvSpPr>
        <xdr:cNvPr id="33" name="Shape 33"/>
        <xdr:cNvSpPr/>
      </xdr:nvSpPr>
      <xdr:spPr>
        <a:xfrm>
          <a:off x="3974400" y="3727613"/>
          <a:ext cx="2743200" cy="104775"/>
        </a:xfrm>
        <a:prstGeom prst="rect">
          <a:avLst/>
        </a:prstGeom>
        <a:solidFill>
          <a:srgbClr val="6AA84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20</xdr:col>
      <xdr:colOff>304800</xdr:colOff>
      <xdr:row>21</xdr:row>
      <xdr:rowOff>95250</xdr:rowOff>
    </xdr:from>
    <xdr:ext cx="3438525" cy="114300"/>
    <xdr:sp>
      <xdr:nvSpPr>
        <xdr:cNvPr id="34" name="Shape 34"/>
        <xdr:cNvSpPr/>
      </xdr:nvSpPr>
      <xdr:spPr>
        <a:xfrm>
          <a:off x="3631500" y="3727613"/>
          <a:ext cx="3429000" cy="104775"/>
        </a:xfrm>
        <a:prstGeom prst="rect">
          <a:avLst/>
        </a:prstGeom>
        <a:solidFill>
          <a:srgbClr val="6AA84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23</xdr:col>
      <xdr:colOff>333375</xdr:colOff>
      <xdr:row>22</xdr:row>
      <xdr:rowOff>85725</xdr:rowOff>
    </xdr:from>
    <xdr:ext cx="1038225" cy="114300"/>
    <xdr:sp>
      <xdr:nvSpPr>
        <xdr:cNvPr id="35" name="Shape 35"/>
        <xdr:cNvSpPr/>
      </xdr:nvSpPr>
      <xdr:spPr>
        <a:xfrm>
          <a:off x="4831650" y="3727613"/>
          <a:ext cx="1028700" cy="104775"/>
        </a:xfrm>
        <a:prstGeom prst="rect">
          <a:avLst/>
        </a:prstGeom>
        <a:solidFill>
          <a:srgbClr val="6AA84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30</xdr:col>
      <xdr:colOff>304800</xdr:colOff>
      <xdr:row>22</xdr:row>
      <xdr:rowOff>161925</xdr:rowOff>
    </xdr:from>
    <xdr:ext cx="371475" cy="114300"/>
    <xdr:sp>
      <xdr:nvSpPr>
        <xdr:cNvPr id="10" name="Shape 10"/>
        <xdr:cNvSpPr/>
      </xdr:nvSpPr>
      <xdr:spPr>
        <a:xfrm>
          <a:off x="5165025" y="3727613"/>
          <a:ext cx="361950" cy="104775"/>
        </a:xfrm>
        <a:prstGeom prst="rect">
          <a:avLst/>
        </a:prstGeom>
        <a:solidFill>
          <a:srgbClr val="FF0000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28</xdr:col>
      <xdr:colOff>333375</xdr:colOff>
      <xdr:row>22</xdr:row>
      <xdr:rowOff>0</xdr:rowOff>
    </xdr:from>
    <xdr:ext cx="342900" cy="114300"/>
    <xdr:sp>
      <xdr:nvSpPr>
        <xdr:cNvPr id="36" name="Shape 36"/>
        <xdr:cNvSpPr/>
      </xdr:nvSpPr>
      <xdr:spPr>
        <a:xfrm>
          <a:off x="5179313" y="3727613"/>
          <a:ext cx="333375" cy="104775"/>
        </a:xfrm>
        <a:prstGeom prst="rect">
          <a:avLst/>
        </a:prstGeom>
        <a:solidFill>
          <a:srgbClr val="00FF00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26</xdr:col>
      <xdr:colOff>323850</xdr:colOff>
      <xdr:row>19</xdr:row>
      <xdr:rowOff>171450</xdr:rowOff>
    </xdr:from>
    <xdr:ext cx="695325" cy="114300"/>
    <xdr:sp>
      <xdr:nvSpPr>
        <xdr:cNvPr id="37" name="Shape 37"/>
        <xdr:cNvSpPr/>
      </xdr:nvSpPr>
      <xdr:spPr>
        <a:xfrm>
          <a:off x="5003100" y="3727613"/>
          <a:ext cx="685800" cy="104775"/>
        </a:xfrm>
        <a:prstGeom prst="rect">
          <a:avLst/>
        </a:prstGeom>
        <a:solidFill>
          <a:srgbClr val="00FFF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28</xdr:col>
      <xdr:colOff>333375</xdr:colOff>
      <xdr:row>21</xdr:row>
      <xdr:rowOff>0</xdr:rowOff>
    </xdr:from>
    <xdr:ext cx="342900" cy="114300"/>
    <xdr:sp>
      <xdr:nvSpPr>
        <xdr:cNvPr id="38" name="Shape 38"/>
        <xdr:cNvSpPr/>
      </xdr:nvSpPr>
      <xdr:spPr>
        <a:xfrm>
          <a:off x="5179313" y="3727613"/>
          <a:ext cx="333375" cy="104775"/>
        </a:xfrm>
        <a:prstGeom prst="rect">
          <a:avLst/>
        </a:prstGeom>
        <a:solidFill>
          <a:srgbClr val="00FFF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28</xdr:col>
      <xdr:colOff>333375</xdr:colOff>
      <xdr:row>22</xdr:row>
      <xdr:rowOff>85725</xdr:rowOff>
    </xdr:from>
    <xdr:ext cx="695325" cy="114300"/>
    <xdr:sp>
      <xdr:nvSpPr>
        <xdr:cNvPr id="26" name="Shape 26"/>
        <xdr:cNvSpPr/>
      </xdr:nvSpPr>
      <xdr:spPr>
        <a:xfrm>
          <a:off x="5003100" y="3727613"/>
          <a:ext cx="685800" cy="104775"/>
        </a:xfrm>
        <a:prstGeom prst="rect">
          <a:avLst/>
        </a:prstGeom>
        <a:solidFill>
          <a:srgbClr val="6AA84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30</xdr:col>
      <xdr:colOff>304800</xdr:colOff>
      <xdr:row>23</xdr:row>
      <xdr:rowOff>76200</xdr:rowOff>
    </xdr:from>
    <xdr:ext cx="390525" cy="114300"/>
    <xdr:sp>
      <xdr:nvSpPr>
        <xdr:cNvPr id="23" name="Shape 23"/>
        <xdr:cNvSpPr/>
      </xdr:nvSpPr>
      <xdr:spPr>
        <a:xfrm>
          <a:off x="5155500" y="3727613"/>
          <a:ext cx="381000" cy="104775"/>
        </a:xfrm>
        <a:prstGeom prst="rect">
          <a:avLst/>
        </a:prstGeom>
        <a:solidFill>
          <a:srgbClr val="6AA84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31</xdr:col>
      <xdr:colOff>314325</xdr:colOff>
      <xdr:row>24</xdr:row>
      <xdr:rowOff>85725</xdr:rowOff>
    </xdr:from>
    <xdr:ext cx="1057275" cy="114300"/>
    <xdr:sp>
      <xdr:nvSpPr>
        <xdr:cNvPr id="39" name="Shape 39"/>
        <xdr:cNvSpPr/>
      </xdr:nvSpPr>
      <xdr:spPr>
        <a:xfrm>
          <a:off x="4822125" y="3727613"/>
          <a:ext cx="1047750" cy="104775"/>
        </a:xfrm>
        <a:prstGeom prst="rect">
          <a:avLst/>
        </a:prstGeom>
        <a:solidFill>
          <a:srgbClr val="FFD966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428625</xdr:colOff>
      <xdr:row>3</xdr:row>
      <xdr:rowOff>57150</xdr:rowOff>
    </xdr:from>
    <xdr:ext cx="9134475" cy="4152900"/>
    <xdr:graphicFrame>
      <xdr:nvGraphicFramePr>
        <xdr:cNvPr id="1185468248" name="Chart 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428625</xdr:colOff>
      <xdr:row>3</xdr:row>
      <xdr:rowOff>57150</xdr:rowOff>
    </xdr:from>
    <xdr:ext cx="9134475" cy="4152900"/>
    <xdr:graphicFrame>
      <xdr:nvGraphicFramePr>
        <xdr:cNvPr id="1918491217" name="Chart 3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37.29"/>
    <col customWidth="1" min="3" max="3" width="8.57"/>
    <col customWidth="1" min="4" max="4" width="8.43"/>
    <col customWidth="1" min="5" max="8" width="4.43"/>
    <col customWidth="1" min="9" max="11" width="4.86"/>
    <col customWidth="1" min="12" max="23" width="5.14"/>
    <col customWidth="1" min="24" max="24" width="5.86"/>
    <col customWidth="1" min="25" max="33" width="5.14"/>
    <col customWidth="1" min="34" max="34" width="5.71"/>
    <col customWidth="1" min="35" max="55" width="5.14"/>
    <col customWidth="1" min="56" max="56" width="4.86"/>
    <col customWidth="1" min="57" max="58" width="4.14"/>
    <col customWidth="1" min="59" max="61" width="5.14"/>
    <col customWidth="1" min="62" max="66" width="4.86"/>
    <col customWidth="1" min="67" max="69" width="4.14"/>
    <col customWidth="1" min="70" max="70" width="4.29"/>
    <col customWidth="1" min="71" max="78" width="4.14"/>
    <col customWidth="1" min="79" max="94" width="5.14"/>
    <col customWidth="1" min="95" max="95" width="5.71"/>
    <col customWidth="1" min="96" max="126" width="5.14"/>
  </cols>
  <sheetData>
    <row r="1" ht="16.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4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1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</row>
    <row r="2" ht="14.25" customHeight="1">
      <c r="A2" s="1"/>
      <c r="B2" s="6" t="s">
        <v>1</v>
      </c>
      <c r="C2" s="6" t="s">
        <v>2</v>
      </c>
      <c r="D2" s="6" t="s">
        <v>3</v>
      </c>
      <c r="E2" s="7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9"/>
      <c r="AJ2" s="7" t="s">
        <v>4</v>
      </c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9"/>
      <c r="BN2" s="7" t="s">
        <v>5</v>
      </c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9"/>
      <c r="CS2" s="7" t="s">
        <v>6</v>
      </c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9"/>
    </row>
    <row r="3" ht="13.5" customHeight="1">
      <c r="A3" s="1"/>
      <c r="B3" s="6"/>
      <c r="C3" s="6"/>
      <c r="D3" s="6"/>
      <c r="E3" s="10">
        <v>1.0</v>
      </c>
      <c r="F3" s="10">
        <v>2.0</v>
      </c>
      <c r="G3" s="10">
        <v>3.0</v>
      </c>
      <c r="H3" s="10">
        <v>4.0</v>
      </c>
      <c r="I3" s="10">
        <v>5.0</v>
      </c>
      <c r="J3" s="10">
        <v>6.0</v>
      </c>
      <c r="K3" s="10">
        <v>7.0</v>
      </c>
      <c r="L3" s="10">
        <v>8.0</v>
      </c>
      <c r="M3" s="10">
        <v>9.0</v>
      </c>
      <c r="N3" s="10">
        <v>10.0</v>
      </c>
      <c r="O3" s="10">
        <v>11.0</v>
      </c>
      <c r="P3" s="10">
        <v>12.0</v>
      </c>
      <c r="Q3" s="10">
        <v>13.0</v>
      </c>
      <c r="R3" s="10">
        <v>14.0</v>
      </c>
      <c r="S3" s="10">
        <v>15.0</v>
      </c>
      <c r="T3" s="10">
        <v>16.0</v>
      </c>
      <c r="U3" s="10">
        <v>17.0</v>
      </c>
      <c r="V3" s="10">
        <v>18.0</v>
      </c>
      <c r="W3" s="10">
        <v>19.0</v>
      </c>
      <c r="X3" s="10">
        <v>20.0</v>
      </c>
      <c r="Y3" s="10">
        <v>21.0</v>
      </c>
      <c r="Z3" s="10">
        <v>22.0</v>
      </c>
      <c r="AA3" s="10">
        <v>23.0</v>
      </c>
      <c r="AB3" s="10">
        <v>24.0</v>
      </c>
      <c r="AC3" s="10">
        <v>25.0</v>
      </c>
      <c r="AD3" s="10">
        <v>26.0</v>
      </c>
      <c r="AE3" s="10">
        <v>27.0</v>
      </c>
      <c r="AF3" s="10">
        <v>28.0</v>
      </c>
      <c r="AG3" s="10">
        <v>29.0</v>
      </c>
      <c r="AH3" s="10">
        <v>30.0</v>
      </c>
      <c r="AI3" s="10">
        <v>31.0</v>
      </c>
      <c r="AJ3" s="11">
        <v>1.0</v>
      </c>
      <c r="AK3" s="11">
        <v>2.0</v>
      </c>
      <c r="AL3" s="11">
        <v>3.0</v>
      </c>
      <c r="AM3" s="11">
        <v>4.0</v>
      </c>
      <c r="AN3" s="11">
        <v>5.0</v>
      </c>
      <c r="AO3" s="11">
        <v>6.0</v>
      </c>
      <c r="AP3" s="11">
        <v>7.0</v>
      </c>
      <c r="AQ3" s="11">
        <v>8.0</v>
      </c>
      <c r="AR3" s="11">
        <v>9.0</v>
      </c>
      <c r="AS3" s="11">
        <v>10.0</v>
      </c>
      <c r="AT3" s="11">
        <v>11.0</v>
      </c>
      <c r="AU3" s="11">
        <v>12.0</v>
      </c>
      <c r="AV3" s="11">
        <v>13.0</v>
      </c>
      <c r="AW3" s="11">
        <v>14.0</v>
      </c>
      <c r="AX3" s="11">
        <v>15.0</v>
      </c>
      <c r="AY3" s="11">
        <v>16.0</v>
      </c>
      <c r="AZ3" s="11">
        <v>17.0</v>
      </c>
      <c r="BA3" s="11">
        <v>18.0</v>
      </c>
      <c r="BB3" s="11">
        <v>19.0</v>
      </c>
      <c r="BC3" s="11">
        <v>20.0</v>
      </c>
      <c r="BD3" s="11">
        <v>21.0</v>
      </c>
      <c r="BE3" s="11">
        <v>22.0</v>
      </c>
      <c r="BF3" s="11">
        <v>23.0</v>
      </c>
      <c r="BG3" s="11">
        <v>24.0</v>
      </c>
      <c r="BH3" s="11">
        <v>25.0</v>
      </c>
      <c r="BI3" s="11">
        <v>26.0</v>
      </c>
      <c r="BJ3" s="11">
        <v>27.0</v>
      </c>
      <c r="BK3" s="11">
        <v>28.0</v>
      </c>
      <c r="BL3" s="11">
        <v>29.0</v>
      </c>
      <c r="BM3" s="11">
        <v>30.0</v>
      </c>
      <c r="BN3" s="11">
        <v>1.0</v>
      </c>
      <c r="BO3" s="11">
        <v>2.0</v>
      </c>
      <c r="BP3" s="11">
        <v>3.0</v>
      </c>
      <c r="BQ3" s="11">
        <v>4.0</v>
      </c>
      <c r="BR3" s="11">
        <v>5.0</v>
      </c>
      <c r="BS3" s="11">
        <v>6.0</v>
      </c>
      <c r="BT3" s="11">
        <v>7.0</v>
      </c>
      <c r="BU3" s="11">
        <v>8.0</v>
      </c>
      <c r="BV3" s="11">
        <v>9.0</v>
      </c>
      <c r="BW3" s="11">
        <v>10.0</v>
      </c>
      <c r="BX3" s="11">
        <v>11.0</v>
      </c>
      <c r="BY3" s="11">
        <v>12.0</v>
      </c>
      <c r="BZ3" s="11">
        <v>13.0</v>
      </c>
      <c r="CA3" s="11">
        <v>14.0</v>
      </c>
      <c r="CB3" s="11">
        <v>15.0</v>
      </c>
      <c r="CC3" s="11">
        <v>16.0</v>
      </c>
      <c r="CD3" s="11">
        <v>17.0</v>
      </c>
      <c r="CE3" s="11">
        <v>18.0</v>
      </c>
      <c r="CF3" s="11">
        <v>19.0</v>
      </c>
      <c r="CG3" s="11">
        <v>20.0</v>
      </c>
      <c r="CH3" s="11">
        <v>21.0</v>
      </c>
      <c r="CI3" s="11">
        <v>22.0</v>
      </c>
      <c r="CJ3" s="11">
        <v>23.0</v>
      </c>
      <c r="CK3" s="11">
        <v>24.0</v>
      </c>
      <c r="CL3" s="11">
        <v>25.0</v>
      </c>
      <c r="CM3" s="11">
        <v>26.0</v>
      </c>
      <c r="CN3" s="11">
        <v>27.0</v>
      </c>
      <c r="CO3" s="11">
        <v>28.0</v>
      </c>
      <c r="CP3" s="11">
        <v>29.0</v>
      </c>
      <c r="CQ3" s="11">
        <v>30.0</v>
      </c>
      <c r="CR3" s="11">
        <v>31.0</v>
      </c>
      <c r="CS3" s="11">
        <v>1.0</v>
      </c>
      <c r="CT3" s="12">
        <v>2.0</v>
      </c>
      <c r="CU3" s="11">
        <v>3.0</v>
      </c>
      <c r="CV3" s="12">
        <v>4.0</v>
      </c>
      <c r="CW3" s="11">
        <v>5.0</v>
      </c>
      <c r="CX3" s="12">
        <v>6.0</v>
      </c>
      <c r="CY3" s="11">
        <v>7.0</v>
      </c>
      <c r="CZ3" s="11">
        <v>8.0</v>
      </c>
      <c r="DA3" s="12">
        <v>9.0</v>
      </c>
      <c r="DB3" s="12">
        <v>10.0</v>
      </c>
      <c r="DC3" s="11">
        <v>11.0</v>
      </c>
      <c r="DD3" s="12">
        <v>12.0</v>
      </c>
      <c r="DE3" s="11">
        <v>13.0</v>
      </c>
      <c r="DF3" s="12">
        <v>14.0</v>
      </c>
      <c r="DG3" s="11">
        <v>15.0</v>
      </c>
      <c r="DH3" s="12">
        <v>16.0</v>
      </c>
      <c r="DI3" s="11">
        <v>17.0</v>
      </c>
      <c r="DJ3" s="12">
        <v>18.0</v>
      </c>
      <c r="DK3" s="11">
        <v>19.0</v>
      </c>
      <c r="DL3" s="12">
        <v>20.0</v>
      </c>
      <c r="DM3" s="11">
        <v>21.0</v>
      </c>
      <c r="DN3" s="11">
        <v>22.0</v>
      </c>
      <c r="DO3" s="12">
        <v>23.0</v>
      </c>
      <c r="DP3" s="12">
        <v>24.0</v>
      </c>
      <c r="DQ3" s="11">
        <v>25.0</v>
      </c>
      <c r="DR3" s="12">
        <v>26.0</v>
      </c>
      <c r="DS3" s="11">
        <v>27.0</v>
      </c>
      <c r="DT3" s="12">
        <v>28.0</v>
      </c>
      <c r="DU3" s="11">
        <v>29.0</v>
      </c>
      <c r="DV3" s="12">
        <v>30.0</v>
      </c>
    </row>
    <row r="4" ht="15.0" customHeight="1">
      <c r="A4" s="13" t="s">
        <v>7</v>
      </c>
      <c r="B4" s="14" t="s">
        <v>8</v>
      </c>
      <c r="C4" s="15">
        <v>115.0</v>
      </c>
      <c r="D4" s="16">
        <v>100.0</v>
      </c>
      <c r="E4" s="17"/>
      <c r="F4" s="17"/>
      <c r="G4" s="16"/>
      <c r="H4" s="16"/>
      <c r="I4" s="16"/>
      <c r="J4" s="16"/>
      <c r="K4" s="16"/>
      <c r="L4" s="17"/>
      <c r="M4" s="17"/>
      <c r="N4" s="16"/>
      <c r="O4" s="16"/>
      <c r="P4" s="16"/>
      <c r="Q4" s="16"/>
      <c r="R4" s="16"/>
      <c r="S4" s="17"/>
      <c r="T4" s="17"/>
      <c r="U4" s="16"/>
      <c r="V4" s="16"/>
      <c r="W4" s="16"/>
      <c r="X4" s="16"/>
      <c r="Y4" s="16"/>
      <c r="Z4" s="17"/>
      <c r="AA4" s="17"/>
      <c r="AB4" s="16"/>
      <c r="AC4" s="16"/>
      <c r="AD4" s="16"/>
      <c r="AE4" s="16"/>
      <c r="AF4" s="16"/>
      <c r="AG4" s="17"/>
      <c r="AH4" s="17"/>
      <c r="AI4" s="18"/>
      <c r="AJ4" s="18"/>
      <c r="AK4" s="18"/>
      <c r="AL4" s="18"/>
      <c r="AM4" s="18"/>
      <c r="AN4" s="17"/>
      <c r="AO4" s="17"/>
      <c r="AP4" s="18"/>
      <c r="AQ4" s="16"/>
      <c r="AR4" s="16"/>
      <c r="AS4" s="16"/>
      <c r="AT4" s="16"/>
      <c r="AU4" s="17"/>
      <c r="AV4" s="17"/>
      <c r="AW4" s="16"/>
      <c r="AX4" s="16"/>
      <c r="AY4" s="16"/>
      <c r="AZ4" s="16"/>
      <c r="BA4" s="16"/>
      <c r="BB4" s="19"/>
      <c r="BC4" s="19"/>
      <c r="BD4" s="3"/>
      <c r="BE4" s="3"/>
      <c r="BF4" s="3"/>
      <c r="BG4" s="3"/>
      <c r="BH4" s="3"/>
      <c r="BI4" s="19"/>
      <c r="BJ4" s="19"/>
      <c r="BK4" s="3"/>
      <c r="BL4" s="3"/>
      <c r="BM4" s="3"/>
      <c r="BN4" s="3"/>
      <c r="BO4" s="3"/>
      <c r="BP4" s="19"/>
      <c r="BQ4" s="19"/>
      <c r="BR4" s="3"/>
      <c r="BS4" s="3"/>
      <c r="BT4" s="3"/>
      <c r="BU4" s="3"/>
      <c r="BV4" s="3"/>
      <c r="BW4" s="19"/>
      <c r="BX4" s="19"/>
      <c r="BY4" s="3"/>
      <c r="BZ4" s="3"/>
      <c r="CA4" s="3"/>
      <c r="CB4" s="3"/>
      <c r="CC4" s="3"/>
      <c r="CD4" s="19"/>
      <c r="CE4" s="19"/>
      <c r="CF4" s="3"/>
      <c r="CG4" s="3"/>
      <c r="CH4" s="3"/>
      <c r="CI4" s="3"/>
      <c r="CJ4" s="3"/>
      <c r="CK4" s="19"/>
      <c r="CL4" s="19"/>
      <c r="CM4" s="3"/>
      <c r="CN4" s="3"/>
      <c r="CO4" s="3"/>
      <c r="CP4" s="3"/>
      <c r="CQ4" s="3"/>
      <c r="CR4" s="19"/>
      <c r="CS4" s="20"/>
      <c r="CT4" s="4"/>
      <c r="CU4" s="4"/>
      <c r="CV4" s="4"/>
      <c r="CW4" s="4"/>
      <c r="CX4" s="4"/>
      <c r="CY4" s="20"/>
      <c r="CZ4" s="20"/>
      <c r="DA4" s="4"/>
      <c r="DB4" s="4"/>
      <c r="DC4" s="4"/>
      <c r="DD4" s="4"/>
      <c r="DE4" s="4"/>
      <c r="DF4" s="20"/>
      <c r="DG4" s="20"/>
      <c r="DH4" s="4"/>
      <c r="DI4" s="4"/>
      <c r="DJ4" s="4"/>
      <c r="DK4" s="4"/>
      <c r="DL4" s="4"/>
      <c r="DM4" s="20"/>
      <c r="DN4" s="20"/>
      <c r="DO4" s="4"/>
      <c r="DP4" s="4"/>
      <c r="DQ4" s="4"/>
      <c r="DR4" s="4"/>
      <c r="DS4" s="4"/>
      <c r="DT4" s="20"/>
      <c r="DU4" s="20"/>
      <c r="DV4" s="4"/>
    </row>
    <row r="5" ht="13.5" customHeight="1">
      <c r="A5" s="21"/>
      <c r="B5" s="22" t="s">
        <v>9</v>
      </c>
      <c r="C5" s="23"/>
      <c r="D5" s="23">
        <f>D6+D8</f>
        <v>30</v>
      </c>
      <c r="E5" s="24"/>
      <c r="F5" s="24"/>
      <c r="G5" s="25"/>
      <c r="H5" s="25"/>
      <c r="I5" s="25"/>
      <c r="J5" s="25"/>
      <c r="K5" s="25"/>
      <c r="L5" s="24"/>
      <c r="M5" s="24"/>
      <c r="N5" s="25"/>
      <c r="O5" s="25"/>
      <c r="P5" s="25"/>
      <c r="Q5" s="25"/>
      <c r="R5" s="25"/>
      <c r="S5" s="24"/>
      <c r="T5" s="24"/>
      <c r="U5" s="25"/>
      <c r="V5" s="25"/>
      <c r="W5" s="25"/>
      <c r="X5" s="25"/>
      <c r="Y5" s="25"/>
      <c r="Z5" s="24"/>
      <c r="AA5" s="24"/>
      <c r="AB5" s="25"/>
      <c r="AC5" s="25"/>
      <c r="AD5" s="25"/>
      <c r="AE5" s="25"/>
      <c r="AF5" s="25"/>
      <c r="AG5" s="24"/>
      <c r="AH5" s="24"/>
      <c r="AI5" s="26"/>
      <c r="AJ5" s="26"/>
      <c r="AK5" s="26"/>
      <c r="AL5" s="26"/>
      <c r="AM5" s="26"/>
      <c r="AN5" s="24"/>
      <c r="AO5" s="24"/>
      <c r="AP5" s="26"/>
      <c r="AQ5" s="25"/>
      <c r="AR5" s="25"/>
      <c r="AS5" s="25"/>
      <c r="AT5" s="25"/>
      <c r="AU5" s="24"/>
      <c r="AV5" s="24"/>
      <c r="AW5" s="25"/>
      <c r="AX5" s="25"/>
      <c r="AY5" s="25"/>
      <c r="AZ5" s="25"/>
      <c r="BA5" s="25"/>
      <c r="BB5" s="27"/>
      <c r="BC5" s="27"/>
      <c r="BD5" s="28"/>
      <c r="BE5" s="28"/>
      <c r="BF5" s="28"/>
      <c r="BG5" s="28"/>
      <c r="BH5" s="28"/>
      <c r="BI5" s="27"/>
      <c r="BJ5" s="27"/>
      <c r="BK5" s="28"/>
      <c r="BL5" s="28"/>
      <c r="BM5" s="28"/>
      <c r="BN5" s="28"/>
      <c r="BO5" s="28"/>
      <c r="BP5" s="27"/>
      <c r="BQ5" s="27"/>
      <c r="BR5" s="28"/>
      <c r="BS5" s="28"/>
      <c r="BT5" s="28"/>
      <c r="BU5" s="28"/>
      <c r="BV5" s="28"/>
      <c r="BW5" s="27"/>
      <c r="BX5" s="27"/>
      <c r="BY5" s="28"/>
      <c r="BZ5" s="28"/>
      <c r="CA5" s="28"/>
      <c r="CB5" s="28"/>
      <c r="CC5" s="28"/>
      <c r="CD5" s="27"/>
      <c r="CE5" s="27"/>
      <c r="CF5" s="28"/>
      <c r="CG5" s="28"/>
      <c r="CH5" s="28"/>
      <c r="CI5" s="28"/>
      <c r="CJ5" s="28"/>
      <c r="CK5" s="27"/>
      <c r="CL5" s="27"/>
      <c r="CM5" s="28"/>
      <c r="CN5" s="28"/>
      <c r="CO5" s="28"/>
      <c r="CP5" s="28"/>
      <c r="CQ5" s="28"/>
      <c r="CR5" s="27"/>
      <c r="CS5" s="29"/>
      <c r="CT5" s="4"/>
      <c r="CU5" s="30"/>
      <c r="CV5" s="4"/>
      <c r="CW5" s="4"/>
      <c r="CX5" s="4"/>
      <c r="CY5" s="20"/>
      <c r="CZ5" s="29"/>
      <c r="DA5" s="4"/>
      <c r="DB5" s="4"/>
      <c r="DC5" s="4"/>
      <c r="DD5" s="4"/>
      <c r="DE5" s="4"/>
      <c r="DF5" s="20"/>
      <c r="DG5" s="29"/>
      <c r="DH5" s="4"/>
      <c r="DI5" s="4"/>
      <c r="DJ5" s="4"/>
      <c r="DK5" s="4"/>
      <c r="DL5" s="4"/>
      <c r="DM5" s="20"/>
      <c r="DN5" s="29"/>
      <c r="DO5" s="4"/>
      <c r="DP5" s="4"/>
      <c r="DQ5" s="4"/>
      <c r="DR5" s="4"/>
      <c r="DS5" s="4"/>
      <c r="DT5" s="20"/>
      <c r="DU5" s="29"/>
      <c r="DV5" s="4"/>
    </row>
    <row r="6" ht="13.5" customHeight="1">
      <c r="A6" s="21"/>
      <c r="B6" s="31" t="s">
        <v>10</v>
      </c>
      <c r="C6" s="16">
        <f t="shared" ref="C6:D6" si="1">SUM(C7)</f>
        <v>2</v>
      </c>
      <c r="D6" s="16">
        <f t="shared" si="1"/>
        <v>1</v>
      </c>
      <c r="E6" s="24"/>
      <c r="F6" s="24"/>
      <c r="G6" s="25"/>
      <c r="H6" s="25"/>
      <c r="I6" s="25"/>
      <c r="J6" s="25"/>
      <c r="K6" s="25"/>
      <c r="L6" s="24"/>
      <c r="M6" s="24"/>
      <c r="N6" s="25"/>
      <c r="O6" s="25"/>
      <c r="P6" s="25"/>
      <c r="Q6" s="25"/>
      <c r="R6" s="25"/>
      <c r="S6" s="24"/>
      <c r="T6" s="24"/>
      <c r="U6" s="25"/>
      <c r="V6" s="25"/>
      <c r="W6" s="25"/>
      <c r="X6" s="25"/>
      <c r="Y6" s="25"/>
      <c r="Z6" s="24"/>
      <c r="AA6" s="24"/>
      <c r="AB6" s="25"/>
      <c r="AC6" s="25"/>
      <c r="AD6" s="25"/>
      <c r="AE6" s="25"/>
      <c r="AF6" s="25"/>
      <c r="AG6" s="24"/>
      <c r="AH6" s="24"/>
      <c r="AI6" s="26"/>
      <c r="AJ6" s="26"/>
      <c r="AK6" s="26"/>
      <c r="AL6" s="26"/>
      <c r="AM6" s="26"/>
      <c r="AN6" s="24"/>
      <c r="AO6" s="24"/>
      <c r="AP6" s="26"/>
      <c r="AQ6" s="25"/>
      <c r="AR6" s="25"/>
      <c r="AS6" s="25"/>
      <c r="AT6" s="25"/>
      <c r="AU6" s="24"/>
      <c r="AV6" s="24"/>
      <c r="AW6" s="25"/>
      <c r="AX6" s="25"/>
      <c r="AY6" s="25"/>
      <c r="AZ6" s="25"/>
      <c r="BA6" s="25"/>
      <c r="BB6" s="27"/>
      <c r="BC6" s="27"/>
      <c r="BD6" s="28"/>
      <c r="BE6" s="28"/>
      <c r="BF6" s="28"/>
      <c r="BG6" s="28"/>
      <c r="BH6" s="28"/>
      <c r="BI6" s="27"/>
      <c r="BJ6" s="27"/>
      <c r="BK6" s="28"/>
      <c r="BL6" s="28"/>
      <c r="BM6" s="28"/>
      <c r="BN6" s="28"/>
      <c r="BO6" s="28"/>
      <c r="BP6" s="27"/>
      <c r="BQ6" s="27"/>
      <c r="BR6" s="28"/>
      <c r="BS6" s="28"/>
      <c r="BT6" s="28"/>
      <c r="BU6" s="28"/>
      <c r="BV6" s="28"/>
      <c r="BW6" s="27"/>
      <c r="BX6" s="27"/>
      <c r="BY6" s="28"/>
      <c r="BZ6" s="28"/>
      <c r="CA6" s="28"/>
      <c r="CB6" s="28"/>
      <c r="CC6" s="28"/>
      <c r="CD6" s="27"/>
      <c r="CE6" s="27"/>
      <c r="CF6" s="28"/>
      <c r="CG6" s="28"/>
      <c r="CH6" s="28"/>
      <c r="CI6" s="28"/>
      <c r="CJ6" s="28"/>
      <c r="CK6" s="27"/>
      <c r="CL6" s="27"/>
      <c r="CM6" s="28"/>
      <c r="CN6" s="28"/>
      <c r="CO6" s="28"/>
      <c r="CP6" s="28"/>
      <c r="CQ6" s="28"/>
      <c r="CR6" s="27"/>
      <c r="CS6" s="29"/>
      <c r="CT6" s="4"/>
      <c r="CU6" s="30"/>
      <c r="CV6" s="4"/>
      <c r="CW6" s="4"/>
      <c r="CX6" s="4"/>
      <c r="CY6" s="20"/>
      <c r="CZ6" s="29"/>
      <c r="DA6" s="4"/>
      <c r="DB6" s="4"/>
      <c r="DC6" s="4"/>
      <c r="DD6" s="4"/>
      <c r="DE6" s="4"/>
      <c r="DF6" s="20"/>
      <c r="DG6" s="29"/>
      <c r="DH6" s="4"/>
      <c r="DI6" s="4"/>
      <c r="DJ6" s="4"/>
      <c r="DK6" s="4"/>
      <c r="DL6" s="4"/>
      <c r="DM6" s="20"/>
      <c r="DN6" s="29"/>
      <c r="DO6" s="4"/>
      <c r="DP6" s="4"/>
      <c r="DQ6" s="4"/>
      <c r="DR6" s="4"/>
      <c r="DS6" s="4"/>
      <c r="DT6" s="20"/>
      <c r="DU6" s="29"/>
      <c r="DV6" s="4"/>
    </row>
    <row r="7" ht="13.5" customHeight="1">
      <c r="A7" s="21"/>
      <c r="B7" s="32" t="s">
        <v>11</v>
      </c>
      <c r="C7" s="33">
        <v>2.0</v>
      </c>
      <c r="D7" s="16">
        <f>SUM(E7:DV7)</f>
        <v>1</v>
      </c>
      <c r="E7" s="24"/>
      <c r="F7" s="24"/>
      <c r="G7" s="34">
        <v>1.0</v>
      </c>
      <c r="H7" s="25"/>
      <c r="I7" s="25"/>
      <c r="J7" s="25"/>
      <c r="K7" s="25"/>
      <c r="L7" s="24"/>
      <c r="M7" s="24"/>
      <c r="N7" s="25"/>
      <c r="O7" s="25"/>
      <c r="P7" s="25"/>
      <c r="Q7" s="25"/>
      <c r="R7" s="25"/>
      <c r="S7" s="24"/>
      <c r="T7" s="24"/>
      <c r="U7" s="25"/>
      <c r="V7" s="25"/>
      <c r="W7" s="25"/>
      <c r="X7" s="25"/>
      <c r="Y7" s="25"/>
      <c r="Z7" s="24"/>
      <c r="AA7" s="24"/>
      <c r="AB7" s="25"/>
      <c r="AC7" s="25"/>
      <c r="AD7" s="25"/>
      <c r="AE7" s="25"/>
      <c r="AF7" s="25"/>
      <c r="AG7" s="24"/>
      <c r="AH7" s="24"/>
      <c r="AI7" s="26"/>
      <c r="AJ7" s="26"/>
      <c r="AK7" s="26"/>
      <c r="AL7" s="26"/>
      <c r="AM7" s="26"/>
      <c r="AN7" s="24"/>
      <c r="AO7" s="24"/>
      <c r="AP7" s="26"/>
      <c r="AQ7" s="25"/>
      <c r="AR7" s="25"/>
      <c r="AS7" s="25"/>
      <c r="AT7" s="25"/>
      <c r="AU7" s="24"/>
      <c r="AV7" s="24"/>
      <c r="AW7" s="25"/>
      <c r="AX7" s="25"/>
      <c r="AY7" s="25"/>
      <c r="AZ7" s="25"/>
      <c r="BA7" s="25"/>
      <c r="BB7" s="27"/>
      <c r="BC7" s="27"/>
      <c r="BD7" s="28"/>
      <c r="BE7" s="28"/>
      <c r="BF7" s="28"/>
      <c r="BG7" s="28"/>
      <c r="BH7" s="28"/>
      <c r="BI7" s="27"/>
      <c r="BJ7" s="27"/>
      <c r="BK7" s="28"/>
      <c r="BL7" s="28"/>
      <c r="BM7" s="28"/>
      <c r="BN7" s="28"/>
      <c r="BO7" s="28"/>
      <c r="BP7" s="27"/>
      <c r="BQ7" s="27"/>
      <c r="BR7" s="28"/>
      <c r="BS7" s="28"/>
      <c r="BT7" s="28"/>
      <c r="BU7" s="28"/>
      <c r="BV7" s="28"/>
      <c r="BW7" s="27"/>
      <c r="BX7" s="27"/>
      <c r="BY7" s="28"/>
      <c r="BZ7" s="28"/>
      <c r="CA7" s="28"/>
      <c r="CB7" s="28"/>
      <c r="CC7" s="28"/>
      <c r="CD7" s="27"/>
      <c r="CE7" s="27"/>
      <c r="CF7" s="28"/>
      <c r="CG7" s="28"/>
      <c r="CH7" s="28"/>
      <c r="CI7" s="28"/>
      <c r="CJ7" s="28"/>
      <c r="CK7" s="27"/>
      <c r="CL7" s="27"/>
      <c r="CM7" s="28"/>
      <c r="CN7" s="28"/>
      <c r="CO7" s="28"/>
      <c r="CP7" s="28"/>
      <c r="CQ7" s="28"/>
      <c r="CR7" s="27"/>
      <c r="CS7" s="29"/>
      <c r="CT7" s="4"/>
      <c r="CU7" s="30"/>
      <c r="CV7" s="4"/>
      <c r="CW7" s="4"/>
      <c r="CX7" s="4"/>
      <c r="CY7" s="20"/>
      <c r="CZ7" s="29"/>
      <c r="DA7" s="4"/>
      <c r="DB7" s="4"/>
      <c r="DC7" s="4"/>
      <c r="DD7" s="4"/>
      <c r="DE7" s="4"/>
      <c r="DF7" s="20"/>
      <c r="DG7" s="29"/>
      <c r="DH7" s="4"/>
      <c r="DI7" s="4"/>
      <c r="DJ7" s="4"/>
      <c r="DK7" s="4"/>
      <c r="DL7" s="4"/>
      <c r="DM7" s="20"/>
      <c r="DN7" s="29"/>
      <c r="DO7" s="4"/>
      <c r="DP7" s="4"/>
      <c r="DQ7" s="4"/>
      <c r="DR7" s="4"/>
      <c r="DS7" s="4"/>
      <c r="DT7" s="20"/>
      <c r="DU7" s="29"/>
      <c r="DV7" s="4"/>
    </row>
    <row r="8" ht="13.5" customHeight="1">
      <c r="A8" s="21"/>
      <c r="B8" s="31" t="s">
        <v>12</v>
      </c>
      <c r="C8" s="16">
        <f>SUM(C9:C10)</f>
        <v>14</v>
      </c>
      <c r="D8" s="16">
        <f>SUM(D9:D11)</f>
        <v>29</v>
      </c>
      <c r="E8" s="17"/>
      <c r="F8" s="17"/>
      <c r="G8" s="16"/>
      <c r="H8" s="16"/>
      <c r="I8" s="16"/>
      <c r="J8" s="16"/>
      <c r="K8" s="16"/>
      <c r="L8" s="17"/>
      <c r="M8" s="17"/>
      <c r="N8" s="16"/>
      <c r="O8" s="16"/>
      <c r="P8" s="16"/>
      <c r="Q8" s="16"/>
      <c r="R8" s="16"/>
      <c r="S8" s="17"/>
      <c r="T8" s="17"/>
      <c r="U8" s="16"/>
      <c r="V8" s="16"/>
      <c r="W8" s="16"/>
      <c r="X8" s="16"/>
      <c r="Y8" s="16"/>
      <c r="Z8" s="17"/>
      <c r="AA8" s="17"/>
      <c r="AB8" s="16"/>
      <c r="AC8" s="16"/>
      <c r="AD8" s="16"/>
      <c r="AE8" s="16"/>
      <c r="AF8" s="16"/>
      <c r="AG8" s="17"/>
      <c r="AH8" s="17"/>
      <c r="AI8" s="18"/>
      <c r="AJ8" s="18"/>
      <c r="AK8" s="18"/>
      <c r="AL8" s="18"/>
      <c r="AM8" s="18"/>
      <c r="AN8" s="17"/>
      <c r="AO8" s="17"/>
      <c r="AP8" s="18"/>
      <c r="AQ8" s="16"/>
      <c r="AR8" s="16"/>
      <c r="AS8" s="16"/>
      <c r="AT8" s="16"/>
      <c r="AU8" s="17"/>
      <c r="AV8" s="17"/>
      <c r="AW8" s="16"/>
      <c r="AX8" s="16"/>
      <c r="AY8" s="16"/>
      <c r="AZ8" s="16"/>
      <c r="BA8" s="16"/>
      <c r="BB8" s="19"/>
      <c r="BC8" s="19"/>
      <c r="BD8" s="3"/>
      <c r="BE8" s="3"/>
      <c r="BF8" s="3"/>
      <c r="BG8" s="3"/>
      <c r="BH8" s="3"/>
      <c r="BI8" s="19"/>
      <c r="BJ8" s="19"/>
      <c r="BK8" s="3"/>
      <c r="BL8" s="3"/>
      <c r="BM8" s="3"/>
      <c r="BN8" s="3"/>
      <c r="BO8" s="3"/>
      <c r="BP8" s="19"/>
      <c r="BQ8" s="19"/>
      <c r="BR8" s="3"/>
      <c r="BS8" s="3"/>
      <c r="BT8" s="3"/>
      <c r="BU8" s="3"/>
      <c r="BV8" s="3"/>
      <c r="BW8" s="19"/>
      <c r="BX8" s="19"/>
      <c r="BY8" s="3"/>
      <c r="BZ8" s="3"/>
      <c r="CA8" s="3"/>
      <c r="CB8" s="3"/>
      <c r="CC8" s="3"/>
      <c r="CD8" s="19"/>
      <c r="CE8" s="19"/>
      <c r="CF8" s="3"/>
      <c r="CG8" s="3"/>
      <c r="CH8" s="3"/>
      <c r="CI8" s="3"/>
      <c r="CJ8" s="3"/>
      <c r="CK8" s="19"/>
      <c r="CL8" s="19"/>
      <c r="CM8" s="3"/>
      <c r="CN8" s="3"/>
      <c r="CO8" s="3"/>
      <c r="CP8" s="3"/>
      <c r="CQ8" s="3"/>
      <c r="CR8" s="19"/>
      <c r="CS8" s="20"/>
      <c r="CT8" s="4"/>
      <c r="CU8" s="4"/>
      <c r="CV8" s="4"/>
      <c r="CW8" s="4"/>
      <c r="CX8" s="4"/>
      <c r="CY8" s="20"/>
      <c r="CZ8" s="20"/>
      <c r="DA8" s="4"/>
      <c r="DB8" s="4"/>
      <c r="DC8" s="4"/>
      <c r="DD8" s="4"/>
      <c r="DE8" s="4"/>
      <c r="DF8" s="20"/>
      <c r="DG8" s="20"/>
      <c r="DH8" s="4"/>
      <c r="DI8" s="4"/>
      <c r="DJ8" s="4"/>
      <c r="DK8" s="4"/>
      <c r="DL8" s="4"/>
      <c r="DM8" s="20"/>
      <c r="DN8" s="20"/>
      <c r="DO8" s="4"/>
      <c r="DP8" s="4"/>
      <c r="DQ8" s="4"/>
      <c r="DR8" s="4"/>
      <c r="DS8" s="4"/>
      <c r="DT8" s="20"/>
      <c r="DU8" s="20"/>
      <c r="DV8" s="4"/>
    </row>
    <row r="9" ht="13.5" customHeight="1">
      <c r="A9" s="21"/>
      <c r="B9" s="35" t="s">
        <v>13</v>
      </c>
      <c r="C9" s="33">
        <v>5.0</v>
      </c>
      <c r="D9" s="16">
        <f t="shared" ref="D9:D11" si="2">SUM(E9:DV9)</f>
        <v>6</v>
      </c>
      <c r="E9" s="17"/>
      <c r="F9" s="17"/>
      <c r="G9" s="14"/>
      <c r="H9" s="14"/>
      <c r="I9" s="14">
        <v>1.0</v>
      </c>
      <c r="J9" s="14">
        <v>1.0</v>
      </c>
      <c r="K9" s="14">
        <v>1.0</v>
      </c>
      <c r="L9" s="17"/>
      <c r="M9" s="17"/>
      <c r="N9" s="14"/>
      <c r="O9" s="14"/>
      <c r="P9" s="14">
        <v>1.0</v>
      </c>
      <c r="Q9" s="14">
        <v>1.0</v>
      </c>
      <c r="R9" s="14">
        <v>1.0</v>
      </c>
      <c r="S9" s="17"/>
      <c r="T9" s="17"/>
      <c r="U9" s="16"/>
      <c r="V9" s="16"/>
      <c r="W9" s="16"/>
      <c r="X9" s="16"/>
      <c r="Y9" s="16"/>
      <c r="Z9" s="17"/>
      <c r="AA9" s="17"/>
      <c r="AB9" s="16"/>
      <c r="AC9" s="16"/>
      <c r="AD9" s="16"/>
      <c r="AE9" s="16"/>
      <c r="AF9" s="16"/>
      <c r="AG9" s="17"/>
      <c r="AH9" s="17"/>
      <c r="AI9" s="18"/>
      <c r="AJ9" s="18"/>
      <c r="AK9" s="18"/>
      <c r="AL9" s="18"/>
      <c r="AM9" s="18"/>
      <c r="AN9" s="17"/>
      <c r="AO9" s="17"/>
      <c r="AP9" s="18"/>
      <c r="AQ9" s="16"/>
      <c r="AR9" s="16"/>
      <c r="AS9" s="16"/>
      <c r="AT9" s="16"/>
      <c r="AU9" s="17"/>
      <c r="AV9" s="17"/>
      <c r="AW9" s="16"/>
      <c r="AX9" s="16"/>
      <c r="AY9" s="16"/>
      <c r="AZ9" s="16"/>
      <c r="BA9" s="16"/>
      <c r="BB9" s="19"/>
      <c r="BC9" s="19"/>
      <c r="BD9" s="3"/>
      <c r="BE9" s="3"/>
      <c r="BF9" s="3"/>
      <c r="BG9" s="3"/>
      <c r="BH9" s="3"/>
      <c r="BI9" s="19"/>
      <c r="BJ9" s="19"/>
      <c r="BK9" s="3"/>
      <c r="BL9" s="3"/>
      <c r="BM9" s="3"/>
      <c r="BN9" s="3"/>
      <c r="BO9" s="3"/>
      <c r="BP9" s="19"/>
      <c r="BQ9" s="19"/>
      <c r="BR9" s="3"/>
      <c r="BS9" s="3"/>
      <c r="BT9" s="3"/>
      <c r="BU9" s="3"/>
      <c r="BV9" s="3"/>
      <c r="BW9" s="19"/>
      <c r="BX9" s="19"/>
      <c r="BY9" s="3"/>
      <c r="BZ9" s="3"/>
      <c r="CA9" s="3"/>
      <c r="CB9" s="3"/>
      <c r="CC9" s="3"/>
      <c r="CD9" s="19"/>
      <c r="CE9" s="19"/>
      <c r="CF9" s="3"/>
      <c r="CG9" s="3"/>
      <c r="CH9" s="3"/>
      <c r="CI9" s="3"/>
      <c r="CJ9" s="3"/>
      <c r="CK9" s="19"/>
      <c r="CL9" s="19"/>
      <c r="CM9" s="3"/>
      <c r="CN9" s="3"/>
      <c r="CO9" s="3"/>
      <c r="CP9" s="3"/>
      <c r="CQ9" s="3"/>
      <c r="CR9" s="19"/>
      <c r="CS9" s="20"/>
      <c r="CT9" s="4"/>
      <c r="CU9" s="4"/>
      <c r="CV9" s="4"/>
      <c r="CW9" s="4"/>
      <c r="CX9" s="4"/>
      <c r="CY9" s="20"/>
      <c r="CZ9" s="20"/>
      <c r="DA9" s="4"/>
      <c r="DB9" s="4"/>
      <c r="DC9" s="4"/>
      <c r="DD9" s="4"/>
      <c r="DE9" s="4"/>
      <c r="DF9" s="20"/>
      <c r="DG9" s="20"/>
      <c r="DH9" s="4"/>
      <c r="DI9" s="4"/>
      <c r="DJ9" s="4"/>
      <c r="DK9" s="4"/>
      <c r="DL9" s="4"/>
      <c r="DM9" s="20"/>
      <c r="DN9" s="20"/>
      <c r="DO9" s="4"/>
      <c r="DP9" s="4"/>
      <c r="DQ9" s="4"/>
      <c r="DR9" s="4"/>
      <c r="DS9" s="4"/>
      <c r="DT9" s="20"/>
      <c r="DU9" s="20"/>
      <c r="DV9" s="4"/>
    </row>
    <row r="10" ht="13.5" customHeight="1">
      <c r="A10" s="21"/>
      <c r="B10" s="35" t="s">
        <v>14</v>
      </c>
      <c r="C10" s="33">
        <v>9.0</v>
      </c>
      <c r="D10" s="16">
        <f t="shared" si="2"/>
        <v>6</v>
      </c>
      <c r="E10" s="24"/>
      <c r="F10" s="24"/>
      <c r="G10" s="25"/>
      <c r="H10" s="25"/>
      <c r="I10" s="25"/>
      <c r="J10" s="25"/>
      <c r="K10" s="25"/>
      <c r="L10" s="24"/>
      <c r="M10" s="24"/>
      <c r="N10" s="25"/>
      <c r="O10" s="25"/>
      <c r="P10" s="25"/>
      <c r="Q10" s="34"/>
      <c r="R10" s="34"/>
      <c r="S10" s="24"/>
      <c r="T10" s="24"/>
      <c r="U10" s="34">
        <v>1.0</v>
      </c>
      <c r="V10" s="34">
        <v>1.0</v>
      </c>
      <c r="W10" s="34">
        <v>1.0</v>
      </c>
      <c r="X10" s="25"/>
      <c r="Y10" s="25"/>
      <c r="Z10" s="24"/>
      <c r="AA10" s="24"/>
      <c r="AB10" s="34">
        <v>1.0</v>
      </c>
      <c r="AC10" s="34">
        <v>1.0</v>
      </c>
      <c r="AD10" s="34">
        <v>1.0</v>
      </c>
      <c r="AE10" s="25"/>
      <c r="AF10" s="25"/>
      <c r="AG10" s="24"/>
      <c r="AH10" s="24"/>
      <c r="AI10" s="26"/>
      <c r="AJ10" s="26"/>
      <c r="AK10" s="26"/>
      <c r="AL10" s="26"/>
      <c r="AM10" s="26"/>
      <c r="AN10" s="24"/>
      <c r="AO10" s="24"/>
      <c r="AP10" s="26"/>
      <c r="AQ10" s="25"/>
      <c r="AR10" s="25"/>
      <c r="AS10" s="25"/>
      <c r="AT10" s="25"/>
      <c r="AU10" s="24"/>
      <c r="AV10" s="24"/>
      <c r="AW10" s="25"/>
      <c r="AX10" s="25"/>
      <c r="AY10" s="25"/>
      <c r="AZ10" s="25"/>
      <c r="BA10" s="25"/>
      <c r="BB10" s="19"/>
      <c r="BC10" s="19"/>
      <c r="BD10" s="3"/>
      <c r="BE10" s="3"/>
      <c r="BF10" s="3"/>
      <c r="BG10" s="3"/>
      <c r="BH10" s="3"/>
      <c r="BI10" s="19"/>
      <c r="BJ10" s="19"/>
      <c r="BK10" s="3"/>
      <c r="BL10" s="3"/>
      <c r="BM10" s="3"/>
      <c r="BN10" s="3"/>
      <c r="BO10" s="3"/>
      <c r="BP10" s="19"/>
      <c r="BQ10" s="19"/>
      <c r="BR10" s="3"/>
      <c r="BS10" s="3"/>
      <c r="BT10" s="3"/>
      <c r="BU10" s="3"/>
      <c r="BV10" s="3"/>
      <c r="BW10" s="19"/>
      <c r="BX10" s="19"/>
      <c r="BY10" s="3"/>
      <c r="BZ10" s="3"/>
      <c r="CA10" s="3"/>
      <c r="CB10" s="3"/>
      <c r="CC10" s="3"/>
      <c r="CD10" s="19"/>
      <c r="CE10" s="19"/>
      <c r="CF10" s="3"/>
      <c r="CG10" s="3"/>
      <c r="CH10" s="3"/>
      <c r="CI10" s="3"/>
      <c r="CJ10" s="3"/>
      <c r="CK10" s="19"/>
      <c r="CL10" s="19"/>
      <c r="CM10" s="3"/>
      <c r="CN10" s="3"/>
      <c r="CO10" s="3"/>
      <c r="CP10" s="3"/>
      <c r="CQ10" s="3"/>
      <c r="CR10" s="19"/>
      <c r="CS10" s="20"/>
      <c r="CT10" s="4"/>
      <c r="CU10" s="4"/>
      <c r="CV10" s="4"/>
      <c r="CW10" s="4"/>
      <c r="CX10" s="4"/>
      <c r="CY10" s="20"/>
      <c r="CZ10" s="20"/>
      <c r="DA10" s="4"/>
      <c r="DB10" s="4"/>
      <c r="DC10" s="4"/>
      <c r="DD10" s="4"/>
      <c r="DE10" s="4"/>
      <c r="DF10" s="20"/>
      <c r="DG10" s="20"/>
      <c r="DH10" s="4"/>
      <c r="DI10" s="4"/>
      <c r="DJ10" s="4"/>
      <c r="DK10" s="4"/>
      <c r="DL10" s="4"/>
      <c r="DM10" s="20"/>
      <c r="DN10" s="20"/>
      <c r="DO10" s="4"/>
      <c r="DP10" s="4"/>
      <c r="DQ10" s="4"/>
      <c r="DR10" s="4"/>
      <c r="DS10" s="4"/>
      <c r="DT10" s="20"/>
      <c r="DU10" s="20"/>
      <c r="DV10" s="4"/>
    </row>
    <row r="11" ht="13.5" customHeight="1">
      <c r="A11" s="13"/>
      <c r="B11" s="36" t="s">
        <v>15</v>
      </c>
      <c r="C11" s="33">
        <v>9.0</v>
      </c>
      <c r="D11" s="16">
        <f t="shared" si="2"/>
        <v>17</v>
      </c>
      <c r="E11" s="17"/>
      <c r="F11" s="17"/>
      <c r="G11" s="16"/>
      <c r="H11" s="14">
        <v>1.0</v>
      </c>
      <c r="I11" s="14">
        <v>1.0</v>
      </c>
      <c r="J11" s="14">
        <v>1.0</v>
      </c>
      <c r="K11" s="14">
        <v>1.0</v>
      </c>
      <c r="L11" s="17"/>
      <c r="M11" s="17"/>
      <c r="N11" s="14">
        <v>1.0</v>
      </c>
      <c r="O11" s="14">
        <v>1.0</v>
      </c>
      <c r="P11" s="14">
        <v>1.0</v>
      </c>
      <c r="Q11" s="14">
        <v>1.0</v>
      </c>
      <c r="R11" s="14">
        <v>1.0</v>
      </c>
      <c r="S11" s="17"/>
      <c r="T11" s="17"/>
      <c r="U11" s="14">
        <v>1.0</v>
      </c>
      <c r="V11" s="14">
        <v>1.0</v>
      </c>
      <c r="W11" s="14">
        <v>1.0</v>
      </c>
      <c r="X11" s="14">
        <v>1.0</v>
      </c>
      <c r="Y11" s="14">
        <v>1.0</v>
      </c>
      <c r="Z11" s="17"/>
      <c r="AA11" s="17"/>
      <c r="AB11" s="14">
        <v>1.0</v>
      </c>
      <c r="AC11" s="14">
        <v>1.0</v>
      </c>
      <c r="AD11" s="14">
        <v>1.0</v>
      </c>
      <c r="AE11" s="16"/>
      <c r="AF11" s="16"/>
      <c r="AG11" s="17"/>
      <c r="AH11" s="17"/>
      <c r="AI11" s="18"/>
      <c r="AJ11" s="18"/>
      <c r="AK11" s="18"/>
      <c r="AL11" s="18"/>
      <c r="AM11" s="18"/>
      <c r="AN11" s="17"/>
      <c r="AO11" s="17"/>
      <c r="AP11" s="18"/>
      <c r="AQ11" s="16"/>
      <c r="AR11" s="16"/>
      <c r="AS11" s="16"/>
      <c r="AT11" s="16"/>
      <c r="AU11" s="17"/>
      <c r="AV11" s="17"/>
      <c r="AW11" s="16"/>
      <c r="AX11" s="16"/>
      <c r="AY11" s="16"/>
      <c r="AZ11" s="16"/>
      <c r="BA11" s="16"/>
      <c r="BB11" s="19"/>
      <c r="BC11" s="19"/>
      <c r="BD11" s="3"/>
      <c r="BE11" s="3"/>
      <c r="BF11" s="3"/>
      <c r="BG11" s="3"/>
      <c r="BH11" s="3"/>
      <c r="BI11" s="19"/>
      <c r="BJ11" s="19"/>
      <c r="BK11" s="3"/>
      <c r="BL11" s="3"/>
      <c r="BM11" s="3"/>
      <c r="BN11" s="3"/>
      <c r="BO11" s="3"/>
      <c r="BP11" s="19"/>
      <c r="BQ11" s="19"/>
      <c r="BR11" s="3"/>
      <c r="BS11" s="3"/>
      <c r="BT11" s="3"/>
      <c r="BU11" s="3"/>
      <c r="BV11" s="3"/>
      <c r="BW11" s="19"/>
      <c r="BX11" s="19"/>
      <c r="BY11" s="3"/>
      <c r="BZ11" s="3"/>
      <c r="CA11" s="3"/>
      <c r="CB11" s="3"/>
      <c r="CC11" s="3"/>
      <c r="CD11" s="19"/>
      <c r="CE11" s="19"/>
      <c r="CF11" s="3"/>
      <c r="CG11" s="3"/>
      <c r="CH11" s="3"/>
      <c r="CI11" s="3"/>
      <c r="CJ11" s="3"/>
      <c r="CK11" s="19"/>
      <c r="CL11" s="19"/>
      <c r="CM11" s="3"/>
      <c r="CN11" s="3"/>
      <c r="CO11" s="3"/>
      <c r="CP11" s="3"/>
      <c r="CQ11" s="3"/>
      <c r="CR11" s="19"/>
      <c r="CS11" s="20"/>
      <c r="CT11" s="4"/>
      <c r="CU11" s="4"/>
      <c r="CV11" s="4"/>
      <c r="CW11" s="4"/>
      <c r="CX11" s="4"/>
      <c r="CY11" s="20"/>
      <c r="CZ11" s="20"/>
      <c r="DA11" s="4"/>
      <c r="DB11" s="4"/>
      <c r="DC11" s="4"/>
      <c r="DD11" s="4"/>
      <c r="DE11" s="4"/>
      <c r="DF11" s="20"/>
      <c r="DG11" s="20"/>
      <c r="DH11" s="4"/>
      <c r="DI11" s="4"/>
      <c r="DJ11" s="4"/>
      <c r="DK11" s="4"/>
      <c r="DL11" s="4"/>
      <c r="DM11" s="20"/>
      <c r="DN11" s="20"/>
      <c r="DO11" s="4"/>
      <c r="DP11" s="4"/>
      <c r="DQ11" s="4"/>
      <c r="DR11" s="4"/>
      <c r="DS11" s="4"/>
      <c r="DT11" s="20"/>
      <c r="DU11" s="20"/>
      <c r="DV11" s="4"/>
    </row>
    <row r="12" ht="13.5" customHeight="1">
      <c r="A12" s="37" t="s">
        <v>16</v>
      </c>
      <c r="B12" s="22" t="s">
        <v>17</v>
      </c>
      <c r="C12" s="23"/>
      <c r="D12" s="23">
        <f>D13+D17</f>
        <v>65</v>
      </c>
      <c r="E12" s="17"/>
      <c r="F12" s="17"/>
      <c r="G12" s="16"/>
      <c r="H12" s="16"/>
      <c r="I12" s="16"/>
      <c r="J12" s="16"/>
      <c r="K12" s="16"/>
      <c r="L12" s="17"/>
      <c r="M12" s="17"/>
      <c r="N12" s="16"/>
      <c r="O12" s="16"/>
      <c r="P12" s="16"/>
      <c r="Q12" s="16"/>
      <c r="R12" s="16"/>
      <c r="S12" s="17"/>
      <c r="T12" s="17"/>
      <c r="U12" s="16"/>
      <c r="V12" s="16"/>
      <c r="W12" s="16"/>
      <c r="X12" s="16"/>
      <c r="Y12" s="16"/>
      <c r="Z12" s="17"/>
      <c r="AA12" s="17"/>
      <c r="AB12" s="16"/>
      <c r="AC12" s="16"/>
      <c r="AD12" s="16"/>
      <c r="AE12" s="16"/>
      <c r="AF12" s="16"/>
      <c r="AG12" s="17"/>
      <c r="AH12" s="17"/>
      <c r="AI12" s="18"/>
      <c r="AJ12" s="18"/>
      <c r="AK12" s="18"/>
      <c r="AL12" s="18"/>
      <c r="AM12" s="18"/>
      <c r="AN12" s="17"/>
      <c r="AO12" s="17"/>
      <c r="AP12" s="18"/>
      <c r="AQ12" s="16"/>
      <c r="AR12" s="16"/>
      <c r="AS12" s="16"/>
      <c r="AT12" s="16"/>
      <c r="AU12" s="17"/>
      <c r="AV12" s="17"/>
      <c r="AW12" s="16"/>
      <c r="AX12" s="16"/>
      <c r="AY12" s="16"/>
      <c r="AZ12" s="16"/>
      <c r="BA12" s="16"/>
      <c r="BB12" s="19"/>
      <c r="BC12" s="19"/>
      <c r="BD12" s="3"/>
      <c r="BE12" s="3"/>
      <c r="BF12" s="3"/>
      <c r="BG12" s="3"/>
      <c r="BH12" s="3"/>
      <c r="BI12" s="19"/>
      <c r="BJ12" s="19"/>
      <c r="BK12" s="3"/>
      <c r="BL12" s="3"/>
      <c r="BM12" s="3"/>
      <c r="BN12" s="3"/>
      <c r="BO12" s="3"/>
      <c r="BP12" s="19"/>
      <c r="BQ12" s="19"/>
      <c r="BR12" s="3"/>
      <c r="BS12" s="3"/>
      <c r="BT12" s="3"/>
      <c r="BU12" s="3"/>
      <c r="BV12" s="3"/>
      <c r="BW12" s="19"/>
      <c r="BX12" s="19"/>
      <c r="BY12" s="3"/>
      <c r="BZ12" s="3"/>
      <c r="CA12" s="3"/>
      <c r="CB12" s="3"/>
      <c r="CC12" s="3"/>
      <c r="CD12" s="19"/>
      <c r="CE12" s="19"/>
      <c r="CF12" s="3"/>
      <c r="CG12" s="3"/>
      <c r="CH12" s="3"/>
      <c r="CI12" s="3"/>
      <c r="CJ12" s="3"/>
      <c r="CK12" s="19"/>
      <c r="CL12" s="19"/>
      <c r="CM12" s="3"/>
      <c r="CN12" s="3"/>
      <c r="CO12" s="3"/>
      <c r="CP12" s="3"/>
      <c r="CQ12" s="3"/>
      <c r="CR12" s="19"/>
      <c r="CS12" s="20"/>
      <c r="CT12" s="4"/>
      <c r="CU12" s="4"/>
      <c r="CV12" s="4"/>
      <c r="CW12" s="4"/>
      <c r="CX12" s="4"/>
      <c r="CY12" s="20"/>
      <c r="CZ12" s="20"/>
      <c r="DA12" s="4"/>
      <c r="DB12" s="4"/>
      <c r="DC12" s="4"/>
      <c r="DD12" s="4"/>
      <c r="DE12" s="4"/>
      <c r="DF12" s="20"/>
      <c r="DG12" s="20"/>
      <c r="DH12" s="4"/>
      <c r="DI12" s="4"/>
      <c r="DJ12" s="4"/>
      <c r="DK12" s="4"/>
      <c r="DL12" s="4"/>
      <c r="DM12" s="20"/>
      <c r="DN12" s="20"/>
      <c r="DO12" s="4"/>
      <c r="DP12" s="4"/>
      <c r="DQ12" s="4"/>
      <c r="DR12" s="4"/>
      <c r="DS12" s="4"/>
      <c r="DT12" s="20"/>
      <c r="DU12" s="20"/>
      <c r="DV12" s="4"/>
    </row>
    <row r="13" ht="13.5" customHeight="1">
      <c r="A13" s="21"/>
      <c r="B13" s="31" t="s">
        <v>18</v>
      </c>
      <c r="C13" s="16">
        <f>SUM(C14:C15:C16)</f>
        <v>22</v>
      </c>
      <c r="D13" s="16">
        <f>SUM(D14:D16)</f>
        <v>49</v>
      </c>
      <c r="E13" s="17"/>
      <c r="F13" s="17"/>
      <c r="G13" s="16"/>
      <c r="H13" s="16"/>
      <c r="I13" s="16"/>
      <c r="J13" s="16"/>
      <c r="K13" s="16"/>
      <c r="L13" s="17"/>
      <c r="M13" s="17"/>
      <c r="N13" s="16"/>
      <c r="O13" s="16"/>
      <c r="P13" s="16"/>
      <c r="Q13" s="16"/>
      <c r="R13" s="16"/>
      <c r="S13" s="17"/>
      <c r="T13" s="17"/>
      <c r="U13" s="16"/>
      <c r="V13" s="16"/>
      <c r="W13" s="16"/>
      <c r="X13" s="16"/>
      <c r="Y13" s="16"/>
      <c r="Z13" s="17"/>
      <c r="AA13" s="17"/>
      <c r="AB13" s="16"/>
      <c r="AC13" s="16"/>
      <c r="AD13" s="16"/>
      <c r="AE13" s="16"/>
      <c r="AF13" s="16"/>
      <c r="AG13" s="17"/>
      <c r="AH13" s="17"/>
      <c r="AI13" s="18"/>
      <c r="AJ13" s="18"/>
      <c r="AK13" s="18"/>
      <c r="AL13" s="18"/>
      <c r="AM13" s="18"/>
      <c r="AN13" s="17"/>
      <c r="AO13" s="17"/>
      <c r="AP13" s="18"/>
      <c r="AQ13" s="16"/>
      <c r="AR13" s="16"/>
      <c r="AS13" s="16"/>
      <c r="AT13" s="16"/>
      <c r="AU13" s="17"/>
      <c r="AV13" s="17"/>
      <c r="AW13" s="16"/>
      <c r="AX13" s="16"/>
      <c r="AY13" s="16"/>
      <c r="AZ13" s="16"/>
      <c r="BA13" s="16"/>
      <c r="BB13" s="19"/>
      <c r="BC13" s="19"/>
      <c r="BD13" s="3"/>
      <c r="BE13" s="3"/>
      <c r="BF13" s="3"/>
      <c r="BG13" s="3"/>
      <c r="BH13" s="3"/>
      <c r="BI13" s="19"/>
      <c r="BJ13" s="19"/>
      <c r="BK13" s="3"/>
      <c r="BL13" s="3"/>
      <c r="BM13" s="3"/>
      <c r="BN13" s="3"/>
      <c r="BO13" s="3"/>
      <c r="BP13" s="19"/>
      <c r="BQ13" s="19"/>
      <c r="BR13" s="3"/>
      <c r="BS13" s="3"/>
      <c r="BT13" s="3"/>
      <c r="BU13" s="3"/>
      <c r="BV13" s="3"/>
      <c r="BW13" s="19"/>
      <c r="BX13" s="19"/>
      <c r="BY13" s="3"/>
      <c r="BZ13" s="3"/>
      <c r="CA13" s="3"/>
      <c r="CB13" s="3"/>
      <c r="CC13" s="3"/>
      <c r="CD13" s="19"/>
      <c r="CE13" s="19"/>
      <c r="CF13" s="3"/>
      <c r="CG13" s="3"/>
      <c r="CH13" s="3"/>
      <c r="CI13" s="3"/>
      <c r="CJ13" s="3"/>
      <c r="CK13" s="19"/>
      <c r="CL13" s="19"/>
      <c r="CM13" s="3"/>
      <c r="CN13" s="3"/>
      <c r="CO13" s="3"/>
      <c r="CP13" s="3"/>
      <c r="CQ13" s="3"/>
      <c r="CR13" s="19"/>
      <c r="CS13" s="20"/>
      <c r="CT13" s="4"/>
      <c r="CU13" s="4"/>
      <c r="CV13" s="4"/>
      <c r="CW13" s="4"/>
      <c r="CX13" s="4"/>
      <c r="CY13" s="20"/>
      <c r="CZ13" s="20"/>
      <c r="DA13" s="4"/>
      <c r="DB13" s="4"/>
      <c r="DC13" s="4"/>
      <c r="DD13" s="4"/>
      <c r="DE13" s="4"/>
      <c r="DF13" s="20"/>
      <c r="DG13" s="20"/>
      <c r="DH13" s="4"/>
      <c r="DI13" s="4"/>
      <c r="DJ13" s="4"/>
      <c r="DK13" s="4"/>
      <c r="DL13" s="4"/>
      <c r="DM13" s="20"/>
      <c r="DN13" s="20"/>
      <c r="DO13" s="4"/>
      <c r="DP13" s="4"/>
      <c r="DQ13" s="4"/>
      <c r="DR13" s="4"/>
      <c r="DS13" s="4"/>
      <c r="DT13" s="20"/>
      <c r="DU13" s="20"/>
      <c r="DV13" s="4"/>
    </row>
    <row r="14" ht="13.5" customHeight="1">
      <c r="A14" s="21"/>
      <c r="B14" s="35" t="s">
        <v>19</v>
      </c>
      <c r="C14" s="33">
        <v>2.0</v>
      </c>
      <c r="D14" s="14">
        <v>1.0</v>
      </c>
      <c r="E14" s="17"/>
      <c r="F14" s="17"/>
      <c r="G14" s="16"/>
      <c r="H14" s="16"/>
      <c r="I14" s="16"/>
      <c r="J14" s="16"/>
      <c r="K14" s="16">
        <v>1.0</v>
      </c>
      <c r="L14" s="17"/>
      <c r="M14" s="17"/>
      <c r="N14" s="16"/>
      <c r="O14" s="16"/>
      <c r="P14" s="16"/>
      <c r="Q14" s="16"/>
      <c r="R14" s="16"/>
      <c r="S14" s="17"/>
      <c r="T14" s="17"/>
      <c r="U14" s="16"/>
      <c r="V14" s="16"/>
      <c r="W14" s="16"/>
      <c r="X14" s="16"/>
      <c r="Y14" s="16"/>
      <c r="Z14" s="17"/>
      <c r="AA14" s="17"/>
      <c r="AB14" s="16"/>
      <c r="AC14" s="16"/>
      <c r="AD14" s="16"/>
      <c r="AE14" s="16"/>
      <c r="AF14" s="16"/>
      <c r="AG14" s="17"/>
      <c r="AH14" s="17"/>
      <c r="AI14" s="18"/>
      <c r="AJ14" s="18"/>
      <c r="AK14" s="18"/>
      <c r="AL14" s="18"/>
      <c r="AM14" s="18"/>
      <c r="AN14" s="17"/>
      <c r="AO14" s="17"/>
      <c r="AP14" s="18"/>
      <c r="AQ14" s="16"/>
      <c r="AR14" s="16"/>
      <c r="AS14" s="16"/>
      <c r="AT14" s="16"/>
      <c r="AU14" s="17"/>
      <c r="AV14" s="17"/>
      <c r="AW14" s="16"/>
      <c r="AX14" s="16"/>
      <c r="AY14" s="16"/>
      <c r="AZ14" s="16"/>
      <c r="BA14" s="16"/>
      <c r="BB14" s="27"/>
      <c r="BC14" s="27"/>
      <c r="BD14" s="28"/>
      <c r="BE14" s="28"/>
      <c r="BF14" s="28"/>
      <c r="BG14" s="28"/>
      <c r="BH14" s="28"/>
      <c r="BI14" s="27"/>
      <c r="BJ14" s="27"/>
      <c r="BK14" s="28"/>
      <c r="BL14" s="28"/>
      <c r="BM14" s="28"/>
      <c r="BN14" s="28"/>
      <c r="BO14" s="28"/>
      <c r="BP14" s="27"/>
      <c r="BQ14" s="27"/>
      <c r="BR14" s="28"/>
      <c r="BS14" s="28"/>
      <c r="BT14" s="28"/>
      <c r="BU14" s="28"/>
      <c r="BV14" s="28"/>
      <c r="BW14" s="27"/>
      <c r="BX14" s="27"/>
      <c r="BY14" s="28"/>
      <c r="BZ14" s="28"/>
      <c r="CA14" s="28"/>
      <c r="CB14" s="28"/>
      <c r="CC14" s="28"/>
      <c r="CD14" s="27"/>
      <c r="CE14" s="27"/>
      <c r="CF14" s="28"/>
      <c r="CG14" s="28"/>
      <c r="CH14" s="28"/>
      <c r="CI14" s="28"/>
      <c r="CJ14" s="28"/>
      <c r="CK14" s="27"/>
      <c r="CL14" s="27"/>
      <c r="CM14" s="28"/>
      <c r="CN14" s="28"/>
      <c r="CO14" s="28"/>
      <c r="CP14" s="28"/>
      <c r="CQ14" s="28"/>
      <c r="CR14" s="27"/>
      <c r="CS14" s="29"/>
      <c r="CT14" s="4"/>
      <c r="CU14" s="30"/>
      <c r="CV14" s="4"/>
      <c r="CW14" s="4"/>
      <c r="CX14" s="4"/>
      <c r="CY14" s="20"/>
      <c r="CZ14" s="29"/>
      <c r="DA14" s="4"/>
      <c r="DB14" s="4"/>
      <c r="DC14" s="4"/>
      <c r="DD14" s="4"/>
      <c r="DE14" s="4"/>
      <c r="DF14" s="20"/>
      <c r="DG14" s="29"/>
      <c r="DH14" s="4"/>
      <c r="DI14" s="4"/>
      <c r="DJ14" s="4"/>
      <c r="DK14" s="4"/>
      <c r="DL14" s="4"/>
      <c r="DM14" s="20"/>
      <c r="DN14" s="29"/>
      <c r="DO14" s="4"/>
      <c r="DP14" s="4"/>
      <c r="DQ14" s="4"/>
      <c r="DR14" s="4"/>
      <c r="DS14" s="4"/>
      <c r="DT14" s="20"/>
      <c r="DU14" s="29"/>
      <c r="DV14" s="4"/>
    </row>
    <row r="15" ht="13.5" customHeight="1">
      <c r="A15" s="21"/>
      <c r="B15" s="35" t="s">
        <v>20</v>
      </c>
      <c r="C15" s="33">
        <v>15.0</v>
      </c>
      <c r="D15" s="16">
        <f t="shared" ref="D15:D16" si="3">SUM(E15:DV15)</f>
        <v>45</v>
      </c>
      <c r="E15" s="24"/>
      <c r="F15" s="27"/>
      <c r="G15" s="28"/>
      <c r="H15" s="25"/>
      <c r="I15" s="25"/>
      <c r="J15" s="25"/>
      <c r="K15" s="25"/>
      <c r="L15" s="24"/>
      <c r="M15" s="24"/>
      <c r="N15" s="25"/>
      <c r="O15" s="25"/>
      <c r="P15" s="25"/>
      <c r="Q15" s="25"/>
      <c r="R15" s="25"/>
      <c r="S15" s="24"/>
      <c r="T15" s="24"/>
      <c r="U15" s="25"/>
      <c r="V15" s="25"/>
      <c r="W15" s="25"/>
      <c r="X15" s="25"/>
      <c r="Y15" s="25"/>
      <c r="Z15" s="24"/>
      <c r="AA15" s="24"/>
      <c r="AB15" s="34"/>
      <c r="AC15" s="34"/>
      <c r="AD15" s="34"/>
      <c r="AE15" s="34">
        <v>1.0</v>
      </c>
      <c r="AF15" s="34">
        <v>1.0</v>
      </c>
      <c r="AG15" s="24"/>
      <c r="AH15" s="24"/>
      <c r="AI15" s="26"/>
      <c r="AJ15" s="26"/>
      <c r="AK15" s="26"/>
      <c r="AL15" s="26"/>
      <c r="AM15" s="26"/>
      <c r="AN15" s="24"/>
      <c r="AO15" s="24"/>
      <c r="AP15" s="26"/>
      <c r="AQ15" s="34">
        <v>1.0</v>
      </c>
      <c r="AR15" s="34">
        <v>1.0</v>
      </c>
      <c r="AS15" s="34">
        <v>1.0</v>
      </c>
      <c r="AT15" s="34">
        <v>1.0</v>
      </c>
      <c r="AU15" s="38"/>
      <c r="AV15" s="24"/>
      <c r="AW15" s="34">
        <v>1.0</v>
      </c>
      <c r="AX15" s="34">
        <v>1.0</v>
      </c>
      <c r="AY15" s="34">
        <v>1.0</v>
      </c>
      <c r="AZ15" s="34">
        <v>1.0</v>
      </c>
      <c r="BA15" s="34">
        <v>1.0</v>
      </c>
      <c r="BB15" s="27"/>
      <c r="BC15" s="27"/>
      <c r="BD15" s="39">
        <v>1.0</v>
      </c>
      <c r="BE15" s="39">
        <v>1.0</v>
      </c>
      <c r="BF15" s="39">
        <v>1.0</v>
      </c>
      <c r="BG15" s="39">
        <v>1.0</v>
      </c>
      <c r="BH15" s="39">
        <v>1.0</v>
      </c>
      <c r="BI15" s="27"/>
      <c r="BJ15" s="27"/>
      <c r="BK15" s="39">
        <v>1.0</v>
      </c>
      <c r="BL15" s="39">
        <v>1.0</v>
      </c>
      <c r="BM15" s="39">
        <v>1.0</v>
      </c>
      <c r="BN15" s="39">
        <v>1.0</v>
      </c>
      <c r="BO15" s="39">
        <v>1.0</v>
      </c>
      <c r="BP15" s="27"/>
      <c r="BQ15" s="27"/>
      <c r="BR15" s="39">
        <v>1.0</v>
      </c>
      <c r="BS15" s="39">
        <v>1.0</v>
      </c>
      <c r="BT15" s="39">
        <v>1.0</v>
      </c>
      <c r="BU15" s="39">
        <v>1.0</v>
      </c>
      <c r="BV15" s="39">
        <v>1.0</v>
      </c>
      <c r="BW15" s="27"/>
      <c r="BX15" s="27"/>
      <c r="BY15" s="39">
        <v>1.0</v>
      </c>
      <c r="BZ15" s="39">
        <v>1.0</v>
      </c>
      <c r="CA15" s="39">
        <v>1.0</v>
      </c>
      <c r="CB15" s="39">
        <v>1.0</v>
      </c>
      <c r="CC15" s="39">
        <v>1.0</v>
      </c>
      <c r="CD15" s="27"/>
      <c r="CE15" s="27"/>
      <c r="CF15" s="39">
        <v>1.0</v>
      </c>
      <c r="CG15" s="39">
        <v>1.0</v>
      </c>
      <c r="CH15" s="39">
        <v>1.0</v>
      </c>
      <c r="CI15" s="39">
        <v>1.0</v>
      </c>
      <c r="CJ15" s="39">
        <v>1.0</v>
      </c>
      <c r="CK15" s="27"/>
      <c r="CL15" s="27"/>
      <c r="CM15" s="39">
        <v>1.0</v>
      </c>
      <c r="CN15" s="39">
        <v>1.0</v>
      </c>
      <c r="CO15" s="39">
        <v>1.0</v>
      </c>
      <c r="CP15" s="39">
        <v>1.0</v>
      </c>
      <c r="CQ15" s="39">
        <v>1.0</v>
      </c>
      <c r="CR15" s="27"/>
      <c r="CS15" s="29"/>
      <c r="CT15" s="40">
        <v>1.0</v>
      </c>
      <c r="CU15" s="41">
        <v>1.0</v>
      </c>
      <c r="CV15" s="40">
        <v>1.0</v>
      </c>
      <c r="CW15" s="40">
        <v>0.5</v>
      </c>
      <c r="CX15" s="40">
        <v>0.5</v>
      </c>
      <c r="CY15" s="20"/>
      <c r="CZ15" s="29"/>
      <c r="DA15" s="40"/>
      <c r="DB15" s="40"/>
      <c r="DC15" s="40"/>
      <c r="DD15" s="40"/>
      <c r="DE15" s="4"/>
      <c r="DF15" s="20"/>
      <c r="DG15" s="29"/>
      <c r="DH15" s="4"/>
      <c r="DI15" s="4"/>
      <c r="DJ15" s="4"/>
      <c r="DK15" s="4"/>
      <c r="DL15" s="4"/>
      <c r="DM15" s="20"/>
      <c r="DN15" s="29"/>
      <c r="DO15" s="4"/>
      <c r="DP15" s="4"/>
      <c r="DQ15" s="4"/>
      <c r="DR15" s="4"/>
      <c r="DS15" s="4"/>
      <c r="DT15" s="20"/>
      <c r="DU15" s="29"/>
      <c r="DV15" s="4"/>
    </row>
    <row r="16" ht="13.5" customHeight="1">
      <c r="A16" s="21"/>
      <c r="B16" s="35" t="s">
        <v>21</v>
      </c>
      <c r="C16" s="33">
        <v>5.0</v>
      </c>
      <c r="D16" s="16">
        <f t="shared" si="3"/>
        <v>3</v>
      </c>
      <c r="E16" s="24"/>
      <c r="F16" s="24"/>
      <c r="G16" s="28"/>
      <c r="H16" s="25"/>
      <c r="I16" s="25"/>
      <c r="J16" s="25"/>
      <c r="K16" s="25"/>
      <c r="L16" s="24"/>
      <c r="M16" s="24"/>
      <c r="N16" s="25"/>
      <c r="O16" s="25"/>
      <c r="P16" s="25"/>
      <c r="Q16" s="25"/>
      <c r="R16" s="25"/>
      <c r="S16" s="24"/>
      <c r="T16" s="24"/>
      <c r="U16" s="25"/>
      <c r="V16" s="25"/>
      <c r="W16" s="25"/>
      <c r="X16" s="25"/>
      <c r="Y16" s="25"/>
      <c r="Z16" s="24"/>
      <c r="AA16" s="24"/>
      <c r="AB16" s="25"/>
      <c r="AC16" s="25"/>
      <c r="AD16" s="25"/>
      <c r="AE16" s="25"/>
      <c r="AF16" s="25"/>
      <c r="AG16" s="24"/>
      <c r="AH16" s="24"/>
      <c r="AI16" s="26"/>
      <c r="AJ16" s="26"/>
      <c r="AK16" s="26"/>
      <c r="AL16" s="26"/>
      <c r="AM16" s="26"/>
      <c r="AN16" s="24"/>
      <c r="AO16" s="24"/>
      <c r="AP16" s="26"/>
      <c r="AQ16" s="25"/>
      <c r="AR16" s="25"/>
      <c r="AS16" s="25"/>
      <c r="AT16" s="25"/>
      <c r="AU16" s="24"/>
      <c r="AV16" s="24"/>
      <c r="AW16" s="25"/>
      <c r="AX16" s="25"/>
      <c r="AY16" s="25"/>
      <c r="AZ16" s="25"/>
      <c r="BA16" s="25"/>
      <c r="BB16" s="27"/>
      <c r="BC16" s="27"/>
      <c r="BD16" s="28"/>
      <c r="BE16" s="28"/>
      <c r="BF16" s="28"/>
      <c r="BG16" s="28"/>
      <c r="BH16" s="28"/>
      <c r="BI16" s="27"/>
      <c r="BJ16" s="27"/>
      <c r="BK16" s="28"/>
      <c r="BL16" s="28"/>
      <c r="BM16" s="28"/>
      <c r="BN16" s="28"/>
      <c r="BO16" s="28"/>
      <c r="BP16" s="27"/>
      <c r="BQ16" s="27"/>
      <c r="BR16" s="39"/>
      <c r="BS16" s="39"/>
      <c r="BT16" s="39"/>
      <c r="BU16" s="28"/>
      <c r="BV16" s="28"/>
      <c r="BW16" s="27"/>
      <c r="BX16" s="27"/>
      <c r="BY16" s="28"/>
      <c r="BZ16" s="28"/>
      <c r="CA16" s="28"/>
      <c r="CB16" s="28"/>
      <c r="CC16" s="28"/>
      <c r="CD16" s="27"/>
      <c r="CE16" s="27"/>
      <c r="CF16" s="28"/>
      <c r="CG16" s="28"/>
      <c r="CH16" s="28"/>
      <c r="CI16" s="28"/>
      <c r="CJ16" s="28"/>
      <c r="CK16" s="27"/>
      <c r="CL16" s="27"/>
      <c r="CM16" s="39"/>
      <c r="CN16" s="39"/>
      <c r="CO16" s="39"/>
      <c r="CP16" s="28"/>
      <c r="CQ16" s="28"/>
      <c r="CR16" s="27"/>
      <c r="CS16" s="29"/>
      <c r="CT16" s="4"/>
      <c r="CU16" s="30"/>
      <c r="CV16" s="4"/>
      <c r="CW16" s="4"/>
      <c r="CX16" s="4"/>
      <c r="CY16" s="20"/>
      <c r="CZ16" s="29"/>
      <c r="DA16" s="40">
        <v>1.0</v>
      </c>
      <c r="DB16" s="40">
        <v>1.0</v>
      </c>
      <c r="DC16" s="40">
        <v>1.0</v>
      </c>
      <c r="DD16" s="4"/>
      <c r="DE16" s="4"/>
      <c r="DF16" s="20"/>
      <c r="DG16" s="29"/>
      <c r="DH16" s="4"/>
      <c r="DI16" s="4"/>
      <c r="DJ16" s="4"/>
      <c r="DK16" s="4"/>
      <c r="DL16" s="4"/>
      <c r="DM16" s="20"/>
      <c r="DN16" s="29"/>
      <c r="DO16" s="4"/>
      <c r="DP16" s="4"/>
      <c r="DQ16" s="4"/>
      <c r="DR16" s="4"/>
      <c r="DS16" s="4"/>
      <c r="DT16" s="20"/>
      <c r="DU16" s="29"/>
      <c r="DV16" s="4"/>
    </row>
    <row r="17" ht="13.5" customHeight="1">
      <c r="A17" s="21"/>
      <c r="B17" s="31" t="s">
        <v>22</v>
      </c>
      <c r="C17" s="16">
        <f>SUM(C18:C19:C20)</f>
        <v>10</v>
      </c>
      <c r="D17" s="16">
        <f>SUM(D18:D20)</f>
        <v>16</v>
      </c>
      <c r="E17" s="24"/>
      <c r="F17" s="24"/>
      <c r="G17" s="25"/>
      <c r="H17" s="25"/>
      <c r="I17" s="25"/>
      <c r="J17" s="25"/>
      <c r="K17" s="25"/>
      <c r="L17" s="24"/>
      <c r="M17" s="24"/>
      <c r="N17" s="25"/>
      <c r="O17" s="25"/>
      <c r="P17" s="25"/>
      <c r="Q17" s="25"/>
      <c r="R17" s="25"/>
      <c r="S17" s="24"/>
      <c r="T17" s="24"/>
      <c r="U17" s="25"/>
      <c r="V17" s="25"/>
      <c r="W17" s="25"/>
      <c r="X17" s="25"/>
      <c r="Y17" s="25"/>
      <c r="Z17" s="24"/>
      <c r="AA17" s="24"/>
      <c r="AB17" s="25"/>
      <c r="AC17" s="25"/>
      <c r="AD17" s="25"/>
      <c r="AE17" s="25"/>
      <c r="AF17" s="25"/>
      <c r="AG17" s="24"/>
      <c r="AH17" s="24"/>
      <c r="AI17" s="26"/>
      <c r="AJ17" s="26"/>
      <c r="AK17" s="26"/>
      <c r="AL17" s="26"/>
      <c r="AM17" s="26"/>
      <c r="AN17" s="24"/>
      <c r="AO17" s="24"/>
      <c r="AP17" s="26"/>
      <c r="AQ17" s="25"/>
      <c r="AR17" s="25"/>
      <c r="AS17" s="25"/>
      <c r="AT17" s="25"/>
      <c r="AU17" s="24"/>
      <c r="AV17" s="24"/>
      <c r="AW17" s="25"/>
      <c r="AX17" s="25"/>
      <c r="AY17" s="25"/>
      <c r="AZ17" s="25"/>
      <c r="BA17" s="25"/>
      <c r="BB17" s="27"/>
      <c r="BC17" s="27"/>
      <c r="BD17" s="28"/>
      <c r="BE17" s="28"/>
      <c r="BF17" s="28"/>
      <c r="BG17" s="28"/>
      <c r="BH17" s="28"/>
      <c r="BI17" s="27"/>
      <c r="BJ17" s="27"/>
      <c r="BK17" s="28"/>
      <c r="BL17" s="28"/>
      <c r="BM17" s="28"/>
      <c r="BN17" s="28"/>
      <c r="BO17" s="28"/>
      <c r="BP17" s="27"/>
      <c r="BQ17" s="27"/>
      <c r="BR17" s="28"/>
      <c r="BS17" s="28"/>
      <c r="BT17" s="28"/>
      <c r="BU17" s="28"/>
      <c r="BV17" s="28"/>
      <c r="BW17" s="27"/>
      <c r="BX17" s="27"/>
      <c r="BY17" s="28"/>
      <c r="BZ17" s="28"/>
      <c r="CA17" s="28"/>
      <c r="CB17" s="28"/>
      <c r="CC17" s="28"/>
      <c r="CD17" s="27"/>
      <c r="CE17" s="27"/>
      <c r="CF17" s="28"/>
      <c r="CG17" s="28"/>
      <c r="CH17" s="28"/>
      <c r="CI17" s="28"/>
      <c r="CJ17" s="28"/>
      <c r="CK17" s="27"/>
      <c r="CL17" s="27"/>
      <c r="CM17" s="28"/>
      <c r="CN17" s="28"/>
      <c r="CO17" s="28"/>
      <c r="CP17" s="28"/>
      <c r="CQ17" s="28"/>
      <c r="CR17" s="27"/>
      <c r="CS17" s="29"/>
      <c r="CT17" s="4"/>
      <c r="CU17" s="30"/>
      <c r="CV17" s="4"/>
      <c r="CW17" s="4"/>
      <c r="CX17" s="4"/>
      <c r="CY17" s="20"/>
      <c r="CZ17" s="29"/>
      <c r="DA17" s="4"/>
      <c r="DB17" s="4"/>
      <c r="DC17" s="4"/>
      <c r="DD17" s="4"/>
      <c r="DE17" s="4"/>
      <c r="DF17" s="20"/>
      <c r="DG17" s="29"/>
      <c r="DH17" s="4"/>
      <c r="DI17" s="4"/>
      <c r="DJ17" s="4"/>
      <c r="DK17" s="4"/>
      <c r="DL17" s="4"/>
      <c r="DM17" s="20"/>
      <c r="DN17" s="29"/>
      <c r="DO17" s="4"/>
      <c r="DP17" s="4"/>
      <c r="DQ17" s="4"/>
      <c r="DR17" s="4"/>
      <c r="DS17" s="4"/>
      <c r="DT17" s="20"/>
      <c r="DU17" s="29"/>
      <c r="DV17" s="4"/>
    </row>
    <row r="18" ht="13.5" customHeight="1">
      <c r="A18" s="21"/>
      <c r="B18" s="35" t="s">
        <v>23</v>
      </c>
      <c r="C18" s="33">
        <v>3.0</v>
      </c>
      <c r="D18" s="16">
        <f t="shared" ref="D18:D20" si="4">SUM(E18:DV18)</f>
        <v>3</v>
      </c>
      <c r="E18" s="24"/>
      <c r="F18" s="24"/>
      <c r="G18" s="25"/>
      <c r="H18" s="25"/>
      <c r="I18" s="25"/>
      <c r="J18" s="25"/>
      <c r="K18" s="25"/>
      <c r="L18" s="24"/>
      <c r="M18" s="24"/>
      <c r="N18" s="25"/>
      <c r="O18" s="25"/>
      <c r="P18" s="25"/>
      <c r="Q18" s="25"/>
      <c r="R18" s="25"/>
      <c r="S18" s="24"/>
      <c r="T18" s="24"/>
      <c r="U18" s="25"/>
      <c r="V18" s="25"/>
      <c r="W18" s="25"/>
      <c r="X18" s="25"/>
      <c r="Y18" s="25"/>
      <c r="Z18" s="24"/>
      <c r="AA18" s="24"/>
      <c r="AB18" s="25"/>
      <c r="AC18" s="25"/>
      <c r="AD18" s="25"/>
      <c r="AE18" s="25"/>
      <c r="AF18" s="25"/>
      <c r="AG18" s="24"/>
      <c r="AH18" s="24"/>
      <c r="AI18" s="26"/>
      <c r="AJ18" s="26"/>
      <c r="AK18" s="26"/>
      <c r="AL18" s="26"/>
      <c r="AM18" s="26"/>
      <c r="AN18" s="24"/>
      <c r="AO18" s="24"/>
      <c r="AP18" s="26"/>
      <c r="AQ18" s="25"/>
      <c r="AR18" s="25"/>
      <c r="AS18" s="25"/>
      <c r="AT18" s="25"/>
      <c r="AU18" s="24"/>
      <c r="AV18" s="24"/>
      <c r="AW18" s="25"/>
      <c r="AX18" s="25"/>
      <c r="AY18" s="25"/>
      <c r="AZ18" s="25"/>
      <c r="BA18" s="25"/>
      <c r="BB18" s="27"/>
      <c r="BC18" s="27"/>
      <c r="BD18" s="28"/>
      <c r="BE18" s="28"/>
      <c r="BF18" s="28"/>
      <c r="BG18" s="28"/>
      <c r="BH18" s="28"/>
      <c r="BI18" s="27"/>
      <c r="BJ18" s="27"/>
      <c r="BK18" s="28"/>
      <c r="BL18" s="28"/>
      <c r="BM18" s="28"/>
      <c r="BN18" s="28"/>
      <c r="BO18" s="28"/>
      <c r="BP18" s="27"/>
      <c r="BQ18" s="27"/>
      <c r="BR18" s="28"/>
      <c r="BS18" s="28"/>
      <c r="BT18" s="28"/>
      <c r="BU18" s="28"/>
      <c r="BV18" s="28"/>
      <c r="BW18" s="27"/>
      <c r="BX18" s="27"/>
      <c r="BY18" s="28"/>
      <c r="BZ18" s="39"/>
      <c r="CA18" s="39"/>
      <c r="CB18" s="39"/>
      <c r="CC18" s="28"/>
      <c r="CD18" s="27"/>
      <c r="CE18" s="27"/>
      <c r="CF18" s="28"/>
      <c r="CG18" s="28"/>
      <c r="CH18" s="28"/>
      <c r="CI18" s="28"/>
      <c r="CJ18" s="28"/>
      <c r="CK18" s="27"/>
      <c r="CL18" s="27"/>
      <c r="CM18" s="28"/>
      <c r="CN18" s="28"/>
      <c r="CO18" s="28"/>
      <c r="CP18" s="28"/>
      <c r="CQ18" s="28"/>
      <c r="CR18" s="27"/>
      <c r="CS18" s="29"/>
      <c r="CT18" s="40"/>
      <c r="CU18" s="41"/>
      <c r="CV18" s="40"/>
      <c r="CW18" s="4"/>
      <c r="CX18" s="4"/>
      <c r="CY18" s="20"/>
      <c r="CZ18" s="29"/>
      <c r="DA18" s="4"/>
      <c r="DB18" s="4"/>
      <c r="DC18" s="40">
        <v>1.0</v>
      </c>
      <c r="DD18" s="40">
        <v>1.0</v>
      </c>
      <c r="DE18" s="40">
        <v>1.0</v>
      </c>
      <c r="DF18" s="20"/>
      <c r="DG18" s="29"/>
      <c r="DH18" s="4"/>
      <c r="DI18" s="4"/>
      <c r="DJ18" s="4"/>
      <c r="DK18" s="4"/>
      <c r="DL18" s="4"/>
      <c r="DM18" s="20"/>
      <c r="DN18" s="29"/>
      <c r="DO18" s="4"/>
      <c r="DP18" s="4"/>
      <c r="DQ18" s="4"/>
      <c r="DR18" s="4"/>
      <c r="DS18" s="4"/>
      <c r="DT18" s="20"/>
      <c r="DU18" s="29"/>
      <c r="DV18" s="4"/>
    </row>
    <row r="19" ht="13.5" customHeight="1">
      <c r="A19" s="21"/>
      <c r="B19" s="35" t="s">
        <v>24</v>
      </c>
      <c r="C19" s="33">
        <v>4.0</v>
      </c>
      <c r="D19" s="16">
        <f t="shared" si="4"/>
        <v>10</v>
      </c>
      <c r="E19" s="17"/>
      <c r="F19" s="17"/>
      <c r="G19" s="16"/>
      <c r="H19" s="16"/>
      <c r="I19" s="16"/>
      <c r="J19" s="16"/>
      <c r="K19" s="16"/>
      <c r="L19" s="17"/>
      <c r="M19" s="17"/>
      <c r="N19" s="16"/>
      <c r="O19" s="16"/>
      <c r="P19" s="16"/>
      <c r="Q19" s="16"/>
      <c r="R19" s="16"/>
      <c r="S19" s="17"/>
      <c r="T19" s="17"/>
      <c r="U19" s="16"/>
      <c r="V19" s="16"/>
      <c r="W19" s="16"/>
      <c r="X19" s="16"/>
      <c r="Y19" s="16"/>
      <c r="Z19" s="17"/>
      <c r="AA19" s="17"/>
      <c r="AB19" s="16"/>
      <c r="AC19" s="16"/>
      <c r="AD19" s="16"/>
      <c r="AE19" s="16"/>
      <c r="AF19" s="16"/>
      <c r="AG19" s="17"/>
      <c r="AH19" s="17"/>
      <c r="AI19" s="18"/>
      <c r="AJ19" s="18"/>
      <c r="AK19" s="18"/>
      <c r="AL19" s="18"/>
      <c r="AM19" s="18"/>
      <c r="AN19" s="17"/>
      <c r="AO19" s="17"/>
      <c r="AP19" s="18"/>
      <c r="AQ19" s="16"/>
      <c r="AR19" s="16"/>
      <c r="AS19" s="16"/>
      <c r="AT19" s="16"/>
      <c r="AU19" s="17"/>
      <c r="AV19" s="17"/>
      <c r="AW19" s="16"/>
      <c r="AX19" s="16"/>
      <c r="AY19" s="16"/>
      <c r="AZ19" s="16"/>
      <c r="BA19" s="16"/>
      <c r="BB19" s="19"/>
      <c r="BC19" s="19"/>
      <c r="BD19" s="3"/>
      <c r="BE19" s="3"/>
      <c r="BF19" s="3"/>
      <c r="BG19" s="3"/>
      <c r="BH19" s="3"/>
      <c r="BI19" s="19"/>
      <c r="BJ19" s="19"/>
      <c r="BK19" s="3"/>
      <c r="BL19" s="3"/>
      <c r="BM19" s="3"/>
      <c r="BN19" s="3"/>
      <c r="BO19" s="3"/>
      <c r="BP19" s="19"/>
      <c r="BQ19" s="19"/>
      <c r="BR19" s="3"/>
      <c r="BS19" s="3"/>
      <c r="BT19" s="3"/>
      <c r="BU19" s="3"/>
      <c r="BV19" s="3"/>
      <c r="BW19" s="19"/>
      <c r="BX19" s="19"/>
      <c r="BY19" s="3"/>
      <c r="BZ19" s="3"/>
      <c r="CA19" s="3"/>
      <c r="CB19" s="3"/>
      <c r="CC19" s="3"/>
      <c r="CD19" s="19"/>
      <c r="CE19" s="19"/>
      <c r="CF19" s="42"/>
      <c r="CG19" s="42"/>
      <c r="CH19" s="42"/>
      <c r="CI19" s="3"/>
      <c r="CJ19" s="3"/>
      <c r="CK19" s="19"/>
      <c r="CL19" s="19"/>
      <c r="CM19" s="42"/>
      <c r="CN19" s="42"/>
      <c r="CO19" s="3"/>
      <c r="CP19" s="3"/>
      <c r="CQ19" s="3"/>
      <c r="CR19" s="19"/>
      <c r="CS19" s="20"/>
      <c r="CT19" s="4"/>
      <c r="CU19" s="4"/>
      <c r="CV19" s="4"/>
      <c r="CW19" s="4"/>
      <c r="CX19" s="4"/>
      <c r="CY19" s="20"/>
      <c r="CZ19" s="20"/>
      <c r="DA19" s="4"/>
      <c r="DB19" s="4"/>
      <c r="DC19" s="40"/>
      <c r="DD19" s="40"/>
      <c r="DE19" s="40"/>
      <c r="DF19" s="20"/>
      <c r="DG19" s="20"/>
      <c r="DH19" s="40">
        <v>2.0</v>
      </c>
      <c r="DI19" s="40">
        <v>2.0</v>
      </c>
      <c r="DJ19" s="40">
        <v>2.0</v>
      </c>
      <c r="DK19" s="40">
        <v>2.0</v>
      </c>
      <c r="DL19" s="40">
        <v>2.0</v>
      </c>
      <c r="DM19" s="20"/>
      <c r="DN19" s="20"/>
      <c r="DO19" s="4"/>
      <c r="DP19" s="4"/>
      <c r="DQ19" s="4"/>
      <c r="DR19" s="4"/>
      <c r="DS19" s="4"/>
      <c r="DT19" s="20"/>
      <c r="DU19" s="20"/>
      <c r="DV19" s="4"/>
    </row>
    <row r="20" ht="13.5" customHeight="1">
      <c r="A20" s="21"/>
      <c r="B20" s="35" t="s">
        <v>25</v>
      </c>
      <c r="C20" s="33">
        <v>3.0</v>
      </c>
      <c r="D20" s="16">
        <f t="shared" si="4"/>
        <v>3</v>
      </c>
      <c r="E20" s="17"/>
      <c r="F20" s="17"/>
      <c r="G20" s="16"/>
      <c r="H20" s="16"/>
      <c r="I20" s="16"/>
      <c r="J20" s="16"/>
      <c r="K20" s="16"/>
      <c r="L20" s="17"/>
      <c r="M20" s="17"/>
      <c r="N20" s="16"/>
      <c r="O20" s="16"/>
      <c r="P20" s="16"/>
      <c r="Q20" s="16"/>
      <c r="R20" s="16"/>
      <c r="S20" s="17"/>
      <c r="T20" s="17"/>
      <c r="U20" s="16"/>
      <c r="V20" s="16"/>
      <c r="W20" s="16"/>
      <c r="X20" s="16"/>
      <c r="Y20" s="16"/>
      <c r="Z20" s="17"/>
      <c r="AA20" s="17"/>
      <c r="AB20" s="16"/>
      <c r="AC20" s="16"/>
      <c r="AD20" s="16"/>
      <c r="AE20" s="16"/>
      <c r="AF20" s="16"/>
      <c r="AG20" s="17"/>
      <c r="AH20" s="17"/>
      <c r="AI20" s="18"/>
      <c r="AJ20" s="18"/>
      <c r="AK20" s="18"/>
      <c r="AL20" s="18"/>
      <c r="AM20" s="18"/>
      <c r="AN20" s="17"/>
      <c r="AO20" s="17"/>
      <c r="AP20" s="18"/>
      <c r="AQ20" s="16"/>
      <c r="AR20" s="16"/>
      <c r="AS20" s="16"/>
      <c r="AT20" s="16"/>
      <c r="AU20" s="17"/>
      <c r="AV20" s="17"/>
      <c r="AW20" s="16"/>
      <c r="AX20" s="16"/>
      <c r="AY20" s="16"/>
      <c r="AZ20" s="16"/>
      <c r="BA20" s="16"/>
      <c r="BB20" s="27"/>
      <c r="BC20" s="27"/>
      <c r="BD20" s="28"/>
      <c r="BE20" s="28"/>
      <c r="BF20" s="28"/>
      <c r="BG20" s="28"/>
      <c r="BH20" s="28"/>
      <c r="BI20" s="27"/>
      <c r="BJ20" s="27"/>
      <c r="BK20" s="28"/>
      <c r="BL20" s="28"/>
      <c r="BM20" s="28"/>
      <c r="BN20" s="28"/>
      <c r="BO20" s="28"/>
      <c r="BP20" s="27"/>
      <c r="BQ20" s="27"/>
      <c r="BR20" s="28"/>
      <c r="BS20" s="28"/>
      <c r="BT20" s="28"/>
      <c r="BU20" s="28"/>
      <c r="BV20" s="28"/>
      <c r="BW20" s="27"/>
      <c r="BX20" s="27"/>
      <c r="BY20" s="28"/>
      <c r="BZ20" s="28"/>
      <c r="CA20" s="28"/>
      <c r="CB20" s="28"/>
      <c r="CC20" s="28"/>
      <c r="CD20" s="27"/>
      <c r="CE20" s="27"/>
      <c r="CF20" s="28"/>
      <c r="CG20" s="28"/>
      <c r="CH20" s="28"/>
      <c r="CI20" s="28"/>
      <c r="CJ20" s="28"/>
      <c r="CK20" s="27"/>
      <c r="CL20" s="27"/>
      <c r="CM20" s="28"/>
      <c r="CN20" s="28"/>
      <c r="CO20" s="28"/>
      <c r="CP20" s="28"/>
      <c r="CQ20" s="28"/>
      <c r="CR20" s="27"/>
      <c r="CS20" s="29"/>
      <c r="CT20" s="4"/>
      <c r="CU20" s="30"/>
      <c r="CV20" s="4"/>
      <c r="CW20" s="4"/>
      <c r="CX20" s="4"/>
      <c r="CY20" s="20"/>
      <c r="CZ20" s="29"/>
      <c r="DA20" s="4"/>
      <c r="DB20" s="4"/>
      <c r="DC20" s="4"/>
      <c r="DD20" s="4"/>
      <c r="DE20" s="4"/>
      <c r="DF20" s="20"/>
      <c r="DG20" s="29"/>
      <c r="DH20" s="4"/>
      <c r="DI20" s="4"/>
      <c r="DJ20" s="4"/>
      <c r="DK20" s="4"/>
      <c r="DL20" s="4"/>
      <c r="DM20" s="20"/>
      <c r="DN20" s="29"/>
      <c r="DO20" s="40">
        <v>2.0</v>
      </c>
      <c r="DP20" s="40">
        <v>1.0</v>
      </c>
      <c r="DQ20" s="40"/>
      <c r="DR20" s="40"/>
      <c r="DS20" s="40"/>
      <c r="DT20" s="20"/>
      <c r="DU20" s="29"/>
      <c r="DV20" s="4"/>
    </row>
    <row r="21" ht="13.5" customHeight="1">
      <c r="A21" s="37" t="s">
        <v>26</v>
      </c>
      <c r="B21" s="22" t="s">
        <v>27</v>
      </c>
      <c r="C21" s="23"/>
      <c r="D21" s="23">
        <f t="shared" ref="D21:D22" si="5">D22</f>
        <v>5</v>
      </c>
      <c r="E21" s="24"/>
      <c r="F21" s="24"/>
      <c r="G21" s="25"/>
      <c r="H21" s="25"/>
      <c r="I21" s="25"/>
      <c r="J21" s="25"/>
      <c r="K21" s="25"/>
      <c r="L21" s="24"/>
      <c r="M21" s="24"/>
      <c r="N21" s="25"/>
      <c r="O21" s="25"/>
      <c r="P21" s="25"/>
      <c r="Q21" s="25"/>
      <c r="R21" s="25"/>
      <c r="S21" s="24"/>
      <c r="T21" s="24"/>
      <c r="U21" s="25"/>
      <c r="V21" s="25"/>
      <c r="W21" s="25"/>
      <c r="X21" s="25"/>
      <c r="Y21" s="25"/>
      <c r="Z21" s="24"/>
      <c r="AA21" s="24"/>
      <c r="AB21" s="25"/>
      <c r="AC21" s="25"/>
      <c r="AD21" s="25"/>
      <c r="AE21" s="25"/>
      <c r="AF21" s="25"/>
      <c r="AG21" s="24"/>
      <c r="AH21" s="24"/>
      <c r="AI21" s="26"/>
      <c r="AJ21" s="26"/>
      <c r="AK21" s="26"/>
      <c r="AL21" s="26"/>
      <c r="AM21" s="26"/>
      <c r="AN21" s="24"/>
      <c r="AO21" s="24"/>
      <c r="AP21" s="26"/>
      <c r="AQ21" s="25"/>
      <c r="AR21" s="25"/>
      <c r="AS21" s="25"/>
      <c r="AT21" s="25"/>
      <c r="AU21" s="24"/>
      <c r="AV21" s="24"/>
      <c r="AW21" s="25"/>
      <c r="AX21" s="25"/>
      <c r="AY21" s="25"/>
      <c r="AZ21" s="25"/>
      <c r="BA21" s="25"/>
      <c r="BB21" s="19"/>
      <c r="BC21" s="19"/>
      <c r="BD21" s="3"/>
      <c r="BE21" s="3"/>
      <c r="BF21" s="3"/>
      <c r="BG21" s="3"/>
      <c r="BH21" s="3"/>
      <c r="BI21" s="19"/>
      <c r="BJ21" s="19"/>
      <c r="BK21" s="3"/>
      <c r="BL21" s="3"/>
      <c r="BM21" s="3"/>
      <c r="BN21" s="3"/>
      <c r="BO21" s="3"/>
      <c r="BP21" s="19"/>
      <c r="BQ21" s="19"/>
      <c r="BR21" s="3"/>
      <c r="BS21" s="3"/>
      <c r="BT21" s="3"/>
      <c r="BU21" s="3"/>
      <c r="BV21" s="3"/>
      <c r="BW21" s="19"/>
      <c r="BX21" s="19"/>
      <c r="BY21" s="3"/>
      <c r="BZ21" s="3"/>
      <c r="CA21" s="3"/>
      <c r="CB21" s="3"/>
      <c r="CC21" s="3"/>
      <c r="CD21" s="19"/>
      <c r="CE21" s="19"/>
      <c r="CF21" s="3"/>
      <c r="CG21" s="3"/>
      <c r="CH21" s="3"/>
      <c r="CI21" s="3"/>
      <c r="CJ21" s="3"/>
      <c r="CK21" s="19"/>
      <c r="CL21" s="19"/>
      <c r="CM21" s="3"/>
      <c r="CN21" s="3"/>
      <c r="CO21" s="3"/>
      <c r="CP21" s="3"/>
      <c r="CQ21" s="3"/>
      <c r="CR21" s="19"/>
      <c r="CS21" s="20"/>
      <c r="CT21" s="4"/>
      <c r="CU21" s="4"/>
      <c r="CV21" s="4"/>
      <c r="CW21" s="4"/>
      <c r="CX21" s="4"/>
      <c r="CY21" s="20"/>
      <c r="CZ21" s="20"/>
      <c r="DA21" s="4"/>
      <c r="DB21" s="4"/>
      <c r="DC21" s="4"/>
      <c r="DD21" s="4"/>
      <c r="DE21" s="4"/>
      <c r="DF21" s="20"/>
      <c r="DG21" s="20"/>
      <c r="DH21" s="4"/>
      <c r="DI21" s="4"/>
      <c r="DJ21" s="4"/>
      <c r="DK21" s="4"/>
      <c r="DL21" s="4"/>
      <c r="DM21" s="20"/>
      <c r="DN21" s="20"/>
      <c r="DO21" s="4"/>
      <c r="DP21" s="4"/>
      <c r="DQ21" s="4"/>
      <c r="DR21" s="4"/>
      <c r="DS21" s="4"/>
      <c r="DT21" s="20"/>
      <c r="DU21" s="20"/>
      <c r="DV21" s="4"/>
    </row>
    <row r="22" ht="13.5" customHeight="1">
      <c r="A22" s="21"/>
      <c r="B22" s="43" t="s">
        <v>28</v>
      </c>
      <c r="C22" s="16">
        <f>SUM(C23)</f>
        <v>60</v>
      </c>
      <c r="D22" s="16">
        <f t="shared" si="5"/>
        <v>5</v>
      </c>
      <c r="E22" s="24"/>
      <c r="F22" s="24"/>
      <c r="G22" s="25"/>
      <c r="H22" s="25"/>
      <c r="I22" s="25"/>
      <c r="J22" s="25"/>
      <c r="K22" s="25"/>
      <c r="L22" s="24"/>
      <c r="M22" s="24"/>
      <c r="N22" s="25"/>
      <c r="O22" s="25"/>
      <c r="P22" s="25"/>
      <c r="Q22" s="25"/>
      <c r="R22" s="25"/>
      <c r="S22" s="24"/>
      <c r="T22" s="24"/>
      <c r="U22" s="25"/>
      <c r="V22" s="25"/>
      <c r="W22" s="25"/>
      <c r="X22" s="25"/>
      <c r="Y22" s="25"/>
      <c r="Z22" s="24"/>
      <c r="AA22" s="24"/>
      <c r="AB22" s="25"/>
      <c r="AC22" s="25"/>
      <c r="AD22" s="25"/>
      <c r="AE22" s="25"/>
      <c r="AF22" s="25"/>
      <c r="AG22" s="24"/>
      <c r="AH22" s="24"/>
      <c r="AI22" s="26"/>
      <c r="AJ22" s="26"/>
      <c r="AK22" s="26"/>
      <c r="AL22" s="26"/>
      <c r="AM22" s="26"/>
      <c r="AN22" s="24"/>
      <c r="AO22" s="24"/>
      <c r="AP22" s="26"/>
      <c r="AQ22" s="25"/>
      <c r="AR22" s="25"/>
      <c r="AS22" s="25"/>
      <c r="AT22" s="25"/>
      <c r="AU22" s="24"/>
      <c r="AV22" s="24"/>
      <c r="AW22" s="25"/>
      <c r="AX22" s="25"/>
      <c r="AY22" s="25"/>
      <c r="AZ22" s="25"/>
      <c r="BA22" s="25"/>
      <c r="BB22" s="19"/>
      <c r="BC22" s="19"/>
      <c r="BD22" s="3"/>
      <c r="BE22" s="3"/>
      <c r="BF22" s="3"/>
      <c r="BG22" s="3"/>
      <c r="BH22" s="3"/>
      <c r="BI22" s="19"/>
      <c r="BJ22" s="19"/>
      <c r="BK22" s="3"/>
      <c r="BL22" s="3"/>
      <c r="BM22" s="3"/>
      <c r="BN22" s="3"/>
      <c r="BO22" s="3"/>
      <c r="BP22" s="19"/>
      <c r="BQ22" s="19"/>
      <c r="BR22" s="3"/>
      <c r="BS22" s="3"/>
      <c r="BT22" s="3"/>
      <c r="BU22" s="3"/>
      <c r="BV22" s="3"/>
      <c r="BW22" s="19"/>
      <c r="BX22" s="19"/>
      <c r="BY22" s="3"/>
      <c r="BZ22" s="3"/>
      <c r="CA22" s="3"/>
      <c r="CB22" s="3"/>
      <c r="CC22" s="3"/>
      <c r="CD22" s="19"/>
      <c r="CE22" s="19"/>
      <c r="CF22" s="3"/>
      <c r="CG22" s="3"/>
      <c r="CH22" s="3"/>
      <c r="CI22" s="3"/>
      <c r="CJ22" s="3"/>
      <c r="CK22" s="19"/>
      <c r="CL22" s="19"/>
      <c r="CM22" s="3"/>
      <c r="CN22" s="3"/>
      <c r="CO22" s="3"/>
      <c r="CP22" s="3"/>
      <c r="CQ22" s="3"/>
      <c r="CR22" s="19"/>
      <c r="CS22" s="20"/>
      <c r="CT22" s="4"/>
      <c r="CU22" s="4"/>
      <c r="CV22" s="4"/>
      <c r="CW22" s="4"/>
      <c r="CX22" s="4"/>
      <c r="CY22" s="20"/>
      <c r="CZ22" s="20"/>
      <c r="DA22" s="4"/>
      <c r="DB22" s="4"/>
      <c r="DC22" s="4"/>
      <c r="DD22" s="4"/>
      <c r="DE22" s="4"/>
      <c r="DF22" s="20"/>
      <c r="DG22" s="20"/>
      <c r="DH22" s="4"/>
      <c r="DI22" s="4"/>
      <c r="DJ22" s="4"/>
      <c r="DK22" s="4"/>
      <c r="DL22" s="4"/>
      <c r="DM22" s="20"/>
      <c r="DN22" s="20"/>
      <c r="DO22" s="4"/>
      <c r="DP22" s="4"/>
      <c r="DQ22" s="4"/>
      <c r="DR22" s="4"/>
      <c r="DS22" s="4"/>
      <c r="DT22" s="20"/>
      <c r="DU22" s="20"/>
      <c r="DV22" s="4"/>
    </row>
    <row r="23" ht="13.5" customHeight="1">
      <c r="A23" s="21"/>
      <c r="B23" s="36" t="s">
        <v>28</v>
      </c>
      <c r="C23" s="33">
        <v>60.0</v>
      </c>
      <c r="D23" s="16">
        <f>SUM(E23:DV23)</f>
        <v>5</v>
      </c>
      <c r="E23" s="24"/>
      <c r="F23" s="24"/>
      <c r="G23" s="25"/>
      <c r="H23" s="25"/>
      <c r="I23" s="25"/>
      <c r="J23" s="25"/>
      <c r="K23" s="25"/>
      <c r="L23" s="24"/>
      <c r="M23" s="24"/>
      <c r="N23" s="25"/>
      <c r="O23" s="25"/>
      <c r="P23" s="25"/>
      <c r="Q23" s="25"/>
      <c r="R23" s="25"/>
      <c r="S23" s="24"/>
      <c r="T23" s="24"/>
      <c r="U23" s="25"/>
      <c r="V23" s="25"/>
      <c r="W23" s="25"/>
      <c r="X23" s="25"/>
      <c r="Y23" s="25"/>
      <c r="Z23" s="24"/>
      <c r="AA23" s="24"/>
      <c r="AB23" s="25"/>
      <c r="AC23" s="25"/>
      <c r="AD23" s="25"/>
      <c r="AE23" s="25"/>
      <c r="AF23" s="25"/>
      <c r="AG23" s="24"/>
      <c r="AH23" s="24"/>
      <c r="AI23" s="26"/>
      <c r="AJ23" s="26"/>
      <c r="AK23" s="26"/>
      <c r="AL23" s="26"/>
      <c r="AM23" s="26"/>
      <c r="AN23" s="24"/>
      <c r="AO23" s="24"/>
      <c r="AP23" s="26"/>
      <c r="AQ23" s="25"/>
      <c r="AR23" s="25"/>
      <c r="AS23" s="25"/>
      <c r="AT23" s="25"/>
      <c r="AU23" s="24"/>
      <c r="AV23" s="24"/>
      <c r="AW23" s="25"/>
      <c r="AX23" s="25"/>
      <c r="AY23" s="25"/>
      <c r="AZ23" s="25"/>
      <c r="BA23" s="25"/>
      <c r="BB23" s="19"/>
      <c r="BC23" s="19"/>
      <c r="BD23" s="3"/>
      <c r="BE23" s="3"/>
      <c r="BF23" s="3"/>
      <c r="BG23" s="3"/>
      <c r="BH23" s="3"/>
      <c r="BI23" s="19"/>
      <c r="BJ23" s="19"/>
      <c r="BK23" s="3"/>
      <c r="BL23" s="3"/>
      <c r="BM23" s="3"/>
      <c r="BN23" s="3"/>
      <c r="BO23" s="3"/>
      <c r="BP23" s="19"/>
      <c r="BQ23" s="19"/>
      <c r="BR23" s="3"/>
      <c r="BS23" s="3"/>
      <c r="BT23" s="3"/>
      <c r="BU23" s="3"/>
      <c r="BV23" s="3"/>
      <c r="BW23" s="19"/>
      <c r="BX23" s="19"/>
      <c r="BY23" s="3"/>
      <c r="BZ23" s="3"/>
      <c r="CA23" s="3"/>
      <c r="CB23" s="3"/>
      <c r="CC23" s="3"/>
      <c r="CD23" s="19"/>
      <c r="CE23" s="19"/>
      <c r="CF23" s="3"/>
      <c r="CG23" s="3"/>
      <c r="CH23" s="3"/>
      <c r="CI23" s="3"/>
      <c r="CJ23" s="3"/>
      <c r="CK23" s="19"/>
      <c r="CL23" s="19"/>
      <c r="CM23" s="3"/>
      <c r="CN23" s="3"/>
      <c r="CO23" s="3"/>
      <c r="CP23" s="3"/>
      <c r="CQ23" s="3"/>
      <c r="CR23" s="19"/>
      <c r="CS23" s="20"/>
      <c r="CT23" s="4"/>
      <c r="CU23" s="4"/>
      <c r="CV23" s="4"/>
      <c r="CW23" s="4"/>
      <c r="CX23" s="4"/>
      <c r="CY23" s="20"/>
      <c r="CZ23" s="20"/>
      <c r="DA23" s="4"/>
      <c r="DB23" s="4"/>
      <c r="DC23" s="4"/>
      <c r="DD23" s="4"/>
      <c r="DE23" s="4"/>
      <c r="DF23" s="20"/>
      <c r="DG23" s="20"/>
      <c r="DH23" s="4"/>
      <c r="DI23" s="4"/>
      <c r="DJ23" s="4"/>
      <c r="DK23" s="4"/>
      <c r="DL23" s="4"/>
      <c r="DM23" s="20"/>
      <c r="DN23" s="20"/>
      <c r="DO23" s="4"/>
      <c r="DP23" s="4"/>
      <c r="DQ23" s="40">
        <v>1.0</v>
      </c>
      <c r="DR23" s="40">
        <v>1.0</v>
      </c>
      <c r="DS23" s="40">
        <v>1.0</v>
      </c>
      <c r="DT23" s="20"/>
      <c r="DU23" s="20"/>
      <c r="DV23" s="40">
        <v>2.0</v>
      </c>
    </row>
    <row r="24" ht="13.5" customHeight="1">
      <c r="A24" s="1"/>
      <c r="B24" s="4" t="s">
        <v>29</v>
      </c>
      <c r="C24" s="3">
        <f>sum(C22+C17+C13+C8+C6)</f>
        <v>108</v>
      </c>
      <c r="D24" s="3">
        <f>D6+D8+D13+D17+D21</f>
        <v>100</v>
      </c>
      <c r="E24" s="44">
        <f t="shared" ref="E24:AH24" si="6">SUM(E4:E23)</f>
        <v>0</v>
      </c>
      <c r="F24" s="44">
        <f t="shared" si="6"/>
        <v>0</v>
      </c>
      <c r="G24" s="44">
        <f t="shared" si="6"/>
        <v>1</v>
      </c>
      <c r="H24" s="44">
        <f t="shared" si="6"/>
        <v>1</v>
      </c>
      <c r="I24" s="44">
        <f t="shared" si="6"/>
        <v>2</v>
      </c>
      <c r="J24" s="44">
        <f t="shared" si="6"/>
        <v>2</v>
      </c>
      <c r="K24" s="44">
        <f t="shared" si="6"/>
        <v>3</v>
      </c>
      <c r="L24" s="44">
        <f t="shared" si="6"/>
        <v>0</v>
      </c>
      <c r="M24" s="44">
        <f t="shared" si="6"/>
        <v>0</v>
      </c>
      <c r="N24" s="44">
        <f t="shared" si="6"/>
        <v>1</v>
      </c>
      <c r="O24" s="44">
        <f t="shared" si="6"/>
        <v>1</v>
      </c>
      <c r="P24" s="44">
        <f t="shared" si="6"/>
        <v>2</v>
      </c>
      <c r="Q24" s="44">
        <f t="shared" si="6"/>
        <v>2</v>
      </c>
      <c r="R24" s="44">
        <f t="shared" si="6"/>
        <v>2</v>
      </c>
      <c r="S24" s="44">
        <f t="shared" si="6"/>
        <v>0</v>
      </c>
      <c r="T24" s="44">
        <f t="shared" si="6"/>
        <v>0</v>
      </c>
      <c r="U24" s="44">
        <f t="shared" si="6"/>
        <v>2</v>
      </c>
      <c r="V24" s="44">
        <f t="shared" si="6"/>
        <v>2</v>
      </c>
      <c r="W24" s="44">
        <f t="shared" si="6"/>
        <v>2</v>
      </c>
      <c r="X24" s="44">
        <f t="shared" si="6"/>
        <v>1</v>
      </c>
      <c r="Y24" s="44">
        <f t="shared" si="6"/>
        <v>1</v>
      </c>
      <c r="Z24" s="44">
        <f t="shared" si="6"/>
        <v>0</v>
      </c>
      <c r="AA24" s="44">
        <f t="shared" si="6"/>
        <v>0</v>
      </c>
      <c r="AB24" s="44">
        <f t="shared" si="6"/>
        <v>2</v>
      </c>
      <c r="AC24" s="44">
        <f t="shared" si="6"/>
        <v>2</v>
      </c>
      <c r="AD24" s="44">
        <f t="shared" si="6"/>
        <v>2</v>
      </c>
      <c r="AE24" s="44">
        <f t="shared" si="6"/>
        <v>1</v>
      </c>
      <c r="AF24" s="44">
        <f t="shared" si="6"/>
        <v>1</v>
      </c>
      <c r="AG24" s="44">
        <f t="shared" si="6"/>
        <v>0</v>
      </c>
      <c r="AH24" s="44">
        <f t="shared" si="6"/>
        <v>0</v>
      </c>
      <c r="AI24" s="44"/>
      <c r="AJ24" s="44">
        <f t="shared" ref="AJ24:DV24" si="7">SUM(AJ4:AJ23)</f>
        <v>0</v>
      </c>
      <c r="AK24" s="44">
        <f t="shared" si="7"/>
        <v>0</v>
      </c>
      <c r="AL24" s="44">
        <f t="shared" si="7"/>
        <v>0</v>
      </c>
      <c r="AM24" s="44">
        <f t="shared" si="7"/>
        <v>0</v>
      </c>
      <c r="AN24" s="44">
        <f t="shared" si="7"/>
        <v>0</v>
      </c>
      <c r="AO24" s="44">
        <f t="shared" si="7"/>
        <v>0</v>
      </c>
      <c r="AP24" s="44">
        <f t="shared" si="7"/>
        <v>0</v>
      </c>
      <c r="AQ24" s="44">
        <f t="shared" si="7"/>
        <v>1</v>
      </c>
      <c r="AR24" s="44">
        <f t="shared" si="7"/>
        <v>1</v>
      </c>
      <c r="AS24" s="44">
        <f t="shared" si="7"/>
        <v>1</v>
      </c>
      <c r="AT24" s="44">
        <f t="shared" si="7"/>
        <v>1</v>
      </c>
      <c r="AU24" s="44">
        <f t="shared" si="7"/>
        <v>0</v>
      </c>
      <c r="AV24" s="44">
        <f t="shared" si="7"/>
        <v>0</v>
      </c>
      <c r="AW24" s="44">
        <f t="shared" si="7"/>
        <v>1</v>
      </c>
      <c r="AX24" s="44">
        <f t="shared" si="7"/>
        <v>1</v>
      </c>
      <c r="AY24" s="44">
        <f t="shared" si="7"/>
        <v>1</v>
      </c>
      <c r="AZ24" s="44">
        <f t="shared" si="7"/>
        <v>1</v>
      </c>
      <c r="BA24" s="44">
        <f t="shared" si="7"/>
        <v>1</v>
      </c>
      <c r="BB24" s="44">
        <f t="shared" si="7"/>
        <v>0</v>
      </c>
      <c r="BC24" s="44">
        <f t="shared" si="7"/>
        <v>0</v>
      </c>
      <c r="BD24" s="44">
        <f t="shared" si="7"/>
        <v>1</v>
      </c>
      <c r="BE24" s="44">
        <f t="shared" si="7"/>
        <v>1</v>
      </c>
      <c r="BF24" s="44">
        <f t="shared" si="7"/>
        <v>1</v>
      </c>
      <c r="BG24" s="44">
        <f t="shared" si="7"/>
        <v>1</v>
      </c>
      <c r="BH24" s="44">
        <f t="shared" si="7"/>
        <v>1</v>
      </c>
      <c r="BI24" s="44">
        <f t="shared" si="7"/>
        <v>0</v>
      </c>
      <c r="BJ24" s="44">
        <f t="shared" si="7"/>
        <v>0</v>
      </c>
      <c r="BK24" s="44">
        <f t="shared" si="7"/>
        <v>1</v>
      </c>
      <c r="BL24" s="44">
        <f t="shared" si="7"/>
        <v>1</v>
      </c>
      <c r="BM24" s="44">
        <f t="shared" si="7"/>
        <v>1</v>
      </c>
      <c r="BN24" s="44">
        <f t="shared" si="7"/>
        <v>1</v>
      </c>
      <c r="BO24" s="44">
        <f t="shared" si="7"/>
        <v>1</v>
      </c>
      <c r="BP24" s="44">
        <f t="shared" si="7"/>
        <v>0</v>
      </c>
      <c r="BQ24" s="44">
        <f t="shared" si="7"/>
        <v>0</v>
      </c>
      <c r="BR24" s="44">
        <f t="shared" si="7"/>
        <v>1</v>
      </c>
      <c r="BS24" s="44">
        <f t="shared" si="7"/>
        <v>1</v>
      </c>
      <c r="BT24" s="44">
        <f t="shared" si="7"/>
        <v>1</v>
      </c>
      <c r="BU24" s="44">
        <f t="shared" si="7"/>
        <v>1</v>
      </c>
      <c r="BV24" s="44">
        <f t="shared" si="7"/>
        <v>1</v>
      </c>
      <c r="BW24" s="44">
        <f t="shared" si="7"/>
        <v>0</v>
      </c>
      <c r="BX24" s="44">
        <f t="shared" si="7"/>
        <v>0</v>
      </c>
      <c r="BY24" s="44">
        <f t="shared" si="7"/>
        <v>1</v>
      </c>
      <c r="BZ24" s="44">
        <f t="shared" si="7"/>
        <v>1</v>
      </c>
      <c r="CA24" s="44">
        <f t="shared" si="7"/>
        <v>1</v>
      </c>
      <c r="CB24" s="44">
        <f t="shared" si="7"/>
        <v>1</v>
      </c>
      <c r="CC24" s="44">
        <f t="shared" si="7"/>
        <v>1</v>
      </c>
      <c r="CD24" s="44">
        <f t="shared" si="7"/>
        <v>0</v>
      </c>
      <c r="CE24" s="44">
        <f t="shared" si="7"/>
        <v>0</v>
      </c>
      <c r="CF24" s="44">
        <f t="shared" si="7"/>
        <v>1</v>
      </c>
      <c r="CG24" s="44">
        <f t="shared" si="7"/>
        <v>1</v>
      </c>
      <c r="CH24" s="44">
        <f t="shared" si="7"/>
        <v>1</v>
      </c>
      <c r="CI24" s="44">
        <f t="shared" si="7"/>
        <v>1</v>
      </c>
      <c r="CJ24" s="44">
        <f t="shared" si="7"/>
        <v>1</v>
      </c>
      <c r="CK24" s="44">
        <f t="shared" si="7"/>
        <v>0</v>
      </c>
      <c r="CL24" s="44">
        <f t="shared" si="7"/>
        <v>0</v>
      </c>
      <c r="CM24" s="44">
        <f t="shared" si="7"/>
        <v>1</v>
      </c>
      <c r="CN24" s="44">
        <f t="shared" si="7"/>
        <v>1</v>
      </c>
      <c r="CO24" s="44">
        <f t="shared" si="7"/>
        <v>1</v>
      </c>
      <c r="CP24" s="44">
        <f t="shared" si="7"/>
        <v>1</v>
      </c>
      <c r="CQ24" s="44">
        <f t="shared" si="7"/>
        <v>1</v>
      </c>
      <c r="CR24" s="44">
        <f t="shared" si="7"/>
        <v>0</v>
      </c>
      <c r="CS24" s="44">
        <f t="shared" si="7"/>
        <v>0</v>
      </c>
      <c r="CT24" s="44">
        <f t="shared" si="7"/>
        <v>1</v>
      </c>
      <c r="CU24" s="44">
        <f t="shared" si="7"/>
        <v>1</v>
      </c>
      <c r="CV24" s="44">
        <f t="shared" si="7"/>
        <v>1</v>
      </c>
      <c r="CW24" s="44">
        <f t="shared" si="7"/>
        <v>0.5</v>
      </c>
      <c r="CX24" s="44">
        <f t="shared" si="7"/>
        <v>0.5</v>
      </c>
      <c r="CY24" s="44">
        <f t="shared" si="7"/>
        <v>0</v>
      </c>
      <c r="CZ24" s="44">
        <f t="shared" si="7"/>
        <v>0</v>
      </c>
      <c r="DA24" s="44">
        <f t="shared" si="7"/>
        <v>1</v>
      </c>
      <c r="DB24" s="44">
        <f t="shared" si="7"/>
        <v>1</v>
      </c>
      <c r="DC24" s="44">
        <f t="shared" si="7"/>
        <v>2</v>
      </c>
      <c r="DD24" s="44">
        <f t="shared" si="7"/>
        <v>1</v>
      </c>
      <c r="DE24" s="44">
        <f t="shared" si="7"/>
        <v>1</v>
      </c>
      <c r="DF24" s="44">
        <f t="shared" si="7"/>
        <v>0</v>
      </c>
      <c r="DG24" s="44">
        <f t="shared" si="7"/>
        <v>0</v>
      </c>
      <c r="DH24" s="44">
        <f t="shared" si="7"/>
        <v>2</v>
      </c>
      <c r="DI24" s="44">
        <f t="shared" si="7"/>
        <v>2</v>
      </c>
      <c r="DJ24" s="44">
        <f t="shared" si="7"/>
        <v>2</v>
      </c>
      <c r="DK24" s="44">
        <f t="shared" si="7"/>
        <v>2</v>
      </c>
      <c r="DL24" s="44">
        <f t="shared" si="7"/>
        <v>2</v>
      </c>
      <c r="DM24" s="44">
        <f t="shared" si="7"/>
        <v>0</v>
      </c>
      <c r="DN24" s="44">
        <f t="shared" si="7"/>
        <v>0</v>
      </c>
      <c r="DO24" s="44">
        <f t="shared" si="7"/>
        <v>2</v>
      </c>
      <c r="DP24" s="44">
        <f t="shared" si="7"/>
        <v>1</v>
      </c>
      <c r="DQ24" s="44">
        <f t="shared" si="7"/>
        <v>1</v>
      </c>
      <c r="DR24" s="44">
        <f t="shared" si="7"/>
        <v>1</v>
      </c>
      <c r="DS24" s="44">
        <f t="shared" si="7"/>
        <v>1</v>
      </c>
      <c r="DT24" s="44">
        <f t="shared" si="7"/>
        <v>0</v>
      </c>
      <c r="DU24" s="44">
        <f t="shared" si="7"/>
        <v>0</v>
      </c>
      <c r="DV24" s="44">
        <f t="shared" si="7"/>
        <v>2</v>
      </c>
    </row>
    <row r="25" ht="13.5" customHeight="1">
      <c r="A25" s="1"/>
      <c r="B25" s="45" t="s">
        <v>30</v>
      </c>
      <c r="C25" s="8"/>
      <c r="D25" s="9"/>
      <c r="E25" s="44">
        <f>E24</f>
        <v>0</v>
      </c>
      <c r="F25" s="44">
        <f t="shared" ref="F25:AH25" si="8">F24+E25</f>
        <v>0</v>
      </c>
      <c r="G25" s="44">
        <f t="shared" si="8"/>
        <v>1</v>
      </c>
      <c r="H25" s="44">
        <f t="shared" si="8"/>
        <v>2</v>
      </c>
      <c r="I25" s="44">
        <f t="shared" si="8"/>
        <v>4</v>
      </c>
      <c r="J25" s="44">
        <f t="shared" si="8"/>
        <v>6</v>
      </c>
      <c r="K25" s="44">
        <f t="shared" si="8"/>
        <v>9</v>
      </c>
      <c r="L25" s="44">
        <f t="shared" si="8"/>
        <v>9</v>
      </c>
      <c r="M25" s="44">
        <f t="shared" si="8"/>
        <v>9</v>
      </c>
      <c r="N25" s="44">
        <f t="shared" si="8"/>
        <v>10</v>
      </c>
      <c r="O25" s="44">
        <f t="shared" si="8"/>
        <v>11</v>
      </c>
      <c r="P25" s="44">
        <f t="shared" si="8"/>
        <v>13</v>
      </c>
      <c r="Q25" s="44">
        <f t="shared" si="8"/>
        <v>15</v>
      </c>
      <c r="R25" s="44">
        <f t="shared" si="8"/>
        <v>17</v>
      </c>
      <c r="S25" s="44">
        <f t="shared" si="8"/>
        <v>17</v>
      </c>
      <c r="T25" s="44">
        <f t="shared" si="8"/>
        <v>17</v>
      </c>
      <c r="U25" s="44">
        <f t="shared" si="8"/>
        <v>19</v>
      </c>
      <c r="V25" s="44">
        <f t="shared" si="8"/>
        <v>21</v>
      </c>
      <c r="W25" s="44">
        <f t="shared" si="8"/>
        <v>23</v>
      </c>
      <c r="X25" s="44">
        <f t="shared" si="8"/>
        <v>24</v>
      </c>
      <c r="Y25" s="44">
        <f t="shared" si="8"/>
        <v>25</v>
      </c>
      <c r="Z25" s="44">
        <f t="shared" si="8"/>
        <v>25</v>
      </c>
      <c r="AA25" s="44">
        <f t="shared" si="8"/>
        <v>25</v>
      </c>
      <c r="AB25" s="44">
        <f t="shared" si="8"/>
        <v>27</v>
      </c>
      <c r="AC25" s="44">
        <f t="shared" si="8"/>
        <v>29</v>
      </c>
      <c r="AD25" s="44">
        <f t="shared" si="8"/>
        <v>31</v>
      </c>
      <c r="AE25" s="44">
        <f t="shared" si="8"/>
        <v>32</v>
      </c>
      <c r="AF25" s="44">
        <f t="shared" si="8"/>
        <v>33</v>
      </c>
      <c r="AG25" s="44">
        <f t="shared" si="8"/>
        <v>33</v>
      </c>
      <c r="AH25" s="44">
        <f t="shared" si="8"/>
        <v>33</v>
      </c>
      <c r="AI25" s="44"/>
      <c r="AJ25" s="44">
        <f>AJ24+AH25</f>
        <v>33</v>
      </c>
      <c r="AK25" s="44">
        <f t="shared" ref="AK25:DV25" si="9">AK24+AJ25</f>
        <v>33</v>
      </c>
      <c r="AL25" s="44">
        <f t="shared" si="9"/>
        <v>33</v>
      </c>
      <c r="AM25" s="44">
        <f t="shared" si="9"/>
        <v>33</v>
      </c>
      <c r="AN25" s="44">
        <f t="shared" si="9"/>
        <v>33</v>
      </c>
      <c r="AO25" s="44">
        <f t="shared" si="9"/>
        <v>33</v>
      </c>
      <c r="AP25" s="44">
        <f t="shared" si="9"/>
        <v>33</v>
      </c>
      <c r="AQ25" s="44">
        <f t="shared" si="9"/>
        <v>34</v>
      </c>
      <c r="AR25" s="44">
        <f t="shared" si="9"/>
        <v>35</v>
      </c>
      <c r="AS25" s="44">
        <f t="shared" si="9"/>
        <v>36</v>
      </c>
      <c r="AT25" s="44">
        <f t="shared" si="9"/>
        <v>37</v>
      </c>
      <c r="AU25" s="44">
        <f t="shared" si="9"/>
        <v>37</v>
      </c>
      <c r="AV25" s="44">
        <f t="shared" si="9"/>
        <v>37</v>
      </c>
      <c r="AW25" s="44">
        <f t="shared" si="9"/>
        <v>38</v>
      </c>
      <c r="AX25" s="44">
        <f t="shared" si="9"/>
        <v>39</v>
      </c>
      <c r="AY25" s="44">
        <f t="shared" si="9"/>
        <v>40</v>
      </c>
      <c r="AZ25" s="44">
        <f t="shared" si="9"/>
        <v>41</v>
      </c>
      <c r="BA25" s="44">
        <f t="shared" si="9"/>
        <v>42</v>
      </c>
      <c r="BB25" s="44">
        <f t="shared" si="9"/>
        <v>42</v>
      </c>
      <c r="BC25" s="44">
        <f t="shared" si="9"/>
        <v>42</v>
      </c>
      <c r="BD25" s="44">
        <f t="shared" si="9"/>
        <v>43</v>
      </c>
      <c r="BE25" s="44">
        <f t="shared" si="9"/>
        <v>44</v>
      </c>
      <c r="BF25" s="44">
        <f t="shared" si="9"/>
        <v>45</v>
      </c>
      <c r="BG25" s="44">
        <f t="shared" si="9"/>
        <v>46</v>
      </c>
      <c r="BH25" s="44">
        <f t="shared" si="9"/>
        <v>47</v>
      </c>
      <c r="BI25" s="44">
        <f t="shared" si="9"/>
        <v>47</v>
      </c>
      <c r="BJ25" s="44">
        <f t="shared" si="9"/>
        <v>47</v>
      </c>
      <c r="BK25" s="44">
        <f t="shared" si="9"/>
        <v>48</v>
      </c>
      <c r="BL25" s="44">
        <f t="shared" si="9"/>
        <v>49</v>
      </c>
      <c r="BM25" s="44">
        <f t="shared" si="9"/>
        <v>50</v>
      </c>
      <c r="BN25" s="44">
        <f t="shared" si="9"/>
        <v>51</v>
      </c>
      <c r="BO25" s="44">
        <f t="shared" si="9"/>
        <v>52</v>
      </c>
      <c r="BP25" s="44">
        <f t="shared" si="9"/>
        <v>52</v>
      </c>
      <c r="BQ25" s="44">
        <f t="shared" si="9"/>
        <v>52</v>
      </c>
      <c r="BR25" s="44">
        <f t="shared" si="9"/>
        <v>53</v>
      </c>
      <c r="BS25" s="44">
        <f t="shared" si="9"/>
        <v>54</v>
      </c>
      <c r="BT25" s="44">
        <f t="shared" si="9"/>
        <v>55</v>
      </c>
      <c r="BU25" s="44">
        <f t="shared" si="9"/>
        <v>56</v>
      </c>
      <c r="BV25" s="44">
        <f t="shared" si="9"/>
        <v>57</v>
      </c>
      <c r="BW25" s="44">
        <f t="shared" si="9"/>
        <v>57</v>
      </c>
      <c r="BX25" s="44">
        <f t="shared" si="9"/>
        <v>57</v>
      </c>
      <c r="BY25" s="44">
        <f t="shared" si="9"/>
        <v>58</v>
      </c>
      <c r="BZ25" s="44">
        <f t="shared" si="9"/>
        <v>59</v>
      </c>
      <c r="CA25" s="44">
        <f t="shared" si="9"/>
        <v>60</v>
      </c>
      <c r="CB25" s="44">
        <f t="shared" si="9"/>
        <v>61</v>
      </c>
      <c r="CC25" s="44">
        <f t="shared" si="9"/>
        <v>62</v>
      </c>
      <c r="CD25" s="44">
        <f t="shared" si="9"/>
        <v>62</v>
      </c>
      <c r="CE25" s="44">
        <f t="shared" si="9"/>
        <v>62</v>
      </c>
      <c r="CF25" s="44">
        <f t="shared" si="9"/>
        <v>63</v>
      </c>
      <c r="CG25" s="44">
        <f t="shared" si="9"/>
        <v>64</v>
      </c>
      <c r="CH25" s="44">
        <f t="shared" si="9"/>
        <v>65</v>
      </c>
      <c r="CI25" s="44">
        <f t="shared" si="9"/>
        <v>66</v>
      </c>
      <c r="CJ25" s="44">
        <f t="shared" si="9"/>
        <v>67</v>
      </c>
      <c r="CK25" s="44">
        <f t="shared" si="9"/>
        <v>67</v>
      </c>
      <c r="CL25" s="44">
        <f t="shared" si="9"/>
        <v>67</v>
      </c>
      <c r="CM25" s="44">
        <f t="shared" si="9"/>
        <v>68</v>
      </c>
      <c r="CN25" s="44">
        <f t="shared" si="9"/>
        <v>69</v>
      </c>
      <c r="CO25" s="44">
        <f t="shared" si="9"/>
        <v>70</v>
      </c>
      <c r="CP25" s="44">
        <f t="shared" si="9"/>
        <v>71</v>
      </c>
      <c r="CQ25" s="44">
        <f t="shared" si="9"/>
        <v>72</v>
      </c>
      <c r="CR25" s="44">
        <f t="shared" si="9"/>
        <v>72</v>
      </c>
      <c r="CS25" s="44">
        <f t="shared" si="9"/>
        <v>72</v>
      </c>
      <c r="CT25" s="44">
        <f t="shared" si="9"/>
        <v>73</v>
      </c>
      <c r="CU25" s="44">
        <f t="shared" si="9"/>
        <v>74</v>
      </c>
      <c r="CV25" s="44">
        <f t="shared" si="9"/>
        <v>75</v>
      </c>
      <c r="CW25" s="44">
        <f t="shared" si="9"/>
        <v>75.5</v>
      </c>
      <c r="CX25" s="44">
        <f t="shared" si="9"/>
        <v>76</v>
      </c>
      <c r="CY25" s="44">
        <f t="shared" si="9"/>
        <v>76</v>
      </c>
      <c r="CZ25" s="44">
        <f t="shared" si="9"/>
        <v>76</v>
      </c>
      <c r="DA25" s="44">
        <f t="shared" si="9"/>
        <v>77</v>
      </c>
      <c r="DB25" s="44">
        <f t="shared" si="9"/>
        <v>78</v>
      </c>
      <c r="DC25" s="44">
        <f t="shared" si="9"/>
        <v>80</v>
      </c>
      <c r="DD25" s="44">
        <f t="shared" si="9"/>
        <v>81</v>
      </c>
      <c r="DE25" s="44">
        <f t="shared" si="9"/>
        <v>82</v>
      </c>
      <c r="DF25" s="44">
        <f t="shared" si="9"/>
        <v>82</v>
      </c>
      <c r="DG25" s="44">
        <f t="shared" si="9"/>
        <v>82</v>
      </c>
      <c r="DH25" s="44">
        <f t="shared" si="9"/>
        <v>84</v>
      </c>
      <c r="DI25" s="44">
        <f t="shared" si="9"/>
        <v>86</v>
      </c>
      <c r="DJ25" s="44">
        <f t="shared" si="9"/>
        <v>88</v>
      </c>
      <c r="DK25" s="44">
        <f t="shared" si="9"/>
        <v>90</v>
      </c>
      <c r="DL25" s="44">
        <f t="shared" si="9"/>
        <v>92</v>
      </c>
      <c r="DM25" s="44">
        <f t="shared" si="9"/>
        <v>92</v>
      </c>
      <c r="DN25" s="44">
        <f t="shared" si="9"/>
        <v>92</v>
      </c>
      <c r="DO25" s="44">
        <f t="shared" si="9"/>
        <v>94</v>
      </c>
      <c r="DP25" s="44">
        <f t="shared" si="9"/>
        <v>95</v>
      </c>
      <c r="DQ25" s="44">
        <f t="shared" si="9"/>
        <v>96</v>
      </c>
      <c r="DR25" s="44">
        <f t="shared" si="9"/>
        <v>97</v>
      </c>
      <c r="DS25" s="44">
        <f t="shared" si="9"/>
        <v>98</v>
      </c>
      <c r="DT25" s="44">
        <f t="shared" si="9"/>
        <v>98</v>
      </c>
      <c r="DU25" s="44">
        <f t="shared" si="9"/>
        <v>98</v>
      </c>
      <c r="DV25" s="44">
        <f t="shared" si="9"/>
        <v>100</v>
      </c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</row>
    <row r="28" ht="16.5" customHeight="1">
      <c r="A28" s="1"/>
      <c r="B28" s="46" t="s">
        <v>31</v>
      </c>
      <c r="C28" s="3"/>
      <c r="D28" s="3"/>
      <c r="E28" s="3"/>
      <c r="F28" s="3"/>
      <c r="G28" s="3"/>
      <c r="H28" s="3"/>
      <c r="I28" s="3"/>
      <c r="J28" s="4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1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</row>
    <row r="29" ht="14.25" customHeight="1">
      <c r="A29" s="1"/>
      <c r="B29" s="6" t="s">
        <v>1</v>
      </c>
      <c r="C29" s="47" t="s">
        <v>32</v>
      </c>
      <c r="D29" s="47" t="s">
        <v>33</v>
      </c>
      <c r="E29" s="7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9"/>
      <c r="AJ29" s="7" t="s">
        <v>4</v>
      </c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9"/>
      <c r="BN29" s="7" t="s">
        <v>5</v>
      </c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9"/>
      <c r="CS29" s="7" t="s">
        <v>6</v>
      </c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9"/>
    </row>
    <row r="30" ht="13.5" customHeight="1">
      <c r="A30" s="1"/>
      <c r="B30" s="6"/>
      <c r="C30" s="6"/>
      <c r="D30" s="6"/>
      <c r="E30" s="10">
        <v>1.0</v>
      </c>
      <c r="F30" s="10">
        <v>2.0</v>
      </c>
      <c r="G30" s="10">
        <v>3.0</v>
      </c>
      <c r="H30" s="10">
        <v>4.0</v>
      </c>
      <c r="I30" s="10">
        <v>5.0</v>
      </c>
      <c r="J30" s="10">
        <v>6.0</v>
      </c>
      <c r="K30" s="10">
        <v>7.0</v>
      </c>
      <c r="L30" s="10">
        <v>8.0</v>
      </c>
      <c r="M30" s="10">
        <v>9.0</v>
      </c>
      <c r="N30" s="10">
        <v>10.0</v>
      </c>
      <c r="O30" s="10">
        <v>11.0</v>
      </c>
      <c r="P30" s="10">
        <v>12.0</v>
      </c>
      <c r="Q30" s="10">
        <v>13.0</v>
      </c>
      <c r="R30" s="10">
        <v>14.0</v>
      </c>
      <c r="S30" s="10">
        <v>15.0</v>
      </c>
      <c r="T30" s="10">
        <v>16.0</v>
      </c>
      <c r="U30" s="10">
        <v>17.0</v>
      </c>
      <c r="V30" s="10">
        <v>18.0</v>
      </c>
      <c r="W30" s="10">
        <v>19.0</v>
      </c>
      <c r="X30" s="10">
        <v>20.0</v>
      </c>
      <c r="Y30" s="10">
        <v>21.0</v>
      </c>
      <c r="Z30" s="10">
        <v>22.0</v>
      </c>
      <c r="AA30" s="10">
        <v>23.0</v>
      </c>
      <c r="AB30" s="10">
        <v>24.0</v>
      </c>
      <c r="AC30" s="10">
        <v>25.0</v>
      </c>
      <c r="AD30" s="10">
        <v>26.0</v>
      </c>
      <c r="AE30" s="10">
        <v>27.0</v>
      </c>
      <c r="AF30" s="10">
        <v>28.0</v>
      </c>
      <c r="AG30" s="10">
        <v>29.0</v>
      </c>
      <c r="AH30" s="10">
        <v>30.0</v>
      </c>
      <c r="AI30" s="10">
        <v>31.0</v>
      </c>
      <c r="AJ30" s="11">
        <v>1.0</v>
      </c>
      <c r="AK30" s="11">
        <v>2.0</v>
      </c>
      <c r="AL30" s="11">
        <v>3.0</v>
      </c>
      <c r="AM30" s="11">
        <v>4.0</v>
      </c>
      <c r="AN30" s="11">
        <v>5.0</v>
      </c>
      <c r="AO30" s="11">
        <v>6.0</v>
      </c>
      <c r="AP30" s="11">
        <v>7.0</v>
      </c>
      <c r="AQ30" s="11">
        <v>8.0</v>
      </c>
      <c r="AR30" s="11">
        <v>9.0</v>
      </c>
      <c r="AS30" s="11">
        <v>10.0</v>
      </c>
      <c r="AT30" s="11">
        <v>11.0</v>
      </c>
      <c r="AU30" s="11">
        <v>12.0</v>
      </c>
      <c r="AV30" s="11">
        <v>13.0</v>
      </c>
      <c r="AW30" s="11">
        <v>14.0</v>
      </c>
      <c r="AX30" s="11">
        <v>15.0</v>
      </c>
      <c r="AY30" s="11">
        <v>16.0</v>
      </c>
      <c r="AZ30" s="11">
        <v>17.0</v>
      </c>
      <c r="BA30" s="11">
        <v>18.0</v>
      </c>
      <c r="BB30" s="11">
        <v>19.0</v>
      </c>
      <c r="BC30" s="11">
        <v>20.0</v>
      </c>
      <c r="BD30" s="11">
        <v>21.0</v>
      </c>
      <c r="BE30" s="11">
        <v>22.0</v>
      </c>
      <c r="BF30" s="11">
        <v>23.0</v>
      </c>
      <c r="BG30" s="11">
        <v>24.0</v>
      </c>
      <c r="BH30" s="11">
        <v>25.0</v>
      </c>
      <c r="BI30" s="11">
        <v>26.0</v>
      </c>
      <c r="BJ30" s="11">
        <v>27.0</v>
      </c>
      <c r="BK30" s="11">
        <v>28.0</v>
      </c>
      <c r="BL30" s="11">
        <v>29.0</v>
      </c>
      <c r="BM30" s="11">
        <v>30.0</v>
      </c>
      <c r="BN30" s="11">
        <v>1.0</v>
      </c>
      <c r="BO30" s="11">
        <v>2.0</v>
      </c>
      <c r="BP30" s="11">
        <v>3.0</v>
      </c>
      <c r="BQ30" s="11">
        <v>4.0</v>
      </c>
      <c r="BR30" s="11">
        <v>5.0</v>
      </c>
      <c r="BS30" s="11">
        <v>6.0</v>
      </c>
      <c r="BT30" s="11">
        <v>7.0</v>
      </c>
      <c r="BU30" s="11">
        <v>8.0</v>
      </c>
      <c r="BV30" s="11">
        <v>9.0</v>
      </c>
      <c r="BW30" s="11">
        <v>10.0</v>
      </c>
      <c r="BX30" s="11">
        <v>11.0</v>
      </c>
      <c r="BY30" s="11">
        <v>12.0</v>
      </c>
      <c r="BZ30" s="11">
        <v>13.0</v>
      </c>
      <c r="CA30" s="11">
        <v>14.0</v>
      </c>
      <c r="CB30" s="11">
        <v>15.0</v>
      </c>
      <c r="CC30" s="11">
        <v>16.0</v>
      </c>
      <c r="CD30" s="11">
        <v>17.0</v>
      </c>
      <c r="CE30" s="11">
        <v>18.0</v>
      </c>
      <c r="CF30" s="11">
        <v>19.0</v>
      </c>
      <c r="CG30" s="11">
        <v>20.0</v>
      </c>
      <c r="CH30" s="11">
        <v>21.0</v>
      </c>
      <c r="CI30" s="11">
        <v>22.0</v>
      </c>
      <c r="CJ30" s="11">
        <v>23.0</v>
      </c>
      <c r="CK30" s="11">
        <v>24.0</v>
      </c>
      <c r="CL30" s="11">
        <v>25.0</v>
      </c>
      <c r="CM30" s="11">
        <v>26.0</v>
      </c>
      <c r="CN30" s="11">
        <v>27.0</v>
      </c>
      <c r="CO30" s="11">
        <v>28.0</v>
      </c>
      <c r="CP30" s="11">
        <v>29.0</v>
      </c>
      <c r="CQ30" s="11">
        <v>30.0</v>
      </c>
      <c r="CR30" s="11">
        <v>31.0</v>
      </c>
      <c r="CS30" s="11">
        <v>1.0</v>
      </c>
      <c r="CT30" s="12">
        <v>2.0</v>
      </c>
      <c r="CU30" s="11">
        <v>3.0</v>
      </c>
      <c r="CV30" s="12">
        <v>4.0</v>
      </c>
      <c r="CW30" s="11">
        <v>5.0</v>
      </c>
      <c r="CX30" s="12">
        <v>6.0</v>
      </c>
      <c r="CY30" s="11">
        <v>7.0</v>
      </c>
      <c r="CZ30" s="11">
        <v>8.0</v>
      </c>
      <c r="DA30" s="12">
        <v>9.0</v>
      </c>
      <c r="DB30" s="12">
        <v>10.0</v>
      </c>
      <c r="DC30" s="11">
        <v>11.0</v>
      </c>
      <c r="DD30" s="12">
        <v>12.0</v>
      </c>
      <c r="DE30" s="11">
        <v>13.0</v>
      </c>
      <c r="DF30" s="12">
        <v>14.0</v>
      </c>
      <c r="DG30" s="11">
        <v>15.0</v>
      </c>
      <c r="DH30" s="12">
        <v>16.0</v>
      </c>
      <c r="DI30" s="11">
        <v>17.0</v>
      </c>
      <c r="DJ30" s="12">
        <v>18.0</v>
      </c>
      <c r="DK30" s="11">
        <v>19.0</v>
      </c>
      <c r="DL30" s="12">
        <v>20.0</v>
      </c>
      <c r="DM30" s="11">
        <v>21.0</v>
      </c>
      <c r="DN30" s="11">
        <v>22.0</v>
      </c>
      <c r="DO30" s="12">
        <v>23.0</v>
      </c>
      <c r="DP30" s="12">
        <v>24.0</v>
      </c>
      <c r="DQ30" s="11">
        <v>25.0</v>
      </c>
      <c r="DR30" s="12">
        <v>26.0</v>
      </c>
      <c r="DS30" s="11">
        <v>27.0</v>
      </c>
      <c r="DT30" s="12">
        <v>28.0</v>
      </c>
      <c r="DU30" s="11">
        <v>29.0</v>
      </c>
      <c r="DV30" s="12">
        <v>30.0</v>
      </c>
    </row>
    <row r="31" ht="15.0" customHeight="1">
      <c r="A31" s="13" t="s">
        <v>7</v>
      </c>
      <c r="B31" s="14" t="s">
        <v>8</v>
      </c>
      <c r="C31" s="15">
        <v>100.0</v>
      </c>
      <c r="D31" s="16">
        <v>100.0</v>
      </c>
      <c r="E31" s="17"/>
      <c r="F31" s="17"/>
      <c r="G31" s="16"/>
      <c r="H31" s="16"/>
      <c r="I31" s="16"/>
      <c r="J31" s="16"/>
      <c r="K31" s="16"/>
      <c r="L31" s="17"/>
      <c r="M31" s="17"/>
      <c r="N31" s="16"/>
      <c r="O31" s="16"/>
      <c r="P31" s="16"/>
      <c r="Q31" s="16"/>
      <c r="R31" s="16"/>
      <c r="S31" s="17"/>
      <c r="T31" s="17"/>
      <c r="U31" s="16"/>
      <c r="V31" s="16"/>
      <c r="W31" s="16"/>
      <c r="X31" s="16"/>
      <c r="Y31" s="16"/>
      <c r="Z31" s="17"/>
      <c r="AA31" s="17"/>
      <c r="AB31" s="16"/>
      <c r="AC31" s="16"/>
      <c r="AD31" s="16"/>
      <c r="AE31" s="16"/>
      <c r="AF31" s="16"/>
      <c r="AG31" s="17"/>
      <c r="AH31" s="17"/>
      <c r="AI31" s="18"/>
      <c r="AJ31" s="18"/>
      <c r="AK31" s="18"/>
      <c r="AL31" s="18"/>
      <c r="AM31" s="18"/>
      <c r="AN31" s="17"/>
      <c r="AO31" s="17"/>
      <c r="AP31" s="18"/>
      <c r="AQ31" s="16"/>
      <c r="AR31" s="16"/>
      <c r="AS31" s="16"/>
      <c r="AT31" s="16"/>
      <c r="AU31" s="17"/>
      <c r="AV31" s="17"/>
      <c r="AW31" s="16"/>
      <c r="AX31" s="16"/>
      <c r="AY31" s="16"/>
      <c r="AZ31" s="16"/>
      <c r="BA31" s="16"/>
      <c r="BB31" s="19"/>
      <c r="BC31" s="19"/>
      <c r="BD31" s="3"/>
      <c r="BE31" s="3"/>
      <c r="BF31" s="3"/>
      <c r="BG31" s="3"/>
      <c r="BH31" s="3"/>
      <c r="BI31" s="19"/>
      <c r="BJ31" s="19"/>
      <c r="BK31" s="3"/>
      <c r="BL31" s="3"/>
      <c r="BM31" s="3"/>
      <c r="BN31" s="3"/>
      <c r="BO31" s="3"/>
      <c r="BP31" s="19"/>
      <c r="BQ31" s="19"/>
      <c r="BR31" s="3"/>
      <c r="BS31" s="3"/>
      <c r="BT31" s="3"/>
      <c r="BU31" s="3"/>
      <c r="BV31" s="3"/>
      <c r="BW31" s="19"/>
      <c r="BX31" s="19"/>
      <c r="BY31" s="3"/>
      <c r="BZ31" s="3"/>
      <c r="CA31" s="3"/>
      <c r="CB31" s="3"/>
      <c r="CC31" s="3"/>
      <c r="CD31" s="19"/>
      <c r="CE31" s="19"/>
      <c r="CF31" s="3"/>
      <c r="CG31" s="3"/>
      <c r="CH31" s="3"/>
      <c r="CI31" s="3"/>
      <c r="CJ31" s="3"/>
      <c r="CK31" s="19"/>
      <c r="CL31" s="19"/>
      <c r="CM31" s="3"/>
      <c r="CN31" s="3"/>
      <c r="CO31" s="3"/>
      <c r="CP31" s="3"/>
      <c r="CQ31" s="3"/>
      <c r="CR31" s="19"/>
      <c r="CS31" s="20"/>
      <c r="CT31" s="4"/>
      <c r="CU31" s="4"/>
      <c r="CV31" s="4"/>
      <c r="CW31" s="4"/>
      <c r="CX31" s="4"/>
      <c r="CY31" s="20"/>
      <c r="CZ31" s="20"/>
      <c r="DA31" s="4"/>
      <c r="DB31" s="4"/>
      <c r="DC31" s="4"/>
      <c r="DD31" s="4"/>
      <c r="DE31" s="4"/>
      <c r="DF31" s="20"/>
      <c r="DG31" s="20"/>
      <c r="DH31" s="4"/>
      <c r="DI31" s="4"/>
      <c r="DJ31" s="4"/>
      <c r="DK31" s="4"/>
      <c r="DL31" s="4"/>
      <c r="DM31" s="20"/>
      <c r="DN31" s="20"/>
      <c r="DO31" s="4"/>
      <c r="DP31" s="4"/>
      <c r="DQ31" s="4"/>
      <c r="DR31" s="4"/>
      <c r="DS31" s="4"/>
      <c r="DT31" s="20"/>
      <c r="DU31" s="20"/>
      <c r="DV31" s="4"/>
    </row>
    <row r="32" ht="13.5" customHeight="1">
      <c r="A32" s="21"/>
      <c r="B32" s="22" t="s">
        <v>9</v>
      </c>
      <c r="C32" s="23">
        <v>30.0</v>
      </c>
      <c r="D32" s="23">
        <f>D33+D35</f>
        <v>8.3</v>
      </c>
      <c r="E32" s="24"/>
      <c r="F32" s="24"/>
      <c r="G32" s="25"/>
      <c r="H32" s="25"/>
      <c r="I32" s="25"/>
      <c r="J32" s="25"/>
      <c r="K32" s="25"/>
      <c r="L32" s="24"/>
      <c r="M32" s="24"/>
      <c r="N32" s="25"/>
      <c r="O32" s="25"/>
      <c r="P32" s="25"/>
      <c r="Q32" s="25"/>
      <c r="R32" s="25"/>
      <c r="S32" s="24"/>
      <c r="T32" s="24"/>
      <c r="U32" s="25"/>
      <c r="V32" s="25"/>
      <c r="W32" s="25"/>
      <c r="X32" s="25"/>
      <c r="Y32" s="25"/>
      <c r="Z32" s="24"/>
      <c r="AA32" s="24"/>
      <c r="AB32" s="25"/>
      <c r="AC32" s="25"/>
      <c r="AD32" s="25"/>
      <c r="AE32" s="25"/>
      <c r="AF32" s="25"/>
      <c r="AG32" s="24"/>
      <c r="AH32" s="24"/>
      <c r="AI32" s="26"/>
      <c r="AJ32" s="26"/>
      <c r="AK32" s="26"/>
      <c r="AL32" s="26"/>
      <c r="AM32" s="26"/>
      <c r="AN32" s="24"/>
      <c r="AO32" s="24"/>
      <c r="AP32" s="26"/>
      <c r="AQ32" s="25"/>
      <c r="AR32" s="25"/>
      <c r="AS32" s="25"/>
      <c r="AT32" s="25"/>
      <c r="AU32" s="24"/>
      <c r="AV32" s="24"/>
      <c r="AW32" s="25"/>
      <c r="AX32" s="25"/>
      <c r="AY32" s="25"/>
      <c r="AZ32" s="25"/>
      <c r="BA32" s="25"/>
      <c r="BB32" s="27"/>
      <c r="BC32" s="27"/>
      <c r="BD32" s="28"/>
      <c r="BE32" s="28"/>
      <c r="BF32" s="28"/>
      <c r="BG32" s="28"/>
      <c r="BH32" s="28"/>
      <c r="BI32" s="27"/>
      <c r="BJ32" s="27"/>
      <c r="BK32" s="28"/>
      <c r="BL32" s="28"/>
      <c r="BM32" s="28"/>
      <c r="BN32" s="28"/>
      <c r="BO32" s="28"/>
      <c r="BP32" s="27"/>
      <c r="BQ32" s="27"/>
      <c r="BR32" s="28"/>
      <c r="BS32" s="28"/>
      <c r="BT32" s="28"/>
      <c r="BU32" s="28"/>
      <c r="BV32" s="28"/>
      <c r="BW32" s="27"/>
      <c r="BX32" s="27"/>
      <c r="BY32" s="28"/>
      <c r="BZ32" s="28"/>
      <c r="CA32" s="28"/>
      <c r="CB32" s="28"/>
      <c r="CC32" s="28"/>
      <c r="CD32" s="27"/>
      <c r="CE32" s="27"/>
      <c r="CF32" s="28"/>
      <c r="CG32" s="28"/>
      <c r="CH32" s="28"/>
      <c r="CI32" s="28"/>
      <c r="CJ32" s="28"/>
      <c r="CK32" s="27"/>
      <c r="CL32" s="27"/>
      <c r="CM32" s="28"/>
      <c r="CN32" s="28"/>
      <c r="CO32" s="28"/>
      <c r="CP32" s="28"/>
      <c r="CQ32" s="28"/>
      <c r="CR32" s="27"/>
      <c r="CS32" s="29"/>
      <c r="CT32" s="4"/>
      <c r="CU32" s="30"/>
      <c r="CV32" s="4"/>
      <c r="CW32" s="4"/>
      <c r="CX32" s="4"/>
      <c r="CY32" s="20"/>
      <c r="CZ32" s="29"/>
      <c r="DA32" s="4"/>
      <c r="DB32" s="4"/>
      <c r="DC32" s="4"/>
      <c r="DD32" s="4"/>
      <c r="DE32" s="4"/>
      <c r="DF32" s="20"/>
      <c r="DG32" s="29"/>
      <c r="DH32" s="4"/>
      <c r="DI32" s="4"/>
      <c r="DJ32" s="4"/>
      <c r="DK32" s="4"/>
      <c r="DL32" s="4"/>
      <c r="DM32" s="20"/>
      <c r="DN32" s="29"/>
      <c r="DO32" s="4"/>
      <c r="DP32" s="4"/>
      <c r="DQ32" s="4"/>
      <c r="DR32" s="4"/>
      <c r="DS32" s="4"/>
      <c r="DT32" s="20"/>
      <c r="DU32" s="29"/>
      <c r="DV32" s="4"/>
    </row>
    <row r="33" ht="13.5" customHeight="1">
      <c r="A33" s="21"/>
      <c r="B33" s="31" t="s">
        <v>10</v>
      </c>
      <c r="C33" s="16">
        <v>1.0</v>
      </c>
      <c r="D33" s="16">
        <f>SUM(D34)</f>
        <v>1</v>
      </c>
      <c r="E33" s="24"/>
      <c r="F33" s="24"/>
      <c r="G33" s="25"/>
      <c r="H33" s="25"/>
      <c r="I33" s="25"/>
      <c r="J33" s="25"/>
      <c r="K33" s="25"/>
      <c r="L33" s="24"/>
      <c r="M33" s="24"/>
      <c r="N33" s="25"/>
      <c r="O33" s="25"/>
      <c r="P33" s="25"/>
      <c r="Q33" s="25"/>
      <c r="R33" s="25"/>
      <c r="S33" s="24"/>
      <c r="T33" s="24"/>
      <c r="U33" s="25"/>
      <c r="V33" s="25"/>
      <c r="W33" s="25"/>
      <c r="X33" s="25"/>
      <c r="Y33" s="25"/>
      <c r="Z33" s="24"/>
      <c r="AA33" s="24"/>
      <c r="AB33" s="25"/>
      <c r="AC33" s="25"/>
      <c r="AD33" s="25"/>
      <c r="AE33" s="25"/>
      <c r="AF33" s="25"/>
      <c r="AG33" s="24"/>
      <c r="AH33" s="24"/>
      <c r="AI33" s="26"/>
      <c r="AJ33" s="26"/>
      <c r="AK33" s="26"/>
      <c r="AL33" s="26"/>
      <c r="AM33" s="26"/>
      <c r="AN33" s="24"/>
      <c r="AO33" s="24"/>
      <c r="AP33" s="26"/>
      <c r="AQ33" s="25"/>
      <c r="AR33" s="25"/>
      <c r="AS33" s="25"/>
      <c r="AT33" s="25"/>
      <c r="AU33" s="24"/>
      <c r="AV33" s="24"/>
      <c r="AW33" s="25"/>
      <c r="AX33" s="25"/>
      <c r="AY33" s="25"/>
      <c r="AZ33" s="25"/>
      <c r="BA33" s="25"/>
      <c r="BB33" s="27"/>
      <c r="BC33" s="27"/>
      <c r="BD33" s="28"/>
      <c r="BE33" s="28"/>
      <c r="BF33" s="28"/>
      <c r="BG33" s="28"/>
      <c r="BH33" s="28"/>
      <c r="BI33" s="27"/>
      <c r="BJ33" s="27"/>
      <c r="BK33" s="28"/>
      <c r="BL33" s="28"/>
      <c r="BM33" s="28"/>
      <c r="BN33" s="28"/>
      <c r="BO33" s="28"/>
      <c r="BP33" s="27"/>
      <c r="BQ33" s="27"/>
      <c r="BR33" s="28"/>
      <c r="BS33" s="28"/>
      <c r="BT33" s="28"/>
      <c r="BU33" s="28"/>
      <c r="BV33" s="28"/>
      <c r="BW33" s="27"/>
      <c r="BX33" s="27"/>
      <c r="BY33" s="28"/>
      <c r="BZ33" s="28"/>
      <c r="CA33" s="28"/>
      <c r="CB33" s="28"/>
      <c r="CC33" s="28"/>
      <c r="CD33" s="27"/>
      <c r="CE33" s="27"/>
      <c r="CF33" s="28"/>
      <c r="CG33" s="28"/>
      <c r="CH33" s="28"/>
      <c r="CI33" s="28"/>
      <c r="CJ33" s="28"/>
      <c r="CK33" s="27"/>
      <c r="CL33" s="27"/>
      <c r="CM33" s="28"/>
      <c r="CN33" s="28"/>
      <c r="CO33" s="28"/>
      <c r="CP33" s="28"/>
      <c r="CQ33" s="28"/>
      <c r="CR33" s="27"/>
      <c r="CS33" s="29"/>
      <c r="CT33" s="4"/>
      <c r="CU33" s="30"/>
      <c r="CV33" s="4"/>
      <c r="CW33" s="4"/>
      <c r="CX33" s="4"/>
      <c r="CY33" s="20"/>
      <c r="CZ33" s="29"/>
      <c r="DA33" s="4"/>
      <c r="DB33" s="4"/>
      <c r="DC33" s="4"/>
      <c r="DD33" s="4"/>
      <c r="DE33" s="4"/>
      <c r="DF33" s="20"/>
      <c r="DG33" s="29"/>
      <c r="DH33" s="4"/>
      <c r="DI33" s="4"/>
      <c r="DJ33" s="4"/>
      <c r="DK33" s="4"/>
      <c r="DL33" s="4"/>
      <c r="DM33" s="20"/>
      <c r="DN33" s="29"/>
      <c r="DO33" s="4"/>
      <c r="DP33" s="4"/>
      <c r="DQ33" s="4"/>
      <c r="DR33" s="4"/>
      <c r="DS33" s="4"/>
      <c r="DT33" s="20"/>
      <c r="DU33" s="29"/>
      <c r="DV33" s="4"/>
    </row>
    <row r="34" ht="13.5" customHeight="1">
      <c r="A34" s="21"/>
      <c r="B34" s="32" t="s">
        <v>11</v>
      </c>
      <c r="C34" s="33">
        <v>1.0</v>
      </c>
      <c r="D34" s="16">
        <f>SUM(E34:DV34)</f>
        <v>1</v>
      </c>
      <c r="E34" s="24"/>
      <c r="F34" s="24"/>
      <c r="G34" s="34">
        <v>1.0</v>
      </c>
      <c r="H34" s="25"/>
      <c r="I34" s="25"/>
      <c r="J34" s="25"/>
      <c r="K34" s="25"/>
      <c r="L34" s="24"/>
      <c r="M34" s="24"/>
      <c r="N34" s="25"/>
      <c r="O34" s="25"/>
      <c r="P34" s="25"/>
      <c r="Q34" s="25"/>
      <c r="R34" s="25"/>
      <c r="S34" s="24"/>
      <c r="T34" s="24"/>
      <c r="U34" s="25"/>
      <c r="V34" s="25"/>
      <c r="W34" s="25"/>
      <c r="X34" s="25"/>
      <c r="Y34" s="25"/>
      <c r="Z34" s="24"/>
      <c r="AA34" s="24"/>
      <c r="AB34" s="25"/>
      <c r="AC34" s="25"/>
      <c r="AD34" s="25"/>
      <c r="AE34" s="25"/>
      <c r="AF34" s="25"/>
      <c r="AG34" s="24"/>
      <c r="AH34" s="24"/>
      <c r="AI34" s="26"/>
      <c r="AJ34" s="26"/>
      <c r="AK34" s="26"/>
      <c r="AL34" s="26"/>
      <c r="AM34" s="26"/>
      <c r="AN34" s="24"/>
      <c r="AO34" s="24"/>
      <c r="AP34" s="26"/>
      <c r="AQ34" s="25"/>
      <c r="AR34" s="25"/>
      <c r="AS34" s="25"/>
      <c r="AT34" s="25"/>
      <c r="AU34" s="24"/>
      <c r="AV34" s="24"/>
      <c r="AW34" s="25"/>
      <c r="AX34" s="25"/>
      <c r="AY34" s="25"/>
      <c r="AZ34" s="25"/>
      <c r="BA34" s="25"/>
      <c r="BB34" s="27"/>
      <c r="BC34" s="27"/>
      <c r="BD34" s="28"/>
      <c r="BE34" s="28"/>
      <c r="BF34" s="28"/>
      <c r="BG34" s="28"/>
      <c r="BH34" s="28"/>
      <c r="BI34" s="27"/>
      <c r="BJ34" s="27"/>
      <c r="BK34" s="28"/>
      <c r="BL34" s="28"/>
      <c r="BM34" s="28"/>
      <c r="BN34" s="28"/>
      <c r="BO34" s="28"/>
      <c r="BP34" s="27"/>
      <c r="BQ34" s="27"/>
      <c r="BR34" s="28"/>
      <c r="BS34" s="28"/>
      <c r="BT34" s="28"/>
      <c r="BU34" s="28"/>
      <c r="BV34" s="28"/>
      <c r="BW34" s="27"/>
      <c r="BX34" s="27"/>
      <c r="BY34" s="28"/>
      <c r="BZ34" s="28"/>
      <c r="CA34" s="28"/>
      <c r="CB34" s="28"/>
      <c r="CC34" s="28"/>
      <c r="CD34" s="27"/>
      <c r="CE34" s="27"/>
      <c r="CF34" s="28"/>
      <c r="CG34" s="28"/>
      <c r="CH34" s="28"/>
      <c r="CI34" s="28"/>
      <c r="CJ34" s="28"/>
      <c r="CK34" s="27"/>
      <c r="CL34" s="27"/>
      <c r="CM34" s="28"/>
      <c r="CN34" s="28"/>
      <c r="CO34" s="28"/>
      <c r="CP34" s="28"/>
      <c r="CQ34" s="28"/>
      <c r="CR34" s="27"/>
      <c r="CS34" s="29"/>
      <c r="CT34" s="4"/>
      <c r="CU34" s="30"/>
      <c r="CV34" s="4"/>
      <c r="CW34" s="4"/>
      <c r="CX34" s="4"/>
      <c r="CY34" s="20"/>
      <c r="CZ34" s="29"/>
      <c r="DA34" s="4"/>
      <c r="DB34" s="4"/>
      <c r="DC34" s="4"/>
      <c r="DD34" s="4"/>
      <c r="DE34" s="4"/>
      <c r="DF34" s="20"/>
      <c r="DG34" s="29"/>
      <c r="DH34" s="4"/>
      <c r="DI34" s="4"/>
      <c r="DJ34" s="4"/>
      <c r="DK34" s="4"/>
      <c r="DL34" s="4"/>
      <c r="DM34" s="20"/>
      <c r="DN34" s="29"/>
      <c r="DO34" s="4"/>
      <c r="DP34" s="4"/>
      <c r="DQ34" s="4"/>
      <c r="DR34" s="4"/>
      <c r="DS34" s="4"/>
      <c r="DT34" s="20"/>
      <c r="DU34" s="29"/>
      <c r="DV34" s="4"/>
    </row>
    <row r="35" ht="13.5" customHeight="1">
      <c r="A35" s="21"/>
      <c r="B35" s="31" t="s">
        <v>12</v>
      </c>
      <c r="C35" s="16">
        <v>29.0</v>
      </c>
      <c r="D35" s="16">
        <f>SUM(D36:D38)</f>
        <v>7.3</v>
      </c>
      <c r="E35" s="17"/>
      <c r="F35" s="17"/>
      <c r="G35" s="16"/>
      <c r="H35" s="16"/>
      <c r="I35" s="16"/>
      <c r="J35" s="16"/>
      <c r="K35" s="16"/>
      <c r="L35" s="17"/>
      <c r="M35" s="17"/>
      <c r="N35" s="16"/>
      <c r="O35" s="16"/>
      <c r="P35" s="16"/>
      <c r="Q35" s="16"/>
      <c r="R35" s="16"/>
      <c r="S35" s="17"/>
      <c r="T35" s="17"/>
      <c r="U35" s="16"/>
      <c r="V35" s="16"/>
      <c r="W35" s="16"/>
      <c r="X35" s="16"/>
      <c r="Y35" s="16"/>
      <c r="Z35" s="17"/>
      <c r="AA35" s="17"/>
      <c r="AB35" s="16"/>
      <c r="AC35" s="16"/>
      <c r="AD35" s="16"/>
      <c r="AE35" s="16"/>
      <c r="AF35" s="16"/>
      <c r="AG35" s="17"/>
      <c r="AH35" s="17"/>
      <c r="AI35" s="18"/>
      <c r="AJ35" s="18"/>
      <c r="AK35" s="18"/>
      <c r="AL35" s="18"/>
      <c r="AM35" s="18"/>
      <c r="AN35" s="17"/>
      <c r="AO35" s="17"/>
      <c r="AP35" s="18"/>
      <c r="AQ35" s="16"/>
      <c r="AR35" s="16"/>
      <c r="AS35" s="16"/>
      <c r="AT35" s="16"/>
      <c r="AU35" s="17"/>
      <c r="AV35" s="17"/>
      <c r="AW35" s="16"/>
      <c r="AX35" s="16"/>
      <c r="AY35" s="16"/>
      <c r="AZ35" s="16"/>
      <c r="BA35" s="16"/>
      <c r="BB35" s="19"/>
      <c r="BC35" s="19"/>
      <c r="BD35" s="3"/>
      <c r="BE35" s="3"/>
      <c r="BF35" s="3"/>
      <c r="BG35" s="3"/>
      <c r="BH35" s="3"/>
      <c r="BI35" s="19"/>
      <c r="BJ35" s="19"/>
      <c r="BK35" s="3"/>
      <c r="BL35" s="3"/>
      <c r="BM35" s="3"/>
      <c r="BN35" s="3"/>
      <c r="BO35" s="3"/>
      <c r="BP35" s="19"/>
      <c r="BQ35" s="19"/>
      <c r="BR35" s="3"/>
      <c r="BS35" s="3"/>
      <c r="BT35" s="3"/>
      <c r="BU35" s="3"/>
      <c r="BV35" s="3"/>
      <c r="BW35" s="19"/>
      <c r="BX35" s="19"/>
      <c r="BY35" s="3"/>
      <c r="BZ35" s="3"/>
      <c r="CA35" s="3"/>
      <c r="CB35" s="3"/>
      <c r="CC35" s="3"/>
      <c r="CD35" s="19"/>
      <c r="CE35" s="19"/>
      <c r="CF35" s="3"/>
      <c r="CG35" s="3"/>
      <c r="CH35" s="3"/>
      <c r="CI35" s="3"/>
      <c r="CJ35" s="3"/>
      <c r="CK35" s="19"/>
      <c r="CL35" s="19"/>
      <c r="CM35" s="3"/>
      <c r="CN35" s="3"/>
      <c r="CO35" s="3"/>
      <c r="CP35" s="3"/>
      <c r="CQ35" s="3"/>
      <c r="CR35" s="19"/>
      <c r="CS35" s="20"/>
      <c r="CT35" s="4"/>
      <c r="CU35" s="4"/>
      <c r="CV35" s="4"/>
      <c r="CW35" s="4"/>
      <c r="CX35" s="4"/>
      <c r="CY35" s="20"/>
      <c r="CZ35" s="20"/>
      <c r="DA35" s="4"/>
      <c r="DB35" s="4"/>
      <c r="DC35" s="4"/>
      <c r="DD35" s="4"/>
      <c r="DE35" s="4"/>
      <c r="DF35" s="20"/>
      <c r="DG35" s="20"/>
      <c r="DH35" s="4"/>
      <c r="DI35" s="4"/>
      <c r="DJ35" s="4"/>
      <c r="DK35" s="4"/>
      <c r="DL35" s="4"/>
      <c r="DM35" s="20"/>
      <c r="DN35" s="20"/>
      <c r="DO35" s="4"/>
      <c r="DP35" s="4"/>
      <c r="DQ35" s="4"/>
      <c r="DR35" s="4"/>
      <c r="DS35" s="4"/>
      <c r="DT35" s="20"/>
      <c r="DU35" s="20"/>
      <c r="DV35" s="4"/>
    </row>
    <row r="36" ht="13.5" customHeight="1">
      <c r="A36" s="21"/>
      <c r="B36" s="35" t="s">
        <v>13</v>
      </c>
      <c r="C36" s="33">
        <v>6.0</v>
      </c>
      <c r="D36" s="16">
        <f t="shared" ref="D36:D38" si="10">SUM(E36:DV36)</f>
        <v>3.5</v>
      </c>
      <c r="E36" s="17"/>
      <c r="F36" s="17"/>
      <c r="G36" s="14">
        <v>1.0</v>
      </c>
      <c r="H36" s="14">
        <v>1.0</v>
      </c>
      <c r="I36" s="14">
        <v>0.5</v>
      </c>
      <c r="J36" s="14">
        <v>0.5</v>
      </c>
      <c r="K36" s="14">
        <v>0.5</v>
      </c>
      <c r="L36" s="17"/>
      <c r="M36" s="17"/>
      <c r="N36" s="14"/>
      <c r="O36" s="14"/>
      <c r="P36" s="14"/>
      <c r="Q36" s="14"/>
      <c r="R36" s="14"/>
      <c r="S36" s="17"/>
      <c r="T36" s="17"/>
      <c r="U36" s="16"/>
      <c r="V36" s="16"/>
      <c r="W36" s="16"/>
      <c r="X36" s="16"/>
      <c r="Y36" s="16"/>
      <c r="Z36" s="17"/>
      <c r="AA36" s="17"/>
      <c r="AB36" s="16"/>
      <c r="AC36" s="16"/>
      <c r="AD36" s="16"/>
      <c r="AE36" s="16"/>
      <c r="AF36" s="16"/>
      <c r="AG36" s="17"/>
      <c r="AH36" s="17"/>
      <c r="AI36" s="18"/>
      <c r="AJ36" s="18"/>
      <c r="AK36" s="18"/>
      <c r="AL36" s="18"/>
      <c r="AM36" s="18"/>
      <c r="AN36" s="17"/>
      <c r="AO36" s="17"/>
      <c r="AP36" s="18"/>
      <c r="AQ36" s="16"/>
      <c r="AR36" s="16"/>
      <c r="AS36" s="16"/>
      <c r="AT36" s="16"/>
      <c r="AU36" s="17"/>
      <c r="AV36" s="17"/>
      <c r="AW36" s="16"/>
      <c r="AX36" s="16"/>
      <c r="AY36" s="16"/>
      <c r="AZ36" s="16"/>
      <c r="BA36" s="16"/>
      <c r="BB36" s="19"/>
      <c r="BC36" s="19"/>
      <c r="BD36" s="3"/>
      <c r="BE36" s="3"/>
      <c r="BF36" s="3"/>
      <c r="BG36" s="3"/>
      <c r="BH36" s="3"/>
      <c r="BI36" s="19"/>
      <c r="BJ36" s="19"/>
      <c r="BK36" s="3"/>
      <c r="BL36" s="3"/>
      <c r="BM36" s="3"/>
      <c r="BN36" s="3"/>
      <c r="BO36" s="3"/>
      <c r="BP36" s="19"/>
      <c r="BQ36" s="19"/>
      <c r="BR36" s="3"/>
      <c r="BS36" s="3"/>
      <c r="BT36" s="3"/>
      <c r="BU36" s="3"/>
      <c r="BV36" s="3"/>
      <c r="BW36" s="19"/>
      <c r="BX36" s="19"/>
      <c r="BY36" s="3"/>
      <c r="BZ36" s="3"/>
      <c r="CA36" s="3"/>
      <c r="CB36" s="3"/>
      <c r="CC36" s="3"/>
      <c r="CD36" s="19"/>
      <c r="CE36" s="19"/>
      <c r="CF36" s="3"/>
      <c r="CG36" s="3"/>
      <c r="CH36" s="3"/>
      <c r="CI36" s="3"/>
      <c r="CJ36" s="3"/>
      <c r="CK36" s="19"/>
      <c r="CL36" s="19"/>
      <c r="CM36" s="3"/>
      <c r="CN36" s="3"/>
      <c r="CO36" s="3"/>
      <c r="CP36" s="3"/>
      <c r="CQ36" s="3"/>
      <c r="CR36" s="19"/>
      <c r="CS36" s="20"/>
      <c r="CT36" s="4"/>
      <c r="CU36" s="4"/>
      <c r="CV36" s="4"/>
      <c r="CW36" s="4"/>
      <c r="CX36" s="4"/>
      <c r="CY36" s="20"/>
      <c r="CZ36" s="20"/>
      <c r="DA36" s="4"/>
      <c r="DB36" s="4"/>
      <c r="DC36" s="4"/>
      <c r="DD36" s="4"/>
      <c r="DE36" s="4"/>
      <c r="DF36" s="20"/>
      <c r="DG36" s="20"/>
      <c r="DH36" s="4"/>
      <c r="DI36" s="4"/>
      <c r="DJ36" s="4"/>
      <c r="DK36" s="4"/>
      <c r="DL36" s="4"/>
      <c r="DM36" s="20"/>
      <c r="DN36" s="20"/>
      <c r="DO36" s="4"/>
      <c r="DP36" s="4"/>
      <c r="DQ36" s="4"/>
      <c r="DR36" s="4"/>
      <c r="DS36" s="4"/>
      <c r="DT36" s="20"/>
      <c r="DU36" s="20"/>
      <c r="DV36" s="4"/>
    </row>
    <row r="37" ht="13.5" customHeight="1">
      <c r="A37" s="21"/>
      <c r="B37" s="35" t="s">
        <v>14</v>
      </c>
      <c r="C37" s="33">
        <v>6.0</v>
      </c>
      <c r="D37" s="16">
        <f t="shared" si="10"/>
        <v>1.9</v>
      </c>
      <c r="E37" s="24"/>
      <c r="F37" s="24"/>
      <c r="G37" s="34">
        <v>0.2</v>
      </c>
      <c r="H37" s="34">
        <v>0.2</v>
      </c>
      <c r="I37" s="34">
        <v>0.5</v>
      </c>
      <c r="J37" s="34">
        <v>0.5</v>
      </c>
      <c r="K37" s="34">
        <v>0.5</v>
      </c>
      <c r="L37" s="24"/>
      <c r="M37" s="24"/>
      <c r="N37" s="25"/>
      <c r="O37" s="25"/>
      <c r="P37" s="25"/>
      <c r="Q37" s="34"/>
      <c r="R37" s="34"/>
      <c r="S37" s="24"/>
      <c r="T37" s="24"/>
      <c r="U37" s="34"/>
      <c r="V37" s="34"/>
      <c r="W37" s="34"/>
      <c r="X37" s="25"/>
      <c r="Y37" s="25"/>
      <c r="Z37" s="24"/>
      <c r="AA37" s="24"/>
      <c r="AB37" s="34"/>
      <c r="AC37" s="34"/>
      <c r="AD37" s="34"/>
      <c r="AE37" s="25"/>
      <c r="AF37" s="25"/>
      <c r="AG37" s="24"/>
      <c r="AH37" s="24"/>
      <c r="AI37" s="26"/>
      <c r="AJ37" s="26"/>
      <c r="AK37" s="26"/>
      <c r="AL37" s="26"/>
      <c r="AM37" s="26"/>
      <c r="AN37" s="24"/>
      <c r="AO37" s="24"/>
      <c r="AP37" s="26"/>
      <c r="AQ37" s="25"/>
      <c r="AR37" s="25"/>
      <c r="AS37" s="25"/>
      <c r="AT37" s="25"/>
      <c r="AU37" s="24"/>
      <c r="AV37" s="24"/>
      <c r="AW37" s="25"/>
      <c r="AX37" s="25"/>
      <c r="AY37" s="25"/>
      <c r="AZ37" s="25"/>
      <c r="BA37" s="25"/>
      <c r="BB37" s="19"/>
      <c r="BC37" s="19"/>
      <c r="BD37" s="3"/>
      <c r="BE37" s="3"/>
      <c r="BF37" s="3"/>
      <c r="BG37" s="3"/>
      <c r="BH37" s="3"/>
      <c r="BI37" s="19"/>
      <c r="BJ37" s="19"/>
      <c r="BK37" s="3"/>
      <c r="BL37" s="3"/>
      <c r="BM37" s="3"/>
      <c r="BN37" s="3"/>
      <c r="BO37" s="3"/>
      <c r="BP37" s="19"/>
      <c r="BQ37" s="19"/>
      <c r="BR37" s="3"/>
      <c r="BS37" s="3"/>
      <c r="BT37" s="3"/>
      <c r="BU37" s="3"/>
      <c r="BV37" s="3"/>
      <c r="BW37" s="19"/>
      <c r="BX37" s="19"/>
      <c r="BY37" s="3"/>
      <c r="BZ37" s="3"/>
      <c r="CA37" s="3"/>
      <c r="CB37" s="3"/>
      <c r="CC37" s="3"/>
      <c r="CD37" s="19"/>
      <c r="CE37" s="19"/>
      <c r="CF37" s="3"/>
      <c r="CG37" s="3"/>
      <c r="CH37" s="3"/>
      <c r="CI37" s="3"/>
      <c r="CJ37" s="3"/>
      <c r="CK37" s="19"/>
      <c r="CL37" s="19"/>
      <c r="CM37" s="3"/>
      <c r="CN37" s="3"/>
      <c r="CO37" s="3"/>
      <c r="CP37" s="3"/>
      <c r="CQ37" s="3"/>
      <c r="CR37" s="19"/>
      <c r="CS37" s="20"/>
      <c r="CT37" s="4"/>
      <c r="CU37" s="4"/>
      <c r="CV37" s="4"/>
      <c r="CW37" s="4"/>
      <c r="CX37" s="4"/>
      <c r="CY37" s="20"/>
      <c r="CZ37" s="20"/>
      <c r="DA37" s="4"/>
      <c r="DB37" s="4"/>
      <c r="DC37" s="4"/>
      <c r="DD37" s="4"/>
      <c r="DE37" s="4"/>
      <c r="DF37" s="20"/>
      <c r="DG37" s="20"/>
      <c r="DH37" s="4"/>
      <c r="DI37" s="4"/>
      <c r="DJ37" s="4"/>
      <c r="DK37" s="4"/>
      <c r="DL37" s="4"/>
      <c r="DM37" s="20"/>
      <c r="DN37" s="20"/>
      <c r="DO37" s="4"/>
      <c r="DP37" s="4"/>
      <c r="DQ37" s="4"/>
      <c r="DR37" s="4"/>
      <c r="DS37" s="4"/>
      <c r="DT37" s="20"/>
      <c r="DU37" s="20"/>
      <c r="DV37" s="4"/>
    </row>
    <row r="38" ht="13.5" customHeight="1">
      <c r="A38" s="13"/>
      <c r="B38" s="36" t="s">
        <v>15</v>
      </c>
      <c r="C38" s="33">
        <v>17.0</v>
      </c>
      <c r="D38" s="16">
        <f t="shared" si="10"/>
        <v>1.9</v>
      </c>
      <c r="E38" s="17"/>
      <c r="F38" s="17"/>
      <c r="G38" s="14">
        <v>0.2</v>
      </c>
      <c r="H38" s="14">
        <v>0.2</v>
      </c>
      <c r="I38" s="14">
        <v>0.5</v>
      </c>
      <c r="J38" s="14">
        <v>0.5</v>
      </c>
      <c r="K38" s="14">
        <v>0.5</v>
      </c>
      <c r="L38" s="17"/>
      <c r="M38" s="17"/>
      <c r="N38" s="14"/>
      <c r="O38" s="14"/>
      <c r="P38" s="14"/>
      <c r="Q38" s="14"/>
      <c r="R38" s="14"/>
      <c r="S38" s="17"/>
      <c r="T38" s="17"/>
      <c r="U38" s="14"/>
      <c r="V38" s="14"/>
      <c r="W38" s="14"/>
      <c r="X38" s="14"/>
      <c r="Y38" s="14"/>
      <c r="Z38" s="17"/>
      <c r="AA38" s="17"/>
      <c r="AB38" s="14"/>
      <c r="AC38" s="14"/>
      <c r="AD38" s="14"/>
      <c r="AE38" s="16"/>
      <c r="AF38" s="16"/>
      <c r="AG38" s="17"/>
      <c r="AH38" s="17"/>
      <c r="AI38" s="18"/>
      <c r="AJ38" s="18"/>
      <c r="AK38" s="18"/>
      <c r="AL38" s="18"/>
      <c r="AM38" s="18"/>
      <c r="AN38" s="17"/>
      <c r="AO38" s="17"/>
      <c r="AP38" s="18"/>
      <c r="AQ38" s="16"/>
      <c r="AR38" s="16"/>
      <c r="AS38" s="16"/>
      <c r="AT38" s="16"/>
      <c r="AU38" s="17"/>
      <c r="AV38" s="17"/>
      <c r="AW38" s="16"/>
      <c r="AX38" s="16"/>
      <c r="AY38" s="16"/>
      <c r="AZ38" s="16"/>
      <c r="BA38" s="16"/>
      <c r="BB38" s="19"/>
      <c r="BC38" s="19"/>
      <c r="BD38" s="3"/>
      <c r="BE38" s="3"/>
      <c r="BF38" s="3"/>
      <c r="BG38" s="3"/>
      <c r="BH38" s="3"/>
      <c r="BI38" s="19"/>
      <c r="BJ38" s="19"/>
      <c r="BK38" s="3"/>
      <c r="BL38" s="3"/>
      <c r="BM38" s="3"/>
      <c r="BN38" s="3"/>
      <c r="BO38" s="3"/>
      <c r="BP38" s="19"/>
      <c r="BQ38" s="19"/>
      <c r="BR38" s="3"/>
      <c r="BS38" s="3"/>
      <c r="BT38" s="3"/>
      <c r="BU38" s="3"/>
      <c r="BV38" s="3"/>
      <c r="BW38" s="19"/>
      <c r="BX38" s="19"/>
      <c r="BY38" s="3"/>
      <c r="BZ38" s="3"/>
      <c r="CA38" s="3"/>
      <c r="CB38" s="3"/>
      <c r="CC38" s="3"/>
      <c r="CD38" s="19"/>
      <c r="CE38" s="19"/>
      <c r="CF38" s="3"/>
      <c r="CG38" s="3"/>
      <c r="CH38" s="3"/>
      <c r="CI38" s="3"/>
      <c r="CJ38" s="3"/>
      <c r="CK38" s="19"/>
      <c r="CL38" s="19"/>
      <c r="CM38" s="3"/>
      <c r="CN38" s="3"/>
      <c r="CO38" s="3"/>
      <c r="CP38" s="3"/>
      <c r="CQ38" s="3"/>
      <c r="CR38" s="19"/>
      <c r="CS38" s="20"/>
      <c r="CT38" s="4"/>
      <c r="CU38" s="4"/>
      <c r="CV38" s="4"/>
      <c r="CW38" s="4"/>
      <c r="CX38" s="4"/>
      <c r="CY38" s="20"/>
      <c r="CZ38" s="20"/>
      <c r="DA38" s="4"/>
      <c r="DB38" s="4"/>
      <c r="DC38" s="4"/>
      <c r="DD38" s="4"/>
      <c r="DE38" s="4"/>
      <c r="DF38" s="20"/>
      <c r="DG38" s="20"/>
      <c r="DH38" s="4"/>
      <c r="DI38" s="4"/>
      <c r="DJ38" s="4"/>
      <c r="DK38" s="4"/>
      <c r="DL38" s="4"/>
      <c r="DM38" s="20"/>
      <c r="DN38" s="20"/>
      <c r="DO38" s="4"/>
      <c r="DP38" s="4"/>
      <c r="DQ38" s="4"/>
      <c r="DR38" s="4"/>
      <c r="DS38" s="4"/>
      <c r="DT38" s="20"/>
      <c r="DU38" s="20"/>
      <c r="DV38" s="4"/>
    </row>
    <row r="39" ht="13.5" customHeight="1">
      <c r="A39" s="37" t="s">
        <v>16</v>
      </c>
      <c r="B39" s="22" t="s">
        <v>17</v>
      </c>
      <c r="C39" s="23">
        <v>65.0</v>
      </c>
      <c r="D39" s="23">
        <f>D40+D44</f>
        <v>0</v>
      </c>
      <c r="E39" s="17"/>
      <c r="F39" s="17"/>
      <c r="G39" s="16"/>
      <c r="H39" s="16"/>
      <c r="I39" s="16"/>
      <c r="J39" s="16"/>
      <c r="K39" s="16"/>
      <c r="L39" s="17"/>
      <c r="M39" s="17"/>
      <c r="N39" s="16"/>
      <c r="O39" s="16"/>
      <c r="P39" s="16"/>
      <c r="Q39" s="16"/>
      <c r="R39" s="16"/>
      <c r="S39" s="17"/>
      <c r="T39" s="17"/>
      <c r="U39" s="16"/>
      <c r="V39" s="16"/>
      <c r="W39" s="16"/>
      <c r="X39" s="16"/>
      <c r="Y39" s="16"/>
      <c r="Z39" s="17"/>
      <c r="AA39" s="17"/>
      <c r="AB39" s="16"/>
      <c r="AC39" s="16"/>
      <c r="AD39" s="16"/>
      <c r="AE39" s="16"/>
      <c r="AF39" s="16"/>
      <c r="AG39" s="17"/>
      <c r="AH39" s="17"/>
      <c r="AI39" s="18"/>
      <c r="AJ39" s="18"/>
      <c r="AK39" s="18"/>
      <c r="AL39" s="18"/>
      <c r="AM39" s="18"/>
      <c r="AN39" s="17"/>
      <c r="AO39" s="17"/>
      <c r="AP39" s="18"/>
      <c r="AQ39" s="16"/>
      <c r="AR39" s="16"/>
      <c r="AS39" s="16"/>
      <c r="AT39" s="16"/>
      <c r="AU39" s="17"/>
      <c r="AV39" s="17"/>
      <c r="AW39" s="16"/>
      <c r="AX39" s="16"/>
      <c r="AY39" s="16"/>
      <c r="AZ39" s="16"/>
      <c r="BA39" s="16"/>
      <c r="BB39" s="19"/>
      <c r="BC39" s="19"/>
      <c r="BD39" s="3"/>
      <c r="BE39" s="3"/>
      <c r="BF39" s="3"/>
      <c r="BG39" s="3"/>
      <c r="BH39" s="3"/>
      <c r="BI39" s="19"/>
      <c r="BJ39" s="19"/>
      <c r="BK39" s="3"/>
      <c r="BL39" s="3"/>
      <c r="BM39" s="3"/>
      <c r="BN39" s="3"/>
      <c r="BO39" s="3"/>
      <c r="BP39" s="19"/>
      <c r="BQ39" s="19"/>
      <c r="BR39" s="3"/>
      <c r="BS39" s="3"/>
      <c r="BT39" s="3"/>
      <c r="BU39" s="3"/>
      <c r="BV39" s="3"/>
      <c r="BW39" s="19"/>
      <c r="BX39" s="19"/>
      <c r="BY39" s="3"/>
      <c r="BZ39" s="3"/>
      <c r="CA39" s="3"/>
      <c r="CB39" s="3"/>
      <c r="CC39" s="3"/>
      <c r="CD39" s="19"/>
      <c r="CE39" s="19"/>
      <c r="CF39" s="3"/>
      <c r="CG39" s="3"/>
      <c r="CH39" s="3"/>
      <c r="CI39" s="3"/>
      <c r="CJ39" s="3"/>
      <c r="CK39" s="19"/>
      <c r="CL39" s="19"/>
      <c r="CM39" s="3"/>
      <c r="CN39" s="3"/>
      <c r="CO39" s="3"/>
      <c r="CP39" s="3"/>
      <c r="CQ39" s="3"/>
      <c r="CR39" s="19"/>
      <c r="CS39" s="20"/>
      <c r="CT39" s="4"/>
      <c r="CU39" s="4"/>
      <c r="CV39" s="4"/>
      <c r="CW39" s="4"/>
      <c r="CX39" s="4"/>
      <c r="CY39" s="20"/>
      <c r="CZ39" s="20"/>
      <c r="DA39" s="4"/>
      <c r="DB39" s="4"/>
      <c r="DC39" s="4"/>
      <c r="DD39" s="4"/>
      <c r="DE39" s="4"/>
      <c r="DF39" s="20"/>
      <c r="DG39" s="20"/>
      <c r="DH39" s="4"/>
      <c r="DI39" s="4"/>
      <c r="DJ39" s="4"/>
      <c r="DK39" s="4"/>
      <c r="DL39" s="4"/>
      <c r="DM39" s="20"/>
      <c r="DN39" s="20"/>
      <c r="DO39" s="4"/>
      <c r="DP39" s="4"/>
      <c r="DQ39" s="4"/>
      <c r="DR39" s="4"/>
      <c r="DS39" s="4"/>
      <c r="DT39" s="20"/>
      <c r="DU39" s="20"/>
      <c r="DV39" s="4"/>
    </row>
    <row r="40" ht="13.5" customHeight="1">
      <c r="A40" s="21"/>
      <c r="B40" s="31" t="s">
        <v>18</v>
      </c>
      <c r="C40" s="16">
        <v>49.0</v>
      </c>
      <c r="D40" s="16">
        <f>SUM(D41:D43)</f>
        <v>0</v>
      </c>
      <c r="E40" s="17"/>
      <c r="F40" s="17"/>
      <c r="G40" s="16"/>
      <c r="H40" s="16"/>
      <c r="I40" s="16"/>
      <c r="J40" s="16"/>
      <c r="K40" s="16"/>
      <c r="L40" s="17"/>
      <c r="M40" s="17"/>
      <c r="N40" s="16"/>
      <c r="O40" s="16"/>
      <c r="P40" s="16"/>
      <c r="Q40" s="16"/>
      <c r="R40" s="16"/>
      <c r="S40" s="17"/>
      <c r="T40" s="17"/>
      <c r="U40" s="16"/>
      <c r="V40" s="16"/>
      <c r="W40" s="16"/>
      <c r="X40" s="16"/>
      <c r="Y40" s="16"/>
      <c r="Z40" s="17"/>
      <c r="AA40" s="17"/>
      <c r="AB40" s="16"/>
      <c r="AC40" s="16"/>
      <c r="AD40" s="16"/>
      <c r="AE40" s="16"/>
      <c r="AF40" s="16"/>
      <c r="AG40" s="17"/>
      <c r="AH40" s="17"/>
      <c r="AI40" s="18"/>
      <c r="AJ40" s="18"/>
      <c r="AK40" s="18"/>
      <c r="AL40" s="18"/>
      <c r="AM40" s="18"/>
      <c r="AN40" s="17"/>
      <c r="AO40" s="17"/>
      <c r="AP40" s="18"/>
      <c r="AQ40" s="16"/>
      <c r="AR40" s="16"/>
      <c r="AS40" s="16"/>
      <c r="AT40" s="16"/>
      <c r="AU40" s="17"/>
      <c r="AV40" s="17"/>
      <c r="AW40" s="16"/>
      <c r="AX40" s="16"/>
      <c r="AY40" s="16"/>
      <c r="AZ40" s="16"/>
      <c r="BA40" s="16"/>
      <c r="BB40" s="19"/>
      <c r="BC40" s="19"/>
      <c r="BD40" s="3"/>
      <c r="BE40" s="3"/>
      <c r="BF40" s="3"/>
      <c r="BG40" s="3"/>
      <c r="BH40" s="3"/>
      <c r="BI40" s="19"/>
      <c r="BJ40" s="19"/>
      <c r="BK40" s="3"/>
      <c r="BL40" s="3"/>
      <c r="BM40" s="3"/>
      <c r="BN40" s="3"/>
      <c r="BO40" s="3"/>
      <c r="BP40" s="19"/>
      <c r="BQ40" s="19"/>
      <c r="BR40" s="3"/>
      <c r="BS40" s="3"/>
      <c r="BT40" s="3"/>
      <c r="BU40" s="3"/>
      <c r="BV40" s="3"/>
      <c r="BW40" s="19"/>
      <c r="BX40" s="19"/>
      <c r="BY40" s="3"/>
      <c r="BZ40" s="3"/>
      <c r="CA40" s="3"/>
      <c r="CB40" s="3"/>
      <c r="CC40" s="3"/>
      <c r="CD40" s="19"/>
      <c r="CE40" s="19"/>
      <c r="CF40" s="3"/>
      <c r="CG40" s="3"/>
      <c r="CH40" s="3"/>
      <c r="CI40" s="3"/>
      <c r="CJ40" s="3"/>
      <c r="CK40" s="19"/>
      <c r="CL40" s="19"/>
      <c r="CM40" s="3"/>
      <c r="CN40" s="3"/>
      <c r="CO40" s="3"/>
      <c r="CP40" s="3"/>
      <c r="CQ40" s="3"/>
      <c r="CR40" s="19"/>
      <c r="CS40" s="20"/>
      <c r="CT40" s="4"/>
      <c r="CU40" s="4"/>
      <c r="CV40" s="4"/>
      <c r="CW40" s="4"/>
      <c r="CX40" s="4"/>
      <c r="CY40" s="20"/>
      <c r="CZ40" s="20"/>
      <c r="DA40" s="4"/>
      <c r="DB40" s="4"/>
      <c r="DC40" s="4"/>
      <c r="DD40" s="4"/>
      <c r="DE40" s="4"/>
      <c r="DF40" s="20"/>
      <c r="DG40" s="20"/>
      <c r="DH40" s="4"/>
      <c r="DI40" s="4"/>
      <c r="DJ40" s="4"/>
      <c r="DK40" s="4"/>
      <c r="DL40" s="4"/>
      <c r="DM40" s="20"/>
      <c r="DN40" s="20"/>
      <c r="DO40" s="4"/>
      <c r="DP40" s="4"/>
      <c r="DQ40" s="4"/>
      <c r="DR40" s="4"/>
      <c r="DS40" s="4"/>
      <c r="DT40" s="20"/>
      <c r="DU40" s="20"/>
      <c r="DV40" s="4"/>
    </row>
    <row r="41" ht="13.5" customHeight="1">
      <c r="A41" s="21"/>
      <c r="B41" s="35" t="s">
        <v>19</v>
      </c>
      <c r="C41" s="48">
        <v>1.0</v>
      </c>
      <c r="D41" s="16">
        <f t="shared" ref="D41:D43" si="11">SUM(E41:DV41)</f>
        <v>0</v>
      </c>
      <c r="E41" s="17"/>
      <c r="F41" s="17"/>
      <c r="G41" s="16"/>
      <c r="H41" s="16"/>
      <c r="I41" s="16"/>
      <c r="J41" s="16"/>
      <c r="K41" s="16"/>
      <c r="L41" s="17"/>
      <c r="M41" s="17"/>
      <c r="N41" s="16"/>
      <c r="O41" s="16"/>
      <c r="P41" s="16"/>
      <c r="Q41" s="16"/>
      <c r="R41" s="16"/>
      <c r="S41" s="17"/>
      <c r="T41" s="17"/>
      <c r="U41" s="16"/>
      <c r="V41" s="16"/>
      <c r="W41" s="16"/>
      <c r="X41" s="16"/>
      <c r="Y41" s="16"/>
      <c r="Z41" s="17"/>
      <c r="AA41" s="17"/>
      <c r="AB41" s="16"/>
      <c r="AC41" s="16"/>
      <c r="AD41" s="16"/>
      <c r="AE41" s="16"/>
      <c r="AF41" s="16"/>
      <c r="AG41" s="17"/>
      <c r="AH41" s="17"/>
      <c r="AI41" s="18"/>
      <c r="AJ41" s="18"/>
      <c r="AK41" s="18"/>
      <c r="AL41" s="18"/>
      <c r="AM41" s="18"/>
      <c r="AN41" s="17"/>
      <c r="AO41" s="17"/>
      <c r="AP41" s="18"/>
      <c r="AQ41" s="16"/>
      <c r="AR41" s="16"/>
      <c r="AS41" s="16"/>
      <c r="AT41" s="16"/>
      <c r="AU41" s="17"/>
      <c r="AV41" s="17"/>
      <c r="AW41" s="16"/>
      <c r="AX41" s="16"/>
      <c r="AY41" s="16"/>
      <c r="AZ41" s="16"/>
      <c r="BA41" s="16"/>
      <c r="BB41" s="27"/>
      <c r="BC41" s="27"/>
      <c r="BD41" s="28"/>
      <c r="BE41" s="28"/>
      <c r="BF41" s="28"/>
      <c r="BG41" s="28"/>
      <c r="BH41" s="28"/>
      <c r="BI41" s="27"/>
      <c r="BJ41" s="27"/>
      <c r="BK41" s="28"/>
      <c r="BL41" s="28"/>
      <c r="BM41" s="28"/>
      <c r="BN41" s="28"/>
      <c r="BO41" s="28"/>
      <c r="BP41" s="27"/>
      <c r="BQ41" s="27"/>
      <c r="BR41" s="28"/>
      <c r="BS41" s="28"/>
      <c r="BT41" s="28"/>
      <c r="BU41" s="28"/>
      <c r="BV41" s="28"/>
      <c r="BW41" s="27"/>
      <c r="BX41" s="27"/>
      <c r="BY41" s="28"/>
      <c r="BZ41" s="28"/>
      <c r="CA41" s="28"/>
      <c r="CB41" s="28"/>
      <c r="CC41" s="28"/>
      <c r="CD41" s="27"/>
      <c r="CE41" s="27"/>
      <c r="CF41" s="28"/>
      <c r="CG41" s="28"/>
      <c r="CH41" s="28"/>
      <c r="CI41" s="28"/>
      <c r="CJ41" s="28"/>
      <c r="CK41" s="27"/>
      <c r="CL41" s="27"/>
      <c r="CM41" s="28"/>
      <c r="CN41" s="28"/>
      <c r="CO41" s="28"/>
      <c r="CP41" s="28"/>
      <c r="CQ41" s="28"/>
      <c r="CR41" s="27"/>
      <c r="CS41" s="29"/>
      <c r="CT41" s="4"/>
      <c r="CU41" s="30"/>
      <c r="CV41" s="4"/>
      <c r="CW41" s="4"/>
      <c r="CX41" s="4"/>
      <c r="CY41" s="20"/>
      <c r="CZ41" s="29"/>
      <c r="DA41" s="4"/>
      <c r="DB41" s="4"/>
      <c r="DC41" s="4"/>
      <c r="DD41" s="4"/>
      <c r="DE41" s="4"/>
      <c r="DF41" s="20"/>
      <c r="DG41" s="29"/>
      <c r="DH41" s="4"/>
      <c r="DI41" s="4"/>
      <c r="DJ41" s="4"/>
      <c r="DK41" s="4"/>
      <c r="DL41" s="4"/>
      <c r="DM41" s="20"/>
      <c r="DN41" s="29"/>
      <c r="DO41" s="4"/>
      <c r="DP41" s="4"/>
      <c r="DQ41" s="4"/>
      <c r="DR41" s="4"/>
      <c r="DS41" s="4"/>
      <c r="DT41" s="20"/>
      <c r="DU41" s="29"/>
      <c r="DV41" s="4"/>
    </row>
    <row r="42" ht="13.5" customHeight="1">
      <c r="A42" s="21"/>
      <c r="B42" s="35" t="s">
        <v>20</v>
      </c>
      <c r="C42" s="33">
        <v>45.0</v>
      </c>
      <c r="D42" s="16">
        <f t="shared" si="11"/>
        <v>0</v>
      </c>
      <c r="E42" s="24"/>
      <c r="F42" s="27"/>
      <c r="G42" s="28"/>
      <c r="H42" s="25"/>
      <c r="I42" s="25"/>
      <c r="J42" s="25"/>
      <c r="K42" s="25"/>
      <c r="L42" s="24"/>
      <c r="M42" s="24"/>
      <c r="N42" s="25"/>
      <c r="O42" s="25"/>
      <c r="P42" s="25"/>
      <c r="Q42" s="25"/>
      <c r="R42" s="25"/>
      <c r="S42" s="24"/>
      <c r="T42" s="24"/>
      <c r="U42" s="25"/>
      <c r="V42" s="25"/>
      <c r="W42" s="25"/>
      <c r="X42" s="25"/>
      <c r="Y42" s="25"/>
      <c r="Z42" s="24"/>
      <c r="AA42" s="24"/>
      <c r="AB42" s="34"/>
      <c r="AC42" s="34"/>
      <c r="AD42" s="34"/>
      <c r="AE42" s="34"/>
      <c r="AF42" s="34"/>
      <c r="AG42" s="24"/>
      <c r="AH42" s="24"/>
      <c r="AI42" s="26"/>
      <c r="AJ42" s="26"/>
      <c r="AK42" s="26"/>
      <c r="AL42" s="26"/>
      <c r="AM42" s="26"/>
      <c r="AN42" s="24"/>
      <c r="AO42" s="24"/>
      <c r="AP42" s="26"/>
      <c r="AQ42" s="34"/>
      <c r="AR42" s="34"/>
      <c r="AS42" s="34"/>
      <c r="AT42" s="34"/>
      <c r="AU42" s="38"/>
      <c r="AV42" s="24"/>
      <c r="AW42" s="34"/>
      <c r="AX42" s="34"/>
      <c r="AY42" s="34"/>
      <c r="AZ42" s="34"/>
      <c r="BA42" s="34"/>
      <c r="BB42" s="27"/>
      <c r="BC42" s="27"/>
      <c r="BD42" s="39"/>
      <c r="BE42" s="39"/>
      <c r="BF42" s="39"/>
      <c r="BG42" s="39"/>
      <c r="BH42" s="39"/>
      <c r="BI42" s="27"/>
      <c r="BJ42" s="27"/>
      <c r="BK42" s="39"/>
      <c r="BL42" s="39"/>
      <c r="BM42" s="39"/>
      <c r="BN42" s="39"/>
      <c r="BO42" s="39"/>
      <c r="BP42" s="27"/>
      <c r="BQ42" s="27"/>
      <c r="BR42" s="39"/>
      <c r="BS42" s="39"/>
      <c r="BT42" s="39"/>
      <c r="BU42" s="39"/>
      <c r="BV42" s="39"/>
      <c r="BW42" s="27"/>
      <c r="BX42" s="27"/>
      <c r="BY42" s="39"/>
      <c r="BZ42" s="39"/>
      <c r="CA42" s="39"/>
      <c r="CB42" s="39"/>
      <c r="CC42" s="39"/>
      <c r="CD42" s="27"/>
      <c r="CE42" s="27"/>
      <c r="CF42" s="39"/>
      <c r="CG42" s="39"/>
      <c r="CH42" s="39"/>
      <c r="CI42" s="39"/>
      <c r="CJ42" s="39"/>
      <c r="CK42" s="27"/>
      <c r="CL42" s="27"/>
      <c r="CM42" s="39"/>
      <c r="CN42" s="39"/>
      <c r="CO42" s="39"/>
      <c r="CP42" s="39"/>
      <c r="CQ42" s="39"/>
      <c r="CR42" s="27"/>
      <c r="CS42" s="29"/>
      <c r="CT42" s="40"/>
      <c r="CU42" s="41"/>
      <c r="CV42" s="40"/>
      <c r="CW42" s="40"/>
      <c r="CX42" s="40"/>
      <c r="CY42" s="20"/>
      <c r="CZ42" s="29"/>
      <c r="DA42" s="40"/>
      <c r="DB42" s="40"/>
      <c r="DC42" s="40"/>
      <c r="DD42" s="40"/>
      <c r="DE42" s="4"/>
      <c r="DF42" s="20"/>
      <c r="DG42" s="29"/>
      <c r="DH42" s="4"/>
      <c r="DI42" s="4"/>
      <c r="DJ42" s="4"/>
      <c r="DK42" s="4"/>
      <c r="DL42" s="4"/>
      <c r="DM42" s="20"/>
      <c r="DN42" s="29"/>
      <c r="DO42" s="4"/>
      <c r="DP42" s="4"/>
      <c r="DQ42" s="4"/>
      <c r="DR42" s="4"/>
      <c r="DS42" s="4"/>
      <c r="DT42" s="20"/>
      <c r="DU42" s="29"/>
      <c r="DV42" s="4"/>
    </row>
    <row r="43" ht="13.5" customHeight="1">
      <c r="A43" s="21"/>
      <c r="B43" s="35" t="s">
        <v>21</v>
      </c>
      <c r="C43" s="33">
        <v>3.0</v>
      </c>
      <c r="D43" s="16">
        <f t="shared" si="11"/>
        <v>0</v>
      </c>
      <c r="E43" s="24"/>
      <c r="F43" s="24"/>
      <c r="G43" s="28"/>
      <c r="H43" s="25"/>
      <c r="I43" s="25"/>
      <c r="J43" s="25"/>
      <c r="K43" s="25"/>
      <c r="L43" s="24"/>
      <c r="M43" s="24"/>
      <c r="N43" s="25"/>
      <c r="O43" s="25"/>
      <c r="P43" s="25"/>
      <c r="Q43" s="25"/>
      <c r="R43" s="25"/>
      <c r="S43" s="24"/>
      <c r="T43" s="24"/>
      <c r="U43" s="25"/>
      <c r="V43" s="25"/>
      <c r="W43" s="25"/>
      <c r="X43" s="25"/>
      <c r="Y43" s="25"/>
      <c r="Z43" s="24"/>
      <c r="AA43" s="24"/>
      <c r="AB43" s="25"/>
      <c r="AC43" s="25"/>
      <c r="AD43" s="25"/>
      <c r="AE43" s="25"/>
      <c r="AF43" s="25"/>
      <c r="AG43" s="24"/>
      <c r="AH43" s="24"/>
      <c r="AI43" s="26"/>
      <c r="AJ43" s="26"/>
      <c r="AK43" s="26"/>
      <c r="AL43" s="26"/>
      <c r="AM43" s="26"/>
      <c r="AN43" s="24"/>
      <c r="AO43" s="24"/>
      <c r="AP43" s="26"/>
      <c r="AQ43" s="25"/>
      <c r="AR43" s="25"/>
      <c r="AS43" s="25"/>
      <c r="AT43" s="25"/>
      <c r="AU43" s="24"/>
      <c r="AV43" s="24"/>
      <c r="AW43" s="25"/>
      <c r="AX43" s="25"/>
      <c r="AY43" s="25"/>
      <c r="AZ43" s="25"/>
      <c r="BA43" s="25"/>
      <c r="BB43" s="27"/>
      <c r="BC43" s="27"/>
      <c r="BD43" s="28"/>
      <c r="BE43" s="28"/>
      <c r="BF43" s="28"/>
      <c r="BG43" s="28"/>
      <c r="BH43" s="28"/>
      <c r="BI43" s="27"/>
      <c r="BJ43" s="27"/>
      <c r="BK43" s="28"/>
      <c r="BL43" s="28"/>
      <c r="BM43" s="28"/>
      <c r="BN43" s="28"/>
      <c r="BO43" s="28"/>
      <c r="BP43" s="27"/>
      <c r="BQ43" s="27"/>
      <c r="BR43" s="39"/>
      <c r="BS43" s="39"/>
      <c r="BT43" s="39"/>
      <c r="BU43" s="28"/>
      <c r="BV43" s="28"/>
      <c r="BW43" s="27"/>
      <c r="BX43" s="27"/>
      <c r="BY43" s="28"/>
      <c r="BZ43" s="28"/>
      <c r="CA43" s="28"/>
      <c r="CB43" s="28"/>
      <c r="CC43" s="28"/>
      <c r="CD43" s="27"/>
      <c r="CE43" s="27"/>
      <c r="CF43" s="28"/>
      <c r="CG43" s="28"/>
      <c r="CH43" s="28"/>
      <c r="CI43" s="28"/>
      <c r="CJ43" s="28"/>
      <c r="CK43" s="27"/>
      <c r="CL43" s="27"/>
      <c r="CM43" s="39"/>
      <c r="CN43" s="39"/>
      <c r="CO43" s="39"/>
      <c r="CP43" s="28"/>
      <c r="CQ43" s="28"/>
      <c r="CR43" s="27"/>
      <c r="CS43" s="29"/>
      <c r="CT43" s="4"/>
      <c r="CU43" s="30"/>
      <c r="CV43" s="4"/>
      <c r="CW43" s="4"/>
      <c r="CX43" s="4"/>
      <c r="CY43" s="20"/>
      <c r="CZ43" s="29"/>
      <c r="DA43" s="40"/>
      <c r="DB43" s="40"/>
      <c r="DC43" s="40"/>
      <c r="DD43" s="4"/>
      <c r="DE43" s="4"/>
      <c r="DF43" s="20"/>
      <c r="DG43" s="29"/>
      <c r="DH43" s="4"/>
      <c r="DI43" s="4"/>
      <c r="DJ43" s="4"/>
      <c r="DK43" s="4"/>
      <c r="DL43" s="4"/>
      <c r="DM43" s="20"/>
      <c r="DN43" s="29"/>
      <c r="DO43" s="4"/>
      <c r="DP43" s="4"/>
      <c r="DQ43" s="4"/>
      <c r="DR43" s="4"/>
      <c r="DS43" s="4"/>
      <c r="DT43" s="20"/>
      <c r="DU43" s="29"/>
      <c r="DV43" s="4"/>
    </row>
    <row r="44" ht="13.5" customHeight="1">
      <c r="A44" s="21"/>
      <c r="B44" s="31" t="s">
        <v>22</v>
      </c>
      <c r="C44" s="16">
        <v>16.0</v>
      </c>
      <c r="D44" s="16">
        <f>SUM(D45:D47)</f>
        <v>0</v>
      </c>
      <c r="E44" s="24"/>
      <c r="F44" s="24"/>
      <c r="G44" s="25"/>
      <c r="H44" s="25"/>
      <c r="I44" s="25"/>
      <c r="J44" s="25"/>
      <c r="K44" s="25"/>
      <c r="L44" s="24"/>
      <c r="M44" s="24"/>
      <c r="N44" s="25"/>
      <c r="O44" s="25"/>
      <c r="P44" s="25"/>
      <c r="Q44" s="25"/>
      <c r="R44" s="25"/>
      <c r="S44" s="24"/>
      <c r="T44" s="24"/>
      <c r="U44" s="25"/>
      <c r="V44" s="25"/>
      <c r="W44" s="25"/>
      <c r="X44" s="25"/>
      <c r="Y44" s="25"/>
      <c r="Z44" s="24"/>
      <c r="AA44" s="24"/>
      <c r="AB44" s="25"/>
      <c r="AC44" s="25"/>
      <c r="AD44" s="25"/>
      <c r="AE44" s="25"/>
      <c r="AF44" s="25"/>
      <c r="AG44" s="24"/>
      <c r="AH44" s="24"/>
      <c r="AI44" s="26"/>
      <c r="AJ44" s="26"/>
      <c r="AK44" s="26"/>
      <c r="AL44" s="26"/>
      <c r="AM44" s="26"/>
      <c r="AN44" s="24"/>
      <c r="AO44" s="24"/>
      <c r="AP44" s="26"/>
      <c r="AQ44" s="25"/>
      <c r="AR44" s="25"/>
      <c r="AS44" s="25"/>
      <c r="AT44" s="25"/>
      <c r="AU44" s="24"/>
      <c r="AV44" s="24"/>
      <c r="AW44" s="25"/>
      <c r="AX44" s="25"/>
      <c r="AY44" s="25"/>
      <c r="AZ44" s="25"/>
      <c r="BA44" s="25"/>
      <c r="BB44" s="27"/>
      <c r="BC44" s="27"/>
      <c r="BD44" s="28"/>
      <c r="BE44" s="28"/>
      <c r="BF44" s="28"/>
      <c r="BG44" s="28"/>
      <c r="BH44" s="28"/>
      <c r="BI44" s="27"/>
      <c r="BJ44" s="27"/>
      <c r="BK44" s="28"/>
      <c r="BL44" s="28"/>
      <c r="BM44" s="28"/>
      <c r="BN44" s="28"/>
      <c r="BO44" s="28"/>
      <c r="BP44" s="27"/>
      <c r="BQ44" s="27"/>
      <c r="BR44" s="28"/>
      <c r="BS44" s="28"/>
      <c r="BT44" s="28"/>
      <c r="BU44" s="28"/>
      <c r="BV44" s="28"/>
      <c r="BW44" s="27"/>
      <c r="BX44" s="27"/>
      <c r="BY44" s="28"/>
      <c r="BZ44" s="28"/>
      <c r="CA44" s="28"/>
      <c r="CB44" s="28"/>
      <c r="CC44" s="28"/>
      <c r="CD44" s="27"/>
      <c r="CE44" s="27"/>
      <c r="CF44" s="28"/>
      <c r="CG44" s="28"/>
      <c r="CH44" s="28"/>
      <c r="CI44" s="28"/>
      <c r="CJ44" s="28"/>
      <c r="CK44" s="27"/>
      <c r="CL44" s="27"/>
      <c r="CM44" s="28"/>
      <c r="CN44" s="28"/>
      <c r="CO44" s="28"/>
      <c r="CP44" s="28"/>
      <c r="CQ44" s="28"/>
      <c r="CR44" s="27"/>
      <c r="CS44" s="29"/>
      <c r="CT44" s="4"/>
      <c r="CU44" s="30"/>
      <c r="CV44" s="4"/>
      <c r="CW44" s="4"/>
      <c r="CX44" s="4"/>
      <c r="CY44" s="20"/>
      <c r="CZ44" s="29"/>
      <c r="DA44" s="4"/>
      <c r="DB44" s="4"/>
      <c r="DC44" s="4"/>
      <c r="DD44" s="4"/>
      <c r="DE44" s="4"/>
      <c r="DF44" s="20"/>
      <c r="DG44" s="29"/>
      <c r="DH44" s="4"/>
      <c r="DI44" s="4"/>
      <c r="DJ44" s="4"/>
      <c r="DK44" s="4"/>
      <c r="DL44" s="4"/>
      <c r="DM44" s="20"/>
      <c r="DN44" s="29"/>
      <c r="DO44" s="4"/>
      <c r="DP44" s="4"/>
      <c r="DQ44" s="4"/>
      <c r="DR44" s="4"/>
      <c r="DS44" s="4"/>
      <c r="DT44" s="20"/>
      <c r="DU44" s="29"/>
      <c r="DV44" s="4"/>
    </row>
    <row r="45" ht="13.5" customHeight="1">
      <c r="A45" s="21"/>
      <c r="B45" s="35" t="s">
        <v>23</v>
      </c>
      <c r="C45" s="33">
        <v>3.0</v>
      </c>
      <c r="D45" s="16">
        <f t="shared" ref="D45:D47" si="12">SUM(E45:DV45)</f>
        <v>0</v>
      </c>
      <c r="E45" s="24"/>
      <c r="F45" s="24"/>
      <c r="G45" s="25"/>
      <c r="H45" s="25"/>
      <c r="I45" s="25"/>
      <c r="J45" s="25"/>
      <c r="K45" s="25"/>
      <c r="L45" s="24"/>
      <c r="M45" s="24"/>
      <c r="N45" s="25"/>
      <c r="O45" s="25"/>
      <c r="P45" s="25"/>
      <c r="Q45" s="25"/>
      <c r="R45" s="25"/>
      <c r="S45" s="24"/>
      <c r="T45" s="24"/>
      <c r="U45" s="25"/>
      <c r="V45" s="25"/>
      <c r="W45" s="25"/>
      <c r="X45" s="25"/>
      <c r="Y45" s="25"/>
      <c r="Z45" s="24"/>
      <c r="AA45" s="24"/>
      <c r="AB45" s="25"/>
      <c r="AC45" s="25"/>
      <c r="AD45" s="25"/>
      <c r="AE45" s="25"/>
      <c r="AF45" s="25"/>
      <c r="AG45" s="24"/>
      <c r="AH45" s="24"/>
      <c r="AI45" s="26"/>
      <c r="AJ45" s="26"/>
      <c r="AK45" s="26"/>
      <c r="AL45" s="26"/>
      <c r="AM45" s="26"/>
      <c r="AN45" s="24"/>
      <c r="AO45" s="24"/>
      <c r="AP45" s="26"/>
      <c r="AQ45" s="25"/>
      <c r="AR45" s="25"/>
      <c r="AS45" s="25"/>
      <c r="AT45" s="25"/>
      <c r="AU45" s="24"/>
      <c r="AV45" s="24"/>
      <c r="AW45" s="25"/>
      <c r="AX45" s="25"/>
      <c r="AY45" s="25"/>
      <c r="AZ45" s="25"/>
      <c r="BA45" s="25"/>
      <c r="BB45" s="27"/>
      <c r="BC45" s="27"/>
      <c r="BD45" s="28"/>
      <c r="BE45" s="28"/>
      <c r="BF45" s="28"/>
      <c r="BG45" s="28"/>
      <c r="BH45" s="28"/>
      <c r="BI45" s="27"/>
      <c r="BJ45" s="27"/>
      <c r="BK45" s="28"/>
      <c r="BL45" s="28"/>
      <c r="BM45" s="28"/>
      <c r="BN45" s="28"/>
      <c r="BO45" s="28"/>
      <c r="BP45" s="27"/>
      <c r="BQ45" s="27"/>
      <c r="BR45" s="28"/>
      <c r="BS45" s="28"/>
      <c r="BT45" s="28"/>
      <c r="BU45" s="28"/>
      <c r="BV45" s="28"/>
      <c r="BW45" s="27"/>
      <c r="BX45" s="27"/>
      <c r="BY45" s="28"/>
      <c r="BZ45" s="39"/>
      <c r="CA45" s="39"/>
      <c r="CB45" s="39"/>
      <c r="CC45" s="28"/>
      <c r="CD45" s="27"/>
      <c r="CE45" s="27"/>
      <c r="CF45" s="28"/>
      <c r="CG45" s="28"/>
      <c r="CH45" s="28"/>
      <c r="CI45" s="28"/>
      <c r="CJ45" s="28"/>
      <c r="CK45" s="27"/>
      <c r="CL45" s="27"/>
      <c r="CM45" s="28"/>
      <c r="CN45" s="28"/>
      <c r="CO45" s="28"/>
      <c r="CP45" s="28"/>
      <c r="CQ45" s="28"/>
      <c r="CR45" s="27"/>
      <c r="CS45" s="29"/>
      <c r="CT45" s="40"/>
      <c r="CU45" s="41"/>
      <c r="CV45" s="40"/>
      <c r="CW45" s="4"/>
      <c r="CX45" s="4"/>
      <c r="CY45" s="20"/>
      <c r="CZ45" s="29"/>
      <c r="DA45" s="4"/>
      <c r="DB45" s="4"/>
      <c r="DC45" s="40"/>
      <c r="DD45" s="40"/>
      <c r="DE45" s="40"/>
      <c r="DF45" s="20"/>
      <c r="DG45" s="29"/>
      <c r="DH45" s="4"/>
      <c r="DI45" s="4"/>
      <c r="DJ45" s="4"/>
      <c r="DK45" s="4"/>
      <c r="DL45" s="4"/>
      <c r="DM45" s="20"/>
      <c r="DN45" s="29"/>
      <c r="DO45" s="4"/>
      <c r="DP45" s="4"/>
      <c r="DQ45" s="4"/>
      <c r="DR45" s="4"/>
      <c r="DS45" s="4"/>
      <c r="DT45" s="20"/>
      <c r="DU45" s="29"/>
      <c r="DV45" s="4"/>
    </row>
    <row r="46" ht="13.5" customHeight="1">
      <c r="A46" s="21"/>
      <c r="B46" s="35" t="s">
        <v>24</v>
      </c>
      <c r="C46" s="33">
        <v>10.0</v>
      </c>
      <c r="D46" s="16">
        <f t="shared" si="12"/>
        <v>0</v>
      </c>
      <c r="E46" s="17"/>
      <c r="F46" s="17"/>
      <c r="G46" s="16"/>
      <c r="H46" s="16"/>
      <c r="I46" s="16"/>
      <c r="J46" s="16"/>
      <c r="K46" s="16"/>
      <c r="L46" s="17"/>
      <c r="M46" s="17"/>
      <c r="N46" s="16"/>
      <c r="O46" s="16"/>
      <c r="P46" s="16"/>
      <c r="Q46" s="16"/>
      <c r="R46" s="16"/>
      <c r="S46" s="17"/>
      <c r="T46" s="17"/>
      <c r="U46" s="16"/>
      <c r="V46" s="16"/>
      <c r="W46" s="16"/>
      <c r="X46" s="16"/>
      <c r="Y46" s="16"/>
      <c r="Z46" s="17"/>
      <c r="AA46" s="17"/>
      <c r="AB46" s="16"/>
      <c r="AC46" s="16"/>
      <c r="AD46" s="16"/>
      <c r="AE46" s="16"/>
      <c r="AF46" s="16"/>
      <c r="AG46" s="17"/>
      <c r="AH46" s="17"/>
      <c r="AI46" s="18"/>
      <c r="AJ46" s="18"/>
      <c r="AK46" s="18"/>
      <c r="AL46" s="18"/>
      <c r="AM46" s="18"/>
      <c r="AN46" s="17"/>
      <c r="AO46" s="17"/>
      <c r="AP46" s="18"/>
      <c r="AQ46" s="16"/>
      <c r="AR46" s="16"/>
      <c r="AS46" s="16"/>
      <c r="AT46" s="16"/>
      <c r="AU46" s="17"/>
      <c r="AV46" s="17"/>
      <c r="AW46" s="16"/>
      <c r="AX46" s="16"/>
      <c r="AY46" s="16"/>
      <c r="AZ46" s="16"/>
      <c r="BA46" s="16"/>
      <c r="BB46" s="19"/>
      <c r="BC46" s="19"/>
      <c r="BD46" s="3"/>
      <c r="BE46" s="3"/>
      <c r="BF46" s="3"/>
      <c r="BG46" s="3"/>
      <c r="BH46" s="3"/>
      <c r="BI46" s="19"/>
      <c r="BJ46" s="19"/>
      <c r="BK46" s="3"/>
      <c r="BL46" s="3"/>
      <c r="BM46" s="3"/>
      <c r="BN46" s="3"/>
      <c r="BO46" s="3"/>
      <c r="BP46" s="19"/>
      <c r="BQ46" s="19"/>
      <c r="BR46" s="3"/>
      <c r="BS46" s="3"/>
      <c r="BT46" s="3"/>
      <c r="BU46" s="3"/>
      <c r="BV46" s="3"/>
      <c r="BW46" s="19"/>
      <c r="BX46" s="19"/>
      <c r="BY46" s="3"/>
      <c r="BZ46" s="3"/>
      <c r="CA46" s="3"/>
      <c r="CB46" s="3"/>
      <c r="CC46" s="3"/>
      <c r="CD46" s="19"/>
      <c r="CE46" s="19"/>
      <c r="CF46" s="42"/>
      <c r="CG46" s="42"/>
      <c r="CH46" s="42"/>
      <c r="CI46" s="3"/>
      <c r="CJ46" s="3"/>
      <c r="CK46" s="19"/>
      <c r="CL46" s="19"/>
      <c r="CM46" s="42"/>
      <c r="CN46" s="42"/>
      <c r="CO46" s="3"/>
      <c r="CP46" s="3"/>
      <c r="CQ46" s="3"/>
      <c r="CR46" s="19"/>
      <c r="CS46" s="20"/>
      <c r="CT46" s="4"/>
      <c r="CU46" s="4"/>
      <c r="CV46" s="4"/>
      <c r="CW46" s="4"/>
      <c r="CX46" s="4"/>
      <c r="CY46" s="20"/>
      <c r="CZ46" s="20"/>
      <c r="DA46" s="4"/>
      <c r="DB46" s="4"/>
      <c r="DC46" s="40"/>
      <c r="DD46" s="40"/>
      <c r="DE46" s="40"/>
      <c r="DF46" s="20"/>
      <c r="DG46" s="20"/>
      <c r="DH46" s="40"/>
      <c r="DI46" s="40"/>
      <c r="DJ46" s="40"/>
      <c r="DK46" s="40"/>
      <c r="DL46" s="40"/>
      <c r="DM46" s="20"/>
      <c r="DN46" s="20"/>
      <c r="DO46" s="4"/>
      <c r="DP46" s="4"/>
      <c r="DQ46" s="4"/>
      <c r="DR46" s="4"/>
      <c r="DS46" s="4"/>
      <c r="DT46" s="20"/>
      <c r="DU46" s="20"/>
      <c r="DV46" s="4"/>
    </row>
    <row r="47" ht="13.5" customHeight="1">
      <c r="A47" s="21"/>
      <c r="B47" s="35" t="s">
        <v>25</v>
      </c>
      <c r="C47" s="33">
        <v>3.0</v>
      </c>
      <c r="D47" s="16">
        <f t="shared" si="12"/>
        <v>0</v>
      </c>
      <c r="E47" s="17"/>
      <c r="F47" s="17"/>
      <c r="G47" s="16"/>
      <c r="H47" s="16"/>
      <c r="I47" s="16"/>
      <c r="J47" s="16"/>
      <c r="K47" s="16"/>
      <c r="L47" s="17"/>
      <c r="M47" s="17"/>
      <c r="N47" s="16"/>
      <c r="O47" s="16"/>
      <c r="P47" s="16"/>
      <c r="Q47" s="16"/>
      <c r="R47" s="16"/>
      <c r="S47" s="17"/>
      <c r="T47" s="17"/>
      <c r="U47" s="16"/>
      <c r="V47" s="16"/>
      <c r="W47" s="16"/>
      <c r="X47" s="16"/>
      <c r="Y47" s="16"/>
      <c r="Z47" s="17"/>
      <c r="AA47" s="17"/>
      <c r="AB47" s="16"/>
      <c r="AC47" s="16"/>
      <c r="AD47" s="16"/>
      <c r="AE47" s="16"/>
      <c r="AF47" s="16"/>
      <c r="AG47" s="17"/>
      <c r="AH47" s="17"/>
      <c r="AI47" s="18"/>
      <c r="AJ47" s="18"/>
      <c r="AK47" s="18"/>
      <c r="AL47" s="18"/>
      <c r="AM47" s="18"/>
      <c r="AN47" s="17"/>
      <c r="AO47" s="17"/>
      <c r="AP47" s="18"/>
      <c r="AQ47" s="16"/>
      <c r="AR47" s="16"/>
      <c r="AS47" s="16"/>
      <c r="AT47" s="16"/>
      <c r="AU47" s="17"/>
      <c r="AV47" s="17"/>
      <c r="AW47" s="16"/>
      <c r="AX47" s="16"/>
      <c r="AY47" s="16"/>
      <c r="AZ47" s="16"/>
      <c r="BA47" s="16"/>
      <c r="BB47" s="27"/>
      <c r="BC47" s="27"/>
      <c r="BD47" s="28"/>
      <c r="BE47" s="28"/>
      <c r="BF47" s="28"/>
      <c r="BG47" s="28"/>
      <c r="BH47" s="28"/>
      <c r="BI47" s="27"/>
      <c r="BJ47" s="27"/>
      <c r="BK47" s="28"/>
      <c r="BL47" s="28"/>
      <c r="BM47" s="28"/>
      <c r="BN47" s="28"/>
      <c r="BO47" s="28"/>
      <c r="BP47" s="27"/>
      <c r="BQ47" s="27"/>
      <c r="BR47" s="28"/>
      <c r="BS47" s="28"/>
      <c r="BT47" s="28"/>
      <c r="BU47" s="28"/>
      <c r="BV47" s="28"/>
      <c r="BW47" s="27"/>
      <c r="BX47" s="27"/>
      <c r="BY47" s="28"/>
      <c r="BZ47" s="28"/>
      <c r="CA47" s="28"/>
      <c r="CB47" s="28"/>
      <c r="CC47" s="28"/>
      <c r="CD47" s="27"/>
      <c r="CE47" s="27"/>
      <c r="CF47" s="28"/>
      <c r="CG47" s="28"/>
      <c r="CH47" s="28"/>
      <c r="CI47" s="28"/>
      <c r="CJ47" s="28"/>
      <c r="CK47" s="27"/>
      <c r="CL47" s="27"/>
      <c r="CM47" s="28"/>
      <c r="CN47" s="28"/>
      <c r="CO47" s="28"/>
      <c r="CP47" s="28"/>
      <c r="CQ47" s="28"/>
      <c r="CR47" s="27"/>
      <c r="CS47" s="29"/>
      <c r="CT47" s="4"/>
      <c r="CU47" s="30"/>
      <c r="CV47" s="4"/>
      <c r="CW47" s="4"/>
      <c r="CX47" s="4"/>
      <c r="CY47" s="20"/>
      <c r="CZ47" s="29"/>
      <c r="DA47" s="4"/>
      <c r="DB47" s="4"/>
      <c r="DC47" s="4"/>
      <c r="DD47" s="4"/>
      <c r="DE47" s="4"/>
      <c r="DF47" s="20"/>
      <c r="DG47" s="29"/>
      <c r="DH47" s="4"/>
      <c r="DI47" s="4"/>
      <c r="DJ47" s="4"/>
      <c r="DK47" s="4"/>
      <c r="DL47" s="4"/>
      <c r="DM47" s="20"/>
      <c r="DN47" s="29"/>
      <c r="DO47" s="40"/>
      <c r="DP47" s="40"/>
      <c r="DQ47" s="40"/>
      <c r="DR47" s="40"/>
      <c r="DS47" s="40"/>
      <c r="DT47" s="20"/>
      <c r="DU47" s="29"/>
      <c r="DV47" s="4"/>
    </row>
    <row r="48" ht="13.5" customHeight="1">
      <c r="A48" s="37" t="s">
        <v>26</v>
      </c>
      <c r="B48" s="22" t="s">
        <v>27</v>
      </c>
      <c r="C48" s="23">
        <v>5.0</v>
      </c>
      <c r="D48" s="23">
        <f t="shared" ref="D48:D49" si="13">D49</f>
        <v>0</v>
      </c>
      <c r="E48" s="24"/>
      <c r="F48" s="24"/>
      <c r="G48" s="25"/>
      <c r="H48" s="25"/>
      <c r="I48" s="25"/>
      <c r="J48" s="25"/>
      <c r="K48" s="25"/>
      <c r="L48" s="24"/>
      <c r="M48" s="24"/>
      <c r="N48" s="25"/>
      <c r="O48" s="25"/>
      <c r="P48" s="25"/>
      <c r="Q48" s="25"/>
      <c r="R48" s="25"/>
      <c r="S48" s="24"/>
      <c r="T48" s="24"/>
      <c r="U48" s="25"/>
      <c r="V48" s="25"/>
      <c r="W48" s="25"/>
      <c r="X48" s="25"/>
      <c r="Y48" s="25"/>
      <c r="Z48" s="24"/>
      <c r="AA48" s="24"/>
      <c r="AB48" s="25"/>
      <c r="AC48" s="25"/>
      <c r="AD48" s="25"/>
      <c r="AE48" s="25"/>
      <c r="AF48" s="25"/>
      <c r="AG48" s="24"/>
      <c r="AH48" s="24"/>
      <c r="AI48" s="26"/>
      <c r="AJ48" s="26"/>
      <c r="AK48" s="26"/>
      <c r="AL48" s="26"/>
      <c r="AM48" s="26"/>
      <c r="AN48" s="24"/>
      <c r="AO48" s="24"/>
      <c r="AP48" s="26"/>
      <c r="AQ48" s="25"/>
      <c r="AR48" s="25"/>
      <c r="AS48" s="25"/>
      <c r="AT48" s="25"/>
      <c r="AU48" s="24"/>
      <c r="AV48" s="24"/>
      <c r="AW48" s="25"/>
      <c r="AX48" s="25"/>
      <c r="AY48" s="25"/>
      <c r="AZ48" s="25"/>
      <c r="BA48" s="25"/>
      <c r="BB48" s="19"/>
      <c r="BC48" s="19"/>
      <c r="BD48" s="3"/>
      <c r="BE48" s="3"/>
      <c r="BF48" s="3"/>
      <c r="BG48" s="3"/>
      <c r="BH48" s="3"/>
      <c r="BI48" s="19"/>
      <c r="BJ48" s="19"/>
      <c r="BK48" s="3"/>
      <c r="BL48" s="3"/>
      <c r="BM48" s="3"/>
      <c r="BN48" s="3"/>
      <c r="BO48" s="3"/>
      <c r="BP48" s="19"/>
      <c r="BQ48" s="19"/>
      <c r="BR48" s="3"/>
      <c r="BS48" s="3"/>
      <c r="BT48" s="3"/>
      <c r="BU48" s="3"/>
      <c r="BV48" s="3"/>
      <c r="BW48" s="19"/>
      <c r="BX48" s="19"/>
      <c r="BY48" s="3"/>
      <c r="BZ48" s="3"/>
      <c r="CA48" s="3"/>
      <c r="CB48" s="3"/>
      <c r="CC48" s="3"/>
      <c r="CD48" s="19"/>
      <c r="CE48" s="19"/>
      <c r="CF48" s="3"/>
      <c r="CG48" s="3"/>
      <c r="CH48" s="3"/>
      <c r="CI48" s="3"/>
      <c r="CJ48" s="3"/>
      <c r="CK48" s="19"/>
      <c r="CL48" s="19"/>
      <c r="CM48" s="3"/>
      <c r="CN48" s="3"/>
      <c r="CO48" s="3"/>
      <c r="CP48" s="3"/>
      <c r="CQ48" s="3"/>
      <c r="CR48" s="19"/>
      <c r="CS48" s="20"/>
      <c r="CT48" s="4"/>
      <c r="CU48" s="4"/>
      <c r="CV48" s="4"/>
      <c r="CW48" s="4"/>
      <c r="CX48" s="4"/>
      <c r="CY48" s="20"/>
      <c r="CZ48" s="20"/>
      <c r="DA48" s="4"/>
      <c r="DB48" s="4"/>
      <c r="DC48" s="4"/>
      <c r="DD48" s="4"/>
      <c r="DE48" s="4"/>
      <c r="DF48" s="20"/>
      <c r="DG48" s="20"/>
      <c r="DH48" s="4"/>
      <c r="DI48" s="4"/>
      <c r="DJ48" s="4"/>
      <c r="DK48" s="4"/>
      <c r="DL48" s="4"/>
      <c r="DM48" s="20"/>
      <c r="DN48" s="20"/>
      <c r="DO48" s="4"/>
      <c r="DP48" s="4"/>
      <c r="DQ48" s="4"/>
      <c r="DR48" s="4"/>
      <c r="DS48" s="4"/>
      <c r="DT48" s="20"/>
      <c r="DU48" s="20"/>
      <c r="DV48" s="4"/>
    </row>
    <row r="49" ht="13.5" customHeight="1">
      <c r="A49" s="21"/>
      <c r="B49" s="43" t="s">
        <v>28</v>
      </c>
      <c r="C49" s="16">
        <v>5.0</v>
      </c>
      <c r="D49" s="16">
        <f t="shared" si="13"/>
        <v>0</v>
      </c>
      <c r="E49" s="24"/>
      <c r="F49" s="24"/>
      <c r="G49" s="25"/>
      <c r="H49" s="25"/>
      <c r="I49" s="25"/>
      <c r="J49" s="25"/>
      <c r="K49" s="25"/>
      <c r="L49" s="24"/>
      <c r="M49" s="24"/>
      <c r="N49" s="25"/>
      <c r="O49" s="25"/>
      <c r="P49" s="25"/>
      <c r="Q49" s="25"/>
      <c r="R49" s="25"/>
      <c r="S49" s="24"/>
      <c r="T49" s="24"/>
      <c r="U49" s="25"/>
      <c r="V49" s="25"/>
      <c r="W49" s="25"/>
      <c r="X49" s="25"/>
      <c r="Y49" s="25"/>
      <c r="Z49" s="24"/>
      <c r="AA49" s="24"/>
      <c r="AB49" s="25"/>
      <c r="AC49" s="25"/>
      <c r="AD49" s="25"/>
      <c r="AE49" s="25"/>
      <c r="AF49" s="25"/>
      <c r="AG49" s="24"/>
      <c r="AH49" s="24"/>
      <c r="AI49" s="26"/>
      <c r="AJ49" s="26"/>
      <c r="AK49" s="26"/>
      <c r="AL49" s="26"/>
      <c r="AM49" s="26"/>
      <c r="AN49" s="24"/>
      <c r="AO49" s="24"/>
      <c r="AP49" s="26"/>
      <c r="AQ49" s="25"/>
      <c r="AR49" s="25"/>
      <c r="AS49" s="25"/>
      <c r="AT49" s="25"/>
      <c r="AU49" s="24"/>
      <c r="AV49" s="24"/>
      <c r="AW49" s="25"/>
      <c r="AX49" s="25"/>
      <c r="AY49" s="25"/>
      <c r="AZ49" s="25"/>
      <c r="BA49" s="25"/>
      <c r="BB49" s="19"/>
      <c r="BC49" s="19"/>
      <c r="BD49" s="3"/>
      <c r="BE49" s="3"/>
      <c r="BF49" s="3"/>
      <c r="BG49" s="3"/>
      <c r="BH49" s="3"/>
      <c r="BI49" s="19"/>
      <c r="BJ49" s="19"/>
      <c r="BK49" s="3"/>
      <c r="BL49" s="3"/>
      <c r="BM49" s="3"/>
      <c r="BN49" s="3"/>
      <c r="BO49" s="3"/>
      <c r="BP49" s="19"/>
      <c r="BQ49" s="19"/>
      <c r="BR49" s="3"/>
      <c r="BS49" s="3"/>
      <c r="BT49" s="3"/>
      <c r="BU49" s="3"/>
      <c r="BV49" s="3"/>
      <c r="BW49" s="19"/>
      <c r="BX49" s="19"/>
      <c r="BY49" s="3"/>
      <c r="BZ49" s="3"/>
      <c r="CA49" s="3"/>
      <c r="CB49" s="3"/>
      <c r="CC49" s="3"/>
      <c r="CD49" s="19"/>
      <c r="CE49" s="19"/>
      <c r="CF49" s="3"/>
      <c r="CG49" s="3"/>
      <c r="CH49" s="3"/>
      <c r="CI49" s="3"/>
      <c r="CJ49" s="3"/>
      <c r="CK49" s="19"/>
      <c r="CL49" s="19"/>
      <c r="CM49" s="3"/>
      <c r="CN49" s="3"/>
      <c r="CO49" s="3"/>
      <c r="CP49" s="3"/>
      <c r="CQ49" s="3"/>
      <c r="CR49" s="19"/>
      <c r="CS49" s="20"/>
      <c r="CT49" s="4"/>
      <c r="CU49" s="4"/>
      <c r="CV49" s="4"/>
      <c r="CW49" s="4"/>
      <c r="CX49" s="4"/>
      <c r="CY49" s="20"/>
      <c r="CZ49" s="20"/>
      <c r="DA49" s="4"/>
      <c r="DB49" s="4"/>
      <c r="DC49" s="4"/>
      <c r="DD49" s="4"/>
      <c r="DE49" s="4"/>
      <c r="DF49" s="20"/>
      <c r="DG49" s="20"/>
      <c r="DH49" s="4"/>
      <c r="DI49" s="4"/>
      <c r="DJ49" s="4"/>
      <c r="DK49" s="4"/>
      <c r="DL49" s="4"/>
      <c r="DM49" s="20"/>
      <c r="DN49" s="20"/>
      <c r="DO49" s="4"/>
      <c r="DP49" s="4"/>
      <c r="DQ49" s="4"/>
      <c r="DR49" s="4"/>
      <c r="DS49" s="4"/>
      <c r="DT49" s="20"/>
      <c r="DU49" s="20"/>
      <c r="DV49" s="4"/>
    </row>
    <row r="50" ht="13.5" customHeight="1">
      <c r="A50" s="21"/>
      <c r="B50" s="36" t="s">
        <v>28</v>
      </c>
      <c r="C50" s="33">
        <v>5.0</v>
      </c>
      <c r="D50" s="16">
        <f>SUM(E50:DV50)</f>
        <v>0</v>
      </c>
      <c r="E50" s="24"/>
      <c r="F50" s="24"/>
      <c r="G50" s="25"/>
      <c r="H50" s="25"/>
      <c r="I50" s="25"/>
      <c r="J50" s="25"/>
      <c r="K50" s="25"/>
      <c r="L50" s="24"/>
      <c r="M50" s="24"/>
      <c r="N50" s="25"/>
      <c r="O50" s="25"/>
      <c r="P50" s="25"/>
      <c r="Q50" s="25"/>
      <c r="R50" s="25"/>
      <c r="S50" s="24"/>
      <c r="T50" s="24"/>
      <c r="U50" s="25"/>
      <c r="V50" s="25"/>
      <c r="W50" s="25"/>
      <c r="X50" s="25"/>
      <c r="Y50" s="25"/>
      <c r="Z50" s="24"/>
      <c r="AA50" s="24"/>
      <c r="AB50" s="25"/>
      <c r="AC50" s="25"/>
      <c r="AD50" s="25"/>
      <c r="AE50" s="25"/>
      <c r="AF50" s="25"/>
      <c r="AG50" s="24"/>
      <c r="AH50" s="24"/>
      <c r="AI50" s="26"/>
      <c r="AJ50" s="26"/>
      <c r="AK50" s="26"/>
      <c r="AL50" s="26"/>
      <c r="AM50" s="26"/>
      <c r="AN50" s="24"/>
      <c r="AO50" s="24"/>
      <c r="AP50" s="26"/>
      <c r="AQ50" s="25"/>
      <c r="AR50" s="25"/>
      <c r="AS50" s="25"/>
      <c r="AT50" s="25"/>
      <c r="AU50" s="24"/>
      <c r="AV50" s="24"/>
      <c r="AW50" s="25"/>
      <c r="AX50" s="25"/>
      <c r="AY50" s="25"/>
      <c r="AZ50" s="25"/>
      <c r="BA50" s="25"/>
      <c r="BB50" s="19"/>
      <c r="BC50" s="19"/>
      <c r="BD50" s="3"/>
      <c r="BE50" s="3"/>
      <c r="BF50" s="3"/>
      <c r="BG50" s="3"/>
      <c r="BH50" s="3"/>
      <c r="BI50" s="19"/>
      <c r="BJ50" s="19"/>
      <c r="BK50" s="3"/>
      <c r="BL50" s="3"/>
      <c r="BM50" s="3"/>
      <c r="BN50" s="3"/>
      <c r="BO50" s="3"/>
      <c r="BP50" s="19"/>
      <c r="BQ50" s="19"/>
      <c r="BR50" s="3"/>
      <c r="BS50" s="3"/>
      <c r="BT50" s="3"/>
      <c r="BU50" s="3"/>
      <c r="BV50" s="3"/>
      <c r="BW50" s="19"/>
      <c r="BX50" s="19"/>
      <c r="BY50" s="3"/>
      <c r="BZ50" s="3"/>
      <c r="CA50" s="3"/>
      <c r="CB50" s="3"/>
      <c r="CC50" s="3"/>
      <c r="CD50" s="19"/>
      <c r="CE50" s="19"/>
      <c r="CF50" s="3"/>
      <c r="CG50" s="3"/>
      <c r="CH50" s="3"/>
      <c r="CI50" s="3"/>
      <c r="CJ50" s="3"/>
      <c r="CK50" s="19"/>
      <c r="CL50" s="19"/>
      <c r="CM50" s="3"/>
      <c r="CN50" s="3"/>
      <c r="CO50" s="3"/>
      <c r="CP50" s="3"/>
      <c r="CQ50" s="3"/>
      <c r="CR50" s="19"/>
      <c r="CS50" s="20"/>
      <c r="CT50" s="4"/>
      <c r="CU50" s="4"/>
      <c r="CV50" s="4"/>
      <c r="CW50" s="4"/>
      <c r="CX50" s="4"/>
      <c r="CY50" s="20"/>
      <c r="CZ50" s="20"/>
      <c r="DA50" s="4"/>
      <c r="DB50" s="4"/>
      <c r="DC50" s="4"/>
      <c r="DD50" s="4"/>
      <c r="DE50" s="4"/>
      <c r="DF50" s="20"/>
      <c r="DG50" s="20"/>
      <c r="DH50" s="4"/>
      <c r="DI50" s="4"/>
      <c r="DJ50" s="4"/>
      <c r="DK50" s="4"/>
      <c r="DL50" s="4"/>
      <c r="DM50" s="20"/>
      <c r="DN50" s="20"/>
      <c r="DO50" s="4"/>
      <c r="DP50" s="4"/>
      <c r="DQ50" s="40"/>
      <c r="DR50" s="40"/>
      <c r="DS50" s="40"/>
      <c r="DT50" s="20"/>
      <c r="DU50" s="20"/>
      <c r="DV50" s="40"/>
    </row>
    <row r="51" ht="13.5" customHeight="1">
      <c r="A51" s="1"/>
      <c r="B51" s="4" t="s">
        <v>29</v>
      </c>
      <c r="C51" s="3">
        <v>100.0</v>
      </c>
      <c r="D51" s="3">
        <f>D33+D35+D40+D44+D48</f>
        <v>8.3</v>
      </c>
      <c r="E51" s="44">
        <f t="shared" ref="E51:AH51" si="14">SUM(E31:E50)</f>
        <v>0</v>
      </c>
      <c r="F51" s="44">
        <f t="shared" si="14"/>
        <v>0</v>
      </c>
      <c r="G51" s="44">
        <f t="shared" si="14"/>
        <v>2.4</v>
      </c>
      <c r="H51" s="44">
        <f t="shared" si="14"/>
        <v>1.4</v>
      </c>
      <c r="I51" s="44">
        <f t="shared" si="14"/>
        <v>1.5</v>
      </c>
      <c r="J51" s="44">
        <f t="shared" si="14"/>
        <v>1.5</v>
      </c>
      <c r="K51" s="44">
        <f t="shared" si="14"/>
        <v>1.5</v>
      </c>
      <c r="L51" s="44">
        <f t="shared" si="14"/>
        <v>0</v>
      </c>
      <c r="M51" s="44">
        <f t="shared" si="14"/>
        <v>0</v>
      </c>
      <c r="N51" s="44">
        <f t="shared" si="14"/>
        <v>0</v>
      </c>
      <c r="O51" s="44">
        <f t="shared" si="14"/>
        <v>0</v>
      </c>
      <c r="P51" s="44">
        <f t="shared" si="14"/>
        <v>0</v>
      </c>
      <c r="Q51" s="44">
        <f t="shared" si="14"/>
        <v>0</v>
      </c>
      <c r="R51" s="44">
        <f t="shared" si="14"/>
        <v>0</v>
      </c>
      <c r="S51" s="44">
        <f t="shared" si="14"/>
        <v>0</v>
      </c>
      <c r="T51" s="44">
        <f t="shared" si="14"/>
        <v>0</v>
      </c>
      <c r="U51" s="44">
        <f t="shared" si="14"/>
        <v>0</v>
      </c>
      <c r="V51" s="44">
        <f t="shared" si="14"/>
        <v>0</v>
      </c>
      <c r="W51" s="44">
        <f t="shared" si="14"/>
        <v>0</v>
      </c>
      <c r="X51" s="44">
        <f t="shared" si="14"/>
        <v>0</v>
      </c>
      <c r="Y51" s="44">
        <f t="shared" si="14"/>
        <v>0</v>
      </c>
      <c r="Z51" s="44">
        <f t="shared" si="14"/>
        <v>0</v>
      </c>
      <c r="AA51" s="44">
        <f t="shared" si="14"/>
        <v>0</v>
      </c>
      <c r="AB51" s="44">
        <f t="shared" si="14"/>
        <v>0</v>
      </c>
      <c r="AC51" s="44">
        <f t="shared" si="14"/>
        <v>0</v>
      </c>
      <c r="AD51" s="44">
        <f t="shared" si="14"/>
        <v>0</v>
      </c>
      <c r="AE51" s="44">
        <f t="shared" si="14"/>
        <v>0</v>
      </c>
      <c r="AF51" s="44">
        <f t="shared" si="14"/>
        <v>0</v>
      </c>
      <c r="AG51" s="44">
        <f t="shared" si="14"/>
        <v>0</v>
      </c>
      <c r="AH51" s="44">
        <f t="shared" si="14"/>
        <v>0</v>
      </c>
      <c r="AI51" s="44"/>
      <c r="AJ51" s="44">
        <f t="shared" ref="AJ51:DV51" si="15">SUM(AJ31:AJ50)</f>
        <v>0</v>
      </c>
      <c r="AK51" s="44">
        <f t="shared" si="15"/>
        <v>0</v>
      </c>
      <c r="AL51" s="44">
        <f t="shared" si="15"/>
        <v>0</v>
      </c>
      <c r="AM51" s="44">
        <f t="shared" si="15"/>
        <v>0</v>
      </c>
      <c r="AN51" s="44">
        <f t="shared" si="15"/>
        <v>0</v>
      </c>
      <c r="AO51" s="44">
        <f t="shared" si="15"/>
        <v>0</v>
      </c>
      <c r="AP51" s="44">
        <f t="shared" si="15"/>
        <v>0</v>
      </c>
      <c r="AQ51" s="44">
        <f t="shared" si="15"/>
        <v>0</v>
      </c>
      <c r="AR51" s="44">
        <f t="shared" si="15"/>
        <v>0</v>
      </c>
      <c r="AS51" s="44">
        <f t="shared" si="15"/>
        <v>0</v>
      </c>
      <c r="AT51" s="44">
        <f t="shared" si="15"/>
        <v>0</v>
      </c>
      <c r="AU51" s="44">
        <f t="shared" si="15"/>
        <v>0</v>
      </c>
      <c r="AV51" s="44">
        <f t="shared" si="15"/>
        <v>0</v>
      </c>
      <c r="AW51" s="44">
        <f t="shared" si="15"/>
        <v>0</v>
      </c>
      <c r="AX51" s="44">
        <f t="shared" si="15"/>
        <v>0</v>
      </c>
      <c r="AY51" s="44">
        <f t="shared" si="15"/>
        <v>0</v>
      </c>
      <c r="AZ51" s="44">
        <f t="shared" si="15"/>
        <v>0</v>
      </c>
      <c r="BA51" s="44">
        <f t="shared" si="15"/>
        <v>0</v>
      </c>
      <c r="BB51" s="44">
        <f t="shared" si="15"/>
        <v>0</v>
      </c>
      <c r="BC51" s="44">
        <f t="shared" si="15"/>
        <v>0</v>
      </c>
      <c r="BD51" s="44">
        <f t="shared" si="15"/>
        <v>0</v>
      </c>
      <c r="BE51" s="44">
        <f t="shared" si="15"/>
        <v>0</v>
      </c>
      <c r="BF51" s="44">
        <f t="shared" si="15"/>
        <v>0</v>
      </c>
      <c r="BG51" s="44">
        <f t="shared" si="15"/>
        <v>0</v>
      </c>
      <c r="BH51" s="44">
        <f t="shared" si="15"/>
        <v>0</v>
      </c>
      <c r="BI51" s="44">
        <f t="shared" si="15"/>
        <v>0</v>
      </c>
      <c r="BJ51" s="44">
        <f t="shared" si="15"/>
        <v>0</v>
      </c>
      <c r="BK51" s="44">
        <f t="shared" si="15"/>
        <v>0</v>
      </c>
      <c r="BL51" s="44">
        <f t="shared" si="15"/>
        <v>0</v>
      </c>
      <c r="BM51" s="44">
        <f t="shared" si="15"/>
        <v>0</v>
      </c>
      <c r="BN51" s="44">
        <f t="shared" si="15"/>
        <v>0</v>
      </c>
      <c r="BO51" s="44">
        <f t="shared" si="15"/>
        <v>0</v>
      </c>
      <c r="BP51" s="44">
        <f t="shared" si="15"/>
        <v>0</v>
      </c>
      <c r="BQ51" s="44">
        <f t="shared" si="15"/>
        <v>0</v>
      </c>
      <c r="BR51" s="44">
        <f t="shared" si="15"/>
        <v>0</v>
      </c>
      <c r="BS51" s="44">
        <f t="shared" si="15"/>
        <v>0</v>
      </c>
      <c r="BT51" s="44">
        <f t="shared" si="15"/>
        <v>0</v>
      </c>
      <c r="BU51" s="44">
        <f t="shared" si="15"/>
        <v>0</v>
      </c>
      <c r="BV51" s="44">
        <f t="shared" si="15"/>
        <v>0</v>
      </c>
      <c r="BW51" s="44">
        <f t="shared" si="15"/>
        <v>0</v>
      </c>
      <c r="BX51" s="44">
        <f t="shared" si="15"/>
        <v>0</v>
      </c>
      <c r="BY51" s="44">
        <f t="shared" si="15"/>
        <v>0</v>
      </c>
      <c r="BZ51" s="44">
        <f t="shared" si="15"/>
        <v>0</v>
      </c>
      <c r="CA51" s="44">
        <f t="shared" si="15"/>
        <v>0</v>
      </c>
      <c r="CB51" s="44">
        <f t="shared" si="15"/>
        <v>0</v>
      </c>
      <c r="CC51" s="44">
        <f t="shared" si="15"/>
        <v>0</v>
      </c>
      <c r="CD51" s="44">
        <f t="shared" si="15"/>
        <v>0</v>
      </c>
      <c r="CE51" s="44">
        <f t="shared" si="15"/>
        <v>0</v>
      </c>
      <c r="CF51" s="44">
        <f t="shared" si="15"/>
        <v>0</v>
      </c>
      <c r="CG51" s="44">
        <f t="shared" si="15"/>
        <v>0</v>
      </c>
      <c r="CH51" s="44">
        <f t="shared" si="15"/>
        <v>0</v>
      </c>
      <c r="CI51" s="44">
        <f t="shared" si="15"/>
        <v>0</v>
      </c>
      <c r="CJ51" s="44">
        <f t="shared" si="15"/>
        <v>0</v>
      </c>
      <c r="CK51" s="44">
        <f t="shared" si="15"/>
        <v>0</v>
      </c>
      <c r="CL51" s="44">
        <f t="shared" si="15"/>
        <v>0</v>
      </c>
      <c r="CM51" s="44">
        <f t="shared" si="15"/>
        <v>0</v>
      </c>
      <c r="CN51" s="44">
        <f t="shared" si="15"/>
        <v>0</v>
      </c>
      <c r="CO51" s="44">
        <f t="shared" si="15"/>
        <v>0</v>
      </c>
      <c r="CP51" s="44">
        <f t="shared" si="15"/>
        <v>0</v>
      </c>
      <c r="CQ51" s="44">
        <f t="shared" si="15"/>
        <v>0</v>
      </c>
      <c r="CR51" s="44">
        <f t="shared" si="15"/>
        <v>0</v>
      </c>
      <c r="CS51" s="44">
        <f t="shared" si="15"/>
        <v>0</v>
      </c>
      <c r="CT51" s="44">
        <f t="shared" si="15"/>
        <v>0</v>
      </c>
      <c r="CU51" s="44">
        <f t="shared" si="15"/>
        <v>0</v>
      </c>
      <c r="CV51" s="44">
        <f t="shared" si="15"/>
        <v>0</v>
      </c>
      <c r="CW51" s="44">
        <f t="shared" si="15"/>
        <v>0</v>
      </c>
      <c r="CX51" s="44">
        <f t="shared" si="15"/>
        <v>0</v>
      </c>
      <c r="CY51" s="44">
        <f t="shared" si="15"/>
        <v>0</v>
      </c>
      <c r="CZ51" s="44">
        <f t="shared" si="15"/>
        <v>0</v>
      </c>
      <c r="DA51" s="44">
        <f t="shared" si="15"/>
        <v>0</v>
      </c>
      <c r="DB51" s="44">
        <f t="shared" si="15"/>
        <v>0</v>
      </c>
      <c r="DC51" s="44">
        <f t="shared" si="15"/>
        <v>0</v>
      </c>
      <c r="DD51" s="44">
        <f t="shared" si="15"/>
        <v>0</v>
      </c>
      <c r="DE51" s="44">
        <f t="shared" si="15"/>
        <v>0</v>
      </c>
      <c r="DF51" s="44">
        <f t="shared" si="15"/>
        <v>0</v>
      </c>
      <c r="DG51" s="44">
        <f t="shared" si="15"/>
        <v>0</v>
      </c>
      <c r="DH51" s="44">
        <f t="shared" si="15"/>
        <v>0</v>
      </c>
      <c r="DI51" s="44">
        <f t="shared" si="15"/>
        <v>0</v>
      </c>
      <c r="DJ51" s="44">
        <f t="shared" si="15"/>
        <v>0</v>
      </c>
      <c r="DK51" s="44">
        <f t="shared" si="15"/>
        <v>0</v>
      </c>
      <c r="DL51" s="44">
        <f t="shared" si="15"/>
        <v>0</v>
      </c>
      <c r="DM51" s="44">
        <f t="shared" si="15"/>
        <v>0</v>
      </c>
      <c r="DN51" s="44">
        <f t="shared" si="15"/>
        <v>0</v>
      </c>
      <c r="DO51" s="44">
        <f t="shared" si="15"/>
        <v>0</v>
      </c>
      <c r="DP51" s="44">
        <f t="shared" si="15"/>
        <v>0</v>
      </c>
      <c r="DQ51" s="44">
        <f t="shared" si="15"/>
        <v>0</v>
      </c>
      <c r="DR51" s="44">
        <f t="shared" si="15"/>
        <v>0</v>
      </c>
      <c r="DS51" s="44">
        <f t="shared" si="15"/>
        <v>0</v>
      </c>
      <c r="DT51" s="44">
        <f t="shared" si="15"/>
        <v>0</v>
      </c>
      <c r="DU51" s="44">
        <f t="shared" si="15"/>
        <v>0</v>
      </c>
      <c r="DV51" s="44">
        <f t="shared" si="15"/>
        <v>0</v>
      </c>
    </row>
    <row r="52" ht="13.5" customHeight="1">
      <c r="A52" s="1"/>
      <c r="B52" s="45" t="s">
        <v>30</v>
      </c>
      <c r="C52" s="8"/>
      <c r="D52" s="9"/>
      <c r="E52" s="44">
        <f>E51</f>
        <v>0</v>
      </c>
      <c r="F52" s="44">
        <f t="shared" ref="F52:AH52" si="16">F51+E52</f>
        <v>0</v>
      </c>
      <c r="G52" s="44">
        <f t="shared" si="16"/>
        <v>2.4</v>
      </c>
      <c r="H52" s="44">
        <f t="shared" si="16"/>
        <v>3.8</v>
      </c>
      <c r="I52" s="44">
        <f t="shared" si="16"/>
        <v>5.3</v>
      </c>
      <c r="J52" s="44">
        <f t="shared" si="16"/>
        <v>6.8</v>
      </c>
      <c r="K52" s="44">
        <f t="shared" si="16"/>
        <v>8.3</v>
      </c>
      <c r="L52" s="44">
        <f t="shared" si="16"/>
        <v>8.3</v>
      </c>
      <c r="M52" s="44">
        <f t="shared" si="16"/>
        <v>8.3</v>
      </c>
      <c r="N52" s="44">
        <f t="shared" si="16"/>
        <v>8.3</v>
      </c>
      <c r="O52" s="44">
        <f t="shared" si="16"/>
        <v>8.3</v>
      </c>
      <c r="P52" s="44">
        <f t="shared" si="16"/>
        <v>8.3</v>
      </c>
      <c r="Q52" s="44">
        <f t="shared" si="16"/>
        <v>8.3</v>
      </c>
      <c r="R52" s="44">
        <f t="shared" si="16"/>
        <v>8.3</v>
      </c>
      <c r="S52" s="44">
        <f t="shared" si="16"/>
        <v>8.3</v>
      </c>
      <c r="T52" s="44">
        <f t="shared" si="16"/>
        <v>8.3</v>
      </c>
      <c r="U52" s="44">
        <f t="shared" si="16"/>
        <v>8.3</v>
      </c>
      <c r="V52" s="44">
        <f t="shared" si="16"/>
        <v>8.3</v>
      </c>
      <c r="W52" s="44">
        <f t="shared" si="16"/>
        <v>8.3</v>
      </c>
      <c r="X52" s="44">
        <f t="shared" si="16"/>
        <v>8.3</v>
      </c>
      <c r="Y52" s="44">
        <f t="shared" si="16"/>
        <v>8.3</v>
      </c>
      <c r="Z52" s="44">
        <f t="shared" si="16"/>
        <v>8.3</v>
      </c>
      <c r="AA52" s="44">
        <f t="shared" si="16"/>
        <v>8.3</v>
      </c>
      <c r="AB52" s="44">
        <f t="shared" si="16"/>
        <v>8.3</v>
      </c>
      <c r="AC52" s="44">
        <f t="shared" si="16"/>
        <v>8.3</v>
      </c>
      <c r="AD52" s="44">
        <f t="shared" si="16"/>
        <v>8.3</v>
      </c>
      <c r="AE52" s="44">
        <f t="shared" si="16"/>
        <v>8.3</v>
      </c>
      <c r="AF52" s="44">
        <f t="shared" si="16"/>
        <v>8.3</v>
      </c>
      <c r="AG52" s="44">
        <f t="shared" si="16"/>
        <v>8.3</v>
      </c>
      <c r="AH52" s="44">
        <f t="shared" si="16"/>
        <v>8.3</v>
      </c>
      <c r="AI52" s="44"/>
      <c r="AJ52" s="44">
        <f>AJ51+AH52</f>
        <v>8.3</v>
      </c>
      <c r="AK52" s="44">
        <f t="shared" ref="AK52:DV52" si="17">AK51+AJ52</f>
        <v>8.3</v>
      </c>
      <c r="AL52" s="44">
        <f t="shared" si="17"/>
        <v>8.3</v>
      </c>
      <c r="AM52" s="44">
        <f t="shared" si="17"/>
        <v>8.3</v>
      </c>
      <c r="AN52" s="44">
        <f t="shared" si="17"/>
        <v>8.3</v>
      </c>
      <c r="AO52" s="44">
        <f t="shared" si="17"/>
        <v>8.3</v>
      </c>
      <c r="AP52" s="44">
        <f t="shared" si="17"/>
        <v>8.3</v>
      </c>
      <c r="AQ52" s="44">
        <f t="shared" si="17"/>
        <v>8.3</v>
      </c>
      <c r="AR52" s="44">
        <f t="shared" si="17"/>
        <v>8.3</v>
      </c>
      <c r="AS52" s="44">
        <f t="shared" si="17"/>
        <v>8.3</v>
      </c>
      <c r="AT52" s="44">
        <f t="shared" si="17"/>
        <v>8.3</v>
      </c>
      <c r="AU52" s="44">
        <f t="shared" si="17"/>
        <v>8.3</v>
      </c>
      <c r="AV52" s="44">
        <f t="shared" si="17"/>
        <v>8.3</v>
      </c>
      <c r="AW52" s="44">
        <f t="shared" si="17"/>
        <v>8.3</v>
      </c>
      <c r="AX52" s="44">
        <f t="shared" si="17"/>
        <v>8.3</v>
      </c>
      <c r="AY52" s="44">
        <f t="shared" si="17"/>
        <v>8.3</v>
      </c>
      <c r="AZ52" s="44">
        <f t="shared" si="17"/>
        <v>8.3</v>
      </c>
      <c r="BA52" s="44">
        <f t="shared" si="17"/>
        <v>8.3</v>
      </c>
      <c r="BB52" s="44">
        <f t="shared" si="17"/>
        <v>8.3</v>
      </c>
      <c r="BC52" s="44">
        <f t="shared" si="17"/>
        <v>8.3</v>
      </c>
      <c r="BD52" s="44">
        <f t="shared" si="17"/>
        <v>8.3</v>
      </c>
      <c r="BE52" s="44">
        <f t="shared" si="17"/>
        <v>8.3</v>
      </c>
      <c r="BF52" s="44">
        <f t="shared" si="17"/>
        <v>8.3</v>
      </c>
      <c r="BG52" s="44">
        <f t="shared" si="17"/>
        <v>8.3</v>
      </c>
      <c r="BH52" s="44">
        <f t="shared" si="17"/>
        <v>8.3</v>
      </c>
      <c r="BI52" s="44">
        <f t="shared" si="17"/>
        <v>8.3</v>
      </c>
      <c r="BJ52" s="44">
        <f t="shared" si="17"/>
        <v>8.3</v>
      </c>
      <c r="BK52" s="44">
        <f t="shared" si="17"/>
        <v>8.3</v>
      </c>
      <c r="BL52" s="44">
        <f t="shared" si="17"/>
        <v>8.3</v>
      </c>
      <c r="BM52" s="44">
        <f t="shared" si="17"/>
        <v>8.3</v>
      </c>
      <c r="BN52" s="44">
        <f t="shared" si="17"/>
        <v>8.3</v>
      </c>
      <c r="BO52" s="44">
        <f t="shared" si="17"/>
        <v>8.3</v>
      </c>
      <c r="BP52" s="44">
        <f t="shared" si="17"/>
        <v>8.3</v>
      </c>
      <c r="BQ52" s="44">
        <f t="shared" si="17"/>
        <v>8.3</v>
      </c>
      <c r="BR52" s="44">
        <f t="shared" si="17"/>
        <v>8.3</v>
      </c>
      <c r="BS52" s="44">
        <f t="shared" si="17"/>
        <v>8.3</v>
      </c>
      <c r="BT52" s="44">
        <f t="shared" si="17"/>
        <v>8.3</v>
      </c>
      <c r="BU52" s="44">
        <f t="shared" si="17"/>
        <v>8.3</v>
      </c>
      <c r="BV52" s="44">
        <f t="shared" si="17"/>
        <v>8.3</v>
      </c>
      <c r="BW52" s="44">
        <f t="shared" si="17"/>
        <v>8.3</v>
      </c>
      <c r="BX52" s="44">
        <f t="shared" si="17"/>
        <v>8.3</v>
      </c>
      <c r="BY52" s="44">
        <f t="shared" si="17"/>
        <v>8.3</v>
      </c>
      <c r="BZ52" s="44">
        <f t="shared" si="17"/>
        <v>8.3</v>
      </c>
      <c r="CA52" s="44">
        <f t="shared" si="17"/>
        <v>8.3</v>
      </c>
      <c r="CB52" s="44">
        <f t="shared" si="17"/>
        <v>8.3</v>
      </c>
      <c r="CC52" s="44">
        <f t="shared" si="17"/>
        <v>8.3</v>
      </c>
      <c r="CD52" s="44">
        <f t="shared" si="17"/>
        <v>8.3</v>
      </c>
      <c r="CE52" s="44">
        <f t="shared" si="17"/>
        <v>8.3</v>
      </c>
      <c r="CF52" s="44">
        <f t="shared" si="17"/>
        <v>8.3</v>
      </c>
      <c r="CG52" s="44">
        <f t="shared" si="17"/>
        <v>8.3</v>
      </c>
      <c r="CH52" s="44">
        <f t="shared" si="17"/>
        <v>8.3</v>
      </c>
      <c r="CI52" s="44">
        <f t="shared" si="17"/>
        <v>8.3</v>
      </c>
      <c r="CJ52" s="44">
        <f t="shared" si="17"/>
        <v>8.3</v>
      </c>
      <c r="CK52" s="44">
        <f t="shared" si="17"/>
        <v>8.3</v>
      </c>
      <c r="CL52" s="44">
        <f t="shared" si="17"/>
        <v>8.3</v>
      </c>
      <c r="CM52" s="44">
        <f t="shared" si="17"/>
        <v>8.3</v>
      </c>
      <c r="CN52" s="44">
        <f t="shared" si="17"/>
        <v>8.3</v>
      </c>
      <c r="CO52" s="44">
        <f t="shared" si="17"/>
        <v>8.3</v>
      </c>
      <c r="CP52" s="44">
        <f t="shared" si="17"/>
        <v>8.3</v>
      </c>
      <c r="CQ52" s="44">
        <f t="shared" si="17"/>
        <v>8.3</v>
      </c>
      <c r="CR52" s="44">
        <f t="shared" si="17"/>
        <v>8.3</v>
      </c>
      <c r="CS52" s="44">
        <f t="shared" si="17"/>
        <v>8.3</v>
      </c>
      <c r="CT52" s="44">
        <f t="shared" si="17"/>
        <v>8.3</v>
      </c>
      <c r="CU52" s="44">
        <f t="shared" si="17"/>
        <v>8.3</v>
      </c>
      <c r="CV52" s="44">
        <f t="shared" si="17"/>
        <v>8.3</v>
      </c>
      <c r="CW52" s="44">
        <f t="shared" si="17"/>
        <v>8.3</v>
      </c>
      <c r="CX52" s="44">
        <f t="shared" si="17"/>
        <v>8.3</v>
      </c>
      <c r="CY52" s="44">
        <f t="shared" si="17"/>
        <v>8.3</v>
      </c>
      <c r="CZ52" s="44">
        <f t="shared" si="17"/>
        <v>8.3</v>
      </c>
      <c r="DA52" s="44">
        <f t="shared" si="17"/>
        <v>8.3</v>
      </c>
      <c r="DB52" s="44">
        <f t="shared" si="17"/>
        <v>8.3</v>
      </c>
      <c r="DC52" s="44">
        <f t="shared" si="17"/>
        <v>8.3</v>
      </c>
      <c r="DD52" s="44">
        <f t="shared" si="17"/>
        <v>8.3</v>
      </c>
      <c r="DE52" s="44">
        <f t="shared" si="17"/>
        <v>8.3</v>
      </c>
      <c r="DF52" s="44">
        <f t="shared" si="17"/>
        <v>8.3</v>
      </c>
      <c r="DG52" s="44">
        <f t="shared" si="17"/>
        <v>8.3</v>
      </c>
      <c r="DH52" s="44">
        <f t="shared" si="17"/>
        <v>8.3</v>
      </c>
      <c r="DI52" s="44">
        <f t="shared" si="17"/>
        <v>8.3</v>
      </c>
      <c r="DJ52" s="44">
        <f t="shared" si="17"/>
        <v>8.3</v>
      </c>
      <c r="DK52" s="44">
        <f t="shared" si="17"/>
        <v>8.3</v>
      </c>
      <c r="DL52" s="44">
        <f t="shared" si="17"/>
        <v>8.3</v>
      </c>
      <c r="DM52" s="44">
        <f t="shared" si="17"/>
        <v>8.3</v>
      </c>
      <c r="DN52" s="44">
        <f t="shared" si="17"/>
        <v>8.3</v>
      </c>
      <c r="DO52" s="44">
        <f t="shared" si="17"/>
        <v>8.3</v>
      </c>
      <c r="DP52" s="44">
        <f t="shared" si="17"/>
        <v>8.3</v>
      </c>
      <c r="DQ52" s="44">
        <f t="shared" si="17"/>
        <v>8.3</v>
      </c>
      <c r="DR52" s="44">
        <f t="shared" si="17"/>
        <v>8.3</v>
      </c>
      <c r="DS52" s="44">
        <f t="shared" si="17"/>
        <v>8.3</v>
      </c>
      <c r="DT52" s="44">
        <f t="shared" si="17"/>
        <v>8.3</v>
      </c>
      <c r="DU52" s="44">
        <f t="shared" si="17"/>
        <v>8.3</v>
      </c>
      <c r="DV52" s="44">
        <f t="shared" si="17"/>
        <v>8.3</v>
      </c>
    </row>
    <row r="53" ht="13.5" customHeight="1">
      <c r="A53" s="1"/>
      <c r="B53" s="49" t="s">
        <v>32</v>
      </c>
      <c r="E53" s="1">
        <v>0.0</v>
      </c>
      <c r="F53" s="1">
        <v>0.0</v>
      </c>
      <c r="G53" s="1">
        <v>1.0</v>
      </c>
      <c r="H53" s="1">
        <v>2.0</v>
      </c>
      <c r="I53" s="1">
        <v>4.0</v>
      </c>
      <c r="J53" s="1">
        <v>6.0</v>
      </c>
      <c r="K53" s="1">
        <v>9.0</v>
      </c>
      <c r="L53" s="1">
        <v>9.0</v>
      </c>
      <c r="M53" s="1">
        <v>9.0</v>
      </c>
      <c r="N53" s="1">
        <v>10.0</v>
      </c>
      <c r="O53" s="1">
        <v>11.0</v>
      </c>
      <c r="P53" s="1">
        <v>13.0</v>
      </c>
      <c r="Q53" s="1">
        <v>15.0</v>
      </c>
      <c r="R53" s="1">
        <v>17.0</v>
      </c>
      <c r="S53" s="1">
        <v>17.0</v>
      </c>
      <c r="T53" s="1">
        <v>17.0</v>
      </c>
      <c r="U53" s="1">
        <v>19.0</v>
      </c>
      <c r="V53" s="1">
        <v>21.0</v>
      </c>
      <c r="W53" s="1">
        <v>23.0</v>
      </c>
      <c r="X53" s="1">
        <v>24.0</v>
      </c>
      <c r="Y53" s="1">
        <v>25.0</v>
      </c>
      <c r="Z53" s="1">
        <v>25.0</v>
      </c>
      <c r="AA53" s="1">
        <v>25.0</v>
      </c>
      <c r="AB53" s="1">
        <v>27.0</v>
      </c>
      <c r="AC53" s="1">
        <v>29.0</v>
      </c>
      <c r="AD53" s="1">
        <v>31.0</v>
      </c>
      <c r="AE53" s="1">
        <v>32.0</v>
      </c>
      <c r="AF53" s="1">
        <v>33.0</v>
      </c>
      <c r="AG53" s="1">
        <v>33.0</v>
      </c>
      <c r="AH53" s="1">
        <v>33.0</v>
      </c>
      <c r="AI53" s="1"/>
      <c r="AJ53" s="1">
        <v>33.0</v>
      </c>
      <c r="AK53" s="1">
        <v>33.0</v>
      </c>
      <c r="AL53" s="1">
        <v>33.0</v>
      </c>
      <c r="AM53" s="1">
        <v>33.0</v>
      </c>
      <c r="AN53" s="1">
        <v>33.0</v>
      </c>
      <c r="AO53" s="1">
        <v>33.0</v>
      </c>
      <c r="AP53" s="1">
        <v>33.0</v>
      </c>
      <c r="AQ53" s="1">
        <v>34.0</v>
      </c>
      <c r="AR53" s="1">
        <v>35.0</v>
      </c>
      <c r="AS53" s="1">
        <v>36.0</v>
      </c>
      <c r="AT53" s="1">
        <v>37.0</v>
      </c>
      <c r="AU53" s="1">
        <v>37.0</v>
      </c>
      <c r="AV53" s="1">
        <v>37.0</v>
      </c>
      <c r="AW53" s="1">
        <v>38.0</v>
      </c>
      <c r="AX53" s="1">
        <v>39.0</v>
      </c>
      <c r="AY53" s="1">
        <v>40.0</v>
      </c>
      <c r="AZ53" s="1">
        <v>41.0</v>
      </c>
      <c r="BA53" s="1">
        <v>42.0</v>
      </c>
      <c r="BB53" s="1">
        <v>42.0</v>
      </c>
      <c r="BC53" s="1">
        <v>42.0</v>
      </c>
      <c r="BD53" s="1">
        <v>43.0</v>
      </c>
      <c r="BE53" s="1">
        <v>44.0</v>
      </c>
      <c r="BF53" s="1">
        <v>45.0</v>
      </c>
      <c r="BG53" s="1">
        <v>46.0</v>
      </c>
      <c r="BH53" s="1">
        <v>47.0</v>
      </c>
      <c r="BI53" s="1">
        <v>47.0</v>
      </c>
      <c r="BJ53" s="1">
        <v>47.0</v>
      </c>
      <c r="BK53" s="1">
        <v>48.0</v>
      </c>
      <c r="BL53" s="1">
        <v>49.0</v>
      </c>
      <c r="BM53" s="1">
        <v>50.0</v>
      </c>
      <c r="BN53" s="1">
        <v>51.0</v>
      </c>
      <c r="BO53" s="1">
        <v>52.0</v>
      </c>
      <c r="BP53" s="1">
        <v>52.0</v>
      </c>
      <c r="BQ53" s="1">
        <v>52.0</v>
      </c>
      <c r="BR53" s="1">
        <v>53.0</v>
      </c>
      <c r="BS53" s="1">
        <v>54.0</v>
      </c>
      <c r="BT53" s="1">
        <v>55.0</v>
      </c>
      <c r="BU53" s="1">
        <v>56.0</v>
      </c>
      <c r="BV53" s="1">
        <v>57.0</v>
      </c>
      <c r="BW53" s="1">
        <v>57.0</v>
      </c>
      <c r="BX53" s="1">
        <v>57.0</v>
      </c>
      <c r="BY53" s="1">
        <v>58.0</v>
      </c>
      <c r="BZ53" s="1">
        <v>59.0</v>
      </c>
      <c r="CA53" s="1">
        <v>60.0</v>
      </c>
      <c r="CB53" s="1">
        <v>61.0</v>
      </c>
      <c r="CC53" s="1">
        <v>62.0</v>
      </c>
      <c r="CD53" s="1">
        <v>62.0</v>
      </c>
      <c r="CE53" s="1">
        <v>62.0</v>
      </c>
      <c r="CF53" s="1">
        <v>63.0</v>
      </c>
      <c r="CG53" s="1">
        <v>64.0</v>
      </c>
      <c r="CH53" s="1">
        <v>65.0</v>
      </c>
      <c r="CI53" s="1">
        <v>66.0</v>
      </c>
      <c r="CJ53" s="1">
        <v>67.0</v>
      </c>
      <c r="CK53" s="1">
        <v>67.0</v>
      </c>
      <c r="CL53" s="1">
        <v>67.0</v>
      </c>
      <c r="CM53" s="1">
        <v>68.0</v>
      </c>
      <c r="CN53" s="1">
        <v>69.0</v>
      </c>
      <c r="CO53" s="1">
        <v>70.0</v>
      </c>
      <c r="CP53" s="1">
        <v>71.0</v>
      </c>
      <c r="CQ53" s="1">
        <v>72.0</v>
      </c>
      <c r="CR53" s="1">
        <v>72.0</v>
      </c>
      <c r="CS53" s="1">
        <v>72.0</v>
      </c>
      <c r="CT53" s="1">
        <v>73.0</v>
      </c>
      <c r="CU53" s="1">
        <v>74.0</v>
      </c>
      <c r="CV53" s="1">
        <v>75.0</v>
      </c>
      <c r="CW53" s="1">
        <v>75.5</v>
      </c>
      <c r="CX53" s="1">
        <v>76.0</v>
      </c>
      <c r="CY53" s="1">
        <v>76.0</v>
      </c>
      <c r="CZ53" s="1">
        <v>76.0</v>
      </c>
      <c r="DA53" s="1">
        <v>77.0</v>
      </c>
      <c r="DB53" s="1">
        <v>78.0</v>
      </c>
      <c r="DC53" s="1">
        <v>80.0</v>
      </c>
      <c r="DD53" s="1">
        <v>81.0</v>
      </c>
      <c r="DE53" s="1">
        <v>82.0</v>
      </c>
      <c r="DF53" s="1">
        <v>82.0</v>
      </c>
      <c r="DG53" s="1">
        <v>82.0</v>
      </c>
      <c r="DH53" s="1">
        <v>84.0</v>
      </c>
      <c r="DI53" s="1">
        <v>86.0</v>
      </c>
      <c r="DJ53" s="1">
        <v>88.0</v>
      </c>
      <c r="DK53" s="1">
        <v>90.0</v>
      </c>
      <c r="DL53" s="1">
        <v>92.0</v>
      </c>
      <c r="DM53" s="1">
        <v>92.0</v>
      </c>
      <c r="DN53" s="1">
        <v>92.0</v>
      </c>
      <c r="DO53" s="1">
        <v>94.0</v>
      </c>
      <c r="DP53" s="1">
        <v>95.0</v>
      </c>
      <c r="DQ53" s="1">
        <v>96.0</v>
      </c>
      <c r="DR53" s="1">
        <v>97.0</v>
      </c>
      <c r="DS53" s="1">
        <v>98.0</v>
      </c>
      <c r="DT53" s="1">
        <v>98.0</v>
      </c>
      <c r="DU53" s="1">
        <v>98.0</v>
      </c>
      <c r="DV53" s="1">
        <v>100.0</v>
      </c>
    </row>
    <row r="54" ht="13.5" customHeight="1">
      <c r="A54" s="1"/>
      <c r="B54" s="49" t="s">
        <v>34</v>
      </c>
      <c r="E54" s="1">
        <f t="shared" ref="E54:DV54" si="18">E53-E52</f>
        <v>0</v>
      </c>
      <c r="F54" s="1">
        <f t="shared" si="18"/>
        <v>0</v>
      </c>
      <c r="G54" s="1">
        <f t="shared" si="18"/>
        <v>-1.4</v>
      </c>
      <c r="H54" s="1">
        <f t="shared" si="18"/>
        <v>-1.8</v>
      </c>
      <c r="I54" s="1">
        <f t="shared" si="18"/>
        <v>-1.3</v>
      </c>
      <c r="J54" s="1">
        <f t="shared" si="18"/>
        <v>-0.8</v>
      </c>
      <c r="K54" s="1">
        <f t="shared" si="18"/>
        <v>0.7</v>
      </c>
      <c r="L54" s="1">
        <f t="shared" si="18"/>
        <v>0.7</v>
      </c>
      <c r="M54" s="1">
        <f t="shared" si="18"/>
        <v>0.7</v>
      </c>
      <c r="N54" s="1">
        <f t="shared" si="18"/>
        <v>1.7</v>
      </c>
      <c r="O54" s="1">
        <f t="shared" si="18"/>
        <v>2.7</v>
      </c>
      <c r="P54" s="1">
        <f t="shared" si="18"/>
        <v>4.7</v>
      </c>
      <c r="Q54" s="1">
        <f t="shared" si="18"/>
        <v>6.7</v>
      </c>
      <c r="R54" s="1">
        <f t="shared" si="18"/>
        <v>8.7</v>
      </c>
      <c r="S54" s="1">
        <f t="shared" si="18"/>
        <v>8.7</v>
      </c>
      <c r="T54" s="1">
        <f t="shared" si="18"/>
        <v>8.7</v>
      </c>
      <c r="U54" s="1">
        <f t="shared" si="18"/>
        <v>10.7</v>
      </c>
      <c r="V54" s="1">
        <f t="shared" si="18"/>
        <v>12.7</v>
      </c>
      <c r="W54" s="1">
        <f t="shared" si="18"/>
        <v>14.7</v>
      </c>
      <c r="X54" s="1">
        <f t="shared" si="18"/>
        <v>15.7</v>
      </c>
      <c r="Y54" s="1">
        <f t="shared" si="18"/>
        <v>16.7</v>
      </c>
      <c r="Z54" s="1">
        <f t="shared" si="18"/>
        <v>16.7</v>
      </c>
      <c r="AA54" s="1">
        <f t="shared" si="18"/>
        <v>16.7</v>
      </c>
      <c r="AB54" s="1">
        <f t="shared" si="18"/>
        <v>18.7</v>
      </c>
      <c r="AC54" s="1">
        <f t="shared" si="18"/>
        <v>20.7</v>
      </c>
      <c r="AD54" s="1">
        <f t="shared" si="18"/>
        <v>22.7</v>
      </c>
      <c r="AE54" s="1">
        <f t="shared" si="18"/>
        <v>23.7</v>
      </c>
      <c r="AF54" s="1">
        <f t="shared" si="18"/>
        <v>24.7</v>
      </c>
      <c r="AG54" s="1">
        <f t="shared" si="18"/>
        <v>24.7</v>
      </c>
      <c r="AH54" s="1">
        <f t="shared" si="18"/>
        <v>24.7</v>
      </c>
      <c r="AI54" s="1">
        <f t="shared" si="18"/>
        <v>0</v>
      </c>
      <c r="AJ54" s="1">
        <f t="shared" si="18"/>
        <v>24.7</v>
      </c>
      <c r="AK54" s="1">
        <f t="shared" si="18"/>
        <v>24.7</v>
      </c>
      <c r="AL54" s="1">
        <f t="shared" si="18"/>
        <v>24.7</v>
      </c>
      <c r="AM54" s="1">
        <f t="shared" si="18"/>
        <v>24.7</v>
      </c>
      <c r="AN54" s="1">
        <f t="shared" si="18"/>
        <v>24.7</v>
      </c>
      <c r="AO54" s="1">
        <f t="shared" si="18"/>
        <v>24.7</v>
      </c>
      <c r="AP54" s="1">
        <f t="shared" si="18"/>
        <v>24.7</v>
      </c>
      <c r="AQ54" s="1">
        <f t="shared" si="18"/>
        <v>25.7</v>
      </c>
      <c r="AR54" s="1">
        <f t="shared" si="18"/>
        <v>26.7</v>
      </c>
      <c r="AS54" s="1">
        <f t="shared" si="18"/>
        <v>27.7</v>
      </c>
      <c r="AT54" s="1">
        <f t="shared" si="18"/>
        <v>28.7</v>
      </c>
      <c r="AU54" s="1">
        <f t="shared" si="18"/>
        <v>28.7</v>
      </c>
      <c r="AV54" s="1">
        <f t="shared" si="18"/>
        <v>28.7</v>
      </c>
      <c r="AW54" s="1">
        <f t="shared" si="18"/>
        <v>29.7</v>
      </c>
      <c r="AX54" s="1">
        <f t="shared" si="18"/>
        <v>30.7</v>
      </c>
      <c r="AY54" s="1">
        <f t="shared" si="18"/>
        <v>31.7</v>
      </c>
      <c r="AZ54" s="1">
        <f t="shared" si="18"/>
        <v>32.7</v>
      </c>
      <c r="BA54" s="1">
        <f t="shared" si="18"/>
        <v>33.7</v>
      </c>
      <c r="BB54" s="1">
        <f t="shared" si="18"/>
        <v>33.7</v>
      </c>
      <c r="BC54" s="1">
        <f t="shared" si="18"/>
        <v>33.7</v>
      </c>
      <c r="BD54" s="1">
        <f t="shared" si="18"/>
        <v>34.7</v>
      </c>
      <c r="BE54" s="1">
        <f t="shared" si="18"/>
        <v>35.7</v>
      </c>
      <c r="BF54" s="1">
        <f t="shared" si="18"/>
        <v>36.7</v>
      </c>
      <c r="BG54" s="1">
        <f t="shared" si="18"/>
        <v>37.7</v>
      </c>
      <c r="BH54" s="1">
        <f t="shared" si="18"/>
        <v>38.7</v>
      </c>
      <c r="BI54" s="1">
        <f t="shared" si="18"/>
        <v>38.7</v>
      </c>
      <c r="BJ54" s="1">
        <f t="shared" si="18"/>
        <v>38.7</v>
      </c>
      <c r="BK54" s="1">
        <f t="shared" si="18"/>
        <v>39.7</v>
      </c>
      <c r="BL54" s="1">
        <f t="shared" si="18"/>
        <v>40.7</v>
      </c>
      <c r="BM54" s="1">
        <f t="shared" si="18"/>
        <v>41.7</v>
      </c>
      <c r="BN54" s="1">
        <f t="shared" si="18"/>
        <v>42.7</v>
      </c>
      <c r="BO54" s="1">
        <f t="shared" si="18"/>
        <v>43.7</v>
      </c>
      <c r="BP54" s="1">
        <f t="shared" si="18"/>
        <v>43.7</v>
      </c>
      <c r="BQ54" s="1">
        <f t="shared" si="18"/>
        <v>43.7</v>
      </c>
      <c r="BR54" s="1">
        <f t="shared" si="18"/>
        <v>44.7</v>
      </c>
      <c r="BS54" s="1">
        <f t="shared" si="18"/>
        <v>45.7</v>
      </c>
      <c r="BT54" s="1">
        <f t="shared" si="18"/>
        <v>46.7</v>
      </c>
      <c r="BU54" s="1">
        <f t="shared" si="18"/>
        <v>47.7</v>
      </c>
      <c r="BV54" s="1">
        <f t="shared" si="18"/>
        <v>48.7</v>
      </c>
      <c r="BW54" s="1">
        <f t="shared" si="18"/>
        <v>48.7</v>
      </c>
      <c r="BX54" s="1">
        <f t="shared" si="18"/>
        <v>48.7</v>
      </c>
      <c r="BY54" s="1">
        <f t="shared" si="18"/>
        <v>49.7</v>
      </c>
      <c r="BZ54" s="1">
        <f t="shared" si="18"/>
        <v>50.7</v>
      </c>
      <c r="CA54" s="1">
        <f t="shared" si="18"/>
        <v>51.7</v>
      </c>
      <c r="CB54" s="1">
        <f t="shared" si="18"/>
        <v>52.7</v>
      </c>
      <c r="CC54" s="1">
        <f t="shared" si="18"/>
        <v>53.7</v>
      </c>
      <c r="CD54" s="1">
        <f t="shared" si="18"/>
        <v>53.7</v>
      </c>
      <c r="CE54" s="1">
        <f t="shared" si="18"/>
        <v>53.7</v>
      </c>
      <c r="CF54" s="1">
        <f t="shared" si="18"/>
        <v>54.7</v>
      </c>
      <c r="CG54" s="1">
        <f t="shared" si="18"/>
        <v>55.7</v>
      </c>
      <c r="CH54" s="1">
        <f t="shared" si="18"/>
        <v>56.7</v>
      </c>
      <c r="CI54" s="1">
        <f t="shared" si="18"/>
        <v>57.7</v>
      </c>
      <c r="CJ54" s="1">
        <f t="shared" si="18"/>
        <v>58.7</v>
      </c>
      <c r="CK54" s="1">
        <f t="shared" si="18"/>
        <v>58.7</v>
      </c>
      <c r="CL54" s="1">
        <f t="shared" si="18"/>
        <v>58.7</v>
      </c>
      <c r="CM54" s="1">
        <f t="shared" si="18"/>
        <v>59.7</v>
      </c>
      <c r="CN54" s="1">
        <f t="shared" si="18"/>
        <v>60.7</v>
      </c>
      <c r="CO54" s="1">
        <f t="shared" si="18"/>
        <v>61.7</v>
      </c>
      <c r="CP54" s="1">
        <f t="shared" si="18"/>
        <v>62.7</v>
      </c>
      <c r="CQ54" s="1">
        <f t="shared" si="18"/>
        <v>63.7</v>
      </c>
      <c r="CR54" s="1">
        <f t="shared" si="18"/>
        <v>63.7</v>
      </c>
      <c r="CS54" s="1">
        <f t="shared" si="18"/>
        <v>63.7</v>
      </c>
      <c r="CT54" s="1">
        <f t="shared" si="18"/>
        <v>64.7</v>
      </c>
      <c r="CU54" s="1">
        <f t="shared" si="18"/>
        <v>65.7</v>
      </c>
      <c r="CV54" s="1">
        <f t="shared" si="18"/>
        <v>66.7</v>
      </c>
      <c r="CW54" s="1">
        <f t="shared" si="18"/>
        <v>67.2</v>
      </c>
      <c r="CX54" s="1">
        <f t="shared" si="18"/>
        <v>67.7</v>
      </c>
      <c r="CY54" s="1">
        <f t="shared" si="18"/>
        <v>67.7</v>
      </c>
      <c r="CZ54" s="1">
        <f t="shared" si="18"/>
        <v>67.7</v>
      </c>
      <c r="DA54" s="1">
        <f t="shared" si="18"/>
        <v>68.7</v>
      </c>
      <c r="DB54" s="1">
        <f t="shared" si="18"/>
        <v>69.7</v>
      </c>
      <c r="DC54" s="1">
        <f t="shared" si="18"/>
        <v>71.7</v>
      </c>
      <c r="DD54" s="1">
        <f t="shared" si="18"/>
        <v>72.7</v>
      </c>
      <c r="DE54" s="1">
        <f t="shared" si="18"/>
        <v>73.7</v>
      </c>
      <c r="DF54" s="1">
        <f t="shared" si="18"/>
        <v>73.7</v>
      </c>
      <c r="DG54" s="1">
        <f t="shared" si="18"/>
        <v>73.7</v>
      </c>
      <c r="DH54" s="1">
        <f t="shared" si="18"/>
        <v>75.7</v>
      </c>
      <c r="DI54" s="1">
        <f t="shared" si="18"/>
        <v>77.7</v>
      </c>
      <c r="DJ54" s="1">
        <f t="shared" si="18"/>
        <v>79.7</v>
      </c>
      <c r="DK54" s="1">
        <f t="shared" si="18"/>
        <v>81.7</v>
      </c>
      <c r="DL54" s="1">
        <f t="shared" si="18"/>
        <v>83.7</v>
      </c>
      <c r="DM54" s="1">
        <f t="shared" si="18"/>
        <v>83.7</v>
      </c>
      <c r="DN54" s="1">
        <f t="shared" si="18"/>
        <v>83.7</v>
      </c>
      <c r="DO54" s="1">
        <f t="shared" si="18"/>
        <v>85.7</v>
      </c>
      <c r="DP54" s="1">
        <f t="shared" si="18"/>
        <v>86.7</v>
      </c>
      <c r="DQ54" s="1">
        <f t="shared" si="18"/>
        <v>87.7</v>
      </c>
      <c r="DR54" s="1">
        <f t="shared" si="18"/>
        <v>88.7</v>
      </c>
      <c r="DS54" s="1">
        <f t="shared" si="18"/>
        <v>89.7</v>
      </c>
      <c r="DT54" s="1">
        <f t="shared" si="18"/>
        <v>89.7</v>
      </c>
      <c r="DU54" s="1">
        <f t="shared" si="18"/>
        <v>89.7</v>
      </c>
      <c r="DV54" s="1">
        <f t="shared" si="18"/>
        <v>91.7</v>
      </c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</row>
    <row r="57" ht="13.5" customHeight="1">
      <c r="A57" s="1"/>
      <c r="B57" s="1"/>
      <c r="C57" s="1"/>
      <c r="D57" s="1">
        <f>2-1.4</f>
        <v>0.6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5"/>
      <c r="DQ241" s="5"/>
      <c r="DR241" s="5"/>
      <c r="DS241" s="5"/>
      <c r="DT241" s="5"/>
      <c r="DU241" s="5"/>
      <c r="DV241" s="5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/>
      <c r="DS245" s="5"/>
      <c r="DT245" s="5"/>
      <c r="DU245" s="5"/>
      <c r="DV245" s="5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  <c r="DM251" s="5"/>
      <c r="DN251" s="5"/>
      <c r="DO251" s="5"/>
      <c r="DP251" s="5"/>
      <c r="DQ251" s="5"/>
      <c r="DR251" s="5"/>
      <c r="DS251" s="5"/>
      <c r="DT251" s="5"/>
      <c r="DU251" s="5"/>
      <c r="DV251" s="5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5"/>
      <c r="DS252" s="5"/>
      <c r="DT252" s="5"/>
      <c r="DU252" s="5"/>
      <c r="DV252" s="5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/>
      <c r="DO253" s="5"/>
      <c r="DP253" s="5"/>
      <c r="DQ253" s="5"/>
      <c r="DR253" s="5"/>
      <c r="DS253" s="5"/>
      <c r="DT253" s="5"/>
      <c r="DU253" s="5"/>
      <c r="DV253" s="5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  <c r="DM255" s="5"/>
      <c r="DN255" s="5"/>
      <c r="DO255" s="5"/>
      <c r="DP255" s="5"/>
      <c r="DQ255" s="5"/>
      <c r="DR255" s="5"/>
      <c r="DS255" s="5"/>
      <c r="DT255" s="5"/>
      <c r="DU255" s="5"/>
      <c r="DV255" s="5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L257" s="5"/>
      <c r="DM257" s="5"/>
      <c r="DN257" s="5"/>
      <c r="DO257" s="5"/>
      <c r="DP257" s="5"/>
      <c r="DQ257" s="5"/>
      <c r="DR257" s="5"/>
      <c r="DS257" s="5"/>
      <c r="DT257" s="5"/>
      <c r="DU257" s="5"/>
      <c r="DV257" s="5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5"/>
      <c r="CT258" s="5"/>
      <c r="CU258" s="5"/>
      <c r="CV258" s="5"/>
      <c r="CW258" s="5"/>
      <c r="CX258" s="5"/>
      <c r="CY258" s="5"/>
      <c r="CZ258" s="5"/>
      <c r="DA258" s="5"/>
      <c r="DB258" s="5"/>
      <c r="DC258" s="5"/>
      <c r="DD258" s="5"/>
      <c r="DE258" s="5"/>
      <c r="DF258" s="5"/>
      <c r="DG258" s="5"/>
      <c r="DH258" s="5"/>
      <c r="DI258" s="5"/>
      <c r="DJ258" s="5"/>
      <c r="DK258" s="5"/>
      <c r="DL258" s="5"/>
      <c r="DM258" s="5"/>
      <c r="DN258" s="5"/>
      <c r="DO258" s="5"/>
      <c r="DP258" s="5"/>
      <c r="DQ258" s="5"/>
      <c r="DR258" s="5"/>
      <c r="DS258" s="5"/>
      <c r="DT258" s="5"/>
      <c r="DU258" s="5"/>
      <c r="DV258" s="5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5"/>
      <c r="CT259" s="5"/>
      <c r="CU259" s="5"/>
      <c r="CV259" s="5"/>
      <c r="CW259" s="5"/>
      <c r="CX259" s="5"/>
      <c r="CY259" s="5"/>
      <c r="CZ259" s="5"/>
      <c r="DA259" s="5"/>
      <c r="DB259" s="5"/>
      <c r="DC259" s="5"/>
      <c r="DD259" s="5"/>
      <c r="DE259" s="5"/>
      <c r="DF259" s="5"/>
      <c r="DG259" s="5"/>
      <c r="DH259" s="5"/>
      <c r="DI259" s="5"/>
      <c r="DJ259" s="5"/>
      <c r="DK259" s="5"/>
      <c r="DL259" s="5"/>
      <c r="DM259" s="5"/>
      <c r="DN259" s="5"/>
      <c r="DO259" s="5"/>
      <c r="DP259" s="5"/>
      <c r="DQ259" s="5"/>
      <c r="DR259" s="5"/>
      <c r="DS259" s="5"/>
      <c r="DT259" s="5"/>
      <c r="DU259" s="5"/>
      <c r="DV259" s="5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5"/>
      <c r="CT260" s="5"/>
      <c r="CU260" s="5"/>
      <c r="CV260" s="5"/>
      <c r="CW260" s="5"/>
      <c r="CX260" s="5"/>
      <c r="CY260" s="5"/>
      <c r="CZ260" s="5"/>
      <c r="DA260" s="5"/>
      <c r="DB260" s="5"/>
      <c r="DC260" s="5"/>
      <c r="DD260" s="5"/>
      <c r="DE260" s="5"/>
      <c r="DF260" s="5"/>
      <c r="DG260" s="5"/>
      <c r="DH260" s="5"/>
      <c r="DI260" s="5"/>
      <c r="DJ260" s="5"/>
      <c r="DK260" s="5"/>
      <c r="DL260" s="5"/>
      <c r="DM260" s="5"/>
      <c r="DN260" s="5"/>
      <c r="DO260" s="5"/>
      <c r="DP260" s="5"/>
      <c r="DQ260" s="5"/>
      <c r="DR260" s="5"/>
      <c r="DS260" s="5"/>
      <c r="DT260" s="5"/>
      <c r="DU260" s="5"/>
      <c r="DV260" s="5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5"/>
      <c r="CT261" s="5"/>
      <c r="CU261" s="5"/>
      <c r="CV261" s="5"/>
      <c r="CW261" s="5"/>
      <c r="CX261" s="5"/>
      <c r="CY261" s="5"/>
      <c r="CZ261" s="5"/>
      <c r="DA261" s="5"/>
      <c r="DB261" s="5"/>
      <c r="DC261" s="5"/>
      <c r="DD261" s="5"/>
      <c r="DE261" s="5"/>
      <c r="DF261" s="5"/>
      <c r="DG261" s="5"/>
      <c r="DH261" s="5"/>
      <c r="DI261" s="5"/>
      <c r="DJ261" s="5"/>
      <c r="DK261" s="5"/>
      <c r="DL261" s="5"/>
      <c r="DM261" s="5"/>
      <c r="DN261" s="5"/>
      <c r="DO261" s="5"/>
      <c r="DP261" s="5"/>
      <c r="DQ261" s="5"/>
      <c r="DR261" s="5"/>
      <c r="DS261" s="5"/>
      <c r="DT261" s="5"/>
      <c r="DU261" s="5"/>
      <c r="DV261" s="5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5"/>
      <c r="CT262" s="5"/>
      <c r="CU262" s="5"/>
      <c r="CV262" s="5"/>
      <c r="CW262" s="5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  <c r="DI262" s="5"/>
      <c r="DJ262" s="5"/>
      <c r="DK262" s="5"/>
      <c r="DL262" s="5"/>
      <c r="DM262" s="5"/>
      <c r="DN262" s="5"/>
      <c r="DO262" s="5"/>
      <c r="DP262" s="5"/>
      <c r="DQ262" s="5"/>
      <c r="DR262" s="5"/>
      <c r="DS262" s="5"/>
      <c r="DT262" s="5"/>
      <c r="DU262" s="5"/>
      <c r="DV262" s="5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5"/>
      <c r="CT263" s="5"/>
      <c r="CU263" s="5"/>
      <c r="CV263" s="5"/>
      <c r="CW263" s="5"/>
      <c r="CX263" s="5"/>
      <c r="CY263" s="5"/>
      <c r="CZ263" s="5"/>
      <c r="DA263" s="5"/>
      <c r="DB263" s="5"/>
      <c r="DC263" s="5"/>
      <c r="DD263" s="5"/>
      <c r="DE263" s="5"/>
      <c r="DF263" s="5"/>
      <c r="DG263" s="5"/>
      <c r="DH263" s="5"/>
      <c r="DI263" s="5"/>
      <c r="DJ263" s="5"/>
      <c r="DK263" s="5"/>
      <c r="DL263" s="5"/>
      <c r="DM263" s="5"/>
      <c r="DN263" s="5"/>
      <c r="DO263" s="5"/>
      <c r="DP263" s="5"/>
      <c r="DQ263" s="5"/>
      <c r="DR263" s="5"/>
      <c r="DS263" s="5"/>
      <c r="DT263" s="5"/>
      <c r="DU263" s="5"/>
      <c r="DV263" s="5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5"/>
      <c r="CT264" s="5"/>
      <c r="CU264" s="5"/>
      <c r="CV264" s="5"/>
      <c r="CW264" s="5"/>
      <c r="CX264" s="5"/>
      <c r="CY264" s="5"/>
      <c r="CZ264" s="5"/>
      <c r="DA264" s="5"/>
      <c r="DB264" s="5"/>
      <c r="DC264" s="5"/>
      <c r="DD264" s="5"/>
      <c r="DE264" s="5"/>
      <c r="DF264" s="5"/>
      <c r="DG264" s="5"/>
      <c r="DH264" s="5"/>
      <c r="DI264" s="5"/>
      <c r="DJ264" s="5"/>
      <c r="DK264" s="5"/>
      <c r="DL264" s="5"/>
      <c r="DM264" s="5"/>
      <c r="DN264" s="5"/>
      <c r="DO264" s="5"/>
      <c r="DP264" s="5"/>
      <c r="DQ264" s="5"/>
      <c r="DR264" s="5"/>
      <c r="DS264" s="5"/>
      <c r="DT264" s="5"/>
      <c r="DU264" s="5"/>
      <c r="DV264" s="5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5"/>
      <c r="CT265" s="5"/>
      <c r="CU265" s="5"/>
      <c r="CV265" s="5"/>
      <c r="CW265" s="5"/>
      <c r="CX265" s="5"/>
      <c r="CY265" s="5"/>
      <c r="CZ265" s="5"/>
      <c r="DA265" s="5"/>
      <c r="DB265" s="5"/>
      <c r="DC265" s="5"/>
      <c r="DD265" s="5"/>
      <c r="DE265" s="5"/>
      <c r="DF265" s="5"/>
      <c r="DG265" s="5"/>
      <c r="DH265" s="5"/>
      <c r="DI265" s="5"/>
      <c r="DJ265" s="5"/>
      <c r="DK265" s="5"/>
      <c r="DL265" s="5"/>
      <c r="DM265" s="5"/>
      <c r="DN265" s="5"/>
      <c r="DO265" s="5"/>
      <c r="DP265" s="5"/>
      <c r="DQ265" s="5"/>
      <c r="DR265" s="5"/>
      <c r="DS265" s="5"/>
      <c r="DT265" s="5"/>
      <c r="DU265" s="5"/>
      <c r="DV265" s="5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5"/>
      <c r="CT266" s="5"/>
      <c r="CU266" s="5"/>
      <c r="CV266" s="5"/>
      <c r="CW266" s="5"/>
      <c r="CX266" s="5"/>
      <c r="CY266" s="5"/>
      <c r="CZ266" s="5"/>
      <c r="DA266" s="5"/>
      <c r="DB266" s="5"/>
      <c r="DC266" s="5"/>
      <c r="DD266" s="5"/>
      <c r="DE266" s="5"/>
      <c r="DF266" s="5"/>
      <c r="DG266" s="5"/>
      <c r="DH266" s="5"/>
      <c r="DI266" s="5"/>
      <c r="DJ266" s="5"/>
      <c r="DK266" s="5"/>
      <c r="DL266" s="5"/>
      <c r="DM266" s="5"/>
      <c r="DN266" s="5"/>
      <c r="DO266" s="5"/>
      <c r="DP266" s="5"/>
      <c r="DQ266" s="5"/>
      <c r="DR266" s="5"/>
      <c r="DS266" s="5"/>
      <c r="DT266" s="5"/>
      <c r="DU266" s="5"/>
      <c r="DV266" s="5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5"/>
      <c r="CT267" s="5"/>
      <c r="CU267" s="5"/>
      <c r="CV267" s="5"/>
      <c r="CW267" s="5"/>
      <c r="CX267" s="5"/>
      <c r="CY267" s="5"/>
      <c r="CZ267" s="5"/>
      <c r="DA267" s="5"/>
      <c r="DB267" s="5"/>
      <c r="DC267" s="5"/>
      <c r="DD267" s="5"/>
      <c r="DE267" s="5"/>
      <c r="DF267" s="5"/>
      <c r="DG267" s="5"/>
      <c r="DH267" s="5"/>
      <c r="DI267" s="5"/>
      <c r="DJ267" s="5"/>
      <c r="DK267" s="5"/>
      <c r="DL267" s="5"/>
      <c r="DM267" s="5"/>
      <c r="DN267" s="5"/>
      <c r="DO267" s="5"/>
      <c r="DP267" s="5"/>
      <c r="DQ267" s="5"/>
      <c r="DR267" s="5"/>
      <c r="DS267" s="5"/>
      <c r="DT267" s="5"/>
      <c r="DU267" s="5"/>
      <c r="DV267" s="5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5"/>
      <c r="CT268" s="5"/>
      <c r="CU268" s="5"/>
      <c r="CV268" s="5"/>
      <c r="CW268" s="5"/>
      <c r="CX268" s="5"/>
      <c r="CY268" s="5"/>
      <c r="CZ268" s="5"/>
      <c r="DA268" s="5"/>
      <c r="DB268" s="5"/>
      <c r="DC268" s="5"/>
      <c r="DD268" s="5"/>
      <c r="DE268" s="5"/>
      <c r="DF268" s="5"/>
      <c r="DG268" s="5"/>
      <c r="DH268" s="5"/>
      <c r="DI268" s="5"/>
      <c r="DJ268" s="5"/>
      <c r="DK268" s="5"/>
      <c r="DL268" s="5"/>
      <c r="DM268" s="5"/>
      <c r="DN268" s="5"/>
      <c r="DO268" s="5"/>
      <c r="DP268" s="5"/>
      <c r="DQ268" s="5"/>
      <c r="DR268" s="5"/>
      <c r="DS268" s="5"/>
      <c r="DT268" s="5"/>
      <c r="DU268" s="5"/>
      <c r="DV268" s="5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5"/>
      <c r="CT269" s="5"/>
      <c r="CU269" s="5"/>
      <c r="CV269" s="5"/>
      <c r="CW269" s="5"/>
      <c r="CX269" s="5"/>
      <c r="CY269" s="5"/>
      <c r="CZ269" s="5"/>
      <c r="DA269" s="5"/>
      <c r="DB269" s="5"/>
      <c r="DC269" s="5"/>
      <c r="DD269" s="5"/>
      <c r="DE269" s="5"/>
      <c r="DF269" s="5"/>
      <c r="DG269" s="5"/>
      <c r="DH269" s="5"/>
      <c r="DI269" s="5"/>
      <c r="DJ269" s="5"/>
      <c r="DK269" s="5"/>
      <c r="DL269" s="5"/>
      <c r="DM269" s="5"/>
      <c r="DN269" s="5"/>
      <c r="DO269" s="5"/>
      <c r="DP269" s="5"/>
      <c r="DQ269" s="5"/>
      <c r="DR269" s="5"/>
      <c r="DS269" s="5"/>
      <c r="DT269" s="5"/>
      <c r="DU269" s="5"/>
      <c r="DV269" s="5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5"/>
      <c r="CT270" s="5"/>
      <c r="CU270" s="5"/>
      <c r="CV270" s="5"/>
      <c r="CW270" s="5"/>
      <c r="CX270" s="5"/>
      <c r="CY270" s="5"/>
      <c r="CZ270" s="5"/>
      <c r="DA270" s="5"/>
      <c r="DB270" s="5"/>
      <c r="DC270" s="5"/>
      <c r="DD270" s="5"/>
      <c r="DE270" s="5"/>
      <c r="DF270" s="5"/>
      <c r="DG270" s="5"/>
      <c r="DH270" s="5"/>
      <c r="DI270" s="5"/>
      <c r="DJ270" s="5"/>
      <c r="DK270" s="5"/>
      <c r="DL270" s="5"/>
      <c r="DM270" s="5"/>
      <c r="DN270" s="5"/>
      <c r="DO270" s="5"/>
      <c r="DP270" s="5"/>
      <c r="DQ270" s="5"/>
      <c r="DR270" s="5"/>
      <c r="DS270" s="5"/>
      <c r="DT270" s="5"/>
      <c r="DU270" s="5"/>
      <c r="DV270" s="5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5"/>
      <c r="CT271" s="5"/>
      <c r="CU271" s="5"/>
      <c r="CV271" s="5"/>
      <c r="CW271" s="5"/>
      <c r="CX271" s="5"/>
      <c r="CY271" s="5"/>
      <c r="CZ271" s="5"/>
      <c r="DA271" s="5"/>
      <c r="DB271" s="5"/>
      <c r="DC271" s="5"/>
      <c r="DD271" s="5"/>
      <c r="DE271" s="5"/>
      <c r="DF271" s="5"/>
      <c r="DG271" s="5"/>
      <c r="DH271" s="5"/>
      <c r="DI271" s="5"/>
      <c r="DJ271" s="5"/>
      <c r="DK271" s="5"/>
      <c r="DL271" s="5"/>
      <c r="DM271" s="5"/>
      <c r="DN271" s="5"/>
      <c r="DO271" s="5"/>
      <c r="DP271" s="5"/>
      <c r="DQ271" s="5"/>
      <c r="DR271" s="5"/>
      <c r="DS271" s="5"/>
      <c r="DT271" s="5"/>
      <c r="DU271" s="5"/>
      <c r="DV271" s="5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5"/>
      <c r="CT272" s="5"/>
      <c r="CU272" s="5"/>
      <c r="CV272" s="5"/>
      <c r="CW272" s="5"/>
      <c r="CX272" s="5"/>
      <c r="CY272" s="5"/>
      <c r="CZ272" s="5"/>
      <c r="DA272" s="5"/>
      <c r="DB272" s="5"/>
      <c r="DC272" s="5"/>
      <c r="DD272" s="5"/>
      <c r="DE272" s="5"/>
      <c r="DF272" s="5"/>
      <c r="DG272" s="5"/>
      <c r="DH272" s="5"/>
      <c r="DI272" s="5"/>
      <c r="DJ272" s="5"/>
      <c r="DK272" s="5"/>
      <c r="DL272" s="5"/>
      <c r="DM272" s="5"/>
      <c r="DN272" s="5"/>
      <c r="DO272" s="5"/>
      <c r="DP272" s="5"/>
      <c r="DQ272" s="5"/>
      <c r="DR272" s="5"/>
      <c r="DS272" s="5"/>
      <c r="DT272" s="5"/>
      <c r="DU272" s="5"/>
      <c r="DV272" s="5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5"/>
      <c r="CT273" s="5"/>
      <c r="CU273" s="5"/>
      <c r="CV273" s="5"/>
      <c r="CW273" s="5"/>
      <c r="CX273" s="5"/>
      <c r="CY273" s="5"/>
      <c r="CZ273" s="5"/>
      <c r="DA273" s="5"/>
      <c r="DB273" s="5"/>
      <c r="DC273" s="5"/>
      <c r="DD273" s="5"/>
      <c r="DE273" s="5"/>
      <c r="DF273" s="5"/>
      <c r="DG273" s="5"/>
      <c r="DH273" s="5"/>
      <c r="DI273" s="5"/>
      <c r="DJ273" s="5"/>
      <c r="DK273" s="5"/>
      <c r="DL273" s="5"/>
      <c r="DM273" s="5"/>
      <c r="DN273" s="5"/>
      <c r="DO273" s="5"/>
      <c r="DP273" s="5"/>
      <c r="DQ273" s="5"/>
      <c r="DR273" s="5"/>
      <c r="DS273" s="5"/>
      <c r="DT273" s="5"/>
      <c r="DU273" s="5"/>
      <c r="DV273" s="5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5"/>
      <c r="CT274" s="5"/>
      <c r="CU274" s="5"/>
      <c r="CV274" s="5"/>
      <c r="CW274" s="5"/>
      <c r="CX274" s="5"/>
      <c r="CY274" s="5"/>
      <c r="CZ274" s="5"/>
      <c r="DA274" s="5"/>
      <c r="DB274" s="5"/>
      <c r="DC274" s="5"/>
      <c r="DD274" s="5"/>
      <c r="DE274" s="5"/>
      <c r="DF274" s="5"/>
      <c r="DG274" s="5"/>
      <c r="DH274" s="5"/>
      <c r="DI274" s="5"/>
      <c r="DJ274" s="5"/>
      <c r="DK274" s="5"/>
      <c r="DL274" s="5"/>
      <c r="DM274" s="5"/>
      <c r="DN274" s="5"/>
      <c r="DO274" s="5"/>
      <c r="DP274" s="5"/>
      <c r="DQ274" s="5"/>
      <c r="DR274" s="5"/>
      <c r="DS274" s="5"/>
      <c r="DT274" s="5"/>
      <c r="DU274" s="5"/>
      <c r="DV274" s="5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5"/>
      <c r="CT275" s="5"/>
      <c r="CU275" s="5"/>
      <c r="CV275" s="5"/>
      <c r="CW275" s="5"/>
      <c r="CX275" s="5"/>
      <c r="CY275" s="5"/>
      <c r="CZ275" s="5"/>
      <c r="DA275" s="5"/>
      <c r="DB275" s="5"/>
      <c r="DC275" s="5"/>
      <c r="DD275" s="5"/>
      <c r="DE275" s="5"/>
      <c r="DF275" s="5"/>
      <c r="DG275" s="5"/>
      <c r="DH275" s="5"/>
      <c r="DI275" s="5"/>
      <c r="DJ275" s="5"/>
      <c r="DK275" s="5"/>
      <c r="DL275" s="5"/>
      <c r="DM275" s="5"/>
      <c r="DN275" s="5"/>
      <c r="DO275" s="5"/>
      <c r="DP275" s="5"/>
      <c r="DQ275" s="5"/>
      <c r="DR275" s="5"/>
      <c r="DS275" s="5"/>
      <c r="DT275" s="5"/>
      <c r="DU275" s="5"/>
      <c r="DV275" s="5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5"/>
      <c r="CT276" s="5"/>
      <c r="CU276" s="5"/>
      <c r="CV276" s="5"/>
      <c r="CW276" s="5"/>
      <c r="CX276" s="5"/>
      <c r="CY276" s="5"/>
      <c r="CZ276" s="5"/>
      <c r="DA276" s="5"/>
      <c r="DB276" s="5"/>
      <c r="DC276" s="5"/>
      <c r="DD276" s="5"/>
      <c r="DE276" s="5"/>
      <c r="DF276" s="5"/>
      <c r="DG276" s="5"/>
      <c r="DH276" s="5"/>
      <c r="DI276" s="5"/>
      <c r="DJ276" s="5"/>
      <c r="DK276" s="5"/>
      <c r="DL276" s="5"/>
      <c r="DM276" s="5"/>
      <c r="DN276" s="5"/>
      <c r="DO276" s="5"/>
      <c r="DP276" s="5"/>
      <c r="DQ276" s="5"/>
      <c r="DR276" s="5"/>
      <c r="DS276" s="5"/>
      <c r="DT276" s="5"/>
      <c r="DU276" s="5"/>
      <c r="DV276" s="5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5"/>
      <c r="CT277" s="5"/>
      <c r="CU277" s="5"/>
      <c r="CV277" s="5"/>
      <c r="CW277" s="5"/>
      <c r="CX277" s="5"/>
      <c r="CY277" s="5"/>
      <c r="CZ277" s="5"/>
      <c r="DA277" s="5"/>
      <c r="DB277" s="5"/>
      <c r="DC277" s="5"/>
      <c r="DD277" s="5"/>
      <c r="DE277" s="5"/>
      <c r="DF277" s="5"/>
      <c r="DG277" s="5"/>
      <c r="DH277" s="5"/>
      <c r="DI277" s="5"/>
      <c r="DJ277" s="5"/>
      <c r="DK277" s="5"/>
      <c r="DL277" s="5"/>
      <c r="DM277" s="5"/>
      <c r="DN277" s="5"/>
      <c r="DO277" s="5"/>
      <c r="DP277" s="5"/>
      <c r="DQ277" s="5"/>
      <c r="DR277" s="5"/>
      <c r="DS277" s="5"/>
      <c r="DT277" s="5"/>
      <c r="DU277" s="5"/>
      <c r="DV277" s="5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5"/>
      <c r="CT278" s="5"/>
      <c r="CU278" s="5"/>
      <c r="CV278" s="5"/>
      <c r="CW278" s="5"/>
      <c r="CX278" s="5"/>
      <c r="CY278" s="5"/>
      <c r="CZ278" s="5"/>
      <c r="DA278" s="5"/>
      <c r="DB278" s="5"/>
      <c r="DC278" s="5"/>
      <c r="DD278" s="5"/>
      <c r="DE278" s="5"/>
      <c r="DF278" s="5"/>
      <c r="DG278" s="5"/>
      <c r="DH278" s="5"/>
      <c r="DI278" s="5"/>
      <c r="DJ278" s="5"/>
      <c r="DK278" s="5"/>
      <c r="DL278" s="5"/>
      <c r="DM278" s="5"/>
      <c r="DN278" s="5"/>
      <c r="DO278" s="5"/>
      <c r="DP278" s="5"/>
      <c r="DQ278" s="5"/>
      <c r="DR278" s="5"/>
      <c r="DS278" s="5"/>
      <c r="DT278" s="5"/>
      <c r="DU278" s="5"/>
      <c r="DV278" s="5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5"/>
      <c r="CT279" s="5"/>
      <c r="CU279" s="5"/>
      <c r="CV279" s="5"/>
      <c r="CW279" s="5"/>
      <c r="CX279" s="5"/>
      <c r="CY279" s="5"/>
      <c r="CZ279" s="5"/>
      <c r="DA279" s="5"/>
      <c r="DB279" s="5"/>
      <c r="DC279" s="5"/>
      <c r="DD279" s="5"/>
      <c r="DE279" s="5"/>
      <c r="DF279" s="5"/>
      <c r="DG279" s="5"/>
      <c r="DH279" s="5"/>
      <c r="DI279" s="5"/>
      <c r="DJ279" s="5"/>
      <c r="DK279" s="5"/>
      <c r="DL279" s="5"/>
      <c r="DM279" s="5"/>
      <c r="DN279" s="5"/>
      <c r="DO279" s="5"/>
      <c r="DP279" s="5"/>
      <c r="DQ279" s="5"/>
      <c r="DR279" s="5"/>
      <c r="DS279" s="5"/>
      <c r="DT279" s="5"/>
      <c r="DU279" s="5"/>
      <c r="DV279" s="5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5"/>
      <c r="CT280" s="5"/>
      <c r="CU280" s="5"/>
      <c r="CV280" s="5"/>
      <c r="CW280" s="5"/>
      <c r="CX280" s="5"/>
      <c r="CY280" s="5"/>
      <c r="CZ280" s="5"/>
      <c r="DA280" s="5"/>
      <c r="DB280" s="5"/>
      <c r="DC280" s="5"/>
      <c r="DD280" s="5"/>
      <c r="DE280" s="5"/>
      <c r="DF280" s="5"/>
      <c r="DG280" s="5"/>
      <c r="DH280" s="5"/>
      <c r="DI280" s="5"/>
      <c r="DJ280" s="5"/>
      <c r="DK280" s="5"/>
      <c r="DL280" s="5"/>
      <c r="DM280" s="5"/>
      <c r="DN280" s="5"/>
      <c r="DO280" s="5"/>
      <c r="DP280" s="5"/>
      <c r="DQ280" s="5"/>
      <c r="DR280" s="5"/>
      <c r="DS280" s="5"/>
      <c r="DT280" s="5"/>
      <c r="DU280" s="5"/>
      <c r="DV280" s="5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5"/>
      <c r="CT281" s="5"/>
      <c r="CU281" s="5"/>
      <c r="CV281" s="5"/>
      <c r="CW281" s="5"/>
      <c r="CX281" s="5"/>
      <c r="CY281" s="5"/>
      <c r="CZ281" s="5"/>
      <c r="DA281" s="5"/>
      <c r="DB281" s="5"/>
      <c r="DC281" s="5"/>
      <c r="DD281" s="5"/>
      <c r="DE281" s="5"/>
      <c r="DF281" s="5"/>
      <c r="DG281" s="5"/>
      <c r="DH281" s="5"/>
      <c r="DI281" s="5"/>
      <c r="DJ281" s="5"/>
      <c r="DK281" s="5"/>
      <c r="DL281" s="5"/>
      <c r="DM281" s="5"/>
      <c r="DN281" s="5"/>
      <c r="DO281" s="5"/>
      <c r="DP281" s="5"/>
      <c r="DQ281" s="5"/>
      <c r="DR281" s="5"/>
      <c r="DS281" s="5"/>
      <c r="DT281" s="5"/>
      <c r="DU281" s="5"/>
      <c r="DV281" s="5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5"/>
      <c r="CT282" s="5"/>
      <c r="CU282" s="5"/>
      <c r="CV282" s="5"/>
      <c r="CW282" s="5"/>
      <c r="CX282" s="5"/>
      <c r="CY282" s="5"/>
      <c r="CZ282" s="5"/>
      <c r="DA282" s="5"/>
      <c r="DB282" s="5"/>
      <c r="DC282" s="5"/>
      <c r="DD282" s="5"/>
      <c r="DE282" s="5"/>
      <c r="DF282" s="5"/>
      <c r="DG282" s="5"/>
      <c r="DH282" s="5"/>
      <c r="DI282" s="5"/>
      <c r="DJ282" s="5"/>
      <c r="DK282" s="5"/>
      <c r="DL282" s="5"/>
      <c r="DM282" s="5"/>
      <c r="DN282" s="5"/>
      <c r="DO282" s="5"/>
      <c r="DP282" s="5"/>
      <c r="DQ282" s="5"/>
      <c r="DR282" s="5"/>
      <c r="DS282" s="5"/>
      <c r="DT282" s="5"/>
      <c r="DU282" s="5"/>
      <c r="DV282" s="5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5"/>
      <c r="CT283" s="5"/>
      <c r="CU283" s="5"/>
      <c r="CV283" s="5"/>
      <c r="CW283" s="5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L283" s="5"/>
      <c r="DM283" s="5"/>
      <c r="DN283" s="5"/>
      <c r="DO283" s="5"/>
      <c r="DP283" s="5"/>
      <c r="DQ283" s="5"/>
      <c r="DR283" s="5"/>
      <c r="DS283" s="5"/>
      <c r="DT283" s="5"/>
      <c r="DU283" s="5"/>
      <c r="DV283" s="5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5"/>
      <c r="CT284" s="5"/>
      <c r="CU284" s="5"/>
      <c r="CV284" s="5"/>
      <c r="CW284" s="5"/>
      <c r="CX284" s="5"/>
      <c r="CY284" s="5"/>
      <c r="CZ284" s="5"/>
      <c r="DA284" s="5"/>
      <c r="DB284" s="5"/>
      <c r="DC284" s="5"/>
      <c r="DD284" s="5"/>
      <c r="DE284" s="5"/>
      <c r="DF284" s="5"/>
      <c r="DG284" s="5"/>
      <c r="DH284" s="5"/>
      <c r="DI284" s="5"/>
      <c r="DJ284" s="5"/>
      <c r="DK284" s="5"/>
      <c r="DL284" s="5"/>
      <c r="DM284" s="5"/>
      <c r="DN284" s="5"/>
      <c r="DO284" s="5"/>
      <c r="DP284" s="5"/>
      <c r="DQ284" s="5"/>
      <c r="DR284" s="5"/>
      <c r="DS284" s="5"/>
      <c r="DT284" s="5"/>
      <c r="DU284" s="5"/>
      <c r="DV284" s="5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5"/>
      <c r="CT285" s="5"/>
      <c r="CU285" s="5"/>
      <c r="CV285" s="5"/>
      <c r="CW285" s="5"/>
      <c r="CX285" s="5"/>
      <c r="CY285" s="5"/>
      <c r="CZ285" s="5"/>
      <c r="DA285" s="5"/>
      <c r="DB285" s="5"/>
      <c r="DC285" s="5"/>
      <c r="DD285" s="5"/>
      <c r="DE285" s="5"/>
      <c r="DF285" s="5"/>
      <c r="DG285" s="5"/>
      <c r="DH285" s="5"/>
      <c r="DI285" s="5"/>
      <c r="DJ285" s="5"/>
      <c r="DK285" s="5"/>
      <c r="DL285" s="5"/>
      <c r="DM285" s="5"/>
      <c r="DN285" s="5"/>
      <c r="DO285" s="5"/>
      <c r="DP285" s="5"/>
      <c r="DQ285" s="5"/>
      <c r="DR285" s="5"/>
      <c r="DS285" s="5"/>
      <c r="DT285" s="5"/>
      <c r="DU285" s="5"/>
      <c r="DV285" s="5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5"/>
      <c r="CT286" s="5"/>
      <c r="CU286" s="5"/>
      <c r="CV286" s="5"/>
      <c r="CW286" s="5"/>
      <c r="CX286" s="5"/>
      <c r="CY286" s="5"/>
      <c r="CZ286" s="5"/>
      <c r="DA286" s="5"/>
      <c r="DB286" s="5"/>
      <c r="DC286" s="5"/>
      <c r="DD286" s="5"/>
      <c r="DE286" s="5"/>
      <c r="DF286" s="5"/>
      <c r="DG286" s="5"/>
      <c r="DH286" s="5"/>
      <c r="DI286" s="5"/>
      <c r="DJ286" s="5"/>
      <c r="DK286" s="5"/>
      <c r="DL286" s="5"/>
      <c r="DM286" s="5"/>
      <c r="DN286" s="5"/>
      <c r="DO286" s="5"/>
      <c r="DP286" s="5"/>
      <c r="DQ286" s="5"/>
      <c r="DR286" s="5"/>
      <c r="DS286" s="5"/>
      <c r="DT286" s="5"/>
      <c r="DU286" s="5"/>
      <c r="DV286" s="5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5"/>
      <c r="CT287" s="5"/>
      <c r="CU287" s="5"/>
      <c r="CV287" s="5"/>
      <c r="CW287" s="5"/>
      <c r="CX287" s="5"/>
      <c r="CY287" s="5"/>
      <c r="CZ287" s="5"/>
      <c r="DA287" s="5"/>
      <c r="DB287" s="5"/>
      <c r="DC287" s="5"/>
      <c r="DD287" s="5"/>
      <c r="DE287" s="5"/>
      <c r="DF287" s="5"/>
      <c r="DG287" s="5"/>
      <c r="DH287" s="5"/>
      <c r="DI287" s="5"/>
      <c r="DJ287" s="5"/>
      <c r="DK287" s="5"/>
      <c r="DL287" s="5"/>
      <c r="DM287" s="5"/>
      <c r="DN287" s="5"/>
      <c r="DO287" s="5"/>
      <c r="DP287" s="5"/>
      <c r="DQ287" s="5"/>
      <c r="DR287" s="5"/>
      <c r="DS287" s="5"/>
      <c r="DT287" s="5"/>
      <c r="DU287" s="5"/>
      <c r="DV287" s="5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5"/>
      <c r="CT288" s="5"/>
      <c r="CU288" s="5"/>
      <c r="CV288" s="5"/>
      <c r="CW288" s="5"/>
      <c r="CX288" s="5"/>
      <c r="CY288" s="5"/>
      <c r="CZ288" s="5"/>
      <c r="DA288" s="5"/>
      <c r="DB288" s="5"/>
      <c r="DC288" s="5"/>
      <c r="DD288" s="5"/>
      <c r="DE288" s="5"/>
      <c r="DF288" s="5"/>
      <c r="DG288" s="5"/>
      <c r="DH288" s="5"/>
      <c r="DI288" s="5"/>
      <c r="DJ288" s="5"/>
      <c r="DK288" s="5"/>
      <c r="DL288" s="5"/>
      <c r="DM288" s="5"/>
      <c r="DN288" s="5"/>
      <c r="DO288" s="5"/>
      <c r="DP288" s="5"/>
      <c r="DQ288" s="5"/>
      <c r="DR288" s="5"/>
      <c r="DS288" s="5"/>
      <c r="DT288" s="5"/>
      <c r="DU288" s="5"/>
      <c r="DV288" s="5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5"/>
      <c r="CT289" s="5"/>
      <c r="CU289" s="5"/>
      <c r="CV289" s="5"/>
      <c r="CW289" s="5"/>
      <c r="CX289" s="5"/>
      <c r="CY289" s="5"/>
      <c r="CZ289" s="5"/>
      <c r="DA289" s="5"/>
      <c r="DB289" s="5"/>
      <c r="DC289" s="5"/>
      <c r="DD289" s="5"/>
      <c r="DE289" s="5"/>
      <c r="DF289" s="5"/>
      <c r="DG289" s="5"/>
      <c r="DH289" s="5"/>
      <c r="DI289" s="5"/>
      <c r="DJ289" s="5"/>
      <c r="DK289" s="5"/>
      <c r="DL289" s="5"/>
      <c r="DM289" s="5"/>
      <c r="DN289" s="5"/>
      <c r="DO289" s="5"/>
      <c r="DP289" s="5"/>
      <c r="DQ289" s="5"/>
      <c r="DR289" s="5"/>
      <c r="DS289" s="5"/>
      <c r="DT289" s="5"/>
      <c r="DU289" s="5"/>
      <c r="DV289" s="5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5"/>
      <c r="CT290" s="5"/>
      <c r="CU290" s="5"/>
      <c r="CV290" s="5"/>
      <c r="CW290" s="5"/>
      <c r="CX290" s="5"/>
      <c r="CY290" s="5"/>
      <c r="CZ290" s="5"/>
      <c r="DA290" s="5"/>
      <c r="DB290" s="5"/>
      <c r="DC290" s="5"/>
      <c r="DD290" s="5"/>
      <c r="DE290" s="5"/>
      <c r="DF290" s="5"/>
      <c r="DG290" s="5"/>
      <c r="DH290" s="5"/>
      <c r="DI290" s="5"/>
      <c r="DJ290" s="5"/>
      <c r="DK290" s="5"/>
      <c r="DL290" s="5"/>
      <c r="DM290" s="5"/>
      <c r="DN290" s="5"/>
      <c r="DO290" s="5"/>
      <c r="DP290" s="5"/>
      <c r="DQ290" s="5"/>
      <c r="DR290" s="5"/>
      <c r="DS290" s="5"/>
      <c r="DT290" s="5"/>
      <c r="DU290" s="5"/>
      <c r="DV290" s="5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5"/>
      <c r="CT291" s="5"/>
      <c r="CU291" s="5"/>
      <c r="CV291" s="5"/>
      <c r="CW291" s="5"/>
      <c r="CX291" s="5"/>
      <c r="CY291" s="5"/>
      <c r="CZ291" s="5"/>
      <c r="DA291" s="5"/>
      <c r="DB291" s="5"/>
      <c r="DC291" s="5"/>
      <c r="DD291" s="5"/>
      <c r="DE291" s="5"/>
      <c r="DF291" s="5"/>
      <c r="DG291" s="5"/>
      <c r="DH291" s="5"/>
      <c r="DI291" s="5"/>
      <c r="DJ291" s="5"/>
      <c r="DK291" s="5"/>
      <c r="DL291" s="5"/>
      <c r="DM291" s="5"/>
      <c r="DN291" s="5"/>
      <c r="DO291" s="5"/>
      <c r="DP291" s="5"/>
      <c r="DQ291" s="5"/>
      <c r="DR291" s="5"/>
      <c r="DS291" s="5"/>
      <c r="DT291" s="5"/>
      <c r="DU291" s="5"/>
      <c r="DV291" s="5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5"/>
      <c r="CT292" s="5"/>
      <c r="CU292" s="5"/>
      <c r="CV292" s="5"/>
      <c r="CW292" s="5"/>
      <c r="CX292" s="5"/>
      <c r="CY292" s="5"/>
      <c r="CZ292" s="5"/>
      <c r="DA292" s="5"/>
      <c r="DB292" s="5"/>
      <c r="DC292" s="5"/>
      <c r="DD292" s="5"/>
      <c r="DE292" s="5"/>
      <c r="DF292" s="5"/>
      <c r="DG292" s="5"/>
      <c r="DH292" s="5"/>
      <c r="DI292" s="5"/>
      <c r="DJ292" s="5"/>
      <c r="DK292" s="5"/>
      <c r="DL292" s="5"/>
      <c r="DM292" s="5"/>
      <c r="DN292" s="5"/>
      <c r="DO292" s="5"/>
      <c r="DP292" s="5"/>
      <c r="DQ292" s="5"/>
      <c r="DR292" s="5"/>
      <c r="DS292" s="5"/>
      <c r="DT292" s="5"/>
      <c r="DU292" s="5"/>
      <c r="DV292" s="5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5"/>
      <c r="CT293" s="5"/>
      <c r="CU293" s="5"/>
      <c r="CV293" s="5"/>
      <c r="CW293" s="5"/>
      <c r="CX293" s="5"/>
      <c r="CY293" s="5"/>
      <c r="CZ293" s="5"/>
      <c r="DA293" s="5"/>
      <c r="DB293" s="5"/>
      <c r="DC293" s="5"/>
      <c r="DD293" s="5"/>
      <c r="DE293" s="5"/>
      <c r="DF293" s="5"/>
      <c r="DG293" s="5"/>
      <c r="DH293" s="5"/>
      <c r="DI293" s="5"/>
      <c r="DJ293" s="5"/>
      <c r="DK293" s="5"/>
      <c r="DL293" s="5"/>
      <c r="DM293" s="5"/>
      <c r="DN293" s="5"/>
      <c r="DO293" s="5"/>
      <c r="DP293" s="5"/>
      <c r="DQ293" s="5"/>
      <c r="DR293" s="5"/>
      <c r="DS293" s="5"/>
      <c r="DT293" s="5"/>
      <c r="DU293" s="5"/>
      <c r="DV293" s="5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5"/>
      <c r="CT294" s="5"/>
      <c r="CU294" s="5"/>
      <c r="CV294" s="5"/>
      <c r="CW294" s="5"/>
      <c r="CX294" s="5"/>
      <c r="CY294" s="5"/>
      <c r="CZ294" s="5"/>
      <c r="DA294" s="5"/>
      <c r="DB294" s="5"/>
      <c r="DC294" s="5"/>
      <c r="DD294" s="5"/>
      <c r="DE294" s="5"/>
      <c r="DF294" s="5"/>
      <c r="DG294" s="5"/>
      <c r="DH294" s="5"/>
      <c r="DI294" s="5"/>
      <c r="DJ294" s="5"/>
      <c r="DK294" s="5"/>
      <c r="DL294" s="5"/>
      <c r="DM294" s="5"/>
      <c r="DN294" s="5"/>
      <c r="DO294" s="5"/>
      <c r="DP294" s="5"/>
      <c r="DQ294" s="5"/>
      <c r="DR294" s="5"/>
      <c r="DS294" s="5"/>
      <c r="DT294" s="5"/>
      <c r="DU294" s="5"/>
      <c r="DV294" s="5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5"/>
      <c r="CT295" s="5"/>
      <c r="CU295" s="5"/>
      <c r="CV295" s="5"/>
      <c r="CW295" s="5"/>
      <c r="CX295" s="5"/>
      <c r="CY295" s="5"/>
      <c r="CZ295" s="5"/>
      <c r="DA295" s="5"/>
      <c r="DB295" s="5"/>
      <c r="DC295" s="5"/>
      <c r="DD295" s="5"/>
      <c r="DE295" s="5"/>
      <c r="DF295" s="5"/>
      <c r="DG295" s="5"/>
      <c r="DH295" s="5"/>
      <c r="DI295" s="5"/>
      <c r="DJ295" s="5"/>
      <c r="DK295" s="5"/>
      <c r="DL295" s="5"/>
      <c r="DM295" s="5"/>
      <c r="DN295" s="5"/>
      <c r="DO295" s="5"/>
      <c r="DP295" s="5"/>
      <c r="DQ295" s="5"/>
      <c r="DR295" s="5"/>
      <c r="DS295" s="5"/>
      <c r="DT295" s="5"/>
      <c r="DU295" s="5"/>
      <c r="DV295" s="5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5"/>
      <c r="CT296" s="5"/>
      <c r="CU296" s="5"/>
      <c r="CV296" s="5"/>
      <c r="CW296" s="5"/>
      <c r="CX296" s="5"/>
      <c r="CY296" s="5"/>
      <c r="CZ296" s="5"/>
      <c r="DA296" s="5"/>
      <c r="DB296" s="5"/>
      <c r="DC296" s="5"/>
      <c r="DD296" s="5"/>
      <c r="DE296" s="5"/>
      <c r="DF296" s="5"/>
      <c r="DG296" s="5"/>
      <c r="DH296" s="5"/>
      <c r="DI296" s="5"/>
      <c r="DJ296" s="5"/>
      <c r="DK296" s="5"/>
      <c r="DL296" s="5"/>
      <c r="DM296" s="5"/>
      <c r="DN296" s="5"/>
      <c r="DO296" s="5"/>
      <c r="DP296" s="5"/>
      <c r="DQ296" s="5"/>
      <c r="DR296" s="5"/>
      <c r="DS296" s="5"/>
      <c r="DT296" s="5"/>
      <c r="DU296" s="5"/>
      <c r="DV296" s="5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5"/>
      <c r="CT297" s="5"/>
      <c r="CU297" s="5"/>
      <c r="CV297" s="5"/>
      <c r="CW297" s="5"/>
      <c r="CX297" s="5"/>
      <c r="CY297" s="5"/>
      <c r="CZ297" s="5"/>
      <c r="DA297" s="5"/>
      <c r="DB297" s="5"/>
      <c r="DC297" s="5"/>
      <c r="DD297" s="5"/>
      <c r="DE297" s="5"/>
      <c r="DF297" s="5"/>
      <c r="DG297" s="5"/>
      <c r="DH297" s="5"/>
      <c r="DI297" s="5"/>
      <c r="DJ297" s="5"/>
      <c r="DK297" s="5"/>
      <c r="DL297" s="5"/>
      <c r="DM297" s="5"/>
      <c r="DN297" s="5"/>
      <c r="DO297" s="5"/>
      <c r="DP297" s="5"/>
      <c r="DQ297" s="5"/>
      <c r="DR297" s="5"/>
      <c r="DS297" s="5"/>
      <c r="DT297" s="5"/>
      <c r="DU297" s="5"/>
      <c r="DV297" s="5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5"/>
      <c r="CT298" s="5"/>
      <c r="CU298" s="5"/>
      <c r="CV298" s="5"/>
      <c r="CW298" s="5"/>
      <c r="CX298" s="5"/>
      <c r="CY298" s="5"/>
      <c r="CZ298" s="5"/>
      <c r="DA298" s="5"/>
      <c r="DB298" s="5"/>
      <c r="DC298" s="5"/>
      <c r="DD298" s="5"/>
      <c r="DE298" s="5"/>
      <c r="DF298" s="5"/>
      <c r="DG298" s="5"/>
      <c r="DH298" s="5"/>
      <c r="DI298" s="5"/>
      <c r="DJ298" s="5"/>
      <c r="DK298" s="5"/>
      <c r="DL298" s="5"/>
      <c r="DM298" s="5"/>
      <c r="DN298" s="5"/>
      <c r="DO298" s="5"/>
      <c r="DP298" s="5"/>
      <c r="DQ298" s="5"/>
      <c r="DR298" s="5"/>
      <c r="DS298" s="5"/>
      <c r="DT298" s="5"/>
      <c r="DU298" s="5"/>
      <c r="DV298" s="5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5"/>
      <c r="CT299" s="5"/>
      <c r="CU299" s="5"/>
      <c r="CV299" s="5"/>
      <c r="CW299" s="5"/>
      <c r="CX299" s="5"/>
      <c r="CY299" s="5"/>
      <c r="CZ299" s="5"/>
      <c r="DA299" s="5"/>
      <c r="DB299" s="5"/>
      <c r="DC299" s="5"/>
      <c r="DD299" s="5"/>
      <c r="DE299" s="5"/>
      <c r="DF299" s="5"/>
      <c r="DG299" s="5"/>
      <c r="DH299" s="5"/>
      <c r="DI299" s="5"/>
      <c r="DJ299" s="5"/>
      <c r="DK299" s="5"/>
      <c r="DL299" s="5"/>
      <c r="DM299" s="5"/>
      <c r="DN299" s="5"/>
      <c r="DO299" s="5"/>
      <c r="DP299" s="5"/>
      <c r="DQ299" s="5"/>
      <c r="DR299" s="5"/>
      <c r="DS299" s="5"/>
      <c r="DT299" s="5"/>
      <c r="DU299" s="5"/>
      <c r="DV299" s="5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5"/>
      <c r="CT300" s="5"/>
      <c r="CU300" s="5"/>
      <c r="CV300" s="5"/>
      <c r="CW300" s="5"/>
      <c r="CX300" s="5"/>
      <c r="CY300" s="5"/>
      <c r="CZ300" s="5"/>
      <c r="DA300" s="5"/>
      <c r="DB300" s="5"/>
      <c r="DC300" s="5"/>
      <c r="DD300" s="5"/>
      <c r="DE300" s="5"/>
      <c r="DF300" s="5"/>
      <c r="DG300" s="5"/>
      <c r="DH300" s="5"/>
      <c r="DI300" s="5"/>
      <c r="DJ300" s="5"/>
      <c r="DK300" s="5"/>
      <c r="DL300" s="5"/>
      <c r="DM300" s="5"/>
      <c r="DN300" s="5"/>
      <c r="DO300" s="5"/>
      <c r="DP300" s="5"/>
      <c r="DQ300" s="5"/>
      <c r="DR300" s="5"/>
      <c r="DS300" s="5"/>
      <c r="DT300" s="5"/>
      <c r="DU300" s="5"/>
      <c r="DV300" s="5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5"/>
      <c r="CT301" s="5"/>
      <c r="CU301" s="5"/>
      <c r="CV301" s="5"/>
      <c r="CW301" s="5"/>
      <c r="CX301" s="5"/>
      <c r="CY301" s="5"/>
      <c r="CZ301" s="5"/>
      <c r="DA301" s="5"/>
      <c r="DB301" s="5"/>
      <c r="DC301" s="5"/>
      <c r="DD301" s="5"/>
      <c r="DE301" s="5"/>
      <c r="DF301" s="5"/>
      <c r="DG301" s="5"/>
      <c r="DH301" s="5"/>
      <c r="DI301" s="5"/>
      <c r="DJ301" s="5"/>
      <c r="DK301" s="5"/>
      <c r="DL301" s="5"/>
      <c r="DM301" s="5"/>
      <c r="DN301" s="5"/>
      <c r="DO301" s="5"/>
      <c r="DP301" s="5"/>
      <c r="DQ301" s="5"/>
      <c r="DR301" s="5"/>
      <c r="DS301" s="5"/>
      <c r="DT301" s="5"/>
      <c r="DU301" s="5"/>
      <c r="DV301" s="5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5"/>
      <c r="CT302" s="5"/>
      <c r="CU302" s="5"/>
      <c r="CV302" s="5"/>
      <c r="CW302" s="5"/>
      <c r="CX302" s="5"/>
      <c r="CY302" s="5"/>
      <c r="CZ302" s="5"/>
      <c r="DA302" s="5"/>
      <c r="DB302" s="5"/>
      <c r="DC302" s="5"/>
      <c r="DD302" s="5"/>
      <c r="DE302" s="5"/>
      <c r="DF302" s="5"/>
      <c r="DG302" s="5"/>
      <c r="DH302" s="5"/>
      <c r="DI302" s="5"/>
      <c r="DJ302" s="5"/>
      <c r="DK302" s="5"/>
      <c r="DL302" s="5"/>
      <c r="DM302" s="5"/>
      <c r="DN302" s="5"/>
      <c r="DO302" s="5"/>
      <c r="DP302" s="5"/>
      <c r="DQ302" s="5"/>
      <c r="DR302" s="5"/>
      <c r="DS302" s="5"/>
      <c r="DT302" s="5"/>
      <c r="DU302" s="5"/>
      <c r="DV302" s="5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5"/>
      <c r="CT303" s="5"/>
      <c r="CU303" s="5"/>
      <c r="CV303" s="5"/>
      <c r="CW303" s="5"/>
      <c r="CX303" s="5"/>
      <c r="CY303" s="5"/>
      <c r="CZ303" s="5"/>
      <c r="DA303" s="5"/>
      <c r="DB303" s="5"/>
      <c r="DC303" s="5"/>
      <c r="DD303" s="5"/>
      <c r="DE303" s="5"/>
      <c r="DF303" s="5"/>
      <c r="DG303" s="5"/>
      <c r="DH303" s="5"/>
      <c r="DI303" s="5"/>
      <c r="DJ303" s="5"/>
      <c r="DK303" s="5"/>
      <c r="DL303" s="5"/>
      <c r="DM303" s="5"/>
      <c r="DN303" s="5"/>
      <c r="DO303" s="5"/>
      <c r="DP303" s="5"/>
      <c r="DQ303" s="5"/>
      <c r="DR303" s="5"/>
      <c r="DS303" s="5"/>
      <c r="DT303" s="5"/>
      <c r="DU303" s="5"/>
      <c r="DV303" s="5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5"/>
      <c r="CT304" s="5"/>
      <c r="CU304" s="5"/>
      <c r="CV304" s="5"/>
      <c r="CW304" s="5"/>
      <c r="CX304" s="5"/>
      <c r="CY304" s="5"/>
      <c r="CZ304" s="5"/>
      <c r="DA304" s="5"/>
      <c r="DB304" s="5"/>
      <c r="DC304" s="5"/>
      <c r="DD304" s="5"/>
      <c r="DE304" s="5"/>
      <c r="DF304" s="5"/>
      <c r="DG304" s="5"/>
      <c r="DH304" s="5"/>
      <c r="DI304" s="5"/>
      <c r="DJ304" s="5"/>
      <c r="DK304" s="5"/>
      <c r="DL304" s="5"/>
      <c r="DM304" s="5"/>
      <c r="DN304" s="5"/>
      <c r="DO304" s="5"/>
      <c r="DP304" s="5"/>
      <c r="DQ304" s="5"/>
      <c r="DR304" s="5"/>
      <c r="DS304" s="5"/>
      <c r="DT304" s="5"/>
      <c r="DU304" s="5"/>
      <c r="DV304" s="5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5"/>
      <c r="CT305" s="5"/>
      <c r="CU305" s="5"/>
      <c r="CV305" s="5"/>
      <c r="CW305" s="5"/>
      <c r="CX305" s="5"/>
      <c r="CY305" s="5"/>
      <c r="CZ305" s="5"/>
      <c r="DA305" s="5"/>
      <c r="DB305" s="5"/>
      <c r="DC305" s="5"/>
      <c r="DD305" s="5"/>
      <c r="DE305" s="5"/>
      <c r="DF305" s="5"/>
      <c r="DG305" s="5"/>
      <c r="DH305" s="5"/>
      <c r="DI305" s="5"/>
      <c r="DJ305" s="5"/>
      <c r="DK305" s="5"/>
      <c r="DL305" s="5"/>
      <c r="DM305" s="5"/>
      <c r="DN305" s="5"/>
      <c r="DO305" s="5"/>
      <c r="DP305" s="5"/>
      <c r="DQ305" s="5"/>
      <c r="DR305" s="5"/>
      <c r="DS305" s="5"/>
      <c r="DT305" s="5"/>
      <c r="DU305" s="5"/>
      <c r="DV305" s="5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5"/>
      <c r="CT306" s="5"/>
      <c r="CU306" s="5"/>
      <c r="CV306" s="5"/>
      <c r="CW306" s="5"/>
      <c r="CX306" s="5"/>
      <c r="CY306" s="5"/>
      <c r="CZ306" s="5"/>
      <c r="DA306" s="5"/>
      <c r="DB306" s="5"/>
      <c r="DC306" s="5"/>
      <c r="DD306" s="5"/>
      <c r="DE306" s="5"/>
      <c r="DF306" s="5"/>
      <c r="DG306" s="5"/>
      <c r="DH306" s="5"/>
      <c r="DI306" s="5"/>
      <c r="DJ306" s="5"/>
      <c r="DK306" s="5"/>
      <c r="DL306" s="5"/>
      <c r="DM306" s="5"/>
      <c r="DN306" s="5"/>
      <c r="DO306" s="5"/>
      <c r="DP306" s="5"/>
      <c r="DQ306" s="5"/>
      <c r="DR306" s="5"/>
      <c r="DS306" s="5"/>
      <c r="DT306" s="5"/>
      <c r="DU306" s="5"/>
      <c r="DV306" s="5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5"/>
      <c r="CT307" s="5"/>
      <c r="CU307" s="5"/>
      <c r="CV307" s="5"/>
      <c r="CW307" s="5"/>
      <c r="CX307" s="5"/>
      <c r="CY307" s="5"/>
      <c r="CZ307" s="5"/>
      <c r="DA307" s="5"/>
      <c r="DB307" s="5"/>
      <c r="DC307" s="5"/>
      <c r="DD307" s="5"/>
      <c r="DE307" s="5"/>
      <c r="DF307" s="5"/>
      <c r="DG307" s="5"/>
      <c r="DH307" s="5"/>
      <c r="DI307" s="5"/>
      <c r="DJ307" s="5"/>
      <c r="DK307" s="5"/>
      <c r="DL307" s="5"/>
      <c r="DM307" s="5"/>
      <c r="DN307" s="5"/>
      <c r="DO307" s="5"/>
      <c r="DP307" s="5"/>
      <c r="DQ307" s="5"/>
      <c r="DR307" s="5"/>
      <c r="DS307" s="5"/>
      <c r="DT307" s="5"/>
      <c r="DU307" s="5"/>
      <c r="DV307" s="5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5"/>
      <c r="CT308" s="5"/>
      <c r="CU308" s="5"/>
      <c r="CV308" s="5"/>
      <c r="CW308" s="5"/>
      <c r="CX308" s="5"/>
      <c r="CY308" s="5"/>
      <c r="CZ308" s="5"/>
      <c r="DA308" s="5"/>
      <c r="DB308" s="5"/>
      <c r="DC308" s="5"/>
      <c r="DD308" s="5"/>
      <c r="DE308" s="5"/>
      <c r="DF308" s="5"/>
      <c r="DG308" s="5"/>
      <c r="DH308" s="5"/>
      <c r="DI308" s="5"/>
      <c r="DJ308" s="5"/>
      <c r="DK308" s="5"/>
      <c r="DL308" s="5"/>
      <c r="DM308" s="5"/>
      <c r="DN308" s="5"/>
      <c r="DO308" s="5"/>
      <c r="DP308" s="5"/>
      <c r="DQ308" s="5"/>
      <c r="DR308" s="5"/>
      <c r="DS308" s="5"/>
      <c r="DT308" s="5"/>
      <c r="DU308" s="5"/>
      <c r="DV308" s="5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5"/>
      <c r="CT309" s="5"/>
      <c r="CU309" s="5"/>
      <c r="CV309" s="5"/>
      <c r="CW309" s="5"/>
      <c r="CX309" s="5"/>
      <c r="CY309" s="5"/>
      <c r="CZ309" s="5"/>
      <c r="DA309" s="5"/>
      <c r="DB309" s="5"/>
      <c r="DC309" s="5"/>
      <c r="DD309" s="5"/>
      <c r="DE309" s="5"/>
      <c r="DF309" s="5"/>
      <c r="DG309" s="5"/>
      <c r="DH309" s="5"/>
      <c r="DI309" s="5"/>
      <c r="DJ309" s="5"/>
      <c r="DK309" s="5"/>
      <c r="DL309" s="5"/>
      <c r="DM309" s="5"/>
      <c r="DN309" s="5"/>
      <c r="DO309" s="5"/>
      <c r="DP309" s="5"/>
      <c r="DQ309" s="5"/>
      <c r="DR309" s="5"/>
      <c r="DS309" s="5"/>
      <c r="DT309" s="5"/>
      <c r="DU309" s="5"/>
      <c r="DV309" s="5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5"/>
      <c r="CT310" s="5"/>
      <c r="CU310" s="5"/>
      <c r="CV310" s="5"/>
      <c r="CW310" s="5"/>
      <c r="CX310" s="5"/>
      <c r="CY310" s="5"/>
      <c r="CZ310" s="5"/>
      <c r="DA310" s="5"/>
      <c r="DB310" s="5"/>
      <c r="DC310" s="5"/>
      <c r="DD310" s="5"/>
      <c r="DE310" s="5"/>
      <c r="DF310" s="5"/>
      <c r="DG310" s="5"/>
      <c r="DH310" s="5"/>
      <c r="DI310" s="5"/>
      <c r="DJ310" s="5"/>
      <c r="DK310" s="5"/>
      <c r="DL310" s="5"/>
      <c r="DM310" s="5"/>
      <c r="DN310" s="5"/>
      <c r="DO310" s="5"/>
      <c r="DP310" s="5"/>
      <c r="DQ310" s="5"/>
      <c r="DR310" s="5"/>
      <c r="DS310" s="5"/>
      <c r="DT310" s="5"/>
      <c r="DU310" s="5"/>
      <c r="DV310" s="5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5"/>
      <c r="CT311" s="5"/>
      <c r="CU311" s="5"/>
      <c r="CV311" s="5"/>
      <c r="CW311" s="5"/>
      <c r="CX311" s="5"/>
      <c r="CY311" s="5"/>
      <c r="CZ311" s="5"/>
      <c r="DA311" s="5"/>
      <c r="DB311" s="5"/>
      <c r="DC311" s="5"/>
      <c r="DD311" s="5"/>
      <c r="DE311" s="5"/>
      <c r="DF311" s="5"/>
      <c r="DG311" s="5"/>
      <c r="DH311" s="5"/>
      <c r="DI311" s="5"/>
      <c r="DJ311" s="5"/>
      <c r="DK311" s="5"/>
      <c r="DL311" s="5"/>
      <c r="DM311" s="5"/>
      <c r="DN311" s="5"/>
      <c r="DO311" s="5"/>
      <c r="DP311" s="5"/>
      <c r="DQ311" s="5"/>
      <c r="DR311" s="5"/>
      <c r="DS311" s="5"/>
      <c r="DT311" s="5"/>
      <c r="DU311" s="5"/>
      <c r="DV311" s="5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5"/>
      <c r="CT312" s="5"/>
      <c r="CU312" s="5"/>
      <c r="CV312" s="5"/>
      <c r="CW312" s="5"/>
      <c r="CX312" s="5"/>
      <c r="CY312" s="5"/>
      <c r="CZ312" s="5"/>
      <c r="DA312" s="5"/>
      <c r="DB312" s="5"/>
      <c r="DC312" s="5"/>
      <c r="DD312" s="5"/>
      <c r="DE312" s="5"/>
      <c r="DF312" s="5"/>
      <c r="DG312" s="5"/>
      <c r="DH312" s="5"/>
      <c r="DI312" s="5"/>
      <c r="DJ312" s="5"/>
      <c r="DK312" s="5"/>
      <c r="DL312" s="5"/>
      <c r="DM312" s="5"/>
      <c r="DN312" s="5"/>
      <c r="DO312" s="5"/>
      <c r="DP312" s="5"/>
      <c r="DQ312" s="5"/>
      <c r="DR312" s="5"/>
      <c r="DS312" s="5"/>
      <c r="DT312" s="5"/>
      <c r="DU312" s="5"/>
      <c r="DV312" s="5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5"/>
      <c r="CT313" s="5"/>
      <c r="CU313" s="5"/>
      <c r="CV313" s="5"/>
      <c r="CW313" s="5"/>
      <c r="CX313" s="5"/>
      <c r="CY313" s="5"/>
      <c r="CZ313" s="5"/>
      <c r="DA313" s="5"/>
      <c r="DB313" s="5"/>
      <c r="DC313" s="5"/>
      <c r="DD313" s="5"/>
      <c r="DE313" s="5"/>
      <c r="DF313" s="5"/>
      <c r="DG313" s="5"/>
      <c r="DH313" s="5"/>
      <c r="DI313" s="5"/>
      <c r="DJ313" s="5"/>
      <c r="DK313" s="5"/>
      <c r="DL313" s="5"/>
      <c r="DM313" s="5"/>
      <c r="DN313" s="5"/>
      <c r="DO313" s="5"/>
      <c r="DP313" s="5"/>
      <c r="DQ313" s="5"/>
      <c r="DR313" s="5"/>
      <c r="DS313" s="5"/>
      <c r="DT313" s="5"/>
      <c r="DU313" s="5"/>
      <c r="DV313" s="5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5"/>
      <c r="CT314" s="5"/>
      <c r="CU314" s="5"/>
      <c r="CV314" s="5"/>
      <c r="CW314" s="5"/>
      <c r="CX314" s="5"/>
      <c r="CY314" s="5"/>
      <c r="CZ314" s="5"/>
      <c r="DA314" s="5"/>
      <c r="DB314" s="5"/>
      <c r="DC314" s="5"/>
      <c r="DD314" s="5"/>
      <c r="DE314" s="5"/>
      <c r="DF314" s="5"/>
      <c r="DG314" s="5"/>
      <c r="DH314" s="5"/>
      <c r="DI314" s="5"/>
      <c r="DJ314" s="5"/>
      <c r="DK314" s="5"/>
      <c r="DL314" s="5"/>
      <c r="DM314" s="5"/>
      <c r="DN314" s="5"/>
      <c r="DO314" s="5"/>
      <c r="DP314" s="5"/>
      <c r="DQ314" s="5"/>
      <c r="DR314" s="5"/>
      <c r="DS314" s="5"/>
      <c r="DT314" s="5"/>
      <c r="DU314" s="5"/>
      <c r="DV314" s="5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5"/>
      <c r="CT315" s="5"/>
      <c r="CU315" s="5"/>
      <c r="CV315" s="5"/>
      <c r="CW315" s="5"/>
      <c r="CX315" s="5"/>
      <c r="CY315" s="5"/>
      <c r="CZ315" s="5"/>
      <c r="DA315" s="5"/>
      <c r="DB315" s="5"/>
      <c r="DC315" s="5"/>
      <c r="DD315" s="5"/>
      <c r="DE315" s="5"/>
      <c r="DF315" s="5"/>
      <c r="DG315" s="5"/>
      <c r="DH315" s="5"/>
      <c r="DI315" s="5"/>
      <c r="DJ315" s="5"/>
      <c r="DK315" s="5"/>
      <c r="DL315" s="5"/>
      <c r="DM315" s="5"/>
      <c r="DN315" s="5"/>
      <c r="DO315" s="5"/>
      <c r="DP315" s="5"/>
      <c r="DQ315" s="5"/>
      <c r="DR315" s="5"/>
      <c r="DS315" s="5"/>
      <c r="DT315" s="5"/>
      <c r="DU315" s="5"/>
      <c r="DV315" s="5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5"/>
      <c r="CT316" s="5"/>
      <c r="CU316" s="5"/>
      <c r="CV316" s="5"/>
      <c r="CW316" s="5"/>
      <c r="CX316" s="5"/>
      <c r="CY316" s="5"/>
      <c r="CZ316" s="5"/>
      <c r="DA316" s="5"/>
      <c r="DB316" s="5"/>
      <c r="DC316" s="5"/>
      <c r="DD316" s="5"/>
      <c r="DE316" s="5"/>
      <c r="DF316" s="5"/>
      <c r="DG316" s="5"/>
      <c r="DH316" s="5"/>
      <c r="DI316" s="5"/>
      <c r="DJ316" s="5"/>
      <c r="DK316" s="5"/>
      <c r="DL316" s="5"/>
      <c r="DM316" s="5"/>
      <c r="DN316" s="5"/>
      <c r="DO316" s="5"/>
      <c r="DP316" s="5"/>
      <c r="DQ316" s="5"/>
      <c r="DR316" s="5"/>
      <c r="DS316" s="5"/>
      <c r="DT316" s="5"/>
      <c r="DU316" s="5"/>
      <c r="DV316" s="5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5"/>
      <c r="CT317" s="5"/>
      <c r="CU317" s="5"/>
      <c r="CV317" s="5"/>
      <c r="CW317" s="5"/>
      <c r="CX317" s="5"/>
      <c r="CY317" s="5"/>
      <c r="CZ317" s="5"/>
      <c r="DA317" s="5"/>
      <c r="DB317" s="5"/>
      <c r="DC317" s="5"/>
      <c r="DD317" s="5"/>
      <c r="DE317" s="5"/>
      <c r="DF317" s="5"/>
      <c r="DG317" s="5"/>
      <c r="DH317" s="5"/>
      <c r="DI317" s="5"/>
      <c r="DJ317" s="5"/>
      <c r="DK317" s="5"/>
      <c r="DL317" s="5"/>
      <c r="DM317" s="5"/>
      <c r="DN317" s="5"/>
      <c r="DO317" s="5"/>
      <c r="DP317" s="5"/>
      <c r="DQ317" s="5"/>
      <c r="DR317" s="5"/>
      <c r="DS317" s="5"/>
      <c r="DT317" s="5"/>
      <c r="DU317" s="5"/>
      <c r="DV317" s="5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5"/>
      <c r="CT318" s="5"/>
      <c r="CU318" s="5"/>
      <c r="CV318" s="5"/>
      <c r="CW318" s="5"/>
      <c r="CX318" s="5"/>
      <c r="CY318" s="5"/>
      <c r="CZ318" s="5"/>
      <c r="DA318" s="5"/>
      <c r="DB318" s="5"/>
      <c r="DC318" s="5"/>
      <c r="DD318" s="5"/>
      <c r="DE318" s="5"/>
      <c r="DF318" s="5"/>
      <c r="DG318" s="5"/>
      <c r="DH318" s="5"/>
      <c r="DI318" s="5"/>
      <c r="DJ318" s="5"/>
      <c r="DK318" s="5"/>
      <c r="DL318" s="5"/>
      <c r="DM318" s="5"/>
      <c r="DN318" s="5"/>
      <c r="DO318" s="5"/>
      <c r="DP318" s="5"/>
      <c r="DQ318" s="5"/>
      <c r="DR318" s="5"/>
      <c r="DS318" s="5"/>
      <c r="DT318" s="5"/>
      <c r="DU318" s="5"/>
      <c r="DV318" s="5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5"/>
      <c r="CT319" s="5"/>
      <c r="CU319" s="5"/>
      <c r="CV319" s="5"/>
      <c r="CW319" s="5"/>
      <c r="CX319" s="5"/>
      <c r="CY319" s="5"/>
      <c r="CZ319" s="5"/>
      <c r="DA319" s="5"/>
      <c r="DB319" s="5"/>
      <c r="DC319" s="5"/>
      <c r="DD319" s="5"/>
      <c r="DE319" s="5"/>
      <c r="DF319" s="5"/>
      <c r="DG319" s="5"/>
      <c r="DH319" s="5"/>
      <c r="DI319" s="5"/>
      <c r="DJ319" s="5"/>
      <c r="DK319" s="5"/>
      <c r="DL319" s="5"/>
      <c r="DM319" s="5"/>
      <c r="DN319" s="5"/>
      <c r="DO319" s="5"/>
      <c r="DP319" s="5"/>
      <c r="DQ319" s="5"/>
      <c r="DR319" s="5"/>
      <c r="DS319" s="5"/>
      <c r="DT319" s="5"/>
      <c r="DU319" s="5"/>
      <c r="DV319" s="5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5"/>
      <c r="CT320" s="5"/>
      <c r="CU320" s="5"/>
      <c r="CV320" s="5"/>
      <c r="CW320" s="5"/>
      <c r="CX320" s="5"/>
      <c r="CY320" s="5"/>
      <c r="CZ320" s="5"/>
      <c r="DA320" s="5"/>
      <c r="DB320" s="5"/>
      <c r="DC320" s="5"/>
      <c r="DD320" s="5"/>
      <c r="DE320" s="5"/>
      <c r="DF320" s="5"/>
      <c r="DG320" s="5"/>
      <c r="DH320" s="5"/>
      <c r="DI320" s="5"/>
      <c r="DJ320" s="5"/>
      <c r="DK320" s="5"/>
      <c r="DL320" s="5"/>
      <c r="DM320" s="5"/>
      <c r="DN320" s="5"/>
      <c r="DO320" s="5"/>
      <c r="DP320" s="5"/>
      <c r="DQ320" s="5"/>
      <c r="DR320" s="5"/>
      <c r="DS320" s="5"/>
      <c r="DT320" s="5"/>
      <c r="DU320" s="5"/>
      <c r="DV320" s="5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5"/>
      <c r="CT321" s="5"/>
      <c r="CU321" s="5"/>
      <c r="CV321" s="5"/>
      <c r="CW321" s="5"/>
      <c r="CX321" s="5"/>
      <c r="CY321" s="5"/>
      <c r="CZ321" s="5"/>
      <c r="DA321" s="5"/>
      <c r="DB321" s="5"/>
      <c r="DC321" s="5"/>
      <c r="DD321" s="5"/>
      <c r="DE321" s="5"/>
      <c r="DF321" s="5"/>
      <c r="DG321" s="5"/>
      <c r="DH321" s="5"/>
      <c r="DI321" s="5"/>
      <c r="DJ321" s="5"/>
      <c r="DK321" s="5"/>
      <c r="DL321" s="5"/>
      <c r="DM321" s="5"/>
      <c r="DN321" s="5"/>
      <c r="DO321" s="5"/>
      <c r="DP321" s="5"/>
      <c r="DQ321" s="5"/>
      <c r="DR321" s="5"/>
      <c r="DS321" s="5"/>
      <c r="DT321" s="5"/>
      <c r="DU321" s="5"/>
      <c r="DV321" s="5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5"/>
      <c r="CT322" s="5"/>
      <c r="CU322" s="5"/>
      <c r="CV322" s="5"/>
      <c r="CW322" s="5"/>
      <c r="CX322" s="5"/>
      <c r="CY322" s="5"/>
      <c r="CZ322" s="5"/>
      <c r="DA322" s="5"/>
      <c r="DB322" s="5"/>
      <c r="DC322" s="5"/>
      <c r="DD322" s="5"/>
      <c r="DE322" s="5"/>
      <c r="DF322" s="5"/>
      <c r="DG322" s="5"/>
      <c r="DH322" s="5"/>
      <c r="DI322" s="5"/>
      <c r="DJ322" s="5"/>
      <c r="DK322" s="5"/>
      <c r="DL322" s="5"/>
      <c r="DM322" s="5"/>
      <c r="DN322" s="5"/>
      <c r="DO322" s="5"/>
      <c r="DP322" s="5"/>
      <c r="DQ322" s="5"/>
      <c r="DR322" s="5"/>
      <c r="DS322" s="5"/>
      <c r="DT322" s="5"/>
      <c r="DU322" s="5"/>
      <c r="DV322" s="5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5"/>
      <c r="CT323" s="5"/>
      <c r="CU323" s="5"/>
      <c r="CV323" s="5"/>
      <c r="CW323" s="5"/>
      <c r="CX323" s="5"/>
      <c r="CY323" s="5"/>
      <c r="CZ323" s="5"/>
      <c r="DA323" s="5"/>
      <c r="DB323" s="5"/>
      <c r="DC323" s="5"/>
      <c r="DD323" s="5"/>
      <c r="DE323" s="5"/>
      <c r="DF323" s="5"/>
      <c r="DG323" s="5"/>
      <c r="DH323" s="5"/>
      <c r="DI323" s="5"/>
      <c r="DJ323" s="5"/>
      <c r="DK323" s="5"/>
      <c r="DL323" s="5"/>
      <c r="DM323" s="5"/>
      <c r="DN323" s="5"/>
      <c r="DO323" s="5"/>
      <c r="DP323" s="5"/>
      <c r="DQ323" s="5"/>
      <c r="DR323" s="5"/>
      <c r="DS323" s="5"/>
      <c r="DT323" s="5"/>
      <c r="DU323" s="5"/>
      <c r="DV323" s="5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5"/>
      <c r="CT324" s="5"/>
      <c r="CU324" s="5"/>
      <c r="CV324" s="5"/>
      <c r="CW324" s="5"/>
      <c r="CX324" s="5"/>
      <c r="CY324" s="5"/>
      <c r="CZ324" s="5"/>
      <c r="DA324" s="5"/>
      <c r="DB324" s="5"/>
      <c r="DC324" s="5"/>
      <c r="DD324" s="5"/>
      <c r="DE324" s="5"/>
      <c r="DF324" s="5"/>
      <c r="DG324" s="5"/>
      <c r="DH324" s="5"/>
      <c r="DI324" s="5"/>
      <c r="DJ324" s="5"/>
      <c r="DK324" s="5"/>
      <c r="DL324" s="5"/>
      <c r="DM324" s="5"/>
      <c r="DN324" s="5"/>
      <c r="DO324" s="5"/>
      <c r="DP324" s="5"/>
      <c r="DQ324" s="5"/>
      <c r="DR324" s="5"/>
      <c r="DS324" s="5"/>
      <c r="DT324" s="5"/>
      <c r="DU324" s="5"/>
      <c r="DV324" s="5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5"/>
      <c r="CT325" s="5"/>
      <c r="CU325" s="5"/>
      <c r="CV325" s="5"/>
      <c r="CW325" s="5"/>
      <c r="CX325" s="5"/>
      <c r="CY325" s="5"/>
      <c r="CZ325" s="5"/>
      <c r="DA325" s="5"/>
      <c r="DB325" s="5"/>
      <c r="DC325" s="5"/>
      <c r="DD325" s="5"/>
      <c r="DE325" s="5"/>
      <c r="DF325" s="5"/>
      <c r="DG325" s="5"/>
      <c r="DH325" s="5"/>
      <c r="DI325" s="5"/>
      <c r="DJ325" s="5"/>
      <c r="DK325" s="5"/>
      <c r="DL325" s="5"/>
      <c r="DM325" s="5"/>
      <c r="DN325" s="5"/>
      <c r="DO325" s="5"/>
      <c r="DP325" s="5"/>
      <c r="DQ325" s="5"/>
      <c r="DR325" s="5"/>
      <c r="DS325" s="5"/>
      <c r="DT325" s="5"/>
      <c r="DU325" s="5"/>
      <c r="DV325" s="5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5"/>
      <c r="CT326" s="5"/>
      <c r="CU326" s="5"/>
      <c r="CV326" s="5"/>
      <c r="CW326" s="5"/>
      <c r="CX326" s="5"/>
      <c r="CY326" s="5"/>
      <c r="CZ326" s="5"/>
      <c r="DA326" s="5"/>
      <c r="DB326" s="5"/>
      <c r="DC326" s="5"/>
      <c r="DD326" s="5"/>
      <c r="DE326" s="5"/>
      <c r="DF326" s="5"/>
      <c r="DG326" s="5"/>
      <c r="DH326" s="5"/>
      <c r="DI326" s="5"/>
      <c r="DJ326" s="5"/>
      <c r="DK326" s="5"/>
      <c r="DL326" s="5"/>
      <c r="DM326" s="5"/>
      <c r="DN326" s="5"/>
      <c r="DO326" s="5"/>
      <c r="DP326" s="5"/>
      <c r="DQ326" s="5"/>
      <c r="DR326" s="5"/>
      <c r="DS326" s="5"/>
      <c r="DT326" s="5"/>
      <c r="DU326" s="5"/>
      <c r="DV326" s="5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5"/>
      <c r="CT327" s="5"/>
      <c r="CU327" s="5"/>
      <c r="CV327" s="5"/>
      <c r="CW327" s="5"/>
      <c r="CX327" s="5"/>
      <c r="CY327" s="5"/>
      <c r="CZ327" s="5"/>
      <c r="DA327" s="5"/>
      <c r="DB327" s="5"/>
      <c r="DC327" s="5"/>
      <c r="DD327" s="5"/>
      <c r="DE327" s="5"/>
      <c r="DF327" s="5"/>
      <c r="DG327" s="5"/>
      <c r="DH327" s="5"/>
      <c r="DI327" s="5"/>
      <c r="DJ327" s="5"/>
      <c r="DK327" s="5"/>
      <c r="DL327" s="5"/>
      <c r="DM327" s="5"/>
      <c r="DN327" s="5"/>
      <c r="DO327" s="5"/>
      <c r="DP327" s="5"/>
      <c r="DQ327" s="5"/>
      <c r="DR327" s="5"/>
      <c r="DS327" s="5"/>
      <c r="DT327" s="5"/>
      <c r="DU327" s="5"/>
      <c r="DV327" s="5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5"/>
      <c r="CT328" s="5"/>
      <c r="CU328" s="5"/>
      <c r="CV328" s="5"/>
      <c r="CW328" s="5"/>
      <c r="CX328" s="5"/>
      <c r="CY328" s="5"/>
      <c r="CZ328" s="5"/>
      <c r="DA328" s="5"/>
      <c r="DB328" s="5"/>
      <c r="DC328" s="5"/>
      <c r="DD328" s="5"/>
      <c r="DE328" s="5"/>
      <c r="DF328" s="5"/>
      <c r="DG328" s="5"/>
      <c r="DH328" s="5"/>
      <c r="DI328" s="5"/>
      <c r="DJ328" s="5"/>
      <c r="DK328" s="5"/>
      <c r="DL328" s="5"/>
      <c r="DM328" s="5"/>
      <c r="DN328" s="5"/>
      <c r="DO328" s="5"/>
      <c r="DP328" s="5"/>
      <c r="DQ328" s="5"/>
      <c r="DR328" s="5"/>
      <c r="DS328" s="5"/>
      <c r="DT328" s="5"/>
      <c r="DU328" s="5"/>
      <c r="DV328" s="5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5"/>
      <c r="CT329" s="5"/>
      <c r="CU329" s="5"/>
      <c r="CV329" s="5"/>
      <c r="CW329" s="5"/>
      <c r="CX329" s="5"/>
      <c r="CY329" s="5"/>
      <c r="CZ329" s="5"/>
      <c r="DA329" s="5"/>
      <c r="DB329" s="5"/>
      <c r="DC329" s="5"/>
      <c r="DD329" s="5"/>
      <c r="DE329" s="5"/>
      <c r="DF329" s="5"/>
      <c r="DG329" s="5"/>
      <c r="DH329" s="5"/>
      <c r="DI329" s="5"/>
      <c r="DJ329" s="5"/>
      <c r="DK329" s="5"/>
      <c r="DL329" s="5"/>
      <c r="DM329" s="5"/>
      <c r="DN329" s="5"/>
      <c r="DO329" s="5"/>
      <c r="DP329" s="5"/>
      <c r="DQ329" s="5"/>
      <c r="DR329" s="5"/>
      <c r="DS329" s="5"/>
      <c r="DT329" s="5"/>
      <c r="DU329" s="5"/>
      <c r="DV329" s="5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5"/>
      <c r="CT330" s="5"/>
      <c r="CU330" s="5"/>
      <c r="CV330" s="5"/>
      <c r="CW330" s="5"/>
      <c r="CX330" s="5"/>
      <c r="CY330" s="5"/>
      <c r="CZ330" s="5"/>
      <c r="DA330" s="5"/>
      <c r="DB330" s="5"/>
      <c r="DC330" s="5"/>
      <c r="DD330" s="5"/>
      <c r="DE330" s="5"/>
      <c r="DF330" s="5"/>
      <c r="DG330" s="5"/>
      <c r="DH330" s="5"/>
      <c r="DI330" s="5"/>
      <c r="DJ330" s="5"/>
      <c r="DK330" s="5"/>
      <c r="DL330" s="5"/>
      <c r="DM330" s="5"/>
      <c r="DN330" s="5"/>
      <c r="DO330" s="5"/>
      <c r="DP330" s="5"/>
      <c r="DQ330" s="5"/>
      <c r="DR330" s="5"/>
      <c r="DS330" s="5"/>
      <c r="DT330" s="5"/>
      <c r="DU330" s="5"/>
      <c r="DV330" s="5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5"/>
      <c r="CT331" s="5"/>
      <c r="CU331" s="5"/>
      <c r="CV331" s="5"/>
      <c r="CW331" s="5"/>
      <c r="CX331" s="5"/>
      <c r="CY331" s="5"/>
      <c r="CZ331" s="5"/>
      <c r="DA331" s="5"/>
      <c r="DB331" s="5"/>
      <c r="DC331" s="5"/>
      <c r="DD331" s="5"/>
      <c r="DE331" s="5"/>
      <c r="DF331" s="5"/>
      <c r="DG331" s="5"/>
      <c r="DH331" s="5"/>
      <c r="DI331" s="5"/>
      <c r="DJ331" s="5"/>
      <c r="DK331" s="5"/>
      <c r="DL331" s="5"/>
      <c r="DM331" s="5"/>
      <c r="DN331" s="5"/>
      <c r="DO331" s="5"/>
      <c r="DP331" s="5"/>
      <c r="DQ331" s="5"/>
      <c r="DR331" s="5"/>
      <c r="DS331" s="5"/>
      <c r="DT331" s="5"/>
      <c r="DU331" s="5"/>
      <c r="DV331" s="5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5"/>
      <c r="CT332" s="5"/>
      <c r="CU332" s="5"/>
      <c r="CV332" s="5"/>
      <c r="CW332" s="5"/>
      <c r="CX332" s="5"/>
      <c r="CY332" s="5"/>
      <c r="CZ332" s="5"/>
      <c r="DA332" s="5"/>
      <c r="DB332" s="5"/>
      <c r="DC332" s="5"/>
      <c r="DD332" s="5"/>
      <c r="DE332" s="5"/>
      <c r="DF332" s="5"/>
      <c r="DG332" s="5"/>
      <c r="DH332" s="5"/>
      <c r="DI332" s="5"/>
      <c r="DJ332" s="5"/>
      <c r="DK332" s="5"/>
      <c r="DL332" s="5"/>
      <c r="DM332" s="5"/>
      <c r="DN332" s="5"/>
      <c r="DO332" s="5"/>
      <c r="DP332" s="5"/>
      <c r="DQ332" s="5"/>
      <c r="DR332" s="5"/>
      <c r="DS332" s="5"/>
      <c r="DT332" s="5"/>
      <c r="DU332" s="5"/>
      <c r="DV332" s="5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5"/>
      <c r="CT333" s="5"/>
      <c r="CU333" s="5"/>
      <c r="CV333" s="5"/>
      <c r="CW333" s="5"/>
      <c r="CX333" s="5"/>
      <c r="CY333" s="5"/>
      <c r="CZ333" s="5"/>
      <c r="DA333" s="5"/>
      <c r="DB333" s="5"/>
      <c r="DC333" s="5"/>
      <c r="DD333" s="5"/>
      <c r="DE333" s="5"/>
      <c r="DF333" s="5"/>
      <c r="DG333" s="5"/>
      <c r="DH333" s="5"/>
      <c r="DI333" s="5"/>
      <c r="DJ333" s="5"/>
      <c r="DK333" s="5"/>
      <c r="DL333" s="5"/>
      <c r="DM333" s="5"/>
      <c r="DN333" s="5"/>
      <c r="DO333" s="5"/>
      <c r="DP333" s="5"/>
      <c r="DQ333" s="5"/>
      <c r="DR333" s="5"/>
      <c r="DS333" s="5"/>
      <c r="DT333" s="5"/>
      <c r="DU333" s="5"/>
      <c r="DV333" s="5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5"/>
      <c r="CT334" s="5"/>
      <c r="CU334" s="5"/>
      <c r="CV334" s="5"/>
      <c r="CW334" s="5"/>
      <c r="CX334" s="5"/>
      <c r="CY334" s="5"/>
      <c r="CZ334" s="5"/>
      <c r="DA334" s="5"/>
      <c r="DB334" s="5"/>
      <c r="DC334" s="5"/>
      <c r="DD334" s="5"/>
      <c r="DE334" s="5"/>
      <c r="DF334" s="5"/>
      <c r="DG334" s="5"/>
      <c r="DH334" s="5"/>
      <c r="DI334" s="5"/>
      <c r="DJ334" s="5"/>
      <c r="DK334" s="5"/>
      <c r="DL334" s="5"/>
      <c r="DM334" s="5"/>
      <c r="DN334" s="5"/>
      <c r="DO334" s="5"/>
      <c r="DP334" s="5"/>
      <c r="DQ334" s="5"/>
      <c r="DR334" s="5"/>
      <c r="DS334" s="5"/>
      <c r="DT334" s="5"/>
      <c r="DU334" s="5"/>
      <c r="DV334" s="5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5"/>
      <c r="CT335" s="5"/>
      <c r="CU335" s="5"/>
      <c r="CV335" s="5"/>
      <c r="CW335" s="5"/>
      <c r="CX335" s="5"/>
      <c r="CY335" s="5"/>
      <c r="CZ335" s="5"/>
      <c r="DA335" s="5"/>
      <c r="DB335" s="5"/>
      <c r="DC335" s="5"/>
      <c r="DD335" s="5"/>
      <c r="DE335" s="5"/>
      <c r="DF335" s="5"/>
      <c r="DG335" s="5"/>
      <c r="DH335" s="5"/>
      <c r="DI335" s="5"/>
      <c r="DJ335" s="5"/>
      <c r="DK335" s="5"/>
      <c r="DL335" s="5"/>
      <c r="DM335" s="5"/>
      <c r="DN335" s="5"/>
      <c r="DO335" s="5"/>
      <c r="DP335" s="5"/>
      <c r="DQ335" s="5"/>
      <c r="DR335" s="5"/>
      <c r="DS335" s="5"/>
      <c r="DT335" s="5"/>
      <c r="DU335" s="5"/>
      <c r="DV335" s="5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5"/>
      <c r="CT336" s="5"/>
      <c r="CU336" s="5"/>
      <c r="CV336" s="5"/>
      <c r="CW336" s="5"/>
      <c r="CX336" s="5"/>
      <c r="CY336" s="5"/>
      <c r="CZ336" s="5"/>
      <c r="DA336" s="5"/>
      <c r="DB336" s="5"/>
      <c r="DC336" s="5"/>
      <c r="DD336" s="5"/>
      <c r="DE336" s="5"/>
      <c r="DF336" s="5"/>
      <c r="DG336" s="5"/>
      <c r="DH336" s="5"/>
      <c r="DI336" s="5"/>
      <c r="DJ336" s="5"/>
      <c r="DK336" s="5"/>
      <c r="DL336" s="5"/>
      <c r="DM336" s="5"/>
      <c r="DN336" s="5"/>
      <c r="DO336" s="5"/>
      <c r="DP336" s="5"/>
      <c r="DQ336" s="5"/>
      <c r="DR336" s="5"/>
      <c r="DS336" s="5"/>
      <c r="DT336" s="5"/>
      <c r="DU336" s="5"/>
      <c r="DV336" s="5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5"/>
      <c r="CT337" s="5"/>
      <c r="CU337" s="5"/>
      <c r="CV337" s="5"/>
      <c r="CW337" s="5"/>
      <c r="CX337" s="5"/>
      <c r="CY337" s="5"/>
      <c r="CZ337" s="5"/>
      <c r="DA337" s="5"/>
      <c r="DB337" s="5"/>
      <c r="DC337" s="5"/>
      <c r="DD337" s="5"/>
      <c r="DE337" s="5"/>
      <c r="DF337" s="5"/>
      <c r="DG337" s="5"/>
      <c r="DH337" s="5"/>
      <c r="DI337" s="5"/>
      <c r="DJ337" s="5"/>
      <c r="DK337" s="5"/>
      <c r="DL337" s="5"/>
      <c r="DM337" s="5"/>
      <c r="DN337" s="5"/>
      <c r="DO337" s="5"/>
      <c r="DP337" s="5"/>
      <c r="DQ337" s="5"/>
      <c r="DR337" s="5"/>
      <c r="DS337" s="5"/>
      <c r="DT337" s="5"/>
      <c r="DU337" s="5"/>
      <c r="DV337" s="5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5"/>
      <c r="CT338" s="5"/>
      <c r="CU338" s="5"/>
      <c r="CV338" s="5"/>
      <c r="CW338" s="5"/>
      <c r="CX338" s="5"/>
      <c r="CY338" s="5"/>
      <c r="CZ338" s="5"/>
      <c r="DA338" s="5"/>
      <c r="DB338" s="5"/>
      <c r="DC338" s="5"/>
      <c r="DD338" s="5"/>
      <c r="DE338" s="5"/>
      <c r="DF338" s="5"/>
      <c r="DG338" s="5"/>
      <c r="DH338" s="5"/>
      <c r="DI338" s="5"/>
      <c r="DJ338" s="5"/>
      <c r="DK338" s="5"/>
      <c r="DL338" s="5"/>
      <c r="DM338" s="5"/>
      <c r="DN338" s="5"/>
      <c r="DO338" s="5"/>
      <c r="DP338" s="5"/>
      <c r="DQ338" s="5"/>
      <c r="DR338" s="5"/>
      <c r="DS338" s="5"/>
      <c r="DT338" s="5"/>
      <c r="DU338" s="5"/>
      <c r="DV338" s="5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5"/>
      <c r="CT339" s="5"/>
      <c r="CU339" s="5"/>
      <c r="CV339" s="5"/>
      <c r="CW339" s="5"/>
      <c r="CX339" s="5"/>
      <c r="CY339" s="5"/>
      <c r="CZ339" s="5"/>
      <c r="DA339" s="5"/>
      <c r="DB339" s="5"/>
      <c r="DC339" s="5"/>
      <c r="DD339" s="5"/>
      <c r="DE339" s="5"/>
      <c r="DF339" s="5"/>
      <c r="DG339" s="5"/>
      <c r="DH339" s="5"/>
      <c r="DI339" s="5"/>
      <c r="DJ339" s="5"/>
      <c r="DK339" s="5"/>
      <c r="DL339" s="5"/>
      <c r="DM339" s="5"/>
      <c r="DN339" s="5"/>
      <c r="DO339" s="5"/>
      <c r="DP339" s="5"/>
      <c r="DQ339" s="5"/>
      <c r="DR339" s="5"/>
      <c r="DS339" s="5"/>
      <c r="DT339" s="5"/>
      <c r="DU339" s="5"/>
      <c r="DV339" s="5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5"/>
      <c r="CT340" s="5"/>
      <c r="CU340" s="5"/>
      <c r="CV340" s="5"/>
      <c r="CW340" s="5"/>
      <c r="CX340" s="5"/>
      <c r="CY340" s="5"/>
      <c r="CZ340" s="5"/>
      <c r="DA340" s="5"/>
      <c r="DB340" s="5"/>
      <c r="DC340" s="5"/>
      <c r="DD340" s="5"/>
      <c r="DE340" s="5"/>
      <c r="DF340" s="5"/>
      <c r="DG340" s="5"/>
      <c r="DH340" s="5"/>
      <c r="DI340" s="5"/>
      <c r="DJ340" s="5"/>
      <c r="DK340" s="5"/>
      <c r="DL340" s="5"/>
      <c r="DM340" s="5"/>
      <c r="DN340" s="5"/>
      <c r="DO340" s="5"/>
      <c r="DP340" s="5"/>
      <c r="DQ340" s="5"/>
      <c r="DR340" s="5"/>
      <c r="DS340" s="5"/>
      <c r="DT340" s="5"/>
      <c r="DU340" s="5"/>
      <c r="DV340" s="5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5"/>
      <c r="CT341" s="5"/>
      <c r="CU341" s="5"/>
      <c r="CV341" s="5"/>
      <c r="CW341" s="5"/>
      <c r="CX341" s="5"/>
      <c r="CY341" s="5"/>
      <c r="CZ341" s="5"/>
      <c r="DA341" s="5"/>
      <c r="DB341" s="5"/>
      <c r="DC341" s="5"/>
      <c r="DD341" s="5"/>
      <c r="DE341" s="5"/>
      <c r="DF341" s="5"/>
      <c r="DG341" s="5"/>
      <c r="DH341" s="5"/>
      <c r="DI341" s="5"/>
      <c r="DJ341" s="5"/>
      <c r="DK341" s="5"/>
      <c r="DL341" s="5"/>
      <c r="DM341" s="5"/>
      <c r="DN341" s="5"/>
      <c r="DO341" s="5"/>
      <c r="DP341" s="5"/>
      <c r="DQ341" s="5"/>
      <c r="DR341" s="5"/>
      <c r="DS341" s="5"/>
      <c r="DT341" s="5"/>
      <c r="DU341" s="5"/>
      <c r="DV341" s="5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5"/>
      <c r="CT342" s="5"/>
      <c r="CU342" s="5"/>
      <c r="CV342" s="5"/>
      <c r="CW342" s="5"/>
      <c r="CX342" s="5"/>
      <c r="CY342" s="5"/>
      <c r="CZ342" s="5"/>
      <c r="DA342" s="5"/>
      <c r="DB342" s="5"/>
      <c r="DC342" s="5"/>
      <c r="DD342" s="5"/>
      <c r="DE342" s="5"/>
      <c r="DF342" s="5"/>
      <c r="DG342" s="5"/>
      <c r="DH342" s="5"/>
      <c r="DI342" s="5"/>
      <c r="DJ342" s="5"/>
      <c r="DK342" s="5"/>
      <c r="DL342" s="5"/>
      <c r="DM342" s="5"/>
      <c r="DN342" s="5"/>
      <c r="DO342" s="5"/>
      <c r="DP342" s="5"/>
      <c r="DQ342" s="5"/>
      <c r="DR342" s="5"/>
      <c r="DS342" s="5"/>
      <c r="DT342" s="5"/>
      <c r="DU342" s="5"/>
      <c r="DV342" s="5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5"/>
      <c r="CT343" s="5"/>
      <c r="CU343" s="5"/>
      <c r="CV343" s="5"/>
      <c r="CW343" s="5"/>
      <c r="CX343" s="5"/>
      <c r="CY343" s="5"/>
      <c r="CZ343" s="5"/>
      <c r="DA343" s="5"/>
      <c r="DB343" s="5"/>
      <c r="DC343" s="5"/>
      <c r="DD343" s="5"/>
      <c r="DE343" s="5"/>
      <c r="DF343" s="5"/>
      <c r="DG343" s="5"/>
      <c r="DH343" s="5"/>
      <c r="DI343" s="5"/>
      <c r="DJ343" s="5"/>
      <c r="DK343" s="5"/>
      <c r="DL343" s="5"/>
      <c r="DM343" s="5"/>
      <c r="DN343" s="5"/>
      <c r="DO343" s="5"/>
      <c r="DP343" s="5"/>
      <c r="DQ343" s="5"/>
      <c r="DR343" s="5"/>
      <c r="DS343" s="5"/>
      <c r="DT343" s="5"/>
      <c r="DU343" s="5"/>
      <c r="DV343" s="5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5"/>
      <c r="CT344" s="5"/>
      <c r="CU344" s="5"/>
      <c r="CV344" s="5"/>
      <c r="CW344" s="5"/>
      <c r="CX344" s="5"/>
      <c r="CY344" s="5"/>
      <c r="CZ344" s="5"/>
      <c r="DA344" s="5"/>
      <c r="DB344" s="5"/>
      <c r="DC344" s="5"/>
      <c r="DD344" s="5"/>
      <c r="DE344" s="5"/>
      <c r="DF344" s="5"/>
      <c r="DG344" s="5"/>
      <c r="DH344" s="5"/>
      <c r="DI344" s="5"/>
      <c r="DJ344" s="5"/>
      <c r="DK344" s="5"/>
      <c r="DL344" s="5"/>
      <c r="DM344" s="5"/>
      <c r="DN344" s="5"/>
      <c r="DO344" s="5"/>
      <c r="DP344" s="5"/>
      <c r="DQ344" s="5"/>
      <c r="DR344" s="5"/>
      <c r="DS344" s="5"/>
      <c r="DT344" s="5"/>
      <c r="DU344" s="5"/>
      <c r="DV344" s="5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5"/>
      <c r="CT345" s="5"/>
      <c r="CU345" s="5"/>
      <c r="CV345" s="5"/>
      <c r="CW345" s="5"/>
      <c r="CX345" s="5"/>
      <c r="CY345" s="5"/>
      <c r="CZ345" s="5"/>
      <c r="DA345" s="5"/>
      <c r="DB345" s="5"/>
      <c r="DC345" s="5"/>
      <c r="DD345" s="5"/>
      <c r="DE345" s="5"/>
      <c r="DF345" s="5"/>
      <c r="DG345" s="5"/>
      <c r="DH345" s="5"/>
      <c r="DI345" s="5"/>
      <c r="DJ345" s="5"/>
      <c r="DK345" s="5"/>
      <c r="DL345" s="5"/>
      <c r="DM345" s="5"/>
      <c r="DN345" s="5"/>
      <c r="DO345" s="5"/>
      <c r="DP345" s="5"/>
      <c r="DQ345" s="5"/>
      <c r="DR345" s="5"/>
      <c r="DS345" s="5"/>
      <c r="DT345" s="5"/>
      <c r="DU345" s="5"/>
      <c r="DV345" s="5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5"/>
      <c r="CT346" s="5"/>
      <c r="CU346" s="5"/>
      <c r="CV346" s="5"/>
      <c r="CW346" s="5"/>
      <c r="CX346" s="5"/>
      <c r="CY346" s="5"/>
      <c r="CZ346" s="5"/>
      <c r="DA346" s="5"/>
      <c r="DB346" s="5"/>
      <c r="DC346" s="5"/>
      <c r="DD346" s="5"/>
      <c r="DE346" s="5"/>
      <c r="DF346" s="5"/>
      <c r="DG346" s="5"/>
      <c r="DH346" s="5"/>
      <c r="DI346" s="5"/>
      <c r="DJ346" s="5"/>
      <c r="DK346" s="5"/>
      <c r="DL346" s="5"/>
      <c r="DM346" s="5"/>
      <c r="DN346" s="5"/>
      <c r="DO346" s="5"/>
      <c r="DP346" s="5"/>
      <c r="DQ346" s="5"/>
      <c r="DR346" s="5"/>
      <c r="DS346" s="5"/>
      <c r="DT346" s="5"/>
      <c r="DU346" s="5"/>
      <c r="DV346" s="5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5"/>
      <c r="CT347" s="5"/>
      <c r="CU347" s="5"/>
      <c r="CV347" s="5"/>
      <c r="CW347" s="5"/>
      <c r="CX347" s="5"/>
      <c r="CY347" s="5"/>
      <c r="CZ347" s="5"/>
      <c r="DA347" s="5"/>
      <c r="DB347" s="5"/>
      <c r="DC347" s="5"/>
      <c r="DD347" s="5"/>
      <c r="DE347" s="5"/>
      <c r="DF347" s="5"/>
      <c r="DG347" s="5"/>
      <c r="DH347" s="5"/>
      <c r="DI347" s="5"/>
      <c r="DJ347" s="5"/>
      <c r="DK347" s="5"/>
      <c r="DL347" s="5"/>
      <c r="DM347" s="5"/>
      <c r="DN347" s="5"/>
      <c r="DO347" s="5"/>
      <c r="DP347" s="5"/>
      <c r="DQ347" s="5"/>
      <c r="DR347" s="5"/>
      <c r="DS347" s="5"/>
      <c r="DT347" s="5"/>
      <c r="DU347" s="5"/>
      <c r="DV347" s="5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5"/>
      <c r="CT348" s="5"/>
      <c r="CU348" s="5"/>
      <c r="CV348" s="5"/>
      <c r="CW348" s="5"/>
      <c r="CX348" s="5"/>
      <c r="CY348" s="5"/>
      <c r="CZ348" s="5"/>
      <c r="DA348" s="5"/>
      <c r="DB348" s="5"/>
      <c r="DC348" s="5"/>
      <c r="DD348" s="5"/>
      <c r="DE348" s="5"/>
      <c r="DF348" s="5"/>
      <c r="DG348" s="5"/>
      <c r="DH348" s="5"/>
      <c r="DI348" s="5"/>
      <c r="DJ348" s="5"/>
      <c r="DK348" s="5"/>
      <c r="DL348" s="5"/>
      <c r="DM348" s="5"/>
      <c r="DN348" s="5"/>
      <c r="DO348" s="5"/>
      <c r="DP348" s="5"/>
      <c r="DQ348" s="5"/>
      <c r="DR348" s="5"/>
      <c r="DS348" s="5"/>
      <c r="DT348" s="5"/>
      <c r="DU348" s="5"/>
      <c r="DV348" s="5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5"/>
      <c r="CT349" s="5"/>
      <c r="CU349" s="5"/>
      <c r="CV349" s="5"/>
      <c r="CW349" s="5"/>
      <c r="CX349" s="5"/>
      <c r="CY349" s="5"/>
      <c r="CZ349" s="5"/>
      <c r="DA349" s="5"/>
      <c r="DB349" s="5"/>
      <c r="DC349" s="5"/>
      <c r="DD349" s="5"/>
      <c r="DE349" s="5"/>
      <c r="DF349" s="5"/>
      <c r="DG349" s="5"/>
      <c r="DH349" s="5"/>
      <c r="DI349" s="5"/>
      <c r="DJ349" s="5"/>
      <c r="DK349" s="5"/>
      <c r="DL349" s="5"/>
      <c r="DM349" s="5"/>
      <c r="DN349" s="5"/>
      <c r="DO349" s="5"/>
      <c r="DP349" s="5"/>
      <c r="DQ349" s="5"/>
      <c r="DR349" s="5"/>
      <c r="DS349" s="5"/>
      <c r="DT349" s="5"/>
      <c r="DU349" s="5"/>
      <c r="DV349" s="5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5"/>
      <c r="CT350" s="5"/>
      <c r="CU350" s="5"/>
      <c r="CV350" s="5"/>
      <c r="CW350" s="5"/>
      <c r="CX350" s="5"/>
      <c r="CY350" s="5"/>
      <c r="CZ350" s="5"/>
      <c r="DA350" s="5"/>
      <c r="DB350" s="5"/>
      <c r="DC350" s="5"/>
      <c r="DD350" s="5"/>
      <c r="DE350" s="5"/>
      <c r="DF350" s="5"/>
      <c r="DG350" s="5"/>
      <c r="DH350" s="5"/>
      <c r="DI350" s="5"/>
      <c r="DJ350" s="5"/>
      <c r="DK350" s="5"/>
      <c r="DL350" s="5"/>
      <c r="DM350" s="5"/>
      <c r="DN350" s="5"/>
      <c r="DO350" s="5"/>
      <c r="DP350" s="5"/>
      <c r="DQ350" s="5"/>
      <c r="DR350" s="5"/>
      <c r="DS350" s="5"/>
      <c r="DT350" s="5"/>
      <c r="DU350" s="5"/>
      <c r="DV350" s="5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5"/>
      <c r="CT351" s="5"/>
      <c r="CU351" s="5"/>
      <c r="CV351" s="5"/>
      <c r="CW351" s="5"/>
      <c r="CX351" s="5"/>
      <c r="CY351" s="5"/>
      <c r="CZ351" s="5"/>
      <c r="DA351" s="5"/>
      <c r="DB351" s="5"/>
      <c r="DC351" s="5"/>
      <c r="DD351" s="5"/>
      <c r="DE351" s="5"/>
      <c r="DF351" s="5"/>
      <c r="DG351" s="5"/>
      <c r="DH351" s="5"/>
      <c r="DI351" s="5"/>
      <c r="DJ351" s="5"/>
      <c r="DK351" s="5"/>
      <c r="DL351" s="5"/>
      <c r="DM351" s="5"/>
      <c r="DN351" s="5"/>
      <c r="DO351" s="5"/>
      <c r="DP351" s="5"/>
      <c r="DQ351" s="5"/>
      <c r="DR351" s="5"/>
      <c r="DS351" s="5"/>
      <c r="DT351" s="5"/>
      <c r="DU351" s="5"/>
      <c r="DV351" s="5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5"/>
      <c r="CT352" s="5"/>
      <c r="CU352" s="5"/>
      <c r="CV352" s="5"/>
      <c r="CW352" s="5"/>
      <c r="CX352" s="5"/>
      <c r="CY352" s="5"/>
      <c r="CZ352" s="5"/>
      <c r="DA352" s="5"/>
      <c r="DB352" s="5"/>
      <c r="DC352" s="5"/>
      <c r="DD352" s="5"/>
      <c r="DE352" s="5"/>
      <c r="DF352" s="5"/>
      <c r="DG352" s="5"/>
      <c r="DH352" s="5"/>
      <c r="DI352" s="5"/>
      <c r="DJ352" s="5"/>
      <c r="DK352" s="5"/>
      <c r="DL352" s="5"/>
      <c r="DM352" s="5"/>
      <c r="DN352" s="5"/>
      <c r="DO352" s="5"/>
      <c r="DP352" s="5"/>
      <c r="DQ352" s="5"/>
      <c r="DR352" s="5"/>
      <c r="DS352" s="5"/>
      <c r="DT352" s="5"/>
      <c r="DU352" s="5"/>
      <c r="DV352" s="5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5"/>
      <c r="CT353" s="5"/>
      <c r="CU353" s="5"/>
      <c r="CV353" s="5"/>
      <c r="CW353" s="5"/>
      <c r="CX353" s="5"/>
      <c r="CY353" s="5"/>
      <c r="CZ353" s="5"/>
      <c r="DA353" s="5"/>
      <c r="DB353" s="5"/>
      <c r="DC353" s="5"/>
      <c r="DD353" s="5"/>
      <c r="DE353" s="5"/>
      <c r="DF353" s="5"/>
      <c r="DG353" s="5"/>
      <c r="DH353" s="5"/>
      <c r="DI353" s="5"/>
      <c r="DJ353" s="5"/>
      <c r="DK353" s="5"/>
      <c r="DL353" s="5"/>
      <c r="DM353" s="5"/>
      <c r="DN353" s="5"/>
      <c r="DO353" s="5"/>
      <c r="DP353" s="5"/>
      <c r="DQ353" s="5"/>
      <c r="DR353" s="5"/>
      <c r="DS353" s="5"/>
      <c r="DT353" s="5"/>
      <c r="DU353" s="5"/>
      <c r="DV353" s="5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5"/>
      <c r="CT354" s="5"/>
      <c r="CU354" s="5"/>
      <c r="CV354" s="5"/>
      <c r="CW354" s="5"/>
      <c r="CX354" s="5"/>
      <c r="CY354" s="5"/>
      <c r="CZ354" s="5"/>
      <c r="DA354" s="5"/>
      <c r="DB354" s="5"/>
      <c r="DC354" s="5"/>
      <c r="DD354" s="5"/>
      <c r="DE354" s="5"/>
      <c r="DF354" s="5"/>
      <c r="DG354" s="5"/>
      <c r="DH354" s="5"/>
      <c r="DI354" s="5"/>
      <c r="DJ354" s="5"/>
      <c r="DK354" s="5"/>
      <c r="DL354" s="5"/>
      <c r="DM354" s="5"/>
      <c r="DN354" s="5"/>
      <c r="DO354" s="5"/>
      <c r="DP354" s="5"/>
      <c r="DQ354" s="5"/>
      <c r="DR354" s="5"/>
      <c r="DS354" s="5"/>
      <c r="DT354" s="5"/>
      <c r="DU354" s="5"/>
      <c r="DV354" s="5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5"/>
      <c r="CT355" s="5"/>
      <c r="CU355" s="5"/>
      <c r="CV355" s="5"/>
      <c r="CW355" s="5"/>
      <c r="CX355" s="5"/>
      <c r="CY355" s="5"/>
      <c r="CZ355" s="5"/>
      <c r="DA355" s="5"/>
      <c r="DB355" s="5"/>
      <c r="DC355" s="5"/>
      <c r="DD355" s="5"/>
      <c r="DE355" s="5"/>
      <c r="DF355" s="5"/>
      <c r="DG355" s="5"/>
      <c r="DH355" s="5"/>
      <c r="DI355" s="5"/>
      <c r="DJ355" s="5"/>
      <c r="DK355" s="5"/>
      <c r="DL355" s="5"/>
      <c r="DM355" s="5"/>
      <c r="DN355" s="5"/>
      <c r="DO355" s="5"/>
      <c r="DP355" s="5"/>
      <c r="DQ355" s="5"/>
      <c r="DR355" s="5"/>
      <c r="DS355" s="5"/>
      <c r="DT355" s="5"/>
      <c r="DU355" s="5"/>
      <c r="DV355" s="5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5"/>
      <c r="CT356" s="5"/>
      <c r="CU356" s="5"/>
      <c r="CV356" s="5"/>
      <c r="CW356" s="5"/>
      <c r="CX356" s="5"/>
      <c r="CY356" s="5"/>
      <c r="CZ356" s="5"/>
      <c r="DA356" s="5"/>
      <c r="DB356" s="5"/>
      <c r="DC356" s="5"/>
      <c r="DD356" s="5"/>
      <c r="DE356" s="5"/>
      <c r="DF356" s="5"/>
      <c r="DG356" s="5"/>
      <c r="DH356" s="5"/>
      <c r="DI356" s="5"/>
      <c r="DJ356" s="5"/>
      <c r="DK356" s="5"/>
      <c r="DL356" s="5"/>
      <c r="DM356" s="5"/>
      <c r="DN356" s="5"/>
      <c r="DO356" s="5"/>
      <c r="DP356" s="5"/>
      <c r="DQ356" s="5"/>
      <c r="DR356" s="5"/>
      <c r="DS356" s="5"/>
      <c r="DT356" s="5"/>
      <c r="DU356" s="5"/>
      <c r="DV356" s="5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5"/>
      <c r="CT357" s="5"/>
      <c r="CU357" s="5"/>
      <c r="CV357" s="5"/>
      <c r="CW357" s="5"/>
      <c r="CX357" s="5"/>
      <c r="CY357" s="5"/>
      <c r="CZ357" s="5"/>
      <c r="DA357" s="5"/>
      <c r="DB357" s="5"/>
      <c r="DC357" s="5"/>
      <c r="DD357" s="5"/>
      <c r="DE357" s="5"/>
      <c r="DF357" s="5"/>
      <c r="DG357" s="5"/>
      <c r="DH357" s="5"/>
      <c r="DI357" s="5"/>
      <c r="DJ357" s="5"/>
      <c r="DK357" s="5"/>
      <c r="DL357" s="5"/>
      <c r="DM357" s="5"/>
      <c r="DN357" s="5"/>
      <c r="DO357" s="5"/>
      <c r="DP357" s="5"/>
      <c r="DQ357" s="5"/>
      <c r="DR357" s="5"/>
      <c r="DS357" s="5"/>
      <c r="DT357" s="5"/>
      <c r="DU357" s="5"/>
      <c r="DV357" s="5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5"/>
      <c r="CT358" s="5"/>
      <c r="CU358" s="5"/>
      <c r="CV358" s="5"/>
      <c r="CW358" s="5"/>
      <c r="CX358" s="5"/>
      <c r="CY358" s="5"/>
      <c r="CZ358" s="5"/>
      <c r="DA358" s="5"/>
      <c r="DB358" s="5"/>
      <c r="DC358" s="5"/>
      <c r="DD358" s="5"/>
      <c r="DE358" s="5"/>
      <c r="DF358" s="5"/>
      <c r="DG358" s="5"/>
      <c r="DH358" s="5"/>
      <c r="DI358" s="5"/>
      <c r="DJ358" s="5"/>
      <c r="DK358" s="5"/>
      <c r="DL358" s="5"/>
      <c r="DM358" s="5"/>
      <c r="DN358" s="5"/>
      <c r="DO358" s="5"/>
      <c r="DP358" s="5"/>
      <c r="DQ358" s="5"/>
      <c r="DR358" s="5"/>
      <c r="DS358" s="5"/>
      <c r="DT358" s="5"/>
      <c r="DU358" s="5"/>
      <c r="DV358" s="5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5"/>
      <c r="CT359" s="5"/>
      <c r="CU359" s="5"/>
      <c r="CV359" s="5"/>
      <c r="CW359" s="5"/>
      <c r="CX359" s="5"/>
      <c r="CY359" s="5"/>
      <c r="CZ359" s="5"/>
      <c r="DA359" s="5"/>
      <c r="DB359" s="5"/>
      <c r="DC359" s="5"/>
      <c r="DD359" s="5"/>
      <c r="DE359" s="5"/>
      <c r="DF359" s="5"/>
      <c r="DG359" s="5"/>
      <c r="DH359" s="5"/>
      <c r="DI359" s="5"/>
      <c r="DJ359" s="5"/>
      <c r="DK359" s="5"/>
      <c r="DL359" s="5"/>
      <c r="DM359" s="5"/>
      <c r="DN359" s="5"/>
      <c r="DO359" s="5"/>
      <c r="DP359" s="5"/>
      <c r="DQ359" s="5"/>
      <c r="DR359" s="5"/>
      <c r="DS359" s="5"/>
      <c r="DT359" s="5"/>
      <c r="DU359" s="5"/>
      <c r="DV359" s="5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5"/>
      <c r="CT360" s="5"/>
      <c r="CU360" s="5"/>
      <c r="CV360" s="5"/>
      <c r="CW360" s="5"/>
      <c r="CX360" s="5"/>
      <c r="CY360" s="5"/>
      <c r="CZ360" s="5"/>
      <c r="DA360" s="5"/>
      <c r="DB360" s="5"/>
      <c r="DC360" s="5"/>
      <c r="DD360" s="5"/>
      <c r="DE360" s="5"/>
      <c r="DF360" s="5"/>
      <c r="DG360" s="5"/>
      <c r="DH360" s="5"/>
      <c r="DI360" s="5"/>
      <c r="DJ360" s="5"/>
      <c r="DK360" s="5"/>
      <c r="DL360" s="5"/>
      <c r="DM360" s="5"/>
      <c r="DN360" s="5"/>
      <c r="DO360" s="5"/>
      <c r="DP360" s="5"/>
      <c r="DQ360" s="5"/>
      <c r="DR360" s="5"/>
      <c r="DS360" s="5"/>
      <c r="DT360" s="5"/>
      <c r="DU360" s="5"/>
      <c r="DV360" s="5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5"/>
      <c r="CT361" s="5"/>
      <c r="CU361" s="5"/>
      <c r="CV361" s="5"/>
      <c r="CW361" s="5"/>
      <c r="CX361" s="5"/>
      <c r="CY361" s="5"/>
      <c r="CZ361" s="5"/>
      <c r="DA361" s="5"/>
      <c r="DB361" s="5"/>
      <c r="DC361" s="5"/>
      <c r="DD361" s="5"/>
      <c r="DE361" s="5"/>
      <c r="DF361" s="5"/>
      <c r="DG361" s="5"/>
      <c r="DH361" s="5"/>
      <c r="DI361" s="5"/>
      <c r="DJ361" s="5"/>
      <c r="DK361" s="5"/>
      <c r="DL361" s="5"/>
      <c r="DM361" s="5"/>
      <c r="DN361" s="5"/>
      <c r="DO361" s="5"/>
      <c r="DP361" s="5"/>
      <c r="DQ361" s="5"/>
      <c r="DR361" s="5"/>
      <c r="DS361" s="5"/>
      <c r="DT361" s="5"/>
      <c r="DU361" s="5"/>
      <c r="DV361" s="5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5"/>
      <c r="CT362" s="5"/>
      <c r="CU362" s="5"/>
      <c r="CV362" s="5"/>
      <c r="CW362" s="5"/>
      <c r="CX362" s="5"/>
      <c r="CY362" s="5"/>
      <c r="CZ362" s="5"/>
      <c r="DA362" s="5"/>
      <c r="DB362" s="5"/>
      <c r="DC362" s="5"/>
      <c r="DD362" s="5"/>
      <c r="DE362" s="5"/>
      <c r="DF362" s="5"/>
      <c r="DG362" s="5"/>
      <c r="DH362" s="5"/>
      <c r="DI362" s="5"/>
      <c r="DJ362" s="5"/>
      <c r="DK362" s="5"/>
      <c r="DL362" s="5"/>
      <c r="DM362" s="5"/>
      <c r="DN362" s="5"/>
      <c r="DO362" s="5"/>
      <c r="DP362" s="5"/>
      <c r="DQ362" s="5"/>
      <c r="DR362" s="5"/>
      <c r="DS362" s="5"/>
      <c r="DT362" s="5"/>
      <c r="DU362" s="5"/>
      <c r="DV362" s="5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5"/>
      <c r="CT363" s="5"/>
      <c r="CU363" s="5"/>
      <c r="CV363" s="5"/>
      <c r="CW363" s="5"/>
      <c r="CX363" s="5"/>
      <c r="CY363" s="5"/>
      <c r="CZ363" s="5"/>
      <c r="DA363" s="5"/>
      <c r="DB363" s="5"/>
      <c r="DC363" s="5"/>
      <c r="DD363" s="5"/>
      <c r="DE363" s="5"/>
      <c r="DF363" s="5"/>
      <c r="DG363" s="5"/>
      <c r="DH363" s="5"/>
      <c r="DI363" s="5"/>
      <c r="DJ363" s="5"/>
      <c r="DK363" s="5"/>
      <c r="DL363" s="5"/>
      <c r="DM363" s="5"/>
      <c r="DN363" s="5"/>
      <c r="DO363" s="5"/>
      <c r="DP363" s="5"/>
      <c r="DQ363" s="5"/>
      <c r="DR363" s="5"/>
      <c r="DS363" s="5"/>
      <c r="DT363" s="5"/>
      <c r="DU363" s="5"/>
      <c r="DV363" s="5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5"/>
      <c r="CT364" s="5"/>
      <c r="CU364" s="5"/>
      <c r="CV364" s="5"/>
      <c r="CW364" s="5"/>
      <c r="CX364" s="5"/>
      <c r="CY364" s="5"/>
      <c r="CZ364" s="5"/>
      <c r="DA364" s="5"/>
      <c r="DB364" s="5"/>
      <c r="DC364" s="5"/>
      <c r="DD364" s="5"/>
      <c r="DE364" s="5"/>
      <c r="DF364" s="5"/>
      <c r="DG364" s="5"/>
      <c r="DH364" s="5"/>
      <c r="DI364" s="5"/>
      <c r="DJ364" s="5"/>
      <c r="DK364" s="5"/>
      <c r="DL364" s="5"/>
      <c r="DM364" s="5"/>
      <c r="DN364" s="5"/>
      <c r="DO364" s="5"/>
      <c r="DP364" s="5"/>
      <c r="DQ364" s="5"/>
      <c r="DR364" s="5"/>
      <c r="DS364" s="5"/>
      <c r="DT364" s="5"/>
      <c r="DU364" s="5"/>
      <c r="DV364" s="5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5"/>
      <c r="CT365" s="5"/>
      <c r="CU365" s="5"/>
      <c r="CV365" s="5"/>
      <c r="CW365" s="5"/>
      <c r="CX365" s="5"/>
      <c r="CY365" s="5"/>
      <c r="CZ365" s="5"/>
      <c r="DA365" s="5"/>
      <c r="DB365" s="5"/>
      <c r="DC365" s="5"/>
      <c r="DD365" s="5"/>
      <c r="DE365" s="5"/>
      <c r="DF365" s="5"/>
      <c r="DG365" s="5"/>
      <c r="DH365" s="5"/>
      <c r="DI365" s="5"/>
      <c r="DJ365" s="5"/>
      <c r="DK365" s="5"/>
      <c r="DL365" s="5"/>
      <c r="DM365" s="5"/>
      <c r="DN365" s="5"/>
      <c r="DO365" s="5"/>
      <c r="DP365" s="5"/>
      <c r="DQ365" s="5"/>
      <c r="DR365" s="5"/>
      <c r="DS365" s="5"/>
      <c r="DT365" s="5"/>
      <c r="DU365" s="5"/>
      <c r="DV365" s="5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5"/>
      <c r="CT366" s="5"/>
      <c r="CU366" s="5"/>
      <c r="CV366" s="5"/>
      <c r="CW366" s="5"/>
      <c r="CX366" s="5"/>
      <c r="CY366" s="5"/>
      <c r="CZ366" s="5"/>
      <c r="DA366" s="5"/>
      <c r="DB366" s="5"/>
      <c r="DC366" s="5"/>
      <c r="DD366" s="5"/>
      <c r="DE366" s="5"/>
      <c r="DF366" s="5"/>
      <c r="DG366" s="5"/>
      <c r="DH366" s="5"/>
      <c r="DI366" s="5"/>
      <c r="DJ366" s="5"/>
      <c r="DK366" s="5"/>
      <c r="DL366" s="5"/>
      <c r="DM366" s="5"/>
      <c r="DN366" s="5"/>
      <c r="DO366" s="5"/>
      <c r="DP366" s="5"/>
      <c r="DQ366" s="5"/>
      <c r="DR366" s="5"/>
      <c r="DS366" s="5"/>
      <c r="DT366" s="5"/>
      <c r="DU366" s="5"/>
      <c r="DV366" s="5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5"/>
      <c r="CT367" s="5"/>
      <c r="CU367" s="5"/>
      <c r="CV367" s="5"/>
      <c r="CW367" s="5"/>
      <c r="CX367" s="5"/>
      <c r="CY367" s="5"/>
      <c r="CZ367" s="5"/>
      <c r="DA367" s="5"/>
      <c r="DB367" s="5"/>
      <c r="DC367" s="5"/>
      <c r="DD367" s="5"/>
      <c r="DE367" s="5"/>
      <c r="DF367" s="5"/>
      <c r="DG367" s="5"/>
      <c r="DH367" s="5"/>
      <c r="DI367" s="5"/>
      <c r="DJ367" s="5"/>
      <c r="DK367" s="5"/>
      <c r="DL367" s="5"/>
      <c r="DM367" s="5"/>
      <c r="DN367" s="5"/>
      <c r="DO367" s="5"/>
      <c r="DP367" s="5"/>
      <c r="DQ367" s="5"/>
      <c r="DR367" s="5"/>
      <c r="DS367" s="5"/>
      <c r="DT367" s="5"/>
      <c r="DU367" s="5"/>
      <c r="DV367" s="5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5"/>
      <c r="CT368" s="5"/>
      <c r="CU368" s="5"/>
      <c r="CV368" s="5"/>
      <c r="CW368" s="5"/>
      <c r="CX368" s="5"/>
      <c r="CY368" s="5"/>
      <c r="CZ368" s="5"/>
      <c r="DA368" s="5"/>
      <c r="DB368" s="5"/>
      <c r="DC368" s="5"/>
      <c r="DD368" s="5"/>
      <c r="DE368" s="5"/>
      <c r="DF368" s="5"/>
      <c r="DG368" s="5"/>
      <c r="DH368" s="5"/>
      <c r="DI368" s="5"/>
      <c r="DJ368" s="5"/>
      <c r="DK368" s="5"/>
      <c r="DL368" s="5"/>
      <c r="DM368" s="5"/>
      <c r="DN368" s="5"/>
      <c r="DO368" s="5"/>
      <c r="DP368" s="5"/>
      <c r="DQ368" s="5"/>
      <c r="DR368" s="5"/>
      <c r="DS368" s="5"/>
      <c r="DT368" s="5"/>
      <c r="DU368" s="5"/>
      <c r="DV368" s="5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5"/>
      <c r="CT369" s="5"/>
      <c r="CU369" s="5"/>
      <c r="CV369" s="5"/>
      <c r="CW369" s="5"/>
      <c r="CX369" s="5"/>
      <c r="CY369" s="5"/>
      <c r="CZ369" s="5"/>
      <c r="DA369" s="5"/>
      <c r="DB369" s="5"/>
      <c r="DC369" s="5"/>
      <c r="DD369" s="5"/>
      <c r="DE369" s="5"/>
      <c r="DF369" s="5"/>
      <c r="DG369" s="5"/>
      <c r="DH369" s="5"/>
      <c r="DI369" s="5"/>
      <c r="DJ369" s="5"/>
      <c r="DK369" s="5"/>
      <c r="DL369" s="5"/>
      <c r="DM369" s="5"/>
      <c r="DN369" s="5"/>
      <c r="DO369" s="5"/>
      <c r="DP369" s="5"/>
      <c r="DQ369" s="5"/>
      <c r="DR369" s="5"/>
      <c r="DS369" s="5"/>
      <c r="DT369" s="5"/>
      <c r="DU369" s="5"/>
      <c r="DV369" s="5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5"/>
      <c r="CT370" s="5"/>
      <c r="CU370" s="5"/>
      <c r="CV370" s="5"/>
      <c r="CW370" s="5"/>
      <c r="CX370" s="5"/>
      <c r="CY370" s="5"/>
      <c r="CZ370" s="5"/>
      <c r="DA370" s="5"/>
      <c r="DB370" s="5"/>
      <c r="DC370" s="5"/>
      <c r="DD370" s="5"/>
      <c r="DE370" s="5"/>
      <c r="DF370" s="5"/>
      <c r="DG370" s="5"/>
      <c r="DH370" s="5"/>
      <c r="DI370" s="5"/>
      <c r="DJ370" s="5"/>
      <c r="DK370" s="5"/>
      <c r="DL370" s="5"/>
      <c r="DM370" s="5"/>
      <c r="DN370" s="5"/>
      <c r="DO370" s="5"/>
      <c r="DP370" s="5"/>
      <c r="DQ370" s="5"/>
      <c r="DR370" s="5"/>
      <c r="DS370" s="5"/>
      <c r="DT370" s="5"/>
      <c r="DU370" s="5"/>
      <c r="DV370" s="5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5"/>
      <c r="CT371" s="5"/>
      <c r="CU371" s="5"/>
      <c r="CV371" s="5"/>
      <c r="CW371" s="5"/>
      <c r="CX371" s="5"/>
      <c r="CY371" s="5"/>
      <c r="CZ371" s="5"/>
      <c r="DA371" s="5"/>
      <c r="DB371" s="5"/>
      <c r="DC371" s="5"/>
      <c r="DD371" s="5"/>
      <c r="DE371" s="5"/>
      <c r="DF371" s="5"/>
      <c r="DG371" s="5"/>
      <c r="DH371" s="5"/>
      <c r="DI371" s="5"/>
      <c r="DJ371" s="5"/>
      <c r="DK371" s="5"/>
      <c r="DL371" s="5"/>
      <c r="DM371" s="5"/>
      <c r="DN371" s="5"/>
      <c r="DO371" s="5"/>
      <c r="DP371" s="5"/>
      <c r="DQ371" s="5"/>
      <c r="DR371" s="5"/>
      <c r="DS371" s="5"/>
      <c r="DT371" s="5"/>
      <c r="DU371" s="5"/>
      <c r="DV371" s="5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5"/>
      <c r="CT372" s="5"/>
      <c r="CU372" s="5"/>
      <c r="CV372" s="5"/>
      <c r="CW372" s="5"/>
      <c r="CX372" s="5"/>
      <c r="CY372" s="5"/>
      <c r="CZ372" s="5"/>
      <c r="DA372" s="5"/>
      <c r="DB372" s="5"/>
      <c r="DC372" s="5"/>
      <c r="DD372" s="5"/>
      <c r="DE372" s="5"/>
      <c r="DF372" s="5"/>
      <c r="DG372" s="5"/>
      <c r="DH372" s="5"/>
      <c r="DI372" s="5"/>
      <c r="DJ372" s="5"/>
      <c r="DK372" s="5"/>
      <c r="DL372" s="5"/>
      <c r="DM372" s="5"/>
      <c r="DN372" s="5"/>
      <c r="DO372" s="5"/>
      <c r="DP372" s="5"/>
      <c r="DQ372" s="5"/>
      <c r="DR372" s="5"/>
      <c r="DS372" s="5"/>
      <c r="DT372" s="5"/>
      <c r="DU372" s="5"/>
      <c r="DV372" s="5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5"/>
      <c r="CT373" s="5"/>
      <c r="CU373" s="5"/>
      <c r="CV373" s="5"/>
      <c r="CW373" s="5"/>
      <c r="CX373" s="5"/>
      <c r="CY373" s="5"/>
      <c r="CZ373" s="5"/>
      <c r="DA373" s="5"/>
      <c r="DB373" s="5"/>
      <c r="DC373" s="5"/>
      <c r="DD373" s="5"/>
      <c r="DE373" s="5"/>
      <c r="DF373" s="5"/>
      <c r="DG373" s="5"/>
      <c r="DH373" s="5"/>
      <c r="DI373" s="5"/>
      <c r="DJ373" s="5"/>
      <c r="DK373" s="5"/>
      <c r="DL373" s="5"/>
      <c r="DM373" s="5"/>
      <c r="DN373" s="5"/>
      <c r="DO373" s="5"/>
      <c r="DP373" s="5"/>
      <c r="DQ373" s="5"/>
      <c r="DR373" s="5"/>
      <c r="DS373" s="5"/>
      <c r="DT373" s="5"/>
      <c r="DU373" s="5"/>
      <c r="DV373" s="5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5"/>
      <c r="CT374" s="5"/>
      <c r="CU374" s="5"/>
      <c r="CV374" s="5"/>
      <c r="CW374" s="5"/>
      <c r="CX374" s="5"/>
      <c r="CY374" s="5"/>
      <c r="CZ374" s="5"/>
      <c r="DA374" s="5"/>
      <c r="DB374" s="5"/>
      <c r="DC374" s="5"/>
      <c r="DD374" s="5"/>
      <c r="DE374" s="5"/>
      <c r="DF374" s="5"/>
      <c r="DG374" s="5"/>
      <c r="DH374" s="5"/>
      <c r="DI374" s="5"/>
      <c r="DJ374" s="5"/>
      <c r="DK374" s="5"/>
      <c r="DL374" s="5"/>
      <c r="DM374" s="5"/>
      <c r="DN374" s="5"/>
      <c r="DO374" s="5"/>
      <c r="DP374" s="5"/>
      <c r="DQ374" s="5"/>
      <c r="DR374" s="5"/>
      <c r="DS374" s="5"/>
      <c r="DT374" s="5"/>
      <c r="DU374" s="5"/>
      <c r="DV374" s="5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5"/>
      <c r="CT375" s="5"/>
      <c r="CU375" s="5"/>
      <c r="CV375" s="5"/>
      <c r="CW375" s="5"/>
      <c r="CX375" s="5"/>
      <c r="CY375" s="5"/>
      <c r="CZ375" s="5"/>
      <c r="DA375" s="5"/>
      <c r="DB375" s="5"/>
      <c r="DC375" s="5"/>
      <c r="DD375" s="5"/>
      <c r="DE375" s="5"/>
      <c r="DF375" s="5"/>
      <c r="DG375" s="5"/>
      <c r="DH375" s="5"/>
      <c r="DI375" s="5"/>
      <c r="DJ375" s="5"/>
      <c r="DK375" s="5"/>
      <c r="DL375" s="5"/>
      <c r="DM375" s="5"/>
      <c r="DN375" s="5"/>
      <c r="DO375" s="5"/>
      <c r="DP375" s="5"/>
      <c r="DQ375" s="5"/>
      <c r="DR375" s="5"/>
      <c r="DS375" s="5"/>
      <c r="DT375" s="5"/>
      <c r="DU375" s="5"/>
      <c r="DV375" s="5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5"/>
      <c r="CT376" s="5"/>
      <c r="CU376" s="5"/>
      <c r="CV376" s="5"/>
      <c r="CW376" s="5"/>
      <c r="CX376" s="5"/>
      <c r="CY376" s="5"/>
      <c r="CZ376" s="5"/>
      <c r="DA376" s="5"/>
      <c r="DB376" s="5"/>
      <c r="DC376" s="5"/>
      <c r="DD376" s="5"/>
      <c r="DE376" s="5"/>
      <c r="DF376" s="5"/>
      <c r="DG376" s="5"/>
      <c r="DH376" s="5"/>
      <c r="DI376" s="5"/>
      <c r="DJ376" s="5"/>
      <c r="DK376" s="5"/>
      <c r="DL376" s="5"/>
      <c r="DM376" s="5"/>
      <c r="DN376" s="5"/>
      <c r="DO376" s="5"/>
      <c r="DP376" s="5"/>
      <c r="DQ376" s="5"/>
      <c r="DR376" s="5"/>
      <c r="DS376" s="5"/>
      <c r="DT376" s="5"/>
      <c r="DU376" s="5"/>
      <c r="DV376" s="5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5"/>
      <c r="CT377" s="5"/>
      <c r="CU377" s="5"/>
      <c r="CV377" s="5"/>
      <c r="CW377" s="5"/>
      <c r="CX377" s="5"/>
      <c r="CY377" s="5"/>
      <c r="CZ377" s="5"/>
      <c r="DA377" s="5"/>
      <c r="DB377" s="5"/>
      <c r="DC377" s="5"/>
      <c r="DD377" s="5"/>
      <c r="DE377" s="5"/>
      <c r="DF377" s="5"/>
      <c r="DG377" s="5"/>
      <c r="DH377" s="5"/>
      <c r="DI377" s="5"/>
      <c r="DJ377" s="5"/>
      <c r="DK377" s="5"/>
      <c r="DL377" s="5"/>
      <c r="DM377" s="5"/>
      <c r="DN377" s="5"/>
      <c r="DO377" s="5"/>
      <c r="DP377" s="5"/>
      <c r="DQ377" s="5"/>
      <c r="DR377" s="5"/>
      <c r="DS377" s="5"/>
      <c r="DT377" s="5"/>
      <c r="DU377" s="5"/>
      <c r="DV377" s="5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5"/>
      <c r="CT378" s="5"/>
      <c r="CU378" s="5"/>
      <c r="CV378" s="5"/>
      <c r="CW378" s="5"/>
      <c r="CX378" s="5"/>
      <c r="CY378" s="5"/>
      <c r="CZ378" s="5"/>
      <c r="DA378" s="5"/>
      <c r="DB378" s="5"/>
      <c r="DC378" s="5"/>
      <c r="DD378" s="5"/>
      <c r="DE378" s="5"/>
      <c r="DF378" s="5"/>
      <c r="DG378" s="5"/>
      <c r="DH378" s="5"/>
      <c r="DI378" s="5"/>
      <c r="DJ378" s="5"/>
      <c r="DK378" s="5"/>
      <c r="DL378" s="5"/>
      <c r="DM378" s="5"/>
      <c r="DN378" s="5"/>
      <c r="DO378" s="5"/>
      <c r="DP378" s="5"/>
      <c r="DQ378" s="5"/>
      <c r="DR378" s="5"/>
      <c r="DS378" s="5"/>
      <c r="DT378" s="5"/>
      <c r="DU378" s="5"/>
      <c r="DV378" s="5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5"/>
      <c r="CT379" s="5"/>
      <c r="CU379" s="5"/>
      <c r="CV379" s="5"/>
      <c r="CW379" s="5"/>
      <c r="CX379" s="5"/>
      <c r="CY379" s="5"/>
      <c r="CZ379" s="5"/>
      <c r="DA379" s="5"/>
      <c r="DB379" s="5"/>
      <c r="DC379" s="5"/>
      <c r="DD379" s="5"/>
      <c r="DE379" s="5"/>
      <c r="DF379" s="5"/>
      <c r="DG379" s="5"/>
      <c r="DH379" s="5"/>
      <c r="DI379" s="5"/>
      <c r="DJ379" s="5"/>
      <c r="DK379" s="5"/>
      <c r="DL379" s="5"/>
      <c r="DM379" s="5"/>
      <c r="DN379" s="5"/>
      <c r="DO379" s="5"/>
      <c r="DP379" s="5"/>
      <c r="DQ379" s="5"/>
      <c r="DR379" s="5"/>
      <c r="DS379" s="5"/>
      <c r="DT379" s="5"/>
      <c r="DU379" s="5"/>
      <c r="DV379" s="5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5"/>
      <c r="CT380" s="5"/>
      <c r="CU380" s="5"/>
      <c r="CV380" s="5"/>
      <c r="CW380" s="5"/>
      <c r="CX380" s="5"/>
      <c r="CY380" s="5"/>
      <c r="CZ380" s="5"/>
      <c r="DA380" s="5"/>
      <c r="DB380" s="5"/>
      <c r="DC380" s="5"/>
      <c r="DD380" s="5"/>
      <c r="DE380" s="5"/>
      <c r="DF380" s="5"/>
      <c r="DG380" s="5"/>
      <c r="DH380" s="5"/>
      <c r="DI380" s="5"/>
      <c r="DJ380" s="5"/>
      <c r="DK380" s="5"/>
      <c r="DL380" s="5"/>
      <c r="DM380" s="5"/>
      <c r="DN380" s="5"/>
      <c r="DO380" s="5"/>
      <c r="DP380" s="5"/>
      <c r="DQ380" s="5"/>
      <c r="DR380" s="5"/>
      <c r="DS380" s="5"/>
      <c r="DT380" s="5"/>
      <c r="DU380" s="5"/>
      <c r="DV380" s="5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5"/>
      <c r="CT381" s="5"/>
      <c r="CU381" s="5"/>
      <c r="CV381" s="5"/>
      <c r="CW381" s="5"/>
      <c r="CX381" s="5"/>
      <c r="CY381" s="5"/>
      <c r="CZ381" s="5"/>
      <c r="DA381" s="5"/>
      <c r="DB381" s="5"/>
      <c r="DC381" s="5"/>
      <c r="DD381" s="5"/>
      <c r="DE381" s="5"/>
      <c r="DF381" s="5"/>
      <c r="DG381" s="5"/>
      <c r="DH381" s="5"/>
      <c r="DI381" s="5"/>
      <c r="DJ381" s="5"/>
      <c r="DK381" s="5"/>
      <c r="DL381" s="5"/>
      <c r="DM381" s="5"/>
      <c r="DN381" s="5"/>
      <c r="DO381" s="5"/>
      <c r="DP381" s="5"/>
      <c r="DQ381" s="5"/>
      <c r="DR381" s="5"/>
      <c r="DS381" s="5"/>
      <c r="DT381" s="5"/>
      <c r="DU381" s="5"/>
      <c r="DV381" s="5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5"/>
      <c r="CT382" s="5"/>
      <c r="CU382" s="5"/>
      <c r="CV382" s="5"/>
      <c r="CW382" s="5"/>
      <c r="CX382" s="5"/>
      <c r="CY382" s="5"/>
      <c r="CZ382" s="5"/>
      <c r="DA382" s="5"/>
      <c r="DB382" s="5"/>
      <c r="DC382" s="5"/>
      <c r="DD382" s="5"/>
      <c r="DE382" s="5"/>
      <c r="DF382" s="5"/>
      <c r="DG382" s="5"/>
      <c r="DH382" s="5"/>
      <c r="DI382" s="5"/>
      <c r="DJ382" s="5"/>
      <c r="DK382" s="5"/>
      <c r="DL382" s="5"/>
      <c r="DM382" s="5"/>
      <c r="DN382" s="5"/>
      <c r="DO382" s="5"/>
      <c r="DP382" s="5"/>
      <c r="DQ382" s="5"/>
      <c r="DR382" s="5"/>
      <c r="DS382" s="5"/>
      <c r="DT382" s="5"/>
      <c r="DU382" s="5"/>
      <c r="DV382" s="5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5"/>
      <c r="CT383" s="5"/>
      <c r="CU383" s="5"/>
      <c r="CV383" s="5"/>
      <c r="CW383" s="5"/>
      <c r="CX383" s="5"/>
      <c r="CY383" s="5"/>
      <c r="CZ383" s="5"/>
      <c r="DA383" s="5"/>
      <c r="DB383" s="5"/>
      <c r="DC383" s="5"/>
      <c r="DD383" s="5"/>
      <c r="DE383" s="5"/>
      <c r="DF383" s="5"/>
      <c r="DG383" s="5"/>
      <c r="DH383" s="5"/>
      <c r="DI383" s="5"/>
      <c r="DJ383" s="5"/>
      <c r="DK383" s="5"/>
      <c r="DL383" s="5"/>
      <c r="DM383" s="5"/>
      <c r="DN383" s="5"/>
      <c r="DO383" s="5"/>
      <c r="DP383" s="5"/>
      <c r="DQ383" s="5"/>
      <c r="DR383" s="5"/>
      <c r="DS383" s="5"/>
      <c r="DT383" s="5"/>
      <c r="DU383" s="5"/>
      <c r="DV383" s="5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5"/>
      <c r="CT384" s="5"/>
      <c r="CU384" s="5"/>
      <c r="CV384" s="5"/>
      <c r="CW384" s="5"/>
      <c r="CX384" s="5"/>
      <c r="CY384" s="5"/>
      <c r="CZ384" s="5"/>
      <c r="DA384" s="5"/>
      <c r="DB384" s="5"/>
      <c r="DC384" s="5"/>
      <c r="DD384" s="5"/>
      <c r="DE384" s="5"/>
      <c r="DF384" s="5"/>
      <c r="DG384" s="5"/>
      <c r="DH384" s="5"/>
      <c r="DI384" s="5"/>
      <c r="DJ384" s="5"/>
      <c r="DK384" s="5"/>
      <c r="DL384" s="5"/>
      <c r="DM384" s="5"/>
      <c r="DN384" s="5"/>
      <c r="DO384" s="5"/>
      <c r="DP384" s="5"/>
      <c r="DQ384" s="5"/>
      <c r="DR384" s="5"/>
      <c r="DS384" s="5"/>
      <c r="DT384" s="5"/>
      <c r="DU384" s="5"/>
      <c r="DV384" s="5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5"/>
      <c r="CT385" s="5"/>
      <c r="CU385" s="5"/>
      <c r="CV385" s="5"/>
      <c r="CW385" s="5"/>
      <c r="CX385" s="5"/>
      <c r="CY385" s="5"/>
      <c r="CZ385" s="5"/>
      <c r="DA385" s="5"/>
      <c r="DB385" s="5"/>
      <c r="DC385" s="5"/>
      <c r="DD385" s="5"/>
      <c r="DE385" s="5"/>
      <c r="DF385" s="5"/>
      <c r="DG385" s="5"/>
      <c r="DH385" s="5"/>
      <c r="DI385" s="5"/>
      <c r="DJ385" s="5"/>
      <c r="DK385" s="5"/>
      <c r="DL385" s="5"/>
      <c r="DM385" s="5"/>
      <c r="DN385" s="5"/>
      <c r="DO385" s="5"/>
      <c r="DP385" s="5"/>
      <c r="DQ385" s="5"/>
      <c r="DR385" s="5"/>
      <c r="DS385" s="5"/>
      <c r="DT385" s="5"/>
      <c r="DU385" s="5"/>
      <c r="DV385" s="5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5"/>
      <c r="CT386" s="5"/>
      <c r="CU386" s="5"/>
      <c r="CV386" s="5"/>
      <c r="CW386" s="5"/>
      <c r="CX386" s="5"/>
      <c r="CY386" s="5"/>
      <c r="CZ386" s="5"/>
      <c r="DA386" s="5"/>
      <c r="DB386" s="5"/>
      <c r="DC386" s="5"/>
      <c r="DD386" s="5"/>
      <c r="DE386" s="5"/>
      <c r="DF386" s="5"/>
      <c r="DG386" s="5"/>
      <c r="DH386" s="5"/>
      <c r="DI386" s="5"/>
      <c r="DJ386" s="5"/>
      <c r="DK386" s="5"/>
      <c r="DL386" s="5"/>
      <c r="DM386" s="5"/>
      <c r="DN386" s="5"/>
      <c r="DO386" s="5"/>
      <c r="DP386" s="5"/>
      <c r="DQ386" s="5"/>
      <c r="DR386" s="5"/>
      <c r="DS386" s="5"/>
      <c r="DT386" s="5"/>
      <c r="DU386" s="5"/>
      <c r="DV386" s="5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5"/>
      <c r="CT387" s="5"/>
      <c r="CU387" s="5"/>
      <c r="CV387" s="5"/>
      <c r="CW387" s="5"/>
      <c r="CX387" s="5"/>
      <c r="CY387" s="5"/>
      <c r="CZ387" s="5"/>
      <c r="DA387" s="5"/>
      <c r="DB387" s="5"/>
      <c r="DC387" s="5"/>
      <c r="DD387" s="5"/>
      <c r="DE387" s="5"/>
      <c r="DF387" s="5"/>
      <c r="DG387" s="5"/>
      <c r="DH387" s="5"/>
      <c r="DI387" s="5"/>
      <c r="DJ387" s="5"/>
      <c r="DK387" s="5"/>
      <c r="DL387" s="5"/>
      <c r="DM387" s="5"/>
      <c r="DN387" s="5"/>
      <c r="DO387" s="5"/>
      <c r="DP387" s="5"/>
      <c r="DQ387" s="5"/>
      <c r="DR387" s="5"/>
      <c r="DS387" s="5"/>
      <c r="DT387" s="5"/>
      <c r="DU387" s="5"/>
      <c r="DV387" s="5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5"/>
      <c r="CT388" s="5"/>
      <c r="CU388" s="5"/>
      <c r="CV388" s="5"/>
      <c r="CW388" s="5"/>
      <c r="CX388" s="5"/>
      <c r="CY388" s="5"/>
      <c r="CZ388" s="5"/>
      <c r="DA388" s="5"/>
      <c r="DB388" s="5"/>
      <c r="DC388" s="5"/>
      <c r="DD388" s="5"/>
      <c r="DE388" s="5"/>
      <c r="DF388" s="5"/>
      <c r="DG388" s="5"/>
      <c r="DH388" s="5"/>
      <c r="DI388" s="5"/>
      <c r="DJ388" s="5"/>
      <c r="DK388" s="5"/>
      <c r="DL388" s="5"/>
      <c r="DM388" s="5"/>
      <c r="DN388" s="5"/>
      <c r="DO388" s="5"/>
      <c r="DP388" s="5"/>
      <c r="DQ388" s="5"/>
      <c r="DR388" s="5"/>
      <c r="DS388" s="5"/>
      <c r="DT388" s="5"/>
      <c r="DU388" s="5"/>
      <c r="DV388" s="5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5"/>
      <c r="CT389" s="5"/>
      <c r="CU389" s="5"/>
      <c r="CV389" s="5"/>
      <c r="CW389" s="5"/>
      <c r="CX389" s="5"/>
      <c r="CY389" s="5"/>
      <c r="CZ389" s="5"/>
      <c r="DA389" s="5"/>
      <c r="DB389" s="5"/>
      <c r="DC389" s="5"/>
      <c r="DD389" s="5"/>
      <c r="DE389" s="5"/>
      <c r="DF389" s="5"/>
      <c r="DG389" s="5"/>
      <c r="DH389" s="5"/>
      <c r="DI389" s="5"/>
      <c r="DJ389" s="5"/>
      <c r="DK389" s="5"/>
      <c r="DL389" s="5"/>
      <c r="DM389" s="5"/>
      <c r="DN389" s="5"/>
      <c r="DO389" s="5"/>
      <c r="DP389" s="5"/>
      <c r="DQ389" s="5"/>
      <c r="DR389" s="5"/>
      <c r="DS389" s="5"/>
      <c r="DT389" s="5"/>
      <c r="DU389" s="5"/>
      <c r="DV389" s="5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5"/>
      <c r="CT390" s="5"/>
      <c r="CU390" s="5"/>
      <c r="CV390" s="5"/>
      <c r="CW390" s="5"/>
      <c r="CX390" s="5"/>
      <c r="CY390" s="5"/>
      <c r="CZ390" s="5"/>
      <c r="DA390" s="5"/>
      <c r="DB390" s="5"/>
      <c r="DC390" s="5"/>
      <c r="DD390" s="5"/>
      <c r="DE390" s="5"/>
      <c r="DF390" s="5"/>
      <c r="DG390" s="5"/>
      <c r="DH390" s="5"/>
      <c r="DI390" s="5"/>
      <c r="DJ390" s="5"/>
      <c r="DK390" s="5"/>
      <c r="DL390" s="5"/>
      <c r="DM390" s="5"/>
      <c r="DN390" s="5"/>
      <c r="DO390" s="5"/>
      <c r="DP390" s="5"/>
      <c r="DQ390" s="5"/>
      <c r="DR390" s="5"/>
      <c r="DS390" s="5"/>
      <c r="DT390" s="5"/>
      <c r="DU390" s="5"/>
      <c r="DV390" s="5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5"/>
      <c r="CT391" s="5"/>
      <c r="CU391" s="5"/>
      <c r="CV391" s="5"/>
      <c r="CW391" s="5"/>
      <c r="CX391" s="5"/>
      <c r="CY391" s="5"/>
      <c r="CZ391" s="5"/>
      <c r="DA391" s="5"/>
      <c r="DB391" s="5"/>
      <c r="DC391" s="5"/>
      <c r="DD391" s="5"/>
      <c r="DE391" s="5"/>
      <c r="DF391" s="5"/>
      <c r="DG391" s="5"/>
      <c r="DH391" s="5"/>
      <c r="DI391" s="5"/>
      <c r="DJ391" s="5"/>
      <c r="DK391" s="5"/>
      <c r="DL391" s="5"/>
      <c r="DM391" s="5"/>
      <c r="DN391" s="5"/>
      <c r="DO391" s="5"/>
      <c r="DP391" s="5"/>
      <c r="DQ391" s="5"/>
      <c r="DR391" s="5"/>
      <c r="DS391" s="5"/>
      <c r="DT391" s="5"/>
      <c r="DU391" s="5"/>
      <c r="DV391" s="5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5"/>
      <c r="CT392" s="5"/>
      <c r="CU392" s="5"/>
      <c r="CV392" s="5"/>
      <c r="CW392" s="5"/>
      <c r="CX392" s="5"/>
      <c r="CY392" s="5"/>
      <c r="CZ392" s="5"/>
      <c r="DA392" s="5"/>
      <c r="DB392" s="5"/>
      <c r="DC392" s="5"/>
      <c r="DD392" s="5"/>
      <c r="DE392" s="5"/>
      <c r="DF392" s="5"/>
      <c r="DG392" s="5"/>
      <c r="DH392" s="5"/>
      <c r="DI392" s="5"/>
      <c r="DJ392" s="5"/>
      <c r="DK392" s="5"/>
      <c r="DL392" s="5"/>
      <c r="DM392" s="5"/>
      <c r="DN392" s="5"/>
      <c r="DO392" s="5"/>
      <c r="DP392" s="5"/>
      <c r="DQ392" s="5"/>
      <c r="DR392" s="5"/>
      <c r="DS392" s="5"/>
      <c r="DT392" s="5"/>
      <c r="DU392" s="5"/>
      <c r="DV392" s="5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5"/>
      <c r="CT393" s="5"/>
      <c r="CU393" s="5"/>
      <c r="CV393" s="5"/>
      <c r="CW393" s="5"/>
      <c r="CX393" s="5"/>
      <c r="CY393" s="5"/>
      <c r="CZ393" s="5"/>
      <c r="DA393" s="5"/>
      <c r="DB393" s="5"/>
      <c r="DC393" s="5"/>
      <c r="DD393" s="5"/>
      <c r="DE393" s="5"/>
      <c r="DF393" s="5"/>
      <c r="DG393" s="5"/>
      <c r="DH393" s="5"/>
      <c r="DI393" s="5"/>
      <c r="DJ393" s="5"/>
      <c r="DK393" s="5"/>
      <c r="DL393" s="5"/>
      <c r="DM393" s="5"/>
      <c r="DN393" s="5"/>
      <c r="DO393" s="5"/>
      <c r="DP393" s="5"/>
      <c r="DQ393" s="5"/>
      <c r="DR393" s="5"/>
      <c r="DS393" s="5"/>
      <c r="DT393" s="5"/>
      <c r="DU393" s="5"/>
      <c r="DV393" s="5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5"/>
      <c r="CT394" s="5"/>
      <c r="CU394" s="5"/>
      <c r="CV394" s="5"/>
      <c r="CW394" s="5"/>
      <c r="CX394" s="5"/>
      <c r="CY394" s="5"/>
      <c r="CZ394" s="5"/>
      <c r="DA394" s="5"/>
      <c r="DB394" s="5"/>
      <c r="DC394" s="5"/>
      <c r="DD394" s="5"/>
      <c r="DE394" s="5"/>
      <c r="DF394" s="5"/>
      <c r="DG394" s="5"/>
      <c r="DH394" s="5"/>
      <c r="DI394" s="5"/>
      <c r="DJ394" s="5"/>
      <c r="DK394" s="5"/>
      <c r="DL394" s="5"/>
      <c r="DM394" s="5"/>
      <c r="DN394" s="5"/>
      <c r="DO394" s="5"/>
      <c r="DP394" s="5"/>
      <c r="DQ394" s="5"/>
      <c r="DR394" s="5"/>
      <c r="DS394" s="5"/>
      <c r="DT394" s="5"/>
      <c r="DU394" s="5"/>
      <c r="DV394" s="5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5"/>
      <c r="CT395" s="5"/>
      <c r="CU395" s="5"/>
      <c r="CV395" s="5"/>
      <c r="CW395" s="5"/>
      <c r="CX395" s="5"/>
      <c r="CY395" s="5"/>
      <c r="CZ395" s="5"/>
      <c r="DA395" s="5"/>
      <c r="DB395" s="5"/>
      <c r="DC395" s="5"/>
      <c r="DD395" s="5"/>
      <c r="DE395" s="5"/>
      <c r="DF395" s="5"/>
      <c r="DG395" s="5"/>
      <c r="DH395" s="5"/>
      <c r="DI395" s="5"/>
      <c r="DJ395" s="5"/>
      <c r="DK395" s="5"/>
      <c r="DL395" s="5"/>
      <c r="DM395" s="5"/>
      <c r="DN395" s="5"/>
      <c r="DO395" s="5"/>
      <c r="DP395" s="5"/>
      <c r="DQ395" s="5"/>
      <c r="DR395" s="5"/>
      <c r="DS395" s="5"/>
      <c r="DT395" s="5"/>
      <c r="DU395" s="5"/>
      <c r="DV395" s="5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5"/>
      <c r="CT396" s="5"/>
      <c r="CU396" s="5"/>
      <c r="CV396" s="5"/>
      <c r="CW396" s="5"/>
      <c r="CX396" s="5"/>
      <c r="CY396" s="5"/>
      <c r="CZ396" s="5"/>
      <c r="DA396" s="5"/>
      <c r="DB396" s="5"/>
      <c r="DC396" s="5"/>
      <c r="DD396" s="5"/>
      <c r="DE396" s="5"/>
      <c r="DF396" s="5"/>
      <c r="DG396" s="5"/>
      <c r="DH396" s="5"/>
      <c r="DI396" s="5"/>
      <c r="DJ396" s="5"/>
      <c r="DK396" s="5"/>
      <c r="DL396" s="5"/>
      <c r="DM396" s="5"/>
      <c r="DN396" s="5"/>
      <c r="DO396" s="5"/>
      <c r="DP396" s="5"/>
      <c r="DQ396" s="5"/>
      <c r="DR396" s="5"/>
      <c r="DS396" s="5"/>
      <c r="DT396" s="5"/>
      <c r="DU396" s="5"/>
      <c r="DV396" s="5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5"/>
      <c r="CT397" s="5"/>
      <c r="CU397" s="5"/>
      <c r="CV397" s="5"/>
      <c r="CW397" s="5"/>
      <c r="CX397" s="5"/>
      <c r="CY397" s="5"/>
      <c r="CZ397" s="5"/>
      <c r="DA397" s="5"/>
      <c r="DB397" s="5"/>
      <c r="DC397" s="5"/>
      <c r="DD397" s="5"/>
      <c r="DE397" s="5"/>
      <c r="DF397" s="5"/>
      <c r="DG397" s="5"/>
      <c r="DH397" s="5"/>
      <c r="DI397" s="5"/>
      <c r="DJ397" s="5"/>
      <c r="DK397" s="5"/>
      <c r="DL397" s="5"/>
      <c r="DM397" s="5"/>
      <c r="DN397" s="5"/>
      <c r="DO397" s="5"/>
      <c r="DP397" s="5"/>
      <c r="DQ397" s="5"/>
      <c r="DR397" s="5"/>
      <c r="DS397" s="5"/>
      <c r="DT397" s="5"/>
      <c r="DU397" s="5"/>
      <c r="DV397" s="5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5"/>
      <c r="CT398" s="5"/>
      <c r="CU398" s="5"/>
      <c r="CV398" s="5"/>
      <c r="CW398" s="5"/>
      <c r="CX398" s="5"/>
      <c r="CY398" s="5"/>
      <c r="CZ398" s="5"/>
      <c r="DA398" s="5"/>
      <c r="DB398" s="5"/>
      <c r="DC398" s="5"/>
      <c r="DD398" s="5"/>
      <c r="DE398" s="5"/>
      <c r="DF398" s="5"/>
      <c r="DG398" s="5"/>
      <c r="DH398" s="5"/>
      <c r="DI398" s="5"/>
      <c r="DJ398" s="5"/>
      <c r="DK398" s="5"/>
      <c r="DL398" s="5"/>
      <c r="DM398" s="5"/>
      <c r="DN398" s="5"/>
      <c r="DO398" s="5"/>
      <c r="DP398" s="5"/>
      <c r="DQ398" s="5"/>
      <c r="DR398" s="5"/>
      <c r="DS398" s="5"/>
      <c r="DT398" s="5"/>
      <c r="DU398" s="5"/>
      <c r="DV398" s="5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5"/>
      <c r="CT399" s="5"/>
      <c r="CU399" s="5"/>
      <c r="CV399" s="5"/>
      <c r="CW399" s="5"/>
      <c r="CX399" s="5"/>
      <c r="CY399" s="5"/>
      <c r="CZ399" s="5"/>
      <c r="DA399" s="5"/>
      <c r="DB399" s="5"/>
      <c r="DC399" s="5"/>
      <c r="DD399" s="5"/>
      <c r="DE399" s="5"/>
      <c r="DF399" s="5"/>
      <c r="DG399" s="5"/>
      <c r="DH399" s="5"/>
      <c r="DI399" s="5"/>
      <c r="DJ399" s="5"/>
      <c r="DK399" s="5"/>
      <c r="DL399" s="5"/>
      <c r="DM399" s="5"/>
      <c r="DN399" s="5"/>
      <c r="DO399" s="5"/>
      <c r="DP399" s="5"/>
      <c r="DQ399" s="5"/>
      <c r="DR399" s="5"/>
      <c r="DS399" s="5"/>
      <c r="DT399" s="5"/>
      <c r="DU399" s="5"/>
      <c r="DV399" s="5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5"/>
      <c r="CT400" s="5"/>
      <c r="CU400" s="5"/>
      <c r="CV400" s="5"/>
      <c r="CW400" s="5"/>
      <c r="CX400" s="5"/>
      <c r="CY400" s="5"/>
      <c r="CZ400" s="5"/>
      <c r="DA400" s="5"/>
      <c r="DB400" s="5"/>
      <c r="DC400" s="5"/>
      <c r="DD400" s="5"/>
      <c r="DE400" s="5"/>
      <c r="DF400" s="5"/>
      <c r="DG400" s="5"/>
      <c r="DH400" s="5"/>
      <c r="DI400" s="5"/>
      <c r="DJ400" s="5"/>
      <c r="DK400" s="5"/>
      <c r="DL400" s="5"/>
      <c r="DM400" s="5"/>
      <c r="DN400" s="5"/>
      <c r="DO400" s="5"/>
      <c r="DP400" s="5"/>
      <c r="DQ400" s="5"/>
      <c r="DR400" s="5"/>
      <c r="DS400" s="5"/>
      <c r="DT400" s="5"/>
      <c r="DU400" s="5"/>
      <c r="DV400" s="5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5"/>
      <c r="CT401" s="5"/>
      <c r="CU401" s="5"/>
      <c r="CV401" s="5"/>
      <c r="CW401" s="5"/>
      <c r="CX401" s="5"/>
      <c r="CY401" s="5"/>
      <c r="CZ401" s="5"/>
      <c r="DA401" s="5"/>
      <c r="DB401" s="5"/>
      <c r="DC401" s="5"/>
      <c r="DD401" s="5"/>
      <c r="DE401" s="5"/>
      <c r="DF401" s="5"/>
      <c r="DG401" s="5"/>
      <c r="DH401" s="5"/>
      <c r="DI401" s="5"/>
      <c r="DJ401" s="5"/>
      <c r="DK401" s="5"/>
      <c r="DL401" s="5"/>
      <c r="DM401" s="5"/>
      <c r="DN401" s="5"/>
      <c r="DO401" s="5"/>
      <c r="DP401" s="5"/>
      <c r="DQ401" s="5"/>
      <c r="DR401" s="5"/>
      <c r="DS401" s="5"/>
      <c r="DT401" s="5"/>
      <c r="DU401" s="5"/>
      <c r="DV401" s="5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5"/>
      <c r="CT402" s="5"/>
      <c r="CU402" s="5"/>
      <c r="CV402" s="5"/>
      <c r="CW402" s="5"/>
      <c r="CX402" s="5"/>
      <c r="CY402" s="5"/>
      <c r="CZ402" s="5"/>
      <c r="DA402" s="5"/>
      <c r="DB402" s="5"/>
      <c r="DC402" s="5"/>
      <c r="DD402" s="5"/>
      <c r="DE402" s="5"/>
      <c r="DF402" s="5"/>
      <c r="DG402" s="5"/>
      <c r="DH402" s="5"/>
      <c r="DI402" s="5"/>
      <c r="DJ402" s="5"/>
      <c r="DK402" s="5"/>
      <c r="DL402" s="5"/>
      <c r="DM402" s="5"/>
      <c r="DN402" s="5"/>
      <c r="DO402" s="5"/>
      <c r="DP402" s="5"/>
      <c r="DQ402" s="5"/>
      <c r="DR402" s="5"/>
      <c r="DS402" s="5"/>
      <c r="DT402" s="5"/>
      <c r="DU402" s="5"/>
      <c r="DV402" s="5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5"/>
      <c r="CT403" s="5"/>
      <c r="CU403" s="5"/>
      <c r="CV403" s="5"/>
      <c r="CW403" s="5"/>
      <c r="CX403" s="5"/>
      <c r="CY403" s="5"/>
      <c r="CZ403" s="5"/>
      <c r="DA403" s="5"/>
      <c r="DB403" s="5"/>
      <c r="DC403" s="5"/>
      <c r="DD403" s="5"/>
      <c r="DE403" s="5"/>
      <c r="DF403" s="5"/>
      <c r="DG403" s="5"/>
      <c r="DH403" s="5"/>
      <c r="DI403" s="5"/>
      <c r="DJ403" s="5"/>
      <c r="DK403" s="5"/>
      <c r="DL403" s="5"/>
      <c r="DM403" s="5"/>
      <c r="DN403" s="5"/>
      <c r="DO403" s="5"/>
      <c r="DP403" s="5"/>
      <c r="DQ403" s="5"/>
      <c r="DR403" s="5"/>
      <c r="DS403" s="5"/>
      <c r="DT403" s="5"/>
      <c r="DU403" s="5"/>
      <c r="DV403" s="5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5"/>
      <c r="CT404" s="5"/>
      <c r="CU404" s="5"/>
      <c r="CV404" s="5"/>
      <c r="CW404" s="5"/>
      <c r="CX404" s="5"/>
      <c r="CY404" s="5"/>
      <c r="CZ404" s="5"/>
      <c r="DA404" s="5"/>
      <c r="DB404" s="5"/>
      <c r="DC404" s="5"/>
      <c r="DD404" s="5"/>
      <c r="DE404" s="5"/>
      <c r="DF404" s="5"/>
      <c r="DG404" s="5"/>
      <c r="DH404" s="5"/>
      <c r="DI404" s="5"/>
      <c r="DJ404" s="5"/>
      <c r="DK404" s="5"/>
      <c r="DL404" s="5"/>
      <c r="DM404" s="5"/>
      <c r="DN404" s="5"/>
      <c r="DO404" s="5"/>
      <c r="DP404" s="5"/>
      <c r="DQ404" s="5"/>
      <c r="DR404" s="5"/>
      <c r="DS404" s="5"/>
      <c r="DT404" s="5"/>
      <c r="DU404" s="5"/>
      <c r="DV404" s="5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5"/>
      <c r="CT405" s="5"/>
      <c r="CU405" s="5"/>
      <c r="CV405" s="5"/>
      <c r="CW405" s="5"/>
      <c r="CX405" s="5"/>
      <c r="CY405" s="5"/>
      <c r="CZ405" s="5"/>
      <c r="DA405" s="5"/>
      <c r="DB405" s="5"/>
      <c r="DC405" s="5"/>
      <c r="DD405" s="5"/>
      <c r="DE405" s="5"/>
      <c r="DF405" s="5"/>
      <c r="DG405" s="5"/>
      <c r="DH405" s="5"/>
      <c r="DI405" s="5"/>
      <c r="DJ405" s="5"/>
      <c r="DK405" s="5"/>
      <c r="DL405" s="5"/>
      <c r="DM405" s="5"/>
      <c r="DN405" s="5"/>
      <c r="DO405" s="5"/>
      <c r="DP405" s="5"/>
      <c r="DQ405" s="5"/>
      <c r="DR405" s="5"/>
      <c r="DS405" s="5"/>
      <c r="DT405" s="5"/>
      <c r="DU405" s="5"/>
      <c r="DV405" s="5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5"/>
      <c r="CT406" s="5"/>
      <c r="CU406" s="5"/>
      <c r="CV406" s="5"/>
      <c r="CW406" s="5"/>
      <c r="CX406" s="5"/>
      <c r="CY406" s="5"/>
      <c r="CZ406" s="5"/>
      <c r="DA406" s="5"/>
      <c r="DB406" s="5"/>
      <c r="DC406" s="5"/>
      <c r="DD406" s="5"/>
      <c r="DE406" s="5"/>
      <c r="DF406" s="5"/>
      <c r="DG406" s="5"/>
      <c r="DH406" s="5"/>
      <c r="DI406" s="5"/>
      <c r="DJ406" s="5"/>
      <c r="DK406" s="5"/>
      <c r="DL406" s="5"/>
      <c r="DM406" s="5"/>
      <c r="DN406" s="5"/>
      <c r="DO406" s="5"/>
      <c r="DP406" s="5"/>
      <c r="DQ406" s="5"/>
      <c r="DR406" s="5"/>
      <c r="DS406" s="5"/>
      <c r="DT406" s="5"/>
      <c r="DU406" s="5"/>
      <c r="DV406" s="5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5"/>
      <c r="CT407" s="5"/>
      <c r="CU407" s="5"/>
      <c r="CV407" s="5"/>
      <c r="CW407" s="5"/>
      <c r="CX407" s="5"/>
      <c r="CY407" s="5"/>
      <c r="CZ407" s="5"/>
      <c r="DA407" s="5"/>
      <c r="DB407" s="5"/>
      <c r="DC407" s="5"/>
      <c r="DD407" s="5"/>
      <c r="DE407" s="5"/>
      <c r="DF407" s="5"/>
      <c r="DG407" s="5"/>
      <c r="DH407" s="5"/>
      <c r="DI407" s="5"/>
      <c r="DJ407" s="5"/>
      <c r="DK407" s="5"/>
      <c r="DL407" s="5"/>
      <c r="DM407" s="5"/>
      <c r="DN407" s="5"/>
      <c r="DO407" s="5"/>
      <c r="DP407" s="5"/>
      <c r="DQ407" s="5"/>
      <c r="DR407" s="5"/>
      <c r="DS407" s="5"/>
      <c r="DT407" s="5"/>
      <c r="DU407" s="5"/>
      <c r="DV407" s="5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5"/>
      <c r="CT408" s="5"/>
      <c r="CU408" s="5"/>
      <c r="CV408" s="5"/>
      <c r="CW408" s="5"/>
      <c r="CX408" s="5"/>
      <c r="CY408" s="5"/>
      <c r="CZ408" s="5"/>
      <c r="DA408" s="5"/>
      <c r="DB408" s="5"/>
      <c r="DC408" s="5"/>
      <c r="DD408" s="5"/>
      <c r="DE408" s="5"/>
      <c r="DF408" s="5"/>
      <c r="DG408" s="5"/>
      <c r="DH408" s="5"/>
      <c r="DI408" s="5"/>
      <c r="DJ408" s="5"/>
      <c r="DK408" s="5"/>
      <c r="DL408" s="5"/>
      <c r="DM408" s="5"/>
      <c r="DN408" s="5"/>
      <c r="DO408" s="5"/>
      <c r="DP408" s="5"/>
      <c r="DQ408" s="5"/>
      <c r="DR408" s="5"/>
      <c r="DS408" s="5"/>
      <c r="DT408" s="5"/>
      <c r="DU408" s="5"/>
      <c r="DV408" s="5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5"/>
      <c r="CT409" s="5"/>
      <c r="CU409" s="5"/>
      <c r="CV409" s="5"/>
      <c r="CW409" s="5"/>
      <c r="CX409" s="5"/>
      <c r="CY409" s="5"/>
      <c r="CZ409" s="5"/>
      <c r="DA409" s="5"/>
      <c r="DB409" s="5"/>
      <c r="DC409" s="5"/>
      <c r="DD409" s="5"/>
      <c r="DE409" s="5"/>
      <c r="DF409" s="5"/>
      <c r="DG409" s="5"/>
      <c r="DH409" s="5"/>
      <c r="DI409" s="5"/>
      <c r="DJ409" s="5"/>
      <c r="DK409" s="5"/>
      <c r="DL409" s="5"/>
      <c r="DM409" s="5"/>
      <c r="DN409" s="5"/>
      <c r="DO409" s="5"/>
      <c r="DP409" s="5"/>
      <c r="DQ409" s="5"/>
      <c r="DR409" s="5"/>
      <c r="DS409" s="5"/>
      <c r="DT409" s="5"/>
      <c r="DU409" s="5"/>
      <c r="DV409" s="5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5"/>
      <c r="CT410" s="5"/>
      <c r="CU410" s="5"/>
      <c r="CV410" s="5"/>
      <c r="CW410" s="5"/>
      <c r="CX410" s="5"/>
      <c r="CY410" s="5"/>
      <c r="CZ410" s="5"/>
      <c r="DA410" s="5"/>
      <c r="DB410" s="5"/>
      <c r="DC410" s="5"/>
      <c r="DD410" s="5"/>
      <c r="DE410" s="5"/>
      <c r="DF410" s="5"/>
      <c r="DG410" s="5"/>
      <c r="DH410" s="5"/>
      <c r="DI410" s="5"/>
      <c r="DJ410" s="5"/>
      <c r="DK410" s="5"/>
      <c r="DL410" s="5"/>
      <c r="DM410" s="5"/>
      <c r="DN410" s="5"/>
      <c r="DO410" s="5"/>
      <c r="DP410" s="5"/>
      <c r="DQ410" s="5"/>
      <c r="DR410" s="5"/>
      <c r="DS410" s="5"/>
      <c r="DT410" s="5"/>
      <c r="DU410" s="5"/>
      <c r="DV410" s="5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5"/>
      <c r="CT411" s="5"/>
      <c r="CU411" s="5"/>
      <c r="CV411" s="5"/>
      <c r="CW411" s="5"/>
      <c r="CX411" s="5"/>
      <c r="CY411" s="5"/>
      <c r="CZ411" s="5"/>
      <c r="DA411" s="5"/>
      <c r="DB411" s="5"/>
      <c r="DC411" s="5"/>
      <c r="DD411" s="5"/>
      <c r="DE411" s="5"/>
      <c r="DF411" s="5"/>
      <c r="DG411" s="5"/>
      <c r="DH411" s="5"/>
      <c r="DI411" s="5"/>
      <c r="DJ411" s="5"/>
      <c r="DK411" s="5"/>
      <c r="DL411" s="5"/>
      <c r="DM411" s="5"/>
      <c r="DN411" s="5"/>
      <c r="DO411" s="5"/>
      <c r="DP411" s="5"/>
      <c r="DQ411" s="5"/>
      <c r="DR411" s="5"/>
      <c r="DS411" s="5"/>
      <c r="DT411" s="5"/>
      <c r="DU411" s="5"/>
      <c r="DV411" s="5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5"/>
      <c r="CT412" s="5"/>
      <c r="CU412" s="5"/>
      <c r="CV412" s="5"/>
      <c r="CW412" s="5"/>
      <c r="CX412" s="5"/>
      <c r="CY412" s="5"/>
      <c r="CZ412" s="5"/>
      <c r="DA412" s="5"/>
      <c r="DB412" s="5"/>
      <c r="DC412" s="5"/>
      <c r="DD412" s="5"/>
      <c r="DE412" s="5"/>
      <c r="DF412" s="5"/>
      <c r="DG412" s="5"/>
      <c r="DH412" s="5"/>
      <c r="DI412" s="5"/>
      <c r="DJ412" s="5"/>
      <c r="DK412" s="5"/>
      <c r="DL412" s="5"/>
      <c r="DM412" s="5"/>
      <c r="DN412" s="5"/>
      <c r="DO412" s="5"/>
      <c r="DP412" s="5"/>
      <c r="DQ412" s="5"/>
      <c r="DR412" s="5"/>
      <c r="DS412" s="5"/>
      <c r="DT412" s="5"/>
      <c r="DU412" s="5"/>
      <c r="DV412" s="5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5"/>
      <c r="CT413" s="5"/>
      <c r="CU413" s="5"/>
      <c r="CV413" s="5"/>
      <c r="CW413" s="5"/>
      <c r="CX413" s="5"/>
      <c r="CY413" s="5"/>
      <c r="CZ413" s="5"/>
      <c r="DA413" s="5"/>
      <c r="DB413" s="5"/>
      <c r="DC413" s="5"/>
      <c r="DD413" s="5"/>
      <c r="DE413" s="5"/>
      <c r="DF413" s="5"/>
      <c r="DG413" s="5"/>
      <c r="DH413" s="5"/>
      <c r="DI413" s="5"/>
      <c r="DJ413" s="5"/>
      <c r="DK413" s="5"/>
      <c r="DL413" s="5"/>
      <c r="DM413" s="5"/>
      <c r="DN413" s="5"/>
      <c r="DO413" s="5"/>
      <c r="DP413" s="5"/>
      <c r="DQ413" s="5"/>
      <c r="DR413" s="5"/>
      <c r="DS413" s="5"/>
      <c r="DT413" s="5"/>
      <c r="DU413" s="5"/>
      <c r="DV413" s="5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5"/>
      <c r="CT414" s="5"/>
      <c r="CU414" s="5"/>
      <c r="CV414" s="5"/>
      <c r="CW414" s="5"/>
      <c r="CX414" s="5"/>
      <c r="CY414" s="5"/>
      <c r="CZ414" s="5"/>
      <c r="DA414" s="5"/>
      <c r="DB414" s="5"/>
      <c r="DC414" s="5"/>
      <c r="DD414" s="5"/>
      <c r="DE414" s="5"/>
      <c r="DF414" s="5"/>
      <c r="DG414" s="5"/>
      <c r="DH414" s="5"/>
      <c r="DI414" s="5"/>
      <c r="DJ414" s="5"/>
      <c r="DK414" s="5"/>
      <c r="DL414" s="5"/>
      <c r="DM414" s="5"/>
      <c r="DN414" s="5"/>
      <c r="DO414" s="5"/>
      <c r="DP414" s="5"/>
      <c r="DQ414" s="5"/>
      <c r="DR414" s="5"/>
      <c r="DS414" s="5"/>
      <c r="DT414" s="5"/>
      <c r="DU414" s="5"/>
      <c r="DV414" s="5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5"/>
      <c r="CT415" s="5"/>
      <c r="CU415" s="5"/>
      <c r="CV415" s="5"/>
      <c r="CW415" s="5"/>
      <c r="CX415" s="5"/>
      <c r="CY415" s="5"/>
      <c r="CZ415" s="5"/>
      <c r="DA415" s="5"/>
      <c r="DB415" s="5"/>
      <c r="DC415" s="5"/>
      <c r="DD415" s="5"/>
      <c r="DE415" s="5"/>
      <c r="DF415" s="5"/>
      <c r="DG415" s="5"/>
      <c r="DH415" s="5"/>
      <c r="DI415" s="5"/>
      <c r="DJ415" s="5"/>
      <c r="DK415" s="5"/>
      <c r="DL415" s="5"/>
      <c r="DM415" s="5"/>
      <c r="DN415" s="5"/>
      <c r="DO415" s="5"/>
      <c r="DP415" s="5"/>
      <c r="DQ415" s="5"/>
      <c r="DR415" s="5"/>
      <c r="DS415" s="5"/>
      <c r="DT415" s="5"/>
      <c r="DU415" s="5"/>
      <c r="DV415" s="5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5"/>
      <c r="CT416" s="5"/>
      <c r="CU416" s="5"/>
      <c r="CV416" s="5"/>
      <c r="CW416" s="5"/>
      <c r="CX416" s="5"/>
      <c r="CY416" s="5"/>
      <c r="CZ416" s="5"/>
      <c r="DA416" s="5"/>
      <c r="DB416" s="5"/>
      <c r="DC416" s="5"/>
      <c r="DD416" s="5"/>
      <c r="DE416" s="5"/>
      <c r="DF416" s="5"/>
      <c r="DG416" s="5"/>
      <c r="DH416" s="5"/>
      <c r="DI416" s="5"/>
      <c r="DJ416" s="5"/>
      <c r="DK416" s="5"/>
      <c r="DL416" s="5"/>
      <c r="DM416" s="5"/>
      <c r="DN416" s="5"/>
      <c r="DO416" s="5"/>
      <c r="DP416" s="5"/>
      <c r="DQ416" s="5"/>
      <c r="DR416" s="5"/>
      <c r="DS416" s="5"/>
      <c r="DT416" s="5"/>
      <c r="DU416" s="5"/>
      <c r="DV416" s="5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5"/>
      <c r="CT417" s="5"/>
      <c r="CU417" s="5"/>
      <c r="CV417" s="5"/>
      <c r="CW417" s="5"/>
      <c r="CX417" s="5"/>
      <c r="CY417" s="5"/>
      <c r="CZ417" s="5"/>
      <c r="DA417" s="5"/>
      <c r="DB417" s="5"/>
      <c r="DC417" s="5"/>
      <c r="DD417" s="5"/>
      <c r="DE417" s="5"/>
      <c r="DF417" s="5"/>
      <c r="DG417" s="5"/>
      <c r="DH417" s="5"/>
      <c r="DI417" s="5"/>
      <c r="DJ417" s="5"/>
      <c r="DK417" s="5"/>
      <c r="DL417" s="5"/>
      <c r="DM417" s="5"/>
      <c r="DN417" s="5"/>
      <c r="DO417" s="5"/>
      <c r="DP417" s="5"/>
      <c r="DQ417" s="5"/>
      <c r="DR417" s="5"/>
      <c r="DS417" s="5"/>
      <c r="DT417" s="5"/>
      <c r="DU417" s="5"/>
      <c r="DV417" s="5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5"/>
      <c r="CT418" s="5"/>
      <c r="CU418" s="5"/>
      <c r="CV418" s="5"/>
      <c r="CW418" s="5"/>
      <c r="CX418" s="5"/>
      <c r="CY418" s="5"/>
      <c r="CZ418" s="5"/>
      <c r="DA418" s="5"/>
      <c r="DB418" s="5"/>
      <c r="DC418" s="5"/>
      <c r="DD418" s="5"/>
      <c r="DE418" s="5"/>
      <c r="DF418" s="5"/>
      <c r="DG418" s="5"/>
      <c r="DH418" s="5"/>
      <c r="DI418" s="5"/>
      <c r="DJ418" s="5"/>
      <c r="DK418" s="5"/>
      <c r="DL418" s="5"/>
      <c r="DM418" s="5"/>
      <c r="DN418" s="5"/>
      <c r="DO418" s="5"/>
      <c r="DP418" s="5"/>
      <c r="DQ418" s="5"/>
      <c r="DR418" s="5"/>
      <c r="DS418" s="5"/>
      <c r="DT418" s="5"/>
      <c r="DU418" s="5"/>
      <c r="DV418" s="5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5"/>
      <c r="CT419" s="5"/>
      <c r="CU419" s="5"/>
      <c r="CV419" s="5"/>
      <c r="CW419" s="5"/>
      <c r="CX419" s="5"/>
      <c r="CY419" s="5"/>
      <c r="CZ419" s="5"/>
      <c r="DA419" s="5"/>
      <c r="DB419" s="5"/>
      <c r="DC419" s="5"/>
      <c r="DD419" s="5"/>
      <c r="DE419" s="5"/>
      <c r="DF419" s="5"/>
      <c r="DG419" s="5"/>
      <c r="DH419" s="5"/>
      <c r="DI419" s="5"/>
      <c r="DJ419" s="5"/>
      <c r="DK419" s="5"/>
      <c r="DL419" s="5"/>
      <c r="DM419" s="5"/>
      <c r="DN419" s="5"/>
      <c r="DO419" s="5"/>
      <c r="DP419" s="5"/>
      <c r="DQ419" s="5"/>
      <c r="DR419" s="5"/>
      <c r="DS419" s="5"/>
      <c r="DT419" s="5"/>
      <c r="DU419" s="5"/>
      <c r="DV419" s="5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5"/>
      <c r="CT420" s="5"/>
      <c r="CU420" s="5"/>
      <c r="CV420" s="5"/>
      <c r="CW420" s="5"/>
      <c r="CX420" s="5"/>
      <c r="CY420" s="5"/>
      <c r="CZ420" s="5"/>
      <c r="DA420" s="5"/>
      <c r="DB420" s="5"/>
      <c r="DC420" s="5"/>
      <c r="DD420" s="5"/>
      <c r="DE420" s="5"/>
      <c r="DF420" s="5"/>
      <c r="DG420" s="5"/>
      <c r="DH420" s="5"/>
      <c r="DI420" s="5"/>
      <c r="DJ420" s="5"/>
      <c r="DK420" s="5"/>
      <c r="DL420" s="5"/>
      <c r="DM420" s="5"/>
      <c r="DN420" s="5"/>
      <c r="DO420" s="5"/>
      <c r="DP420" s="5"/>
      <c r="DQ420" s="5"/>
      <c r="DR420" s="5"/>
      <c r="DS420" s="5"/>
      <c r="DT420" s="5"/>
      <c r="DU420" s="5"/>
      <c r="DV420" s="5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5"/>
      <c r="CT421" s="5"/>
      <c r="CU421" s="5"/>
      <c r="CV421" s="5"/>
      <c r="CW421" s="5"/>
      <c r="CX421" s="5"/>
      <c r="CY421" s="5"/>
      <c r="CZ421" s="5"/>
      <c r="DA421" s="5"/>
      <c r="DB421" s="5"/>
      <c r="DC421" s="5"/>
      <c r="DD421" s="5"/>
      <c r="DE421" s="5"/>
      <c r="DF421" s="5"/>
      <c r="DG421" s="5"/>
      <c r="DH421" s="5"/>
      <c r="DI421" s="5"/>
      <c r="DJ421" s="5"/>
      <c r="DK421" s="5"/>
      <c r="DL421" s="5"/>
      <c r="DM421" s="5"/>
      <c r="DN421" s="5"/>
      <c r="DO421" s="5"/>
      <c r="DP421" s="5"/>
      <c r="DQ421" s="5"/>
      <c r="DR421" s="5"/>
      <c r="DS421" s="5"/>
      <c r="DT421" s="5"/>
      <c r="DU421" s="5"/>
      <c r="DV421" s="5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5"/>
      <c r="CT422" s="5"/>
      <c r="CU422" s="5"/>
      <c r="CV422" s="5"/>
      <c r="CW422" s="5"/>
      <c r="CX422" s="5"/>
      <c r="CY422" s="5"/>
      <c r="CZ422" s="5"/>
      <c r="DA422" s="5"/>
      <c r="DB422" s="5"/>
      <c r="DC422" s="5"/>
      <c r="DD422" s="5"/>
      <c r="DE422" s="5"/>
      <c r="DF422" s="5"/>
      <c r="DG422" s="5"/>
      <c r="DH422" s="5"/>
      <c r="DI422" s="5"/>
      <c r="DJ422" s="5"/>
      <c r="DK422" s="5"/>
      <c r="DL422" s="5"/>
      <c r="DM422" s="5"/>
      <c r="DN422" s="5"/>
      <c r="DO422" s="5"/>
      <c r="DP422" s="5"/>
      <c r="DQ422" s="5"/>
      <c r="DR422" s="5"/>
      <c r="DS422" s="5"/>
      <c r="DT422" s="5"/>
      <c r="DU422" s="5"/>
      <c r="DV422" s="5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5"/>
      <c r="CT423" s="5"/>
      <c r="CU423" s="5"/>
      <c r="CV423" s="5"/>
      <c r="CW423" s="5"/>
      <c r="CX423" s="5"/>
      <c r="CY423" s="5"/>
      <c r="CZ423" s="5"/>
      <c r="DA423" s="5"/>
      <c r="DB423" s="5"/>
      <c r="DC423" s="5"/>
      <c r="DD423" s="5"/>
      <c r="DE423" s="5"/>
      <c r="DF423" s="5"/>
      <c r="DG423" s="5"/>
      <c r="DH423" s="5"/>
      <c r="DI423" s="5"/>
      <c r="DJ423" s="5"/>
      <c r="DK423" s="5"/>
      <c r="DL423" s="5"/>
      <c r="DM423" s="5"/>
      <c r="DN423" s="5"/>
      <c r="DO423" s="5"/>
      <c r="DP423" s="5"/>
      <c r="DQ423" s="5"/>
      <c r="DR423" s="5"/>
      <c r="DS423" s="5"/>
      <c r="DT423" s="5"/>
      <c r="DU423" s="5"/>
      <c r="DV423" s="5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5"/>
      <c r="CT424" s="5"/>
      <c r="CU424" s="5"/>
      <c r="CV424" s="5"/>
      <c r="CW424" s="5"/>
      <c r="CX424" s="5"/>
      <c r="CY424" s="5"/>
      <c r="CZ424" s="5"/>
      <c r="DA424" s="5"/>
      <c r="DB424" s="5"/>
      <c r="DC424" s="5"/>
      <c r="DD424" s="5"/>
      <c r="DE424" s="5"/>
      <c r="DF424" s="5"/>
      <c r="DG424" s="5"/>
      <c r="DH424" s="5"/>
      <c r="DI424" s="5"/>
      <c r="DJ424" s="5"/>
      <c r="DK424" s="5"/>
      <c r="DL424" s="5"/>
      <c r="DM424" s="5"/>
      <c r="DN424" s="5"/>
      <c r="DO424" s="5"/>
      <c r="DP424" s="5"/>
      <c r="DQ424" s="5"/>
      <c r="DR424" s="5"/>
      <c r="DS424" s="5"/>
      <c r="DT424" s="5"/>
      <c r="DU424" s="5"/>
      <c r="DV424" s="5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5"/>
      <c r="CT425" s="5"/>
      <c r="CU425" s="5"/>
      <c r="CV425" s="5"/>
      <c r="CW425" s="5"/>
      <c r="CX425" s="5"/>
      <c r="CY425" s="5"/>
      <c r="CZ425" s="5"/>
      <c r="DA425" s="5"/>
      <c r="DB425" s="5"/>
      <c r="DC425" s="5"/>
      <c r="DD425" s="5"/>
      <c r="DE425" s="5"/>
      <c r="DF425" s="5"/>
      <c r="DG425" s="5"/>
      <c r="DH425" s="5"/>
      <c r="DI425" s="5"/>
      <c r="DJ425" s="5"/>
      <c r="DK425" s="5"/>
      <c r="DL425" s="5"/>
      <c r="DM425" s="5"/>
      <c r="DN425" s="5"/>
      <c r="DO425" s="5"/>
      <c r="DP425" s="5"/>
      <c r="DQ425" s="5"/>
      <c r="DR425" s="5"/>
      <c r="DS425" s="5"/>
      <c r="DT425" s="5"/>
      <c r="DU425" s="5"/>
      <c r="DV425" s="5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5"/>
      <c r="CT426" s="5"/>
      <c r="CU426" s="5"/>
      <c r="CV426" s="5"/>
      <c r="CW426" s="5"/>
      <c r="CX426" s="5"/>
      <c r="CY426" s="5"/>
      <c r="CZ426" s="5"/>
      <c r="DA426" s="5"/>
      <c r="DB426" s="5"/>
      <c r="DC426" s="5"/>
      <c r="DD426" s="5"/>
      <c r="DE426" s="5"/>
      <c r="DF426" s="5"/>
      <c r="DG426" s="5"/>
      <c r="DH426" s="5"/>
      <c r="DI426" s="5"/>
      <c r="DJ426" s="5"/>
      <c r="DK426" s="5"/>
      <c r="DL426" s="5"/>
      <c r="DM426" s="5"/>
      <c r="DN426" s="5"/>
      <c r="DO426" s="5"/>
      <c r="DP426" s="5"/>
      <c r="DQ426" s="5"/>
      <c r="DR426" s="5"/>
      <c r="DS426" s="5"/>
      <c r="DT426" s="5"/>
      <c r="DU426" s="5"/>
      <c r="DV426" s="5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5"/>
      <c r="CT427" s="5"/>
      <c r="CU427" s="5"/>
      <c r="CV427" s="5"/>
      <c r="CW427" s="5"/>
      <c r="CX427" s="5"/>
      <c r="CY427" s="5"/>
      <c r="CZ427" s="5"/>
      <c r="DA427" s="5"/>
      <c r="DB427" s="5"/>
      <c r="DC427" s="5"/>
      <c r="DD427" s="5"/>
      <c r="DE427" s="5"/>
      <c r="DF427" s="5"/>
      <c r="DG427" s="5"/>
      <c r="DH427" s="5"/>
      <c r="DI427" s="5"/>
      <c r="DJ427" s="5"/>
      <c r="DK427" s="5"/>
      <c r="DL427" s="5"/>
      <c r="DM427" s="5"/>
      <c r="DN427" s="5"/>
      <c r="DO427" s="5"/>
      <c r="DP427" s="5"/>
      <c r="DQ427" s="5"/>
      <c r="DR427" s="5"/>
      <c r="DS427" s="5"/>
      <c r="DT427" s="5"/>
      <c r="DU427" s="5"/>
      <c r="DV427" s="5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5"/>
      <c r="CT428" s="5"/>
      <c r="CU428" s="5"/>
      <c r="CV428" s="5"/>
      <c r="CW428" s="5"/>
      <c r="CX428" s="5"/>
      <c r="CY428" s="5"/>
      <c r="CZ428" s="5"/>
      <c r="DA428" s="5"/>
      <c r="DB428" s="5"/>
      <c r="DC428" s="5"/>
      <c r="DD428" s="5"/>
      <c r="DE428" s="5"/>
      <c r="DF428" s="5"/>
      <c r="DG428" s="5"/>
      <c r="DH428" s="5"/>
      <c r="DI428" s="5"/>
      <c r="DJ428" s="5"/>
      <c r="DK428" s="5"/>
      <c r="DL428" s="5"/>
      <c r="DM428" s="5"/>
      <c r="DN428" s="5"/>
      <c r="DO428" s="5"/>
      <c r="DP428" s="5"/>
      <c r="DQ428" s="5"/>
      <c r="DR428" s="5"/>
      <c r="DS428" s="5"/>
      <c r="DT428" s="5"/>
      <c r="DU428" s="5"/>
      <c r="DV428" s="5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5"/>
      <c r="CT429" s="5"/>
      <c r="CU429" s="5"/>
      <c r="CV429" s="5"/>
      <c r="CW429" s="5"/>
      <c r="CX429" s="5"/>
      <c r="CY429" s="5"/>
      <c r="CZ429" s="5"/>
      <c r="DA429" s="5"/>
      <c r="DB429" s="5"/>
      <c r="DC429" s="5"/>
      <c r="DD429" s="5"/>
      <c r="DE429" s="5"/>
      <c r="DF429" s="5"/>
      <c r="DG429" s="5"/>
      <c r="DH429" s="5"/>
      <c r="DI429" s="5"/>
      <c r="DJ429" s="5"/>
      <c r="DK429" s="5"/>
      <c r="DL429" s="5"/>
      <c r="DM429" s="5"/>
      <c r="DN429" s="5"/>
      <c r="DO429" s="5"/>
      <c r="DP429" s="5"/>
      <c r="DQ429" s="5"/>
      <c r="DR429" s="5"/>
      <c r="DS429" s="5"/>
      <c r="DT429" s="5"/>
      <c r="DU429" s="5"/>
      <c r="DV429" s="5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5"/>
      <c r="CT430" s="5"/>
      <c r="CU430" s="5"/>
      <c r="CV430" s="5"/>
      <c r="CW430" s="5"/>
      <c r="CX430" s="5"/>
      <c r="CY430" s="5"/>
      <c r="CZ430" s="5"/>
      <c r="DA430" s="5"/>
      <c r="DB430" s="5"/>
      <c r="DC430" s="5"/>
      <c r="DD430" s="5"/>
      <c r="DE430" s="5"/>
      <c r="DF430" s="5"/>
      <c r="DG430" s="5"/>
      <c r="DH430" s="5"/>
      <c r="DI430" s="5"/>
      <c r="DJ430" s="5"/>
      <c r="DK430" s="5"/>
      <c r="DL430" s="5"/>
      <c r="DM430" s="5"/>
      <c r="DN430" s="5"/>
      <c r="DO430" s="5"/>
      <c r="DP430" s="5"/>
      <c r="DQ430" s="5"/>
      <c r="DR430" s="5"/>
      <c r="DS430" s="5"/>
      <c r="DT430" s="5"/>
      <c r="DU430" s="5"/>
      <c r="DV430" s="5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5"/>
      <c r="CT431" s="5"/>
      <c r="CU431" s="5"/>
      <c r="CV431" s="5"/>
      <c r="CW431" s="5"/>
      <c r="CX431" s="5"/>
      <c r="CY431" s="5"/>
      <c r="CZ431" s="5"/>
      <c r="DA431" s="5"/>
      <c r="DB431" s="5"/>
      <c r="DC431" s="5"/>
      <c r="DD431" s="5"/>
      <c r="DE431" s="5"/>
      <c r="DF431" s="5"/>
      <c r="DG431" s="5"/>
      <c r="DH431" s="5"/>
      <c r="DI431" s="5"/>
      <c r="DJ431" s="5"/>
      <c r="DK431" s="5"/>
      <c r="DL431" s="5"/>
      <c r="DM431" s="5"/>
      <c r="DN431" s="5"/>
      <c r="DO431" s="5"/>
      <c r="DP431" s="5"/>
      <c r="DQ431" s="5"/>
      <c r="DR431" s="5"/>
      <c r="DS431" s="5"/>
      <c r="DT431" s="5"/>
      <c r="DU431" s="5"/>
      <c r="DV431" s="5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5"/>
      <c r="CT432" s="5"/>
      <c r="CU432" s="5"/>
      <c r="CV432" s="5"/>
      <c r="CW432" s="5"/>
      <c r="CX432" s="5"/>
      <c r="CY432" s="5"/>
      <c r="CZ432" s="5"/>
      <c r="DA432" s="5"/>
      <c r="DB432" s="5"/>
      <c r="DC432" s="5"/>
      <c r="DD432" s="5"/>
      <c r="DE432" s="5"/>
      <c r="DF432" s="5"/>
      <c r="DG432" s="5"/>
      <c r="DH432" s="5"/>
      <c r="DI432" s="5"/>
      <c r="DJ432" s="5"/>
      <c r="DK432" s="5"/>
      <c r="DL432" s="5"/>
      <c r="DM432" s="5"/>
      <c r="DN432" s="5"/>
      <c r="DO432" s="5"/>
      <c r="DP432" s="5"/>
      <c r="DQ432" s="5"/>
      <c r="DR432" s="5"/>
      <c r="DS432" s="5"/>
      <c r="DT432" s="5"/>
      <c r="DU432" s="5"/>
      <c r="DV432" s="5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5"/>
      <c r="CT433" s="5"/>
      <c r="CU433" s="5"/>
      <c r="CV433" s="5"/>
      <c r="CW433" s="5"/>
      <c r="CX433" s="5"/>
      <c r="CY433" s="5"/>
      <c r="CZ433" s="5"/>
      <c r="DA433" s="5"/>
      <c r="DB433" s="5"/>
      <c r="DC433" s="5"/>
      <c r="DD433" s="5"/>
      <c r="DE433" s="5"/>
      <c r="DF433" s="5"/>
      <c r="DG433" s="5"/>
      <c r="DH433" s="5"/>
      <c r="DI433" s="5"/>
      <c r="DJ433" s="5"/>
      <c r="DK433" s="5"/>
      <c r="DL433" s="5"/>
      <c r="DM433" s="5"/>
      <c r="DN433" s="5"/>
      <c r="DO433" s="5"/>
      <c r="DP433" s="5"/>
      <c r="DQ433" s="5"/>
      <c r="DR433" s="5"/>
      <c r="DS433" s="5"/>
      <c r="DT433" s="5"/>
      <c r="DU433" s="5"/>
      <c r="DV433" s="5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5"/>
      <c r="CT434" s="5"/>
      <c r="CU434" s="5"/>
      <c r="CV434" s="5"/>
      <c r="CW434" s="5"/>
      <c r="CX434" s="5"/>
      <c r="CY434" s="5"/>
      <c r="CZ434" s="5"/>
      <c r="DA434" s="5"/>
      <c r="DB434" s="5"/>
      <c r="DC434" s="5"/>
      <c r="DD434" s="5"/>
      <c r="DE434" s="5"/>
      <c r="DF434" s="5"/>
      <c r="DG434" s="5"/>
      <c r="DH434" s="5"/>
      <c r="DI434" s="5"/>
      <c r="DJ434" s="5"/>
      <c r="DK434" s="5"/>
      <c r="DL434" s="5"/>
      <c r="DM434" s="5"/>
      <c r="DN434" s="5"/>
      <c r="DO434" s="5"/>
      <c r="DP434" s="5"/>
      <c r="DQ434" s="5"/>
      <c r="DR434" s="5"/>
      <c r="DS434" s="5"/>
      <c r="DT434" s="5"/>
      <c r="DU434" s="5"/>
      <c r="DV434" s="5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5"/>
      <c r="CT435" s="5"/>
      <c r="CU435" s="5"/>
      <c r="CV435" s="5"/>
      <c r="CW435" s="5"/>
      <c r="CX435" s="5"/>
      <c r="CY435" s="5"/>
      <c r="CZ435" s="5"/>
      <c r="DA435" s="5"/>
      <c r="DB435" s="5"/>
      <c r="DC435" s="5"/>
      <c r="DD435" s="5"/>
      <c r="DE435" s="5"/>
      <c r="DF435" s="5"/>
      <c r="DG435" s="5"/>
      <c r="DH435" s="5"/>
      <c r="DI435" s="5"/>
      <c r="DJ435" s="5"/>
      <c r="DK435" s="5"/>
      <c r="DL435" s="5"/>
      <c r="DM435" s="5"/>
      <c r="DN435" s="5"/>
      <c r="DO435" s="5"/>
      <c r="DP435" s="5"/>
      <c r="DQ435" s="5"/>
      <c r="DR435" s="5"/>
      <c r="DS435" s="5"/>
      <c r="DT435" s="5"/>
      <c r="DU435" s="5"/>
      <c r="DV435" s="5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5"/>
      <c r="CT436" s="5"/>
      <c r="CU436" s="5"/>
      <c r="CV436" s="5"/>
      <c r="CW436" s="5"/>
      <c r="CX436" s="5"/>
      <c r="CY436" s="5"/>
      <c r="CZ436" s="5"/>
      <c r="DA436" s="5"/>
      <c r="DB436" s="5"/>
      <c r="DC436" s="5"/>
      <c r="DD436" s="5"/>
      <c r="DE436" s="5"/>
      <c r="DF436" s="5"/>
      <c r="DG436" s="5"/>
      <c r="DH436" s="5"/>
      <c r="DI436" s="5"/>
      <c r="DJ436" s="5"/>
      <c r="DK436" s="5"/>
      <c r="DL436" s="5"/>
      <c r="DM436" s="5"/>
      <c r="DN436" s="5"/>
      <c r="DO436" s="5"/>
      <c r="DP436" s="5"/>
      <c r="DQ436" s="5"/>
      <c r="DR436" s="5"/>
      <c r="DS436" s="5"/>
      <c r="DT436" s="5"/>
      <c r="DU436" s="5"/>
      <c r="DV436" s="5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5"/>
      <c r="CT437" s="5"/>
      <c r="CU437" s="5"/>
      <c r="CV437" s="5"/>
      <c r="CW437" s="5"/>
      <c r="CX437" s="5"/>
      <c r="CY437" s="5"/>
      <c r="CZ437" s="5"/>
      <c r="DA437" s="5"/>
      <c r="DB437" s="5"/>
      <c r="DC437" s="5"/>
      <c r="DD437" s="5"/>
      <c r="DE437" s="5"/>
      <c r="DF437" s="5"/>
      <c r="DG437" s="5"/>
      <c r="DH437" s="5"/>
      <c r="DI437" s="5"/>
      <c r="DJ437" s="5"/>
      <c r="DK437" s="5"/>
      <c r="DL437" s="5"/>
      <c r="DM437" s="5"/>
      <c r="DN437" s="5"/>
      <c r="DO437" s="5"/>
      <c r="DP437" s="5"/>
      <c r="DQ437" s="5"/>
      <c r="DR437" s="5"/>
      <c r="DS437" s="5"/>
      <c r="DT437" s="5"/>
      <c r="DU437" s="5"/>
      <c r="DV437" s="5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5"/>
      <c r="CT438" s="5"/>
      <c r="CU438" s="5"/>
      <c r="CV438" s="5"/>
      <c r="CW438" s="5"/>
      <c r="CX438" s="5"/>
      <c r="CY438" s="5"/>
      <c r="CZ438" s="5"/>
      <c r="DA438" s="5"/>
      <c r="DB438" s="5"/>
      <c r="DC438" s="5"/>
      <c r="DD438" s="5"/>
      <c r="DE438" s="5"/>
      <c r="DF438" s="5"/>
      <c r="DG438" s="5"/>
      <c r="DH438" s="5"/>
      <c r="DI438" s="5"/>
      <c r="DJ438" s="5"/>
      <c r="DK438" s="5"/>
      <c r="DL438" s="5"/>
      <c r="DM438" s="5"/>
      <c r="DN438" s="5"/>
      <c r="DO438" s="5"/>
      <c r="DP438" s="5"/>
      <c r="DQ438" s="5"/>
      <c r="DR438" s="5"/>
      <c r="DS438" s="5"/>
      <c r="DT438" s="5"/>
      <c r="DU438" s="5"/>
      <c r="DV438" s="5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5"/>
      <c r="CT439" s="5"/>
      <c r="CU439" s="5"/>
      <c r="CV439" s="5"/>
      <c r="CW439" s="5"/>
      <c r="CX439" s="5"/>
      <c r="CY439" s="5"/>
      <c r="CZ439" s="5"/>
      <c r="DA439" s="5"/>
      <c r="DB439" s="5"/>
      <c r="DC439" s="5"/>
      <c r="DD439" s="5"/>
      <c r="DE439" s="5"/>
      <c r="DF439" s="5"/>
      <c r="DG439" s="5"/>
      <c r="DH439" s="5"/>
      <c r="DI439" s="5"/>
      <c r="DJ439" s="5"/>
      <c r="DK439" s="5"/>
      <c r="DL439" s="5"/>
      <c r="DM439" s="5"/>
      <c r="DN439" s="5"/>
      <c r="DO439" s="5"/>
      <c r="DP439" s="5"/>
      <c r="DQ439" s="5"/>
      <c r="DR439" s="5"/>
      <c r="DS439" s="5"/>
      <c r="DT439" s="5"/>
      <c r="DU439" s="5"/>
      <c r="DV439" s="5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5"/>
      <c r="CT440" s="5"/>
      <c r="CU440" s="5"/>
      <c r="CV440" s="5"/>
      <c r="CW440" s="5"/>
      <c r="CX440" s="5"/>
      <c r="CY440" s="5"/>
      <c r="CZ440" s="5"/>
      <c r="DA440" s="5"/>
      <c r="DB440" s="5"/>
      <c r="DC440" s="5"/>
      <c r="DD440" s="5"/>
      <c r="DE440" s="5"/>
      <c r="DF440" s="5"/>
      <c r="DG440" s="5"/>
      <c r="DH440" s="5"/>
      <c r="DI440" s="5"/>
      <c r="DJ440" s="5"/>
      <c r="DK440" s="5"/>
      <c r="DL440" s="5"/>
      <c r="DM440" s="5"/>
      <c r="DN440" s="5"/>
      <c r="DO440" s="5"/>
      <c r="DP440" s="5"/>
      <c r="DQ440" s="5"/>
      <c r="DR440" s="5"/>
      <c r="DS440" s="5"/>
      <c r="DT440" s="5"/>
      <c r="DU440" s="5"/>
      <c r="DV440" s="5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5"/>
      <c r="CT441" s="5"/>
      <c r="CU441" s="5"/>
      <c r="CV441" s="5"/>
      <c r="CW441" s="5"/>
      <c r="CX441" s="5"/>
      <c r="CY441" s="5"/>
      <c r="CZ441" s="5"/>
      <c r="DA441" s="5"/>
      <c r="DB441" s="5"/>
      <c r="DC441" s="5"/>
      <c r="DD441" s="5"/>
      <c r="DE441" s="5"/>
      <c r="DF441" s="5"/>
      <c r="DG441" s="5"/>
      <c r="DH441" s="5"/>
      <c r="DI441" s="5"/>
      <c r="DJ441" s="5"/>
      <c r="DK441" s="5"/>
      <c r="DL441" s="5"/>
      <c r="DM441" s="5"/>
      <c r="DN441" s="5"/>
      <c r="DO441" s="5"/>
      <c r="DP441" s="5"/>
      <c r="DQ441" s="5"/>
      <c r="DR441" s="5"/>
      <c r="DS441" s="5"/>
      <c r="DT441" s="5"/>
      <c r="DU441" s="5"/>
      <c r="DV441" s="5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5"/>
      <c r="CT442" s="5"/>
      <c r="CU442" s="5"/>
      <c r="CV442" s="5"/>
      <c r="CW442" s="5"/>
      <c r="CX442" s="5"/>
      <c r="CY442" s="5"/>
      <c r="CZ442" s="5"/>
      <c r="DA442" s="5"/>
      <c r="DB442" s="5"/>
      <c r="DC442" s="5"/>
      <c r="DD442" s="5"/>
      <c r="DE442" s="5"/>
      <c r="DF442" s="5"/>
      <c r="DG442" s="5"/>
      <c r="DH442" s="5"/>
      <c r="DI442" s="5"/>
      <c r="DJ442" s="5"/>
      <c r="DK442" s="5"/>
      <c r="DL442" s="5"/>
      <c r="DM442" s="5"/>
      <c r="DN442" s="5"/>
      <c r="DO442" s="5"/>
      <c r="DP442" s="5"/>
      <c r="DQ442" s="5"/>
      <c r="DR442" s="5"/>
      <c r="DS442" s="5"/>
      <c r="DT442" s="5"/>
      <c r="DU442" s="5"/>
      <c r="DV442" s="5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5"/>
      <c r="CT443" s="5"/>
      <c r="CU443" s="5"/>
      <c r="CV443" s="5"/>
      <c r="CW443" s="5"/>
      <c r="CX443" s="5"/>
      <c r="CY443" s="5"/>
      <c r="CZ443" s="5"/>
      <c r="DA443" s="5"/>
      <c r="DB443" s="5"/>
      <c r="DC443" s="5"/>
      <c r="DD443" s="5"/>
      <c r="DE443" s="5"/>
      <c r="DF443" s="5"/>
      <c r="DG443" s="5"/>
      <c r="DH443" s="5"/>
      <c r="DI443" s="5"/>
      <c r="DJ443" s="5"/>
      <c r="DK443" s="5"/>
      <c r="DL443" s="5"/>
      <c r="DM443" s="5"/>
      <c r="DN443" s="5"/>
      <c r="DO443" s="5"/>
      <c r="DP443" s="5"/>
      <c r="DQ443" s="5"/>
      <c r="DR443" s="5"/>
      <c r="DS443" s="5"/>
      <c r="DT443" s="5"/>
      <c r="DU443" s="5"/>
      <c r="DV443" s="5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5"/>
      <c r="CT444" s="5"/>
      <c r="CU444" s="5"/>
      <c r="CV444" s="5"/>
      <c r="CW444" s="5"/>
      <c r="CX444" s="5"/>
      <c r="CY444" s="5"/>
      <c r="CZ444" s="5"/>
      <c r="DA444" s="5"/>
      <c r="DB444" s="5"/>
      <c r="DC444" s="5"/>
      <c r="DD444" s="5"/>
      <c r="DE444" s="5"/>
      <c r="DF444" s="5"/>
      <c r="DG444" s="5"/>
      <c r="DH444" s="5"/>
      <c r="DI444" s="5"/>
      <c r="DJ444" s="5"/>
      <c r="DK444" s="5"/>
      <c r="DL444" s="5"/>
      <c r="DM444" s="5"/>
      <c r="DN444" s="5"/>
      <c r="DO444" s="5"/>
      <c r="DP444" s="5"/>
      <c r="DQ444" s="5"/>
      <c r="DR444" s="5"/>
      <c r="DS444" s="5"/>
      <c r="DT444" s="5"/>
      <c r="DU444" s="5"/>
      <c r="DV444" s="5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5"/>
      <c r="CT445" s="5"/>
      <c r="CU445" s="5"/>
      <c r="CV445" s="5"/>
      <c r="CW445" s="5"/>
      <c r="CX445" s="5"/>
      <c r="CY445" s="5"/>
      <c r="CZ445" s="5"/>
      <c r="DA445" s="5"/>
      <c r="DB445" s="5"/>
      <c r="DC445" s="5"/>
      <c r="DD445" s="5"/>
      <c r="DE445" s="5"/>
      <c r="DF445" s="5"/>
      <c r="DG445" s="5"/>
      <c r="DH445" s="5"/>
      <c r="DI445" s="5"/>
      <c r="DJ445" s="5"/>
      <c r="DK445" s="5"/>
      <c r="DL445" s="5"/>
      <c r="DM445" s="5"/>
      <c r="DN445" s="5"/>
      <c r="DO445" s="5"/>
      <c r="DP445" s="5"/>
      <c r="DQ445" s="5"/>
      <c r="DR445" s="5"/>
      <c r="DS445" s="5"/>
      <c r="DT445" s="5"/>
      <c r="DU445" s="5"/>
      <c r="DV445" s="5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5"/>
      <c r="CT446" s="5"/>
      <c r="CU446" s="5"/>
      <c r="CV446" s="5"/>
      <c r="CW446" s="5"/>
      <c r="CX446" s="5"/>
      <c r="CY446" s="5"/>
      <c r="CZ446" s="5"/>
      <c r="DA446" s="5"/>
      <c r="DB446" s="5"/>
      <c r="DC446" s="5"/>
      <c r="DD446" s="5"/>
      <c r="DE446" s="5"/>
      <c r="DF446" s="5"/>
      <c r="DG446" s="5"/>
      <c r="DH446" s="5"/>
      <c r="DI446" s="5"/>
      <c r="DJ446" s="5"/>
      <c r="DK446" s="5"/>
      <c r="DL446" s="5"/>
      <c r="DM446" s="5"/>
      <c r="DN446" s="5"/>
      <c r="DO446" s="5"/>
      <c r="DP446" s="5"/>
      <c r="DQ446" s="5"/>
      <c r="DR446" s="5"/>
      <c r="DS446" s="5"/>
      <c r="DT446" s="5"/>
      <c r="DU446" s="5"/>
      <c r="DV446" s="5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5"/>
      <c r="CT447" s="5"/>
      <c r="CU447" s="5"/>
      <c r="CV447" s="5"/>
      <c r="CW447" s="5"/>
      <c r="CX447" s="5"/>
      <c r="CY447" s="5"/>
      <c r="CZ447" s="5"/>
      <c r="DA447" s="5"/>
      <c r="DB447" s="5"/>
      <c r="DC447" s="5"/>
      <c r="DD447" s="5"/>
      <c r="DE447" s="5"/>
      <c r="DF447" s="5"/>
      <c r="DG447" s="5"/>
      <c r="DH447" s="5"/>
      <c r="DI447" s="5"/>
      <c r="DJ447" s="5"/>
      <c r="DK447" s="5"/>
      <c r="DL447" s="5"/>
      <c r="DM447" s="5"/>
      <c r="DN447" s="5"/>
      <c r="DO447" s="5"/>
      <c r="DP447" s="5"/>
      <c r="DQ447" s="5"/>
      <c r="DR447" s="5"/>
      <c r="DS447" s="5"/>
      <c r="DT447" s="5"/>
      <c r="DU447" s="5"/>
      <c r="DV447" s="5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5"/>
      <c r="CT448" s="5"/>
      <c r="CU448" s="5"/>
      <c r="CV448" s="5"/>
      <c r="CW448" s="5"/>
      <c r="CX448" s="5"/>
      <c r="CY448" s="5"/>
      <c r="CZ448" s="5"/>
      <c r="DA448" s="5"/>
      <c r="DB448" s="5"/>
      <c r="DC448" s="5"/>
      <c r="DD448" s="5"/>
      <c r="DE448" s="5"/>
      <c r="DF448" s="5"/>
      <c r="DG448" s="5"/>
      <c r="DH448" s="5"/>
      <c r="DI448" s="5"/>
      <c r="DJ448" s="5"/>
      <c r="DK448" s="5"/>
      <c r="DL448" s="5"/>
      <c r="DM448" s="5"/>
      <c r="DN448" s="5"/>
      <c r="DO448" s="5"/>
      <c r="DP448" s="5"/>
      <c r="DQ448" s="5"/>
      <c r="DR448" s="5"/>
      <c r="DS448" s="5"/>
      <c r="DT448" s="5"/>
      <c r="DU448" s="5"/>
      <c r="DV448" s="5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5"/>
      <c r="CT449" s="5"/>
      <c r="CU449" s="5"/>
      <c r="CV449" s="5"/>
      <c r="CW449" s="5"/>
      <c r="CX449" s="5"/>
      <c r="CY449" s="5"/>
      <c r="CZ449" s="5"/>
      <c r="DA449" s="5"/>
      <c r="DB449" s="5"/>
      <c r="DC449" s="5"/>
      <c r="DD449" s="5"/>
      <c r="DE449" s="5"/>
      <c r="DF449" s="5"/>
      <c r="DG449" s="5"/>
      <c r="DH449" s="5"/>
      <c r="DI449" s="5"/>
      <c r="DJ449" s="5"/>
      <c r="DK449" s="5"/>
      <c r="DL449" s="5"/>
      <c r="DM449" s="5"/>
      <c r="DN449" s="5"/>
      <c r="DO449" s="5"/>
      <c r="DP449" s="5"/>
      <c r="DQ449" s="5"/>
      <c r="DR449" s="5"/>
      <c r="DS449" s="5"/>
      <c r="DT449" s="5"/>
      <c r="DU449" s="5"/>
      <c r="DV449" s="5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5"/>
      <c r="CT450" s="5"/>
      <c r="CU450" s="5"/>
      <c r="CV450" s="5"/>
      <c r="CW450" s="5"/>
      <c r="CX450" s="5"/>
      <c r="CY450" s="5"/>
      <c r="CZ450" s="5"/>
      <c r="DA450" s="5"/>
      <c r="DB450" s="5"/>
      <c r="DC450" s="5"/>
      <c r="DD450" s="5"/>
      <c r="DE450" s="5"/>
      <c r="DF450" s="5"/>
      <c r="DG450" s="5"/>
      <c r="DH450" s="5"/>
      <c r="DI450" s="5"/>
      <c r="DJ450" s="5"/>
      <c r="DK450" s="5"/>
      <c r="DL450" s="5"/>
      <c r="DM450" s="5"/>
      <c r="DN450" s="5"/>
      <c r="DO450" s="5"/>
      <c r="DP450" s="5"/>
      <c r="DQ450" s="5"/>
      <c r="DR450" s="5"/>
      <c r="DS450" s="5"/>
      <c r="DT450" s="5"/>
      <c r="DU450" s="5"/>
      <c r="DV450" s="5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5"/>
      <c r="CT451" s="5"/>
      <c r="CU451" s="5"/>
      <c r="CV451" s="5"/>
      <c r="CW451" s="5"/>
      <c r="CX451" s="5"/>
      <c r="CY451" s="5"/>
      <c r="CZ451" s="5"/>
      <c r="DA451" s="5"/>
      <c r="DB451" s="5"/>
      <c r="DC451" s="5"/>
      <c r="DD451" s="5"/>
      <c r="DE451" s="5"/>
      <c r="DF451" s="5"/>
      <c r="DG451" s="5"/>
      <c r="DH451" s="5"/>
      <c r="DI451" s="5"/>
      <c r="DJ451" s="5"/>
      <c r="DK451" s="5"/>
      <c r="DL451" s="5"/>
      <c r="DM451" s="5"/>
      <c r="DN451" s="5"/>
      <c r="DO451" s="5"/>
      <c r="DP451" s="5"/>
      <c r="DQ451" s="5"/>
      <c r="DR451" s="5"/>
      <c r="DS451" s="5"/>
      <c r="DT451" s="5"/>
      <c r="DU451" s="5"/>
      <c r="DV451" s="5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5"/>
      <c r="CT452" s="5"/>
      <c r="CU452" s="5"/>
      <c r="CV452" s="5"/>
      <c r="CW452" s="5"/>
      <c r="CX452" s="5"/>
      <c r="CY452" s="5"/>
      <c r="CZ452" s="5"/>
      <c r="DA452" s="5"/>
      <c r="DB452" s="5"/>
      <c r="DC452" s="5"/>
      <c r="DD452" s="5"/>
      <c r="DE452" s="5"/>
      <c r="DF452" s="5"/>
      <c r="DG452" s="5"/>
      <c r="DH452" s="5"/>
      <c r="DI452" s="5"/>
      <c r="DJ452" s="5"/>
      <c r="DK452" s="5"/>
      <c r="DL452" s="5"/>
      <c r="DM452" s="5"/>
      <c r="DN452" s="5"/>
      <c r="DO452" s="5"/>
      <c r="DP452" s="5"/>
      <c r="DQ452" s="5"/>
      <c r="DR452" s="5"/>
      <c r="DS452" s="5"/>
      <c r="DT452" s="5"/>
      <c r="DU452" s="5"/>
      <c r="DV452" s="5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5"/>
      <c r="CT453" s="5"/>
      <c r="CU453" s="5"/>
      <c r="CV453" s="5"/>
      <c r="CW453" s="5"/>
      <c r="CX453" s="5"/>
      <c r="CY453" s="5"/>
      <c r="CZ453" s="5"/>
      <c r="DA453" s="5"/>
      <c r="DB453" s="5"/>
      <c r="DC453" s="5"/>
      <c r="DD453" s="5"/>
      <c r="DE453" s="5"/>
      <c r="DF453" s="5"/>
      <c r="DG453" s="5"/>
      <c r="DH453" s="5"/>
      <c r="DI453" s="5"/>
      <c r="DJ453" s="5"/>
      <c r="DK453" s="5"/>
      <c r="DL453" s="5"/>
      <c r="DM453" s="5"/>
      <c r="DN453" s="5"/>
      <c r="DO453" s="5"/>
      <c r="DP453" s="5"/>
      <c r="DQ453" s="5"/>
      <c r="DR453" s="5"/>
      <c r="DS453" s="5"/>
      <c r="DT453" s="5"/>
      <c r="DU453" s="5"/>
      <c r="DV453" s="5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5"/>
      <c r="CT454" s="5"/>
      <c r="CU454" s="5"/>
      <c r="CV454" s="5"/>
      <c r="CW454" s="5"/>
      <c r="CX454" s="5"/>
      <c r="CY454" s="5"/>
      <c r="CZ454" s="5"/>
      <c r="DA454" s="5"/>
      <c r="DB454" s="5"/>
      <c r="DC454" s="5"/>
      <c r="DD454" s="5"/>
      <c r="DE454" s="5"/>
      <c r="DF454" s="5"/>
      <c r="DG454" s="5"/>
      <c r="DH454" s="5"/>
      <c r="DI454" s="5"/>
      <c r="DJ454" s="5"/>
      <c r="DK454" s="5"/>
      <c r="DL454" s="5"/>
      <c r="DM454" s="5"/>
      <c r="DN454" s="5"/>
      <c r="DO454" s="5"/>
      <c r="DP454" s="5"/>
      <c r="DQ454" s="5"/>
      <c r="DR454" s="5"/>
      <c r="DS454" s="5"/>
      <c r="DT454" s="5"/>
      <c r="DU454" s="5"/>
      <c r="DV454" s="5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5"/>
      <c r="CT455" s="5"/>
      <c r="CU455" s="5"/>
      <c r="CV455" s="5"/>
      <c r="CW455" s="5"/>
      <c r="CX455" s="5"/>
      <c r="CY455" s="5"/>
      <c r="CZ455" s="5"/>
      <c r="DA455" s="5"/>
      <c r="DB455" s="5"/>
      <c r="DC455" s="5"/>
      <c r="DD455" s="5"/>
      <c r="DE455" s="5"/>
      <c r="DF455" s="5"/>
      <c r="DG455" s="5"/>
      <c r="DH455" s="5"/>
      <c r="DI455" s="5"/>
      <c r="DJ455" s="5"/>
      <c r="DK455" s="5"/>
      <c r="DL455" s="5"/>
      <c r="DM455" s="5"/>
      <c r="DN455" s="5"/>
      <c r="DO455" s="5"/>
      <c r="DP455" s="5"/>
      <c r="DQ455" s="5"/>
      <c r="DR455" s="5"/>
      <c r="DS455" s="5"/>
      <c r="DT455" s="5"/>
      <c r="DU455" s="5"/>
      <c r="DV455" s="5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5"/>
      <c r="CT456" s="5"/>
      <c r="CU456" s="5"/>
      <c r="CV456" s="5"/>
      <c r="CW456" s="5"/>
      <c r="CX456" s="5"/>
      <c r="CY456" s="5"/>
      <c r="CZ456" s="5"/>
      <c r="DA456" s="5"/>
      <c r="DB456" s="5"/>
      <c r="DC456" s="5"/>
      <c r="DD456" s="5"/>
      <c r="DE456" s="5"/>
      <c r="DF456" s="5"/>
      <c r="DG456" s="5"/>
      <c r="DH456" s="5"/>
      <c r="DI456" s="5"/>
      <c r="DJ456" s="5"/>
      <c r="DK456" s="5"/>
      <c r="DL456" s="5"/>
      <c r="DM456" s="5"/>
      <c r="DN456" s="5"/>
      <c r="DO456" s="5"/>
      <c r="DP456" s="5"/>
      <c r="DQ456" s="5"/>
      <c r="DR456" s="5"/>
      <c r="DS456" s="5"/>
      <c r="DT456" s="5"/>
      <c r="DU456" s="5"/>
      <c r="DV456" s="5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5"/>
      <c r="CT457" s="5"/>
      <c r="CU457" s="5"/>
      <c r="CV457" s="5"/>
      <c r="CW457" s="5"/>
      <c r="CX457" s="5"/>
      <c r="CY457" s="5"/>
      <c r="CZ457" s="5"/>
      <c r="DA457" s="5"/>
      <c r="DB457" s="5"/>
      <c r="DC457" s="5"/>
      <c r="DD457" s="5"/>
      <c r="DE457" s="5"/>
      <c r="DF457" s="5"/>
      <c r="DG457" s="5"/>
      <c r="DH457" s="5"/>
      <c r="DI457" s="5"/>
      <c r="DJ457" s="5"/>
      <c r="DK457" s="5"/>
      <c r="DL457" s="5"/>
      <c r="DM457" s="5"/>
      <c r="DN457" s="5"/>
      <c r="DO457" s="5"/>
      <c r="DP457" s="5"/>
      <c r="DQ457" s="5"/>
      <c r="DR457" s="5"/>
      <c r="DS457" s="5"/>
      <c r="DT457" s="5"/>
      <c r="DU457" s="5"/>
      <c r="DV457" s="5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5"/>
      <c r="CT458" s="5"/>
      <c r="CU458" s="5"/>
      <c r="CV458" s="5"/>
      <c r="CW458" s="5"/>
      <c r="CX458" s="5"/>
      <c r="CY458" s="5"/>
      <c r="CZ458" s="5"/>
      <c r="DA458" s="5"/>
      <c r="DB458" s="5"/>
      <c r="DC458" s="5"/>
      <c r="DD458" s="5"/>
      <c r="DE458" s="5"/>
      <c r="DF458" s="5"/>
      <c r="DG458" s="5"/>
      <c r="DH458" s="5"/>
      <c r="DI458" s="5"/>
      <c r="DJ458" s="5"/>
      <c r="DK458" s="5"/>
      <c r="DL458" s="5"/>
      <c r="DM458" s="5"/>
      <c r="DN458" s="5"/>
      <c r="DO458" s="5"/>
      <c r="DP458" s="5"/>
      <c r="DQ458" s="5"/>
      <c r="DR458" s="5"/>
      <c r="DS458" s="5"/>
      <c r="DT458" s="5"/>
      <c r="DU458" s="5"/>
      <c r="DV458" s="5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5"/>
      <c r="CT459" s="5"/>
      <c r="CU459" s="5"/>
      <c r="CV459" s="5"/>
      <c r="CW459" s="5"/>
      <c r="CX459" s="5"/>
      <c r="CY459" s="5"/>
      <c r="CZ459" s="5"/>
      <c r="DA459" s="5"/>
      <c r="DB459" s="5"/>
      <c r="DC459" s="5"/>
      <c r="DD459" s="5"/>
      <c r="DE459" s="5"/>
      <c r="DF459" s="5"/>
      <c r="DG459" s="5"/>
      <c r="DH459" s="5"/>
      <c r="DI459" s="5"/>
      <c r="DJ459" s="5"/>
      <c r="DK459" s="5"/>
      <c r="DL459" s="5"/>
      <c r="DM459" s="5"/>
      <c r="DN459" s="5"/>
      <c r="DO459" s="5"/>
      <c r="DP459" s="5"/>
      <c r="DQ459" s="5"/>
      <c r="DR459" s="5"/>
      <c r="DS459" s="5"/>
      <c r="DT459" s="5"/>
      <c r="DU459" s="5"/>
      <c r="DV459" s="5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5"/>
      <c r="CT460" s="5"/>
      <c r="CU460" s="5"/>
      <c r="CV460" s="5"/>
      <c r="CW460" s="5"/>
      <c r="CX460" s="5"/>
      <c r="CY460" s="5"/>
      <c r="CZ460" s="5"/>
      <c r="DA460" s="5"/>
      <c r="DB460" s="5"/>
      <c r="DC460" s="5"/>
      <c r="DD460" s="5"/>
      <c r="DE460" s="5"/>
      <c r="DF460" s="5"/>
      <c r="DG460" s="5"/>
      <c r="DH460" s="5"/>
      <c r="DI460" s="5"/>
      <c r="DJ460" s="5"/>
      <c r="DK460" s="5"/>
      <c r="DL460" s="5"/>
      <c r="DM460" s="5"/>
      <c r="DN460" s="5"/>
      <c r="DO460" s="5"/>
      <c r="DP460" s="5"/>
      <c r="DQ460" s="5"/>
      <c r="DR460" s="5"/>
      <c r="DS460" s="5"/>
      <c r="DT460" s="5"/>
      <c r="DU460" s="5"/>
      <c r="DV460" s="5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5"/>
      <c r="CT462" s="5"/>
      <c r="CU462" s="5"/>
      <c r="CV462" s="5"/>
      <c r="CW462" s="5"/>
      <c r="CX462" s="5"/>
      <c r="CY462" s="5"/>
      <c r="CZ462" s="5"/>
      <c r="DA462" s="5"/>
      <c r="DB462" s="5"/>
      <c r="DC462" s="5"/>
      <c r="DD462" s="5"/>
      <c r="DE462" s="5"/>
      <c r="DF462" s="5"/>
      <c r="DG462" s="5"/>
      <c r="DH462" s="5"/>
      <c r="DI462" s="5"/>
      <c r="DJ462" s="5"/>
      <c r="DK462" s="5"/>
      <c r="DL462" s="5"/>
      <c r="DM462" s="5"/>
      <c r="DN462" s="5"/>
      <c r="DO462" s="5"/>
      <c r="DP462" s="5"/>
      <c r="DQ462" s="5"/>
      <c r="DR462" s="5"/>
      <c r="DS462" s="5"/>
      <c r="DT462" s="5"/>
      <c r="DU462" s="5"/>
      <c r="DV462" s="5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5"/>
      <c r="CT463" s="5"/>
      <c r="CU463" s="5"/>
      <c r="CV463" s="5"/>
      <c r="CW463" s="5"/>
      <c r="CX463" s="5"/>
      <c r="CY463" s="5"/>
      <c r="CZ463" s="5"/>
      <c r="DA463" s="5"/>
      <c r="DB463" s="5"/>
      <c r="DC463" s="5"/>
      <c r="DD463" s="5"/>
      <c r="DE463" s="5"/>
      <c r="DF463" s="5"/>
      <c r="DG463" s="5"/>
      <c r="DH463" s="5"/>
      <c r="DI463" s="5"/>
      <c r="DJ463" s="5"/>
      <c r="DK463" s="5"/>
      <c r="DL463" s="5"/>
      <c r="DM463" s="5"/>
      <c r="DN463" s="5"/>
      <c r="DO463" s="5"/>
      <c r="DP463" s="5"/>
      <c r="DQ463" s="5"/>
      <c r="DR463" s="5"/>
      <c r="DS463" s="5"/>
      <c r="DT463" s="5"/>
      <c r="DU463" s="5"/>
      <c r="DV463" s="5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5"/>
      <c r="CT464" s="5"/>
      <c r="CU464" s="5"/>
      <c r="CV464" s="5"/>
      <c r="CW464" s="5"/>
      <c r="CX464" s="5"/>
      <c r="CY464" s="5"/>
      <c r="CZ464" s="5"/>
      <c r="DA464" s="5"/>
      <c r="DB464" s="5"/>
      <c r="DC464" s="5"/>
      <c r="DD464" s="5"/>
      <c r="DE464" s="5"/>
      <c r="DF464" s="5"/>
      <c r="DG464" s="5"/>
      <c r="DH464" s="5"/>
      <c r="DI464" s="5"/>
      <c r="DJ464" s="5"/>
      <c r="DK464" s="5"/>
      <c r="DL464" s="5"/>
      <c r="DM464" s="5"/>
      <c r="DN464" s="5"/>
      <c r="DO464" s="5"/>
      <c r="DP464" s="5"/>
      <c r="DQ464" s="5"/>
      <c r="DR464" s="5"/>
      <c r="DS464" s="5"/>
      <c r="DT464" s="5"/>
      <c r="DU464" s="5"/>
      <c r="DV464" s="5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5"/>
      <c r="CT465" s="5"/>
      <c r="CU465" s="5"/>
      <c r="CV465" s="5"/>
      <c r="CW465" s="5"/>
      <c r="CX465" s="5"/>
      <c r="CY465" s="5"/>
      <c r="CZ465" s="5"/>
      <c r="DA465" s="5"/>
      <c r="DB465" s="5"/>
      <c r="DC465" s="5"/>
      <c r="DD465" s="5"/>
      <c r="DE465" s="5"/>
      <c r="DF465" s="5"/>
      <c r="DG465" s="5"/>
      <c r="DH465" s="5"/>
      <c r="DI465" s="5"/>
      <c r="DJ465" s="5"/>
      <c r="DK465" s="5"/>
      <c r="DL465" s="5"/>
      <c r="DM465" s="5"/>
      <c r="DN465" s="5"/>
      <c r="DO465" s="5"/>
      <c r="DP465" s="5"/>
      <c r="DQ465" s="5"/>
      <c r="DR465" s="5"/>
      <c r="DS465" s="5"/>
      <c r="DT465" s="5"/>
      <c r="DU465" s="5"/>
      <c r="DV465" s="5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5"/>
      <c r="CT466" s="5"/>
      <c r="CU466" s="5"/>
      <c r="CV466" s="5"/>
      <c r="CW466" s="5"/>
      <c r="CX466" s="5"/>
      <c r="CY466" s="5"/>
      <c r="CZ466" s="5"/>
      <c r="DA466" s="5"/>
      <c r="DB466" s="5"/>
      <c r="DC466" s="5"/>
      <c r="DD466" s="5"/>
      <c r="DE466" s="5"/>
      <c r="DF466" s="5"/>
      <c r="DG466" s="5"/>
      <c r="DH466" s="5"/>
      <c r="DI466" s="5"/>
      <c r="DJ466" s="5"/>
      <c r="DK466" s="5"/>
      <c r="DL466" s="5"/>
      <c r="DM466" s="5"/>
      <c r="DN466" s="5"/>
      <c r="DO466" s="5"/>
      <c r="DP466" s="5"/>
      <c r="DQ466" s="5"/>
      <c r="DR466" s="5"/>
      <c r="DS466" s="5"/>
      <c r="DT466" s="5"/>
      <c r="DU466" s="5"/>
      <c r="DV466" s="5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5"/>
      <c r="CT467" s="5"/>
      <c r="CU467" s="5"/>
      <c r="CV467" s="5"/>
      <c r="CW467" s="5"/>
      <c r="CX467" s="5"/>
      <c r="CY467" s="5"/>
      <c r="CZ467" s="5"/>
      <c r="DA467" s="5"/>
      <c r="DB467" s="5"/>
      <c r="DC467" s="5"/>
      <c r="DD467" s="5"/>
      <c r="DE467" s="5"/>
      <c r="DF467" s="5"/>
      <c r="DG467" s="5"/>
      <c r="DH467" s="5"/>
      <c r="DI467" s="5"/>
      <c r="DJ467" s="5"/>
      <c r="DK467" s="5"/>
      <c r="DL467" s="5"/>
      <c r="DM467" s="5"/>
      <c r="DN467" s="5"/>
      <c r="DO467" s="5"/>
      <c r="DP467" s="5"/>
      <c r="DQ467" s="5"/>
      <c r="DR467" s="5"/>
      <c r="DS467" s="5"/>
      <c r="DT467" s="5"/>
      <c r="DU467" s="5"/>
      <c r="DV467" s="5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5"/>
      <c r="CT468" s="5"/>
      <c r="CU468" s="5"/>
      <c r="CV468" s="5"/>
      <c r="CW468" s="5"/>
      <c r="CX468" s="5"/>
      <c r="CY468" s="5"/>
      <c r="CZ468" s="5"/>
      <c r="DA468" s="5"/>
      <c r="DB468" s="5"/>
      <c r="DC468" s="5"/>
      <c r="DD468" s="5"/>
      <c r="DE468" s="5"/>
      <c r="DF468" s="5"/>
      <c r="DG468" s="5"/>
      <c r="DH468" s="5"/>
      <c r="DI468" s="5"/>
      <c r="DJ468" s="5"/>
      <c r="DK468" s="5"/>
      <c r="DL468" s="5"/>
      <c r="DM468" s="5"/>
      <c r="DN468" s="5"/>
      <c r="DO468" s="5"/>
      <c r="DP468" s="5"/>
      <c r="DQ468" s="5"/>
      <c r="DR468" s="5"/>
      <c r="DS468" s="5"/>
      <c r="DT468" s="5"/>
      <c r="DU468" s="5"/>
      <c r="DV468" s="5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5"/>
      <c r="CT470" s="5"/>
      <c r="CU470" s="5"/>
      <c r="CV470" s="5"/>
      <c r="CW470" s="5"/>
      <c r="CX470" s="5"/>
      <c r="CY470" s="5"/>
      <c r="CZ470" s="5"/>
      <c r="DA470" s="5"/>
      <c r="DB470" s="5"/>
      <c r="DC470" s="5"/>
      <c r="DD470" s="5"/>
      <c r="DE470" s="5"/>
      <c r="DF470" s="5"/>
      <c r="DG470" s="5"/>
      <c r="DH470" s="5"/>
      <c r="DI470" s="5"/>
      <c r="DJ470" s="5"/>
      <c r="DK470" s="5"/>
      <c r="DL470" s="5"/>
      <c r="DM470" s="5"/>
      <c r="DN470" s="5"/>
      <c r="DO470" s="5"/>
      <c r="DP470" s="5"/>
      <c r="DQ470" s="5"/>
      <c r="DR470" s="5"/>
      <c r="DS470" s="5"/>
      <c r="DT470" s="5"/>
      <c r="DU470" s="5"/>
      <c r="DV470" s="5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5"/>
      <c r="CT471" s="5"/>
      <c r="CU471" s="5"/>
      <c r="CV471" s="5"/>
      <c r="CW471" s="5"/>
      <c r="CX471" s="5"/>
      <c r="CY471" s="5"/>
      <c r="CZ471" s="5"/>
      <c r="DA471" s="5"/>
      <c r="DB471" s="5"/>
      <c r="DC471" s="5"/>
      <c r="DD471" s="5"/>
      <c r="DE471" s="5"/>
      <c r="DF471" s="5"/>
      <c r="DG471" s="5"/>
      <c r="DH471" s="5"/>
      <c r="DI471" s="5"/>
      <c r="DJ471" s="5"/>
      <c r="DK471" s="5"/>
      <c r="DL471" s="5"/>
      <c r="DM471" s="5"/>
      <c r="DN471" s="5"/>
      <c r="DO471" s="5"/>
      <c r="DP471" s="5"/>
      <c r="DQ471" s="5"/>
      <c r="DR471" s="5"/>
      <c r="DS471" s="5"/>
      <c r="DT471" s="5"/>
      <c r="DU471" s="5"/>
      <c r="DV471" s="5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5"/>
      <c r="CT472" s="5"/>
      <c r="CU472" s="5"/>
      <c r="CV472" s="5"/>
      <c r="CW472" s="5"/>
      <c r="CX472" s="5"/>
      <c r="CY472" s="5"/>
      <c r="CZ472" s="5"/>
      <c r="DA472" s="5"/>
      <c r="DB472" s="5"/>
      <c r="DC472" s="5"/>
      <c r="DD472" s="5"/>
      <c r="DE472" s="5"/>
      <c r="DF472" s="5"/>
      <c r="DG472" s="5"/>
      <c r="DH472" s="5"/>
      <c r="DI472" s="5"/>
      <c r="DJ472" s="5"/>
      <c r="DK472" s="5"/>
      <c r="DL472" s="5"/>
      <c r="DM472" s="5"/>
      <c r="DN472" s="5"/>
      <c r="DO472" s="5"/>
      <c r="DP472" s="5"/>
      <c r="DQ472" s="5"/>
      <c r="DR472" s="5"/>
      <c r="DS472" s="5"/>
      <c r="DT472" s="5"/>
      <c r="DU472" s="5"/>
      <c r="DV472" s="5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5"/>
      <c r="CT474" s="5"/>
      <c r="CU474" s="5"/>
      <c r="CV474" s="5"/>
      <c r="CW474" s="5"/>
      <c r="CX474" s="5"/>
      <c r="CY474" s="5"/>
      <c r="CZ474" s="5"/>
      <c r="DA474" s="5"/>
      <c r="DB474" s="5"/>
      <c r="DC474" s="5"/>
      <c r="DD474" s="5"/>
      <c r="DE474" s="5"/>
      <c r="DF474" s="5"/>
      <c r="DG474" s="5"/>
      <c r="DH474" s="5"/>
      <c r="DI474" s="5"/>
      <c r="DJ474" s="5"/>
      <c r="DK474" s="5"/>
      <c r="DL474" s="5"/>
      <c r="DM474" s="5"/>
      <c r="DN474" s="5"/>
      <c r="DO474" s="5"/>
      <c r="DP474" s="5"/>
      <c r="DQ474" s="5"/>
      <c r="DR474" s="5"/>
      <c r="DS474" s="5"/>
      <c r="DT474" s="5"/>
      <c r="DU474" s="5"/>
      <c r="DV474" s="5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5"/>
      <c r="CT475" s="5"/>
      <c r="CU475" s="5"/>
      <c r="CV475" s="5"/>
      <c r="CW475" s="5"/>
      <c r="CX475" s="5"/>
      <c r="CY475" s="5"/>
      <c r="CZ475" s="5"/>
      <c r="DA475" s="5"/>
      <c r="DB475" s="5"/>
      <c r="DC475" s="5"/>
      <c r="DD475" s="5"/>
      <c r="DE475" s="5"/>
      <c r="DF475" s="5"/>
      <c r="DG475" s="5"/>
      <c r="DH475" s="5"/>
      <c r="DI475" s="5"/>
      <c r="DJ475" s="5"/>
      <c r="DK475" s="5"/>
      <c r="DL475" s="5"/>
      <c r="DM475" s="5"/>
      <c r="DN475" s="5"/>
      <c r="DO475" s="5"/>
      <c r="DP475" s="5"/>
      <c r="DQ475" s="5"/>
      <c r="DR475" s="5"/>
      <c r="DS475" s="5"/>
      <c r="DT475" s="5"/>
      <c r="DU475" s="5"/>
      <c r="DV475" s="5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5"/>
      <c r="CT476" s="5"/>
      <c r="CU476" s="5"/>
      <c r="CV476" s="5"/>
      <c r="CW476" s="5"/>
      <c r="CX476" s="5"/>
      <c r="CY476" s="5"/>
      <c r="CZ476" s="5"/>
      <c r="DA476" s="5"/>
      <c r="DB476" s="5"/>
      <c r="DC476" s="5"/>
      <c r="DD476" s="5"/>
      <c r="DE476" s="5"/>
      <c r="DF476" s="5"/>
      <c r="DG476" s="5"/>
      <c r="DH476" s="5"/>
      <c r="DI476" s="5"/>
      <c r="DJ476" s="5"/>
      <c r="DK476" s="5"/>
      <c r="DL476" s="5"/>
      <c r="DM476" s="5"/>
      <c r="DN476" s="5"/>
      <c r="DO476" s="5"/>
      <c r="DP476" s="5"/>
      <c r="DQ476" s="5"/>
      <c r="DR476" s="5"/>
      <c r="DS476" s="5"/>
      <c r="DT476" s="5"/>
      <c r="DU476" s="5"/>
      <c r="DV476" s="5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5"/>
      <c r="CT477" s="5"/>
      <c r="CU477" s="5"/>
      <c r="CV477" s="5"/>
      <c r="CW477" s="5"/>
      <c r="CX477" s="5"/>
      <c r="CY477" s="5"/>
      <c r="CZ477" s="5"/>
      <c r="DA477" s="5"/>
      <c r="DB477" s="5"/>
      <c r="DC477" s="5"/>
      <c r="DD477" s="5"/>
      <c r="DE477" s="5"/>
      <c r="DF477" s="5"/>
      <c r="DG477" s="5"/>
      <c r="DH477" s="5"/>
      <c r="DI477" s="5"/>
      <c r="DJ477" s="5"/>
      <c r="DK477" s="5"/>
      <c r="DL477" s="5"/>
      <c r="DM477" s="5"/>
      <c r="DN477" s="5"/>
      <c r="DO477" s="5"/>
      <c r="DP477" s="5"/>
      <c r="DQ477" s="5"/>
      <c r="DR477" s="5"/>
      <c r="DS477" s="5"/>
      <c r="DT477" s="5"/>
      <c r="DU477" s="5"/>
      <c r="DV477" s="5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5"/>
      <c r="CT478" s="5"/>
      <c r="CU478" s="5"/>
      <c r="CV478" s="5"/>
      <c r="CW478" s="5"/>
      <c r="CX478" s="5"/>
      <c r="CY478" s="5"/>
      <c r="CZ478" s="5"/>
      <c r="DA478" s="5"/>
      <c r="DB478" s="5"/>
      <c r="DC478" s="5"/>
      <c r="DD478" s="5"/>
      <c r="DE478" s="5"/>
      <c r="DF478" s="5"/>
      <c r="DG478" s="5"/>
      <c r="DH478" s="5"/>
      <c r="DI478" s="5"/>
      <c r="DJ478" s="5"/>
      <c r="DK478" s="5"/>
      <c r="DL478" s="5"/>
      <c r="DM478" s="5"/>
      <c r="DN478" s="5"/>
      <c r="DO478" s="5"/>
      <c r="DP478" s="5"/>
      <c r="DQ478" s="5"/>
      <c r="DR478" s="5"/>
      <c r="DS478" s="5"/>
      <c r="DT478" s="5"/>
      <c r="DU478" s="5"/>
      <c r="DV478" s="5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5"/>
      <c r="CT479" s="5"/>
      <c r="CU479" s="5"/>
      <c r="CV479" s="5"/>
      <c r="CW479" s="5"/>
      <c r="CX479" s="5"/>
      <c r="CY479" s="5"/>
      <c r="CZ479" s="5"/>
      <c r="DA479" s="5"/>
      <c r="DB479" s="5"/>
      <c r="DC479" s="5"/>
      <c r="DD479" s="5"/>
      <c r="DE479" s="5"/>
      <c r="DF479" s="5"/>
      <c r="DG479" s="5"/>
      <c r="DH479" s="5"/>
      <c r="DI479" s="5"/>
      <c r="DJ479" s="5"/>
      <c r="DK479" s="5"/>
      <c r="DL479" s="5"/>
      <c r="DM479" s="5"/>
      <c r="DN479" s="5"/>
      <c r="DO479" s="5"/>
      <c r="DP479" s="5"/>
      <c r="DQ479" s="5"/>
      <c r="DR479" s="5"/>
      <c r="DS479" s="5"/>
      <c r="DT479" s="5"/>
      <c r="DU479" s="5"/>
      <c r="DV479" s="5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5"/>
      <c r="CT480" s="5"/>
      <c r="CU480" s="5"/>
      <c r="CV480" s="5"/>
      <c r="CW480" s="5"/>
      <c r="CX480" s="5"/>
      <c r="CY480" s="5"/>
      <c r="CZ480" s="5"/>
      <c r="DA480" s="5"/>
      <c r="DB480" s="5"/>
      <c r="DC480" s="5"/>
      <c r="DD480" s="5"/>
      <c r="DE480" s="5"/>
      <c r="DF480" s="5"/>
      <c r="DG480" s="5"/>
      <c r="DH480" s="5"/>
      <c r="DI480" s="5"/>
      <c r="DJ480" s="5"/>
      <c r="DK480" s="5"/>
      <c r="DL480" s="5"/>
      <c r="DM480" s="5"/>
      <c r="DN480" s="5"/>
      <c r="DO480" s="5"/>
      <c r="DP480" s="5"/>
      <c r="DQ480" s="5"/>
      <c r="DR480" s="5"/>
      <c r="DS480" s="5"/>
      <c r="DT480" s="5"/>
      <c r="DU480" s="5"/>
      <c r="DV480" s="5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5"/>
      <c r="CT481" s="5"/>
      <c r="CU481" s="5"/>
      <c r="CV481" s="5"/>
      <c r="CW481" s="5"/>
      <c r="CX481" s="5"/>
      <c r="CY481" s="5"/>
      <c r="CZ481" s="5"/>
      <c r="DA481" s="5"/>
      <c r="DB481" s="5"/>
      <c r="DC481" s="5"/>
      <c r="DD481" s="5"/>
      <c r="DE481" s="5"/>
      <c r="DF481" s="5"/>
      <c r="DG481" s="5"/>
      <c r="DH481" s="5"/>
      <c r="DI481" s="5"/>
      <c r="DJ481" s="5"/>
      <c r="DK481" s="5"/>
      <c r="DL481" s="5"/>
      <c r="DM481" s="5"/>
      <c r="DN481" s="5"/>
      <c r="DO481" s="5"/>
      <c r="DP481" s="5"/>
      <c r="DQ481" s="5"/>
      <c r="DR481" s="5"/>
      <c r="DS481" s="5"/>
      <c r="DT481" s="5"/>
      <c r="DU481" s="5"/>
      <c r="DV481" s="5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5"/>
      <c r="CT482" s="5"/>
      <c r="CU482" s="5"/>
      <c r="CV482" s="5"/>
      <c r="CW482" s="5"/>
      <c r="CX482" s="5"/>
      <c r="CY482" s="5"/>
      <c r="CZ482" s="5"/>
      <c r="DA482" s="5"/>
      <c r="DB482" s="5"/>
      <c r="DC482" s="5"/>
      <c r="DD482" s="5"/>
      <c r="DE482" s="5"/>
      <c r="DF482" s="5"/>
      <c r="DG482" s="5"/>
      <c r="DH482" s="5"/>
      <c r="DI482" s="5"/>
      <c r="DJ482" s="5"/>
      <c r="DK482" s="5"/>
      <c r="DL482" s="5"/>
      <c r="DM482" s="5"/>
      <c r="DN482" s="5"/>
      <c r="DO482" s="5"/>
      <c r="DP482" s="5"/>
      <c r="DQ482" s="5"/>
      <c r="DR482" s="5"/>
      <c r="DS482" s="5"/>
      <c r="DT482" s="5"/>
      <c r="DU482" s="5"/>
      <c r="DV482" s="5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5"/>
      <c r="CT483" s="5"/>
      <c r="CU483" s="5"/>
      <c r="CV483" s="5"/>
      <c r="CW483" s="5"/>
      <c r="CX483" s="5"/>
      <c r="CY483" s="5"/>
      <c r="CZ483" s="5"/>
      <c r="DA483" s="5"/>
      <c r="DB483" s="5"/>
      <c r="DC483" s="5"/>
      <c r="DD483" s="5"/>
      <c r="DE483" s="5"/>
      <c r="DF483" s="5"/>
      <c r="DG483" s="5"/>
      <c r="DH483" s="5"/>
      <c r="DI483" s="5"/>
      <c r="DJ483" s="5"/>
      <c r="DK483" s="5"/>
      <c r="DL483" s="5"/>
      <c r="DM483" s="5"/>
      <c r="DN483" s="5"/>
      <c r="DO483" s="5"/>
      <c r="DP483" s="5"/>
      <c r="DQ483" s="5"/>
      <c r="DR483" s="5"/>
      <c r="DS483" s="5"/>
      <c r="DT483" s="5"/>
      <c r="DU483" s="5"/>
      <c r="DV483" s="5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5"/>
      <c r="CT484" s="5"/>
      <c r="CU484" s="5"/>
      <c r="CV484" s="5"/>
      <c r="CW484" s="5"/>
      <c r="CX484" s="5"/>
      <c r="CY484" s="5"/>
      <c r="CZ484" s="5"/>
      <c r="DA484" s="5"/>
      <c r="DB484" s="5"/>
      <c r="DC484" s="5"/>
      <c r="DD484" s="5"/>
      <c r="DE484" s="5"/>
      <c r="DF484" s="5"/>
      <c r="DG484" s="5"/>
      <c r="DH484" s="5"/>
      <c r="DI484" s="5"/>
      <c r="DJ484" s="5"/>
      <c r="DK484" s="5"/>
      <c r="DL484" s="5"/>
      <c r="DM484" s="5"/>
      <c r="DN484" s="5"/>
      <c r="DO484" s="5"/>
      <c r="DP484" s="5"/>
      <c r="DQ484" s="5"/>
      <c r="DR484" s="5"/>
      <c r="DS484" s="5"/>
      <c r="DT484" s="5"/>
      <c r="DU484" s="5"/>
      <c r="DV484" s="5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5"/>
      <c r="CT485" s="5"/>
      <c r="CU485" s="5"/>
      <c r="CV485" s="5"/>
      <c r="CW485" s="5"/>
      <c r="CX485" s="5"/>
      <c r="CY485" s="5"/>
      <c r="CZ485" s="5"/>
      <c r="DA485" s="5"/>
      <c r="DB485" s="5"/>
      <c r="DC485" s="5"/>
      <c r="DD485" s="5"/>
      <c r="DE485" s="5"/>
      <c r="DF485" s="5"/>
      <c r="DG485" s="5"/>
      <c r="DH485" s="5"/>
      <c r="DI485" s="5"/>
      <c r="DJ485" s="5"/>
      <c r="DK485" s="5"/>
      <c r="DL485" s="5"/>
      <c r="DM485" s="5"/>
      <c r="DN485" s="5"/>
      <c r="DO485" s="5"/>
      <c r="DP485" s="5"/>
      <c r="DQ485" s="5"/>
      <c r="DR485" s="5"/>
      <c r="DS485" s="5"/>
      <c r="DT485" s="5"/>
      <c r="DU485" s="5"/>
      <c r="DV485" s="5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5"/>
      <c r="CT486" s="5"/>
      <c r="CU486" s="5"/>
      <c r="CV486" s="5"/>
      <c r="CW486" s="5"/>
      <c r="CX486" s="5"/>
      <c r="CY486" s="5"/>
      <c r="CZ486" s="5"/>
      <c r="DA486" s="5"/>
      <c r="DB486" s="5"/>
      <c r="DC486" s="5"/>
      <c r="DD486" s="5"/>
      <c r="DE486" s="5"/>
      <c r="DF486" s="5"/>
      <c r="DG486" s="5"/>
      <c r="DH486" s="5"/>
      <c r="DI486" s="5"/>
      <c r="DJ486" s="5"/>
      <c r="DK486" s="5"/>
      <c r="DL486" s="5"/>
      <c r="DM486" s="5"/>
      <c r="DN486" s="5"/>
      <c r="DO486" s="5"/>
      <c r="DP486" s="5"/>
      <c r="DQ486" s="5"/>
      <c r="DR486" s="5"/>
      <c r="DS486" s="5"/>
      <c r="DT486" s="5"/>
      <c r="DU486" s="5"/>
      <c r="DV486" s="5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5"/>
      <c r="CT487" s="5"/>
      <c r="CU487" s="5"/>
      <c r="CV487" s="5"/>
      <c r="CW487" s="5"/>
      <c r="CX487" s="5"/>
      <c r="CY487" s="5"/>
      <c r="CZ487" s="5"/>
      <c r="DA487" s="5"/>
      <c r="DB487" s="5"/>
      <c r="DC487" s="5"/>
      <c r="DD487" s="5"/>
      <c r="DE487" s="5"/>
      <c r="DF487" s="5"/>
      <c r="DG487" s="5"/>
      <c r="DH487" s="5"/>
      <c r="DI487" s="5"/>
      <c r="DJ487" s="5"/>
      <c r="DK487" s="5"/>
      <c r="DL487" s="5"/>
      <c r="DM487" s="5"/>
      <c r="DN487" s="5"/>
      <c r="DO487" s="5"/>
      <c r="DP487" s="5"/>
      <c r="DQ487" s="5"/>
      <c r="DR487" s="5"/>
      <c r="DS487" s="5"/>
      <c r="DT487" s="5"/>
      <c r="DU487" s="5"/>
      <c r="DV487" s="5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5"/>
      <c r="CT488" s="5"/>
      <c r="CU488" s="5"/>
      <c r="CV488" s="5"/>
      <c r="CW488" s="5"/>
      <c r="CX488" s="5"/>
      <c r="CY488" s="5"/>
      <c r="CZ488" s="5"/>
      <c r="DA488" s="5"/>
      <c r="DB488" s="5"/>
      <c r="DC488" s="5"/>
      <c r="DD488" s="5"/>
      <c r="DE488" s="5"/>
      <c r="DF488" s="5"/>
      <c r="DG488" s="5"/>
      <c r="DH488" s="5"/>
      <c r="DI488" s="5"/>
      <c r="DJ488" s="5"/>
      <c r="DK488" s="5"/>
      <c r="DL488" s="5"/>
      <c r="DM488" s="5"/>
      <c r="DN488" s="5"/>
      <c r="DO488" s="5"/>
      <c r="DP488" s="5"/>
      <c r="DQ488" s="5"/>
      <c r="DR488" s="5"/>
      <c r="DS488" s="5"/>
      <c r="DT488" s="5"/>
      <c r="DU488" s="5"/>
      <c r="DV488" s="5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5"/>
      <c r="CT489" s="5"/>
      <c r="CU489" s="5"/>
      <c r="CV489" s="5"/>
      <c r="CW489" s="5"/>
      <c r="CX489" s="5"/>
      <c r="CY489" s="5"/>
      <c r="CZ489" s="5"/>
      <c r="DA489" s="5"/>
      <c r="DB489" s="5"/>
      <c r="DC489" s="5"/>
      <c r="DD489" s="5"/>
      <c r="DE489" s="5"/>
      <c r="DF489" s="5"/>
      <c r="DG489" s="5"/>
      <c r="DH489" s="5"/>
      <c r="DI489" s="5"/>
      <c r="DJ489" s="5"/>
      <c r="DK489" s="5"/>
      <c r="DL489" s="5"/>
      <c r="DM489" s="5"/>
      <c r="DN489" s="5"/>
      <c r="DO489" s="5"/>
      <c r="DP489" s="5"/>
      <c r="DQ489" s="5"/>
      <c r="DR489" s="5"/>
      <c r="DS489" s="5"/>
      <c r="DT489" s="5"/>
      <c r="DU489" s="5"/>
      <c r="DV489" s="5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5"/>
      <c r="CT490" s="5"/>
      <c r="CU490" s="5"/>
      <c r="CV490" s="5"/>
      <c r="CW490" s="5"/>
      <c r="CX490" s="5"/>
      <c r="CY490" s="5"/>
      <c r="CZ490" s="5"/>
      <c r="DA490" s="5"/>
      <c r="DB490" s="5"/>
      <c r="DC490" s="5"/>
      <c r="DD490" s="5"/>
      <c r="DE490" s="5"/>
      <c r="DF490" s="5"/>
      <c r="DG490" s="5"/>
      <c r="DH490" s="5"/>
      <c r="DI490" s="5"/>
      <c r="DJ490" s="5"/>
      <c r="DK490" s="5"/>
      <c r="DL490" s="5"/>
      <c r="DM490" s="5"/>
      <c r="DN490" s="5"/>
      <c r="DO490" s="5"/>
      <c r="DP490" s="5"/>
      <c r="DQ490" s="5"/>
      <c r="DR490" s="5"/>
      <c r="DS490" s="5"/>
      <c r="DT490" s="5"/>
      <c r="DU490" s="5"/>
      <c r="DV490" s="5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5"/>
      <c r="CT491" s="5"/>
      <c r="CU491" s="5"/>
      <c r="CV491" s="5"/>
      <c r="CW491" s="5"/>
      <c r="CX491" s="5"/>
      <c r="CY491" s="5"/>
      <c r="CZ491" s="5"/>
      <c r="DA491" s="5"/>
      <c r="DB491" s="5"/>
      <c r="DC491" s="5"/>
      <c r="DD491" s="5"/>
      <c r="DE491" s="5"/>
      <c r="DF491" s="5"/>
      <c r="DG491" s="5"/>
      <c r="DH491" s="5"/>
      <c r="DI491" s="5"/>
      <c r="DJ491" s="5"/>
      <c r="DK491" s="5"/>
      <c r="DL491" s="5"/>
      <c r="DM491" s="5"/>
      <c r="DN491" s="5"/>
      <c r="DO491" s="5"/>
      <c r="DP491" s="5"/>
      <c r="DQ491" s="5"/>
      <c r="DR491" s="5"/>
      <c r="DS491" s="5"/>
      <c r="DT491" s="5"/>
      <c r="DU491" s="5"/>
      <c r="DV491" s="5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5"/>
      <c r="CT492" s="5"/>
      <c r="CU492" s="5"/>
      <c r="CV492" s="5"/>
      <c r="CW492" s="5"/>
      <c r="CX492" s="5"/>
      <c r="CY492" s="5"/>
      <c r="CZ492" s="5"/>
      <c r="DA492" s="5"/>
      <c r="DB492" s="5"/>
      <c r="DC492" s="5"/>
      <c r="DD492" s="5"/>
      <c r="DE492" s="5"/>
      <c r="DF492" s="5"/>
      <c r="DG492" s="5"/>
      <c r="DH492" s="5"/>
      <c r="DI492" s="5"/>
      <c r="DJ492" s="5"/>
      <c r="DK492" s="5"/>
      <c r="DL492" s="5"/>
      <c r="DM492" s="5"/>
      <c r="DN492" s="5"/>
      <c r="DO492" s="5"/>
      <c r="DP492" s="5"/>
      <c r="DQ492" s="5"/>
      <c r="DR492" s="5"/>
      <c r="DS492" s="5"/>
      <c r="DT492" s="5"/>
      <c r="DU492" s="5"/>
      <c r="DV492" s="5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5"/>
      <c r="CT493" s="5"/>
      <c r="CU493" s="5"/>
      <c r="CV493" s="5"/>
      <c r="CW493" s="5"/>
      <c r="CX493" s="5"/>
      <c r="CY493" s="5"/>
      <c r="CZ493" s="5"/>
      <c r="DA493" s="5"/>
      <c r="DB493" s="5"/>
      <c r="DC493" s="5"/>
      <c r="DD493" s="5"/>
      <c r="DE493" s="5"/>
      <c r="DF493" s="5"/>
      <c r="DG493" s="5"/>
      <c r="DH493" s="5"/>
      <c r="DI493" s="5"/>
      <c r="DJ493" s="5"/>
      <c r="DK493" s="5"/>
      <c r="DL493" s="5"/>
      <c r="DM493" s="5"/>
      <c r="DN493" s="5"/>
      <c r="DO493" s="5"/>
      <c r="DP493" s="5"/>
      <c r="DQ493" s="5"/>
      <c r="DR493" s="5"/>
      <c r="DS493" s="5"/>
      <c r="DT493" s="5"/>
      <c r="DU493" s="5"/>
      <c r="DV493" s="5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5"/>
      <c r="CT494" s="5"/>
      <c r="CU494" s="5"/>
      <c r="CV494" s="5"/>
      <c r="CW494" s="5"/>
      <c r="CX494" s="5"/>
      <c r="CY494" s="5"/>
      <c r="CZ494" s="5"/>
      <c r="DA494" s="5"/>
      <c r="DB494" s="5"/>
      <c r="DC494" s="5"/>
      <c r="DD494" s="5"/>
      <c r="DE494" s="5"/>
      <c r="DF494" s="5"/>
      <c r="DG494" s="5"/>
      <c r="DH494" s="5"/>
      <c r="DI494" s="5"/>
      <c r="DJ494" s="5"/>
      <c r="DK494" s="5"/>
      <c r="DL494" s="5"/>
      <c r="DM494" s="5"/>
      <c r="DN494" s="5"/>
      <c r="DO494" s="5"/>
      <c r="DP494" s="5"/>
      <c r="DQ494" s="5"/>
      <c r="DR494" s="5"/>
      <c r="DS494" s="5"/>
      <c r="DT494" s="5"/>
      <c r="DU494" s="5"/>
      <c r="DV494" s="5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5"/>
      <c r="CT495" s="5"/>
      <c r="CU495" s="5"/>
      <c r="CV495" s="5"/>
      <c r="CW495" s="5"/>
      <c r="CX495" s="5"/>
      <c r="CY495" s="5"/>
      <c r="CZ495" s="5"/>
      <c r="DA495" s="5"/>
      <c r="DB495" s="5"/>
      <c r="DC495" s="5"/>
      <c r="DD495" s="5"/>
      <c r="DE495" s="5"/>
      <c r="DF495" s="5"/>
      <c r="DG495" s="5"/>
      <c r="DH495" s="5"/>
      <c r="DI495" s="5"/>
      <c r="DJ495" s="5"/>
      <c r="DK495" s="5"/>
      <c r="DL495" s="5"/>
      <c r="DM495" s="5"/>
      <c r="DN495" s="5"/>
      <c r="DO495" s="5"/>
      <c r="DP495" s="5"/>
      <c r="DQ495" s="5"/>
      <c r="DR495" s="5"/>
      <c r="DS495" s="5"/>
      <c r="DT495" s="5"/>
      <c r="DU495" s="5"/>
      <c r="DV495" s="5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5"/>
      <c r="CT496" s="5"/>
      <c r="CU496" s="5"/>
      <c r="CV496" s="5"/>
      <c r="CW496" s="5"/>
      <c r="CX496" s="5"/>
      <c r="CY496" s="5"/>
      <c r="CZ496" s="5"/>
      <c r="DA496" s="5"/>
      <c r="DB496" s="5"/>
      <c r="DC496" s="5"/>
      <c r="DD496" s="5"/>
      <c r="DE496" s="5"/>
      <c r="DF496" s="5"/>
      <c r="DG496" s="5"/>
      <c r="DH496" s="5"/>
      <c r="DI496" s="5"/>
      <c r="DJ496" s="5"/>
      <c r="DK496" s="5"/>
      <c r="DL496" s="5"/>
      <c r="DM496" s="5"/>
      <c r="DN496" s="5"/>
      <c r="DO496" s="5"/>
      <c r="DP496" s="5"/>
      <c r="DQ496" s="5"/>
      <c r="DR496" s="5"/>
      <c r="DS496" s="5"/>
      <c r="DT496" s="5"/>
      <c r="DU496" s="5"/>
      <c r="DV496" s="5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5"/>
      <c r="CT497" s="5"/>
      <c r="CU497" s="5"/>
      <c r="CV497" s="5"/>
      <c r="CW497" s="5"/>
      <c r="CX497" s="5"/>
      <c r="CY497" s="5"/>
      <c r="CZ497" s="5"/>
      <c r="DA497" s="5"/>
      <c r="DB497" s="5"/>
      <c r="DC497" s="5"/>
      <c r="DD497" s="5"/>
      <c r="DE497" s="5"/>
      <c r="DF497" s="5"/>
      <c r="DG497" s="5"/>
      <c r="DH497" s="5"/>
      <c r="DI497" s="5"/>
      <c r="DJ497" s="5"/>
      <c r="DK497" s="5"/>
      <c r="DL497" s="5"/>
      <c r="DM497" s="5"/>
      <c r="DN497" s="5"/>
      <c r="DO497" s="5"/>
      <c r="DP497" s="5"/>
      <c r="DQ497" s="5"/>
      <c r="DR497" s="5"/>
      <c r="DS497" s="5"/>
      <c r="DT497" s="5"/>
      <c r="DU497" s="5"/>
      <c r="DV497" s="5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5"/>
      <c r="CT498" s="5"/>
      <c r="CU498" s="5"/>
      <c r="CV498" s="5"/>
      <c r="CW498" s="5"/>
      <c r="CX498" s="5"/>
      <c r="CY498" s="5"/>
      <c r="CZ498" s="5"/>
      <c r="DA498" s="5"/>
      <c r="DB498" s="5"/>
      <c r="DC498" s="5"/>
      <c r="DD498" s="5"/>
      <c r="DE498" s="5"/>
      <c r="DF498" s="5"/>
      <c r="DG498" s="5"/>
      <c r="DH498" s="5"/>
      <c r="DI498" s="5"/>
      <c r="DJ498" s="5"/>
      <c r="DK498" s="5"/>
      <c r="DL498" s="5"/>
      <c r="DM498" s="5"/>
      <c r="DN498" s="5"/>
      <c r="DO498" s="5"/>
      <c r="DP498" s="5"/>
      <c r="DQ498" s="5"/>
      <c r="DR498" s="5"/>
      <c r="DS498" s="5"/>
      <c r="DT498" s="5"/>
      <c r="DU498" s="5"/>
      <c r="DV498" s="5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5"/>
      <c r="CT499" s="5"/>
      <c r="CU499" s="5"/>
      <c r="CV499" s="5"/>
      <c r="CW499" s="5"/>
      <c r="CX499" s="5"/>
      <c r="CY499" s="5"/>
      <c r="CZ499" s="5"/>
      <c r="DA499" s="5"/>
      <c r="DB499" s="5"/>
      <c r="DC499" s="5"/>
      <c r="DD499" s="5"/>
      <c r="DE499" s="5"/>
      <c r="DF499" s="5"/>
      <c r="DG499" s="5"/>
      <c r="DH499" s="5"/>
      <c r="DI499" s="5"/>
      <c r="DJ499" s="5"/>
      <c r="DK499" s="5"/>
      <c r="DL499" s="5"/>
      <c r="DM499" s="5"/>
      <c r="DN499" s="5"/>
      <c r="DO499" s="5"/>
      <c r="DP499" s="5"/>
      <c r="DQ499" s="5"/>
      <c r="DR499" s="5"/>
      <c r="DS499" s="5"/>
      <c r="DT499" s="5"/>
      <c r="DU499" s="5"/>
      <c r="DV499" s="5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5"/>
      <c r="CT500" s="5"/>
      <c r="CU500" s="5"/>
      <c r="CV500" s="5"/>
      <c r="CW500" s="5"/>
      <c r="CX500" s="5"/>
      <c r="CY500" s="5"/>
      <c r="CZ500" s="5"/>
      <c r="DA500" s="5"/>
      <c r="DB500" s="5"/>
      <c r="DC500" s="5"/>
      <c r="DD500" s="5"/>
      <c r="DE500" s="5"/>
      <c r="DF500" s="5"/>
      <c r="DG500" s="5"/>
      <c r="DH500" s="5"/>
      <c r="DI500" s="5"/>
      <c r="DJ500" s="5"/>
      <c r="DK500" s="5"/>
      <c r="DL500" s="5"/>
      <c r="DM500" s="5"/>
      <c r="DN500" s="5"/>
      <c r="DO500" s="5"/>
      <c r="DP500" s="5"/>
      <c r="DQ500" s="5"/>
      <c r="DR500" s="5"/>
      <c r="DS500" s="5"/>
      <c r="DT500" s="5"/>
      <c r="DU500" s="5"/>
      <c r="DV500" s="5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5"/>
      <c r="CT501" s="5"/>
      <c r="CU501" s="5"/>
      <c r="CV501" s="5"/>
      <c r="CW501" s="5"/>
      <c r="CX501" s="5"/>
      <c r="CY501" s="5"/>
      <c r="CZ501" s="5"/>
      <c r="DA501" s="5"/>
      <c r="DB501" s="5"/>
      <c r="DC501" s="5"/>
      <c r="DD501" s="5"/>
      <c r="DE501" s="5"/>
      <c r="DF501" s="5"/>
      <c r="DG501" s="5"/>
      <c r="DH501" s="5"/>
      <c r="DI501" s="5"/>
      <c r="DJ501" s="5"/>
      <c r="DK501" s="5"/>
      <c r="DL501" s="5"/>
      <c r="DM501" s="5"/>
      <c r="DN501" s="5"/>
      <c r="DO501" s="5"/>
      <c r="DP501" s="5"/>
      <c r="DQ501" s="5"/>
      <c r="DR501" s="5"/>
      <c r="DS501" s="5"/>
      <c r="DT501" s="5"/>
      <c r="DU501" s="5"/>
      <c r="DV501" s="5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5"/>
      <c r="CT502" s="5"/>
      <c r="CU502" s="5"/>
      <c r="CV502" s="5"/>
      <c r="CW502" s="5"/>
      <c r="CX502" s="5"/>
      <c r="CY502" s="5"/>
      <c r="CZ502" s="5"/>
      <c r="DA502" s="5"/>
      <c r="DB502" s="5"/>
      <c r="DC502" s="5"/>
      <c r="DD502" s="5"/>
      <c r="DE502" s="5"/>
      <c r="DF502" s="5"/>
      <c r="DG502" s="5"/>
      <c r="DH502" s="5"/>
      <c r="DI502" s="5"/>
      <c r="DJ502" s="5"/>
      <c r="DK502" s="5"/>
      <c r="DL502" s="5"/>
      <c r="DM502" s="5"/>
      <c r="DN502" s="5"/>
      <c r="DO502" s="5"/>
      <c r="DP502" s="5"/>
      <c r="DQ502" s="5"/>
      <c r="DR502" s="5"/>
      <c r="DS502" s="5"/>
      <c r="DT502" s="5"/>
      <c r="DU502" s="5"/>
      <c r="DV502" s="5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5"/>
      <c r="CT503" s="5"/>
      <c r="CU503" s="5"/>
      <c r="CV503" s="5"/>
      <c r="CW503" s="5"/>
      <c r="CX503" s="5"/>
      <c r="CY503" s="5"/>
      <c r="CZ503" s="5"/>
      <c r="DA503" s="5"/>
      <c r="DB503" s="5"/>
      <c r="DC503" s="5"/>
      <c r="DD503" s="5"/>
      <c r="DE503" s="5"/>
      <c r="DF503" s="5"/>
      <c r="DG503" s="5"/>
      <c r="DH503" s="5"/>
      <c r="DI503" s="5"/>
      <c r="DJ503" s="5"/>
      <c r="DK503" s="5"/>
      <c r="DL503" s="5"/>
      <c r="DM503" s="5"/>
      <c r="DN503" s="5"/>
      <c r="DO503" s="5"/>
      <c r="DP503" s="5"/>
      <c r="DQ503" s="5"/>
      <c r="DR503" s="5"/>
      <c r="DS503" s="5"/>
      <c r="DT503" s="5"/>
      <c r="DU503" s="5"/>
      <c r="DV503" s="5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5"/>
      <c r="CT504" s="5"/>
      <c r="CU504" s="5"/>
      <c r="CV504" s="5"/>
      <c r="CW504" s="5"/>
      <c r="CX504" s="5"/>
      <c r="CY504" s="5"/>
      <c r="CZ504" s="5"/>
      <c r="DA504" s="5"/>
      <c r="DB504" s="5"/>
      <c r="DC504" s="5"/>
      <c r="DD504" s="5"/>
      <c r="DE504" s="5"/>
      <c r="DF504" s="5"/>
      <c r="DG504" s="5"/>
      <c r="DH504" s="5"/>
      <c r="DI504" s="5"/>
      <c r="DJ504" s="5"/>
      <c r="DK504" s="5"/>
      <c r="DL504" s="5"/>
      <c r="DM504" s="5"/>
      <c r="DN504" s="5"/>
      <c r="DO504" s="5"/>
      <c r="DP504" s="5"/>
      <c r="DQ504" s="5"/>
      <c r="DR504" s="5"/>
      <c r="DS504" s="5"/>
      <c r="DT504" s="5"/>
      <c r="DU504" s="5"/>
      <c r="DV504" s="5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5"/>
      <c r="CT505" s="5"/>
      <c r="CU505" s="5"/>
      <c r="CV505" s="5"/>
      <c r="CW505" s="5"/>
      <c r="CX505" s="5"/>
      <c r="CY505" s="5"/>
      <c r="CZ505" s="5"/>
      <c r="DA505" s="5"/>
      <c r="DB505" s="5"/>
      <c r="DC505" s="5"/>
      <c r="DD505" s="5"/>
      <c r="DE505" s="5"/>
      <c r="DF505" s="5"/>
      <c r="DG505" s="5"/>
      <c r="DH505" s="5"/>
      <c r="DI505" s="5"/>
      <c r="DJ505" s="5"/>
      <c r="DK505" s="5"/>
      <c r="DL505" s="5"/>
      <c r="DM505" s="5"/>
      <c r="DN505" s="5"/>
      <c r="DO505" s="5"/>
      <c r="DP505" s="5"/>
      <c r="DQ505" s="5"/>
      <c r="DR505" s="5"/>
      <c r="DS505" s="5"/>
      <c r="DT505" s="5"/>
      <c r="DU505" s="5"/>
      <c r="DV505" s="5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5"/>
      <c r="CT506" s="5"/>
      <c r="CU506" s="5"/>
      <c r="CV506" s="5"/>
      <c r="CW506" s="5"/>
      <c r="CX506" s="5"/>
      <c r="CY506" s="5"/>
      <c r="CZ506" s="5"/>
      <c r="DA506" s="5"/>
      <c r="DB506" s="5"/>
      <c r="DC506" s="5"/>
      <c r="DD506" s="5"/>
      <c r="DE506" s="5"/>
      <c r="DF506" s="5"/>
      <c r="DG506" s="5"/>
      <c r="DH506" s="5"/>
      <c r="DI506" s="5"/>
      <c r="DJ506" s="5"/>
      <c r="DK506" s="5"/>
      <c r="DL506" s="5"/>
      <c r="DM506" s="5"/>
      <c r="DN506" s="5"/>
      <c r="DO506" s="5"/>
      <c r="DP506" s="5"/>
      <c r="DQ506" s="5"/>
      <c r="DR506" s="5"/>
      <c r="DS506" s="5"/>
      <c r="DT506" s="5"/>
      <c r="DU506" s="5"/>
      <c r="DV506" s="5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5"/>
      <c r="CT507" s="5"/>
      <c r="CU507" s="5"/>
      <c r="CV507" s="5"/>
      <c r="CW507" s="5"/>
      <c r="CX507" s="5"/>
      <c r="CY507" s="5"/>
      <c r="CZ507" s="5"/>
      <c r="DA507" s="5"/>
      <c r="DB507" s="5"/>
      <c r="DC507" s="5"/>
      <c r="DD507" s="5"/>
      <c r="DE507" s="5"/>
      <c r="DF507" s="5"/>
      <c r="DG507" s="5"/>
      <c r="DH507" s="5"/>
      <c r="DI507" s="5"/>
      <c r="DJ507" s="5"/>
      <c r="DK507" s="5"/>
      <c r="DL507" s="5"/>
      <c r="DM507" s="5"/>
      <c r="DN507" s="5"/>
      <c r="DO507" s="5"/>
      <c r="DP507" s="5"/>
      <c r="DQ507" s="5"/>
      <c r="DR507" s="5"/>
      <c r="DS507" s="5"/>
      <c r="DT507" s="5"/>
      <c r="DU507" s="5"/>
      <c r="DV507" s="5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5"/>
      <c r="CT508" s="5"/>
      <c r="CU508" s="5"/>
      <c r="CV508" s="5"/>
      <c r="CW508" s="5"/>
      <c r="CX508" s="5"/>
      <c r="CY508" s="5"/>
      <c r="CZ508" s="5"/>
      <c r="DA508" s="5"/>
      <c r="DB508" s="5"/>
      <c r="DC508" s="5"/>
      <c r="DD508" s="5"/>
      <c r="DE508" s="5"/>
      <c r="DF508" s="5"/>
      <c r="DG508" s="5"/>
      <c r="DH508" s="5"/>
      <c r="DI508" s="5"/>
      <c r="DJ508" s="5"/>
      <c r="DK508" s="5"/>
      <c r="DL508" s="5"/>
      <c r="DM508" s="5"/>
      <c r="DN508" s="5"/>
      <c r="DO508" s="5"/>
      <c r="DP508" s="5"/>
      <c r="DQ508" s="5"/>
      <c r="DR508" s="5"/>
      <c r="DS508" s="5"/>
      <c r="DT508" s="5"/>
      <c r="DU508" s="5"/>
      <c r="DV508" s="5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5"/>
      <c r="CT509" s="5"/>
      <c r="CU509" s="5"/>
      <c r="CV509" s="5"/>
      <c r="CW509" s="5"/>
      <c r="CX509" s="5"/>
      <c r="CY509" s="5"/>
      <c r="CZ509" s="5"/>
      <c r="DA509" s="5"/>
      <c r="DB509" s="5"/>
      <c r="DC509" s="5"/>
      <c r="DD509" s="5"/>
      <c r="DE509" s="5"/>
      <c r="DF509" s="5"/>
      <c r="DG509" s="5"/>
      <c r="DH509" s="5"/>
      <c r="DI509" s="5"/>
      <c r="DJ509" s="5"/>
      <c r="DK509" s="5"/>
      <c r="DL509" s="5"/>
      <c r="DM509" s="5"/>
      <c r="DN509" s="5"/>
      <c r="DO509" s="5"/>
      <c r="DP509" s="5"/>
      <c r="DQ509" s="5"/>
      <c r="DR509" s="5"/>
      <c r="DS509" s="5"/>
      <c r="DT509" s="5"/>
      <c r="DU509" s="5"/>
      <c r="DV509" s="5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5"/>
      <c r="CT510" s="5"/>
      <c r="CU510" s="5"/>
      <c r="CV510" s="5"/>
      <c r="CW510" s="5"/>
      <c r="CX510" s="5"/>
      <c r="CY510" s="5"/>
      <c r="CZ510" s="5"/>
      <c r="DA510" s="5"/>
      <c r="DB510" s="5"/>
      <c r="DC510" s="5"/>
      <c r="DD510" s="5"/>
      <c r="DE510" s="5"/>
      <c r="DF510" s="5"/>
      <c r="DG510" s="5"/>
      <c r="DH510" s="5"/>
      <c r="DI510" s="5"/>
      <c r="DJ510" s="5"/>
      <c r="DK510" s="5"/>
      <c r="DL510" s="5"/>
      <c r="DM510" s="5"/>
      <c r="DN510" s="5"/>
      <c r="DO510" s="5"/>
      <c r="DP510" s="5"/>
      <c r="DQ510" s="5"/>
      <c r="DR510" s="5"/>
      <c r="DS510" s="5"/>
      <c r="DT510" s="5"/>
      <c r="DU510" s="5"/>
      <c r="DV510" s="5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5"/>
      <c r="CT511" s="5"/>
      <c r="CU511" s="5"/>
      <c r="CV511" s="5"/>
      <c r="CW511" s="5"/>
      <c r="CX511" s="5"/>
      <c r="CY511" s="5"/>
      <c r="CZ511" s="5"/>
      <c r="DA511" s="5"/>
      <c r="DB511" s="5"/>
      <c r="DC511" s="5"/>
      <c r="DD511" s="5"/>
      <c r="DE511" s="5"/>
      <c r="DF511" s="5"/>
      <c r="DG511" s="5"/>
      <c r="DH511" s="5"/>
      <c r="DI511" s="5"/>
      <c r="DJ511" s="5"/>
      <c r="DK511" s="5"/>
      <c r="DL511" s="5"/>
      <c r="DM511" s="5"/>
      <c r="DN511" s="5"/>
      <c r="DO511" s="5"/>
      <c r="DP511" s="5"/>
      <c r="DQ511" s="5"/>
      <c r="DR511" s="5"/>
      <c r="DS511" s="5"/>
      <c r="DT511" s="5"/>
      <c r="DU511" s="5"/>
      <c r="DV511" s="5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5"/>
      <c r="CT512" s="5"/>
      <c r="CU512" s="5"/>
      <c r="CV512" s="5"/>
      <c r="CW512" s="5"/>
      <c r="CX512" s="5"/>
      <c r="CY512" s="5"/>
      <c r="CZ512" s="5"/>
      <c r="DA512" s="5"/>
      <c r="DB512" s="5"/>
      <c r="DC512" s="5"/>
      <c r="DD512" s="5"/>
      <c r="DE512" s="5"/>
      <c r="DF512" s="5"/>
      <c r="DG512" s="5"/>
      <c r="DH512" s="5"/>
      <c r="DI512" s="5"/>
      <c r="DJ512" s="5"/>
      <c r="DK512" s="5"/>
      <c r="DL512" s="5"/>
      <c r="DM512" s="5"/>
      <c r="DN512" s="5"/>
      <c r="DO512" s="5"/>
      <c r="DP512" s="5"/>
      <c r="DQ512" s="5"/>
      <c r="DR512" s="5"/>
      <c r="DS512" s="5"/>
      <c r="DT512" s="5"/>
      <c r="DU512" s="5"/>
      <c r="DV512" s="5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5"/>
      <c r="CT513" s="5"/>
      <c r="CU513" s="5"/>
      <c r="CV513" s="5"/>
      <c r="CW513" s="5"/>
      <c r="CX513" s="5"/>
      <c r="CY513" s="5"/>
      <c r="CZ513" s="5"/>
      <c r="DA513" s="5"/>
      <c r="DB513" s="5"/>
      <c r="DC513" s="5"/>
      <c r="DD513" s="5"/>
      <c r="DE513" s="5"/>
      <c r="DF513" s="5"/>
      <c r="DG513" s="5"/>
      <c r="DH513" s="5"/>
      <c r="DI513" s="5"/>
      <c r="DJ513" s="5"/>
      <c r="DK513" s="5"/>
      <c r="DL513" s="5"/>
      <c r="DM513" s="5"/>
      <c r="DN513" s="5"/>
      <c r="DO513" s="5"/>
      <c r="DP513" s="5"/>
      <c r="DQ513" s="5"/>
      <c r="DR513" s="5"/>
      <c r="DS513" s="5"/>
      <c r="DT513" s="5"/>
      <c r="DU513" s="5"/>
      <c r="DV513" s="5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5"/>
      <c r="CT514" s="5"/>
      <c r="CU514" s="5"/>
      <c r="CV514" s="5"/>
      <c r="CW514" s="5"/>
      <c r="CX514" s="5"/>
      <c r="CY514" s="5"/>
      <c r="CZ514" s="5"/>
      <c r="DA514" s="5"/>
      <c r="DB514" s="5"/>
      <c r="DC514" s="5"/>
      <c r="DD514" s="5"/>
      <c r="DE514" s="5"/>
      <c r="DF514" s="5"/>
      <c r="DG514" s="5"/>
      <c r="DH514" s="5"/>
      <c r="DI514" s="5"/>
      <c r="DJ514" s="5"/>
      <c r="DK514" s="5"/>
      <c r="DL514" s="5"/>
      <c r="DM514" s="5"/>
      <c r="DN514" s="5"/>
      <c r="DO514" s="5"/>
      <c r="DP514" s="5"/>
      <c r="DQ514" s="5"/>
      <c r="DR514" s="5"/>
      <c r="DS514" s="5"/>
      <c r="DT514" s="5"/>
      <c r="DU514" s="5"/>
      <c r="DV514" s="5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5"/>
      <c r="CT515" s="5"/>
      <c r="CU515" s="5"/>
      <c r="CV515" s="5"/>
      <c r="CW515" s="5"/>
      <c r="CX515" s="5"/>
      <c r="CY515" s="5"/>
      <c r="CZ515" s="5"/>
      <c r="DA515" s="5"/>
      <c r="DB515" s="5"/>
      <c r="DC515" s="5"/>
      <c r="DD515" s="5"/>
      <c r="DE515" s="5"/>
      <c r="DF515" s="5"/>
      <c r="DG515" s="5"/>
      <c r="DH515" s="5"/>
      <c r="DI515" s="5"/>
      <c r="DJ515" s="5"/>
      <c r="DK515" s="5"/>
      <c r="DL515" s="5"/>
      <c r="DM515" s="5"/>
      <c r="DN515" s="5"/>
      <c r="DO515" s="5"/>
      <c r="DP515" s="5"/>
      <c r="DQ515" s="5"/>
      <c r="DR515" s="5"/>
      <c r="DS515" s="5"/>
      <c r="DT515" s="5"/>
      <c r="DU515" s="5"/>
      <c r="DV515" s="5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5"/>
      <c r="CT516" s="5"/>
      <c r="CU516" s="5"/>
      <c r="CV516" s="5"/>
      <c r="CW516" s="5"/>
      <c r="CX516" s="5"/>
      <c r="CY516" s="5"/>
      <c r="CZ516" s="5"/>
      <c r="DA516" s="5"/>
      <c r="DB516" s="5"/>
      <c r="DC516" s="5"/>
      <c r="DD516" s="5"/>
      <c r="DE516" s="5"/>
      <c r="DF516" s="5"/>
      <c r="DG516" s="5"/>
      <c r="DH516" s="5"/>
      <c r="DI516" s="5"/>
      <c r="DJ516" s="5"/>
      <c r="DK516" s="5"/>
      <c r="DL516" s="5"/>
      <c r="DM516" s="5"/>
      <c r="DN516" s="5"/>
      <c r="DO516" s="5"/>
      <c r="DP516" s="5"/>
      <c r="DQ516" s="5"/>
      <c r="DR516" s="5"/>
      <c r="DS516" s="5"/>
      <c r="DT516" s="5"/>
      <c r="DU516" s="5"/>
      <c r="DV516" s="5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5"/>
      <c r="CT517" s="5"/>
      <c r="CU517" s="5"/>
      <c r="CV517" s="5"/>
      <c r="CW517" s="5"/>
      <c r="CX517" s="5"/>
      <c r="CY517" s="5"/>
      <c r="CZ517" s="5"/>
      <c r="DA517" s="5"/>
      <c r="DB517" s="5"/>
      <c r="DC517" s="5"/>
      <c r="DD517" s="5"/>
      <c r="DE517" s="5"/>
      <c r="DF517" s="5"/>
      <c r="DG517" s="5"/>
      <c r="DH517" s="5"/>
      <c r="DI517" s="5"/>
      <c r="DJ517" s="5"/>
      <c r="DK517" s="5"/>
      <c r="DL517" s="5"/>
      <c r="DM517" s="5"/>
      <c r="DN517" s="5"/>
      <c r="DO517" s="5"/>
      <c r="DP517" s="5"/>
      <c r="DQ517" s="5"/>
      <c r="DR517" s="5"/>
      <c r="DS517" s="5"/>
      <c r="DT517" s="5"/>
      <c r="DU517" s="5"/>
      <c r="DV517" s="5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5"/>
      <c r="CT518" s="5"/>
      <c r="CU518" s="5"/>
      <c r="CV518" s="5"/>
      <c r="CW518" s="5"/>
      <c r="CX518" s="5"/>
      <c r="CY518" s="5"/>
      <c r="CZ518" s="5"/>
      <c r="DA518" s="5"/>
      <c r="DB518" s="5"/>
      <c r="DC518" s="5"/>
      <c r="DD518" s="5"/>
      <c r="DE518" s="5"/>
      <c r="DF518" s="5"/>
      <c r="DG518" s="5"/>
      <c r="DH518" s="5"/>
      <c r="DI518" s="5"/>
      <c r="DJ518" s="5"/>
      <c r="DK518" s="5"/>
      <c r="DL518" s="5"/>
      <c r="DM518" s="5"/>
      <c r="DN518" s="5"/>
      <c r="DO518" s="5"/>
      <c r="DP518" s="5"/>
      <c r="DQ518" s="5"/>
      <c r="DR518" s="5"/>
      <c r="DS518" s="5"/>
      <c r="DT518" s="5"/>
      <c r="DU518" s="5"/>
      <c r="DV518" s="5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5"/>
      <c r="CT519" s="5"/>
      <c r="CU519" s="5"/>
      <c r="CV519" s="5"/>
      <c r="CW519" s="5"/>
      <c r="CX519" s="5"/>
      <c r="CY519" s="5"/>
      <c r="CZ519" s="5"/>
      <c r="DA519" s="5"/>
      <c r="DB519" s="5"/>
      <c r="DC519" s="5"/>
      <c r="DD519" s="5"/>
      <c r="DE519" s="5"/>
      <c r="DF519" s="5"/>
      <c r="DG519" s="5"/>
      <c r="DH519" s="5"/>
      <c r="DI519" s="5"/>
      <c r="DJ519" s="5"/>
      <c r="DK519" s="5"/>
      <c r="DL519" s="5"/>
      <c r="DM519" s="5"/>
      <c r="DN519" s="5"/>
      <c r="DO519" s="5"/>
      <c r="DP519" s="5"/>
      <c r="DQ519" s="5"/>
      <c r="DR519" s="5"/>
      <c r="DS519" s="5"/>
      <c r="DT519" s="5"/>
      <c r="DU519" s="5"/>
      <c r="DV519" s="5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5"/>
      <c r="CT520" s="5"/>
      <c r="CU520" s="5"/>
      <c r="CV520" s="5"/>
      <c r="CW520" s="5"/>
      <c r="CX520" s="5"/>
      <c r="CY520" s="5"/>
      <c r="CZ520" s="5"/>
      <c r="DA520" s="5"/>
      <c r="DB520" s="5"/>
      <c r="DC520" s="5"/>
      <c r="DD520" s="5"/>
      <c r="DE520" s="5"/>
      <c r="DF520" s="5"/>
      <c r="DG520" s="5"/>
      <c r="DH520" s="5"/>
      <c r="DI520" s="5"/>
      <c r="DJ520" s="5"/>
      <c r="DK520" s="5"/>
      <c r="DL520" s="5"/>
      <c r="DM520" s="5"/>
      <c r="DN520" s="5"/>
      <c r="DO520" s="5"/>
      <c r="DP520" s="5"/>
      <c r="DQ520" s="5"/>
      <c r="DR520" s="5"/>
      <c r="DS520" s="5"/>
      <c r="DT520" s="5"/>
      <c r="DU520" s="5"/>
      <c r="DV520" s="5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5"/>
      <c r="CT521" s="5"/>
      <c r="CU521" s="5"/>
      <c r="CV521" s="5"/>
      <c r="CW521" s="5"/>
      <c r="CX521" s="5"/>
      <c r="CY521" s="5"/>
      <c r="CZ521" s="5"/>
      <c r="DA521" s="5"/>
      <c r="DB521" s="5"/>
      <c r="DC521" s="5"/>
      <c r="DD521" s="5"/>
      <c r="DE521" s="5"/>
      <c r="DF521" s="5"/>
      <c r="DG521" s="5"/>
      <c r="DH521" s="5"/>
      <c r="DI521" s="5"/>
      <c r="DJ521" s="5"/>
      <c r="DK521" s="5"/>
      <c r="DL521" s="5"/>
      <c r="DM521" s="5"/>
      <c r="DN521" s="5"/>
      <c r="DO521" s="5"/>
      <c r="DP521" s="5"/>
      <c r="DQ521" s="5"/>
      <c r="DR521" s="5"/>
      <c r="DS521" s="5"/>
      <c r="DT521" s="5"/>
      <c r="DU521" s="5"/>
      <c r="DV521" s="5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5"/>
      <c r="CT522" s="5"/>
      <c r="CU522" s="5"/>
      <c r="CV522" s="5"/>
      <c r="CW522" s="5"/>
      <c r="CX522" s="5"/>
      <c r="CY522" s="5"/>
      <c r="CZ522" s="5"/>
      <c r="DA522" s="5"/>
      <c r="DB522" s="5"/>
      <c r="DC522" s="5"/>
      <c r="DD522" s="5"/>
      <c r="DE522" s="5"/>
      <c r="DF522" s="5"/>
      <c r="DG522" s="5"/>
      <c r="DH522" s="5"/>
      <c r="DI522" s="5"/>
      <c r="DJ522" s="5"/>
      <c r="DK522" s="5"/>
      <c r="DL522" s="5"/>
      <c r="DM522" s="5"/>
      <c r="DN522" s="5"/>
      <c r="DO522" s="5"/>
      <c r="DP522" s="5"/>
      <c r="DQ522" s="5"/>
      <c r="DR522" s="5"/>
      <c r="DS522" s="5"/>
      <c r="DT522" s="5"/>
      <c r="DU522" s="5"/>
      <c r="DV522" s="5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5"/>
      <c r="CT523" s="5"/>
      <c r="CU523" s="5"/>
      <c r="CV523" s="5"/>
      <c r="CW523" s="5"/>
      <c r="CX523" s="5"/>
      <c r="CY523" s="5"/>
      <c r="CZ523" s="5"/>
      <c r="DA523" s="5"/>
      <c r="DB523" s="5"/>
      <c r="DC523" s="5"/>
      <c r="DD523" s="5"/>
      <c r="DE523" s="5"/>
      <c r="DF523" s="5"/>
      <c r="DG523" s="5"/>
      <c r="DH523" s="5"/>
      <c r="DI523" s="5"/>
      <c r="DJ523" s="5"/>
      <c r="DK523" s="5"/>
      <c r="DL523" s="5"/>
      <c r="DM523" s="5"/>
      <c r="DN523" s="5"/>
      <c r="DO523" s="5"/>
      <c r="DP523" s="5"/>
      <c r="DQ523" s="5"/>
      <c r="DR523" s="5"/>
      <c r="DS523" s="5"/>
      <c r="DT523" s="5"/>
      <c r="DU523" s="5"/>
      <c r="DV523" s="5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5"/>
      <c r="CT524" s="5"/>
      <c r="CU524" s="5"/>
      <c r="CV524" s="5"/>
      <c r="CW524" s="5"/>
      <c r="CX524" s="5"/>
      <c r="CY524" s="5"/>
      <c r="CZ524" s="5"/>
      <c r="DA524" s="5"/>
      <c r="DB524" s="5"/>
      <c r="DC524" s="5"/>
      <c r="DD524" s="5"/>
      <c r="DE524" s="5"/>
      <c r="DF524" s="5"/>
      <c r="DG524" s="5"/>
      <c r="DH524" s="5"/>
      <c r="DI524" s="5"/>
      <c r="DJ524" s="5"/>
      <c r="DK524" s="5"/>
      <c r="DL524" s="5"/>
      <c r="DM524" s="5"/>
      <c r="DN524" s="5"/>
      <c r="DO524" s="5"/>
      <c r="DP524" s="5"/>
      <c r="DQ524" s="5"/>
      <c r="DR524" s="5"/>
      <c r="DS524" s="5"/>
      <c r="DT524" s="5"/>
      <c r="DU524" s="5"/>
      <c r="DV524" s="5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5"/>
      <c r="CT525" s="5"/>
      <c r="CU525" s="5"/>
      <c r="CV525" s="5"/>
      <c r="CW525" s="5"/>
      <c r="CX525" s="5"/>
      <c r="CY525" s="5"/>
      <c r="CZ525" s="5"/>
      <c r="DA525" s="5"/>
      <c r="DB525" s="5"/>
      <c r="DC525" s="5"/>
      <c r="DD525" s="5"/>
      <c r="DE525" s="5"/>
      <c r="DF525" s="5"/>
      <c r="DG525" s="5"/>
      <c r="DH525" s="5"/>
      <c r="DI525" s="5"/>
      <c r="DJ525" s="5"/>
      <c r="DK525" s="5"/>
      <c r="DL525" s="5"/>
      <c r="DM525" s="5"/>
      <c r="DN525" s="5"/>
      <c r="DO525" s="5"/>
      <c r="DP525" s="5"/>
      <c r="DQ525" s="5"/>
      <c r="DR525" s="5"/>
      <c r="DS525" s="5"/>
      <c r="DT525" s="5"/>
      <c r="DU525" s="5"/>
      <c r="DV525" s="5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5"/>
      <c r="CT526" s="5"/>
      <c r="CU526" s="5"/>
      <c r="CV526" s="5"/>
      <c r="CW526" s="5"/>
      <c r="CX526" s="5"/>
      <c r="CY526" s="5"/>
      <c r="CZ526" s="5"/>
      <c r="DA526" s="5"/>
      <c r="DB526" s="5"/>
      <c r="DC526" s="5"/>
      <c r="DD526" s="5"/>
      <c r="DE526" s="5"/>
      <c r="DF526" s="5"/>
      <c r="DG526" s="5"/>
      <c r="DH526" s="5"/>
      <c r="DI526" s="5"/>
      <c r="DJ526" s="5"/>
      <c r="DK526" s="5"/>
      <c r="DL526" s="5"/>
      <c r="DM526" s="5"/>
      <c r="DN526" s="5"/>
      <c r="DO526" s="5"/>
      <c r="DP526" s="5"/>
      <c r="DQ526" s="5"/>
      <c r="DR526" s="5"/>
      <c r="DS526" s="5"/>
      <c r="DT526" s="5"/>
      <c r="DU526" s="5"/>
      <c r="DV526" s="5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5"/>
      <c r="CT527" s="5"/>
      <c r="CU527" s="5"/>
      <c r="CV527" s="5"/>
      <c r="CW527" s="5"/>
      <c r="CX527" s="5"/>
      <c r="CY527" s="5"/>
      <c r="CZ527" s="5"/>
      <c r="DA527" s="5"/>
      <c r="DB527" s="5"/>
      <c r="DC527" s="5"/>
      <c r="DD527" s="5"/>
      <c r="DE527" s="5"/>
      <c r="DF527" s="5"/>
      <c r="DG527" s="5"/>
      <c r="DH527" s="5"/>
      <c r="DI527" s="5"/>
      <c r="DJ527" s="5"/>
      <c r="DK527" s="5"/>
      <c r="DL527" s="5"/>
      <c r="DM527" s="5"/>
      <c r="DN527" s="5"/>
      <c r="DO527" s="5"/>
      <c r="DP527" s="5"/>
      <c r="DQ527" s="5"/>
      <c r="DR527" s="5"/>
      <c r="DS527" s="5"/>
      <c r="DT527" s="5"/>
      <c r="DU527" s="5"/>
      <c r="DV527" s="5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5"/>
      <c r="CT528" s="5"/>
      <c r="CU528" s="5"/>
      <c r="CV528" s="5"/>
      <c r="CW528" s="5"/>
      <c r="CX528" s="5"/>
      <c r="CY528" s="5"/>
      <c r="CZ528" s="5"/>
      <c r="DA528" s="5"/>
      <c r="DB528" s="5"/>
      <c r="DC528" s="5"/>
      <c r="DD528" s="5"/>
      <c r="DE528" s="5"/>
      <c r="DF528" s="5"/>
      <c r="DG528" s="5"/>
      <c r="DH528" s="5"/>
      <c r="DI528" s="5"/>
      <c r="DJ528" s="5"/>
      <c r="DK528" s="5"/>
      <c r="DL528" s="5"/>
      <c r="DM528" s="5"/>
      <c r="DN528" s="5"/>
      <c r="DO528" s="5"/>
      <c r="DP528" s="5"/>
      <c r="DQ528" s="5"/>
      <c r="DR528" s="5"/>
      <c r="DS528" s="5"/>
      <c r="DT528" s="5"/>
      <c r="DU528" s="5"/>
      <c r="DV528" s="5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5"/>
      <c r="CT529" s="5"/>
      <c r="CU529" s="5"/>
      <c r="CV529" s="5"/>
      <c r="CW529" s="5"/>
      <c r="CX529" s="5"/>
      <c r="CY529" s="5"/>
      <c r="CZ529" s="5"/>
      <c r="DA529" s="5"/>
      <c r="DB529" s="5"/>
      <c r="DC529" s="5"/>
      <c r="DD529" s="5"/>
      <c r="DE529" s="5"/>
      <c r="DF529" s="5"/>
      <c r="DG529" s="5"/>
      <c r="DH529" s="5"/>
      <c r="DI529" s="5"/>
      <c r="DJ529" s="5"/>
      <c r="DK529" s="5"/>
      <c r="DL529" s="5"/>
      <c r="DM529" s="5"/>
      <c r="DN529" s="5"/>
      <c r="DO529" s="5"/>
      <c r="DP529" s="5"/>
      <c r="DQ529" s="5"/>
      <c r="DR529" s="5"/>
      <c r="DS529" s="5"/>
      <c r="DT529" s="5"/>
      <c r="DU529" s="5"/>
      <c r="DV529" s="5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5"/>
      <c r="CT530" s="5"/>
      <c r="CU530" s="5"/>
      <c r="CV530" s="5"/>
      <c r="CW530" s="5"/>
      <c r="CX530" s="5"/>
      <c r="CY530" s="5"/>
      <c r="CZ530" s="5"/>
      <c r="DA530" s="5"/>
      <c r="DB530" s="5"/>
      <c r="DC530" s="5"/>
      <c r="DD530" s="5"/>
      <c r="DE530" s="5"/>
      <c r="DF530" s="5"/>
      <c r="DG530" s="5"/>
      <c r="DH530" s="5"/>
      <c r="DI530" s="5"/>
      <c r="DJ530" s="5"/>
      <c r="DK530" s="5"/>
      <c r="DL530" s="5"/>
      <c r="DM530" s="5"/>
      <c r="DN530" s="5"/>
      <c r="DO530" s="5"/>
      <c r="DP530" s="5"/>
      <c r="DQ530" s="5"/>
      <c r="DR530" s="5"/>
      <c r="DS530" s="5"/>
      <c r="DT530" s="5"/>
      <c r="DU530" s="5"/>
      <c r="DV530" s="5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5"/>
      <c r="CT531" s="5"/>
      <c r="CU531" s="5"/>
      <c r="CV531" s="5"/>
      <c r="CW531" s="5"/>
      <c r="CX531" s="5"/>
      <c r="CY531" s="5"/>
      <c r="CZ531" s="5"/>
      <c r="DA531" s="5"/>
      <c r="DB531" s="5"/>
      <c r="DC531" s="5"/>
      <c r="DD531" s="5"/>
      <c r="DE531" s="5"/>
      <c r="DF531" s="5"/>
      <c r="DG531" s="5"/>
      <c r="DH531" s="5"/>
      <c r="DI531" s="5"/>
      <c r="DJ531" s="5"/>
      <c r="DK531" s="5"/>
      <c r="DL531" s="5"/>
      <c r="DM531" s="5"/>
      <c r="DN531" s="5"/>
      <c r="DO531" s="5"/>
      <c r="DP531" s="5"/>
      <c r="DQ531" s="5"/>
      <c r="DR531" s="5"/>
      <c r="DS531" s="5"/>
      <c r="DT531" s="5"/>
      <c r="DU531" s="5"/>
      <c r="DV531" s="5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5"/>
      <c r="CT532" s="5"/>
      <c r="CU532" s="5"/>
      <c r="CV532" s="5"/>
      <c r="CW532" s="5"/>
      <c r="CX532" s="5"/>
      <c r="CY532" s="5"/>
      <c r="CZ532" s="5"/>
      <c r="DA532" s="5"/>
      <c r="DB532" s="5"/>
      <c r="DC532" s="5"/>
      <c r="DD532" s="5"/>
      <c r="DE532" s="5"/>
      <c r="DF532" s="5"/>
      <c r="DG532" s="5"/>
      <c r="DH532" s="5"/>
      <c r="DI532" s="5"/>
      <c r="DJ532" s="5"/>
      <c r="DK532" s="5"/>
      <c r="DL532" s="5"/>
      <c r="DM532" s="5"/>
      <c r="DN532" s="5"/>
      <c r="DO532" s="5"/>
      <c r="DP532" s="5"/>
      <c r="DQ532" s="5"/>
      <c r="DR532" s="5"/>
      <c r="DS532" s="5"/>
      <c r="DT532" s="5"/>
      <c r="DU532" s="5"/>
      <c r="DV532" s="5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5"/>
      <c r="CT533" s="5"/>
      <c r="CU533" s="5"/>
      <c r="CV533" s="5"/>
      <c r="CW533" s="5"/>
      <c r="CX533" s="5"/>
      <c r="CY533" s="5"/>
      <c r="CZ533" s="5"/>
      <c r="DA533" s="5"/>
      <c r="DB533" s="5"/>
      <c r="DC533" s="5"/>
      <c r="DD533" s="5"/>
      <c r="DE533" s="5"/>
      <c r="DF533" s="5"/>
      <c r="DG533" s="5"/>
      <c r="DH533" s="5"/>
      <c r="DI533" s="5"/>
      <c r="DJ533" s="5"/>
      <c r="DK533" s="5"/>
      <c r="DL533" s="5"/>
      <c r="DM533" s="5"/>
      <c r="DN533" s="5"/>
      <c r="DO533" s="5"/>
      <c r="DP533" s="5"/>
      <c r="DQ533" s="5"/>
      <c r="DR533" s="5"/>
      <c r="DS533" s="5"/>
      <c r="DT533" s="5"/>
      <c r="DU533" s="5"/>
      <c r="DV533" s="5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5"/>
      <c r="CT534" s="5"/>
      <c r="CU534" s="5"/>
      <c r="CV534" s="5"/>
      <c r="CW534" s="5"/>
      <c r="CX534" s="5"/>
      <c r="CY534" s="5"/>
      <c r="CZ534" s="5"/>
      <c r="DA534" s="5"/>
      <c r="DB534" s="5"/>
      <c r="DC534" s="5"/>
      <c r="DD534" s="5"/>
      <c r="DE534" s="5"/>
      <c r="DF534" s="5"/>
      <c r="DG534" s="5"/>
      <c r="DH534" s="5"/>
      <c r="DI534" s="5"/>
      <c r="DJ534" s="5"/>
      <c r="DK534" s="5"/>
      <c r="DL534" s="5"/>
      <c r="DM534" s="5"/>
      <c r="DN534" s="5"/>
      <c r="DO534" s="5"/>
      <c r="DP534" s="5"/>
      <c r="DQ534" s="5"/>
      <c r="DR534" s="5"/>
      <c r="DS534" s="5"/>
      <c r="DT534" s="5"/>
      <c r="DU534" s="5"/>
      <c r="DV534" s="5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5"/>
      <c r="CT535" s="5"/>
      <c r="CU535" s="5"/>
      <c r="CV535" s="5"/>
      <c r="CW535" s="5"/>
      <c r="CX535" s="5"/>
      <c r="CY535" s="5"/>
      <c r="CZ535" s="5"/>
      <c r="DA535" s="5"/>
      <c r="DB535" s="5"/>
      <c r="DC535" s="5"/>
      <c r="DD535" s="5"/>
      <c r="DE535" s="5"/>
      <c r="DF535" s="5"/>
      <c r="DG535" s="5"/>
      <c r="DH535" s="5"/>
      <c r="DI535" s="5"/>
      <c r="DJ535" s="5"/>
      <c r="DK535" s="5"/>
      <c r="DL535" s="5"/>
      <c r="DM535" s="5"/>
      <c r="DN535" s="5"/>
      <c r="DO535" s="5"/>
      <c r="DP535" s="5"/>
      <c r="DQ535" s="5"/>
      <c r="DR535" s="5"/>
      <c r="DS535" s="5"/>
      <c r="DT535" s="5"/>
      <c r="DU535" s="5"/>
      <c r="DV535" s="5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5"/>
      <c r="CT536" s="5"/>
      <c r="CU536" s="5"/>
      <c r="CV536" s="5"/>
      <c r="CW536" s="5"/>
      <c r="CX536" s="5"/>
      <c r="CY536" s="5"/>
      <c r="CZ536" s="5"/>
      <c r="DA536" s="5"/>
      <c r="DB536" s="5"/>
      <c r="DC536" s="5"/>
      <c r="DD536" s="5"/>
      <c r="DE536" s="5"/>
      <c r="DF536" s="5"/>
      <c r="DG536" s="5"/>
      <c r="DH536" s="5"/>
      <c r="DI536" s="5"/>
      <c r="DJ536" s="5"/>
      <c r="DK536" s="5"/>
      <c r="DL536" s="5"/>
      <c r="DM536" s="5"/>
      <c r="DN536" s="5"/>
      <c r="DO536" s="5"/>
      <c r="DP536" s="5"/>
      <c r="DQ536" s="5"/>
      <c r="DR536" s="5"/>
      <c r="DS536" s="5"/>
      <c r="DT536" s="5"/>
      <c r="DU536" s="5"/>
      <c r="DV536" s="5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5"/>
      <c r="CT537" s="5"/>
      <c r="CU537" s="5"/>
      <c r="CV537" s="5"/>
      <c r="CW537" s="5"/>
      <c r="CX537" s="5"/>
      <c r="CY537" s="5"/>
      <c r="CZ537" s="5"/>
      <c r="DA537" s="5"/>
      <c r="DB537" s="5"/>
      <c r="DC537" s="5"/>
      <c r="DD537" s="5"/>
      <c r="DE537" s="5"/>
      <c r="DF537" s="5"/>
      <c r="DG537" s="5"/>
      <c r="DH537" s="5"/>
      <c r="DI537" s="5"/>
      <c r="DJ537" s="5"/>
      <c r="DK537" s="5"/>
      <c r="DL537" s="5"/>
      <c r="DM537" s="5"/>
      <c r="DN537" s="5"/>
      <c r="DO537" s="5"/>
      <c r="DP537" s="5"/>
      <c r="DQ537" s="5"/>
      <c r="DR537" s="5"/>
      <c r="DS537" s="5"/>
      <c r="DT537" s="5"/>
      <c r="DU537" s="5"/>
      <c r="DV537" s="5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5"/>
      <c r="CT538" s="5"/>
      <c r="CU538" s="5"/>
      <c r="CV538" s="5"/>
      <c r="CW538" s="5"/>
      <c r="CX538" s="5"/>
      <c r="CY538" s="5"/>
      <c r="CZ538" s="5"/>
      <c r="DA538" s="5"/>
      <c r="DB538" s="5"/>
      <c r="DC538" s="5"/>
      <c r="DD538" s="5"/>
      <c r="DE538" s="5"/>
      <c r="DF538" s="5"/>
      <c r="DG538" s="5"/>
      <c r="DH538" s="5"/>
      <c r="DI538" s="5"/>
      <c r="DJ538" s="5"/>
      <c r="DK538" s="5"/>
      <c r="DL538" s="5"/>
      <c r="DM538" s="5"/>
      <c r="DN538" s="5"/>
      <c r="DO538" s="5"/>
      <c r="DP538" s="5"/>
      <c r="DQ538" s="5"/>
      <c r="DR538" s="5"/>
      <c r="DS538" s="5"/>
      <c r="DT538" s="5"/>
      <c r="DU538" s="5"/>
      <c r="DV538" s="5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5"/>
      <c r="CT539" s="5"/>
      <c r="CU539" s="5"/>
      <c r="CV539" s="5"/>
      <c r="CW539" s="5"/>
      <c r="CX539" s="5"/>
      <c r="CY539" s="5"/>
      <c r="CZ539" s="5"/>
      <c r="DA539" s="5"/>
      <c r="DB539" s="5"/>
      <c r="DC539" s="5"/>
      <c r="DD539" s="5"/>
      <c r="DE539" s="5"/>
      <c r="DF539" s="5"/>
      <c r="DG539" s="5"/>
      <c r="DH539" s="5"/>
      <c r="DI539" s="5"/>
      <c r="DJ539" s="5"/>
      <c r="DK539" s="5"/>
      <c r="DL539" s="5"/>
      <c r="DM539" s="5"/>
      <c r="DN539" s="5"/>
      <c r="DO539" s="5"/>
      <c r="DP539" s="5"/>
      <c r="DQ539" s="5"/>
      <c r="DR539" s="5"/>
      <c r="DS539" s="5"/>
      <c r="DT539" s="5"/>
      <c r="DU539" s="5"/>
      <c r="DV539" s="5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5"/>
      <c r="CT540" s="5"/>
      <c r="CU540" s="5"/>
      <c r="CV540" s="5"/>
      <c r="CW540" s="5"/>
      <c r="CX540" s="5"/>
      <c r="CY540" s="5"/>
      <c r="CZ540" s="5"/>
      <c r="DA540" s="5"/>
      <c r="DB540" s="5"/>
      <c r="DC540" s="5"/>
      <c r="DD540" s="5"/>
      <c r="DE540" s="5"/>
      <c r="DF540" s="5"/>
      <c r="DG540" s="5"/>
      <c r="DH540" s="5"/>
      <c r="DI540" s="5"/>
      <c r="DJ540" s="5"/>
      <c r="DK540" s="5"/>
      <c r="DL540" s="5"/>
      <c r="DM540" s="5"/>
      <c r="DN540" s="5"/>
      <c r="DO540" s="5"/>
      <c r="DP540" s="5"/>
      <c r="DQ540" s="5"/>
      <c r="DR540" s="5"/>
      <c r="DS540" s="5"/>
      <c r="DT540" s="5"/>
      <c r="DU540" s="5"/>
      <c r="DV540" s="5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5"/>
      <c r="CT541" s="5"/>
      <c r="CU541" s="5"/>
      <c r="CV541" s="5"/>
      <c r="CW541" s="5"/>
      <c r="CX541" s="5"/>
      <c r="CY541" s="5"/>
      <c r="CZ541" s="5"/>
      <c r="DA541" s="5"/>
      <c r="DB541" s="5"/>
      <c r="DC541" s="5"/>
      <c r="DD541" s="5"/>
      <c r="DE541" s="5"/>
      <c r="DF541" s="5"/>
      <c r="DG541" s="5"/>
      <c r="DH541" s="5"/>
      <c r="DI541" s="5"/>
      <c r="DJ541" s="5"/>
      <c r="DK541" s="5"/>
      <c r="DL541" s="5"/>
      <c r="DM541" s="5"/>
      <c r="DN541" s="5"/>
      <c r="DO541" s="5"/>
      <c r="DP541" s="5"/>
      <c r="DQ541" s="5"/>
      <c r="DR541" s="5"/>
      <c r="DS541" s="5"/>
      <c r="DT541" s="5"/>
      <c r="DU541" s="5"/>
      <c r="DV541" s="5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5"/>
      <c r="CT542" s="5"/>
      <c r="CU542" s="5"/>
      <c r="CV542" s="5"/>
      <c r="CW542" s="5"/>
      <c r="CX542" s="5"/>
      <c r="CY542" s="5"/>
      <c r="CZ542" s="5"/>
      <c r="DA542" s="5"/>
      <c r="DB542" s="5"/>
      <c r="DC542" s="5"/>
      <c r="DD542" s="5"/>
      <c r="DE542" s="5"/>
      <c r="DF542" s="5"/>
      <c r="DG542" s="5"/>
      <c r="DH542" s="5"/>
      <c r="DI542" s="5"/>
      <c r="DJ542" s="5"/>
      <c r="DK542" s="5"/>
      <c r="DL542" s="5"/>
      <c r="DM542" s="5"/>
      <c r="DN542" s="5"/>
      <c r="DO542" s="5"/>
      <c r="DP542" s="5"/>
      <c r="DQ542" s="5"/>
      <c r="DR542" s="5"/>
      <c r="DS542" s="5"/>
      <c r="DT542" s="5"/>
      <c r="DU542" s="5"/>
      <c r="DV542" s="5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5"/>
      <c r="CT543" s="5"/>
      <c r="CU543" s="5"/>
      <c r="CV543" s="5"/>
      <c r="CW543" s="5"/>
      <c r="CX543" s="5"/>
      <c r="CY543" s="5"/>
      <c r="CZ543" s="5"/>
      <c r="DA543" s="5"/>
      <c r="DB543" s="5"/>
      <c r="DC543" s="5"/>
      <c r="DD543" s="5"/>
      <c r="DE543" s="5"/>
      <c r="DF543" s="5"/>
      <c r="DG543" s="5"/>
      <c r="DH543" s="5"/>
      <c r="DI543" s="5"/>
      <c r="DJ543" s="5"/>
      <c r="DK543" s="5"/>
      <c r="DL543" s="5"/>
      <c r="DM543" s="5"/>
      <c r="DN543" s="5"/>
      <c r="DO543" s="5"/>
      <c r="DP543" s="5"/>
      <c r="DQ543" s="5"/>
      <c r="DR543" s="5"/>
      <c r="DS543" s="5"/>
      <c r="DT543" s="5"/>
      <c r="DU543" s="5"/>
      <c r="DV543" s="5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5"/>
      <c r="CT544" s="5"/>
      <c r="CU544" s="5"/>
      <c r="CV544" s="5"/>
      <c r="CW544" s="5"/>
      <c r="CX544" s="5"/>
      <c r="CY544" s="5"/>
      <c r="CZ544" s="5"/>
      <c r="DA544" s="5"/>
      <c r="DB544" s="5"/>
      <c r="DC544" s="5"/>
      <c r="DD544" s="5"/>
      <c r="DE544" s="5"/>
      <c r="DF544" s="5"/>
      <c r="DG544" s="5"/>
      <c r="DH544" s="5"/>
      <c r="DI544" s="5"/>
      <c r="DJ544" s="5"/>
      <c r="DK544" s="5"/>
      <c r="DL544" s="5"/>
      <c r="DM544" s="5"/>
      <c r="DN544" s="5"/>
      <c r="DO544" s="5"/>
      <c r="DP544" s="5"/>
      <c r="DQ544" s="5"/>
      <c r="DR544" s="5"/>
      <c r="DS544" s="5"/>
      <c r="DT544" s="5"/>
      <c r="DU544" s="5"/>
      <c r="DV544" s="5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5"/>
      <c r="CT545" s="5"/>
      <c r="CU545" s="5"/>
      <c r="CV545" s="5"/>
      <c r="CW545" s="5"/>
      <c r="CX545" s="5"/>
      <c r="CY545" s="5"/>
      <c r="CZ545" s="5"/>
      <c r="DA545" s="5"/>
      <c r="DB545" s="5"/>
      <c r="DC545" s="5"/>
      <c r="DD545" s="5"/>
      <c r="DE545" s="5"/>
      <c r="DF545" s="5"/>
      <c r="DG545" s="5"/>
      <c r="DH545" s="5"/>
      <c r="DI545" s="5"/>
      <c r="DJ545" s="5"/>
      <c r="DK545" s="5"/>
      <c r="DL545" s="5"/>
      <c r="DM545" s="5"/>
      <c r="DN545" s="5"/>
      <c r="DO545" s="5"/>
      <c r="DP545" s="5"/>
      <c r="DQ545" s="5"/>
      <c r="DR545" s="5"/>
      <c r="DS545" s="5"/>
      <c r="DT545" s="5"/>
      <c r="DU545" s="5"/>
      <c r="DV545" s="5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5"/>
      <c r="CT546" s="5"/>
      <c r="CU546" s="5"/>
      <c r="CV546" s="5"/>
      <c r="CW546" s="5"/>
      <c r="CX546" s="5"/>
      <c r="CY546" s="5"/>
      <c r="CZ546" s="5"/>
      <c r="DA546" s="5"/>
      <c r="DB546" s="5"/>
      <c r="DC546" s="5"/>
      <c r="DD546" s="5"/>
      <c r="DE546" s="5"/>
      <c r="DF546" s="5"/>
      <c r="DG546" s="5"/>
      <c r="DH546" s="5"/>
      <c r="DI546" s="5"/>
      <c r="DJ546" s="5"/>
      <c r="DK546" s="5"/>
      <c r="DL546" s="5"/>
      <c r="DM546" s="5"/>
      <c r="DN546" s="5"/>
      <c r="DO546" s="5"/>
      <c r="DP546" s="5"/>
      <c r="DQ546" s="5"/>
      <c r="DR546" s="5"/>
      <c r="DS546" s="5"/>
      <c r="DT546" s="5"/>
      <c r="DU546" s="5"/>
      <c r="DV546" s="5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5"/>
      <c r="CT547" s="5"/>
      <c r="CU547" s="5"/>
      <c r="CV547" s="5"/>
      <c r="CW547" s="5"/>
      <c r="CX547" s="5"/>
      <c r="CY547" s="5"/>
      <c r="CZ547" s="5"/>
      <c r="DA547" s="5"/>
      <c r="DB547" s="5"/>
      <c r="DC547" s="5"/>
      <c r="DD547" s="5"/>
      <c r="DE547" s="5"/>
      <c r="DF547" s="5"/>
      <c r="DG547" s="5"/>
      <c r="DH547" s="5"/>
      <c r="DI547" s="5"/>
      <c r="DJ547" s="5"/>
      <c r="DK547" s="5"/>
      <c r="DL547" s="5"/>
      <c r="DM547" s="5"/>
      <c r="DN547" s="5"/>
      <c r="DO547" s="5"/>
      <c r="DP547" s="5"/>
      <c r="DQ547" s="5"/>
      <c r="DR547" s="5"/>
      <c r="DS547" s="5"/>
      <c r="DT547" s="5"/>
      <c r="DU547" s="5"/>
      <c r="DV547" s="5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5"/>
      <c r="CT548" s="5"/>
      <c r="CU548" s="5"/>
      <c r="CV548" s="5"/>
      <c r="CW548" s="5"/>
      <c r="CX548" s="5"/>
      <c r="CY548" s="5"/>
      <c r="CZ548" s="5"/>
      <c r="DA548" s="5"/>
      <c r="DB548" s="5"/>
      <c r="DC548" s="5"/>
      <c r="DD548" s="5"/>
      <c r="DE548" s="5"/>
      <c r="DF548" s="5"/>
      <c r="DG548" s="5"/>
      <c r="DH548" s="5"/>
      <c r="DI548" s="5"/>
      <c r="DJ548" s="5"/>
      <c r="DK548" s="5"/>
      <c r="DL548" s="5"/>
      <c r="DM548" s="5"/>
      <c r="DN548" s="5"/>
      <c r="DO548" s="5"/>
      <c r="DP548" s="5"/>
      <c r="DQ548" s="5"/>
      <c r="DR548" s="5"/>
      <c r="DS548" s="5"/>
      <c r="DT548" s="5"/>
      <c r="DU548" s="5"/>
      <c r="DV548" s="5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5"/>
      <c r="CT549" s="5"/>
      <c r="CU549" s="5"/>
      <c r="CV549" s="5"/>
      <c r="CW549" s="5"/>
      <c r="CX549" s="5"/>
      <c r="CY549" s="5"/>
      <c r="CZ549" s="5"/>
      <c r="DA549" s="5"/>
      <c r="DB549" s="5"/>
      <c r="DC549" s="5"/>
      <c r="DD549" s="5"/>
      <c r="DE549" s="5"/>
      <c r="DF549" s="5"/>
      <c r="DG549" s="5"/>
      <c r="DH549" s="5"/>
      <c r="DI549" s="5"/>
      <c r="DJ549" s="5"/>
      <c r="DK549" s="5"/>
      <c r="DL549" s="5"/>
      <c r="DM549" s="5"/>
      <c r="DN549" s="5"/>
      <c r="DO549" s="5"/>
      <c r="DP549" s="5"/>
      <c r="DQ549" s="5"/>
      <c r="DR549" s="5"/>
      <c r="DS549" s="5"/>
      <c r="DT549" s="5"/>
      <c r="DU549" s="5"/>
      <c r="DV549" s="5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5"/>
      <c r="CT550" s="5"/>
      <c r="CU550" s="5"/>
      <c r="CV550" s="5"/>
      <c r="CW550" s="5"/>
      <c r="CX550" s="5"/>
      <c r="CY550" s="5"/>
      <c r="CZ550" s="5"/>
      <c r="DA550" s="5"/>
      <c r="DB550" s="5"/>
      <c r="DC550" s="5"/>
      <c r="DD550" s="5"/>
      <c r="DE550" s="5"/>
      <c r="DF550" s="5"/>
      <c r="DG550" s="5"/>
      <c r="DH550" s="5"/>
      <c r="DI550" s="5"/>
      <c r="DJ550" s="5"/>
      <c r="DK550" s="5"/>
      <c r="DL550" s="5"/>
      <c r="DM550" s="5"/>
      <c r="DN550" s="5"/>
      <c r="DO550" s="5"/>
      <c r="DP550" s="5"/>
      <c r="DQ550" s="5"/>
      <c r="DR550" s="5"/>
      <c r="DS550" s="5"/>
      <c r="DT550" s="5"/>
      <c r="DU550" s="5"/>
      <c r="DV550" s="5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5"/>
      <c r="CT551" s="5"/>
      <c r="CU551" s="5"/>
      <c r="CV551" s="5"/>
      <c r="CW551" s="5"/>
      <c r="CX551" s="5"/>
      <c r="CY551" s="5"/>
      <c r="CZ551" s="5"/>
      <c r="DA551" s="5"/>
      <c r="DB551" s="5"/>
      <c r="DC551" s="5"/>
      <c r="DD551" s="5"/>
      <c r="DE551" s="5"/>
      <c r="DF551" s="5"/>
      <c r="DG551" s="5"/>
      <c r="DH551" s="5"/>
      <c r="DI551" s="5"/>
      <c r="DJ551" s="5"/>
      <c r="DK551" s="5"/>
      <c r="DL551" s="5"/>
      <c r="DM551" s="5"/>
      <c r="DN551" s="5"/>
      <c r="DO551" s="5"/>
      <c r="DP551" s="5"/>
      <c r="DQ551" s="5"/>
      <c r="DR551" s="5"/>
      <c r="DS551" s="5"/>
      <c r="DT551" s="5"/>
      <c r="DU551" s="5"/>
      <c r="DV551" s="5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5"/>
      <c r="CT552" s="5"/>
      <c r="CU552" s="5"/>
      <c r="CV552" s="5"/>
      <c r="CW552" s="5"/>
      <c r="CX552" s="5"/>
      <c r="CY552" s="5"/>
      <c r="CZ552" s="5"/>
      <c r="DA552" s="5"/>
      <c r="DB552" s="5"/>
      <c r="DC552" s="5"/>
      <c r="DD552" s="5"/>
      <c r="DE552" s="5"/>
      <c r="DF552" s="5"/>
      <c r="DG552" s="5"/>
      <c r="DH552" s="5"/>
      <c r="DI552" s="5"/>
      <c r="DJ552" s="5"/>
      <c r="DK552" s="5"/>
      <c r="DL552" s="5"/>
      <c r="DM552" s="5"/>
      <c r="DN552" s="5"/>
      <c r="DO552" s="5"/>
      <c r="DP552" s="5"/>
      <c r="DQ552" s="5"/>
      <c r="DR552" s="5"/>
      <c r="DS552" s="5"/>
      <c r="DT552" s="5"/>
      <c r="DU552" s="5"/>
      <c r="DV552" s="5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5"/>
      <c r="CT554" s="5"/>
      <c r="CU554" s="5"/>
      <c r="CV554" s="5"/>
      <c r="CW554" s="5"/>
      <c r="CX554" s="5"/>
      <c r="CY554" s="5"/>
      <c r="CZ554" s="5"/>
      <c r="DA554" s="5"/>
      <c r="DB554" s="5"/>
      <c r="DC554" s="5"/>
      <c r="DD554" s="5"/>
      <c r="DE554" s="5"/>
      <c r="DF554" s="5"/>
      <c r="DG554" s="5"/>
      <c r="DH554" s="5"/>
      <c r="DI554" s="5"/>
      <c r="DJ554" s="5"/>
      <c r="DK554" s="5"/>
      <c r="DL554" s="5"/>
      <c r="DM554" s="5"/>
      <c r="DN554" s="5"/>
      <c r="DO554" s="5"/>
      <c r="DP554" s="5"/>
      <c r="DQ554" s="5"/>
      <c r="DR554" s="5"/>
      <c r="DS554" s="5"/>
      <c r="DT554" s="5"/>
      <c r="DU554" s="5"/>
      <c r="DV554" s="5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5"/>
      <c r="CT555" s="5"/>
      <c r="CU555" s="5"/>
      <c r="CV555" s="5"/>
      <c r="CW555" s="5"/>
      <c r="CX555" s="5"/>
      <c r="CY555" s="5"/>
      <c r="CZ555" s="5"/>
      <c r="DA555" s="5"/>
      <c r="DB555" s="5"/>
      <c r="DC555" s="5"/>
      <c r="DD555" s="5"/>
      <c r="DE555" s="5"/>
      <c r="DF555" s="5"/>
      <c r="DG555" s="5"/>
      <c r="DH555" s="5"/>
      <c r="DI555" s="5"/>
      <c r="DJ555" s="5"/>
      <c r="DK555" s="5"/>
      <c r="DL555" s="5"/>
      <c r="DM555" s="5"/>
      <c r="DN555" s="5"/>
      <c r="DO555" s="5"/>
      <c r="DP555" s="5"/>
      <c r="DQ555" s="5"/>
      <c r="DR555" s="5"/>
      <c r="DS555" s="5"/>
      <c r="DT555" s="5"/>
      <c r="DU555" s="5"/>
      <c r="DV555" s="5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5"/>
      <c r="CT556" s="5"/>
      <c r="CU556" s="5"/>
      <c r="CV556" s="5"/>
      <c r="CW556" s="5"/>
      <c r="CX556" s="5"/>
      <c r="CY556" s="5"/>
      <c r="CZ556" s="5"/>
      <c r="DA556" s="5"/>
      <c r="DB556" s="5"/>
      <c r="DC556" s="5"/>
      <c r="DD556" s="5"/>
      <c r="DE556" s="5"/>
      <c r="DF556" s="5"/>
      <c r="DG556" s="5"/>
      <c r="DH556" s="5"/>
      <c r="DI556" s="5"/>
      <c r="DJ556" s="5"/>
      <c r="DK556" s="5"/>
      <c r="DL556" s="5"/>
      <c r="DM556" s="5"/>
      <c r="DN556" s="5"/>
      <c r="DO556" s="5"/>
      <c r="DP556" s="5"/>
      <c r="DQ556" s="5"/>
      <c r="DR556" s="5"/>
      <c r="DS556" s="5"/>
      <c r="DT556" s="5"/>
      <c r="DU556" s="5"/>
      <c r="DV556" s="5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5"/>
      <c r="CT557" s="5"/>
      <c r="CU557" s="5"/>
      <c r="CV557" s="5"/>
      <c r="CW557" s="5"/>
      <c r="CX557" s="5"/>
      <c r="CY557" s="5"/>
      <c r="CZ557" s="5"/>
      <c r="DA557" s="5"/>
      <c r="DB557" s="5"/>
      <c r="DC557" s="5"/>
      <c r="DD557" s="5"/>
      <c r="DE557" s="5"/>
      <c r="DF557" s="5"/>
      <c r="DG557" s="5"/>
      <c r="DH557" s="5"/>
      <c r="DI557" s="5"/>
      <c r="DJ557" s="5"/>
      <c r="DK557" s="5"/>
      <c r="DL557" s="5"/>
      <c r="DM557" s="5"/>
      <c r="DN557" s="5"/>
      <c r="DO557" s="5"/>
      <c r="DP557" s="5"/>
      <c r="DQ557" s="5"/>
      <c r="DR557" s="5"/>
      <c r="DS557" s="5"/>
      <c r="DT557" s="5"/>
      <c r="DU557" s="5"/>
      <c r="DV557" s="5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5"/>
      <c r="CT558" s="5"/>
      <c r="CU558" s="5"/>
      <c r="CV558" s="5"/>
      <c r="CW558" s="5"/>
      <c r="CX558" s="5"/>
      <c r="CY558" s="5"/>
      <c r="CZ558" s="5"/>
      <c r="DA558" s="5"/>
      <c r="DB558" s="5"/>
      <c r="DC558" s="5"/>
      <c r="DD558" s="5"/>
      <c r="DE558" s="5"/>
      <c r="DF558" s="5"/>
      <c r="DG558" s="5"/>
      <c r="DH558" s="5"/>
      <c r="DI558" s="5"/>
      <c r="DJ558" s="5"/>
      <c r="DK558" s="5"/>
      <c r="DL558" s="5"/>
      <c r="DM558" s="5"/>
      <c r="DN558" s="5"/>
      <c r="DO558" s="5"/>
      <c r="DP558" s="5"/>
      <c r="DQ558" s="5"/>
      <c r="DR558" s="5"/>
      <c r="DS558" s="5"/>
      <c r="DT558" s="5"/>
      <c r="DU558" s="5"/>
      <c r="DV558" s="5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5"/>
      <c r="CT559" s="5"/>
      <c r="CU559" s="5"/>
      <c r="CV559" s="5"/>
      <c r="CW559" s="5"/>
      <c r="CX559" s="5"/>
      <c r="CY559" s="5"/>
      <c r="CZ559" s="5"/>
      <c r="DA559" s="5"/>
      <c r="DB559" s="5"/>
      <c r="DC559" s="5"/>
      <c r="DD559" s="5"/>
      <c r="DE559" s="5"/>
      <c r="DF559" s="5"/>
      <c r="DG559" s="5"/>
      <c r="DH559" s="5"/>
      <c r="DI559" s="5"/>
      <c r="DJ559" s="5"/>
      <c r="DK559" s="5"/>
      <c r="DL559" s="5"/>
      <c r="DM559" s="5"/>
      <c r="DN559" s="5"/>
      <c r="DO559" s="5"/>
      <c r="DP559" s="5"/>
      <c r="DQ559" s="5"/>
      <c r="DR559" s="5"/>
      <c r="DS559" s="5"/>
      <c r="DT559" s="5"/>
      <c r="DU559" s="5"/>
      <c r="DV559" s="5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5"/>
      <c r="CT560" s="5"/>
      <c r="CU560" s="5"/>
      <c r="CV560" s="5"/>
      <c r="CW560" s="5"/>
      <c r="CX560" s="5"/>
      <c r="CY560" s="5"/>
      <c r="CZ560" s="5"/>
      <c r="DA560" s="5"/>
      <c r="DB560" s="5"/>
      <c r="DC560" s="5"/>
      <c r="DD560" s="5"/>
      <c r="DE560" s="5"/>
      <c r="DF560" s="5"/>
      <c r="DG560" s="5"/>
      <c r="DH560" s="5"/>
      <c r="DI560" s="5"/>
      <c r="DJ560" s="5"/>
      <c r="DK560" s="5"/>
      <c r="DL560" s="5"/>
      <c r="DM560" s="5"/>
      <c r="DN560" s="5"/>
      <c r="DO560" s="5"/>
      <c r="DP560" s="5"/>
      <c r="DQ560" s="5"/>
      <c r="DR560" s="5"/>
      <c r="DS560" s="5"/>
      <c r="DT560" s="5"/>
      <c r="DU560" s="5"/>
      <c r="DV560" s="5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5"/>
      <c r="CT561" s="5"/>
      <c r="CU561" s="5"/>
      <c r="CV561" s="5"/>
      <c r="CW561" s="5"/>
      <c r="CX561" s="5"/>
      <c r="CY561" s="5"/>
      <c r="CZ561" s="5"/>
      <c r="DA561" s="5"/>
      <c r="DB561" s="5"/>
      <c r="DC561" s="5"/>
      <c r="DD561" s="5"/>
      <c r="DE561" s="5"/>
      <c r="DF561" s="5"/>
      <c r="DG561" s="5"/>
      <c r="DH561" s="5"/>
      <c r="DI561" s="5"/>
      <c r="DJ561" s="5"/>
      <c r="DK561" s="5"/>
      <c r="DL561" s="5"/>
      <c r="DM561" s="5"/>
      <c r="DN561" s="5"/>
      <c r="DO561" s="5"/>
      <c r="DP561" s="5"/>
      <c r="DQ561" s="5"/>
      <c r="DR561" s="5"/>
      <c r="DS561" s="5"/>
      <c r="DT561" s="5"/>
      <c r="DU561" s="5"/>
      <c r="DV561" s="5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5"/>
      <c r="CT562" s="5"/>
      <c r="CU562" s="5"/>
      <c r="CV562" s="5"/>
      <c r="CW562" s="5"/>
      <c r="CX562" s="5"/>
      <c r="CY562" s="5"/>
      <c r="CZ562" s="5"/>
      <c r="DA562" s="5"/>
      <c r="DB562" s="5"/>
      <c r="DC562" s="5"/>
      <c r="DD562" s="5"/>
      <c r="DE562" s="5"/>
      <c r="DF562" s="5"/>
      <c r="DG562" s="5"/>
      <c r="DH562" s="5"/>
      <c r="DI562" s="5"/>
      <c r="DJ562" s="5"/>
      <c r="DK562" s="5"/>
      <c r="DL562" s="5"/>
      <c r="DM562" s="5"/>
      <c r="DN562" s="5"/>
      <c r="DO562" s="5"/>
      <c r="DP562" s="5"/>
      <c r="DQ562" s="5"/>
      <c r="DR562" s="5"/>
      <c r="DS562" s="5"/>
      <c r="DT562" s="5"/>
      <c r="DU562" s="5"/>
      <c r="DV562" s="5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5"/>
      <c r="CT563" s="5"/>
      <c r="CU563" s="5"/>
      <c r="CV563" s="5"/>
      <c r="CW563" s="5"/>
      <c r="CX563" s="5"/>
      <c r="CY563" s="5"/>
      <c r="CZ563" s="5"/>
      <c r="DA563" s="5"/>
      <c r="DB563" s="5"/>
      <c r="DC563" s="5"/>
      <c r="DD563" s="5"/>
      <c r="DE563" s="5"/>
      <c r="DF563" s="5"/>
      <c r="DG563" s="5"/>
      <c r="DH563" s="5"/>
      <c r="DI563" s="5"/>
      <c r="DJ563" s="5"/>
      <c r="DK563" s="5"/>
      <c r="DL563" s="5"/>
      <c r="DM563" s="5"/>
      <c r="DN563" s="5"/>
      <c r="DO563" s="5"/>
      <c r="DP563" s="5"/>
      <c r="DQ563" s="5"/>
      <c r="DR563" s="5"/>
      <c r="DS563" s="5"/>
      <c r="DT563" s="5"/>
      <c r="DU563" s="5"/>
      <c r="DV563" s="5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5"/>
      <c r="CT564" s="5"/>
      <c r="CU564" s="5"/>
      <c r="CV564" s="5"/>
      <c r="CW564" s="5"/>
      <c r="CX564" s="5"/>
      <c r="CY564" s="5"/>
      <c r="CZ564" s="5"/>
      <c r="DA564" s="5"/>
      <c r="DB564" s="5"/>
      <c r="DC564" s="5"/>
      <c r="DD564" s="5"/>
      <c r="DE564" s="5"/>
      <c r="DF564" s="5"/>
      <c r="DG564" s="5"/>
      <c r="DH564" s="5"/>
      <c r="DI564" s="5"/>
      <c r="DJ564" s="5"/>
      <c r="DK564" s="5"/>
      <c r="DL564" s="5"/>
      <c r="DM564" s="5"/>
      <c r="DN564" s="5"/>
      <c r="DO564" s="5"/>
      <c r="DP564" s="5"/>
      <c r="DQ564" s="5"/>
      <c r="DR564" s="5"/>
      <c r="DS564" s="5"/>
      <c r="DT564" s="5"/>
      <c r="DU564" s="5"/>
      <c r="DV564" s="5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5"/>
      <c r="CT565" s="5"/>
      <c r="CU565" s="5"/>
      <c r="CV565" s="5"/>
      <c r="CW565" s="5"/>
      <c r="CX565" s="5"/>
      <c r="CY565" s="5"/>
      <c r="CZ565" s="5"/>
      <c r="DA565" s="5"/>
      <c r="DB565" s="5"/>
      <c r="DC565" s="5"/>
      <c r="DD565" s="5"/>
      <c r="DE565" s="5"/>
      <c r="DF565" s="5"/>
      <c r="DG565" s="5"/>
      <c r="DH565" s="5"/>
      <c r="DI565" s="5"/>
      <c r="DJ565" s="5"/>
      <c r="DK565" s="5"/>
      <c r="DL565" s="5"/>
      <c r="DM565" s="5"/>
      <c r="DN565" s="5"/>
      <c r="DO565" s="5"/>
      <c r="DP565" s="5"/>
      <c r="DQ565" s="5"/>
      <c r="DR565" s="5"/>
      <c r="DS565" s="5"/>
      <c r="DT565" s="5"/>
      <c r="DU565" s="5"/>
      <c r="DV565" s="5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5"/>
      <c r="CT566" s="5"/>
      <c r="CU566" s="5"/>
      <c r="CV566" s="5"/>
      <c r="CW566" s="5"/>
      <c r="CX566" s="5"/>
      <c r="CY566" s="5"/>
      <c r="CZ566" s="5"/>
      <c r="DA566" s="5"/>
      <c r="DB566" s="5"/>
      <c r="DC566" s="5"/>
      <c r="DD566" s="5"/>
      <c r="DE566" s="5"/>
      <c r="DF566" s="5"/>
      <c r="DG566" s="5"/>
      <c r="DH566" s="5"/>
      <c r="DI566" s="5"/>
      <c r="DJ566" s="5"/>
      <c r="DK566" s="5"/>
      <c r="DL566" s="5"/>
      <c r="DM566" s="5"/>
      <c r="DN566" s="5"/>
      <c r="DO566" s="5"/>
      <c r="DP566" s="5"/>
      <c r="DQ566" s="5"/>
      <c r="DR566" s="5"/>
      <c r="DS566" s="5"/>
      <c r="DT566" s="5"/>
      <c r="DU566" s="5"/>
      <c r="DV566" s="5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5"/>
      <c r="CT567" s="5"/>
      <c r="CU567" s="5"/>
      <c r="CV567" s="5"/>
      <c r="CW567" s="5"/>
      <c r="CX567" s="5"/>
      <c r="CY567" s="5"/>
      <c r="CZ567" s="5"/>
      <c r="DA567" s="5"/>
      <c r="DB567" s="5"/>
      <c r="DC567" s="5"/>
      <c r="DD567" s="5"/>
      <c r="DE567" s="5"/>
      <c r="DF567" s="5"/>
      <c r="DG567" s="5"/>
      <c r="DH567" s="5"/>
      <c r="DI567" s="5"/>
      <c r="DJ567" s="5"/>
      <c r="DK567" s="5"/>
      <c r="DL567" s="5"/>
      <c r="DM567" s="5"/>
      <c r="DN567" s="5"/>
      <c r="DO567" s="5"/>
      <c r="DP567" s="5"/>
      <c r="DQ567" s="5"/>
      <c r="DR567" s="5"/>
      <c r="DS567" s="5"/>
      <c r="DT567" s="5"/>
      <c r="DU567" s="5"/>
      <c r="DV567" s="5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5"/>
      <c r="CT568" s="5"/>
      <c r="CU568" s="5"/>
      <c r="CV568" s="5"/>
      <c r="CW568" s="5"/>
      <c r="CX568" s="5"/>
      <c r="CY568" s="5"/>
      <c r="CZ568" s="5"/>
      <c r="DA568" s="5"/>
      <c r="DB568" s="5"/>
      <c r="DC568" s="5"/>
      <c r="DD568" s="5"/>
      <c r="DE568" s="5"/>
      <c r="DF568" s="5"/>
      <c r="DG568" s="5"/>
      <c r="DH568" s="5"/>
      <c r="DI568" s="5"/>
      <c r="DJ568" s="5"/>
      <c r="DK568" s="5"/>
      <c r="DL568" s="5"/>
      <c r="DM568" s="5"/>
      <c r="DN568" s="5"/>
      <c r="DO568" s="5"/>
      <c r="DP568" s="5"/>
      <c r="DQ568" s="5"/>
      <c r="DR568" s="5"/>
      <c r="DS568" s="5"/>
      <c r="DT568" s="5"/>
      <c r="DU568" s="5"/>
      <c r="DV568" s="5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5"/>
      <c r="CT569" s="5"/>
      <c r="CU569" s="5"/>
      <c r="CV569" s="5"/>
      <c r="CW569" s="5"/>
      <c r="CX569" s="5"/>
      <c r="CY569" s="5"/>
      <c r="CZ569" s="5"/>
      <c r="DA569" s="5"/>
      <c r="DB569" s="5"/>
      <c r="DC569" s="5"/>
      <c r="DD569" s="5"/>
      <c r="DE569" s="5"/>
      <c r="DF569" s="5"/>
      <c r="DG569" s="5"/>
      <c r="DH569" s="5"/>
      <c r="DI569" s="5"/>
      <c r="DJ569" s="5"/>
      <c r="DK569" s="5"/>
      <c r="DL569" s="5"/>
      <c r="DM569" s="5"/>
      <c r="DN569" s="5"/>
      <c r="DO569" s="5"/>
      <c r="DP569" s="5"/>
      <c r="DQ569" s="5"/>
      <c r="DR569" s="5"/>
      <c r="DS569" s="5"/>
      <c r="DT569" s="5"/>
      <c r="DU569" s="5"/>
      <c r="DV569" s="5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5"/>
      <c r="CT570" s="5"/>
      <c r="CU570" s="5"/>
      <c r="CV570" s="5"/>
      <c r="CW570" s="5"/>
      <c r="CX570" s="5"/>
      <c r="CY570" s="5"/>
      <c r="CZ570" s="5"/>
      <c r="DA570" s="5"/>
      <c r="DB570" s="5"/>
      <c r="DC570" s="5"/>
      <c r="DD570" s="5"/>
      <c r="DE570" s="5"/>
      <c r="DF570" s="5"/>
      <c r="DG570" s="5"/>
      <c r="DH570" s="5"/>
      <c r="DI570" s="5"/>
      <c r="DJ570" s="5"/>
      <c r="DK570" s="5"/>
      <c r="DL570" s="5"/>
      <c r="DM570" s="5"/>
      <c r="DN570" s="5"/>
      <c r="DO570" s="5"/>
      <c r="DP570" s="5"/>
      <c r="DQ570" s="5"/>
      <c r="DR570" s="5"/>
      <c r="DS570" s="5"/>
      <c r="DT570" s="5"/>
      <c r="DU570" s="5"/>
      <c r="DV570" s="5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5"/>
      <c r="CT571" s="5"/>
      <c r="CU571" s="5"/>
      <c r="CV571" s="5"/>
      <c r="CW571" s="5"/>
      <c r="CX571" s="5"/>
      <c r="CY571" s="5"/>
      <c r="CZ571" s="5"/>
      <c r="DA571" s="5"/>
      <c r="DB571" s="5"/>
      <c r="DC571" s="5"/>
      <c r="DD571" s="5"/>
      <c r="DE571" s="5"/>
      <c r="DF571" s="5"/>
      <c r="DG571" s="5"/>
      <c r="DH571" s="5"/>
      <c r="DI571" s="5"/>
      <c r="DJ571" s="5"/>
      <c r="DK571" s="5"/>
      <c r="DL571" s="5"/>
      <c r="DM571" s="5"/>
      <c r="DN571" s="5"/>
      <c r="DO571" s="5"/>
      <c r="DP571" s="5"/>
      <c r="DQ571" s="5"/>
      <c r="DR571" s="5"/>
      <c r="DS571" s="5"/>
      <c r="DT571" s="5"/>
      <c r="DU571" s="5"/>
      <c r="DV571" s="5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5"/>
      <c r="CT572" s="5"/>
      <c r="CU572" s="5"/>
      <c r="CV572" s="5"/>
      <c r="CW572" s="5"/>
      <c r="CX572" s="5"/>
      <c r="CY572" s="5"/>
      <c r="CZ572" s="5"/>
      <c r="DA572" s="5"/>
      <c r="DB572" s="5"/>
      <c r="DC572" s="5"/>
      <c r="DD572" s="5"/>
      <c r="DE572" s="5"/>
      <c r="DF572" s="5"/>
      <c r="DG572" s="5"/>
      <c r="DH572" s="5"/>
      <c r="DI572" s="5"/>
      <c r="DJ572" s="5"/>
      <c r="DK572" s="5"/>
      <c r="DL572" s="5"/>
      <c r="DM572" s="5"/>
      <c r="DN572" s="5"/>
      <c r="DO572" s="5"/>
      <c r="DP572" s="5"/>
      <c r="DQ572" s="5"/>
      <c r="DR572" s="5"/>
      <c r="DS572" s="5"/>
      <c r="DT572" s="5"/>
      <c r="DU572" s="5"/>
      <c r="DV572" s="5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5"/>
      <c r="CT573" s="5"/>
      <c r="CU573" s="5"/>
      <c r="CV573" s="5"/>
      <c r="CW573" s="5"/>
      <c r="CX573" s="5"/>
      <c r="CY573" s="5"/>
      <c r="CZ573" s="5"/>
      <c r="DA573" s="5"/>
      <c r="DB573" s="5"/>
      <c r="DC573" s="5"/>
      <c r="DD573" s="5"/>
      <c r="DE573" s="5"/>
      <c r="DF573" s="5"/>
      <c r="DG573" s="5"/>
      <c r="DH573" s="5"/>
      <c r="DI573" s="5"/>
      <c r="DJ573" s="5"/>
      <c r="DK573" s="5"/>
      <c r="DL573" s="5"/>
      <c r="DM573" s="5"/>
      <c r="DN573" s="5"/>
      <c r="DO573" s="5"/>
      <c r="DP573" s="5"/>
      <c r="DQ573" s="5"/>
      <c r="DR573" s="5"/>
      <c r="DS573" s="5"/>
      <c r="DT573" s="5"/>
      <c r="DU573" s="5"/>
      <c r="DV573" s="5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5"/>
      <c r="CT574" s="5"/>
      <c r="CU574" s="5"/>
      <c r="CV574" s="5"/>
      <c r="CW574" s="5"/>
      <c r="CX574" s="5"/>
      <c r="CY574" s="5"/>
      <c r="CZ574" s="5"/>
      <c r="DA574" s="5"/>
      <c r="DB574" s="5"/>
      <c r="DC574" s="5"/>
      <c r="DD574" s="5"/>
      <c r="DE574" s="5"/>
      <c r="DF574" s="5"/>
      <c r="DG574" s="5"/>
      <c r="DH574" s="5"/>
      <c r="DI574" s="5"/>
      <c r="DJ574" s="5"/>
      <c r="DK574" s="5"/>
      <c r="DL574" s="5"/>
      <c r="DM574" s="5"/>
      <c r="DN574" s="5"/>
      <c r="DO574" s="5"/>
      <c r="DP574" s="5"/>
      <c r="DQ574" s="5"/>
      <c r="DR574" s="5"/>
      <c r="DS574" s="5"/>
      <c r="DT574" s="5"/>
      <c r="DU574" s="5"/>
      <c r="DV574" s="5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5"/>
      <c r="CT575" s="5"/>
      <c r="CU575" s="5"/>
      <c r="CV575" s="5"/>
      <c r="CW575" s="5"/>
      <c r="CX575" s="5"/>
      <c r="CY575" s="5"/>
      <c r="CZ575" s="5"/>
      <c r="DA575" s="5"/>
      <c r="DB575" s="5"/>
      <c r="DC575" s="5"/>
      <c r="DD575" s="5"/>
      <c r="DE575" s="5"/>
      <c r="DF575" s="5"/>
      <c r="DG575" s="5"/>
      <c r="DH575" s="5"/>
      <c r="DI575" s="5"/>
      <c r="DJ575" s="5"/>
      <c r="DK575" s="5"/>
      <c r="DL575" s="5"/>
      <c r="DM575" s="5"/>
      <c r="DN575" s="5"/>
      <c r="DO575" s="5"/>
      <c r="DP575" s="5"/>
      <c r="DQ575" s="5"/>
      <c r="DR575" s="5"/>
      <c r="DS575" s="5"/>
      <c r="DT575" s="5"/>
      <c r="DU575" s="5"/>
      <c r="DV575" s="5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5"/>
      <c r="CT576" s="5"/>
      <c r="CU576" s="5"/>
      <c r="CV576" s="5"/>
      <c r="CW576" s="5"/>
      <c r="CX576" s="5"/>
      <c r="CY576" s="5"/>
      <c r="CZ576" s="5"/>
      <c r="DA576" s="5"/>
      <c r="DB576" s="5"/>
      <c r="DC576" s="5"/>
      <c r="DD576" s="5"/>
      <c r="DE576" s="5"/>
      <c r="DF576" s="5"/>
      <c r="DG576" s="5"/>
      <c r="DH576" s="5"/>
      <c r="DI576" s="5"/>
      <c r="DJ576" s="5"/>
      <c r="DK576" s="5"/>
      <c r="DL576" s="5"/>
      <c r="DM576" s="5"/>
      <c r="DN576" s="5"/>
      <c r="DO576" s="5"/>
      <c r="DP576" s="5"/>
      <c r="DQ576" s="5"/>
      <c r="DR576" s="5"/>
      <c r="DS576" s="5"/>
      <c r="DT576" s="5"/>
      <c r="DU576" s="5"/>
      <c r="DV576" s="5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5"/>
      <c r="CT577" s="5"/>
      <c r="CU577" s="5"/>
      <c r="CV577" s="5"/>
      <c r="CW577" s="5"/>
      <c r="CX577" s="5"/>
      <c r="CY577" s="5"/>
      <c r="CZ577" s="5"/>
      <c r="DA577" s="5"/>
      <c r="DB577" s="5"/>
      <c r="DC577" s="5"/>
      <c r="DD577" s="5"/>
      <c r="DE577" s="5"/>
      <c r="DF577" s="5"/>
      <c r="DG577" s="5"/>
      <c r="DH577" s="5"/>
      <c r="DI577" s="5"/>
      <c r="DJ577" s="5"/>
      <c r="DK577" s="5"/>
      <c r="DL577" s="5"/>
      <c r="DM577" s="5"/>
      <c r="DN577" s="5"/>
      <c r="DO577" s="5"/>
      <c r="DP577" s="5"/>
      <c r="DQ577" s="5"/>
      <c r="DR577" s="5"/>
      <c r="DS577" s="5"/>
      <c r="DT577" s="5"/>
      <c r="DU577" s="5"/>
      <c r="DV577" s="5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5"/>
      <c r="CT578" s="5"/>
      <c r="CU578" s="5"/>
      <c r="CV578" s="5"/>
      <c r="CW578" s="5"/>
      <c r="CX578" s="5"/>
      <c r="CY578" s="5"/>
      <c r="CZ578" s="5"/>
      <c r="DA578" s="5"/>
      <c r="DB578" s="5"/>
      <c r="DC578" s="5"/>
      <c r="DD578" s="5"/>
      <c r="DE578" s="5"/>
      <c r="DF578" s="5"/>
      <c r="DG578" s="5"/>
      <c r="DH578" s="5"/>
      <c r="DI578" s="5"/>
      <c r="DJ578" s="5"/>
      <c r="DK578" s="5"/>
      <c r="DL578" s="5"/>
      <c r="DM578" s="5"/>
      <c r="DN578" s="5"/>
      <c r="DO578" s="5"/>
      <c r="DP578" s="5"/>
      <c r="DQ578" s="5"/>
      <c r="DR578" s="5"/>
      <c r="DS578" s="5"/>
      <c r="DT578" s="5"/>
      <c r="DU578" s="5"/>
      <c r="DV578" s="5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5"/>
      <c r="CT579" s="5"/>
      <c r="CU579" s="5"/>
      <c r="CV579" s="5"/>
      <c r="CW579" s="5"/>
      <c r="CX579" s="5"/>
      <c r="CY579" s="5"/>
      <c r="CZ579" s="5"/>
      <c r="DA579" s="5"/>
      <c r="DB579" s="5"/>
      <c r="DC579" s="5"/>
      <c r="DD579" s="5"/>
      <c r="DE579" s="5"/>
      <c r="DF579" s="5"/>
      <c r="DG579" s="5"/>
      <c r="DH579" s="5"/>
      <c r="DI579" s="5"/>
      <c r="DJ579" s="5"/>
      <c r="DK579" s="5"/>
      <c r="DL579" s="5"/>
      <c r="DM579" s="5"/>
      <c r="DN579" s="5"/>
      <c r="DO579" s="5"/>
      <c r="DP579" s="5"/>
      <c r="DQ579" s="5"/>
      <c r="DR579" s="5"/>
      <c r="DS579" s="5"/>
      <c r="DT579" s="5"/>
      <c r="DU579" s="5"/>
      <c r="DV579" s="5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5"/>
      <c r="CT580" s="5"/>
      <c r="CU580" s="5"/>
      <c r="CV580" s="5"/>
      <c r="CW580" s="5"/>
      <c r="CX580" s="5"/>
      <c r="CY580" s="5"/>
      <c r="CZ580" s="5"/>
      <c r="DA580" s="5"/>
      <c r="DB580" s="5"/>
      <c r="DC580" s="5"/>
      <c r="DD580" s="5"/>
      <c r="DE580" s="5"/>
      <c r="DF580" s="5"/>
      <c r="DG580" s="5"/>
      <c r="DH580" s="5"/>
      <c r="DI580" s="5"/>
      <c r="DJ580" s="5"/>
      <c r="DK580" s="5"/>
      <c r="DL580" s="5"/>
      <c r="DM580" s="5"/>
      <c r="DN580" s="5"/>
      <c r="DO580" s="5"/>
      <c r="DP580" s="5"/>
      <c r="DQ580" s="5"/>
      <c r="DR580" s="5"/>
      <c r="DS580" s="5"/>
      <c r="DT580" s="5"/>
      <c r="DU580" s="5"/>
      <c r="DV580" s="5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5"/>
      <c r="CT581" s="5"/>
      <c r="CU581" s="5"/>
      <c r="CV581" s="5"/>
      <c r="CW581" s="5"/>
      <c r="CX581" s="5"/>
      <c r="CY581" s="5"/>
      <c r="CZ581" s="5"/>
      <c r="DA581" s="5"/>
      <c r="DB581" s="5"/>
      <c r="DC581" s="5"/>
      <c r="DD581" s="5"/>
      <c r="DE581" s="5"/>
      <c r="DF581" s="5"/>
      <c r="DG581" s="5"/>
      <c r="DH581" s="5"/>
      <c r="DI581" s="5"/>
      <c r="DJ581" s="5"/>
      <c r="DK581" s="5"/>
      <c r="DL581" s="5"/>
      <c r="DM581" s="5"/>
      <c r="DN581" s="5"/>
      <c r="DO581" s="5"/>
      <c r="DP581" s="5"/>
      <c r="DQ581" s="5"/>
      <c r="DR581" s="5"/>
      <c r="DS581" s="5"/>
      <c r="DT581" s="5"/>
      <c r="DU581" s="5"/>
      <c r="DV581" s="5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5"/>
      <c r="CT582" s="5"/>
      <c r="CU582" s="5"/>
      <c r="CV582" s="5"/>
      <c r="CW582" s="5"/>
      <c r="CX582" s="5"/>
      <c r="CY582" s="5"/>
      <c r="CZ582" s="5"/>
      <c r="DA582" s="5"/>
      <c r="DB582" s="5"/>
      <c r="DC582" s="5"/>
      <c r="DD582" s="5"/>
      <c r="DE582" s="5"/>
      <c r="DF582" s="5"/>
      <c r="DG582" s="5"/>
      <c r="DH582" s="5"/>
      <c r="DI582" s="5"/>
      <c r="DJ582" s="5"/>
      <c r="DK582" s="5"/>
      <c r="DL582" s="5"/>
      <c r="DM582" s="5"/>
      <c r="DN582" s="5"/>
      <c r="DO582" s="5"/>
      <c r="DP582" s="5"/>
      <c r="DQ582" s="5"/>
      <c r="DR582" s="5"/>
      <c r="DS582" s="5"/>
      <c r="DT582" s="5"/>
      <c r="DU582" s="5"/>
      <c r="DV582" s="5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5"/>
      <c r="CT583" s="5"/>
      <c r="CU583" s="5"/>
      <c r="CV583" s="5"/>
      <c r="CW583" s="5"/>
      <c r="CX583" s="5"/>
      <c r="CY583" s="5"/>
      <c r="CZ583" s="5"/>
      <c r="DA583" s="5"/>
      <c r="DB583" s="5"/>
      <c r="DC583" s="5"/>
      <c r="DD583" s="5"/>
      <c r="DE583" s="5"/>
      <c r="DF583" s="5"/>
      <c r="DG583" s="5"/>
      <c r="DH583" s="5"/>
      <c r="DI583" s="5"/>
      <c r="DJ583" s="5"/>
      <c r="DK583" s="5"/>
      <c r="DL583" s="5"/>
      <c r="DM583" s="5"/>
      <c r="DN583" s="5"/>
      <c r="DO583" s="5"/>
      <c r="DP583" s="5"/>
      <c r="DQ583" s="5"/>
      <c r="DR583" s="5"/>
      <c r="DS583" s="5"/>
      <c r="DT583" s="5"/>
      <c r="DU583" s="5"/>
      <c r="DV583" s="5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5"/>
      <c r="CT584" s="5"/>
      <c r="CU584" s="5"/>
      <c r="CV584" s="5"/>
      <c r="CW584" s="5"/>
      <c r="CX584" s="5"/>
      <c r="CY584" s="5"/>
      <c r="CZ584" s="5"/>
      <c r="DA584" s="5"/>
      <c r="DB584" s="5"/>
      <c r="DC584" s="5"/>
      <c r="DD584" s="5"/>
      <c r="DE584" s="5"/>
      <c r="DF584" s="5"/>
      <c r="DG584" s="5"/>
      <c r="DH584" s="5"/>
      <c r="DI584" s="5"/>
      <c r="DJ584" s="5"/>
      <c r="DK584" s="5"/>
      <c r="DL584" s="5"/>
      <c r="DM584" s="5"/>
      <c r="DN584" s="5"/>
      <c r="DO584" s="5"/>
      <c r="DP584" s="5"/>
      <c r="DQ584" s="5"/>
      <c r="DR584" s="5"/>
      <c r="DS584" s="5"/>
      <c r="DT584" s="5"/>
      <c r="DU584" s="5"/>
      <c r="DV584" s="5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5"/>
      <c r="CT585" s="5"/>
      <c r="CU585" s="5"/>
      <c r="CV585" s="5"/>
      <c r="CW585" s="5"/>
      <c r="CX585" s="5"/>
      <c r="CY585" s="5"/>
      <c r="CZ585" s="5"/>
      <c r="DA585" s="5"/>
      <c r="DB585" s="5"/>
      <c r="DC585" s="5"/>
      <c r="DD585" s="5"/>
      <c r="DE585" s="5"/>
      <c r="DF585" s="5"/>
      <c r="DG585" s="5"/>
      <c r="DH585" s="5"/>
      <c r="DI585" s="5"/>
      <c r="DJ585" s="5"/>
      <c r="DK585" s="5"/>
      <c r="DL585" s="5"/>
      <c r="DM585" s="5"/>
      <c r="DN585" s="5"/>
      <c r="DO585" s="5"/>
      <c r="DP585" s="5"/>
      <c r="DQ585" s="5"/>
      <c r="DR585" s="5"/>
      <c r="DS585" s="5"/>
      <c r="DT585" s="5"/>
      <c r="DU585" s="5"/>
      <c r="DV585" s="5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5"/>
      <c r="CT586" s="5"/>
      <c r="CU586" s="5"/>
      <c r="CV586" s="5"/>
      <c r="CW586" s="5"/>
      <c r="CX586" s="5"/>
      <c r="CY586" s="5"/>
      <c r="CZ586" s="5"/>
      <c r="DA586" s="5"/>
      <c r="DB586" s="5"/>
      <c r="DC586" s="5"/>
      <c r="DD586" s="5"/>
      <c r="DE586" s="5"/>
      <c r="DF586" s="5"/>
      <c r="DG586" s="5"/>
      <c r="DH586" s="5"/>
      <c r="DI586" s="5"/>
      <c r="DJ586" s="5"/>
      <c r="DK586" s="5"/>
      <c r="DL586" s="5"/>
      <c r="DM586" s="5"/>
      <c r="DN586" s="5"/>
      <c r="DO586" s="5"/>
      <c r="DP586" s="5"/>
      <c r="DQ586" s="5"/>
      <c r="DR586" s="5"/>
      <c r="DS586" s="5"/>
      <c r="DT586" s="5"/>
      <c r="DU586" s="5"/>
      <c r="DV586" s="5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5"/>
      <c r="CT587" s="5"/>
      <c r="CU587" s="5"/>
      <c r="CV587" s="5"/>
      <c r="CW587" s="5"/>
      <c r="CX587" s="5"/>
      <c r="CY587" s="5"/>
      <c r="CZ587" s="5"/>
      <c r="DA587" s="5"/>
      <c r="DB587" s="5"/>
      <c r="DC587" s="5"/>
      <c r="DD587" s="5"/>
      <c r="DE587" s="5"/>
      <c r="DF587" s="5"/>
      <c r="DG587" s="5"/>
      <c r="DH587" s="5"/>
      <c r="DI587" s="5"/>
      <c r="DJ587" s="5"/>
      <c r="DK587" s="5"/>
      <c r="DL587" s="5"/>
      <c r="DM587" s="5"/>
      <c r="DN587" s="5"/>
      <c r="DO587" s="5"/>
      <c r="DP587" s="5"/>
      <c r="DQ587" s="5"/>
      <c r="DR587" s="5"/>
      <c r="DS587" s="5"/>
      <c r="DT587" s="5"/>
      <c r="DU587" s="5"/>
      <c r="DV587" s="5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5"/>
      <c r="CT588" s="5"/>
      <c r="CU588" s="5"/>
      <c r="CV588" s="5"/>
      <c r="CW588" s="5"/>
      <c r="CX588" s="5"/>
      <c r="CY588" s="5"/>
      <c r="CZ588" s="5"/>
      <c r="DA588" s="5"/>
      <c r="DB588" s="5"/>
      <c r="DC588" s="5"/>
      <c r="DD588" s="5"/>
      <c r="DE588" s="5"/>
      <c r="DF588" s="5"/>
      <c r="DG588" s="5"/>
      <c r="DH588" s="5"/>
      <c r="DI588" s="5"/>
      <c r="DJ588" s="5"/>
      <c r="DK588" s="5"/>
      <c r="DL588" s="5"/>
      <c r="DM588" s="5"/>
      <c r="DN588" s="5"/>
      <c r="DO588" s="5"/>
      <c r="DP588" s="5"/>
      <c r="DQ588" s="5"/>
      <c r="DR588" s="5"/>
      <c r="DS588" s="5"/>
      <c r="DT588" s="5"/>
      <c r="DU588" s="5"/>
      <c r="DV588" s="5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5"/>
      <c r="CT589" s="5"/>
      <c r="CU589" s="5"/>
      <c r="CV589" s="5"/>
      <c r="CW589" s="5"/>
      <c r="CX589" s="5"/>
      <c r="CY589" s="5"/>
      <c r="CZ589" s="5"/>
      <c r="DA589" s="5"/>
      <c r="DB589" s="5"/>
      <c r="DC589" s="5"/>
      <c r="DD589" s="5"/>
      <c r="DE589" s="5"/>
      <c r="DF589" s="5"/>
      <c r="DG589" s="5"/>
      <c r="DH589" s="5"/>
      <c r="DI589" s="5"/>
      <c r="DJ589" s="5"/>
      <c r="DK589" s="5"/>
      <c r="DL589" s="5"/>
      <c r="DM589" s="5"/>
      <c r="DN589" s="5"/>
      <c r="DO589" s="5"/>
      <c r="DP589" s="5"/>
      <c r="DQ589" s="5"/>
      <c r="DR589" s="5"/>
      <c r="DS589" s="5"/>
      <c r="DT589" s="5"/>
      <c r="DU589" s="5"/>
      <c r="DV589" s="5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5"/>
      <c r="CT590" s="5"/>
      <c r="CU590" s="5"/>
      <c r="CV590" s="5"/>
      <c r="CW590" s="5"/>
      <c r="CX590" s="5"/>
      <c r="CY590" s="5"/>
      <c r="CZ590" s="5"/>
      <c r="DA590" s="5"/>
      <c r="DB590" s="5"/>
      <c r="DC590" s="5"/>
      <c r="DD590" s="5"/>
      <c r="DE590" s="5"/>
      <c r="DF590" s="5"/>
      <c r="DG590" s="5"/>
      <c r="DH590" s="5"/>
      <c r="DI590" s="5"/>
      <c r="DJ590" s="5"/>
      <c r="DK590" s="5"/>
      <c r="DL590" s="5"/>
      <c r="DM590" s="5"/>
      <c r="DN590" s="5"/>
      <c r="DO590" s="5"/>
      <c r="DP590" s="5"/>
      <c r="DQ590" s="5"/>
      <c r="DR590" s="5"/>
      <c r="DS590" s="5"/>
      <c r="DT590" s="5"/>
      <c r="DU590" s="5"/>
      <c r="DV590" s="5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5"/>
      <c r="CT591" s="5"/>
      <c r="CU591" s="5"/>
      <c r="CV591" s="5"/>
      <c r="CW591" s="5"/>
      <c r="CX591" s="5"/>
      <c r="CY591" s="5"/>
      <c r="CZ591" s="5"/>
      <c r="DA591" s="5"/>
      <c r="DB591" s="5"/>
      <c r="DC591" s="5"/>
      <c r="DD591" s="5"/>
      <c r="DE591" s="5"/>
      <c r="DF591" s="5"/>
      <c r="DG591" s="5"/>
      <c r="DH591" s="5"/>
      <c r="DI591" s="5"/>
      <c r="DJ591" s="5"/>
      <c r="DK591" s="5"/>
      <c r="DL591" s="5"/>
      <c r="DM591" s="5"/>
      <c r="DN591" s="5"/>
      <c r="DO591" s="5"/>
      <c r="DP591" s="5"/>
      <c r="DQ591" s="5"/>
      <c r="DR591" s="5"/>
      <c r="DS591" s="5"/>
      <c r="DT591" s="5"/>
      <c r="DU591" s="5"/>
      <c r="DV591" s="5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5"/>
      <c r="CT592" s="5"/>
      <c r="CU592" s="5"/>
      <c r="CV592" s="5"/>
      <c r="CW592" s="5"/>
      <c r="CX592" s="5"/>
      <c r="CY592" s="5"/>
      <c r="CZ592" s="5"/>
      <c r="DA592" s="5"/>
      <c r="DB592" s="5"/>
      <c r="DC592" s="5"/>
      <c r="DD592" s="5"/>
      <c r="DE592" s="5"/>
      <c r="DF592" s="5"/>
      <c r="DG592" s="5"/>
      <c r="DH592" s="5"/>
      <c r="DI592" s="5"/>
      <c r="DJ592" s="5"/>
      <c r="DK592" s="5"/>
      <c r="DL592" s="5"/>
      <c r="DM592" s="5"/>
      <c r="DN592" s="5"/>
      <c r="DO592" s="5"/>
      <c r="DP592" s="5"/>
      <c r="DQ592" s="5"/>
      <c r="DR592" s="5"/>
      <c r="DS592" s="5"/>
      <c r="DT592" s="5"/>
      <c r="DU592" s="5"/>
      <c r="DV592" s="5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5"/>
      <c r="CT593" s="5"/>
      <c r="CU593" s="5"/>
      <c r="CV593" s="5"/>
      <c r="CW593" s="5"/>
      <c r="CX593" s="5"/>
      <c r="CY593" s="5"/>
      <c r="CZ593" s="5"/>
      <c r="DA593" s="5"/>
      <c r="DB593" s="5"/>
      <c r="DC593" s="5"/>
      <c r="DD593" s="5"/>
      <c r="DE593" s="5"/>
      <c r="DF593" s="5"/>
      <c r="DG593" s="5"/>
      <c r="DH593" s="5"/>
      <c r="DI593" s="5"/>
      <c r="DJ593" s="5"/>
      <c r="DK593" s="5"/>
      <c r="DL593" s="5"/>
      <c r="DM593" s="5"/>
      <c r="DN593" s="5"/>
      <c r="DO593" s="5"/>
      <c r="DP593" s="5"/>
      <c r="DQ593" s="5"/>
      <c r="DR593" s="5"/>
      <c r="DS593" s="5"/>
      <c r="DT593" s="5"/>
      <c r="DU593" s="5"/>
      <c r="DV593" s="5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5"/>
      <c r="CT594" s="5"/>
      <c r="CU594" s="5"/>
      <c r="CV594" s="5"/>
      <c r="CW594" s="5"/>
      <c r="CX594" s="5"/>
      <c r="CY594" s="5"/>
      <c r="CZ594" s="5"/>
      <c r="DA594" s="5"/>
      <c r="DB594" s="5"/>
      <c r="DC594" s="5"/>
      <c r="DD594" s="5"/>
      <c r="DE594" s="5"/>
      <c r="DF594" s="5"/>
      <c r="DG594" s="5"/>
      <c r="DH594" s="5"/>
      <c r="DI594" s="5"/>
      <c r="DJ594" s="5"/>
      <c r="DK594" s="5"/>
      <c r="DL594" s="5"/>
      <c r="DM594" s="5"/>
      <c r="DN594" s="5"/>
      <c r="DO594" s="5"/>
      <c r="DP594" s="5"/>
      <c r="DQ594" s="5"/>
      <c r="DR594" s="5"/>
      <c r="DS594" s="5"/>
      <c r="DT594" s="5"/>
      <c r="DU594" s="5"/>
      <c r="DV594" s="5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5"/>
      <c r="CT595" s="5"/>
      <c r="CU595" s="5"/>
      <c r="CV595" s="5"/>
      <c r="CW595" s="5"/>
      <c r="CX595" s="5"/>
      <c r="CY595" s="5"/>
      <c r="CZ595" s="5"/>
      <c r="DA595" s="5"/>
      <c r="DB595" s="5"/>
      <c r="DC595" s="5"/>
      <c r="DD595" s="5"/>
      <c r="DE595" s="5"/>
      <c r="DF595" s="5"/>
      <c r="DG595" s="5"/>
      <c r="DH595" s="5"/>
      <c r="DI595" s="5"/>
      <c r="DJ595" s="5"/>
      <c r="DK595" s="5"/>
      <c r="DL595" s="5"/>
      <c r="DM595" s="5"/>
      <c r="DN595" s="5"/>
      <c r="DO595" s="5"/>
      <c r="DP595" s="5"/>
      <c r="DQ595" s="5"/>
      <c r="DR595" s="5"/>
      <c r="DS595" s="5"/>
      <c r="DT595" s="5"/>
      <c r="DU595" s="5"/>
      <c r="DV595" s="5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5"/>
      <c r="CT596" s="5"/>
      <c r="CU596" s="5"/>
      <c r="CV596" s="5"/>
      <c r="CW596" s="5"/>
      <c r="CX596" s="5"/>
      <c r="CY596" s="5"/>
      <c r="CZ596" s="5"/>
      <c r="DA596" s="5"/>
      <c r="DB596" s="5"/>
      <c r="DC596" s="5"/>
      <c r="DD596" s="5"/>
      <c r="DE596" s="5"/>
      <c r="DF596" s="5"/>
      <c r="DG596" s="5"/>
      <c r="DH596" s="5"/>
      <c r="DI596" s="5"/>
      <c r="DJ596" s="5"/>
      <c r="DK596" s="5"/>
      <c r="DL596" s="5"/>
      <c r="DM596" s="5"/>
      <c r="DN596" s="5"/>
      <c r="DO596" s="5"/>
      <c r="DP596" s="5"/>
      <c r="DQ596" s="5"/>
      <c r="DR596" s="5"/>
      <c r="DS596" s="5"/>
      <c r="DT596" s="5"/>
      <c r="DU596" s="5"/>
      <c r="DV596" s="5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5"/>
      <c r="CT597" s="5"/>
      <c r="CU597" s="5"/>
      <c r="CV597" s="5"/>
      <c r="CW597" s="5"/>
      <c r="CX597" s="5"/>
      <c r="CY597" s="5"/>
      <c r="CZ597" s="5"/>
      <c r="DA597" s="5"/>
      <c r="DB597" s="5"/>
      <c r="DC597" s="5"/>
      <c r="DD597" s="5"/>
      <c r="DE597" s="5"/>
      <c r="DF597" s="5"/>
      <c r="DG597" s="5"/>
      <c r="DH597" s="5"/>
      <c r="DI597" s="5"/>
      <c r="DJ597" s="5"/>
      <c r="DK597" s="5"/>
      <c r="DL597" s="5"/>
      <c r="DM597" s="5"/>
      <c r="DN597" s="5"/>
      <c r="DO597" s="5"/>
      <c r="DP597" s="5"/>
      <c r="DQ597" s="5"/>
      <c r="DR597" s="5"/>
      <c r="DS597" s="5"/>
      <c r="DT597" s="5"/>
      <c r="DU597" s="5"/>
      <c r="DV597" s="5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5"/>
      <c r="CT598" s="5"/>
      <c r="CU598" s="5"/>
      <c r="CV598" s="5"/>
      <c r="CW598" s="5"/>
      <c r="CX598" s="5"/>
      <c r="CY598" s="5"/>
      <c r="CZ598" s="5"/>
      <c r="DA598" s="5"/>
      <c r="DB598" s="5"/>
      <c r="DC598" s="5"/>
      <c r="DD598" s="5"/>
      <c r="DE598" s="5"/>
      <c r="DF598" s="5"/>
      <c r="DG598" s="5"/>
      <c r="DH598" s="5"/>
      <c r="DI598" s="5"/>
      <c r="DJ598" s="5"/>
      <c r="DK598" s="5"/>
      <c r="DL598" s="5"/>
      <c r="DM598" s="5"/>
      <c r="DN598" s="5"/>
      <c r="DO598" s="5"/>
      <c r="DP598" s="5"/>
      <c r="DQ598" s="5"/>
      <c r="DR598" s="5"/>
      <c r="DS598" s="5"/>
      <c r="DT598" s="5"/>
      <c r="DU598" s="5"/>
      <c r="DV598" s="5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5"/>
      <c r="CT599" s="5"/>
      <c r="CU599" s="5"/>
      <c r="CV599" s="5"/>
      <c r="CW599" s="5"/>
      <c r="CX599" s="5"/>
      <c r="CY599" s="5"/>
      <c r="CZ599" s="5"/>
      <c r="DA599" s="5"/>
      <c r="DB599" s="5"/>
      <c r="DC599" s="5"/>
      <c r="DD599" s="5"/>
      <c r="DE599" s="5"/>
      <c r="DF599" s="5"/>
      <c r="DG599" s="5"/>
      <c r="DH599" s="5"/>
      <c r="DI599" s="5"/>
      <c r="DJ599" s="5"/>
      <c r="DK599" s="5"/>
      <c r="DL599" s="5"/>
      <c r="DM599" s="5"/>
      <c r="DN599" s="5"/>
      <c r="DO599" s="5"/>
      <c r="DP599" s="5"/>
      <c r="DQ599" s="5"/>
      <c r="DR599" s="5"/>
      <c r="DS599" s="5"/>
      <c r="DT599" s="5"/>
      <c r="DU599" s="5"/>
      <c r="DV599" s="5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5"/>
      <c r="CT600" s="5"/>
      <c r="CU600" s="5"/>
      <c r="CV600" s="5"/>
      <c r="CW600" s="5"/>
      <c r="CX600" s="5"/>
      <c r="CY600" s="5"/>
      <c r="CZ600" s="5"/>
      <c r="DA600" s="5"/>
      <c r="DB600" s="5"/>
      <c r="DC600" s="5"/>
      <c r="DD600" s="5"/>
      <c r="DE600" s="5"/>
      <c r="DF600" s="5"/>
      <c r="DG600" s="5"/>
      <c r="DH600" s="5"/>
      <c r="DI600" s="5"/>
      <c r="DJ600" s="5"/>
      <c r="DK600" s="5"/>
      <c r="DL600" s="5"/>
      <c r="DM600" s="5"/>
      <c r="DN600" s="5"/>
      <c r="DO600" s="5"/>
      <c r="DP600" s="5"/>
      <c r="DQ600" s="5"/>
      <c r="DR600" s="5"/>
      <c r="DS600" s="5"/>
      <c r="DT600" s="5"/>
      <c r="DU600" s="5"/>
      <c r="DV600" s="5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5"/>
      <c r="CT601" s="5"/>
      <c r="CU601" s="5"/>
      <c r="CV601" s="5"/>
      <c r="CW601" s="5"/>
      <c r="CX601" s="5"/>
      <c r="CY601" s="5"/>
      <c r="CZ601" s="5"/>
      <c r="DA601" s="5"/>
      <c r="DB601" s="5"/>
      <c r="DC601" s="5"/>
      <c r="DD601" s="5"/>
      <c r="DE601" s="5"/>
      <c r="DF601" s="5"/>
      <c r="DG601" s="5"/>
      <c r="DH601" s="5"/>
      <c r="DI601" s="5"/>
      <c r="DJ601" s="5"/>
      <c r="DK601" s="5"/>
      <c r="DL601" s="5"/>
      <c r="DM601" s="5"/>
      <c r="DN601" s="5"/>
      <c r="DO601" s="5"/>
      <c r="DP601" s="5"/>
      <c r="DQ601" s="5"/>
      <c r="DR601" s="5"/>
      <c r="DS601" s="5"/>
      <c r="DT601" s="5"/>
      <c r="DU601" s="5"/>
      <c r="DV601" s="5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5"/>
      <c r="CT602" s="5"/>
      <c r="CU602" s="5"/>
      <c r="CV602" s="5"/>
      <c r="CW602" s="5"/>
      <c r="CX602" s="5"/>
      <c r="CY602" s="5"/>
      <c r="CZ602" s="5"/>
      <c r="DA602" s="5"/>
      <c r="DB602" s="5"/>
      <c r="DC602" s="5"/>
      <c r="DD602" s="5"/>
      <c r="DE602" s="5"/>
      <c r="DF602" s="5"/>
      <c r="DG602" s="5"/>
      <c r="DH602" s="5"/>
      <c r="DI602" s="5"/>
      <c r="DJ602" s="5"/>
      <c r="DK602" s="5"/>
      <c r="DL602" s="5"/>
      <c r="DM602" s="5"/>
      <c r="DN602" s="5"/>
      <c r="DO602" s="5"/>
      <c r="DP602" s="5"/>
      <c r="DQ602" s="5"/>
      <c r="DR602" s="5"/>
      <c r="DS602" s="5"/>
      <c r="DT602" s="5"/>
      <c r="DU602" s="5"/>
      <c r="DV602" s="5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5"/>
      <c r="CT603" s="5"/>
      <c r="CU603" s="5"/>
      <c r="CV603" s="5"/>
      <c r="CW603" s="5"/>
      <c r="CX603" s="5"/>
      <c r="CY603" s="5"/>
      <c r="CZ603" s="5"/>
      <c r="DA603" s="5"/>
      <c r="DB603" s="5"/>
      <c r="DC603" s="5"/>
      <c r="DD603" s="5"/>
      <c r="DE603" s="5"/>
      <c r="DF603" s="5"/>
      <c r="DG603" s="5"/>
      <c r="DH603" s="5"/>
      <c r="DI603" s="5"/>
      <c r="DJ603" s="5"/>
      <c r="DK603" s="5"/>
      <c r="DL603" s="5"/>
      <c r="DM603" s="5"/>
      <c r="DN603" s="5"/>
      <c r="DO603" s="5"/>
      <c r="DP603" s="5"/>
      <c r="DQ603" s="5"/>
      <c r="DR603" s="5"/>
      <c r="DS603" s="5"/>
      <c r="DT603" s="5"/>
      <c r="DU603" s="5"/>
      <c r="DV603" s="5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5"/>
      <c r="CT604" s="5"/>
      <c r="CU604" s="5"/>
      <c r="CV604" s="5"/>
      <c r="CW604" s="5"/>
      <c r="CX604" s="5"/>
      <c r="CY604" s="5"/>
      <c r="CZ604" s="5"/>
      <c r="DA604" s="5"/>
      <c r="DB604" s="5"/>
      <c r="DC604" s="5"/>
      <c r="DD604" s="5"/>
      <c r="DE604" s="5"/>
      <c r="DF604" s="5"/>
      <c r="DG604" s="5"/>
      <c r="DH604" s="5"/>
      <c r="DI604" s="5"/>
      <c r="DJ604" s="5"/>
      <c r="DK604" s="5"/>
      <c r="DL604" s="5"/>
      <c r="DM604" s="5"/>
      <c r="DN604" s="5"/>
      <c r="DO604" s="5"/>
      <c r="DP604" s="5"/>
      <c r="DQ604" s="5"/>
      <c r="DR604" s="5"/>
      <c r="DS604" s="5"/>
      <c r="DT604" s="5"/>
      <c r="DU604" s="5"/>
      <c r="DV604" s="5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5"/>
      <c r="CT605" s="5"/>
      <c r="CU605" s="5"/>
      <c r="CV605" s="5"/>
      <c r="CW605" s="5"/>
      <c r="CX605" s="5"/>
      <c r="CY605" s="5"/>
      <c r="CZ605" s="5"/>
      <c r="DA605" s="5"/>
      <c r="DB605" s="5"/>
      <c r="DC605" s="5"/>
      <c r="DD605" s="5"/>
      <c r="DE605" s="5"/>
      <c r="DF605" s="5"/>
      <c r="DG605" s="5"/>
      <c r="DH605" s="5"/>
      <c r="DI605" s="5"/>
      <c r="DJ605" s="5"/>
      <c r="DK605" s="5"/>
      <c r="DL605" s="5"/>
      <c r="DM605" s="5"/>
      <c r="DN605" s="5"/>
      <c r="DO605" s="5"/>
      <c r="DP605" s="5"/>
      <c r="DQ605" s="5"/>
      <c r="DR605" s="5"/>
      <c r="DS605" s="5"/>
      <c r="DT605" s="5"/>
      <c r="DU605" s="5"/>
      <c r="DV605" s="5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5"/>
      <c r="CT606" s="5"/>
      <c r="CU606" s="5"/>
      <c r="CV606" s="5"/>
      <c r="CW606" s="5"/>
      <c r="CX606" s="5"/>
      <c r="CY606" s="5"/>
      <c r="CZ606" s="5"/>
      <c r="DA606" s="5"/>
      <c r="DB606" s="5"/>
      <c r="DC606" s="5"/>
      <c r="DD606" s="5"/>
      <c r="DE606" s="5"/>
      <c r="DF606" s="5"/>
      <c r="DG606" s="5"/>
      <c r="DH606" s="5"/>
      <c r="DI606" s="5"/>
      <c r="DJ606" s="5"/>
      <c r="DK606" s="5"/>
      <c r="DL606" s="5"/>
      <c r="DM606" s="5"/>
      <c r="DN606" s="5"/>
      <c r="DO606" s="5"/>
      <c r="DP606" s="5"/>
      <c r="DQ606" s="5"/>
      <c r="DR606" s="5"/>
      <c r="DS606" s="5"/>
      <c r="DT606" s="5"/>
      <c r="DU606" s="5"/>
      <c r="DV606" s="5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5"/>
      <c r="CT607" s="5"/>
      <c r="CU607" s="5"/>
      <c r="CV607" s="5"/>
      <c r="CW607" s="5"/>
      <c r="CX607" s="5"/>
      <c r="CY607" s="5"/>
      <c r="CZ607" s="5"/>
      <c r="DA607" s="5"/>
      <c r="DB607" s="5"/>
      <c r="DC607" s="5"/>
      <c r="DD607" s="5"/>
      <c r="DE607" s="5"/>
      <c r="DF607" s="5"/>
      <c r="DG607" s="5"/>
      <c r="DH607" s="5"/>
      <c r="DI607" s="5"/>
      <c r="DJ607" s="5"/>
      <c r="DK607" s="5"/>
      <c r="DL607" s="5"/>
      <c r="DM607" s="5"/>
      <c r="DN607" s="5"/>
      <c r="DO607" s="5"/>
      <c r="DP607" s="5"/>
      <c r="DQ607" s="5"/>
      <c r="DR607" s="5"/>
      <c r="DS607" s="5"/>
      <c r="DT607" s="5"/>
      <c r="DU607" s="5"/>
      <c r="DV607" s="5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5"/>
      <c r="CT608" s="5"/>
      <c r="CU608" s="5"/>
      <c r="CV608" s="5"/>
      <c r="CW608" s="5"/>
      <c r="CX608" s="5"/>
      <c r="CY608" s="5"/>
      <c r="CZ608" s="5"/>
      <c r="DA608" s="5"/>
      <c r="DB608" s="5"/>
      <c r="DC608" s="5"/>
      <c r="DD608" s="5"/>
      <c r="DE608" s="5"/>
      <c r="DF608" s="5"/>
      <c r="DG608" s="5"/>
      <c r="DH608" s="5"/>
      <c r="DI608" s="5"/>
      <c r="DJ608" s="5"/>
      <c r="DK608" s="5"/>
      <c r="DL608" s="5"/>
      <c r="DM608" s="5"/>
      <c r="DN608" s="5"/>
      <c r="DO608" s="5"/>
      <c r="DP608" s="5"/>
      <c r="DQ608" s="5"/>
      <c r="DR608" s="5"/>
      <c r="DS608" s="5"/>
      <c r="DT608" s="5"/>
      <c r="DU608" s="5"/>
      <c r="DV608" s="5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5"/>
      <c r="CT609" s="5"/>
      <c r="CU609" s="5"/>
      <c r="CV609" s="5"/>
      <c r="CW609" s="5"/>
      <c r="CX609" s="5"/>
      <c r="CY609" s="5"/>
      <c r="CZ609" s="5"/>
      <c r="DA609" s="5"/>
      <c r="DB609" s="5"/>
      <c r="DC609" s="5"/>
      <c r="DD609" s="5"/>
      <c r="DE609" s="5"/>
      <c r="DF609" s="5"/>
      <c r="DG609" s="5"/>
      <c r="DH609" s="5"/>
      <c r="DI609" s="5"/>
      <c r="DJ609" s="5"/>
      <c r="DK609" s="5"/>
      <c r="DL609" s="5"/>
      <c r="DM609" s="5"/>
      <c r="DN609" s="5"/>
      <c r="DO609" s="5"/>
      <c r="DP609" s="5"/>
      <c r="DQ609" s="5"/>
      <c r="DR609" s="5"/>
      <c r="DS609" s="5"/>
      <c r="DT609" s="5"/>
      <c r="DU609" s="5"/>
      <c r="DV609" s="5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5"/>
      <c r="CT610" s="5"/>
      <c r="CU610" s="5"/>
      <c r="CV610" s="5"/>
      <c r="CW610" s="5"/>
      <c r="CX610" s="5"/>
      <c r="CY610" s="5"/>
      <c r="CZ610" s="5"/>
      <c r="DA610" s="5"/>
      <c r="DB610" s="5"/>
      <c r="DC610" s="5"/>
      <c r="DD610" s="5"/>
      <c r="DE610" s="5"/>
      <c r="DF610" s="5"/>
      <c r="DG610" s="5"/>
      <c r="DH610" s="5"/>
      <c r="DI610" s="5"/>
      <c r="DJ610" s="5"/>
      <c r="DK610" s="5"/>
      <c r="DL610" s="5"/>
      <c r="DM610" s="5"/>
      <c r="DN610" s="5"/>
      <c r="DO610" s="5"/>
      <c r="DP610" s="5"/>
      <c r="DQ610" s="5"/>
      <c r="DR610" s="5"/>
      <c r="DS610" s="5"/>
      <c r="DT610" s="5"/>
      <c r="DU610" s="5"/>
      <c r="DV610" s="5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5"/>
      <c r="CT611" s="5"/>
      <c r="CU611" s="5"/>
      <c r="CV611" s="5"/>
      <c r="CW611" s="5"/>
      <c r="CX611" s="5"/>
      <c r="CY611" s="5"/>
      <c r="CZ611" s="5"/>
      <c r="DA611" s="5"/>
      <c r="DB611" s="5"/>
      <c r="DC611" s="5"/>
      <c r="DD611" s="5"/>
      <c r="DE611" s="5"/>
      <c r="DF611" s="5"/>
      <c r="DG611" s="5"/>
      <c r="DH611" s="5"/>
      <c r="DI611" s="5"/>
      <c r="DJ611" s="5"/>
      <c r="DK611" s="5"/>
      <c r="DL611" s="5"/>
      <c r="DM611" s="5"/>
      <c r="DN611" s="5"/>
      <c r="DO611" s="5"/>
      <c r="DP611" s="5"/>
      <c r="DQ611" s="5"/>
      <c r="DR611" s="5"/>
      <c r="DS611" s="5"/>
      <c r="DT611" s="5"/>
      <c r="DU611" s="5"/>
      <c r="DV611" s="5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5"/>
      <c r="CT612" s="5"/>
      <c r="CU612" s="5"/>
      <c r="CV612" s="5"/>
      <c r="CW612" s="5"/>
      <c r="CX612" s="5"/>
      <c r="CY612" s="5"/>
      <c r="CZ612" s="5"/>
      <c r="DA612" s="5"/>
      <c r="DB612" s="5"/>
      <c r="DC612" s="5"/>
      <c r="DD612" s="5"/>
      <c r="DE612" s="5"/>
      <c r="DF612" s="5"/>
      <c r="DG612" s="5"/>
      <c r="DH612" s="5"/>
      <c r="DI612" s="5"/>
      <c r="DJ612" s="5"/>
      <c r="DK612" s="5"/>
      <c r="DL612" s="5"/>
      <c r="DM612" s="5"/>
      <c r="DN612" s="5"/>
      <c r="DO612" s="5"/>
      <c r="DP612" s="5"/>
      <c r="DQ612" s="5"/>
      <c r="DR612" s="5"/>
      <c r="DS612" s="5"/>
      <c r="DT612" s="5"/>
      <c r="DU612" s="5"/>
      <c r="DV612" s="5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5"/>
      <c r="CT613" s="5"/>
      <c r="CU613" s="5"/>
      <c r="CV613" s="5"/>
      <c r="CW613" s="5"/>
      <c r="CX613" s="5"/>
      <c r="CY613" s="5"/>
      <c r="CZ613" s="5"/>
      <c r="DA613" s="5"/>
      <c r="DB613" s="5"/>
      <c r="DC613" s="5"/>
      <c r="DD613" s="5"/>
      <c r="DE613" s="5"/>
      <c r="DF613" s="5"/>
      <c r="DG613" s="5"/>
      <c r="DH613" s="5"/>
      <c r="DI613" s="5"/>
      <c r="DJ613" s="5"/>
      <c r="DK613" s="5"/>
      <c r="DL613" s="5"/>
      <c r="DM613" s="5"/>
      <c r="DN613" s="5"/>
      <c r="DO613" s="5"/>
      <c r="DP613" s="5"/>
      <c r="DQ613" s="5"/>
      <c r="DR613" s="5"/>
      <c r="DS613" s="5"/>
      <c r="DT613" s="5"/>
      <c r="DU613" s="5"/>
      <c r="DV613" s="5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5"/>
      <c r="CT614" s="5"/>
      <c r="CU614" s="5"/>
      <c r="CV614" s="5"/>
      <c r="CW614" s="5"/>
      <c r="CX614" s="5"/>
      <c r="CY614" s="5"/>
      <c r="CZ614" s="5"/>
      <c r="DA614" s="5"/>
      <c r="DB614" s="5"/>
      <c r="DC614" s="5"/>
      <c r="DD614" s="5"/>
      <c r="DE614" s="5"/>
      <c r="DF614" s="5"/>
      <c r="DG614" s="5"/>
      <c r="DH614" s="5"/>
      <c r="DI614" s="5"/>
      <c r="DJ614" s="5"/>
      <c r="DK614" s="5"/>
      <c r="DL614" s="5"/>
      <c r="DM614" s="5"/>
      <c r="DN614" s="5"/>
      <c r="DO614" s="5"/>
      <c r="DP614" s="5"/>
      <c r="DQ614" s="5"/>
      <c r="DR614" s="5"/>
      <c r="DS614" s="5"/>
      <c r="DT614" s="5"/>
      <c r="DU614" s="5"/>
      <c r="DV614" s="5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5"/>
      <c r="CT615" s="5"/>
      <c r="CU615" s="5"/>
      <c r="CV615" s="5"/>
      <c r="CW615" s="5"/>
      <c r="CX615" s="5"/>
      <c r="CY615" s="5"/>
      <c r="CZ615" s="5"/>
      <c r="DA615" s="5"/>
      <c r="DB615" s="5"/>
      <c r="DC615" s="5"/>
      <c r="DD615" s="5"/>
      <c r="DE615" s="5"/>
      <c r="DF615" s="5"/>
      <c r="DG615" s="5"/>
      <c r="DH615" s="5"/>
      <c r="DI615" s="5"/>
      <c r="DJ615" s="5"/>
      <c r="DK615" s="5"/>
      <c r="DL615" s="5"/>
      <c r="DM615" s="5"/>
      <c r="DN615" s="5"/>
      <c r="DO615" s="5"/>
      <c r="DP615" s="5"/>
      <c r="DQ615" s="5"/>
      <c r="DR615" s="5"/>
      <c r="DS615" s="5"/>
      <c r="DT615" s="5"/>
      <c r="DU615" s="5"/>
      <c r="DV615" s="5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5"/>
      <c r="CT616" s="5"/>
      <c r="CU616" s="5"/>
      <c r="CV616" s="5"/>
      <c r="CW616" s="5"/>
      <c r="CX616" s="5"/>
      <c r="CY616" s="5"/>
      <c r="CZ616" s="5"/>
      <c r="DA616" s="5"/>
      <c r="DB616" s="5"/>
      <c r="DC616" s="5"/>
      <c r="DD616" s="5"/>
      <c r="DE616" s="5"/>
      <c r="DF616" s="5"/>
      <c r="DG616" s="5"/>
      <c r="DH616" s="5"/>
      <c r="DI616" s="5"/>
      <c r="DJ616" s="5"/>
      <c r="DK616" s="5"/>
      <c r="DL616" s="5"/>
      <c r="DM616" s="5"/>
      <c r="DN616" s="5"/>
      <c r="DO616" s="5"/>
      <c r="DP616" s="5"/>
      <c r="DQ616" s="5"/>
      <c r="DR616" s="5"/>
      <c r="DS616" s="5"/>
      <c r="DT616" s="5"/>
      <c r="DU616" s="5"/>
      <c r="DV616" s="5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5"/>
      <c r="CT617" s="5"/>
      <c r="CU617" s="5"/>
      <c r="CV617" s="5"/>
      <c r="CW617" s="5"/>
      <c r="CX617" s="5"/>
      <c r="CY617" s="5"/>
      <c r="CZ617" s="5"/>
      <c r="DA617" s="5"/>
      <c r="DB617" s="5"/>
      <c r="DC617" s="5"/>
      <c r="DD617" s="5"/>
      <c r="DE617" s="5"/>
      <c r="DF617" s="5"/>
      <c r="DG617" s="5"/>
      <c r="DH617" s="5"/>
      <c r="DI617" s="5"/>
      <c r="DJ617" s="5"/>
      <c r="DK617" s="5"/>
      <c r="DL617" s="5"/>
      <c r="DM617" s="5"/>
      <c r="DN617" s="5"/>
      <c r="DO617" s="5"/>
      <c r="DP617" s="5"/>
      <c r="DQ617" s="5"/>
      <c r="DR617" s="5"/>
      <c r="DS617" s="5"/>
      <c r="DT617" s="5"/>
      <c r="DU617" s="5"/>
      <c r="DV617" s="5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5"/>
      <c r="CT618" s="5"/>
      <c r="CU618" s="5"/>
      <c r="CV618" s="5"/>
      <c r="CW618" s="5"/>
      <c r="CX618" s="5"/>
      <c r="CY618" s="5"/>
      <c r="CZ618" s="5"/>
      <c r="DA618" s="5"/>
      <c r="DB618" s="5"/>
      <c r="DC618" s="5"/>
      <c r="DD618" s="5"/>
      <c r="DE618" s="5"/>
      <c r="DF618" s="5"/>
      <c r="DG618" s="5"/>
      <c r="DH618" s="5"/>
      <c r="DI618" s="5"/>
      <c r="DJ618" s="5"/>
      <c r="DK618" s="5"/>
      <c r="DL618" s="5"/>
      <c r="DM618" s="5"/>
      <c r="DN618" s="5"/>
      <c r="DO618" s="5"/>
      <c r="DP618" s="5"/>
      <c r="DQ618" s="5"/>
      <c r="DR618" s="5"/>
      <c r="DS618" s="5"/>
      <c r="DT618" s="5"/>
      <c r="DU618" s="5"/>
      <c r="DV618" s="5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5"/>
      <c r="CT619" s="5"/>
      <c r="CU619" s="5"/>
      <c r="CV619" s="5"/>
      <c r="CW619" s="5"/>
      <c r="CX619" s="5"/>
      <c r="CY619" s="5"/>
      <c r="CZ619" s="5"/>
      <c r="DA619" s="5"/>
      <c r="DB619" s="5"/>
      <c r="DC619" s="5"/>
      <c r="DD619" s="5"/>
      <c r="DE619" s="5"/>
      <c r="DF619" s="5"/>
      <c r="DG619" s="5"/>
      <c r="DH619" s="5"/>
      <c r="DI619" s="5"/>
      <c r="DJ619" s="5"/>
      <c r="DK619" s="5"/>
      <c r="DL619" s="5"/>
      <c r="DM619" s="5"/>
      <c r="DN619" s="5"/>
      <c r="DO619" s="5"/>
      <c r="DP619" s="5"/>
      <c r="DQ619" s="5"/>
      <c r="DR619" s="5"/>
      <c r="DS619" s="5"/>
      <c r="DT619" s="5"/>
      <c r="DU619" s="5"/>
      <c r="DV619" s="5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5"/>
      <c r="CT620" s="5"/>
      <c r="CU620" s="5"/>
      <c r="CV620" s="5"/>
      <c r="CW620" s="5"/>
      <c r="CX620" s="5"/>
      <c r="CY620" s="5"/>
      <c r="CZ620" s="5"/>
      <c r="DA620" s="5"/>
      <c r="DB620" s="5"/>
      <c r="DC620" s="5"/>
      <c r="DD620" s="5"/>
      <c r="DE620" s="5"/>
      <c r="DF620" s="5"/>
      <c r="DG620" s="5"/>
      <c r="DH620" s="5"/>
      <c r="DI620" s="5"/>
      <c r="DJ620" s="5"/>
      <c r="DK620" s="5"/>
      <c r="DL620" s="5"/>
      <c r="DM620" s="5"/>
      <c r="DN620" s="5"/>
      <c r="DO620" s="5"/>
      <c r="DP620" s="5"/>
      <c r="DQ620" s="5"/>
      <c r="DR620" s="5"/>
      <c r="DS620" s="5"/>
      <c r="DT620" s="5"/>
      <c r="DU620" s="5"/>
      <c r="DV620" s="5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5"/>
      <c r="CT621" s="5"/>
      <c r="CU621" s="5"/>
      <c r="CV621" s="5"/>
      <c r="CW621" s="5"/>
      <c r="CX621" s="5"/>
      <c r="CY621" s="5"/>
      <c r="CZ621" s="5"/>
      <c r="DA621" s="5"/>
      <c r="DB621" s="5"/>
      <c r="DC621" s="5"/>
      <c r="DD621" s="5"/>
      <c r="DE621" s="5"/>
      <c r="DF621" s="5"/>
      <c r="DG621" s="5"/>
      <c r="DH621" s="5"/>
      <c r="DI621" s="5"/>
      <c r="DJ621" s="5"/>
      <c r="DK621" s="5"/>
      <c r="DL621" s="5"/>
      <c r="DM621" s="5"/>
      <c r="DN621" s="5"/>
      <c r="DO621" s="5"/>
      <c r="DP621" s="5"/>
      <c r="DQ621" s="5"/>
      <c r="DR621" s="5"/>
      <c r="DS621" s="5"/>
      <c r="DT621" s="5"/>
      <c r="DU621" s="5"/>
      <c r="DV621" s="5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5"/>
      <c r="CT622" s="5"/>
      <c r="CU622" s="5"/>
      <c r="CV622" s="5"/>
      <c r="CW622" s="5"/>
      <c r="CX622" s="5"/>
      <c r="CY622" s="5"/>
      <c r="CZ622" s="5"/>
      <c r="DA622" s="5"/>
      <c r="DB622" s="5"/>
      <c r="DC622" s="5"/>
      <c r="DD622" s="5"/>
      <c r="DE622" s="5"/>
      <c r="DF622" s="5"/>
      <c r="DG622" s="5"/>
      <c r="DH622" s="5"/>
      <c r="DI622" s="5"/>
      <c r="DJ622" s="5"/>
      <c r="DK622" s="5"/>
      <c r="DL622" s="5"/>
      <c r="DM622" s="5"/>
      <c r="DN622" s="5"/>
      <c r="DO622" s="5"/>
      <c r="DP622" s="5"/>
      <c r="DQ622" s="5"/>
      <c r="DR622" s="5"/>
      <c r="DS622" s="5"/>
      <c r="DT622" s="5"/>
      <c r="DU622" s="5"/>
      <c r="DV622" s="5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5"/>
      <c r="CT623" s="5"/>
      <c r="CU623" s="5"/>
      <c r="CV623" s="5"/>
      <c r="CW623" s="5"/>
      <c r="CX623" s="5"/>
      <c r="CY623" s="5"/>
      <c r="CZ623" s="5"/>
      <c r="DA623" s="5"/>
      <c r="DB623" s="5"/>
      <c r="DC623" s="5"/>
      <c r="DD623" s="5"/>
      <c r="DE623" s="5"/>
      <c r="DF623" s="5"/>
      <c r="DG623" s="5"/>
      <c r="DH623" s="5"/>
      <c r="DI623" s="5"/>
      <c r="DJ623" s="5"/>
      <c r="DK623" s="5"/>
      <c r="DL623" s="5"/>
      <c r="DM623" s="5"/>
      <c r="DN623" s="5"/>
      <c r="DO623" s="5"/>
      <c r="DP623" s="5"/>
      <c r="DQ623" s="5"/>
      <c r="DR623" s="5"/>
      <c r="DS623" s="5"/>
      <c r="DT623" s="5"/>
      <c r="DU623" s="5"/>
      <c r="DV623" s="5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5"/>
      <c r="CT624" s="5"/>
      <c r="CU624" s="5"/>
      <c r="CV624" s="5"/>
      <c r="CW624" s="5"/>
      <c r="CX624" s="5"/>
      <c r="CY624" s="5"/>
      <c r="CZ624" s="5"/>
      <c r="DA624" s="5"/>
      <c r="DB624" s="5"/>
      <c r="DC624" s="5"/>
      <c r="DD624" s="5"/>
      <c r="DE624" s="5"/>
      <c r="DF624" s="5"/>
      <c r="DG624" s="5"/>
      <c r="DH624" s="5"/>
      <c r="DI624" s="5"/>
      <c r="DJ624" s="5"/>
      <c r="DK624" s="5"/>
      <c r="DL624" s="5"/>
      <c r="DM624" s="5"/>
      <c r="DN624" s="5"/>
      <c r="DO624" s="5"/>
      <c r="DP624" s="5"/>
      <c r="DQ624" s="5"/>
      <c r="DR624" s="5"/>
      <c r="DS624" s="5"/>
      <c r="DT624" s="5"/>
      <c r="DU624" s="5"/>
      <c r="DV624" s="5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5"/>
      <c r="CT625" s="5"/>
      <c r="CU625" s="5"/>
      <c r="CV625" s="5"/>
      <c r="CW625" s="5"/>
      <c r="CX625" s="5"/>
      <c r="CY625" s="5"/>
      <c r="CZ625" s="5"/>
      <c r="DA625" s="5"/>
      <c r="DB625" s="5"/>
      <c r="DC625" s="5"/>
      <c r="DD625" s="5"/>
      <c r="DE625" s="5"/>
      <c r="DF625" s="5"/>
      <c r="DG625" s="5"/>
      <c r="DH625" s="5"/>
      <c r="DI625" s="5"/>
      <c r="DJ625" s="5"/>
      <c r="DK625" s="5"/>
      <c r="DL625" s="5"/>
      <c r="DM625" s="5"/>
      <c r="DN625" s="5"/>
      <c r="DO625" s="5"/>
      <c r="DP625" s="5"/>
      <c r="DQ625" s="5"/>
      <c r="DR625" s="5"/>
      <c r="DS625" s="5"/>
      <c r="DT625" s="5"/>
      <c r="DU625" s="5"/>
      <c r="DV625" s="5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5"/>
      <c r="CT626" s="5"/>
      <c r="CU626" s="5"/>
      <c r="CV626" s="5"/>
      <c r="CW626" s="5"/>
      <c r="CX626" s="5"/>
      <c r="CY626" s="5"/>
      <c r="CZ626" s="5"/>
      <c r="DA626" s="5"/>
      <c r="DB626" s="5"/>
      <c r="DC626" s="5"/>
      <c r="DD626" s="5"/>
      <c r="DE626" s="5"/>
      <c r="DF626" s="5"/>
      <c r="DG626" s="5"/>
      <c r="DH626" s="5"/>
      <c r="DI626" s="5"/>
      <c r="DJ626" s="5"/>
      <c r="DK626" s="5"/>
      <c r="DL626" s="5"/>
      <c r="DM626" s="5"/>
      <c r="DN626" s="5"/>
      <c r="DO626" s="5"/>
      <c r="DP626" s="5"/>
      <c r="DQ626" s="5"/>
      <c r="DR626" s="5"/>
      <c r="DS626" s="5"/>
      <c r="DT626" s="5"/>
      <c r="DU626" s="5"/>
      <c r="DV626" s="5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5"/>
      <c r="CT627" s="5"/>
      <c r="CU627" s="5"/>
      <c r="CV627" s="5"/>
      <c r="CW627" s="5"/>
      <c r="CX627" s="5"/>
      <c r="CY627" s="5"/>
      <c r="CZ627" s="5"/>
      <c r="DA627" s="5"/>
      <c r="DB627" s="5"/>
      <c r="DC627" s="5"/>
      <c r="DD627" s="5"/>
      <c r="DE627" s="5"/>
      <c r="DF627" s="5"/>
      <c r="DG627" s="5"/>
      <c r="DH627" s="5"/>
      <c r="DI627" s="5"/>
      <c r="DJ627" s="5"/>
      <c r="DK627" s="5"/>
      <c r="DL627" s="5"/>
      <c r="DM627" s="5"/>
      <c r="DN627" s="5"/>
      <c r="DO627" s="5"/>
      <c r="DP627" s="5"/>
      <c r="DQ627" s="5"/>
      <c r="DR627" s="5"/>
      <c r="DS627" s="5"/>
      <c r="DT627" s="5"/>
      <c r="DU627" s="5"/>
      <c r="DV627" s="5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5"/>
      <c r="CT628" s="5"/>
      <c r="CU628" s="5"/>
      <c r="CV628" s="5"/>
      <c r="CW628" s="5"/>
      <c r="CX628" s="5"/>
      <c r="CY628" s="5"/>
      <c r="CZ628" s="5"/>
      <c r="DA628" s="5"/>
      <c r="DB628" s="5"/>
      <c r="DC628" s="5"/>
      <c r="DD628" s="5"/>
      <c r="DE628" s="5"/>
      <c r="DF628" s="5"/>
      <c r="DG628" s="5"/>
      <c r="DH628" s="5"/>
      <c r="DI628" s="5"/>
      <c r="DJ628" s="5"/>
      <c r="DK628" s="5"/>
      <c r="DL628" s="5"/>
      <c r="DM628" s="5"/>
      <c r="DN628" s="5"/>
      <c r="DO628" s="5"/>
      <c r="DP628" s="5"/>
      <c r="DQ628" s="5"/>
      <c r="DR628" s="5"/>
      <c r="DS628" s="5"/>
      <c r="DT628" s="5"/>
      <c r="DU628" s="5"/>
      <c r="DV628" s="5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5"/>
      <c r="CT629" s="5"/>
      <c r="CU629" s="5"/>
      <c r="CV629" s="5"/>
      <c r="CW629" s="5"/>
      <c r="CX629" s="5"/>
      <c r="CY629" s="5"/>
      <c r="CZ629" s="5"/>
      <c r="DA629" s="5"/>
      <c r="DB629" s="5"/>
      <c r="DC629" s="5"/>
      <c r="DD629" s="5"/>
      <c r="DE629" s="5"/>
      <c r="DF629" s="5"/>
      <c r="DG629" s="5"/>
      <c r="DH629" s="5"/>
      <c r="DI629" s="5"/>
      <c r="DJ629" s="5"/>
      <c r="DK629" s="5"/>
      <c r="DL629" s="5"/>
      <c r="DM629" s="5"/>
      <c r="DN629" s="5"/>
      <c r="DO629" s="5"/>
      <c r="DP629" s="5"/>
      <c r="DQ629" s="5"/>
      <c r="DR629" s="5"/>
      <c r="DS629" s="5"/>
      <c r="DT629" s="5"/>
      <c r="DU629" s="5"/>
      <c r="DV629" s="5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5"/>
      <c r="CT630" s="5"/>
      <c r="CU630" s="5"/>
      <c r="CV630" s="5"/>
      <c r="CW630" s="5"/>
      <c r="CX630" s="5"/>
      <c r="CY630" s="5"/>
      <c r="CZ630" s="5"/>
      <c r="DA630" s="5"/>
      <c r="DB630" s="5"/>
      <c r="DC630" s="5"/>
      <c r="DD630" s="5"/>
      <c r="DE630" s="5"/>
      <c r="DF630" s="5"/>
      <c r="DG630" s="5"/>
      <c r="DH630" s="5"/>
      <c r="DI630" s="5"/>
      <c r="DJ630" s="5"/>
      <c r="DK630" s="5"/>
      <c r="DL630" s="5"/>
      <c r="DM630" s="5"/>
      <c r="DN630" s="5"/>
      <c r="DO630" s="5"/>
      <c r="DP630" s="5"/>
      <c r="DQ630" s="5"/>
      <c r="DR630" s="5"/>
      <c r="DS630" s="5"/>
      <c r="DT630" s="5"/>
      <c r="DU630" s="5"/>
      <c r="DV630" s="5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5"/>
      <c r="CT631" s="5"/>
      <c r="CU631" s="5"/>
      <c r="CV631" s="5"/>
      <c r="CW631" s="5"/>
      <c r="CX631" s="5"/>
      <c r="CY631" s="5"/>
      <c r="CZ631" s="5"/>
      <c r="DA631" s="5"/>
      <c r="DB631" s="5"/>
      <c r="DC631" s="5"/>
      <c r="DD631" s="5"/>
      <c r="DE631" s="5"/>
      <c r="DF631" s="5"/>
      <c r="DG631" s="5"/>
      <c r="DH631" s="5"/>
      <c r="DI631" s="5"/>
      <c r="DJ631" s="5"/>
      <c r="DK631" s="5"/>
      <c r="DL631" s="5"/>
      <c r="DM631" s="5"/>
      <c r="DN631" s="5"/>
      <c r="DO631" s="5"/>
      <c r="DP631" s="5"/>
      <c r="DQ631" s="5"/>
      <c r="DR631" s="5"/>
      <c r="DS631" s="5"/>
      <c r="DT631" s="5"/>
      <c r="DU631" s="5"/>
      <c r="DV631" s="5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5"/>
      <c r="CT632" s="5"/>
      <c r="CU632" s="5"/>
      <c r="CV632" s="5"/>
      <c r="CW632" s="5"/>
      <c r="CX632" s="5"/>
      <c r="CY632" s="5"/>
      <c r="CZ632" s="5"/>
      <c r="DA632" s="5"/>
      <c r="DB632" s="5"/>
      <c r="DC632" s="5"/>
      <c r="DD632" s="5"/>
      <c r="DE632" s="5"/>
      <c r="DF632" s="5"/>
      <c r="DG632" s="5"/>
      <c r="DH632" s="5"/>
      <c r="DI632" s="5"/>
      <c r="DJ632" s="5"/>
      <c r="DK632" s="5"/>
      <c r="DL632" s="5"/>
      <c r="DM632" s="5"/>
      <c r="DN632" s="5"/>
      <c r="DO632" s="5"/>
      <c r="DP632" s="5"/>
      <c r="DQ632" s="5"/>
      <c r="DR632" s="5"/>
      <c r="DS632" s="5"/>
      <c r="DT632" s="5"/>
      <c r="DU632" s="5"/>
      <c r="DV632" s="5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5"/>
      <c r="CT633" s="5"/>
      <c r="CU633" s="5"/>
      <c r="CV633" s="5"/>
      <c r="CW633" s="5"/>
      <c r="CX633" s="5"/>
      <c r="CY633" s="5"/>
      <c r="CZ633" s="5"/>
      <c r="DA633" s="5"/>
      <c r="DB633" s="5"/>
      <c r="DC633" s="5"/>
      <c r="DD633" s="5"/>
      <c r="DE633" s="5"/>
      <c r="DF633" s="5"/>
      <c r="DG633" s="5"/>
      <c r="DH633" s="5"/>
      <c r="DI633" s="5"/>
      <c r="DJ633" s="5"/>
      <c r="DK633" s="5"/>
      <c r="DL633" s="5"/>
      <c r="DM633" s="5"/>
      <c r="DN633" s="5"/>
      <c r="DO633" s="5"/>
      <c r="DP633" s="5"/>
      <c r="DQ633" s="5"/>
      <c r="DR633" s="5"/>
      <c r="DS633" s="5"/>
      <c r="DT633" s="5"/>
      <c r="DU633" s="5"/>
      <c r="DV633" s="5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5"/>
      <c r="CT634" s="5"/>
      <c r="CU634" s="5"/>
      <c r="CV634" s="5"/>
      <c r="CW634" s="5"/>
      <c r="CX634" s="5"/>
      <c r="CY634" s="5"/>
      <c r="CZ634" s="5"/>
      <c r="DA634" s="5"/>
      <c r="DB634" s="5"/>
      <c r="DC634" s="5"/>
      <c r="DD634" s="5"/>
      <c r="DE634" s="5"/>
      <c r="DF634" s="5"/>
      <c r="DG634" s="5"/>
      <c r="DH634" s="5"/>
      <c r="DI634" s="5"/>
      <c r="DJ634" s="5"/>
      <c r="DK634" s="5"/>
      <c r="DL634" s="5"/>
      <c r="DM634" s="5"/>
      <c r="DN634" s="5"/>
      <c r="DO634" s="5"/>
      <c r="DP634" s="5"/>
      <c r="DQ634" s="5"/>
      <c r="DR634" s="5"/>
      <c r="DS634" s="5"/>
      <c r="DT634" s="5"/>
      <c r="DU634" s="5"/>
      <c r="DV634" s="5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5"/>
      <c r="CT635" s="5"/>
      <c r="CU635" s="5"/>
      <c r="CV635" s="5"/>
      <c r="CW635" s="5"/>
      <c r="CX635" s="5"/>
      <c r="CY635" s="5"/>
      <c r="CZ635" s="5"/>
      <c r="DA635" s="5"/>
      <c r="DB635" s="5"/>
      <c r="DC635" s="5"/>
      <c r="DD635" s="5"/>
      <c r="DE635" s="5"/>
      <c r="DF635" s="5"/>
      <c r="DG635" s="5"/>
      <c r="DH635" s="5"/>
      <c r="DI635" s="5"/>
      <c r="DJ635" s="5"/>
      <c r="DK635" s="5"/>
      <c r="DL635" s="5"/>
      <c r="DM635" s="5"/>
      <c r="DN635" s="5"/>
      <c r="DO635" s="5"/>
      <c r="DP635" s="5"/>
      <c r="DQ635" s="5"/>
      <c r="DR635" s="5"/>
      <c r="DS635" s="5"/>
      <c r="DT635" s="5"/>
      <c r="DU635" s="5"/>
      <c r="DV635" s="5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5"/>
      <c r="CT636" s="5"/>
      <c r="CU636" s="5"/>
      <c r="CV636" s="5"/>
      <c r="CW636" s="5"/>
      <c r="CX636" s="5"/>
      <c r="CY636" s="5"/>
      <c r="CZ636" s="5"/>
      <c r="DA636" s="5"/>
      <c r="DB636" s="5"/>
      <c r="DC636" s="5"/>
      <c r="DD636" s="5"/>
      <c r="DE636" s="5"/>
      <c r="DF636" s="5"/>
      <c r="DG636" s="5"/>
      <c r="DH636" s="5"/>
      <c r="DI636" s="5"/>
      <c r="DJ636" s="5"/>
      <c r="DK636" s="5"/>
      <c r="DL636" s="5"/>
      <c r="DM636" s="5"/>
      <c r="DN636" s="5"/>
      <c r="DO636" s="5"/>
      <c r="DP636" s="5"/>
      <c r="DQ636" s="5"/>
      <c r="DR636" s="5"/>
      <c r="DS636" s="5"/>
      <c r="DT636" s="5"/>
      <c r="DU636" s="5"/>
      <c r="DV636" s="5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5"/>
      <c r="CT637" s="5"/>
      <c r="CU637" s="5"/>
      <c r="CV637" s="5"/>
      <c r="CW637" s="5"/>
      <c r="CX637" s="5"/>
      <c r="CY637" s="5"/>
      <c r="CZ637" s="5"/>
      <c r="DA637" s="5"/>
      <c r="DB637" s="5"/>
      <c r="DC637" s="5"/>
      <c r="DD637" s="5"/>
      <c r="DE637" s="5"/>
      <c r="DF637" s="5"/>
      <c r="DG637" s="5"/>
      <c r="DH637" s="5"/>
      <c r="DI637" s="5"/>
      <c r="DJ637" s="5"/>
      <c r="DK637" s="5"/>
      <c r="DL637" s="5"/>
      <c r="DM637" s="5"/>
      <c r="DN637" s="5"/>
      <c r="DO637" s="5"/>
      <c r="DP637" s="5"/>
      <c r="DQ637" s="5"/>
      <c r="DR637" s="5"/>
      <c r="DS637" s="5"/>
      <c r="DT637" s="5"/>
      <c r="DU637" s="5"/>
      <c r="DV637" s="5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5"/>
      <c r="CT638" s="5"/>
      <c r="CU638" s="5"/>
      <c r="CV638" s="5"/>
      <c r="CW638" s="5"/>
      <c r="CX638" s="5"/>
      <c r="CY638" s="5"/>
      <c r="CZ638" s="5"/>
      <c r="DA638" s="5"/>
      <c r="DB638" s="5"/>
      <c r="DC638" s="5"/>
      <c r="DD638" s="5"/>
      <c r="DE638" s="5"/>
      <c r="DF638" s="5"/>
      <c r="DG638" s="5"/>
      <c r="DH638" s="5"/>
      <c r="DI638" s="5"/>
      <c r="DJ638" s="5"/>
      <c r="DK638" s="5"/>
      <c r="DL638" s="5"/>
      <c r="DM638" s="5"/>
      <c r="DN638" s="5"/>
      <c r="DO638" s="5"/>
      <c r="DP638" s="5"/>
      <c r="DQ638" s="5"/>
      <c r="DR638" s="5"/>
      <c r="DS638" s="5"/>
      <c r="DT638" s="5"/>
      <c r="DU638" s="5"/>
      <c r="DV638" s="5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5"/>
      <c r="CT639" s="5"/>
      <c r="CU639" s="5"/>
      <c r="CV639" s="5"/>
      <c r="CW639" s="5"/>
      <c r="CX639" s="5"/>
      <c r="CY639" s="5"/>
      <c r="CZ639" s="5"/>
      <c r="DA639" s="5"/>
      <c r="DB639" s="5"/>
      <c r="DC639" s="5"/>
      <c r="DD639" s="5"/>
      <c r="DE639" s="5"/>
      <c r="DF639" s="5"/>
      <c r="DG639" s="5"/>
      <c r="DH639" s="5"/>
      <c r="DI639" s="5"/>
      <c r="DJ639" s="5"/>
      <c r="DK639" s="5"/>
      <c r="DL639" s="5"/>
      <c r="DM639" s="5"/>
      <c r="DN639" s="5"/>
      <c r="DO639" s="5"/>
      <c r="DP639" s="5"/>
      <c r="DQ639" s="5"/>
      <c r="DR639" s="5"/>
      <c r="DS639" s="5"/>
      <c r="DT639" s="5"/>
      <c r="DU639" s="5"/>
      <c r="DV639" s="5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5"/>
      <c r="CT640" s="5"/>
      <c r="CU640" s="5"/>
      <c r="CV640" s="5"/>
      <c r="CW640" s="5"/>
      <c r="CX640" s="5"/>
      <c r="CY640" s="5"/>
      <c r="CZ640" s="5"/>
      <c r="DA640" s="5"/>
      <c r="DB640" s="5"/>
      <c r="DC640" s="5"/>
      <c r="DD640" s="5"/>
      <c r="DE640" s="5"/>
      <c r="DF640" s="5"/>
      <c r="DG640" s="5"/>
      <c r="DH640" s="5"/>
      <c r="DI640" s="5"/>
      <c r="DJ640" s="5"/>
      <c r="DK640" s="5"/>
      <c r="DL640" s="5"/>
      <c r="DM640" s="5"/>
      <c r="DN640" s="5"/>
      <c r="DO640" s="5"/>
      <c r="DP640" s="5"/>
      <c r="DQ640" s="5"/>
      <c r="DR640" s="5"/>
      <c r="DS640" s="5"/>
      <c r="DT640" s="5"/>
      <c r="DU640" s="5"/>
      <c r="DV640" s="5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5"/>
      <c r="CT641" s="5"/>
      <c r="CU641" s="5"/>
      <c r="CV641" s="5"/>
      <c r="CW641" s="5"/>
      <c r="CX641" s="5"/>
      <c r="CY641" s="5"/>
      <c r="CZ641" s="5"/>
      <c r="DA641" s="5"/>
      <c r="DB641" s="5"/>
      <c r="DC641" s="5"/>
      <c r="DD641" s="5"/>
      <c r="DE641" s="5"/>
      <c r="DF641" s="5"/>
      <c r="DG641" s="5"/>
      <c r="DH641" s="5"/>
      <c r="DI641" s="5"/>
      <c r="DJ641" s="5"/>
      <c r="DK641" s="5"/>
      <c r="DL641" s="5"/>
      <c r="DM641" s="5"/>
      <c r="DN641" s="5"/>
      <c r="DO641" s="5"/>
      <c r="DP641" s="5"/>
      <c r="DQ641" s="5"/>
      <c r="DR641" s="5"/>
      <c r="DS641" s="5"/>
      <c r="DT641" s="5"/>
      <c r="DU641" s="5"/>
      <c r="DV641" s="5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5"/>
      <c r="CT642" s="5"/>
      <c r="CU642" s="5"/>
      <c r="CV642" s="5"/>
      <c r="CW642" s="5"/>
      <c r="CX642" s="5"/>
      <c r="CY642" s="5"/>
      <c r="CZ642" s="5"/>
      <c r="DA642" s="5"/>
      <c r="DB642" s="5"/>
      <c r="DC642" s="5"/>
      <c r="DD642" s="5"/>
      <c r="DE642" s="5"/>
      <c r="DF642" s="5"/>
      <c r="DG642" s="5"/>
      <c r="DH642" s="5"/>
      <c r="DI642" s="5"/>
      <c r="DJ642" s="5"/>
      <c r="DK642" s="5"/>
      <c r="DL642" s="5"/>
      <c r="DM642" s="5"/>
      <c r="DN642" s="5"/>
      <c r="DO642" s="5"/>
      <c r="DP642" s="5"/>
      <c r="DQ642" s="5"/>
      <c r="DR642" s="5"/>
      <c r="DS642" s="5"/>
      <c r="DT642" s="5"/>
      <c r="DU642" s="5"/>
      <c r="DV642" s="5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5"/>
      <c r="CT643" s="5"/>
      <c r="CU643" s="5"/>
      <c r="CV643" s="5"/>
      <c r="CW643" s="5"/>
      <c r="CX643" s="5"/>
      <c r="CY643" s="5"/>
      <c r="CZ643" s="5"/>
      <c r="DA643" s="5"/>
      <c r="DB643" s="5"/>
      <c r="DC643" s="5"/>
      <c r="DD643" s="5"/>
      <c r="DE643" s="5"/>
      <c r="DF643" s="5"/>
      <c r="DG643" s="5"/>
      <c r="DH643" s="5"/>
      <c r="DI643" s="5"/>
      <c r="DJ643" s="5"/>
      <c r="DK643" s="5"/>
      <c r="DL643" s="5"/>
      <c r="DM643" s="5"/>
      <c r="DN643" s="5"/>
      <c r="DO643" s="5"/>
      <c r="DP643" s="5"/>
      <c r="DQ643" s="5"/>
      <c r="DR643" s="5"/>
      <c r="DS643" s="5"/>
      <c r="DT643" s="5"/>
      <c r="DU643" s="5"/>
      <c r="DV643" s="5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5"/>
      <c r="CT644" s="5"/>
      <c r="CU644" s="5"/>
      <c r="CV644" s="5"/>
      <c r="CW644" s="5"/>
      <c r="CX644" s="5"/>
      <c r="CY644" s="5"/>
      <c r="CZ644" s="5"/>
      <c r="DA644" s="5"/>
      <c r="DB644" s="5"/>
      <c r="DC644" s="5"/>
      <c r="DD644" s="5"/>
      <c r="DE644" s="5"/>
      <c r="DF644" s="5"/>
      <c r="DG644" s="5"/>
      <c r="DH644" s="5"/>
      <c r="DI644" s="5"/>
      <c r="DJ644" s="5"/>
      <c r="DK644" s="5"/>
      <c r="DL644" s="5"/>
      <c r="DM644" s="5"/>
      <c r="DN644" s="5"/>
      <c r="DO644" s="5"/>
      <c r="DP644" s="5"/>
      <c r="DQ644" s="5"/>
      <c r="DR644" s="5"/>
      <c r="DS644" s="5"/>
      <c r="DT644" s="5"/>
      <c r="DU644" s="5"/>
      <c r="DV644" s="5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5"/>
      <c r="CT645" s="5"/>
      <c r="CU645" s="5"/>
      <c r="CV645" s="5"/>
      <c r="CW645" s="5"/>
      <c r="CX645" s="5"/>
      <c r="CY645" s="5"/>
      <c r="CZ645" s="5"/>
      <c r="DA645" s="5"/>
      <c r="DB645" s="5"/>
      <c r="DC645" s="5"/>
      <c r="DD645" s="5"/>
      <c r="DE645" s="5"/>
      <c r="DF645" s="5"/>
      <c r="DG645" s="5"/>
      <c r="DH645" s="5"/>
      <c r="DI645" s="5"/>
      <c r="DJ645" s="5"/>
      <c r="DK645" s="5"/>
      <c r="DL645" s="5"/>
      <c r="DM645" s="5"/>
      <c r="DN645" s="5"/>
      <c r="DO645" s="5"/>
      <c r="DP645" s="5"/>
      <c r="DQ645" s="5"/>
      <c r="DR645" s="5"/>
      <c r="DS645" s="5"/>
      <c r="DT645" s="5"/>
      <c r="DU645" s="5"/>
      <c r="DV645" s="5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5"/>
      <c r="CT646" s="5"/>
      <c r="CU646" s="5"/>
      <c r="CV646" s="5"/>
      <c r="CW646" s="5"/>
      <c r="CX646" s="5"/>
      <c r="CY646" s="5"/>
      <c r="CZ646" s="5"/>
      <c r="DA646" s="5"/>
      <c r="DB646" s="5"/>
      <c r="DC646" s="5"/>
      <c r="DD646" s="5"/>
      <c r="DE646" s="5"/>
      <c r="DF646" s="5"/>
      <c r="DG646" s="5"/>
      <c r="DH646" s="5"/>
      <c r="DI646" s="5"/>
      <c r="DJ646" s="5"/>
      <c r="DK646" s="5"/>
      <c r="DL646" s="5"/>
      <c r="DM646" s="5"/>
      <c r="DN646" s="5"/>
      <c r="DO646" s="5"/>
      <c r="DP646" s="5"/>
      <c r="DQ646" s="5"/>
      <c r="DR646" s="5"/>
      <c r="DS646" s="5"/>
      <c r="DT646" s="5"/>
      <c r="DU646" s="5"/>
      <c r="DV646" s="5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5"/>
      <c r="CT647" s="5"/>
      <c r="CU647" s="5"/>
      <c r="CV647" s="5"/>
      <c r="CW647" s="5"/>
      <c r="CX647" s="5"/>
      <c r="CY647" s="5"/>
      <c r="CZ647" s="5"/>
      <c r="DA647" s="5"/>
      <c r="DB647" s="5"/>
      <c r="DC647" s="5"/>
      <c r="DD647" s="5"/>
      <c r="DE647" s="5"/>
      <c r="DF647" s="5"/>
      <c r="DG647" s="5"/>
      <c r="DH647" s="5"/>
      <c r="DI647" s="5"/>
      <c r="DJ647" s="5"/>
      <c r="DK647" s="5"/>
      <c r="DL647" s="5"/>
      <c r="DM647" s="5"/>
      <c r="DN647" s="5"/>
      <c r="DO647" s="5"/>
      <c r="DP647" s="5"/>
      <c r="DQ647" s="5"/>
      <c r="DR647" s="5"/>
      <c r="DS647" s="5"/>
      <c r="DT647" s="5"/>
      <c r="DU647" s="5"/>
      <c r="DV647" s="5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5"/>
      <c r="CT648" s="5"/>
      <c r="CU648" s="5"/>
      <c r="CV648" s="5"/>
      <c r="CW648" s="5"/>
      <c r="CX648" s="5"/>
      <c r="CY648" s="5"/>
      <c r="CZ648" s="5"/>
      <c r="DA648" s="5"/>
      <c r="DB648" s="5"/>
      <c r="DC648" s="5"/>
      <c r="DD648" s="5"/>
      <c r="DE648" s="5"/>
      <c r="DF648" s="5"/>
      <c r="DG648" s="5"/>
      <c r="DH648" s="5"/>
      <c r="DI648" s="5"/>
      <c r="DJ648" s="5"/>
      <c r="DK648" s="5"/>
      <c r="DL648" s="5"/>
      <c r="DM648" s="5"/>
      <c r="DN648" s="5"/>
      <c r="DO648" s="5"/>
      <c r="DP648" s="5"/>
      <c r="DQ648" s="5"/>
      <c r="DR648" s="5"/>
      <c r="DS648" s="5"/>
      <c r="DT648" s="5"/>
      <c r="DU648" s="5"/>
      <c r="DV648" s="5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5"/>
      <c r="CT649" s="5"/>
      <c r="CU649" s="5"/>
      <c r="CV649" s="5"/>
      <c r="CW649" s="5"/>
      <c r="CX649" s="5"/>
      <c r="CY649" s="5"/>
      <c r="CZ649" s="5"/>
      <c r="DA649" s="5"/>
      <c r="DB649" s="5"/>
      <c r="DC649" s="5"/>
      <c r="DD649" s="5"/>
      <c r="DE649" s="5"/>
      <c r="DF649" s="5"/>
      <c r="DG649" s="5"/>
      <c r="DH649" s="5"/>
      <c r="DI649" s="5"/>
      <c r="DJ649" s="5"/>
      <c r="DK649" s="5"/>
      <c r="DL649" s="5"/>
      <c r="DM649" s="5"/>
      <c r="DN649" s="5"/>
      <c r="DO649" s="5"/>
      <c r="DP649" s="5"/>
      <c r="DQ649" s="5"/>
      <c r="DR649" s="5"/>
      <c r="DS649" s="5"/>
      <c r="DT649" s="5"/>
      <c r="DU649" s="5"/>
      <c r="DV649" s="5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5"/>
      <c r="CT650" s="5"/>
      <c r="CU650" s="5"/>
      <c r="CV650" s="5"/>
      <c r="CW650" s="5"/>
      <c r="CX650" s="5"/>
      <c r="CY650" s="5"/>
      <c r="CZ650" s="5"/>
      <c r="DA650" s="5"/>
      <c r="DB650" s="5"/>
      <c r="DC650" s="5"/>
      <c r="DD650" s="5"/>
      <c r="DE650" s="5"/>
      <c r="DF650" s="5"/>
      <c r="DG650" s="5"/>
      <c r="DH650" s="5"/>
      <c r="DI650" s="5"/>
      <c r="DJ650" s="5"/>
      <c r="DK650" s="5"/>
      <c r="DL650" s="5"/>
      <c r="DM650" s="5"/>
      <c r="DN650" s="5"/>
      <c r="DO650" s="5"/>
      <c r="DP650" s="5"/>
      <c r="DQ650" s="5"/>
      <c r="DR650" s="5"/>
      <c r="DS650" s="5"/>
      <c r="DT650" s="5"/>
      <c r="DU650" s="5"/>
      <c r="DV650" s="5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5"/>
      <c r="CT651" s="5"/>
      <c r="CU651" s="5"/>
      <c r="CV651" s="5"/>
      <c r="CW651" s="5"/>
      <c r="CX651" s="5"/>
      <c r="CY651" s="5"/>
      <c r="CZ651" s="5"/>
      <c r="DA651" s="5"/>
      <c r="DB651" s="5"/>
      <c r="DC651" s="5"/>
      <c r="DD651" s="5"/>
      <c r="DE651" s="5"/>
      <c r="DF651" s="5"/>
      <c r="DG651" s="5"/>
      <c r="DH651" s="5"/>
      <c r="DI651" s="5"/>
      <c r="DJ651" s="5"/>
      <c r="DK651" s="5"/>
      <c r="DL651" s="5"/>
      <c r="DM651" s="5"/>
      <c r="DN651" s="5"/>
      <c r="DO651" s="5"/>
      <c r="DP651" s="5"/>
      <c r="DQ651" s="5"/>
      <c r="DR651" s="5"/>
      <c r="DS651" s="5"/>
      <c r="DT651" s="5"/>
      <c r="DU651" s="5"/>
      <c r="DV651" s="5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5"/>
      <c r="CT652" s="5"/>
      <c r="CU652" s="5"/>
      <c r="CV652" s="5"/>
      <c r="CW652" s="5"/>
      <c r="CX652" s="5"/>
      <c r="CY652" s="5"/>
      <c r="CZ652" s="5"/>
      <c r="DA652" s="5"/>
      <c r="DB652" s="5"/>
      <c r="DC652" s="5"/>
      <c r="DD652" s="5"/>
      <c r="DE652" s="5"/>
      <c r="DF652" s="5"/>
      <c r="DG652" s="5"/>
      <c r="DH652" s="5"/>
      <c r="DI652" s="5"/>
      <c r="DJ652" s="5"/>
      <c r="DK652" s="5"/>
      <c r="DL652" s="5"/>
      <c r="DM652" s="5"/>
      <c r="DN652" s="5"/>
      <c r="DO652" s="5"/>
      <c r="DP652" s="5"/>
      <c r="DQ652" s="5"/>
      <c r="DR652" s="5"/>
      <c r="DS652" s="5"/>
      <c r="DT652" s="5"/>
      <c r="DU652" s="5"/>
      <c r="DV652" s="5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5"/>
      <c r="CT653" s="5"/>
      <c r="CU653" s="5"/>
      <c r="CV653" s="5"/>
      <c r="CW653" s="5"/>
      <c r="CX653" s="5"/>
      <c r="CY653" s="5"/>
      <c r="CZ653" s="5"/>
      <c r="DA653" s="5"/>
      <c r="DB653" s="5"/>
      <c r="DC653" s="5"/>
      <c r="DD653" s="5"/>
      <c r="DE653" s="5"/>
      <c r="DF653" s="5"/>
      <c r="DG653" s="5"/>
      <c r="DH653" s="5"/>
      <c r="DI653" s="5"/>
      <c r="DJ653" s="5"/>
      <c r="DK653" s="5"/>
      <c r="DL653" s="5"/>
      <c r="DM653" s="5"/>
      <c r="DN653" s="5"/>
      <c r="DO653" s="5"/>
      <c r="DP653" s="5"/>
      <c r="DQ653" s="5"/>
      <c r="DR653" s="5"/>
      <c r="DS653" s="5"/>
      <c r="DT653" s="5"/>
      <c r="DU653" s="5"/>
      <c r="DV653" s="5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5"/>
      <c r="CT654" s="5"/>
      <c r="CU654" s="5"/>
      <c r="CV654" s="5"/>
      <c r="CW654" s="5"/>
      <c r="CX654" s="5"/>
      <c r="CY654" s="5"/>
      <c r="CZ654" s="5"/>
      <c r="DA654" s="5"/>
      <c r="DB654" s="5"/>
      <c r="DC654" s="5"/>
      <c r="DD654" s="5"/>
      <c r="DE654" s="5"/>
      <c r="DF654" s="5"/>
      <c r="DG654" s="5"/>
      <c r="DH654" s="5"/>
      <c r="DI654" s="5"/>
      <c r="DJ654" s="5"/>
      <c r="DK654" s="5"/>
      <c r="DL654" s="5"/>
      <c r="DM654" s="5"/>
      <c r="DN654" s="5"/>
      <c r="DO654" s="5"/>
      <c r="DP654" s="5"/>
      <c r="DQ654" s="5"/>
      <c r="DR654" s="5"/>
      <c r="DS654" s="5"/>
      <c r="DT654" s="5"/>
      <c r="DU654" s="5"/>
      <c r="DV654" s="5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5"/>
      <c r="CT655" s="5"/>
      <c r="CU655" s="5"/>
      <c r="CV655" s="5"/>
      <c r="CW655" s="5"/>
      <c r="CX655" s="5"/>
      <c r="CY655" s="5"/>
      <c r="CZ655" s="5"/>
      <c r="DA655" s="5"/>
      <c r="DB655" s="5"/>
      <c r="DC655" s="5"/>
      <c r="DD655" s="5"/>
      <c r="DE655" s="5"/>
      <c r="DF655" s="5"/>
      <c r="DG655" s="5"/>
      <c r="DH655" s="5"/>
      <c r="DI655" s="5"/>
      <c r="DJ655" s="5"/>
      <c r="DK655" s="5"/>
      <c r="DL655" s="5"/>
      <c r="DM655" s="5"/>
      <c r="DN655" s="5"/>
      <c r="DO655" s="5"/>
      <c r="DP655" s="5"/>
      <c r="DQ655" s="5"/>
      <c r="DR655" s="5"/>
      <c r="DS655" s="5"/>
      <c r="DT655" s="5"/>
      <c r="DU655" s="5"/>
      <c r="DV655" s="5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5"/>
      <c r="CT656" s="5"/>
      <c r="CU656" s="5"/>
      <c r="CV656" s="5"/>
      <c r="CW656" s="5"/>
      <c r="CX656" s="5"/>
      <c r="CY656" s="5"/>
      <c r="CZ656" s="5"/>
      <c r="DA656" s="5"/>
      <c r="DB656" s="5"/>
      <c r="DC656" s="5"/>
      <c r="DD656" s="5"/>
      <c r="DE656" s="5"/>
      <c r="DF656" s="5"/>
      <c r="DG656" s="5"/>
      <c r="DH656" s="5"/>
      <c r="DI656" s="5"/>
      <c r="DJ656" s="5"/>
      <c r="DK656" s="5"/>
      <c r="DL656" s="5"/>
      <c r="DM656" s="5"/>
      <c r="DN656" s="5"/>
      <c r="DO656" s="5"/>
      <c r="DP656" s="5"/>
      <c r="DQ656" s="5"/>
      <c r="DR656" s="5"/>
      <c r="DS656" s="5"/>
      <c r="DT656" s="5"/>
      <c r="DU656" s="5"/>
      <c r="DV656" s="5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5"/>
      <c r="CT657" s="5"/>
      <c r="CU657" s="5"/>
      <c r="CV657" s="5"/>
      <c r="CW657" s="5"/>
      <c r="CX657" s="5"/>
      <c r="CY657" s="5"/>
      <c r="CZ657" s="5"/>
      <c r="DA657" s="5"/>
      <c r="DB657" s="5"/>
      <c r="DC657" s="5"/>
      <c r="DD657" s="5"/>
      <c r="DE657" s="5"/>
      <c r="DF657" s="5"/>
      <c r="DG657" s="5"/>
      <c r="DH657" s="5"/>
      <c r="DI657" s="5"/>
      <c r="DJ657" s="5"/>
      <c r="DK657" s="5"/>
      <c r="DL657" s="5"/>
      <c r="DM657" s="5"/>
      <c r="DN657" s="5"/>
      <c r="DO657" s="5"/>
      <c r="DP657" s="5"/>
      <c r="DQ657" s="5"/>
      <c r="DR657" s="5"/>
      <c r="DS657" s="5"/>
      <c r="DT657" s="5"/>
      <c r="DU657" s="5"/>
      <c r="DV657" s="5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5"/>
      <c r="CT658" s="5"/>
      <c r="CU658" s="5"/>
      <c r="CV658" s="5"/>
      <c r="CW658" s="5"/>
      <c r="CX658" s="5"/>
      <c r="CY658" s="5"/>
      <c r="CZ658" s="5"/>
      <c r="DA658" s="5"/>
      <c r="DB658" s="5"/>
      <c r="DC658" s="5"/>
      <c r="DD658" s="5"/>
      <c r="DE658" s="5"/>
      <c r="DF658" s="5"/>
      <c r="DG658" s="5"/>
      <c r="DH658" s="5"/>
      <c r="DI658" s="5"/>
      <c r="DJ658" s="5"/>
      <c r="DK658" s="5"/>
      <c r="DL658" s="5"/>
      <c r="DM658" s="5"/>
      <c r="DN658" s="5"/>
      <c r="DO658" s="5"/>
      <c r="DP658" s="5"/>
      <c r="DQ658" s="5"/>
      <c r="DR658" s="5"/>
      <c r="DS658" s="5"/>
      <c r="DT658" s="5"/>
      <c r="DU658" s="5"/>
      <c r="DV658" s="5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5"/>
      <c r="CT659" s="5"/>
      <c r="CU659" s="5"/>
      <c r="CV659" s="5"/>
      <c r="CW659" s="5"/>
      <c r="CX659" s="5"/>
      <c r="CY659" s="5"/>
      <c r="CZ659" s="5"/>
      <c r="DA659" s="5"/>
      <c r="DB659" s="5"/>
      <c r="DC659" s="5"/>
      <c r="DD659" s="5"/>
      <c r="DE659" s="5"/>
      <c r="DF659" s="5"/>
      <c r="DG659" s="5"/>
      <c r="DH659" s="5"/>
      <c r="DI659" s="5"/>
      <c r="DJ659" s="5"/>
      <c r="DK659" s="5"/>
      <c r="DL659" s="5"/>
      <c r="DM659" s="5"/>
      <c r="DN659" s="5"/>
      <c r="DO659" s="5"/>
      <c r="DP659" s="5"/>
      <c r="DQ659" s="5"/>
      <c r="DR659" s="5"/>
      <c r="DS659" s="5"/>
      <c r="DT659" s="5"/>
      <c r="DU659" s="5"/>
      <c r="DV659" s="5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5"/>
      <c r="CT660" s="5"/>
      <c r="CU660" s="5"/>
      <c r="CV660" s="5"/>
      <c r="CW660" s="5"/>
      <c r="CX660" s="5"/>
      <c r="CY660" s="5"/>
      <c r="CZ660" s="5"/>
      <c r="DA660" s="5"/>
      <c r="DB660" s="5"/>
      <c r="DC660" s="5"/>
      <c r="DD660" s="5"/>
      <c r="DE660" s="5"/>
      <c r="DF660" s="5"/>
      <c r="DG660" s="5"/>
      <c r="DH660" s="5"/>
      <c r="DI660" s="5"/>
      <c r="DJ660" s="5"/>
      <c r="DK660" s="5"/>
      <c r="DL660" s="5"/>
      <c r="DM660" s="5"/>
      <c r="DN660" s="5"/>
      <c r="DO660" s="5"/>
      <c r="DP660" s="5"/>
      <c r="DQ660" s="5"/>
      <c r="DR660" s="5"/>
      <c r="DS660" s="5"/>
      <c r="DT660" s="5"/>
      <c r="DU660" s="5"/>
      <c r="DV660" s="5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5"/>
      <c r="CT661" s="5"/>
      <c r="CU661" s="5"/>
      <c r="CV661" s="5"/>
      <c r="CW661" s="5"/>
      <c r="CX661" s="5"/>
      <c r="CY661" s="5"/>
      <c r="CZ661" s="5"/>
      <c r="DA661" s="5"/>
      <c r="DB661" s="5"/>
      <c r="DC661" s="5"/>
      <c r="DD661" s="5"/>
      <c r="DE661" s="5"/>
      <c r="DF661" s="5"/>
      <c r="DG661" s="5"/>
      <c r="DH661" s="5"/>
      <c r="DI661" s="5"/>
      <c r="DJ661" s="5"/>
      <c r="DK661" s="5"/>
      <c r="DL661" s="5"/>
      <c r="DM661" s="5"/>
      <c r="DN661" s="5"/>
      <c r="DO661" s="5"/>
      <c r="DP661" s="5"/>
      <c r="DQ661" s="5"/>
      <c r="DR661" s="5"/>
      <c r="DS661" s="5"/>
      <c r="DT661" s="5"/>
      <c r="DU661" s="5"/>
      <c r="DV661" s="5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5"/>
      <c r="CT662" s="5"/>
      <c r="CU662" s="5"/>
      <c r="CV662" s="5"/>
      <c r="CW662" s="5"/>
      <c r="CX662" s="5"/>
      <c r="CY662" s="5"/>
      <c r="CZ662" s="5"/>
      <c r="DA662" s="5"/>
      <c r="DB662" s="5"/>
      <c r="DC662" s="5"/>
      <c r="DD662" s="5"/>
      <c r="DE662" s="5"/>
      <c r="DF662" s="5"/>
      <c r="DG662" s="5"/>
      <c r="DH662" s="5"/>
      <c r="DI662" s="5"/>
      <c r="DJ662" s="5"/>
      <c r="DK662" s="5"/>
      <c r="DL662" s="5"/>
      <c r="DM662" s="5"/>
      <c r="DN662" s="5"/>
      <c r="DO662" s="5"/>
      <c r="DP662" s="5"/>
      <c r="DQ662" s="5"/>
      <c r="DR662" s="5"/>
      <c r="DS662" s="5"/>
      <c r="DT662" s="5"/>
      <c r="DU662" s="5"/>
      <c r="DV662" s="5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5"/>
      <c r="CT663" s="5"/>
      <c r="CU663" s="5"/>
      <c r="CV663" s="5"/>
      <c r="CW663" s="5"/>
      <c r="CX663" s="5"/>
      <c r="CY663" s="5"/>
      <c r="CZ663" s="5"/>
      <c r="DA663" s="5"/>
      <c r="DB663" s="5"/>
      <c r="DC663" s="5"/>
      <c r="DD663" s="5"/>
      <c r="DE663" s="5"/>
      <c r="DF663" s="5"/>
      <c r="DG663" s="5"/>
      <c r="DH663" s="5"/>
      <c r="DI663" s="5"/>
      <c r="DJ663" s="5"/>
      <c r="DK663" s="5"/>
      <c r="DL663" s="5"/>
      <c r="DM663" s="5"/>
      <c r="DN663" s="5"/>
      <c r="DO663" s="5"/>
      <c r="DP663" s="5"/>
      <c r="DQ663" s="5"/>
      <c r="DR663" s="5"/>
      <c r="DS663" s="5"/>
      <c r="DT663" s="5"/>
      <c r="DU663" s="5"/>
      <c r="DV663" s="5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5"/>
      <c r="CT664" s="5"/>
      <c r="CU664" s="5"/>
      <c r="CV664" s="5"/>
      <c r="CW664" s="5"/>
      <c r="CX664" s="5"/>
      <c r="CY664" s="5"/>
      <c r="CZ664" s="5"/>
      <c r="DA664" s="5"/>
      <c r="DB664" s="5"/>
      <c r="DC664" s="5"/>
      <c r="DD664" s="5"/>
      <c r="DE664" s="5"/>
      <c r="DF664" s="5"/>
      <c r="DG664" s="5"/>
      <c r="DH664" s="5"/>
      <c r="DI664" s="5"/>
      <c r="DJ664" s="5"/>
      <c r="DK664" s="5"/>
      <c r="DL664" s="5"/>
      <c r="DM664" s="5"/>
      <c r="DN664" s="5"/>
      <c r="DO664" s="5"/>
      <c r="DP664" s="5"/>
      <c r="DQ664" s="5"/>
      <c r="DR664" s="5"/>
      <c r="DS664" s="5"/>
      <c r="DT664" s="5"/>
      <c r="DU664" s="5"/>
      <c r="DV664" s="5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5"/>
      <c r="CT665" s="5"/>
      <c r="CU665" s="5"/>
      <c r="CV665" s="5"/>
      <c r="CW665" s="5"/>
      <c r="CX665" s="5"/>
      <c r="CY665" s="5"/>
      <c r="CZ665" s="5"/>
      <c r="DA665" s="5"/>
      <c r="DB665" s="5"/>
      <c r="DC665" s="5"/>
      <c r="DD665" s="5"/>
      <c r="DE665" s="5"/>
      <c r="DF665" s="5"/>
      <c r="DG665" s="5"/>
      <c r="DH665" s="5"/>
      <c r="DI665" s="5"/>
      <c r="DJ665" s="5"/>
      <c r="DK665" s="5"/>
      <c r="DL665" s="5"/>
      <c r="DM665" s="5"/>
      <c r="DN665" s="5"/>
      <c r="DO665" s="5"/>
      <c r="DP665" s="5"/>
      <c r="DQ665" s="5"/>
      <c r="DR665" s="5"/>
      <c r="DS665" s="5"/>
      <c r="DT665" s="5"/>
      <c r="DU665" s="5"/>
      <c r="DV665" s="5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5"/>
      <c r="CT666" s="5"/>
      <c r="CU666" s="5"/>
      <c r="CV666" s="5"/>
      <c r="CW666" s="5"/>
      <c r="CX666" s="5"/>
      <c r="CY666" s="5"/>
      <c r="CZ666" s="5"/>
      <c r="DA666" s="5"/>
      <c r="DB666" s="5"/>
      <c r="DC666" s="5"/>
      <c r="DD666" s="5"/>
      <c r="DE666" s="5"/>
      <c r="DF666" s="5"/>
      <c r="DG666" s="5"/>
      <c r="DH666" s="5"/>
      <c r="DI666" s="5"/>
      <c r="DJ666" s="5"/>
      <c r="DK666" s="5"/>
      <c r="DL666" s="5"/>
      <c r="DM666" s="5"/>
      <c r="DN666" s="5"/>
      <c r="DO666" s="5"/>
      <c r="DP666" s="5"/>
      <c r="DQ666" s="5"/>
      <c r="DR666" s="5"/>
      <c r="DS666" s="5"/>
      <c r="DT666" s="5"/>
      <c r="DU666" s="5"/>
      <c r="DV666" s="5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5"/>
      <c r="CT667" s="5"/>
      <c r="CU667" s="5"/>
      <c r="CV667" s="5"/>
      <c r="CW667" s="5"/>
      <c r="CX667" s="5"/>
      <c r="CY667" s="5"/>
      <c r="CZ667" s="5"/>
      <c r="DA667" s="5"/>
      <c r="DB667" s="5"/>
      <c r="DC667" s="5"/>
      <c r="DD667" s="5"/>
      <c r="DE667" s="5"/>
      <c r="DF667" s="5"/>
      <c r="DG667" s="5"/>
      <c r="DH667" s="5"/>
      <c r="DI667" s="5"/>
      <c r="DJ667" s="5"/>
      <c r="DK667" s="5"/>
      <c r="DL667" s="5"/>
      <c r="DM667" s="5"/>
      <c r="DN667" s="5"/>
      <c r="DO667" s="5"/>
      <c r="DP667" s="5"/>
      <c r="DQ667" s="5"/>
      <c r="DR667" s="5"/>
      <c r="DS667" s="5"/>
      <c r="DT667" s="5"/>
      <c r="DU667" s="5"/>
      <c r="DV667" s="5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5"/>
      <c r="CT668" s="5"/>
      <c r="CU668" s="5"/>
      <c r="CV668" s="5"/>
      <c r="CW668" s="5"/>
      <c r="CX668" s="5"/>
      <c r="CY668" s="5"/>
      <c r="CZ668" s="5"/>
      <c r="DA668" s="5"/>
      <c r="DB668" s="5"/>
      <c r="DC668" s="5"/>
      <c r="DD668" s="5"/>
      <c r="DE668" s="5"/>
      <c r="DF668" s="5"/>
      <c r="DG668" s="5"/>
      <c r="DH668" s="5"/>
      <c r="DI668" s="5"/>
      <c r="DJ668" s="5"/>
      <c r="DK668" s="5"/>
      <c r="DL668" s="5"/>
      <c r="DM668" s="5"/>
      <c r="DN668" s="5"/>
      <c r="DO668" s="5"/>
      <c r="DP668" s="5"/>
      <c r="DQ668" s="5"/>
      <c r="DR668" s="5"/>
      <c r="DS668" s="5"/>
      <c r="DT668" s="5"/>
      <c r="DU668" s="5"/>
      <c r="DV668" s="5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5"/>
      <c r="CT669" s="5"/>
      <c r="CU669" s="5"/>
      <c r="CV669" s="5"/>
      <c r="CW669" s="5"/>
      <c r="CX669" s="5"/>
      <c r="CY669" s="5"/>
      <c r="CZ669" s="5"/>
      <c r="DA669" s="5"/>
      <c r="DB669" s="5"/>
      <c r="DC669" s="5"/>
      <c r="DD669" s="5"/>
      <c r="DE669" s="5"/>
      <c r="DF669" s="5"/>
      <c r="DG669" s="5"/>
      <c r="DH669" s="5"/>
      <c r="DI669" s="5"/>
      <c r="DJ669" s="5"/>
      <c r="DK669" s="5"/>
      <c r="DL669" s="5"/>
      <c r="DM669" s="5"/>
      <c r="DN669" s="5"/>
      <c r="DO669" s="5"/>
      <c r="DP669" s="5"/>
      <c r="DQ669" s="5"/>
      <c r="DR669" s="5"/>
      <c r="DS669" s="5"/>
      <c r="DT669" s="5"/>
      <c r="DU669" s="5"/>
      <c r="DV669" s="5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5"/>
      <c r="CT670" s="5"/>
      <c r="CU670" s="5"/>
      <c r="CV670" s="5"/>
      <c r="CW670" s="5"/>
      <c r="CX670" s="5"/>
      <c r="CY670" s="5"/>
      <c r="CZ670" s="5"/>
      <c r="DA670" s="5"/>
      <c r="DB670" s="5"/>
      <c r="DC670" s="5"/>
      <c r="DD670" s="5"/>
      <c r="DE670" s="5"/>
      <c r="DF670" s="5"/>
      <c r="DG670" s="5"/>
      <c r="DH670" s="5"/>
      <c r="DI670" s="5"/>
      <c r="DJ670" s="5"/>
      <c r="DK670" s="5"/>
      <c r="DL670" s="5"/>
      <c r="DM670" s="5"/>
      <c r="DN670" s="5"/>
      <c r="DO670" s="5"/>
      <c r="DP670" s="5"/>
      <c r="DQ670" s="5"/>
      <c r="DR670" s="5"/>
      <c r="DS670" s="5"/>
      <c r="DT670" s="5"/>
      <c r="DU670" s="5"/>
      <c r="DV670" s="5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5"/>
      <c r="CT671" s="5"/>
      <c r="CU671" s="5"/>
      <c r="CV671" s="5"/>
      <c r="CW671" s="5"/>
      <c r="CX671" s="5"/>
      <c r="CY671" s="5"/>
      <c r="CZ671" s="5"/>
      <c r="DA671" s="5"/>
      <c r="DB671" s="5"/>
      <c r="DC671" s="5"/>
      <c r="DD671" s="5"/>
      <c r="DE671" s="5"/>
      <c r="DF671" s="5"/>
      <c r="DG671" s="5"/>
      <c r="DH671" s="5"/>
      <c r="DI671" s="5"/>
      <c r="DJ671" s="5"/>
      <c r="DK671" s="5"/>
      <c r="DL671" s="5"/>
      <c r="DM671" s="5"/>
      <c r="DN671" s="5"/>
      <c r="DO671" s="5"/>
      <c r="DP671" s="5"/>
      <c r="DQ671" s="5"/>
      <c r="DR671" s="5"/>
      <c r="DS671" s="5"/>
      <c r="DT671" s="5"/>
      <c r="DU671" s="5"/>
      <c r="DV671" s="5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5"/>
      <c r="CT672" s="5"/>
      <c r="CU672" s="5"/>
      <c r="CV672" s="5"/>
      <c r="CW672" s="5"/>
      <c r="CX672" s="5"/>
      <c r="CY672" s="5"/>
      <c r="CZ672" s="5"/>
      <c r="DA672" s="5"/>
      <c r="DB672" s="5"/>
      <c r="DC672" s="5"/>
      <c r="DD672" s="5"/>
      <c r="DE672" s="5"/>
      <c r="DF672" s="5"/>
      <c r="DG672" s="5"/>
      <c r="DH672" s="5"/>
      <c r="DI672" s="5"/>
      <c r="DJ672" s="5"/>
      <c r="DK672" s="5"/>
      <c r="DL672" s="5"/>
      <c r="DM672" s="5"/>
      <c r="DN672" s="5"/>
      <c r="DO672" s="5"/>
      <c r="DP672" s="5"/>
      <c r="DQ672" s="5"/>
      <c r="DR672" s="5"/>
      <c r="DS672" s="5"/>
      <c r="DT672" s="5"/>
      <c r="DU672" s="5"/>
      <c r="DV672" s="5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5"/>
      <c r="CT673" s="5"/>
      <c r="CU673" s="5"/>
      <c r="CV673" s="5"/>
      <c r="CW673" s="5"/>
      <c r="CX673" s="5"/>
      <c r="CY673" s="5"/>
      <c r="CZ673" s="5"/>
      <c r="DA673" s="5"/>
      <c r="DB673" s="5"/>
      <c r="DC673" s="5"/>
      <c r="DD673" s="5"/>
      <c r="DE673" s="5"/>
      <c r="DF673" s="5"/>
      <c r="DG673" s="5"/>
      <c r="DH673" s="5"/>
      <c r="DI673" s="5"/>
      <c r="DJ673" s="5"/>
      <c r="DK673" s="5"/>
      <c r="DL673" s="5"/>
      <c r="DM673" s="5"/>
      <c r="DN673" s="5"/>
      <c r="DO673" s="5"/>
      <c r="DP673" s="5"/>
      <c r="DQ673" s="5"/>
      <c r="DR673" s="5"/>
      <c r="DS673" s="5"/>
      <c r="DT673" s="5"/>
      <c r="DU673" s="5"/>
      <c r="DV673" s="5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5"/>
      <c r="CT674" s="5"/>
      <c r="CU674" s="5"/>
      <c r="CV674" s="5"/>
      <c r="CW674" s="5"/>
      <c r="CX674" s="5"/>
      <c r="CY674" s="5"/>
      <c r="CZ674" s="5"/>
      <c r="DA674" s="5"/>
      <c r="DB674" s="5"/>
      <c r="DC674" s="5"/>
      <c r="DD674" s="5"/>
      <c r="DE674" s="5"/>
      <c r="DF674" s="5"/>
      <c r="DG674" s="5"/>
      <c r="DH674" s="5"/>
      <c r="DI674" s="5"/>
      <c r="DJ674" s="5"/>
      <c r="DK674" s="5"/>
      <c r="DL674" s="5"/>
      <c r="DM674" s="5"/>
      <c r="DN674" s="5"/>
      <c r="DO674" s="5"/>
      <c r="DP674" s="5"/>
      <c r="DQ674" s="5"/>
      <c r="DR674" s="5"/>
      <c r="DS674" s="5"/>
      <c r="DT674" s="5"/>
      <c r="DU674" s="5"/>
      <c r="DV674" s="5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5"/>
      <c r="CT675" s="5"/>
      <c r="CU675" s="5"/>
      <c r="CV675" s="5"/>
      <c r="CW675" s="5"/>
      <c r="CX675" s="5"/>
      <c r="CY675" s="5"/>
      <c r="CZ675" s="5"/>
      <c r="DA675" s="5"/>
      <c r="DB675" s="5"/>
      <c r="DC675" s="5"/>
      <c r="DD675" s="5"/>
      <c r="DE675" s="5"/>
      <c r="DF675" s="5"/>
      <c r="DG675" s="5"/>
      <c r="DH675" s="5"/>
      <c r="DI675" s="5"/>
      <c r="DJ675" s="5"/>
      <c r="DK675" s="5"/>
      <c r="DL675" s="5"/>
      <c r="DM675" s="5"/>
      <c r="DN675" s="5"/>
      <c r="DO675" s="5"/>
      <c r="DP675" s="5"/>
      <c r="DQ675" s="5"/>
      <c r="DR675" s="5"/>
      <c r="DS675" s="5"/>
      <c r="DT675" s="5"/>
      <c r="DU675" s="5"/>
      <c r="DV675" s="5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5"/>
      <c r="CT676" s="5"/>
      <c r="CU676" s="5"/>
      <c r="CV676" s="5"/>
      <c r="CW676" s="5"/>
      <c r="CX676" s="5"/>
      <c r="CY676" s="5"/>
      <c r="CZ676" s="5"/>
      <c r="DA676" s="5"/>
      <c r="DB676" s="5"/>
      <c r="DC676" s="5"/>
      <c r="DD676" s="5"/>
      <c r="DE676" s="5"/>
      <c r="DF676" s="5"/>
      <c r="DG676" s="5"/>
      <c r="DH676" s="5"/>
      <c r="DI676" s="5"/>
      <c r="DJ676" s="5"/>
      <c r="DK676" s="5"/>
      <c r="DL676" s="5"/>
      <c r="DM676" s="5"/>
      <c r="DN676" s="5"/>
      <c r="DO676" s="5"/>
      <c r="DP676" s="5"/>
      <c r="DQ676" s="5"/>
      <c r="DR676" s="5"/>
      <c r="DS676" s="5"/>
      <c r="DT676" s="5"/>
      <c r="DU676" s="5"/>
      <c r="DV676" s="5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5"/>
      <c r="CT677" s="5"/>
      <c r="CU677" s="5"/>
      <c r="CV677" s="5"/>
      <c r="CW677" s="5"/>
      <c r="CX677" s="5"/>
      <c r="CY677" s="5"/>
      <c r="CZ677" s="5"/>
      <c r="DA677" s="5"/>
      <c r="DB677" s="5"/>
      <c r="DC677" s="5"/>
      <c r="DD677" s="5"/>
      <c r="DE677" s="5"/>
      <c r="DF677" s="5"/>
      <c r="DG677" s="5"/>
      <c r="DH677" s="5"/>
      <c r="DI677" s="5"/>
      <c r="DJ677" s="5"/>
      <c r="DK677" s="5"/>
      <c r="DL677" s="5"/>
      <c r="DM677" s="5"/>
      <c r="DN677" s="5"/>
      <c r="DO677" s="5"/>
      <c r="DP677" s="5"/>
      <c r="DQ677" s="5"/>
      <c r="DR677" s="5"/>
      <c r="DS677" s="5"/>
      <c r="DT677" s="5"/>
      <c r="DU677" s="5"/>
      <c r="DV677" s="5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5"/>
      <c r="CT678" s="5"/>
      <c r="CU678" s="5"/>
      <c r="CV678" s="5"/>
      <c r="CW678" s="5"/>
      <c r="CX678" s="5"/>
      <c r="CY678" s="5"/>
      <c r="CZ678" s="5"/>
      <c r="DA678" s="5"/>
      <c r="DB678" s="5"/>
      <c r="DC678" s="5"/>
      <c r="DD678" s="5"/>
      <c r="DE678" s="5"/>
      <c r="DF678" s="5"/>
      <c r="DG678" s="5"/>
      <c r="DH678" s="5"/>
      <c r="DI678" s="5"/>
      <c r="DJ678" s="5"/>
      <c r="DK678" s="5"/>
      <c r="DL678" s="5"/>
      <c r="DM678" s="5"/>
      <c r="DN678" s="5"/>
      <c r="DO678" s="5"/>
      <c r="DP678" s="5"/>
      <c r="DQ678" s="5"/>
      <c r="DR678" s="5"/>
      <c r="DS678" s="5"/>
      <c r="DT678" s="5"/>
      <c r="DU678" s="5"/>
      <c r="DV678" s="5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5"/>
      <c r="CT679" s="5"/>
      <c r="CU679" s="5"/>
      <c r="CV679" s="5"/>
      <c r="CW679" s="5"/>
      <c r="CX679" s="5"/>
      <c r="CY679" s="5"/>
      <c r="CZ679" s="5"/>
      <c r="DA679" s="5"/>
      <c r="DB679" s="5"/>
      <c r="DC679" s="5"/>
      <c r="DD679" s="5"/>
      <c r="DE679" s="5"/>
      <c r="DF679" s="5"/>
      <c r="DG679" s="5"/>
      <c r="DH679" s="5"/>
      <c r="DI679" s="5"/>
      <c r="DJ679" s="5"/>
      <c r="DK679" s="5"/>
      <c r="DL679" s="5"/>
      <c r="DM679" s="5"/>
      <c r="DN679" s="5"/>
      <c r="DO679" s="5"/>
      <c r="DP679" s="5"/>
      <c r="DQ679" s="5"/>
      <c r="DR679" s="5"/>
      <c r="DS679" s="5"/>
      <c r="DT679" s="5"/>
      <c r="DU679" s="5"/>
      <c r="DV679" s="5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5"/>
      <c r="CT680" s="5"/>
      <c r="CU680" s="5"/>
      <c r="CV680" s="5"/>
      <c r="CW680" s="5"/>
      <c r="CX680" s="5"/>
      <c r="CY680" s="5"/>
      <c r="CZ680" s="5"/>
      <c r="DA680" s="5"/>
      <c r="DB680" s="5"/>
      <c r="DC680" s="5"/>
      <c r="DD680" s="5"/>
      <c r="DE680" s="5"/>
      <c r="DF680" s="5"/>
      <c r="DG680" s="5"/>
      <c r="DH680" s="5"/>
      <c r="DI680" s="5"/>
      <c r="DJ680" s="5"/>
      <c r="DK680" s="5"/>
      <c r="DL680" s="5"/>
      <c r="DM680" s="5"/>
      <c r="DN680" s="5"/>
      <c r="DO680" s="5"/>
      <c r="DP680" s="5"/>
      <c r="DQ680" s="5"/>
      <c r="DR680" s="5"/>
      <c r="DS680" s="5"/>
      <c r="DT680" s="5"/>
      <c r="DU680" s="5"/>
      <c r="DV680" s="5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5"/>
      <c r="CT681" s="5"/>
      <c r="CU681" s="5"/>
      <c r="CV681" s="5"/>
      <c r="CW681" s="5"/>
      <c r="CX681" s="5"/>
      <c r="CY681" s="5"/>
      <c r="CZ681" s="5"/>
      <c r="DA681" s="5"/>
      <c r="DB681" s="5"/>
      <c r="DC681" s="5"/>
      <c r="DD681" s="5"/>
      <c r="DE681" s="5"/>
      <c r="DF681" s="5"/>
      <c r="DG681" s="5"/>
      <c r="DH681" s="5"/>
      <c r="DI681" s="5"/>
      <c r="DJ681" s="5"/>
      <c r="DK681" s="5"/>
      <c r="DL681" s="5"/>
      <c r="DM681" s="5"/>
      <c r="DN681" s="5"/>
      <c r="DO681" s="5"/>
      <c r="DP681" s="5"/>
      <c r="DQ681" s="5"/>
      <c r="DR681" s="5"/>
      <c r="DS681" s="5"/>
      <c r="DT681" s="5"/>
      <c r="DU681" s="5"/>
      <c r="DV681" s="5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5"/>
      <c r="CT682" s="5"/>
      <c r="CU682" s="5"/>
      <c r="CV682" s="5"/>
      <c r="CW682" s="5"/>
      <c r="CX682" s="5"/>
      <c r="CY682" s="5"/>
      <c r="CZ682" s="5"/>
      <c r="DA682" s="5"/>
      <c r="DB682" s="5"/>
      <c r="DC682" s="5"/>
      <c r="DD682" s="5"/>
      <c r="DE682" s="5"/>
      <c r="DF682" s="5"/>
      <c r="DG682" s="5"/>
      <c r="DH682" s="5"/>
      <c r="DI682" s="5"/>
      <c r="DJ682" s="5"/>
      <c r="DK682" s="5"/>
      <c r="DL682" s="5"/>
      <c r="DM682" s="5"/>
      <c r="DN682" s="5"/>
      <c r="DO682" s="5"/>
      <c r="DP682" s="5"/>
      <c r="DQ682" s="5"/>
      <c r="DR682" s="5"/>
      <c r="DS682" s="5"/>
      <c r="DT682" s="5"/>
      <c r="DU682" s="5"/>
      <c r="DV682" s="5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5"/>
      <c r="CT683" s="5"/>
      <c r="CU683" s="5"/>
      <c r="CV683" s="5"/>
      <c r="CW683" s="5"/>
      <c r="CX683" s="5"/>
      <c r="CY683" s="5"/>
      <c r="CZ683" s="5"/>
      <c r="DA683" s="5"/>
      <c r="DB683" s="5"/>
      <c r="DC683" s="5"/>
      <c r="DD683" s="5"/>
      <c r="DE683" s="5"/>
      <c r="DF683" s="5"/>
      <c r="DG683" s="5"/>
      <c r="DH683" s="5"/>
      <c r="DI683" s="5"/>
      <c r="DJ683" s="5"/>
      <c r="DK683" s="5"/>
      <c r="DL683" s="5"/>
      <c r="DM683" s="5"/>
      <c r="DN683" s="5"/>
      <c r="DO683" s="5"/>
      <c r="DP683" s="5"/>
      <c r="DQ683" s="5"/>
      <c r="DR683" s="5"/>
      <c r="DS683" s="5"/>
      <c r="DT683" s="5"/>
      <c r="DU683" s="5"/>
      <c r="DV683" s="5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5"/>
      <c r="CT684" s="5"/>
      <c r="CU684" s="5"/>
      <c r="CV684" s="5"/>
      <c r="CW684" s="5"/>
      <c r="CX684" s="5"/>
      <c r="CY684" s="5"/>
      <c r="CZ684" s="5"/>
      <c r="DA684" s="5"/>
      <c r="DB684" s="5"/>
      <c r="DC684" s="5"/>
      <c r="DD684" s="5"/>
      <c r="DE684" s="5"/>
      <c r="DF684" s="5"/>
      <c r="DG684" s="5"/>
      <c r="DH684" s="5"/>
      <c r="DI684" s="5"/>
      <c r="DJ684" s="5"/>
      <c r="DK684" s="5"/>
      <c r="DL684" s="5"/>
      <c r="DM684" s="5"/>
      <c r="DN684" s="5"/>
      <c r="DO684" s="5"/>
      <c r="DP684" s="5"/>
      <c r="DQ684" s="5"/>
      <c r="DR684" s="5"/>
      <c r="DS684" s="5"/>
      <c r="DT684" s="5"/>
      <c r="DU684" s="5"/>
      <c r="DV684" s="5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5"/>
      <c r="CT685" s="5"/>
      <c r="CU685" s="5"/>
      <c r="CV685" s="5"/>
      <c r="CW685" s="5"/>
      <c r="CX685" s="5"/>
      <c r="CY685" s="5"/>
      <c r="CZ685" s="5"/>
      <c r="DA685" s="5"/>
      <c r="DB685" s="5"/>
      <c r="DC685" s="5"/>
      <c r="DD685" s="5"/>
      <c r="DE685" s="5"/>
      <c r="DF685" s="5"/>
      <c r="DG685" s="5"/>
      <c r="DH685" s="5"/>
      <c r="DI685" s="5"/>
      <c r="DJ685" s="5"/>
      <c r="DK685" s="5"/>
      <c r="DL685" s="5"/>
      <c r="DM685" s="5"/>
      <c r="DN685" s="5"/>
      <c r="DO685" s="5"/>
      <c r="DP685" s="5"/>
      <c r="DQ685" s="5"/>
      <c r="DR685" s="5"/>
      <c r="DS685" s="5"/>
      <c r="DT685" s="5"/>
      <c r="DU685" s="5"/>
      <c r="DV685" s="5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5"/>
      <c r="CT686" s="5"/>
      <c r="CU686" s="5"/>
      <c r="CV686" s="5"/>
      <c r="CW686" s="5"/>
      <c r="CX686" s="5"/>
      <c r="CY686" s="5"/>
      <c r="CZ686" s="5"/>
      <c r="DA686" s="5"/>
      <c r="DB686" s="5"/>
      <c r="DC686" s="5"/>
      <c r="DD686" s="5"/>
      <c r="DE686" s="5"/>
      <c r="DF686" s="5"/>
      <c r="DG686" s="5"/>
      <c r="DH686" s="5"/>
      <c r="DI686" s="5"/>
      <c r="DJ686" s="5"/>
      <c r="DK686" s="5"/>
      <c r="DL686" s="5"/>
      <c r="DM686" s="5"/>
      <c r="DN686" s="5"/>
      <c r="DO686" s="5"/>
      <c r="DP686" s="5"/>
      <c r="DQ686" s="5"/>
      <c r="DR686" s="5"/>
      <c r="DS686" s="5"/>
      <c r="DT686" s="5"/>
      <c r="DU686" s="5"/>
      <c r="DV686" s="5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5"/>
      <c r="CT687" s="5"/>
      <c r="CU687" s="5"/>
      <c r="CV687" s="5"/>
      <c r="CW687" s="5"/>
      <c r="CX687" s="5"/>
      <c r="CY687" s="5"/>
      <c r="CZ687" s="5"/>
      <c r="DA687" s="5"/>
      <c r="DB687" s="5"/>
      <c r="DC687" s="5"/>
      <c r="DD687" s="5"/>
      <c r="DE687" s="5"/>
      <c r="DF687" s="5"/>
      <c r="DG687" s="5"/>
      <c r="DH687" s="5"/>
      <c r="DI687" s="5"/>
      <c r="DJ687" s="5"/>
      <c r="DK687" s="5"/>
      <c r="DL687" s="5"/>
      <c r="DM687" s="5"/>
      <c r="DN687" s="5"/>
      <c r="DO687" s="5"/>
      <c r="DP687" s="5"/>
      <c r="DQ687" s="5"/>
      <c r="DR687" s="5"/>
      <c r="DS687" s="5"/>
      <c r="DT687" s="5"/>
      <c r="DU687" s="5"/>
      <c r="DV687" s="5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5"/>
      <c r="CT688" s="5"/>
      <c r="CU688" s="5"/>
      <c r="CV688" s="5"/>
      <c r="CW688" s="5"/>
      <c r="CX688" s="5"/>
      <c r="CY688" s="5"/>
      <c r="CZ688" s="5"/>
      <c r="DA688" s="5"/>
      <c r="DB688" s="5"/>
      <c r="DC688" s="5"/>
      <c r="DD688" s="5"/>
      <c r="DE688" s="5"/>
      <c r="DF688" s="5"/>
      <c r="DG688" s="5"/>
      <c r="DH688" s="5"/>
      <c r="DI688" s="5"/>
      <c r="DJ688" s="5"/>
      <c r="DK688" s="5"/>
      <c r="DL688" s="5"/>
      <c r="DM688" s="5"/>
      <c r="DN688" s="5"/>
      <c r="DO688" s="5"/>
      <c r="DP688" s="5"/>
      <c r="DQ688" s="5"/>
      <c r="DR688" s="5"/>
      <c r="DS688" s="5"/>
      <c r="DT688" s="5"/>
      <c r="DU688" s="5"/>
      <c r="DV688" s="5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5"/>
      <c r="CT689" s="5"/>
      <c r="CU689" s="5"/>
      <c r="CV689" s="5"/>
      <c r="CW689" s="5"/>
      <c r="CX689" s="5"/>
      <c r="CY689" s="5"/>
      <c r="CZ689" s="5"/>
      <c r="DA689" s="5"/>
      <c r="DB689" s="5"/>
      <c r="DC689" s="5"/>
      <c r="DD689" s="5"/>
      <c r="DE689" s="5"/>
      <c r="DF689" s="5"/>
      <c r="DG689" s="5"/>
      <c r="DH689" s="5"/>
      <c r="DI689" s="5"/>
      <c r="DJ689" s="5"/>
      <c r="DK689" s="5"/>
      <c r="DL689" s="5"/>
      <c r="DM689" s="5"/>
      <c r="DN689" s="5"/>
      <c r="DO689" s="5"/>
      <c r="DP689" s="5"/>
      <c r="DQ689" s="5"/>
      <c r="DR689" s="5"/>
      <c r="DS689" s="5"/>
      <c r="DT689" s="5"/>
      <c r="DU689" s="5"/>
      <c r="DV689" s="5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5"/>
      <c r="CT690" s="5"/>
      <c r="CU690" s="5"/>
      <c r="CV690" s="5"/>
      <c r="CW690" s="5"/>
      <c r="CX690" s="5"/>
      <c r="CY690" s="5"/>
      <c r="CZ690" s="5"/>
      <c r="DA690" s="5"/>
      <c r="DB690" s="5"/>
      <c r="DC690" s="5"/>
      <c r="DD690" s="5"/>
      <c r="DE690" s="5"/>
      <c r="DF690" s="5"/>
      <c r="DG690" s="5"/>
      <c r="DH690" s="5"/>
      <c r="DI690" s="5"/>
      <c r="DJ690" s="5"/>
      <c r="DK690" s="5"/>
      <c r="DL690" s="5"/>
      <c r="DM690" s="5"/>
      <c r="DN690" s="5"/>
      <c r="DO690" s="5"/>
      <c r="DP690" s="5"/>
      <c r="DQ690" s="5"/>
      <c r="DR690" s="5"/>
      <c r="DS690" s="5"/>
      <c r="DT690" s="5"/>
      <c r="DU690" s="5"/>
      <c r="DV690" s="5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5"/>
      <c r="CT692" s="5"/>
      <c r="CU692" s="5"/>
      <c r="CV692" s="5"/>
      <c r="CW692" s="5"/>
      <c r="CX692" s="5"/>
      <c r="CY692" s="5"/>
      <c r="CZ692" s="5"/>
      <c r="DA692" s="5"/>
      <c r="DB692" s="5"/>
      <c r="DC692" s="5"/>
      <c r="DD692" s="5"/>
      <c r="DE692" s="5"/>
      <c r="DF692" s="5"/>
      <c r="DG692" s="5"/>
      <c r="DH692" s="5"/>
      <c r="DI692" s="5"/>
      <c r="DJ692" s="5"/>
      <c r="DK692" s="5"/>
      <c r="DL692" s="5"/>
      <c r="DM692" s="5"/>
      <c r="DN692" s="5"/>
      <c r="DO692" s="5"/>
      <c r="DP692" s="5"/>
      <c r="DQ692" s="5"/>
      <c r="DR692" s="5"/>
      <c r="DS692" s="5"/>
      <c r="DT692" s="5"/>
      <c r="DU692" s="5"/>
      <c r="DV692" s="5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5"/>
      <c r="CT693" s="5"/>
      <c r="CU693" s="5"/>
      <c r="CV693" s="5"/>
      <c r="CW693" s="5"/>
      <c r="CX693" s="5"/>
      <c r="CY693" s="5"/>
      <c r="CZ693" s="5"/>
      <c r="DA693" s="5"/>
      <c r="DB693" s="5"/>
      <c r="DC693" s="5"/>
      <c r="DD693" s="5"/>
      <c r="DE693" s="5"/>
      <c r="DF693" s="5"/>
      <c r="DG693" s="5"/>
      <c r="DH693" s="5"/>
      <c r="DI693" s="5"/>
      <c r="DJ693" s="5"/>
      <c r="DK693" s="5"/>
      <c r="DL693" s="5"/>
      <c r="DM693" s="5"/>
      <c r="DN693" s="5"/>
      <c r="DO693" s="5"/>
      <c r="DP693" s="5"/>
      <c r="DQ693" s="5"/>
      <c r="DR693" s="5"/>
      <c r="DS693" s="5"/>
      <c r="DT693" s="5"/>
      <c r="DU693" s="5"/>
      <c r="DV693" s="5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5"/>
      <c r="CT694" s="5"/>
      <c r="CU694" s="5"/>
      <c r="CV694" s="5"/>
      <c r="CW694" s="5"/>
      <c r="CX694" s="5"/>
      <c r="CY694" s="5"/>
      <c r="CZ694" s="5"/>
      <c r="DA694" s="5"/>
      <c r="DB694" s="5"/>
      <c r="DC694" s="5"/>
      <c r="DD694" s="5"/>
      <c r="DE694" s="5"/>
      <c r="DF694" s="5"/>
      <c r="DG694" s="5"/>
      <c r="DH694" s="5"/>
      <c r="DI694" s="5"/>
      <c r="DJ694" s="5"/>
      <c r="DK694" s="5"/>
      <c r="DL694" s="5"/>
      <c r="DM694" s="5"/>
      <c r="DN694" s="5"/>
      <c r="DO694" s="5"/>
      <c r="DP694" s="5"/>
      <c r="DQ694" s="5"/>
      <c r="DR694" s="5"/>
      <c r="DS694" s="5"/>
      <c r="DT694" s="5"/>
      <c r="DU694" s="5"/>
      <c r="DV694" s="5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5"/>
      <c r="CT695" s="5"/>
      <c r="CU695" s="5"/>
      <c r="CV695" s="5"/>
      <c r="CW695" s="5"/>
      <c r="CX695" s="5"/>
      <c r="CY695" s="5"/>
      <c r="CZ695" s="5"/>
      <c r="DA695" s="5"/>
      <c r="DB695" s="5"/>
      <c r="DC695" s="5"/>
      <c r="DD695" s="5"/>
      <c r="DE695" s="5"/>
      <c r="DF695" s="5"/>
      <c r="DG695" s="5"/>
      <c r="DH695" s="5"/>
      <c r="DI695" s="5"/>
      <c r="DJ695" s="5"/>
      <c r="DK695" s="5"/>
      <c r="DL695" s="5"/>
      <c r="DM695" s="5"/>
      <c r="DN695" s="5"/>
      <c r="DO695" s="5"/>
      <c r="DP695" s="5"/>
      <c r="DQ695" s="5"/>
      <c r="DR695" s="5"/>
      <c r="DS695" s="5"/>
      <c r="DT695" s="5"/>
      <c r="DU695" s="5"/>
      <c r="DV695" s="5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5"/>
      <c r="CT696" s="5"/>
      <c r="CU696" s="5"/>
      <c r="CV696" s="5"/>
      <c r="CW696" s="5"/>
      <c r="CX696" s="5"/>
      <c r="CY696" s="5"/>
      <c r="CZ696" s="5"/>
      <c r="DA696" s="5"/>
      <c r="DB696" s="5"/>
      <c r="DC696" s="5"/>
      <c r="DD696" s="5"/>
      <c r="DE696" s="5"/>
      <c r="DF696" s="5"/>
      <c r="DG696" s="5"/>
      <c r="DH696" s="5"/>
      <c r="DI696" s="5"/>
      <c r="DJ696" s="5"/>
      <c r="DK696" s="5"/>
      <c r="DL696" s="5"/>
      <c r="DM696" s="5"/>
      <c r="DN696" s="5"/>
      <c r="DO696" s="5"/>
      <c r="DP696" s="5"/>
      <c r="DQ696" s="5"/>
      <c r="DR696" s="5"/>
      <c r="DS696" s="5"/>
      <c r="DT696" s="5"/>
      <c r="DU696" s="5"/>
      <c r="DV696" s="5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5"/>
      <c r="CT697" s="5"/>
      <c r="CU697" s="5"/>
      <c r="CV697" s="5"/>
      <c r="CW697" s="5"/>
      <c r="CX697" s="5"/>
      <c r="CY697" s="5"/>
      <c r="CZ697" s="5"/>
      <c r="DA697" s="5"/>
      <c r="DB697" s="5"/>
      <c r="DC697" s="5"/>
      <c r="DD697" s="5"/>
      <c r="DE697" s="5"/>
      <c r="DF697" s="5"/>
      <c r="DG697" s="5"/>
      <c r="DH697" s="5"/>
      <c r="DI697" s="5"/>
      <c r="DJ697" s="5"/>
      <c r="DK697" s="5"/>
      <c r="DL697" s="5"/>
      <c r="DM697" s="5"/>
      <c r="DN697" s="5"/>
      <c r="DO697" s="5"/>
      <c r="DP697" s="5"/>
      <c r="DQ697" s="5"/>
      <c r="DR697" s="5"/>
      <c r="DS697" s="5"/>
      <c r="DT697" s="5"/>
      <c r="DU697" s="5"/>
      <c r="DV697" s="5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5"/>
      <c r="CT698" s="5"/>
      <c r="CU698" s="5"/>
      <c r="CV698" s="5"/>
      <c r="CW698" s="5"/>
      <c r="CX698" s="5"/>
      <c r="CY698" s="5"/>
      <c r="CZ698" s="5"/>
      <c r="DA698" s="5"/>
      <c r="DB698" s="5"/>
      <c r="DC698" s="5"/>
      <c r="DD698" s="5"/>
      <c r="DE698" s="5"/>
      <c r="DF698" s="5"/>
      <c r="DG698" s="5"/>
      <c r="DH698" s="5"/>
      <c r="DI698" s="5"/>
      <c r="DJ698" s="5"/>
      <c r="DK698" s="5"/>
      <c r="DL698" s="5"/>
      <c r="DM698" s="5"/>
      <c r="DN698" s="5"/>
      <c r="DO698" s="5"/>
      <c r="DP698" s="5"/>
      <c r="DQ698" s="5"/>
      <c r="DR698" s="5"/>
      <c r="DS698" s="5"/>
      <c r="DT698" s="5"/>
      <c r="DU698" s="5"/>
      <c r="DV698" s="5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5"/>
      <c r="CT699" s="5"/>
      <c r="CU699" s="5"/>
      <c r="CV699" s="5"/>
      <c r="CW699" s="5"/>
      <c r="CX699" s="5"/>
      <c r="CY699" s="5"/>
      <c r="CZ699" s="5"/>
      <c r="DA699" s="5"/>
      <c r="DB699" s="5"/>
      <c r="DC699" s="5"/>
      <c r="DD699" s="5"/>
      <c r="DE699" s="5"/>
      <c r="DF699" s="5"/>
      <c r="DG699" s="5"/>
      <c r="DH699" s="5"/>
      <c r="DI699" s="5"/>
      <c r="DJ699" s="5"/>
      <c r="DK699" s="5"/>
      <c r="DL699" s="5"/>
      <c r="DM699" s="5"/>
      <c r="DN699" s="5"/>
      <c r="DO699" s="5"/>
      <c r="DP699" s="5"/>
      <c r="DQ699" s="5"/>
      <c r="DR699" s="5"/>
      <c r="DS699" s="5"/>
      <c r="DT699" s="5"/>
      <c r="DU699" s="5"/>
      <c r="DV699" s="5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5"/>
      <c r="CT700" s="5"/>
      <c r="CU700" s="5"/>
      <c r="CV700" s="5"/>
      <c r="CW700" s="5"/>
      <c r="CX700" s="5"/>
      <c r="CY700" s="5"/>
      <c r="CZ700" s="5"/>
      <c r="DA700" s="5"/>
      <c r="DB700" s="5"/>
      <c r="DC700" s="5"/>
      <c r="DD700" s="5"/>
      <c r="DE700" s="5"/>
      <c r="DF700" s="5"/>
      <c r="DG700" s="5"/>
      <c r="DH700" s="5"/>
      <c r="DI700" s="5"/>
      <c r="DJ700" s="5"/>
      <c r="DK700" s="5"/>
      <c r="DL700" s="5"/>
      <c r="DM700" s="5"/>
      <c r="DN700" s="5"/>
      <c r="DO700" s="5"/>
      <c r="DP700" s="5"/>
      <c r="DQ700" s="5"/>
      <c r="DR700" s="5"/>
      <c r="DS700" s="5"/>
      <c r="DT700" s="5"/>
      <c r="DU700" s="5"/>
      <c r="DV700" s="5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5"/>
      <c r="CT701" s="5"/>
      <c r="CU701" s="5"/>
      <c r="CV701" s="5"/>
      <c r="CW701" s="5"/>
      <c r="CX701" s="5"/>
      <c r="CY701" s="5"/>
      <c r="CZ701" s="5"/>
      <c r="DA701" s="5"/>
      <c r="DB701" s="5"/>
      <c r="DC701" s="5"/>
      <c r="DD701" s="5"/>
      <c r="DE701" s="5"/>
      <c r="DF701" s="5"/>
      <c r="DG701" s="5"/>
      <c r="DH701" s="5"/>
      <c r="DI701" s="5"/>
      <c r="DJ701" s="5"/>
      <c r="DK701" s="5"/>
      <c r="DL701" s="5"/>
      <c r="DM701" s="5"/>
      <c r="DN701" s="5"/>
      <c r="DO701" s="5"/>
      <c r="DP701" s="5"/>
      <c r="DQ701" s="5"/>
      <c r="DR701" s="5"/>
      <c r="DS701" s="5"/>
      <c r="DT701" s="5"/>
      <c r="DU701" s="5"/>
      <c r="DV701" s="5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5"/>
      <c r="CT702" s="5"/>
      <c r="CU702" s="5"/>
      <c r="CV702" s="5"/>
      <c r="CW702" s="5"/>
      <c r="CX702" s="5"/>
      <c r="CY702" s="5"/>
      <c r="CZ702" s="5"/>
      <c r="DA702" s="5"/>
      <c r="DB702" s="5"/>
      <c r="DC702" s="5"/>
      <c r="DD702" s="5"/>
      <c r="DE702" s="5"/>
      <c r="DF702" s="5"/>
      <c r="DG702" s="5"/>
      <c r="DH702" s="5"/>
      <c r="DI702" s="5"/>
      <c r="DJ702" s="5"/>
      <c r="DK702" s="5"/>
      <c r="DL702" s="5"/>
      <c r="DM702" s="5"/>
      <c r="DN702" s="5"/>
      <c r="DO702" s="5"/>
      <c r="DP702" s="5"/>
      <c r="DQ702" s="5"/>
      <c r="DR702" s="5"/>
      <c r="DS702" s="5"/>
      <c r="DT702" s="5"/>
      <c r="DU702" s="5"/>
      <c r="DV702" s="5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5"/>
      <c r="CT703" s="5"/>
      <c r="CU703" s="5"/>
      <c r="CV703" s="5"/>
      <c r="CW703" s="5"/>
      <c r="CX703" s="5"/>
      <c r="CY703" s="5"/>
      <c r="CZ703" s="5"/>
      <c r="DA703" s="5"/>
      <c r="DB703" s="5"/>
      <c r="DC703" s="5"/>
      <c r="DD703" s="5"/>
      <c r="DE703" s="5"/>
      <c r="DF703" s="5"/>
      <c r="DG703" s="5"/>
      <c r="DH703" s="5"/>
      <c r="DI703" s="5"/>
      <c r="DJ703" s="5"/>
      <c r="DK703" s="5"/>
      <c r="DL703" s="5"/>
      <c r="DM703" s="5"/>
      <c r="DN703" s="5"/>
      <c r="DO703" s="5"/>
      <c r="DP703" s="5"/>
      <c r="DQ703" s="5"/>
      <c r="DR703" s="5"/>
      <c r="DS703" s="5"/>
      <c r="DT703" s="5"/>
      <c r="DU703" s="5"/>
      <c r="DV703" s="5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5"/>
      <c r="CT704" s="5"/>
      <c r="CU704" s="5"/>
      <c r="CV704" s="5"/>
      <c r="CW704" s="5"/>
      <c r="CX704" s="5"/>
      <c r="CY704" s="5"/>
      <c r="CZ704" s="5"/>
      <c r="DA704" s="5"/>
      <c r="DB704" s="5"/>
      <c r="DC704" s="5"/>
      <c r="DD704" s="5"/>
      <c r="DE704" s="5"/>
      <c r="DF704" s="5"/>
      <c r="DG704" s="5"/>
      <c r="DH704" s="5"/>
      <c r="DI704" s="5"/>
      <c r="DJ704" s="5"/>
      <c r="DK704" s="5"/>
      <c r="DL704" s="5"/>
      <c r="DM704" s="5"/>
      <c r="DN704" s="5"/>
      <c r="DO704" s="5"/>
      <c r="DP704" s="5"/>
      <c r="DQ704" s="5"/>
      <c r="DR704" s="5"/>
      <c r="DS704" s="5"/>
      <c r="DT704" s="5"/>
      <c r="DU704" s="5"/>
      <c r="DV704" s="5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5"/>
      <c r="CT705" s="5"/>
      <c r="CU705" s="5"/>
      <c r="CV705" s="5"/>
      <c r="CW705" s="5"/>
      <c r="CX705" s="5"/>
      <c r="CY705" s="5"/>
      <c r="CZ705" s="5"/>
      <c r="DA705" s="5"/>
      <c r="DB705" s="5"/>
      <c r="DC705" s="5"/>
      <c r="DD705" s="5"/>
      <c r="DE705" s="5"/>
      <c r="DF705" s="5"/>
      <c r="DG705" s="5"/>
      <c r="DH705" s="5"/>
      <c r="DI705" s="5"/>
      <c r="DJ705" s="5"/>
      <c r="DK705" s="5"/>
      <c r="DL705" s="5"/>
      <c r="DM705" s="5"/>
      <c r="DN705" s="5"/>
      <c r="DO705" s="5"/>
      <c r="DP705" s="5"/>
      <c r="DQ705" s="5"/>
      <c r="DR705" s="5"/>
      <c r="DS705" s="5"/>
      <c r="DT705" s="5"/>
      <c r="DU705" s="5"/>
      <c r="DV705" s="5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5"/>
      <c r="CT706" s="5"/>
      <c r="CU706" s="5"/>
      <c r="CV706" s="5"/>
      <c r="CW706" s="5"/>
      <c r="CX706" s="5"/>
      <c r="CY706" s="5"/>
      <c r="CZ706" s="5"/>
      <c r="DA706" s="5"/>
      <c r="DB706" s="5"/>
      <c r="DC706" s="5"/>
      <c r="DD706" s="5"/>
      <c r="DE706" s="5"/>
      <c r="DF706" s="5"/>
      <c r="DG706" s="5"/>
      <c r="DH706" s="5"/>
      <c r="DI706" s="5"/>
      <c r="DJ706" s="5"/>
      <c r="DK706" s="5"/>
      <c r="DL706" s="5"/>
      <c r="DM706" s="5"/>
      <c r="DN706" s="5"/>
      <c r="DO706" s="5"/>
      <c r="DP706" s="5"/>
      <c r="DQ706" s="5"/>
      <c r="DR706" s="5"/>
      <c r="DS706" s="5"/>
      <c r="DT706" s="5"/>
      <c r="DU706" s="5"/>
      <c r="DV706" s="5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5"/>
      <c r="CT707" s="5"/>
      <c r="CU707" s="5"/>
      <c r="CV707" s="5"/>
      <c r="CW707" s="5"/>
      <c r="CX707" s="5"/>
      <c r="CY707" s="5"/>
      <c r="CZ707" s="5"/>
      <c r="DA707" s="5"/>
      <c r="DB707" s="5"/>
      <c r="DC707" s="5"/>
      <c r="DD707" s="5"/>
      <c r="DE707" s="5"/>
      <c r="DF707" s="5"/>
      <c r="DG707" s="5"/>
      <c r="DH707" s="5"/>
      <c r="DI707" s="5"/>
      <c r="DJ707" s="5"/>
      <c r="DK707" s="5"/>
      <c r="DL707" s="5"/>
      <c r="DM707" s="5"/>
      <c r="DN707" s="5"/>
      <c r="DO707" s="5"/>
      <c r="DP707" s="5"/>
      <c r="DQ707" s="5"/>
      <c r="DR707" s="5"/>
      <c r="DS707" s="5"/>
      <c r="DT707" s="5"/>
      <c r="DU707" s="5"/>
      <c r="DV707" s="5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5"/>
      <c r="CT708" s="5"/>
      <c r="CU708" s="5"/>
      <c r="CV708" s="5"/>
      <c r="CW708" s="5"/>
      <c r="CX708" s="5"/>
      <c r="CY708" s="5"/>
      <c r="CZ708" s="5"/>
      <c r="DA708" s="5"/>
      <c r="DB708" s="5"/>
      <c r="DC708" s="5"/>
      <c r="DD708" s="5"/>
      <c r="DE708" s="5"/>
      <c r="DF708" s="5"/>
      <c r="DG708" s="5"/>
      <c r="DH708" s="5"/>
      <c r="DI708" s="5"/>
      <c r="DJ708" s="5"/>
      <c r="DK708" s="5"/>
      <c r="DL708" s="5"/>
      <c r="DM708" s="5"/>
      <c r="DN708" s="5"/>
      <c r="DO708" s="5"/>
      <c r="DP708" s="5"/>
      <c r="DQ708" s="5"/>
      <c r="DR708" s="5"/>
      <c r="DS708" s="5"/>
      <c r="DT708" s="5"/>
      <c r="DU708" s="5"/>
      <c r="DV708" s="5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5"/>
      <c r="CT709" s="5"/>
      <c r="CU709" s="5"/>
      <c r="CV709" s="5"/>
      <c r="CW709" s="5"/>
      <c r="CX709" s="5"/>
      <c r="CY709" s="5"/>
      <c r="CZ709" s="5"/>
      <c r="DA709" s="5"/>
      <c r="DB709" s="5"/>
      <c r="DC709" s="5"/>
      <c r="DD709" s="5"/>
      <c r="DE709" s="5"/>
      <c r="DF709" s="5"/>
      <c r="DG709" s="5"/>
      <c r="DH709" s="5"/>
      <c r="DI709" s="5"/>
      <c r="DJ709" s="5"/>
      <c r="DK709" s="5"/>
      <c r="DL709" s="5"/>
      <c r="DM709" s="5"/>
      <c r="DN709" s="5"/>
      <c r="DO709" s="5"/>
      <c r="DP709" s="5"/>
      <c r="DQ709" s="5"/>
      <c r="DR709" s="5"/>
      <c r="DS709" s="5"/>
      <c r="DT709" s="5"/>
      <c r="DU709" s="5"/>
      <c r="DV709" s="5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5"/>
      <c r="CT710" s="5"/>
      <c r="CU710" s="5"/>
      <c r="CV710" s="5"/>
      <c r="CW710" s="5"/>
      <c r="CX710" s="5"/>
      <c r="CY710" s="5"/>
      <c r="CZ710" s="5"/>
      <c r="DA710" s="5"/>
      <c r="DB710" s="5"/>
      <c r="DC710" s="5"/>
      <c r="DD710" s="5"/>
      <c r="DE710" s="5"/>
      <c r="DF710" s="5"/>
      <c r="DG710" s="5"/>
      <c r="DH710" s="5"/>
      <c r="DI710" s="5"/>
      <c r="DJ710" s="5"/>
      <c r="DK710" s="5"/>
      <c r="DL710" s="5"/>
      <c r="DM710" s="5"/>
      <c r="DN710" s="5"/>
      <c r="DO710" s="5"/>
      <c r="DP710" s="5"/>
      <c r="DQ710" s="5"/>
      <c r="DR710" s="5"/>
      <c r="DS710" s="5"/>
      <c r="DT710" s="5"/>
      <c r="DU710" s="5"/>
      <c r="DV710" s="5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5"/>
      <c r="CT711" s="5"/>
      <c r="CU711" s="5"/>
      <c r="CV711" s="5"/>
      <c r="CW711" s="5"/>
      <c r="CX711" s="5"/>
      <c r="CY711" s="5"/>
      <c r="CZ711" s="5"/>
      <c r="DA711" s="5"/>
      <c r="DB711" s="5"/>
      <c r="DC711" s="5"/>
      <c r="DD711" s="5"/>
      <c r="DE711" s="5"/>
      <c r="DF711" s="5"/>
      <c r="DG711" s="5"/>
      <c r="DH711" s="5"/>
      <c r="DI711" s="5"/>
      <c r="DJ711" s="5"/>
      <c r="DK711" s="5"/>
      <c r="DL711" s="5"/>
      <c r="DM711" s="5"/>
      <c r="DN711" s="5"/>
      <c r="DO711" s="5"/>
      <c r="DP711" s="5"/>
      <c r="DQ711" s="5"/>
      <c r="DR711" s="5"/>
      <c r="DS711" s="5"/>
      <c r="DT711" s="5"/>
      <c r="DU711" s="5"/>
      <c r="DV711" s="5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5"/>
      <c r="CT712" s="5"/>
      <c r="CU712" s="5"/>
      <c r="CV712" s="5"/>
      <c r="CW712" s="5"/>
      <c r="CX712" s="5"/>
      <c r="CY712" s="5"/>
      <c r="CZ712" s="5"/>
      <c r="DA712" s="5"/>
      <c r="DB712" s="5"/>
      <c r="DC712" s="5"/>
      <c r="DD712" s="5"/>
      <c r="DE712" s="5"/>
      <c r="DF712" s="5"/>
      <c r="DG712" s="5"/>
      <c r="DH712" s="5"/>
      <c r="DI712" s="5"/>
      <c r="DJ712" s="5"/>
      <c r="DK712" s="5"/>
      <c r="DL712" s="5"/>
      <c r="DM712" s="5"/>
      <c r="DN712" s="5"/>
      <c r="DO712" s="5"/>
      <c r="DP712" s="5"/>
      <c r="DQ712" s="5"/>
      <c r="DR712" s="5"/>
      <c r="DS712" s="5"/>
      <c r="DT712" s="5"/>
      <c r="DU712" s="5"/>
      <c r="DV712" s="5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5"/>
      <c r="CT713" s="5"/>
      <c r="CU713" s="5"/>
      <c r="CV713" s="5"/>
      <c r="CW713" s="5"/>
      <c r="CX713" s="5"/>
      <c r="CY713" s="5"/>
      <c r="CZ713" s="5"/>
      <c r="DA713" s="5"/>
      <c r="DB713" s="5"/>
      <c r="DC713" s="5"/>
      <c r="DD713" s="5"/>
      <c r="DE713" s="5"/>
      <c r="DF713" s="5"/>
      <c r="DG713" s="5"/>
      <c r="DH713" s="5"/>
      <c r="DI713" s="5"/>
      <c r="DJ713" s="5"/>
      <c r="DK713" s="5"/>
      <c r="DL713" s="5"/>
      <c r="DM713" s="5"/>
      <c r="DN713" s="5"/>
      <c r="DO713" s="5"/>
      <c r="DP713" s="5"/>
      <c r="DQ713" s="5"/>
      <c r="DR713" s="5"/>
      <c r="DS713" s="5"/>
      <c r="DT713" s="5"/>
      <c r="DU713" s="5"/>
      <c r="DV713" s="5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5"/>
      <c r="CT714" s="5"/>
      <c r="CU714" s="5"/>
      <c r="CV714" s="5"/>
      <c r="CW714" s="5"/>
      <c r="CX714" s="5"/>
      <c r="CY714" s="5"/>
      <c r="CZ714" s="5"/>
      <c r="DA714" s="5"/>
      <c r="DB714" s="5"/>
      <c r="DC714" s="5"/>
      <c r="DD714" s="5"/>
      <c r="DE714" s="5"/>
      <c r="DF714" s="5"/>
      <c r="DG714" s="5"/>
      <c r="DH714" s="5"/>
      <c r="DI714" s="5"/>
      <c r="DJ714" s="5"/>
      <c r="DK714" s="5"/>
      <c r="DL714" s="5"/>
      <c r="DM714" s="5"/>
      <c r="DN714" s="5"/>
      <c r="DO714" s="5"/>
      <c r="DP714" s="5"/>
      <c r="DQ714" s="5"/>
      <c r="DR714" s="5"/>
      <c r="DS714" s="5"/>
      <c r="DT714" s="5"/>
      <c r="DU714" s="5"/>
      <c r="DV714" s="5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5"/>
      <c r="CT715" s="5"/>
      <c r="CU715" s="5"/>
      <c r="CV715" s="5"/>
      <c r="CW715" s="5"/>
      <c r="CX715" s="5"/>
      <c r="CY715" s="5"/>
      <c r="CZ715" s="5"/>
      <c r="DA715" s="5"/>
      <c r="DB715" s="5"/>
      <c r="DC715" s="5"/>
      <c r="DD715" s="5"/>
      <c r="DE715" s="5"/>
      <c r="DF715" s="5"/>
      <c r="DG715" s="5"/>
      <c r="DH715" s="5"/>
      <c r="DI715" s="5"/>
      <c r="DJ715" s="5"/>
      <c r="DK715" s="5"/>
      <c r="DL715" s="5"/>
      <c r="DM715" s="5"/>
      <c r="DN715" s="5"/>
      <c r="DO715" s="5"/>
      <c r="DP715" s="5"/>
      <c r="DQ715" s="5"/>
      <c r="DR715" s="5"/>
      <c r="DS715" s="5"/>
      <c r="DT715" s="5"/>
      <c r="DU715" s="5"/>
      <c r="DV715" s="5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5"/>
      <c r="CT716" s="5"/>
      <c r="CU716" s="5"/>
      <c r="CV716" s="5"/>
      <c r="CW716" s="5"/>
      <c r="CX716" s="5"/>
      <c r="CY716" s="5"/>
      <c r="CZ716" s="5"/>
      <c r="DA716" s="5"/>
      <c r="DB716" s="5"/>
      <c r="DC716" s="5"/>
      <c r="DD716" s="5"/>
      <c r="DE716" s="5"/>
      <c r="DF716" s="5"/>
      <c r="DG716" s="5"/>
      <c r="DH716" s="5"/>
      <c r="DI716" s="5"/>
      <c r="DJ716" s="5"/>
      <c r="DK716" s="5"/>
      <c r="DL716" s="5"/>
      <c r="DM716" s="5"/>
      <c r="DN716" s="5"/>
      <c r="DO716" s="5"/>
      <c r="DP716" s="5"/>
      <c r="DQ716" s="5"/>
      <c r="DR716" s="5"/>
      <c r="DS716" s="5"/>
      <c r="DT716" s="5"/>
      <c r="DU716" s="5"/>
      <c r="DV716" s="5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5"/>
      <c r="CT717" s="5"/>
      <c r="CU717" s="5"/>
      <c r="CV717" s="5"/>
      <c r="CW717" s="5"/>
      <c r="CX717" s="5"/>
      <c r="CY717" s="5"/>
      <c r="CZ717" s="5"/>
      <c r="DA717" s="5"/>
      <c r="DB717" s="5"/>
      <c r="DC717" s="5"/>
      <c r="DD717" s="5"/>
      <c r="DE717" s="5"/>
      <c r="DF717" s="5"/>
      <c r="DG717" s="5"/>
      <c r="DH717" s="5"/>
      <c r="DI717" s="5"/>
      <c r="DJ717" s="5"/>
      <c r="DK717" s="5"/>
      <c r="DL717" s="5"/>
      <c r="DM717" s="5"/>
      <c r="DN717" s="5"/>
      <c r="DO717" s="5"/>
      <c r="DP717" s="5"/>
      <c r="DQ717" s="5"/>
      <c r="DR717" s="5"/>
      <c r="DS717" s="5"/>
      <c r="DT717" s="5"/>
      <c r="DU717" s="5"/>
      <c r="DV717" s="5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5"/>
      <c r="CT718" s="5"/>
      <c r="CU718" s="5"/>
      <c r="CV718" s="5"/>
      <c r="CW718" s="5"/>
      <c r="CX718" s="5"/>
      <c r="CY718" s="5"/>
      <c r="CZ718" s="5"/>
      <c r="DA718" s="5"/>
      <c r="DB718" s="5"/>
      <c r="DC718" s="5"/>
      <c r="DD718" s="5"/>
      <c r="DE718" s="5"/>
      <c r="DF718" s="5"/>
      <c r="DG718" s="5"/>
      <c r="DH718" s="5"/>
      <c r="DI718" s="5"/>
      <c r="DJ718" s="5"/>
      <c r="DK718" s="5"/>
      <c r="DL718" s="5"/>
      <c r="DM718" s="5"/>
      <c r="DN718" s="5"/>
      <c r="DO718" s="5"/>
      <c r="DP718" s="5"/>
      <c r="DQ718" s="5"/>
      <c r="DR718" s="5"/>
      <c r="DS718" s="5"/>
      <c r="DT718" s="5"/>
      <c r="DU718" s="5"/>
      <c r="DV718" s="5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5"/>
      <c r="CT719" s="5"/>
      <c r="CU719" s="5"/>
      <c r="CV719" s="5"/>
      <c r="CW719" s="5"/>
      <c r="CX719" s="5"/>
      <c r="CY719" s="5"/>
      <c r="CZ719" s="5"/>
      <c r="DA719" s="5"/>
      <c r="DB719" s="5"/>
      <c r="DC719" s="5"/>
      <c r="DD719" s="5"/>
      <c r="DE719" s="5"/>
      <c r="DF719" s="5"/>
      <c r="DG719" s="5"/>
      <c r="DH719" s="5"/>
      <c r="DI719" s="5"/>
      <c r="DJ719" s="5"/>
      <c r="DK719" s="5"/>
      <c r="DL719" s="5"/>
      <c r="DM719" s="5"/>
      <c r="DN719" s="5"/>
      <c r="DO719" s="5"/>
      <c r="DP719" s="5"/>
      <c r="DQ719" s="5"/>
      <c r="DR719" s="5"/>
      <c r="DS719" s="5"/>
      <c r="DT719" s="5"/>
      <c r="DU719" s="5"/>
      <c r="DV719" s="5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5"/>
      <c r="CT720" s="5"/>
      <c r="CU720" s="5"/>
      <c r="CV720" s="5"/>
      <c r="CW720" s="5"/>
      <c r="CX720" s="5"/>
      <c r="CY720" s="5"/>
      <c r="CZ720" s="5"/>
      <c r="DA720" s="5"/>
      <c r="DB720" s="5"/>
      <c r="DC720" s="5"/>
      <c r="DD720" s="5"/>
      <c r="DE720" s="5"/>
      <c r="DF720" s="5"/>
      <c r="DG720" s="5"/>
      <c r="DH720" s="5"/>
      <c r="DI720" s="5"/>
      <c r="DJ720" s="5"/>
      <c r="DK720" s="5"/>
      <c r="DL720" s="5"/>
      <c r="DM720" s="5"/>
      <c r="DN720" s="5"/>
      <c r="DO720" s="5"/>
      <c r="DP720" s="5"/>
      <c r="DQ720" s="5"/>
      <c r="DR720" s="5"/>
      <c r="DS720" s="5"/>
      <c r="DT720" s="5"/>
      <c r="DU720" s="5"/>
      <c r="DV720" s="5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5"/>
      <c r="CT721" s="5"/>
      <c r="CU721" s="5"/>
      <c r="CV721" s="5"/>
      <c r="CW721" s="5"/>
      <c r="CX721" s="5"/>
      <c r="CY721" s="5"/>
      <c r="CZ721" s="5"/>
      <c r="DA721" s="5"/>
      <c r="DB721" s="5"/>
      <c r="DC721" s="5"/>
      <c r="DD721" s="5"/>
      <c r="DE721" s="5"/>
      <c r="DF721" s="5"/>
      <c r="DG721" s="5"/>
      <c r="DH721" s="5"/>
      <c r="DI721" s="5"/>
      <c r="DJ721" s="5"/>
      <c r="DK721" s="5"/>
      <c r="DL721" s="5"/>
      <c r="DM721" s="5"/>
      <c r="DN721" s="5"/>
      <c r="DO721" s="5"/>
      <c r="DP721" s="5"/>
      <c r="DQ721" s="5"/>
      <c r="DR721" s="5"/>
      <c r="DS721" s="5"/>
      <c r="DT721" s="5"/>
      <c r="DU721" s="5"/>
      <c r="DV721" s="5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5"/>
      <c r="CT722" s="5"/>
      <c r="CU722" s="5"/>
      <c r="CV722" s="5"/>
      <c r="CW722" s="5"/>
      <c r="CX722" s="5"/>
      <c r="CY722" s="5"/>
      <c r="CZ722" s="5"/>
      <c r="DA722" s="5"/>
      <c r="DB722" s="5"/>
      <c r="DC722" s="5"/>
      <c r="DD722" s="5"/>
      <c r="DE722" s="5"/>
      <c r="DF722" s="5"/>
      <c r="DG722" s="5"/>
      <c r="DH722" s="5"/>
      <c r="DI722" s="5"/>
      <c r="DJ722" s="5"/>
      <c r="DK722" s="5"/>
      <c r="DL722" s="5"/>
      <c r="DM722" s="5"/>
      <c r="DN722" s="5"/>
      <c r="DO722" s="5"/>
      <c r="DP722" s="5"/>
      <c r="DQ722" s="5"/>
      <c r="DR722" s="5"/>
      <c r="DS722" s="5"/>
      <c r="DT722" s="5"/>
      <c r="DU722" s="5"/>
      <c r="DV722" s="5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5"/>
      <c r="CT723" s="5"/>
      <c r="CU723" s="5"/>
      <c r="CV723" s="5"/>
      <c r="CW723" s="5"/>
      <c r="CX723" s="5"/>
      <c r="CY723" s="5"/>
      <c r="CZ723" s="5"/>
      <c r="DA723" s="5"/>
      <c r="DB723" s="5"/>
      <c r="DC723" s="5"/>
      <c r="DD723" s="5"/>
      <c r="DE723" s="5"/>
      <c r="DF723" s="5"/>
      <c r="DG723" s="5"/>
      <c r="DH723" s="5"/>
      <c r="DI723" s="5"/>
      <c r="DJ723" s="5"/>
      <c r="DK723" s="5"/>
      <c r="DL723" s="5"/>
      <c r="DM723" s="5"/>
      <c r="DN723" s="5"/>
      <c r="DO723" s="5"/>
      <c r="DP723" s="5"/>
      <c r="DQ723" s="5"/>
      <c r="DR723" s="5"/>
      <c r="DS723" s="5"/>
      <c r="DT723" s="5"/>
      <c r="DU723" s="5"/>
      <c r="DV723" s="5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5"/>
      <c r="CT724" s="5"/>
      <c r="CU724" s="5"/>
      <c r="CV724" s="5"/>
      <c r="CW724" s="5"/>
      <c r="CX724" s="5"/>
      <c r="CY724" s="5"/>
      <c r="CZ724" s="5"/>
      <c r="DA724" s="5"/>
      <c r="DB724" s="5"/>
      <c r="DC724" s="5"/>
      <c r="DD724" s="5"/>
      <c r="DE724" s="5"/>
      <c r="DF724" s="5"/>
      <c r="DG724" s="5"/>
      <c r="DH724" s="5"/>
      <c r="DI724" s="5"/>
      <c r="DJ724" s="5"/>
      <c r="DK724" s="5"/>
      <c r="DL724" s="5"/>
      <c r="DM724" s="5"/>
      <c r="DN724" s="5"/>
      <c r="DO724" s="5"/>
      <c r="DP724" s="5"/>
      <c r="DQ724" s="5"/>
      <c r="DR724" s="5"/>
      <c r="DS724" s="5"/>
      <c r="DT724" s="5"/>
      <c r="DU724" s="5"/>
      <c r="DV724" s="5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5"/>
      <c r="CT725" s="5"/>
      <c r="CU725" s="5"/>
      <c r="CV725" s="5"/>
      <c r="CW725" s="5"/>
      <c r="CX725" s="5"/>
      <c r="CY725" s="5"/>
      <c r="CZ725" s="5"/>
      <c r="DA725" s="5"/>
      <c r="DB725" s="5"/>
      <c r="DC725" s="5"/>
      <c r="DD725" s="5"/>
      <c r="DE725" s="5"/>
      <c r="DF725" s="5"/>
      <c r="DG725" s="5"/>
      <c r="DH725" s="5"/>
      <c r="DI725" s="5"/>
      <c r="DJ725" s="5"/>
      <c r="DK725" s="5"/>
      <c r="DL725" s="5"/>
      <c r="DM725" s="5"/>
      <c r="DN725" s="5"/>
      <c r="DO725" s="5"/>
      <c r="DP725" s="5"/>
      <c r="DQ725" s="5"/>
      <c r="DR725" s="5"/>
      <c r="DS725" s="5"/>
      <c r="DT725" s="5"/>
      <c r="DU725" s="5"/>
      <c r="DV725" s="5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5"/>
      <c r="CT726" s="5"/>
      <c r="CU726" s="5"/>
      <c r="CV726" s="5"/>
      <c r="CW726" s="5"/>
      <c r="CX726" s="5"/>
      <c r="CY726" s="5"/>
      <c r="CZ726" s="5"/>
      <c r="DA726" s="5"/>
      <c r="DB726" s="5"/>
      <c r="DC726" s="5"/>
      <c r="DD726" s="5"/>
      <c r="DE726" s="5"/>
      <c r="DF726" s="5"/>
      <c r="DG726" s="5"/>
      <c r="DH726" s="5"/>
      <c r="DI726" s="5"/>
      <c r="DJ726" s="5"/>
      <c r="DK726" s="5"/>
      <c r="DL726" s="5"/>
      <c r="DM726" s="5"/>
      <c r="DN726" s="5"/>
      <c r="DO726" s="5"/>
      <c r="DP726" s="5"/>
      <c r="DQ726" s="5"/>
      <c r="DR726" s="5"/>
      <c r="DS726" s="5"/>
      <c r="DT726" s="5"/>
      <c r="DU726" s="5"/>
      <c r="DV726" s="5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5"/>
      <c r="CT727" s="5"/>
      <c r="CU727" s="5"/>
      <c r="CV727" s="5"/>
      <c r="CW727" s="5"/>
      <c r="CX727" s="5"/>
      <c r="CY727" s="5"/>
      <c r="CZ727" s="5"/>
      <c r="DA727" s="5"/>
      <c r="DB727" s="5"/>
      <c r="DC727" s="5"/>
      <c r="DD727" s="5"/>
      <c r="DE727" s="5"/>
      <c r="DF727" s="5"/>
      <c r="DG727" s="5"/>
      <c r="DH727" s="5"/>
      <c r="DI727" s="5"/>
      <c r="DJ727" s="5"/>
      <c r="DK727" s="5"/>
      <c r="DL727" s="5"/>
      <c r="DM727" s="5"/>
      <c r="DN727" s="5"/>
      <c r="DO727" s="5"/>
      <c r="DP727" s="5"/>
      <c r="DQ727" s="5"/>
      <c r="DR727" s="5"/>
      <c r="DS727" s="5"/>
      <c r="DT727" s="5"/>
      <c r="DU727" s="5"/>
      <c r="DV727" s="5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5"/>
      <c r="CT728" s="5"/>
      <c r="CU728" s="5"/>
      <c r="CV728" s="5"/>
      <c r="CW728" s="5"/>
      <c r="CX728" s="5"/>
      <c r="CY728" s="5"/>
      <c r="CZ728" s="5"/>
      <c r="DA728" s="5"/>
      <c r="DB728" s="5"/>
      <c r="DC728" s="5"/>
      <c r="DD728" s="5"/>
      <c r="DE728" s="5"/>
      <c r="DF728" s="5"/>
      <c r="DG728" s="5"/>
      <c r="DH728" s="5"/>
      <c r="DI728" s="5"/>
      <c r="DJ728" s="5"/>
      <c r="DK728" s="5"/>
      <c r="DL728" s="5"/>
      <c r="DM728" s="5"/>
      <c r="DN728" s="5"/>
      <c r="DO728" s="5"/>
      <c r="DP728" s="5"/>
      <c r="DQ728" s="5"/>
      <c r="DR728" s="5"/>
      <c r="DS728" s="5"/>
      <c r="DT728" s="5"/>
      <c r="DU728" s="5"/>
      <c r="DV728" s="5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5"/>
      <c r="CT729" s="5"/>
      <c r="CU729" s="5"/>
      <c r="CV729" s="5"/>
      <c r="CW729" s="5"/>
      <c r="CX729" s="5"/>
      <c r="CY729" s="5"/>
      <c r="CZ729" s="5"/>
      <c r="DA729" s="5"/>
      <c r="DB729" s="5"/>
      <c r="DC729" s="5"/>
      <c r="DD729" s="5"/>
      <c r="DE729" s="5"/>
      <c r="DF729" s="5"/>
      <c r="DG729" s="5"/>
      <c r="DH729" s="5"/>
      <c r="DI729" s="5"/>
      <c r="DJ729" s="5"/>
      <c r="DK729" s="5"/>
      <c r="DL729" s="5"/>
      <c r="DM729" s="5"/>
      <c r="DN729" s="5"/>
      <c r="DO729" s="5"/>
      <c r="DP729" s="5"/>
      <c r="DQ729" s="5"/>
      <c r="DR729" s="5"/>
      <c r="DS729" s="5"/>
      <c r="DT729" s="5"/>
      <c r="DU729" s="5"/>
      <c r="DV729" s="5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5"/>
      <c r="CT730" s="5"/>
      <c r="CU730" s="5"/>
      <c r="CV730" s="5"/>
      <c r="CW730" s="5"/>
      <c r="CX730" s="5"/>
      <c r="CY730" s="5"/>
      <c r="CZ730" s="5"/>
      <c r="DA730" s="5"/>
      <c r="DB730" s="5"/>
      <c r="DC730" s="5"/>
      <c r="DD730" s="5"/>
      <c r="DE730" s="5"/>
      <c r="DF730" s="5"/>
      <c r="DG730" s="5"/>
      <c r="DH730" s="5"/>
      <c r="DI730" s="5"/>
      <c r="DJ730" s="5"/>
      <c r="DK730" s="5"/>
      <c r="DL730" s="5"/>
      <c r="DM730" s="5"/>
      <c r="DN730" s="5"/>
      <c r="DO730" s="5"/>
      <c r="DP730" s="5"/>
      <c r="DQ730" s="5"/>
      <c r="DR730" s="5"/>
      <c r="DS730" s="5"/>
      <c r="DT730" s="5"/>
      <c r="DU730" s="5"/>
      <c r="DV730" s="5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5"/>
      <c r="CT731" s="5"/>
      <c r="CU731" s="5"/>
      <c r="CV731" s="5"/>
      <c r="CW731" s="5"/>
      <c r="CX731" s="5"/>
      <c r="CY731" s="5"/>
      <c r="CZ731" s="5"/>
      <c r="DA731" s="5"/>
      <c r="DB731" s="5"/>
      <c r="DC731" s="5"/>
      <c r="DD731" s="5"/>
      <c r="DE731" s="5"/>
      <c r="DF731" s="5"/>
      <c r="DG731" s="5"/>
      <c r="DH731" s="5"/>
      <c r="DI731" s="5"/>
      <c r="DJ731" s="5"/>
      <c r="DK731" s="5"/>
      <c r="DL731" s="5"/>
      <c r="DM731" s="5"/>
      <c r="DN731" s="5"/>
      <c r="DO731" s="5"/>
      <c r="DP731" s="5"/>
      <c r="DQ731" s="5"/>
      <c r="DR731" s="5"/>
      <c r="DS731" s="5"/>
      <c r="DT731" s="5"/>
      <c r="DU731" s="5"/>
      <c r="DV731" s="5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5"/>
      <c r="CT732" s="5"/>
      <c r="CU732" s="5"/>
      <c r="CV732" s="5"/>
      <c r="CW732" s="5"/>
      <c r="CX732" s="5"/>
      <c r="CY732" s="5"/>
      <c r="CZ732" s="5"/>
      <c r="DA732" s="5"/>
      <c r="DB732" s="5"/>
      <c r="DC732" s="5"/>
      <c r="DD732" s="5"/>
      <c r="DE732" s="5"/>
      <c r="DF732" s="5"/>
      <c r="DG732" s="5"/>
      <c r="DH732" s="5"/>
      <c r="DI732" s="5"/>
      <c r="DJ732" s="5"/>
      <c r="DK732" s="5"/>
      <c r="DL732" s="5"/>
      <c r="DM732" s="5"/>
      <c r="DN732" s="5"/>
      <c r="DO732" s="5"/>
      <c r="DP732" s="5"/>
      <c r="DQ732" s="5"/>
      <c r="DR732" s="5"/>
      <c r="DS732" s="5"/>
      <c r="DT732" s="5"/>
      <c r="DU732" s="5"/>
      <c r="DV732" s="5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5"/>
      <c r="CT733" s="5"/>
      <c r="CU733" s="5"/>
      <c r="CV733" s="5"/>
      <c r="CW733" s="5"/>
      <c r="CX733" s="5"/>
      <c r="CY733" s="5"/>
      <c r="CZ733" s="5"/>
      <c r="DA733" s="5"/>
      <c r="DB733" s="5"/>
      <c r="DC733" s="5"/>
      <c r="DD733" s="5"/>
      <c r="DE733" s="5"/>
      <c r="DF733" s="5"/>
      <c r="DG733" s="5"/>
      <c r="DH733" s="5"/>
      <c r="DI733" s="5"/>
      <c r="DJ733" s="5"/>
      <c r="DK733" s="5"/>
      <c r="DL733" s="5"/>
      <c r="DM733" s="5"/>
      <c r="DN733" s="5"/>
      <c r="DO733" s="5"/>
      <c r="DP733" s="5"/>
      <c r="DQ733" s="5"/>
      <c r="DR733" s="5"/>
      <c r="DS733" s="5"/>
      <c r="DT733" s="5"/>
      <c r="DU733" s="5"/>
      <c r="DV733" s="5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5"/>
      <c r="CT734" s="5"/>
      <c r="CU734" s="5"/>
      <c r="CV734" s="5"/>
      <c r="CW734" s="5"/>
      <c r="CX734" s="5"/>
      <c r="CY734" s="5"/>
      <c r="CZ734" s="5"/>
      <c r="DA734" s="5"/>
      <c r="DB734" s="5"/>
      <c r="DC734" s="5"/>
      <c r="DD734" s="5"/>
      <c r="DE734" s="5"/>
      <c r="DF734" s="5"/>
      <c r="DG734" s="5"/>
      <c r="DH734" s="5"/>
      <c r="DI734" s="5"/>
      <c r="DJ734" s="5"/>
      <c r="DK734" s="5"/>
      <c r="DL734" s="5"/>
      <c r="DM734" s="5"/>
      <c r="DN734" s="5"/>
      <c r="DO734" s="5"/>
      <c r="DP734" s="5"/>
      <c r="DQ734" s="5"/>
      <c r="DR734" s="5"/>
      <c r="DS734" s="5"/>
      <c r="DT734" s="5"/>
      <c r="DU734" s="5"/>
      <c r="DV734" s="5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5"/>
      <c r="CT735" s="5"/>
      <c r="CU735" s="5"/>
      <c r="CV735" s="5"/>
      <c r="CW735" s="5"/>
      <c r="CX735" s="5"/>
      <c r="CY735" s="5"/>
      <c r="CZ735" s="5"/>
      <c r="DA735" s="5"/>
      <c r="DB735" s="5"/>
      <c r="DC735" s="5"/>
      <c r="DD735" s="5"/>
      <c r="DE735" s="5"/>
      <c r="DF735" s="5"/>
      <c r="DG735" s="5"/>
      <c r="DH735" s="5"/>
      <c r="DI735" s="5"/>
      <c r="DJ735" s="5"/>
      <c r="DK735" s="5"/>
      <c r="DL735" s="5"/>
      <c r="DM735" s="5"/>
      <c r="DN735" s="5"/>
      <c r="DO735" s="5"/>
      <c r="DP735" s="5"/>
      <c r="DQ735" s="5"/>
      <c r="DR735" s="5"/>
      <c r="DS735" s="5"/>
      <c r="DT735" s="5"/>
      <c r="DU735" s="5"/>
      <c r="DV735" s="5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5"/>
      <c r="CT736" s="5"/>
      <c r="CU736" s="5"/>
      <c r="CV736" s="5"/>
      <c r="CW736" s="5"/>
      <c r="CX736" s="5"/>
      <c r="CY736" s="5"/>
      <c r="CZ736" s="5"/>
      <c r="DA736" s="5"/>
      <c r="DB736" s="5"/>
      <c r="DC736" s="5"/>
      <c r="DD736" s="5"/>
      <c r="DE736" s="5"/>
      <c r="DF736" s="5"/>
      <c r="DG736" s="5"/>
      <c r="DH736" s="5"/>
      <c r="DI736" s="5"/>
      <c r="DJ736" s="5"/>
      <c r="DK736" s="5"/>
      <c r="DL736" s="5"/>
      <c r="DM736" s="5"/>
      <c r="DN736" s="5"/>
      <c r="DO736" s="5"/>
      <c r="DP736" s="5"/>
      <c r="DQ736" s="5"/>
      <c r="DR736" s="5"/>
      <c r="DS736" s="5"/>
      <c r="DT736" s="5"/>
      <c r="DU736" s="5"/>
      <c r="DV736" s="5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5"/>
      <c r="CT737" s="5"/>
      <c r="CU737" s="5"/>
      <c r="CV737" s="5"/>
      <c r="CW737" s="5"/>
      <c r="CX737" s="5"/>
      <c r="CY737" s="5"/>
      <c r="CZ737" s="5"/>
      <c r="DA737" s="5"/>
      <c r="DB737" s="5"/>
      <c r="DC737" s="5"/>
      <c r="DD737" s="5"/>
      <c r="DE737" s="5"/>
      <c r="DF737" s="5"/>
      <c r="DG737" s="5"/>
      <c r="DH737" s="5"/>
      <c r="DI737" s="5"/>
      <c r="DJ737" s="5"/>
      <c r="DK737" s="5"/>
      <c r="DL737" s="5"/>
      <c r="DM737" s="5"/>
      <c r="DN737" s="5"/>
      <c r="DO737" s="5"/>
      <c r="DP737" s="5"/>
      <c r="DQ737" s="5"/>
      <c r="DR737" s="5"/>
      <c r="DS737" s="5"/>
      <c r="DT737" s="5"/>
      <c r="DU737" s="5"/>
      <c r="DV737" s="5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5"/>
      <c r="CT738" s="5"/>
      <c r="CU738" s="5"/>
      <c r="CV738" s="5"/>
      <c r="CW738" s="5"/>
      <c r="CX738" s="5"/>
      <c r="CY738" s="5"/>
      <c r="CZ738" s="5"/>
      <c r="DA738" s="5"/>
      <c r="DB738" s="5"/>
      <c r="DC738" s="5"/>
      <c r="DD738" s="5"/>
      <c r="DE738" s="5"/>
      <c r="DF738" s="5"/>
      <c r="DG738" s="5"/>
      <c r="DH738" s="5"/>
      <c r="DI738" s="5"/>
      <c r="DJ738" s="5"/>
      <c r="DK738" s="5"/>
      <c r="DL738" s="5"/>
      <c r="DM738" s="5"/>
      <c r="DN738" s="5"/>
      <c r="DO738" s="5"/>
      <c r="DP738" s="5"/>
      <c r="DQ738" s="5"/>
      <c r="DR738" s="5"/>
      <c r="DS738" s="5"/>
      <c r="DT738" s="5"/>
      <c r="DU738" s="5"/>
      <c r="DV738" s="5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5"/>
      <c r="CT739" s="5"/>
      <c r="CU739" s="5"/>
      <c r="CV739" s="5"/>
      <c r="CW739" s="5"/>
      <c r="CX739" s="5"/>
      <c r="CY739" s="5"/>
      <c r="CZ739" s="5"/>
      <c r="DA739" s="5"/>
      <c r="DB739" s="5"/>
      <c r="DC739" s="5"/>
      <c r="DD739" s="5"/>
      <c r="DE739" s="5"/>
      <c r="DF739" s="5"/>
      <c r="DG739" s="5"/>
      <c r="DH739" s="5"/>
      <c r="DI739" s="5"/>
      <c r="DJ739" s="5"/>
      <c r="DK739" s="5"/>
      <c r="DL739" s="5"/>
      <c r="DM739" s="5"/>
      <c r="DN739" s="5"/>
      <c r="DO739" s="5"/>
      <c r="DP739" s="5"/>
      <c r="DQ739" s="5"/>
      <c r="DR739" s="5"/>
      <c r="DS739" s="5"/>
      <c r="DT739" s="5"/>
      <c r="DU739" s="5"/>
      <c r="DV739" s="5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5"/>
      <c r="CT740" s="5"/>
      <c r="CU740" s="5"/>
      <c r="CV740" s="5"/>
      <c r="CW740" s="5"/>
      <c r="CX740" s="5"/>
      <c r="CY740" s="5"/>
      <c r="CZ740" s="5"/>
      <c r="DA740" s="5"/>
      <c r="DB740" s="5"/>
      <c r="DC740" s="5"/>
      <c r="DD740" s="5"/>
      <c r="DE740" s="5"/>
      <c r="DF740" s="5"/>
      <c r="DG740" s="5"/>
      <c r="DH740" s="5"/>
      <c r="DI740" s="5"/>
      <c r="DJ740" s="5"/>
      <c r="DK740" s="5"/>
      <c r="DL740" s="5"/>
      <c r="DM740" s="5"/>
      <c r="DN740" s="5"/>
      <c r="DO740" s="5"/>
      <c r="DP740" s="5"/>
      <c r="DQ740" s="5"/>
      <c r="DR740" s="5"/>
      <c r="DS740" s="5"/>
      <c r="DT740" s="5"/>
      <c r="DU740" s="5"/>
      <c r="DV740" s="5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5"/>
      <c r="CT741" s="5"/>
      <c r="CU741" s="5"/>
      <c r="CV741" s="5"/>
      <c r="CW741" s="5"/>
      <c r="CX741" s="5"/>
      <c r="CY741" s="5"/>
      <c r="CZ741" s="5"/>
      <c r="DA741" s="5"/>
      <c r="DB741" s="5"/>
      <c r="DC741" s="5"/>
      <c r="DD741" s="5"/>
      <c r="DE741" s="5"/>
      <c r="DF741" s="5"/>
      <c r="DG741" s="5"/>
      <c r="DH741" s="5"/>
      <c r="DI741" s="5"/>
      <c r="DJ741" s="5"/>
      <c r="DK741" s="5"/>
      <c r="DL741" s="5"/>
      <c r="DM741" s="5"/>
      <c r="DN741" s="5"/>
      <c r="DO741" s="5"/>
      <c r="DP741" s="5"/>
      <c r="DQ741" s="5"/>
      <c r="DR741" s="5"/>
      <c r="DS741" s="5"/>
      <c r="DT741" s="5"/>
      <c r="DU741" s="5"/>
      <c r="DV741" s="5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5"/>
      <c r="CT742" s="5"/>
      <c r="CU742" s="5"/>
      <c r="CV742" s="5"/>
      <c r="CW742" s="5"/>
      <c r="CX742" s="5"/>
      <c r="CY742" s="5"/>
      <c r="CZ742" s="5"/>
      <c r="DA742" s="5"/>
      <c r="DB742" s="5"/>
      <c r="DC742" s="5"/>
      <c r="DD742" s="5"/>
      <c r="DE742" s="5"/>
      <c r="DF742" s="5"/>
      <c r="DG742" s="5"/>
      <c r="DH742" s="5"/>
      <c r="DI742" s="5"/>
      <c r="DJ742" s="5"/>
      <c r="DK742" s="5"/>
      <c r="DL742" s="5"/>
      <c r="DM742" s="5"/>
      <c r="DN742" s="5"/>
      <c r="DO742" s="5"/>
      <c r="DP742" s="5"/>
      <c r="DQ742" s="5"/>
      <c r="DR742" s="5"/>
      <c r="DS742" s="5"/>
      <c r="DT742" s="5"/>
      <c r="DU742" s="5"/>
      <c r="DV742" s="5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5"/>
      <c r="CT743" s="5"/>
      <c r="CU743" s="5"/>
      <c r="CV743" s="5"/>
      <c r="CW743" s="5"/>
      <c r="CX743" s="5"/>
      <c r="CY743" s="5"/>
      <c r="CZ743" s="5"/>
      <c r="DA743" s="5"/>
      <c r="DB743" s="5"/>
      <c r="DC743" s="5"/>
      <c r="DD743" s="5"/>
      <c r="DE743" s="5"/>
      <c r="DF743" s="5"/>
      <c r="DG743" s="5"/>
      <c r="DH743" s="5"/>
      <c r="DI743" s="5"/>
      <c r="DJ743" s="5"/>
      <c r="DK743" s="5"/>
      <c r="DL743" s="5"/>
      <c r="DM743" s="5"/>
      <c r="DN743" s="5"/>
      <c r="DO743" s="5"/>
      <c r="DP743" s="5"/>
      <c r="DQ743" s="5"/>
      <c r="DR743" s="5"/>
      <c r="DS743" s="5"/>
      <c r="DT743" s="5"/>
      <c r="DU743" s="5"/>
      <c r="DV743" s="5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5"/>
      <c r="CT744" s="5"/>
      <c r="CU744" s="5"/>
      <c r="CV744" s="5"/>
      <c r="CW744" s="5"/>
      <c r="CX744" s="5"/>
      <c r="CY744" s="5"/>
      <c r="CZ744" s="5"/>
      <c r="DA744" s="5"/>
      <c r="DB744" s="5"/>
      <c r="DC744" s="5"/>
      <c r="DD744" s="5"/>
      <c r="DE744" s="5"/>
      <c r="DF744" s="5"/>
      <c r="DG744" s="5"/>
      <c r="DH744" s="5"/>
      <c r="DI744" s="5"/>
      <c r="DJ744" s="5"/>
      <c r="DK744" s="5"/>
      <c r="DL744" s="5"/>
      <c r="DM744" s="5"/>
      <c r="DN744" s="5"/>
      <c r="DO744" s="5"/>
      <c r="DP744" s="5"/>
      <c r="DQ744" s="5"/>
      <c r="DR744" s="5"/>
      <c r="DS744" s="5"/>
      <c r="DT744" s="5"/>
      <c r="DU744" s="5"/>
      <c r="DV744" s="5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5"/>
      <c r="CT745" s="5"/>
      <c r="CU745" s="5"/>
      <c r="CV745" s="5"/>
      <c r="CW745" s="5"/>
      <c r="CX745" s="5"/>
      <c r="CY745" s="5"/>
      <c r="CZ745" s="5"/>
      <c r="DA745" s="5"/>
      <c r="DB745" s="5"/>
      <c r="DC745" s="5"/>
      <c r="DD745" s="5"/>
      <c r="DE745" s="5"/>
      <c r="DF745" s="5"/>
      <c r="DG745" s="5"/>
      <c r="DH745" s="5"/>
      <c r="DI745" s="5"/>
      <c r="DJ745" s="5"/>
      <c r="DK745" s="5"/>
      <c r="DL745" s="5"/>
      <c r="DM745" s="5"/>
      <c r="DN745" s="5"/>
      <c r="DO745" s="5"/>
      <c r="DP745" s="5"/>
      <c r="DQ745" s="5"/>
      <c r="DR745" s="5"/>
      <c r="DS745" s="5"/>
      <c r="DT745" s="5"/>
      <c r="DU745" s="5"/>
      <c r="DV745" s="5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5"/>
      <c r="CT746" s="5"/>
      <c r="CU746" s="5"/>
      <c r="CV746" s="5"/>
      <c r="CW746" s="5"/>
      <c r="CX746" s="5"/>
      <c r="CY746" s="5"/>
      <c r="CZ746" s="5"/>
      <c r="DA746" s="5"/>
      <c r="DB746" s="5"/>
      <c r="DC746" s="5"/>
      <c r="DD746" s="5"/>
      <c r="DE746" s="5"/>
      <c r="DF746" s="5"/>
      <c r="DG746" s="5"/>
      <c r="DH746" s="5"/>
      <c r="DI746" s="5"/>
      <c r="DJ746" s="5"/>
      <c r="DK746" s="5"/>
      <c r="DL746" s="5"/>
      <c r="DM746" s="5"/>
      <c r="DN746" s="5"/>
      <c r="DO746" s="5"/>
      <c r="DP746" s="5"/>
      <c r="DQ746" s="5"/>
      <c r="DR746" s="5"/>
      <c r="DS746" s="5"/>
      <c r="DT746" s="5"/>
      <c r="DU746" s="5"/>
      <c r="DV746" s="5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5"/>
      <c r="CT747" s="5"/>
      <c r="CU747" s="5"/>
      <c r="CV747" s="5"/>
      <c r="CW747" s="5"/>
      <c r="CX747" s="5"/>
      <c r="CY747" s="5"/>
      <c r="CZ747" s="5"/>
      <c r="DA747" s="5"/>
      <c r="DB747" s="5"/>
      <c r="DC747" s="5"/>
      <c r="DD747" s="5"/>
      <c r="DE747" s="5"/>
      <c r="DF747" s="5"/>
      <c r="DG747" s="5"/>
      <c r="DH747" s="5"/>
      <c r="DI747" s="5"/>
      <c r="DJ747" s="5"/>
      <c r="DK747" s="5"/>
      <c r="DL747" s="5"/>
      <c r="DM747" s="5"/>
      <c r="DN747" s="5"/>
      <c r="DO747" s="5"/>
      <c r="DP747" s="5"/>
      <c r="DQ747" s="5"/>
      <c r="DR747" s="5"/>
      <c r="DS747" s="5"/>
      <c r="DT747" s="5"/>
      <c r="DU747" s="5"/>
      <c r="DV747" s="5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5"/>
      <c r="CT748" s="5"/>
      <c r="CU748" s="5"/>
      <c r="CV748" s="5"/>
      <c r="CW748" s="5"/>
      <c r="CX748" s="5"/>
      <c r="CY748" s="5"/>
      <c r="CZ748" s="5"/>
      <c r="DA748" s="5"/>
      <c r="DB748" s="5"/>
      <c r="DC748" s="5"/>
      <c r="DD748" s="5"/>
      <c r="DE748" s="5"/>
      <c r="DF748" s="5"/>
      <c r="DG748" s="5"/>
      <c r="DH748" s="5"/>
      <c r="DI748" s="5"/>
      <c r="DJ748" s="5"/>
      <c r="DK748" s="5"/>
      <c r="DL748" s="5"/>
      <c r="DM748" s="5"/>
      <c r="DN748" s="5"/>
      <c r="DO748" s="5"/>
      <c r="DP748" s="5"/>
      <c r="DQ748" s="5"/>
      <c r="DR748" s="5"/>
      <c r="DS748" s="5"/>
      <c r="DT748" s="5"/>
      <c r="DU748" s="5"/>
      <c r="DV748" s="5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5"/>
      <c r="CT749" s="5"/>
      <c r="CU749" s="5"/>
      <c r="CV749" s="5"/>
      <c r="CW749" s="5"/>
      <c r="CX749" s="5"/>
      <c r="CY749" s="5"/>
      <c r="CZ749" s="5"/>
      <c r="DA749" s="5"/>
      <c r="DB749" s="5"/>
      <c r="DC749" s="5"/>
      <c r="DD749" s="5"/>
      <c r="DE749" s="5"/>
      <c r="DF749" s="5"/>
      <c r="DG749" s="5"/>
      <c r="DH749" s="5"/>
      <c r="DI749" s="5"/>
      <c r="DJ749" s="5"/>
      <c r="DK749" s="5"/>
      <c r="DL749" s="5"/>
      <c r="DM749" s="5"/>
      <c r="DN749" s="5"/>
      <c r="DO749" s="5"/>
      <c r="DP749" s="5"/>
      <c r="DQ749" s="5"/>
      <c r="DR749" s="5"/>
      <c r="DS749" s="5"/>
      <c r="DT749" s="5"/>
      <c r="DU749" s="5"/>
      <c r="DV749" s="5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5"/>
      <c r="CT750" s="5"/>
      <c r="CU750" s="5"/>
      <c r="CV750" s="5"/>
      <c r="CW750" s="5"/>
      <c r="CX750" s="5"/>
      <c r="CY750" s="5"/>
      <c r="CZ750" s="5"/>
      <c r="DA750" s="5"/>
      <c r="DB750" s="5"/>
      <c r="DC750" s="5"/>
      <c r="DD750" s="5"/>
      <c r="DE750" s="5"/>
      <c r="DF750" s="5"/>
      <c r="DG750" s="5"/>
      <c r="DH750" s="5"/>
      <c r="DI750" s="5"/>
      <c r="DJ750" s="5"/>
      <c r="DK750" s="5"/>
      <c r="DL750" s="5"/>
      <c r="DM750" s="5"/>
      <c r="DN750" s="5"/>
      <c r="DO750" s="5"/>
      <c r="DP750" s="5"/>
      <c r="DQ750" s="5"/>
      <c r="DR750" s="5"/>
      <c r="DS750" s="5"/>
      <c r="DT750" s="5"/>
      <c r="DU750" s="5"/>
      <c r="DV750" s="5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5"/>
      <c r="CT751" s="5"/>
      <c r="CU751" s="5"/>
      <c r="CV751" s="5"/>
      <c r="CW751" s="5"/>
      <c r="CX751" s="5"/>
      <c r="CY751" s="5"/>
      <c r="CZ751" s="5"/>
      <c r="DA751" s="5"/>
      <c r="DB751" s="5"/>
      <c r="DC751" s="5"/>
      <c r="DD751" s="5"/>
      <c r="DE751" s="5"/>
      <c r="DF751" s="5"/>
      <c r="DG751" s="5"/>
      <c r="DH751" s="5"/>
      <c r="DI751" s="5"/>
      <c r="DJ751" s="5"/>
      <c r="DK751" s="5"/>
      <c r="DL751" s="5"/>
      <c r="DM751" s="5"/>
      <c r="DN751" s="5"/>
      <c r="DO751" s="5"/>
      <c r="DP751" s="5"/>
      <c r="DQ751" s="5"/>
      <c r="DR751" s="5"/>
      <c r="DS751" s="5"/>
      <c r="DT751" s="5"/>
      <c r="DU751" s="5"/>
      <c r="DV751" s="5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5"/>
      <c r="CT752" s="5"/>
      <c r="CU752" s="5"/>
      <c r="CV752" s="5"/>
      <c r="CW752" s="5"/>
      <c r="CX752" s="5"/>
      <c r="CY752" s="5"/>
      <c r="CZ752" s="5"/>
      <c r="DA752" s="5"/>
      <c r="DB752" s="5"/>
      <c r="DC752" s="5"/>
      <c r="DD752" s="5"/>
      <c r="DE752" s="5"/>
      <c r="DF752" s="5"/>
      <c r="DG752" s="5"/>
      <c r="DH752" s="5"/>
      <c r="DI752" s="5"/>
      <c r="DJ752" s="5"/>
      <c r="DK752" s="5"/>
      <c r="DL752" s="5"/>
      <c r="DM752" s="5"/>
      <c r="DN752" s="5"/>
      <c r="DO752" s="5"/>
      <c r="DP752" s="5"/>
      <c r="DQ752" s="5"/>
      <c r="DR752" s="5"/>
      <c r="DS752" s="5"/>
      <c r="DT752" s="5"/>
      <c r="DU752" s="5"/>
      <c r="DV752" s="5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5"/>
      <c r="CT753" s="5"/>
      <c r="CU753" s="5"/>
      <c r="CV753" s="5"/>
      <c r="CW753" s="5"/>
      <c r="CX753" s="5"/>
      <c r="CY753" s="5"/>
      <c r="CZ753" s="5"/>
      <c r="DA753" s="5"/>
      <c r="DB753" s="5"/>
      <c r="DC753" s="5"/>
      <c r="DD753" s="5"/>
      <c r="DE753" s="5"/>
      <c r="DF753" s="5"/>
      <c r="DG753" s="5"/>
      <c r="DH753" s="5"/>
      <c r="DI753" s="5"/>
      <c r="DJ753" s="5"/>
      <c r="DK753" s="5"/>
      <c r="DL753" s="5"/>
      <c r="DM753" s="5"/>
      <c r="DN753" s="5"/>
      <c r="DO753" s="5"/>
      <c r="DP753" s="5"/>
      <c r="DQ753" s="5"/>
      <c r="DR753" s="5"/>
      <c r="DS753" s="5"/>
      <c r="DT753" s="5"/>
      <c r="DU753" s="5"/>
      <c r="DV753" s="5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5"/>
      <c r="CT754" s="5"/>
      <c r="CU754" s="5"/>
      <c r="CV754" s="5"/>
      <c r="CW754" s="5"/>
      <c r="CX754" s="5"/>
      <c r="CY754" s="5"/>
      <c r="CZ754" s="5"/>
      <c r="DA754" s="5"/>
      <c r="DB754" s="5"/>
      <c r="DC754" s="5"/>
      <c r="DD754" s="5"/>
      <c r="DE754" s="5"/>
      <c r="DF754" s="5"/>
      <c r="DG754" s="5"/>
      <c r="DH754" s="5"/>
      <c r="DI754" s="5"/>
      <c r="DJ754" s="5"/>
      <c r="DK754" s="5"/>
      <c r="DL754" s="5"/>
      <c r="DM754" s="5"/>
      <c r="DN754" s="5"/>
      <c r="DO754" s="5"/>
      <c r="DP754" s="5"/>
      <c r="DQ754" s="5"/>
      <c r="DR754" s="5"/>
      <c r="DS754" s="5"/>
      <c r="DT754" s="5"/>
      <c r="DU754" s="5"/>
      <c r="DV754" s="5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5"/>
      <c r="CT755" s="5"/>
      <c r="CU755" s="5"/>
      <c r="CV755" s="5"/>
      <c r="CW755" s="5"/>
      <c r="CX755" s="5"/>
      <c r="CY755" s="5"/>
      <c r="CZ755" s="5"/>
      <c r="DA755" s="5"/>
      <c r="DB755" s="5"/>
      <c r="DC755" s="5"/>
      <c r="DD755" s="5"/>
      <c r="DE755" s="5"/>
      <c r="DF755" s="5"/>
      <c r="DG755" s="5"/>
      <c r="DH755" s="5"/>
      <c r="DI755" s="5"/>
      <c r="DJ755" s="5"/>
      <c r="DK755" s="5"/>
      <c r="DL755" s="5"/>
      <c r="DM755" s="5"/>
      <c r="DN755" s="5"/>
      <c r="DO755" s="5"/>
      <c r="DP755" s="5"/>
      <c r="DQ755" s="5"/>
      <c r="DR755" s="5"/>
      <c r="DS755" s="5"/>
      <c r="DT755" s="5"/>
      <c r="DU755" s="5"/>
      <c r="DV755" s="5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5"/>
      <c r="CT756" s="5"/>
      <c r="CU756" s="5"/>
      <c r="CV756" s="5"/>
      <c r="CW756" s="5"/>
      <c r="CX756" s="5"/>
      <c r="CY756" s="5"/>
      <c r="CZ756" s="5"/>
      <c r="DA756" s="5"/>
      <c r="DB756" s="5"/>
      <c r="DC756" s="5"/>
      <c r="DD756" s="5"/>
      <c r="DE756" s="5"/>
      <c r="DF756" s="5"/>
      <c r="DG756" s="5"/>
      <c r="DH756" s="5"/>
      <c r="DI756" s="5"/>
      <c r="DJ756" s="5"/>
      <c r="DK756" s="5"/>
      <c r="DL756" s="5"/>
      <c r="DM756" s="5"/>
      <c r="DN756" s="5"/>
      <c r="DO756" s="5"/>
      <c r="DP756" s="5"/>
      <c r="DQ756" s="5"/>
      <c r="DR756" s="5"/>
      <c r="DS756" s="5"/>
      <c r="DT756" s="5"/>
      <c r="DU756" s="5"/>
      <c r="DV756" s="5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5"/>
      <c r="CT757" s="5"/>
      <c r="CU757" s="5"/>
      <c r="CV757" s="5"/>
      <c r="CW757" s="5"/>
      <c r="CX757" s="5"/>
      <c r="CY757" s="5"/>
      <c r="CZ757" s="5"/>
      <c r="DA757" s="5"/>
      <c r="DB757" s="5"/>
      <c r="DC757" s="5"/>
      <c r="DD757" s="5"/>
      <c r="DE757" s="5"/>
      <c r="DF757" s="5"/>
      <c r="DG757" s="5"/>
      <c r="DH757" s="5"/>
      <c r="DI757" s="5"/>
      <c r="DJ757" s="5"/>
      <c r="DK757" s="5"/>
      <c r="DL757" s="5"/>
      <c r="DM757" s="5"/>
      <c r="DN757" s="5"/>
      <c r="DO757" s="5"/>
      <c r="DP757" s="5"/>
      <c r="DQ757" s="5"/>
      <c r="DR757" s="5"/>
      <c r="DS757" s="5"/>
      <c r="DT757" s="5"/>
      <c r="DU757" s="5"/>
      <c r="DV757" s="5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5"/>
      <c r="CT758" s="5"/>
      <c r="CU758" s="5"/>
      <c r="CV758" s="5"/>
      <c r="CW758" s="5"/>
      <c r="CX758" s="5"/>
      <c r="CY758" s="5"/>
      <c r="CZ758" s="5"/>
      <c r="DA758" s="5"/>
      <c r="DB758" s="5"/>
      <c r="DC758" s="5"/>
      <c r="DD758" s="5"/>
      <c r="DE758" s="5"/>
      <c r="DF758" s="5"/>
      <c r="DG758" s="5"/>
      <c r="DH758" s="5"/>
      <c r="DI758" s="5"/>
      <c r="DJ758" s="5"/>
      <c r="DK758" s="5"/>
      <c r="DL758" s="5"/>
      <c r="DM758" s="5"/>
      <c r="DN758" s="5"/>
      <c r="DO758" s="5"/>
      <c r="DP758" s="5"/>
      <c r="DQ758" s="5"/>
      <c r="DR758" s="5"/>
      <c r="DS758" s="5"/>
      <c r="DT758" s="5"/>
      <c r="DU758" s="5"/>
      <c r="DV758" s="5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5"/>
      <c r="CT759" s="5"/>
      <c r="CU759" s="5"/>
      <c r="CV759" s="5"/>
      <c r="CW759" s="5"/>
      <c r="CX759" s="5"/>
      <c r="CY759" s="5"/>
      <c r="CZ759" s="5"/>
      <c r="DA759" s="5"/>
      <c r="DB759" s="5"/>
      <c r="DC759" s="5"/>
      <c r="DD759" s="5"/>
      <c r="DE759" s="5"/>
      <c r="DF759" s="5"/>
      <c r="DG759" s="5"/>
      <c r="DH759" s="5"/>
      <c r="DI759" s="5"/>
      <c r="DJ759" s="5"/>
      <c r="DK759" s="5"/>
      <c r="DL759" s="5"/>
      <c r="DM759" s="5"/>
      <c r="DN759" s="5"/>
      <c r="DO759" s="5"/>
      <c r="DP759" s="5"/>
      <c r="DQ759" s="5"/>
      <c r="DR759" s="5"/>
      <c r="DS759" s="5"/>
      <c r="DT759" s="5"/>
      <c r="DU759" s="5"/>
      <c r="DV759" s="5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5"/>
      <c r="CT760" s="5"/>
      <c r="CU760" s="5"/>
      <c r="CV760" s="5"/>
      <c r="CW760" s="5"/>
      <c r="CX760" s="5"/>
      <c r="CY760" s="5"/>
      <c r="CZ760" s="5"/>
      <c r="DA760" s="5"/>
      <c r="DB760" s="5"/>
      <c r="DC760" s="5"/>
      <c r="DD760" s="5"/>
      <c r="DE760" s="5"/>
      <c r="DF760" s="5"/>
      <c r="DG760" s="5"/>
      <c r="DH760" s="5"/>
      <c r="DI760" s="5"/>
      <c r="DJ760" s="5"/>
      <c r="DK760" s="5"/>
      <c r="DL760" s="5"/>
      <c r="DM760" s="5"/>
      <c r="DN760" s="5"/>
      <c r="DO760" s="5"/>
      <c r="DP760" s="5"/>
      <c r="DQ760" s="5"/>
      <c r="DR760" s="5"/>
      <c r="DS760" s="5"/>
      <c r="DT760" s="5"/>
      <c r="DU760" s="5"/>
      <c r="DV760" s="5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5"/>
      <c r="CT761" s="5"/>
      <c r="CU761" s="5"/>
      <c r="CV761" s="5"/>
      <c r="CW761" s="5"/>
      <c r="CX761" s="5"/>
      <c r="CY761" s="5"/>
      <c r="CZ761" s="5"/>
      <c r="DA761" s="5"/>
      <c r="DB761" s="5"/>
      <c r="DC761" s="5"/>
      <c r="DD761" s="5"/>
      <c r="DE761" s="5"/>
      <c r="DF761" s="5"/>
      <c r="DG761" s="5"/>
      <c r="DH761" s="5"/>
      <c r="DI761" s="5"/>
      <c r="DJ761" s="5"/>
      <c r="DK761" s="5"/>
      <c r="DL761" s="5"/>
      <c r="DM761" s="5"/>
      <c r="DN761" s="5"/>
      <c r="DO761" s="5"/>
      <c r="DP761" s="5"/>
      <c r="DQ761" s="5"/>
      <c r="DR761" s="5"/>
      <c r="DS761" s="5"/>
      <c r="DT761" s="5"/>
      <c r="DU761" s="5"/>
      <c r="DV761" s="5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5"/>
      <c r="CT762" s="5"/>
      <c r="CU762" s="5"/>
      <c r="CV762" s="5"/>
      <c r="CW762" s="5"/>
      <c r="CX762" s="5"/>
      <c r="CY762" s="5"/>
      <c r="CZ762" s="5"/>
      <c r="DA762" s="5"/>
      <c r="DB762" s="5"/>
      <c r="DC762" s="5"/>
      <c r="DD762" s="5"/>
      <c r="DE762" s="5"/>
      <c r="DF762" s="5"/>
      <c r="DG762" s="5"/>
      <c r="DH762" s="5"/>
      <c r="DI762" s="5"/>
      <c r="DJ762" s="5"/>
      <c r="DK762" s="5"/>
      <c r="DL762" s="5"/>
      <c r="DM762" s="5"/>
      <c r="DN762" s="5"/>
      <c r="DO762" s="5"/>
      <c r="DP762" s="5"/>
      <c r="DQ762" s="5"/>
      <c r="DR762" s="5"/>
      <c r="DS762" s="5"/>
      <c r="DT762" s="5"/>
      <c r="DU762" s="5"/>
      <c r="DV762" s="5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5"/>
      <c r="CT764" s="5"/>
      <c r="CU764" s="5"/>
      <c r="CV764" s="5"/>
      <c r="CW764" s="5"/>
      <c r="CX764" s="5"/>
      <c r="CY764" s="5"/>
      <c r="CZ764" s="5"/>
      <c r="DA764" s="5"/>
      <c r="DB764" s="5"/>
      <c r="DC764" s="5"/>
      <c r="DD764" s="5"/>
      <c r="DE764" s="5"/>
      <c r="DF764" s="5"/>
      <c r="DG764" s="5"/>
      <c r="DH764" s="5"/>
      <c r="DI764" s="5"/>
      <c r="DJ764" s="5"/>
      <c r="DK764" s="5"/>
      <c r="DL764" s="5"/>
      <c r="DM764" s="5"/>
      <c r="DN764" s="5"/>
      <c r="DO764" s="5"/>
      <c r="DP764" s="5"/>
      <c r="DQ764" s="5"/>
      <c r="DR764" s="5"/>
      <c r="DS764" s="5"/>
      <c r="DT764" s="5"/>
      <c r="DU764" s="5"/>
      <c r="DV764" s="5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5"/>
      <c r="CT765" s="5"/>
      <c r="CU765" s="5"/>
      <c r="CV765" s="5"/>
      <c r="CW765" s="5"/>
      <c r="CX765" s="5"/>
      <c r="CY765" s="5"/>
      <c r="CZ765" s="5"/>
      <c r="DA765" s="5"/>
      <c r="DB765" s="5"/>
      <c r="DC765" s="5"/>
      <c r="DD765" s="5"/>
      <c r="DE765" s="5"/>
      <c r="DF765" s="5"/>
      <c r="DG765" s="5"/>
      <c r="DH765" s="5"/>
      <c r="DI765" s="5"/>
      <c r="DJ765" s="5"/>
      <c r="DK765" s="5"/>
      <c r="DL765" s="5"/>
      <c r="DM765" s="5"/>
      <c r="DN765" s="5"/>
      <c r="DO765" s="5"/>
      <c r="DP765" s="5"/>
      <c r="DQ765" s="5"/>
      <c r="DR765" s="5"/>
      <c r="DS765" s="5"/>
      <c r="DT765" s="5"/>
      <c r="DU765" s="5"/>
      <c r="DV765" s="5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5"/>
      <c r="CT766" s="5"/>
      <c r="CU766" s="5"/>
      <c r="CV766" s="5"/>
      <c r="CW766" s="5"/>
      <c r="CX766" s="5"/>
      <c r="CY766" s="5"/>
      <c r="CZ766" s="5"/>
      <c r="DA766" s="5"/>
      <c r="DB766" s="5"/>
      <c r="DC766" s="5"/>
      <c r="DD766" s="5"/>
      <c r="DE766" s="5"/>
      <c r="DF766" s="5"/>
      <c r="DG766" s="5"/>
      <c r="DH766" s="5"/>
      <c r="DI766" s="5"/>
      <c r="DJ766" s="5"/>
      <c r="DK766" s="5"/>
      <c r="DL766" s="5"/>
      <c r="DM766" s="5"/>
      <c r="DN766" s="5"/>
      <c r="DO766" s="5"/>
      <c r="DP766" s="5"/>
      <c r="DQ766" s="5"/>
      <c r="DR766" s="5"/>
      <c r="DS766" s="5"/>
      <c r="DT766" s="5"/>
      <c r="DU766" s="5"/>
      <c r="DV766" s="5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5"/>
      <c r="CT767" s="5"/>
      <c r="CU767" s="5"/>
      <c r="CV767" s="5"/>
      <c r="CW767" s="5"/>
      <c r="CX767" s="5"/>
      <c r="CY767" s="5"/>
      <c r="CZ767" s="5"/>
      <c r="DA767" s="5"/>
      <c r="DB767" s="5"/>
      <c r="DC767" s="5"/>
      <c r="DD767" s="5"/>
      <c r="DE767" s="5"/>
      <c r="DF767" s="5"/>
      <c r="DG767" s="5"/>
      <c r="DH767" s="5"/>
      <c r="DI767" s="5"/>
      <c r="DJ767" s="5"/>
      <c r="DK767" s="5"/>
      <c r="DL767" s="5"/>
      <c r="DM767" s="5"/>
      <c r="DN767" s="5"/>
      <c r="DO767" s="5"/>
      <c r="DP767" s="5"/>
      <c r="DQ767" s="5"/>
      <c r="DR767" s="5"/>
      <c r="DS767" s="5"/>
      <c r="DT767" s="5"/>
      <c r="DU767" s="5"/>
      <c r="DV767" s="5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5"/>
      <c r="CT768" s="5"/>
      <c r="CU768" s="5"/>
      <c r="CV768" s="5"/>
      <c r="CW768" s="5"/>
      <c r="CX768" s="5"/>
      <c r="CY768" s="5"/>
      <c r="CZ768" s="5"/>
      <c r="DA768" s="5"/>
      <c r="DB768" s="5"/>
      <c r="DC768" s="5"/>
      <c r="DD768" s="5"/>
      <c r="DE768" s="5"/>
      <c r="DF768" s="5"/>
      <c r="DG768" s="5"/>
      <c r="DH768" s="5"/>
      <c r="DI768" s="5"/>
      <c r="DJ768" s="5"/>
      <c r="DK768" s="5"/>
      <c r="DL768" s="5"/>
      <c r="DM768" s="5"/>
      <c r="DN768" s="5"/>
      <c r="DO768" s="5"/>
      <c r="DP768" s="5"/>
      <c r="DQ768" s="5"/>
      <c r="DR768" s="5"/>
      <c r="DS768" s="5"/>
      <c r="DT768" s="5"/>
      <c r="DU768" s="5"/>
      <c r="DV768" s="5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5"/>
      <c r="CT770" s="5"/>
      <c r="CU770" s="5"/>
      <c r="CV770" s="5"/>
      <c r="CW770" s="5"/>
      <c r="CX770" s="5"/>
      <c r="CY770" s="5"/>
      <c r="CZ770" s="5"/>
      <c r="DA770" s="5"/>
      <c r="DB770" s="5"/>
      <c r="DC770" s="5"/>
      <c r="DD770" s="5"/>
      <c r="DE770" s="5"/>
      <c r="DF770" s="5"/>
      <c r="DG770" s="5"/>
      <c r="DH770" s="5"/>
      <c r="DI770" s="5"/>
      <c r="DJ770" s="5"/>
      <c r="DK770" s="5"/>
      <c r="DL770" s="5"/>
      <c r="DM770" s="5"/>
      <c r="DN770" s="5"/>
      <c r="DO770" s="5"/>
      <c r="DP770" s="5"/>
      <c r="DQ770" s="5"/>
      <c r="DR770" s="5"/>
      <c r="DS770" s="5"/>
      <c r="DT770" s="5"/>
      <c r="DU770" s="5"/>
      <c r="DV770" s="5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5"/>
      <c r="CT771" s="5"/>
      <c r="CU771" s="5"/>
      <c r="CV771" s="5"/>
      <c r="CW771" s="5"/>
      <c r="CX771" s="5"/>
      <c r="CY771" s="5"/>
      <c r="CZ771" s="5"/>
      <c r="DA771" s="5"/>
      <c r="DB771" s="5"/>
      <c r="DC771" s="5"/>
      <c r="DD771" s="5"/>
      <c r="DE771" s="5"/>
      <c r="DF771" s="5"/>
      <c r="DG771" s="5"/>
      <c r="DH771" s="5"/>
      <c r="DI771" s="5"/>
      <c r="DJ771" s="5"/>
      <c r="DK771" s="5"/>
      <c r="DL771" s="5"/>
      <c r="DM771" s="5"/>
      <c r="DN771" s="5"/>
      <c r="DO771" s="5"/>
      <c r="DP771" s="5"/>
      <c r="DQ771" s="5"/>
      <c r="DR771" s="5"/>
      <c r="DS771" s="5"/>
      <c r="DT771" s="5"/>
      <c r="DU771" s="5"/>
      <c r="DV771" s="5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5"/>
      <c r="CT772" s="5"/>
      <c r="CU772" s="5"/>
      <c r="CV772" s="5"/>
      <c r="CW772" s="5"/>
      <c r="CX772" s="5"/>
      <c r="CY772" s="5"/>
      <c r="CZ772" s="5"/>
      <c r="DA772" s="5"/>
      <c r="DB772" s="5"/>
      <c r="DC772" s="5"/>
      <c r="DD772" s="5"/>
      <c r="DE772" s="5"/>
      <c r="DF772" s="5"/>
      <c r="DG772" s="5"/>
      <c r="DH772" s="5"/>
      <c r="DI772" s="5"/>
      <c r="DJ772" s="5"/>
      <c r="DK772" s="5"/>
      <c r="DL772" s="5"/>
      <c r="DM772" s="5"/>
      <c r="DN772" s="5"/>
      <c r="DO772" s="5"/>
      <c r="DP772" s="5"/>
      <c r="DQ772" s="5"/>
      <c r="DR772" s="5"/>
      <c r="DS772" s="5"/>
      <c r="DT772" s="5"/>
      <c r="DU772" s="5"/>
      <c r="DV772" s="5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5"/>
      <c r="CT773" s="5"/>
      <c r="CU773" s="5"/>
      <c r="CV773" s="5"/>
      <c r="CW773" s="5"/>
      <c r="CX773" s="5"/>
      <c r="CY773" s="5"/>
      <c r="CZ773" s="5"/>
      <c r="DA773" s="5"/>
      <c r="DB773" s="5"/>
      <c r="DC773" s="5"/>
      <c r="DD773" s="5"/>
      <c r="DE773" s="5"/>
      <c r="DF773" s="5"/>
      <c r="DG773" s="5"/>
      <c r="DH773" s="5"/>
      <c r="DI773" s="5"/>
      <c r="DJ773" s="5"/>
      <c r="DK773" s="5"/>
      <c r="DL773" s="5"/>
      <c r="DM773" s="5"/>
      <c r="DN773" s="5"/>
      <c r="DO773" s="5"/>
      <c r="DP773" s="5"/>
      <c r="DQ773" s="5"/>
      <c r="DR773" s="5"/>
      <c r="DS773" s="5"/>
      <c r="DT773" s="5"/>
      <c r="DU773" s="5"/>
      <c r="DV773" s="5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5"/>
      <c r="CT774" s="5"/>
      <c r="CU774" s="5"/>
      <c r="CV774" s="5"/>
      <c r="CW774" s="5"/>
      <c r="CX774" s="5"/>
      <c r="CY774" s="5"/>
      <c r="CZ774" s="5"/>
      <c r="DA774" s="5"/>
      <c r="DB774" s="5"/>
      <c r="DC774" s="5"/>
      <c r="DD774" s="5"/>
      <c r="DE774" s="5"/>
      <c r="DF774" s="5"/>
      <c r="DG774" s="5"/>
      <c r="DH774" s="5"/>
      <c r="DI774" s="5"/>
      <c r="DJ774" s="5"/>
      <c r="DK774" s="5"/>
      <c r="DL774" s="5"/>
      <c r="DM774" s="5"/>
      <c r="DN774" s="5"/>
      <c r="DO774" s="5"/>
      <c r="DP774" s="5"/>
      <c r="DQ774" s="5"/>
      <c r="DR774" s="5"/>
      <c r="DS774" s="5"/>
      <c r="DT774" s="5"/>
      <c r="DU774" s="5"/>
      <c r="DV774" s="5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5"/>
      <c r="CT775" s="5"/>
      <c r="CU775" s="5"/>
      <c r="CV775" s="5"/>
      <c r="CW775" s="5"/>
      <c r="CX775" s="5"/>
      <c r="CY775" s="5"/>
      <c r="CZ775" s="5"/>
      <c r="DA775" s="5"/>
      <c r="DB775" s="5"/>
      <c r="DC775" s="5"/>
      <c r="DD775" s="5"/>
      <c r="DE775" s="5"/>
      <c r="DF775" s="5"/>
      <c r="DG775" s="5"/>
      <c r="DH775" s="5"/>
      <c r="DI775" s="5"/>
      <c r="DJ775" s="5"/>
      <c r="DK775" s="5"/>
      <c r="DL775" s="5"/>
      <c r="DM775" s="5"/>
      <c r="DN775" s="5"/>
      <c r="DO775" s="5"/>
      <c r="DP775" s="5"/>
      <c r="DQ775" s="5"/>
      <c r="DR775" s="5"/>
      <c r="DS775" s="5"/>
      <c r="DT775" s="5"/>
      <c r="DU775" s="5"/>
      <c r="DV775" s="5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5"/>
      <c r="CT776" s="5"/>
      <c r="CU776" s="5"/>
      <c r="CV776" s="5"/>
      <c r="CW776" s="5"/>
      <c r="CX776" s="5"/>
      <c r="CY776" s="5"/>
      <c r="CZ776" s="5"/>
      <c r="DA776" s="5"/>
      <c r="DB776" s="5"/>
      <c r="DC776" s="5"/>
      <c r="DD776" s="5"/>
      <c r="DE776" s="5"/>
      <c r="DF776" s="5"/>
      <c r="DG776" s="5"/>
      <c r="DH776" s="5"/>
      <c r="DI776" s="5"/>
      <c r="DJ776" s="5"/>
      <c r="DK776" s="5"/>
      <c r="DL776" s="5"/>
      <c r="DM776" s="5"/>
      <c r="DN776" s="5"/>
      <c r="DO776" s="5"/>
      <c r="DP776" s="5"/>
      <c r="DQ776" s="5"/>
      <c r="DR776" s="5"/>
      <c r="DS776" s="5"/>
      <c r="DT776" s="5"/>
      <c r="DU776" s="5"/>
      <c r="DV776" s="5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5"/>
      <c r="CT777" s="5"/>
      <c r="CU777" s="5"/>
      <c r="CV777" s="5"/>
      <c r="CW777" s="5"/>
      <c r="CX777" s="5"/>
      <c r="CY777" s="5"/>
      <c r="CZ777" s="5"/>
      <c r="DA777" s="5"/>
      <c r="DB777" s="5"/>
      <c r="DC777" s="5"/>
      <c r="DD777" s="5"/>
      <c r="DE777" s="5"/>
      <c r="DF777" s="5"/>
      <c r="DG777" s="5"/>
      <c r="DH777" s="5"/>
      <c r="DI777" s="5"/>
      <c r="DJ777" s="5"/>
      <c r="DK777" s="5"/>
      <c r="DL777" s="5"/>
      <c r="DM777" s="5"/>
      <c r="DN777" s="5"/>
      <c r="DO777" s="5"/>
      <c r="DP777" s="5"/>
      <c r="DQ777" s="5"/>
      <c r="DR777" s="5"/>
      <c r="DS777" s="5"/>
      <c r="DT777" s="5"/>
      <c r="DU777" s="5"/>
      <c r="DV777" s="5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5"/>
      <c r="CT778" s="5"/>
      <c r="CU778" s="5"/>
      <c r="CV778" s="5"/>
      <c r="CW778" s="5"/>
      <c r="CX778" s="5"/>
      <c r="CY778" s="5"/>
      <c r="CZ778" s="5"/>
      <c r="DA778" s="5"/>
      <c r="DB778" s="5"/>
      <c r="DC778" s="5"/>
      <c r="DD778" s="5"/>
      <c r="DE778" s="5"/>
      <c r="DF778" s="5"/>
      <c r="DG778" s="5"/>
      <c r="DH778" s="5"/>
      <c r="DI778" s="5"/>
      <c r="DJ778" s="5"/>
      <c r="DK778" s="5"/>
      <c r="DL778" s="5"/>
      <c r="DM778" s="5"/>
      <c r="DN778" s="5"/>
      <c r="DO778" s="5"/>
      <c r="DP778" s="5"/>
      <c r="DQ778" s="5"/>
      <c r="DR778" s="5"/>
      <c r="DS778" s="5"/>
      <c r="DT778" s="5"/>
      <c r="DU778" s="5"/>
      <c r="DV778" s="5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5"/>
      <c r="CT779" s="5"/>
      <c r="CU779" s="5"/>
      <c r="CV779" s="5"/>
      <c r="CW779" s="5"/>
      <c r="CX779" s="5"/>
      <c r="CY779" s="5"/>
      <c r="CZ779" s="5"/>
      <c r="DA779" s="5"/>
      <c r="DB779" s="5"/>
      <c r="DC779" s="5"/>
      <c r="DD779" s="5"/>
      <c r="DE779" s="5"/>
      <c r="DF779" s="5"/>
      <c r="DG779" s="5"/>
      <c r="DH779" s="5"/>
      <c r="DI779" s="5"/>
      <c r="DJ779" s="5"/>
      <c r="DK779" s="5"/>
      <c r="DL779" s="5"/>
      <c r="DM779" s="5"/>
      <c r="DN779" s="5"/>
      <c r="DO779" s="5"/>
      <c r="DP779" s="5"/>
      <c r="DQ779" s="5"/>
      <c r="DR779" s="5"/>
      <c r="DS779" s="5"/>
      <c r="DT779" s="5"/>
      <c r="DU779" s="5"/>
      <c r="DV779" s="5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5"/>
      <c r="CT780" s="5"/>
      <c r="CU780" s="5"/>
      <c r="CV780" s="5"/>
      <c r="CW780" s="5"/>
      <c r="CX780" s="5"/>
      <c r="CY780" s="5"/>
      <c r="CZ780" s="5"/>
      <c r="DA780" s="5"/>
      <c r="DB780" s="5"/>
      <c r="DC780" s="5"/>
      <c r="DD780" s="5"/>
      <c r="DE780" s="5"/>
      <c r="DF780" s="5"/>
      <c r="DG780" s="5"/>
      <c r="DH780" s="5"/>
      <c r="DI780" s="5"/>
      <c r="DJ780" s="5"/>
      <c r="DK780" s="5"/>
      <c r="DL780" s="5"/>
      <c r="DM780" s="5"/>
      <c r="DN780" s="5"/>
      <c r="DO780" s="5"/>
      <c r="DP780" s="5"/>
      <c r="DQ780" s="5"/>
      <c r="DR780" s="5"/>
      <c r="DS780" s="5"/>
      <c r="DT780" s="5"/>
      <c r="DU780" s="5"/>
      <c r="DV780" s="5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5"/>
      <c r="CT781" s="5"/>
      <c r="CU781" s="5"/>
      <c r="CV781" s="5"/>
      <c r="CW781" s="5"/>
      <c r="CX781" s="5"/>
      <c r="CY781" s="5"/>
      <c r="CZ781" s="5"/>
      <c r="DA781" s="5"/>
      <c r="DB781" s="5"/>
      <c r="DC781" s="5"/>
      <c r="DD781" s="5"/>
      <c r="DE781" s="5"/>
      <c r="DF781" s="5"/>
      <c r="DG781" s="5"/>
      <c r="DH781" s="5"/>
      <c r="DI781" s="5"/>
      <c r="DJ781" s="5"/>
      <c r="DK781" s="5"/>
      <c r="DL781" s="5"/>
      <c r="DM781" s="5"/>
      <c r="DN781" s="5"/>
      <c r="DO781" s="5"/>
      <c r="DP781" s="5"/>
      <c r="DQ781" s="5"/>
      <c r="DR781" s="5"/>
      <c r="DS781" s="5"/>
      <c r="DT781" s="5"/>
      <c r="DU781" s="5"/>
      <c r="DV781" s="5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5"/>
      <c r="CT782" s="5"/>
      <c r="CU782" s="5"/>
      <c r="CV782" s="5"/>
      <c r="CW782" s="5"/>
      <c r="CX782" s="5"/>
      <c r="CY782" s="5"/>
      <c r="CZ782" s="5"/>
      <c r="DA782" s="5"/>
      <c r="DB782" s="5"/>
      <c r="DC782" s="5"/>
      <c r="DD782" s="5"/>
      <c r="DE782" s="5"/>
      <c r="DF782" s="5"/>
      <c r="DG782" s="5"/>
      <c r="DH782" s="5"/>
      <c r="DI782" s="5"/>
      <c r="DJ782" s="5"/>
      <c r="DK782" s="5"/>
      <c r="DL782" s="5"/>
      <c r="DM782" s="5"/>
      <c r="DN782" s="5"/>
      <c r="DO782" s="5"/>
      <c r="DP782" s="5"/>
      <c r="DQ782" s="5"/>
      <c r="DR782" s="5"/>
      <c r="DS782" s="5"/>
      <c r="DT782" s="5"/>
      <c r="DU782" s="5"/>
      <c r="DV782" s="5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5"/>
      <c r="CT783" s="5"/>
      <c r="CU783" s="5"/>
      <c r="CV783" s="5"/>
      <c r="CW783" s="5"/>
      <c r="CX783" s="5"/>
      <c r="CY783" s="5"/>
      <c r="CZ783" s="5"/>
      <c r="DA783" s="5"/>
      <c r="DB783" s="5"/>
      <c r="DC783" s="5"/>
      <c r="DD783" s="5"/>
      <c r="DE783" s="5"/>
      <c r="DF783" s="5"/>
      <c r="DG783" s="5"/>
      <c r="DH783" s="5"/>
      <c r="DI783" s="5"/>
      <c r="DJ783" s="5"/>
      <c r="DK783" s="5"/>
      <c r="DL783" s="5"/>
      <c r="DM783" s="5"/>
      <c r="DN783" s="5"/>
      <c r="DO783" s="5"/>
      <c r="DP783" s="5"/>
      <c r="DQ783" s="5"/>
      <c r="DR783" s="5"/>
      <c r="DS783" s="5"/>
      <c r="DT783" s="5"/>
      <c r="DU783" s="5"/>
      <c r="DV783" s="5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5"/>
      <c r="CT784" s="5"/>
      <c r="CU784" s="5"/>
      <c r="CV784" s="5"/>
      <c r="CW784" s="5"/>
      <c r="CX784" s="5"/>
      <c r="CY784" s="5"/>
      <c r="CZ784" s="5"/>
      <c r="DA784" s="5"/>
      <c r="DB784" s="5"/>
      <c r="DC784" s="5"/>
      <c r="DD784" s="5"/>
      <c r="DE784" s="5"/>
      <c r="DF784" s="5"/>
      <c r="DG784" s="5"/>
      <c r="DH784" s="5"/>
      <c r="DI784" s="5"/>
      <c r="DJ784" s="5"/>
      <c r="DK784" s="5"/>
      <c r="DL784" s="5"/>
      <c r="DM784" s="5"/>
      <c r="DN784" s="5"/>
      <c r="DO784" s="5"/>
      <c r="DP784" s="5"/>
      <c r="DQ784" s="5"/>
      <c r="DR784" s="5"/>
      <c r="DS784" s="5"/>
      <c r="DT784" s="5"/>
      <c r="DU784" s="5"/>
      <c r="DV784" s="5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5"/>
      <c r="CT785" s="5"/>
      <c r="CU785" s="5"/>
      <c r="CV785" s="5"/>
      <c r="CW785" s="5"/>
      <c r="CX785" s="5"/>
      <c r="CY785" s="5"/>
      <c r="CZ785" s="5"/>
      <c r="DA785" s="5"/>
      <c r="DB785" s="5"/>
      <c r="DC785" s="5"/>
      <c r="DD785" s="5"/>
      <c r="DE785" s="5"/>
      <c r="DF785" s="5"/>
      <c r="DG785" s="5"/>
      <c r="DH785" s="5"/>
      <c r="DI785" s="5"/>
      <c r="DJ785" s="5"/>
      <c r="DK785" s="5"/>
      <c r="DL785" s="5"/>
      <c r="DM785" s="5"/>
      <c r="DN785" s="5"/>
      <c r="DO785" s="5"/>
      <c r="DP785" s="5"/>
      <c r="DQ785" s="5"/>
      <c r="DR785" s="5"/>
      <c r="DS785" s="5"/>
      <c r="DT785" s="5"/>
      <c r="DU785" s="5"/>
      <c r="DV785" s="5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5"/>
      <c r="CT786" s="5"/>
      <c r="CU786" s="5"/>
      <c r="CV786" s="5"/>
      <c r="CW786" s="5"/>
      <c r="CX786" s="5"/>
      <c r="CY786" s="5"/>
      <c r="CZ786" s="5"/>
      <c r="DA786" s="5"/>
      <c r="DB786" s="5"/>
      <c r="DC786" s="5"/>
      <c r="DD786" s="5"/>
      <c r="DE786" s="5"/>
      <c r="DF786" s="5"/>
      <c r="DG786" s="5"/>
      <c r="DH786" s="5"/>
      <c r="DI786" s="5"/>
      <c r="DJ786" s="5"/>
      <c r="DK786" s="5"/>
      <c r="DL786" s="5"/>
      <c r="DM786" s="5"/>
      <c r="DN786" s="5"/>
      <c r="DO786" s="5"/>
      <c r="DP786" s="5"/>
      <c r="DQ786" s="5"/>
      <c r="DR786" s="5"/>
      <c r="DS786" s="5"/>
      <c r="DT786" s="5"/>
      <c r="DU786" s="5"/>
      <c r="DV786" s="5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5"/>
      <c r="CT787" s="5"/>
      <c r="CU787" s="5"/>
      <c r="CV787" s="5"/>
      <c r="CW787" s="5"/>
      <c r="CX787" s="5"/>
      <c r="CY787" s="5"/>
      <c r="CZ787" s="5"/>
      <c r="DA787" s="5"/>
      <c r="DB787" s="5"/>
      <c r="DC787" s="5"/>
      <c r="DD787" s="5"/>
      <c r="DE787" s="5"/>
      <c r="DF787" s="5"/>
      <c r="DG787" s="5"/>
      <c r="DH787" s="5"/>
      <c r="DI787" s="5"/>
      <c r="DJ787" s="5"/>
      <c r="DK787" s="5"/>
      <c r="DL787" s="5"/>
      <c r="DM787" s="5"/>
      <c r="DN787" s="5"/>
      <c r="DO787" s="5"/>
      <c r="DP787" s="5"/>
      <c r="DQ787" s="5"/>
      <c r="DR787" s="5"/>
      <c r="DS787" s="5"/>
      <c r="DT787" s="5"/>
      <c r="DU787" s="5"/>
      <c r="DV787" s="5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5"/>
      <c r="CT788" s="5"/>
      <c r="CU788" s="5"/>
      <c r="CV788" s="5"/>
      <c r="CW788" s="5"/>
      <c r="CX788" s="5"/>
      <c r="CY788" s="5"/>
      <c r="CZ788" s="5"/>
      <c r="DA788" s="5"/>
      <c r="DB788" s="5"/>
      <c r="DC788" s="5"/>
      <c r="DD788" s="5"/>
      <c r="DE788" s="5"/>
      <c r="DF788" s="5"/>
      <c r="DG788" s="5"/>
      <c r="DH788" s="5"/>
      <c r="DI788" s="5"/>
      <c r="DJ788" s="5"/>
      <c r="DK788" s="5"/>
      <c r="DL788" s="5"/>
      <c r="DM788" s="5"/>
      <c r="DN788" s="5"/>
      <c r="DO788" s="5"/>
      <c r="DP788" s="5"/>
      <c r="DQ788" s="5"/>
      <c r="DR788" s="5"/>
      <c r="DS788" s="5"/>
      <c r="DT788" s="5"/>
      <c r="DU788" s="5"/>
      <c r="DV788" s="5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5"/>
      <c r="CT789" s="5"/>
      <c r="CU789" s="5"/>
      <c r="CV789" s="5"/>
      <c r="CW789" s="5"/>
      <c r="CX789" s="5"/>
      <c r="CY789" s="5"/>
      <c r="CZ789" s="5"/>
      <c r="DA789" s="5"/>
      <c r="DB789" s="5"/>
      <c r="DC789" s="5"/>
      <c r="DD789" s="5"/>
      <c r="DE789" s="5"/>
      <c r="DF789" s="5"/>
      <c r="DG789" s="5"/>
      <c r="DH789" s="5"/>
      <c r="DI789" s="5"/>
      <c r="DJ789" s="5"/>
      <c r="DK789" s="5"/>
      <c r="DL789" s="5"/>
      <c r="DM789" s="5"/>
      <c r="DN789" s="5"/>
      <c r="DO789" s="5"/>
      <c r="DP789" s="5"/>
      <c r="DQ789" s="5"/>
      <c r="DR789" s="5"/>
      <c r="DS789" s="5"/>
      <c r="DT789" s="5"/>
      <c r="DU789" s="5"/>
      <c r="DV789" s="5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5"/>
      <c r="CT790" s="5"/>
      <c r="CU790" s="5"/>
      <c r="CV790" s="5"/>
      <c r="CW790" s="5"/>
      <c r="CX790" s="5"/>
      <c r="CY790" s="5"/>
      <c r="CZ790" s="5"/>
      <c r="DA790" s="5"/>
      <c r="DB790" s="5"/>
      <c r="DC790" s="5"/>
      <c r="DD790" s="5"/>
      <c r="DE790" s="5"/>
      <c r="DF790" s="5"/>
      <c r="DG790" s="5"/>
      <c r="DH790" s="5"/>
      <c r="DI790" s="5"/>
      <c r="DJ790" s="5"/>
      <c r="DK790" s="5"/>
      <c r="DL790" s="5"/>
      <c r="DM790" s="5"/>
      <c r="DN790" s="5"/>
      <c r="DO790" s="5"/>
      <c r="DP790" s="5"/>
      <c r="DQ790" s="5"/>
      <c r="DR790" s="5"/>
      <c r="DS790" s="5"/>
      <c r="DT790" s="5"/>
      <c r="DU790" s="5"/>
      <c r="DV790" s="5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5"/>
      <c r="CT791" s="5"/>
      <c r="CU791" s="5"/>
      <c r="CV791" s="5"/>
      <c r="CW791" s="5"/>
      <c r="CX791" s="5"/>
      <c r="CY791" s="5"/>
      <c r="CZ791" s="5"/>
      <c r="DA791" s="5"/>
      <c r="DB791" s="5"/>
      <c r="DC791" s="5"/>
      <c r="DD791" s="5"/>
      <c r="DE791" s="5"/>
      <c r="DF791" s="5"/>
      <c r="DG791" s="5"/>
      <c r="DH791" s="5"/>
      <c r="DI791" s="5"/>
      <c r="DJ791" s="5"/>
      <c r="DK791" s="5"/>
      <c r="DL791" s="5"/>
      <c r="DM791" s="5"/>
      <c r="DN791" s="5"/>
      <c r="DO791" s="5"/>
      <c r="DP791" s="5"/>
      <c r="DQ791" s="5"/>
      <c r="DR791" s="5"/>
      <c r="DS791" s="5"/>
      <c r="DT791" s="5"/>
      <c r="DU791" s="5"/>
      <c r="DV791" s="5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5"/>
      <c r="CT792" s="5"/>
      <c r="CU792" s="5"/>
      <c r="CV792" s="5"/>
      <c r="CW792" s="5"/>
      <c r="CX792" s="5"/>
      <c r="CY792" s="5"/>
      <c r="CZ792" s="5"/>
      <c r="DA792" s="5"/>
      <c r="DB792" s="5"/>
      <c r="DC792" s="5"/>
      <c r="DD792" s="5"/>
      <c r="DE792" s="5"/>
      <c r="DF792" s="5"/>
      <c r="DG792" s="5"/>
      <c r="DH792" s="5"/>
      <c r="DI792" s="5"/>
      <c r="DJ792" s="5"/>
      <c r="DK792" s="5"/>
      <c r="DL792" s="5"/>
      <c r="DM792" s="5"/>
      <c r="DN792" s="5"/>
      <c r="DO792" s="5"/>
      <c r="DP792" s="5"/>
      <c r="DQ792" s="5"/>
      <c r="DR792" s="5"/>
      <c r="DS792" s="5"/>
      <c r="DT792" s="5"/>
      <c r="DU792" s="5"/>
      <c r="DV792" s="5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5"/>
      <c r="CT793" s="5"/>
      <c r="CU793" s="5"/>
      <c r="CV793" s="5"/>
      <c r="CW793" s="5"/>
      <c r="CX793" s="5"/>
      <c r="CY793" s="5"/>
      <c r="CZ793" s="5"/>
      <c r="DA793" s="5"/>
      <c r="DB793" s="5"/>
      <c r="DC793" s="5"/>
      <c r="DD793" s="5"/>
      <c r="DE793" s="5"/>
      <c r="DF793" s="5"/>
      <c r="DG793" s="5"/>
      <c r="DH793" s="5"/>
      <c r="DI793" s="5"/>
      <c r="DJ793" s="5"/>
      <c r="DK793" s="5"/>
      <c r="DL793" s="5"/>
      <c r="DM793" s="5"/>
      <c r="DN793" s="5"/>
      <c r="DO793" s="5"/>
      <c r="DP793" s="5"/>
      <c r="DQ793" s="5"/>
      <c r="DR793" s="5"/>
      <c r="DS793" s="5"/>
      <c r="DT793" s="5"/>
      <c r="DU793" s="5"/>
      <c r="DV793" s="5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5"/>
      <c r="CT794" s="5"/>
      <c r="CU794" s="5"/>
      <c r="CV794" s="5"/>
      <c r="CW794" s="5"/>
      <c r="CX794" s="5"/>
      <c r="CY794" s="5"/>
      <c r="CZ794" s="5"/>
      <c r="DA794" s="5"/>
      <c r="DB794" s="5"/>
      <c r="DC794" s="5"/>
      <c r="DD794" s="5"/>
      <c r="DE794" s="5"/>
      <c r="DF794" s="5"/>
      <c r="DG794" s="5"/>
      <c r="DH794" s="5"/>
      <c r="DI794" s="5"/>
      <c r="DJ794" s="5"/>
      <c r="DK794" s="5"/>
      <c r="DL794" s="5"/>
      <c r="DM794" s="5"/>
      <c r="DN794" s="5"/>
      <c r="DO794" s="5"/>
      <c r="DP794" s="5"/>
      <c r="DQ794" s="5"/>
      <c r="DR794" s="5"/>
      <c r="DS794" s="5"/>
      <c r="DT794" s="5"/>
      <c r="DU794" s="5"/>
      <c r="DV794" s="5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5"/>
      <c r="CT795" s="5"/>
      <c r="CU795" s="5"/>
      <c r="CV795" s="5"/>
      <c r="CW795" s="5"/>
      <c r="CX795" s="5"/>
      <c r="CY795" s="5"/>
      <c r="CZ795" s="5"/>
      <c r="DA795" s="5"/>
      <c r="DB795" s="5"/>
      <c r="DC795" s="5"/>
      <c r="DD795" s="5"/>
      <c r="DE795" s="5"/>
      <c r="DF795" s="5"/>
      <c r="DG795" s="5"/>
      <c r="DH795" s="5"/>
      <c r="DI795" s="5"/>
      <c r="DJ795" s="5"/>
      <c r="DK795" s="5"/>
      <c r="DL795" s="5"/>
      <c r="DM795" s="5"/>
      <c r="DN795" s="5"/>
      <c r="DO795" s="5"/>
      <c r="DP795" s="5"/>
      <c r="DQ795" s="5"/>
      <c r="DR795" s="5"/>
      <c r="DS795" s="5"/>
      <c r="DT795" s="5"/>
      <c r="DU795" s="5"/>
      <c r="DV795" s="5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5"/>
      <c r="CT796" s="5"/>
      <c r="CU796" s="5"/>
      <c r="CV796" s="5"/>
      <c r="CW796" s="5"/>
      <c r="CX796" s="5"/>
      <c r="CY796" s="5"/>
      <c r="CZ796" s="5"/>
      <c r="DA796" s="5"/>
      <c r="DB796" s="5"/>
      <c r="DC796" s="5"/>
      <c r="DD796" s="5"/>
      <c r="DE796" s="5"/>
      <c r="DF796" s="5"/>
      <c r="DG796" s="5"/>
      <c r="DH796" s="5"/>
      <c r="DI796" s="5"/>
      <c r="DJ796" s="5"/>
      <c r="DK796" s="5"/>
      <c r="DL796" s="5"/>
      <c r="DM796" s="5"/>
      <c r="DN796" s="5"/>
      <c r="DO796" s="5"/>
      <c r="DP796" s="5"/>
      <c r="DQ796" s="5"/>
      <c r="DR796" s="5"/>
      <c r="DS796" s="5"/>
      <c r="DT796" s="5"/>
      <c r="DU796" s="5"/>
      <c r="DV796" s="5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5"/>
      <c r="CT797" s="5"/>
      <c r="CU797" s="5"/>
      <c r="CV797" s="5"/>
      <c r="CW797" s="5"/>
      <c r="CX797" s="5"/>
      <c r="CY797" s="5"/>
      <c r="CZ797" s="5"/>
      <c r="DA797" s="5"/>
      <c r="DB797" s="5"/>
      <c r="DC797" s="5"/>
      <c r="DD797" s="5"/>
      <c r="DE797" s="5"/>
      <c r="DF797" s="5"/>
      <c r="DG797" s="5"/>
      <c r="DH797" s="5"/>
      <c r="DI797" s="5"/>
      <c r="DJ797" s="5"/>
      <c r="DK797" s="5"/>
      <c r="DL797" s="5"/>
      <c r="DM797" s="5"/>
      <c r="DN797" s="5"/>
      <c r="DO797" s="5"/>
      <c r="DP797" s="5"/>
      <c r="DQ797" s="5"/>
      <c r="DR797" s="5"/>
      <c r="DS797" s="5"/>
      <c r="DT797" s="5"/>
      <c r="DU797" s="5"/>
      <c r="DV797" s="5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5"/>
      <c r="CT798" s="5"/>
      <c r="CU798" s="5"/>
      <c r="CV798" s="5"/>
      <c r="CW798" s="5"/>
      <c r="CX798" s="5"/>
      <c r="CY798" s="5"/>
      <c r="CZ798" s="5"/>
      <c r="DA798" s="5"/>
      <c r="DB798" s="5"/>
      <c r="DC798" s="5"/>
      <c r="DD798" s="5"/>
      <c r="DE798" s="5"/>
      <c r="DF798" s="5"/>
      <c r="DG798" s="5"/>
      <c r="DH798" s="5"/>
      <c r="DI798" s="5"/>
      <c r="DJ798" s="5"/>
      <c r="DK798" s="5"/>
      <c r="DL798" s="5"/>
      <c r="DM798" s="5"/>
      <c r="DN798" s="5"/>
      <c r="DO798" s="5"/>
      <c r="DP798" s="5"/>
      <c r="DQ798" s="5"/>
      <c r="DR798" s="5"/>
      <c r="DS798" s="5"/>
      <c r="DT798" s="5"/>
      <c r="DU798" s="5"/>
      <c r="DV798" s="5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5"/>
      <c r="CT799" s="5"/>
      <c r="CU799" s="5"/>
      <c r="CV799" s="5"/>
      <c r="CW799" s="5"/>
      <c r="CX799" s="5"/>
      <c r="CY799" s="5"/>
      <c r="CZ799" s="5"/>
      <c r="DA799" s="5"/>
      <c r="DB799" s="5"/>
      <c r="DC799" s="5"/>
      <c r="DD799" s="5"/>
      <c r="DE799" s="5"/>
      <c r="DF799" s="5"/>
      <c r="DG799" s="5"/>
      <c r="DH799" s="5"/>
      <c r="DI799" s="5"/>
      <c r="DJ799" s="5"/>
      <c r="DK799" s="5"/>
      <c r="DL799" s="5"/>
      <c r="DM799" s="5"/>
      <c r="DN799" s="5"/>
      <c r="DO799" s="5"/>
      <c r="DP799" s="5"/>
      <c r="DQ799" s="5"/>
      <c r="DR799" s="5"/>
      <c r="DS799" s="5"/>
      <c r="DT799" s="5"/>
      <c r="DU799" s="5"/>
      <c r="DV799" s="5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5"/>
      <c r="CT800" s="5"/>
      <c r="CU800" s="5"/>
      <c r="CV800" s="5"/>
      <c r="CW800" s="5"/>
      <c r="CX800" s="5"/>
      <c r="CY800" s="5"/>
      <c r="CZ800" s="5"/>
      <c r="DA800" s="5"/>
      <c r="DB800" s="5"/>
      <c r="DC800" s="5"/>
      <c r="DD800" s="5"/>
      <c r="DE800" s="5"/>
      <c r="DF800" s="5"/>
      <c r="DG800" s="5"/>
      <c r="DH800" s="5"/>
      <c r="DI800" s="5"/>
      <c r="DJ800" s="5"/>
      <c r="DK800" s="5"/>
      <c r="DL800" s="5"/>
      <c r="DM800" s="5"/>
      <c r="DN800" s="5"/>
      <c r="DO800" s="5"/>
      <c r="DP800" s="5"/>
      <c r="DQ800" s="5"/>
      <c r="DR800" s="5"/>
      <c r="DS800" s="5"/>
      <c r="DT800" s="5"/>
      <c r="DU800" s="5"/>
      <c r="DV800" s="5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5"/>
      <c r="CT801" s="5"/>
      <c r="CU801" s="5"/>
      <c r="CV801" s="5"/>
      <c r="CW801" s="5"/>
      <c r="CX801" s="5"/>
      <c r="CY801" s="5"/>
      <c r="CZ801" s="5"/>
      <c r="DA801" s="5"/>
      <c r="DB801" s="5"/>
      <c r="DC801" s="5"/>
      <c r="DD801" s="5"/>
      <c r="DE801" s="5"/>
      <c r="DF801" s="5"/>
      <c r="DG801" s="5"/>
      <c r="DH801" s="5"/>
      <c r="DI801" s="5"/>
      <c r="DJ801" s="5"/>
      <c r="DK801" s="5"/>
      <c r="DL801" s="5"/>
      <c r="DM801" s="5"/>
      <c r="DN801" s="5"/>
      <c r="DO801" s="5"/>
      <c r="DP801" s="5"/>
      <c r="DQ801" s="5"/>
      <c r="DR801" s="5"/>
      <c r="DS801" s="5"/>
      <c r="DT801" s="5"/>
      <c r="DU801" s="5"/>
      <c r="DV801" s="5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5"/>
      <c r="CT802" s="5"/>
      <c r="CU802" s="5"/>
      <c r="CV802" s="5"/>
      <c r="CW802" s="5"/>
      <c r="CX802" s="5"/>
      <c r="CY802" s="5"/>
      <c r="CZ802" s="5"/>
      <c r="DA802" s="5"/>
      <c r="DB802" s="5"/>
      <c r="DC802" s="5"/>
      <c r="DD802" s="5"/>
      <c r="DE802" s="5"/>
      <c r="DF802" s="5"/>
      <c r="DG802" s="5"/>
      <c r="DH802" s="5"/>
      <c r="DI802" s="5"/>
      <c r="DJ802" s="5"/>
      <c r="DK802" s="5"/>
      <c r="DL802" s="5"/>
      <c r="DM802" s="5"/>
      <c r="DN802" s="5"/>
      <c r="DO802" s="5"/>
      <c r="DP802" s="5"/>
      <c r="DQ802" s="5"/>
      <c r="DR802" s="5"/>
      <c r="DS802" s="5"/>
      <c r="DT802" s="5"/>
      <c r="DU802" s="5"/>
      <c r="DV802" s="5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5"/>
      <c r="CT803" s="5"/>
      <c r="CU803" s="5"/>
      <c r="CV803" s="5"/>
      <c r="CW803" s="5"/>
      <c r="CX803" s="5"/>
      <c r="CY803" s="5"/>
      <c r="CZ803" s="5"/>
      <c r="DA803" s="5"/>
      <c r="DB803" s="5"/>
      <c r="DC803" s="5"/>
      <c r="DD803" s="5"/>
      <c r="DE803" s="5"/>
      <c r="DF803" s="5"/>
      <c r="DG803" s="5"/>
      <c r="DH803" s="5"/>
      <c r="DI803" s="5"/>
      <c r="DJ803" s="5"/>
      <c r="DK803" s="5"/>
      <c r="DL803" s="5"/>
      <c r="DM803" s="5"/>
      <c r="DN803" s="5"/>
      <c r="DO803" s="5"/>
      <c r="DP803" s="5"/>
      <c r="DQ803" s="5"/>
      <c r="DR803" s="5"/>
      <c r="DS803" s="5"/>
      <c r="DT803" s="5"/>
      <c r="DU803" s="5"/>
      <c r="DV803" s="5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5"/>
      <c r="CT804" s="5"/>
      <c r="CU804" s="5"/>
      <c r="CV804" s="5"/>
      <c r="CW804" s="5"/>
      <c r="CX804" s="5"/>
      <c r="CY804" s="5"/>
      <c r="CZ804" s="5"/>
      <c r="DA804" s="5"/>
      <c r="DB804" s="5"/>
      <c r="DC804" s="5"/>
      <c r="DD804" s="5"/>
      <c r="DE804" s="5"/>
      <c r="DF804" s="5"/>
      <c r="DG804" s="5"/>
      <c r="DH804" s="5"/>
      <c r="DI804" s="5"/>
      <c r="DJ804" s="5"/>
      <c r="DK804" s="5"/>
      <c r="DL804" s="5"/>
      <c r="DM804" s="5"/>
      <c r="DN804" s="5"/>
      <c r="DO804" s="5"/>
      <c r="DP804" s="5"/>
      <c r="DQ804" s="5"/>
      <c r="DR804" s="5"/>
      <c r="DS804" s="5"/>
      <c r="DT804" s="5"/>
      <c r="DU804" s="5"/>
      <c r="DV804" s="5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5"/>
      <c r="CT805" s="5"/>
      <c r="CU805" s="5"/>
      <c r="CV805" s="5"/>
      <c r="CW805" s="5"/>
      <c r="CX805" s="5"/>
      <c r="CY805" s="5"/>
      <c r="CZ805" s="5"/>
      <c r="DA805" s="5"/>
      <c r="DB805" s="5"/>
      <c r="DC805" s="5"/>
      <c r="DD805" s="5"/>
      <c r="DE805" s="5"/>
      <c r="DF805" s="5"/>
      <c r="DG805" s="5"/>
      <c r="DH805" s="5"/>
      <c r="DI805" s="5"/>
      <c r="DJ805" s="5"/>
      <c r="DK805" s="5"/>
      <c r="DL805" s="5"/>
      <c r="DM805" s="5"/>
      <c r="DN805" s="5"/>
      <c r="DO805" s="5"/>
      <c r="DP805" s="5"/>
      <c r="DQ805" s="5"/>
      <c r="DR805" s="5"/>
      <c r="DS805" s="5"/>
      <c r="DT805" s="5"/>
      <c r="DU805" s="5"/>
      <c r="DV805" s="5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5"/>
      <c r="CT806" s="5"/>
      <c r="CU806" s="5"/>
      <c r="CV806" s="5"/>
      <c r="CW806" s="5"/>
      <c r="CX806" s="5"/>
      <c r="CY806" s="5"/>
      <c r="CZ806" s="5"/>
      <c r="DA806" s="5"/>
      <c r="DB806" s="5"/>
      <c r="DC806" s="5"/>
      <c r="DD806" s="5"/>
      <c r="DE806" s="5"/>
      <c r="DF806" s="5"/>
      <c r="DG806" s="5"/>
      <c r="DH806" s="5"/>
      <c r="DI806" s="5"/>
      <c r="DJ806" s="5"/>
      <c r="DK806" s="5"/>
      <c r="DL806" s="5"/>
      <c r="DM806" s="5"/>
      <c r="DN806" s="5"/>
      <c r="DO806" s="5"/>
      <c r="DP806" s="5"/>
      <c r="DQ806" s="5"/>
      <c r="DR806" s="5"/>
      <c r="DS806" s="5"/>
      <c r="DT806" s="5"/>
      <c r="DU806" s="5"/>
      <c r="DV806" s="5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5"/>
      <c r="CT807" s="5"/>
      <c r="CU807" s="5"/>
      <c r="CV807" s="5"/>
      <c r="CW807" s="5"/>
      <c r="CX807" s="5"/>
      <c r="CY807" s="5"/>
      <c r="CZ807" s="5"/>
      <c r="DA807" s="5"/>
      <c r="DB807" s="5"/>
      <c r="DC807" s="5"/>
      <c r="DD807" s="5"/>
      <c r="DE807" s="5"/>
      <c r="DF807" s="5"/>
      <c r="DG807" s="5"/>
      <c r="DH807" s="5"/>
      <c r="DI807" s="5"/>
      <c r="DJ807" s="5"/>
      <c r="DK807" s="5"/>
      <c r="DL807" s="5"/>
      <c r="DM807" s="5"/>
      <c r="DN807" s="5"/>
      <c r="DO807" s="5"/>
      <c r="DP807" s="5"/>
      <c r="DQ807" s="5"/>
      <c r="DR807" s="5"/>
      <c r="DS807" s="5"/>
      <c r="DT807" s="5"/>
      <c r="DU807" s="5"/>
      <c r="DV807" s="5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5"/>
      <c r="CT808" s="5"/>
      <c r="CU808" s="5"/>
      <c r="CV808" s="5"/>
      <c r="CW808" s="5"/>
      <c r="CX808" s="5"/>
      <c r="CY808" s="5"/>
      <c r="CZ808" s="5"/>
      <c r="DA808" s="5"/>
      <c r="DB808" s="5"/>
      <c r="DC808" s="5"/>
      <c r="DD808" s="5"/>
      <c r="DE808" s="5"/>
      <c r="DF808" s="5"/>
      <c r="DG808" s="5"/>
      <c r="DH808" s="5"/>
      <c r="DI808" s="5"/>
      <c r="DJ808" s="5"/>
      <c r="DK808" s="5"/>
      <c r="DL808" s="5"/>
      <c r="DM808" s="5"/>
      <c r="DN808" s="5"/>
      <c r="DO808" s="5"/>
      <c r="DP808" s="5"/>
      <c r="DQ808" s="5"/>
      <c r="DR808" s="5"/>
      <c r="DS808" s="5"/>
      <c r="DT808" s="5"/>
      <c r="DU808" s="5"/>
      <c r="DV808" s="5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5"/>
      <c r="CT809" s="5"/>
      <c r="CU809" s="5"/>
      <c r="CV809" s="5"/>
      <c r="CW809" s="5"/>
      <c r="CX809" s="5"/>
      <c r="CY809" s="5"/>
      <c r="CZ809" s="5"/>
      <c r="DA809" s="5"/>
      <c r="DB809" s="5"/>
      <c r="DC809" s="5"/>
      <c r="DD809" s="5"/>
      <c r="DE809" s="5"/>
      <c r="DF809" s="5"/>
      <c r="DG809" s="5"/>
      <c r="DH809" s="5"/>
      <c r="DI809" s="5"/>
      <c r="DJ809" s="5"/>
      <c r="DK809" s="5"/>
      <c r="DL809" s="5"/>
      <c r="DM809" s="5"/>
      <c r="DN809" s="5"/>
      <c r="DO809" s="5"/>
      <c r="DP809" s="5"/>
      <c r="DQ809" s="5"/>
      <c r="DR809" s="5"/>
      <c r="DS809" s="5"/>
      <c r="DT809" s="5"/>
      <c r="DU809" s="5"/>
      <c r="DV809" s="5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5"/>
      <c r="CT810" s="5"/>
      <c r="CU810" s="5"/>
      <c r="CV810" s="5"/>
      <c r="CW810" s="5"/>
      <c r="CX810" s="5"/>
      <c r="CY810" s="5"/>
      <c r="CZ810" s="5"/>
      <c r="DA810" s="5"/>
      <c r="DB810" s="5"/>
      <c r="DC810" s="5"/>
      <c r="DD810" s="5"/>
      <c r="DE810" s="5"/>
      <c r="DF810" s="5"/>
      <c r="DG810" s="5"/>
      <c r="DH810" s="5"/>
      <c r="DI810" s="5"/>
      <c r="DJ810" s="5"/>
      <c r="DK810" s="5"/>
      <c r="DL810" s="5"/>
      <c r="DM810" s="5"/>
      <c r="DN810" s="5"/>
      <c r="DO810" s="5"/>
      <c r="DP810" s="5"/>
      <c r="DQ810" s="5"/>
      <c r="DR810" s="5"/>
      <c r="DS810" s="5"/>
      <c r="DT810" s="5"/>
      <c r="DU810" s="5"/>
      <c r="DV810" s="5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5"/>
      <c r="CT811" s="5"/>
      <c r="CU811" s="5"/>
      <c r="CV811" s="5"/>
      <c r="CW811" s="5"/>
      <c r="CX811" s="5"/>
      <c r="CY811" s="5"/>
      <c r="CZ811" s="5"/>
      <c r="DA811" s="5"/>
      <c r="DB811" s="5"/>
      <c r="DC811" s="5"/>
      <c r="DD811" s="5"/>
      <c r="DE811" s="5"/>
      <c r="DF811" s="5"/>
      <c r="DG811" s="5"/>
      <c r="DH811" s="5"/>
      <c r="DI811" s="5"/>
      <c r="DJ811" s="5"/>
      <c r="DK811" s="5"/>
      <c r="DL811" s="5"/>
      <c r="DM811" s="5"/>
      <c r="DN811" s="5"/>
      <c r="DO811" s="5"/>
      <c r="DP811" s="5"/>
      <c r="DQ811" s="5"/>
      <c r="DR811" s="5"/>
      <c r="DS811" s="5"/>
      <c r="DT811" s="5"/>
      <c r="DU811" s="5"/>
      <c r="DV811" s="5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5"/>
      <c r="CT812" s="5"/>
      <c r="CU812" s="5"/>
      <c r="CV812" s="5"/>
      <c r="CW812" s="5"/>
      <c r="CX812" s="5"/>
      <c r="CY812" s="5"/>
      <c r="CZ812" s="5"/>
      <c r="DA812" s="5"/>
      <c r="DB812" s="5"/>
      <c r="DC812" s="5"/>
      <c r="DD812" s="5"/>
      <c r="DE812" s="5"/>
      <c r="DF812" s="5"/>
      <c r="DG812" s="5"/>
      <c r="DH812" s="5"/>
      <c r="DI812" s="5"/>
      <c r="DJ812" s="5"/>
      <c r="DK812" s="5"/>
      <c r="DL812" s="5"/>
      <c r="DM812" s="5"/>
      <c r="DN812" s="5"/>
      <c r="DO812" s="5"/>
      <c r="DP812" s="5"/>
      <c r="DQ812" s="5"/>
      <c r="DR812" s="5"/>
      <c r="DS812" s="5"/>
      <c r="DT812" s="5"/>
      <c r="DU812" s="5"/>
      <c r="DV812" s="5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5"/>
      <c r="CT813" s="5"/>
      <c r="CU813" s="5"/>
      <c r="CV813" s="5"/>
      <c r="CW813" s="5"/>
      <c r="CX813" s="5"/>
      <c r="CY813" s="5"/>
      <c r="CZ813" s="5"/>
      <c r="DA813" s="5"/>
      <c r="DB813" s="5"/>
      <c r="DC813" s="5"/>
      <c r="DD813" s="5"/>
      <c r="DE813" s="5"/>
      <c r="DF813" s="5"/>
      <c r="DG813" s="5"/>
      <c r="DH813" s="5"/>
      <c r="DI813" s="5"/>
      <c r="DJ813" s="5"/>
      <c r="DK813" s="5"/>
      <c r="DL813" s="5"/>
      <c r="DM813" s="5"/>
      <c r="DN813" s="5"/>
      <c r="DO813" s="5"/>
      <c r="DP813" s="5"/>
      <c r="DQ813" s="5"/>
      <c r="DR813" s="5"/>
      <c r="DS813" s="5"/>
      <c r="DT813" s="5"/>
      <c r="DU813" s="5"/>
      <c r="DV813" s="5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5"/>
      <c r="CT814" s="5"/>
      <c r="CU814" s="5"/>
      <c r="CV814" s="5"/>
      <c r="CW814" s="5"/>
      <c r="CX814" s="5"/>
      <c r="CY814" s="5"/>
      <c r="CZ814" s="5"/>
      <c r="DA814" s="5"/>
      <c r="DB814" s="5"/>
      <c r="DC814" s="5"/>
      <c r="DD814" s="5"/>
      <c r="DE814" s="5"/>
      <c r="DF814" s="5"/>
      <c r="DG814" s="5"/>
      <c r="DH814" s="5"/>
      <c r="DI814" s="5"/>
      <c r="DJ814" s="5"/>
      <c r="DK814" s="5"/>
      <c r="DL814" s="5"/>
      <c r="DM814" s="5"/>
      <c r="DN814" s="5"/>
      <c r="DO814" s="5"/>
      <c r="DP814" s="5"/>
      <c r="DQ814" s="5"/>
      <c r="DR814" s="5"/>
      <c r="DS814" s="5"/>
      <c r="DT814" s="5"/>
      <c r="DU814" s="5"/>
      <c r="DV814" s="5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5"/>
      <c r="CT815" s="5"/>
      <c r="CU815" s="5"/>
      <c r="CV815" s="5"/>
      <c r="CW815" s="5"/>
      <c r="CX815" s="5"/>
      <c r="CY815" s="5"/>
      <c r="CZ815" s="5"/>
      <c r="DA815" s="5"/>
      <c r="DB815" s="5"/>
      <c r="DC815" s="5"/>
      <c r="DD815" s="5"/>
      <c r="DE815" s="5"/>
      <c r="DF815" s="5"/>
      <c r="DG815" s="5"/>
      <c r="DH815" s="5"/>
      <c r="DI815" s="5"/>
      <c r="DJ815" s="5"/>
      <c r="DK815" s="5"/>
      <c r="DL815" s="5"/>
      <c r="DM815" s="5"/>
      <c r="DN815" s="5"/>
      <c r="DO815" s="5"/>
      <c r="DP815" s="5"/>
      <c r="DQ815" s="5"/>
      <c r="DR815" s="5"/>
      <c r="DS815" s="5"/>
      <c r="DT815" s="5"/>
      <c r="DU815" s="5"/>
      <c r="DV815" s="5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5"/>
      <c r="CT816" s="5"/>
      <c r="CU816" s="5"/>
      <c r="CV816" s="5"/>
      <c r="CW816" s="5"/>
      <c r="CX816" s="5"/>
      <c r="CY816" s="5"/>
      <c r="CZ816" s="5"/>
      <c r="DA816" s="5"/>
      <c r="DB816" s="5"/>
      <c r="DC816" s="5"/>
      <c r="DD816" s="5"/>
      <c r="DE816" s="5"/>
      <c r="DF816" s="5"/>
      <c r="DG816" s="5"/>
      <c r="DH816" s="5"/>
      <c r="DI816" s="5"/>
      <c r="DJ816" s="5"/>
      <c r="DK816" s="5"/>
      <c r="DL816" s="5"/>
      <c r="DM816" s="5"/>
      <c r="DN816" s="5"/>
      <c r="DO816" s="5"/>
      <c r="DP816" s="5"/>
      <c r="DQ816" s="5"/>
      <c r="DR816" s="5"/>
      <c r="DS816" s="5"/>
      <c r="DT816" s="5"/>
      <c r="DU816" s="5"/>
      <c r="DV816" s="5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5"/>
      <c r="CT817" s="5"/>
      <c r="CU817" s="5"/>
      <c r="CV817" s="5"/>
      <c r="CW817" s="5"/>
      <c r="CX817" s="5"/>
      <c r="CY817" s="5"/>
      <c r="CZ817" s="5"/>
      <c r="DA817" s="5"/>
      <c r="DB817" s="5"/>
      <c r="DC817" s="5"/>
      <c r="DD817" s="5"/>
      <c r="DE817" s="5"/>
      <c r="DF817" s="5"/>
      <c r="DG817" s="5"/>
      <c r="DH817" s="5"/>
      <c r="DI817" s="5"/>
      <c r="DJ817" s="5"/>
      <c r="DK817" s="5"/>
      <c r="DL817" s="5"/>
      <c r="DM817" s="5"/>
      <c r="DN817" s="5"/>
      <c r="DO817" s="5"/>
      <c r="DP817" s="5"/>
      <c r="DQ817" s="5"/>
      <c r="DR817" s="5"/>
      <c r="DS817" s="5"/>
      <c r="DT817" s="5"/>
      <c r="DU817" s="5"/>
      <c r="DV817" s="5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5"/>
      <c r="CT818" s="5"/>
      <c r="CU818" s="5"/>
      <c r="CV818" s="5"/>
      <c r="CW818" s="5"/>
      <c r="CX818" s="5"/>
      <c r="CY818" s="5"/>
      <c r="CZ818" s="5"/>
      <c r="DA818" s="5"/>
      <c r="DB818" s="5"/>
      <c r="DC818" s="5"/>
      <c r="DD818" s="5"/>
      <c r="DE818" s="5"/>
      <c r="DF818" s="5"/>
      <c r="DG818" s="5"/>
      <c r="DH818" s="5"/>
      <c r="DI818" s="5"/>
      <c r="DJ818" s="5"/>
      <c r="DK818" s="5"/>
      <c r="DL818" s="5"/>
      <c r="DM818" s="5"/>
      <c r="DN818" s="5"/>
      <c r="DO818" s="5"/>
      <c r="DP818" s="5"/>
      <c r="DQ818" s="5"/>
      <c r="DR818" s="5"/>
      <c r="DS818" s="5"/>
      <c r="DT818" s="5"/>
      <c r="DU818" s="5"/>
      <c r="DV818" s="5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5"/>
      <c r="CT819" s="5"/>
      <c r="CU819" s="5"/>
      <c r="CV819" s="5"/>
      <c r="CW819" s="5"/>
      <c r="CX819" s="5"/>
      <c r="CY819" s="5"/>
      <c r="CZ819" s="5"/>
      <c r="DA819" s="5"/>
      <c r="DB819" s="5"/>
      <c r="DC819" s="5"/>
      <c r="DD819" s="5"/>
      <c r="DE819" s="5"/>
      <c r="DF819" s="5"/>
      <c r="DG819" s="5"/>
      <c r="DH819" s="5"/>
      <c r="DI819" s="5"/>
      <c r="DJ819" s="5"/>
      <c r="DK819" s="5"/>
      <c r="DL819" s="5"/>
      <c r="DM819" s="5"/>
      <c r="DN819" s="5"/>
      <c r="DO819" s="5"/>
      <c r="DP819" s="5"/>
      <c r="DQ819" s="5"/>
      <c r="DR819" s="5"/>
      <c r="DS819" s="5"/>
      <c r="DT819" s="5"/>
      <c r="DU819" s="5"/>
      <c r="DV819" s="5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5"/>
      <c r="CT820" s="5"/>
      <c r="CU820" s="5"/>
      <c r="CV820" s="5"/>
      <c r="CW820" s="5"/>
      <c r="CX820" s="5"/>
      <c r="CY820" s="5"/>
      <c r="CZ820" s="5"/>
      <c r="DA820" s="5"/>
      <c r="DB820" s="5"/>
      <c r="DC820" s="5"/>
      <c r="DD820" s="5"/>
      <c r="DE820" s="5"/>
      <c r="DF820" s="5"/>
      <c r="DG820" s="5"/>
      <c r="DH820" s="5"/>
      <c r="DI820" s="5"/>
      <c r="DJ820" s="5"/>
      <c r="DK820" s="5"/>
      <c r="DL820" s="5"/>
      <c r="DM820" s="5"/>
      <c r="DN820" s="5"/>
      <c r="DO820" s="5"/>
      <c r="DP820" s="5"/>
      <c r="DQ820" s="5"/>
      <c r="DR820" s="5"/>
      <c r="DS820" s="5"/>
      <c r="DT820" s="5"/>
      <c r="DU820" s="5"/>
      <c r="DV820" s="5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5"/>
      <c r="CT821" s="5"/>
      <c r="CU821" s="5"/>
      <c r="CV821" s="5"/>
      <c r="CW821" s="5"/>
      <c r="CX821" s="5"/>
      <c r="CY821" s="5"/>
      <c r="CZ821" s="5"/>
      <c r="DA821" s="5"/>
      <c r="DB821" s="5"/>
      <c r="DC821" s="5"/>
      <c r="DD821" s="5"/>
      <c r="DE821" s="5"/>
      <c r="DF821" s="5"/>
      <c r="DG821" s="5"/>
      <c r="DH821" s="5"/>
      <c r="DI821" s="5"/>
      <c r="DJ821" s="5"/>
      <c r="DK821" s="5"/>
      <c r="DL821" s="5"/>
      <c r="DM821" s="5"/>
      <c r="DN821" s="5"/>
      <c r="DO821" s="5"/>
      <c r="DP821" s="5"/>
      <c r="DQ821" s="5"/>
      <c r="DR821" s="5"/>
      <c r="DS821" s="5"/>
      <c r="DT821" s="5"/>
      <c r="DU821" s="5"/>
      <c r="DV821" s="5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5"/>
      <c r="CT822" s="5"/>
      <c r="CU822" s="5"/>
      <c r="CV822" s="5"/>
      <c r="CW822" s="5"/>
      <c r="CX822" s="5"/>
      <c r="CY822" s="5"/>
      <c r="CZ822" s="5"/>
      <c r="DA822" s="5"/>
      <c r="DB822" s="5"/>
      <c r="DC822" s="5"/>
      <c r="DD822" s="5"/>
      <c r="DE822" s="5"/>
      <c r="DF822" s="5"/>
      <c r="DG822" s="5"/>
      <c r="DH822" s="5"/>
      <c r="DI822" s="5"/>
      <c r="DJ822" s="5"/>
      <c r="DK822" s="5"/>
      <c r="DL822" s="5"/>
      <c r="DM822" s="5"/>
      <c r="DN822" s="5"/>
      <c r="DO822" s="5"/>
      <c r="DP822" s="5"/>
      <c r="DQ822" s="5"/>
      <c r="DR822" s="5"/>
      <c r="DS822" s="5"/>
      <c r="DT822" s="5"/>
      <c r="DU822" s="5"/>
      <c r="DV822" s="5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5"/>
      <c r="CT823" s="5"/>
      <c r="CU823" s="5"/>
      <c r="CV823" s="5"/>
      <c r="CW823" s="5"/>
      <c r="CX823" s="5"/>
      <c r="CY823" s="5"/>
      <c r="CZ823" s="5"/>
      <c r="DA823" s="5"/>
      <c r="DB823" s="5"/>
      <c r="DC823" s="5"/>
      <c r="DD823" s="5"/>
      <c r="DE823" s="5"/>
      <c r="DF823" s="5"/>
      <c r="DG823" s="5"/>
      <c r="DH823" s="5"/>
      <c r="DI823" s="5"/>
      <c r="DJ823" s="5"/>
      <c r="DK823" s="5"/>
      <c r="DL823" s="5"/>
      <c r="DM823" s="5"/>
      <c r="DN823" s="5"/>
      <c r="DO823" s="5"/>
      <c r="DP823" s="5"/>
      <c r="DQ823" s="5"/>
      <c r="DR823" s="5"/>
      <c r="DS823" s="5"/>
      <c r="DT823" s="5"/>
      <c r="DU823" s="5"/>
      <c r="DV823" s="5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5"/>
      <c r="CT824" s="5"/>
      <c r="CU824" s="5"/>
      <c r="CV824" s="5"/>
      <c r="CW824" s="5"/>
      <c r="CX824" s="5"/>
      <c r="CY824" s="5"/>
      <c r="CZ824" s="5"/>
      <c r="DA824" s="5"/>
      <c r="DB824" s="5"/>
      <c r="DC824" s="5"/>
      <c r="DD824" s="5"/>
      <c r="DE824" s="5"/>
      <c r="DF824" s="5"/>
      <c r="DG824" s="5"/>
      <c r="DH824" s="5"/>
      <c r="DI824" s="5"/>
      <c r="DJ824" s="5"/>
      <c r="DK824" s="5"/>
      <c r="DL824" s="5"/>
      <c r="DM824" s="5"/>
      <c r="DN824" s="5"/>
      <c r="DO824" s="5"/>
      <c r="DP824" s="5"/>
      <c r="DQ824" s="5"/>
      <c r="DR824" s="5"/>
      <c r="DS824" s="5"/>
      <c r="DT824" s="5"/>
      <c r="DU824" s="5"/>
      <c r="DV824" s="5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5"/>
      <c r="CT825" s="5"/>
      <c r="CU825" s="5"/>
      <c r="CV825" s="5"/>
      <c r="CW825" s="5"/>
      <c r="CX825" s="5"/>
      <c r="CY825" s="5"/>
      <c r="CZ825" s="5"/>
      <c r="DA825" s="5"/>
      <c r="DB825" s="5"/>
      <c r="DC825" s="5"/>
      <c r="DD825" s="5"/>
      <c r="DE825" s="5"/>
      <c r="DF825" s="5"/>
      <c r="DG825" s="5"/>
      <c r="DH825" s="5"/>
      <c r="DI825" s="5"/>
      <c r="DJ825" s="5"/>
      <c r="DK825" s="5"/>
      <c r="DL825" s="5"/>
      <c r="DM825" s="5"/>
      <c r="DN825" s="5"/>
      <c r="DO825" s="5"/>
      <c r="DP825" s="5"/>
      <c r="DQ825" s="5"/>
      <c r="DR825" s="5"/>
      <c r="DS825" s="5"/>
      <c r="DT825" s="5"/>
      <c r="DU825" s="5"/>
      <c r="DV825" s="5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5"/>
      <c r="CT826" s="5"/>
      <c r="CU826" s="5"/>
      <c r="CV826" s="5"/>
      <c r="CW826" s="5"/>
      <c r="CX826" s="5"/>
      <c r="CY826" s="5"/>
      <c r="CZ826" s="5"/>
      <c r="DA826" s="5"/>
      <c r="DB826" s="5"/>
      <c r="DC826" s="5"/>
      <c r="DD826" s="5"/>
      <c r="DE826" s="5"/>
      <c r="DF826" s="5"/>
      <c r="DG826" s="5"/>
      <c r="DH826" s="5"/>
      <c r="DI826" s="5"/>
      <c r="DJ826" s="5"/>
      <c r="DK826" s="5"/>
      <c r="DL826" s="5"/>
      <c r="DM826" s="5"/>
      <c r="DN826" s="5"/>
      <c r="DO826" s="5"/>
      <c r="DP826" s="5"/>
      <c r="DQ826" s="5"/>
      <c r="DR826" s="5"/>
      <c r="DS826" s="5"/>
      <c r="DT826" s="5"/>
      <c r="DU826" s="5"/>
      <c r="DV826" s="5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5"/>
      <c r="CT827" s="5"/>
      <c r="CU827" s="5"/>
      <c r="CV827" s="5"/>
      <c r="CW827" s="5"/>
      <c r="CX827" s="5"/>
      <c r="CY827" s="5"/>
      <c r="CZ827" s="5"/>
      <c r="DA827" s="5"/>
      <c r="DB827" s="5"/>
      <c r="DC827" s="5"/>
      <c r="DD827" s="5"/>
      <c r="DE827" s="5"/>
      <c r="DF827" s="5"/>
      <c r="DG827" s="5"/>
      <c r="DH827" s="5"/>
      <c r="DI827" s="5"/>
      <c r="DJ827" s="5"/>
      <c r="DK827" s="5"/>
      <c r="DL827" s="5"/>
      <c r="DM827" s="5"/>
      <c r="DN827" s="5"/>
      <c r="DO827" s="5"/>
      <c r="DP827" s="5"/>
      <c r="DQ827" s="5"/>
      <c r="DR827" s="5"/>
      <c r="DS827" s="5"/>
      <c r="DT827" s="5"/>
      <c r="DU827" s="5"/>
      <c r="DV827" s="5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5"/>
      <c r="CT828" s="5"/>
      <c r="CU828" s="5"/>
      <c r="CV828" s="5"/>
      <c r="CW828" s="5"/>
      <c r="CX828" s="5"/>
      <c r="CY828" s="5"/>
      <c r="CZ828" s="5"/>
      <c r="DA828" s="5"/>
      <c r="DB828" s="5"/>
      <c r="DC828" s="5"/>
      <c r="DD828" s="5"/>
      <c r="DE828" s="5"/>
      <c r="DF828" s="5"/>
      <c r="DG828" s="5"/>
      <c r="DH828" s="5"/>
      <c r="DI828" s="5"/>
      <c r="DJ828" s="5"/>
      <c r="DK828" s="5"/>
      <c r="DL828" s="5"/>
      <c r="DM828" s="5"/>
      <c r="DN828" s="5"/>
      <c r="DO828" s="5"/>
      <c r="DP828" s="5"/>
      <c r="DQ828" s="5"/>
      <c r="DR828" s="5"/>
      <c r="DS828" s="5"/>
      <c r="DT828" s="5"/>
      <c r="DU828" s="5"/>
      <c r="DV828" s="5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5"/>
      <c r="CT829" s="5"/>
      <c r="CU829" s="5"/>
      <c r="CV829" s="5"/>
      <c r="CW829" s="5"/>
      <c r="CX829" s="5"/>
      <c r="CY829" s="5"/>
      <c r="CZ829" s="5"/>
      <c r="DA829" s="5"/>
      <c r="DB829" s="5"/>
      <c r="DC829" s="5"/>
      <c r="DD829" s="5"/>
      <c r="DE829" s="5"/>
      <c r="DF829" s="5"/>
      <c r="DG829" s="5"/>
      <c r="DH829" s="5"/>
      <c r="DI829" s="5"/>
      <c r="DJ829" s="5"/>
      <c r="DK829" s="5"/>
      <c r="DL829" s="5"/>
      <c r="DM829" s="5"/>
      <c r="DN829" s="5"/>
      <c r="DO829" s="5"/>
      <c r="DP829" s="5"/>
      <c r="DQ829" s="5"/>
      <c r="DR829" s="5"/>
      <c r="DS829" s="5"/>
      <c r="DT829" s="5"/>
      <c r="DU829" s="5"/>
      <c r="DV829" s="5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5"/>
      <c r="CT830" s="5"/>
      <c r="CU830" s="5"/>
      <c r="CV830" s="5"/>
      <c r="CW830" s="5"/>
      <c r="CX830" s="5"/>
      <c r="CY830" s="5"/>
      <c r="CZ830" s="5"/>
      <c r="DA830" s="5"/>
      <c r="DB830" s="5"/>
      <c r="DC830" s="5"/>
      <c r="DD830" s="5"/>
      <c r="DE830" s="5"/>
      <c r="DF830" s="5"/>
      <c r="DG830" s="5"/>
      <c r="DH830" s="5"/>
      <c r="DI830" s="5"/>
      <c r="DJ830" s="5"/>
      <c r="DK830" s="5"/>
      <c r="DL830" s="5"/>
      <c r="DM830" s="5"/>
      <c r="DN830" s="5"/>
      <c r="DO830" s="5"/>
      <c r="DP830" s="5"/>
      <c r="DQ830" s="5"/>
      <c r="DR830" s="5"/>
      <c r="DS830" s="5"/>
      <c r="DT830" s="5"/>
      <c r="DU830" s="5"/>
      <c r="DV830" s="5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5"/>
      <c r="CT831" s="5"/>
      <c r="CU831" s="5"/>
      <c r="CV831" s="5"/>
      <c r="CW831" s="5"/>
      <c r="CX831" s="5"/>
      <c r="CY831" s="5"/>
      <c r="CZ831" s="5"/>
      <c r="DA831" s="5"/>
      <c r="DB831" s="5"/>
      <c r="DC831" s="5"/>
      <c r="DD831" s="5"/>
      <c r="DE831" s="5"/>
      <c r="DF831" s="5"/>
      <c r="DG831" s="5"/>
      <c r="DH831" s="5"/>
      <c r="DI831" s="5"/>
      <c r="DJ831" s="5"/>
      <c r="DK831" s="5"/>
      <c r="DL831" s="5"/>
      <c r="DM831" s="5"/>
      <c r="DN831" s="5"/>
      <c r="DO831" s="5"/>
      <c r="DP831" s="5"/>
      <c r="DQ831" s="5"/>
      <c r="DR831" s="5"/>
      <c r="DS831" s="5"/>
      <c r="DT831" s="5"/>
      <c r="DU831" s="5"/>
      <c r="DV831" s="5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5"/>
      <c r="CT832" s="5"/>
      <c r="CU832" s="5"/>
      <c r="CV832" s="5"/>
      <c r="CW832" s="5"/>
      <c r="CX832" s="5"/>
      <c r="CY832" s="5"/>
      <c r="CZ832" s="5"/>
      <c r="DA832" s="5"/>
      <c r="DB832" s="5"/>
      <c r="DC832" s="5"/>
      <c r="DD832" s="5"/>
      <c r="DE832" s="5"/>
      <c r="DF832" s="5"/>
      <c r="DG832" s="5"/>
      <c r="DH832" s="5"/>
      <c r="DI832" s="5"/>
      <c r="DJ832" s="5"/>
      <c r="DK832" s="5"/>
      <c r="DL832" s="5"/>
      <c r="DM832" s="5"/>
      <c r="DN832" s="5"/>
      <c r="DO832" s="5"/>
      <c r="DP832" s="5"/>
      <c r="DQ832" s="5"/>
      <c r="DR832" s="5"/>
      <c r="DS832" s="5"/>
      <c r="DT832" s="5"/>
      <c r="DU832" s="5"/>
      <c r="DV832" s="5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5"/>
      <c r="CT833" s="5"/>
      <c r="CU833" s="5"/>
      <c r="CV833" s="5"/>
      <c r="CW833" s="5"/>
      <c r="CX833" s="5"/>
      <c r="CY833" s="5"/>
      <c r="CZ833" s="5"/>
      <c r="DA833" s="5"/>
      <c r="DB833" s="5"/>
      <c r="DC833" s="5"/>
      <c r="DD833" s="5"/>
      <c r="DE833" s="5"/>
      <c r="DF833" s="5"/>
      <c r="DG833" s="5"/>
      <c r="DH833" s="5"/>
      <c r="DI833" s="5"/>
      <c r="DJ833" s="5"/>
      <c r="DK833" s="5"/>
      <c r="DL833" s="5"/>
      <c r="DM833" s="5"/>
      <c r="DN833" s="5"/>
      <c r="DO833" s="5"/>
      <c r="DP833" s="5"/>
      <c r="DQ833" s="5"/>
      <c r="DR833" s="5"/>
      <c r="DS833" s="5"/>
      <c r="DT833" s="5"/>
      <c r="DU833" s="5"/>
      <c r="DV833" s="5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5"/>
      <c r="CT834" s="5"/>
      <c r="CU834" s="5"/>
      <c r="CV834" s="5"/>
      <c r="CW834" s="5"/>
      <c r="CX834" s="5"/>
      <c r="CY834" s="5"/>
      <c r="CZ834" s="5"/>
      <c r="DA834" s="5"/>
      <c r="DB834" s="5"/>
      <c r="DC834" s="5"/>
      <c r="DD834" s="5"/>
      <c r="DE834" s="5"/>
      <c r="DF834" s="5"/>
      <c r="DG834" s="5"/>
      <c r="DH834" s="5"/>
      <c r="DI834" s="5"/>
      <c r="DJ834" s="5"/>
      <c r="DK834" s="5"/>
      <c r="DL834" s="5"/>
      <c r="DM834" s="5"/>
      <c r="DN834" s="5"/>
      <c r="DO834" s="5"/>
      <c r="DP834" s="5"/>
      <c r="DQ834" s="5"/>
      <c r="DR834" s="5"/>
      <c r="DS834" s="5"/>
      <c r="DT834" s="5"/>
      <c r="DU834" s="5"/>
      <c r="DV834" s="5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5"/>
      <c r="CT835" s="5"/>
      <c r="CU835" s="5"/>
      <c r="CV835" s="5"/>
      <c r="CW835" s="5"/>
      <c r="CX835" s="5"/>
      <c r="CY835" s="5"/>
      <c r="CZ835" s="5"/>
      <c r="DA835" s="5"/>
      <c r="DB835" s="5"/>
      <c r="DC835" s="5"/>
      <c r="DD835" s="5"/>
      <c r="DE835" s="5"/>
      <c r="DF835" s="5"/>
      <c r="DG835" s="5"/>
      <c r="DH835" s="5"/>
      <c r="DI835" s="5"/>
      <c r="DJ835" s="5"/>
      <c r="DK835" s="5"/>
      <c r="DL835" s="5"/>
      <c r="DM835" s="5"/>
      <c r="DN835" s="5"/>
      <c r="DO835" s="5"/>
      <c r="DP835" s="5"/>
      <c r="DQ835" s="5"/>
      <c r="DR835" s="5"/>
      <c r="DS835" s="5"/>
      <c r="DT835" s="5"/>
      <c r="DU835" s="5"/>
      <c r="DV835" s="5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5"/>
      <c r="CT836" s="5"/>
      <c r="CU836" s="5"/>
      <c r="CV836" s="5"/>
      <c r="CW836" s="5"/>
      <c r="CX836" s="5"/>
      <c r="CY836" s="5"/>
      <c r="CZ836" s="5"/>
      <c r="DA836" s="5"/>
      <c r="DB836" s="5"/>
      <c r="DC836" s="5"/>
      <c r="DD836" s="5"/>
      <c r="DE836" s="5"/>
      <c r="DF836" s="5"/>
      <c r="DG836" s="5"/>
      <c r="DH836" s="5"/>
      <c r="DI836" s="5"/>
      <c r="DJ836" s="5"/>
      <c r="DK836" s="5"/>
      <c r="DL836" s="5"/>
      <c r="DM836" s="5"/>
      <c r="DN836" s="5"/>
      <c r="DO836" s="5"/>
      <c r="DP836" s="5"/>
      <c r="DQ836" s="5"/>
      <c r="DR836" s="5"/>
      <c r="DS836" s="5"/>
      <c r="DT836" s="5"/>
      <c r="DU836" s="5"/>
      <c r="DV836" s="5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5"/>
      <c r="CT837" s="5"/>
      <c r="CU837" s="5"/>
      <c r="CV837" s="5"/>
      <c r="CW837" s="5"/>
      <c r="CX837" s="5"/>
      <c r="CY837" s="5"/>
      <c r="CZ837" s="5"/>
      <c r="DA837" s="5"/>
      <c r="DB837" s="5"/>
      <c r="DC837" s="5"/>
      <c r="DD837" s="5"/>
      <c r="DE837" s="5"/>
      <c r="DF837" s="5"/>
      <c r="DG837" s="5"/>
      <c r="DH837" s="5"/>
      <c r="DI837" s="5"/>
      <c r="DJ837" s="5"/>
      <c r="DK837" s="5"/>
      <c r="DL837" s="5"/>
      <c r="DM837" s="5"/>
      <c r="DN837" s="5"/>
      <c r="DO837" s="5"/>
      <c r="DP837" s="5"/>
      <c r="DQ837" s="5"/>
      <c r="DR837" s="5"/>
      <c r="DS837" s="5"/>
      <c r="DT837" s="5"/>
      <c r="DU837" s="5"/>
      <c r="DV837" s="5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5"/>
      <c r="CT838" s="5"/>
      <c r="CU838" s="5"/>
      <c r="CV838" s="5"/>
      <c r="CW838" s="5"/>
      <c r="CX838" s="5"/>
      <c r="CY838" s="5"/>
      <c r="CZ838" s="5"/>
      <c r="DA838" s="5"/>
      <c r="DB838" s="5"/>
      <c r="DC838" s="5"/>
      <c r="DD838" s="5"/>
      <c r="DE838" s="5"/>
      <c r="DF838" s="5"/>
      <c r="DG838" s="5"/>
      <c r="DH838" s="5"/>
      <c r="DI838" s="5"/>
      <c r="DJ838" s="5"/>
      <c r="DK838" s="5"/>
      <c r="DL838" s="5"/>
      <c r="DM838" s="5"/>
      <c r="DN838" s="5"/>
      <c r="DO838" s="5"/>
      <c r="DP838" s="5"/>
      <c r="DQ838" s="5"/>
      <c r="DR838" s="5"/>
      <c r="DS838" s="5"/>
      <c r="DT838" s="5"/>
      <c r="DU838" s="5"/>
      <c r="DV838" s="5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5"/>
      <c r="CT839" s="5"/>
      <c r="CU839" s="5"/>
      <c r="CV839" s="5"/>
      <c r="CW839" s="5"/>
      <c r="CX839" s="5"/>
      <c r="CY839" s="5"/>
      <c r="CZ839" s="5"/>
      <c r="DA839" s="5"/>
      <c r="DB839" s="5"/>
      <c r="DC839" s="5"/>
      <c r="DD839" s="5"/>
      <c r="DE839" s="5"/>
      <c r="DF839" s="5"/>
      <c r="DG839" s="5"/>
      <c r="DH839" s="5"/>
      <c r="DI839" s="5"/>
      <c r="DJ839" s="5"/>
      <c r="DK839" s="5"/>
      <c r="DL839" s="5"/>
      <c r="DM839" s="5"/>
      <c r="DN839" s="5"/>
      <c r="DO839" s="5"/>
      <c r="DP839" s="5"/>
      <c r="DQ839" s="5"/>
      <c r="DR839" s="5"/>
      <c r="DS839" s="5"/>
      <c r="DT839" s="5"/>
      <c r="DU839" s="5"/>
      <c r="DV839" s="5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5"/>
      <c r="CT840" s="5"/>
      <c r="CU840" s="5"/>
      <c r="CV840" s="5"/>
      <c r="CW840" s="5"/>
      <c r="CX840" s="5"/>
      <c r="CY840" s="5"/>
      <c r="CZ840" s="5"/>
      <c r="DA840" s="5"/>
      <c r="DB840" s="5"/>
      <c r="DC840" s="5"/>
      <c r="DD840" s="5"/>
      <c r="DE840" s="5"/>
      <c r="DF840" s="5"/>
      <c r="DG840" s="5"/>
      <c r="DH840" s="5"/>
      <c r="DI840" s="5"/>
      <c r="DJ840" s="5"/>
      <c r="DK840" s="5"/>
      <c r="DL840" s="5"/>
      <c r="DM840" s="5"/>
      <c r="DN840" s="5"/>
      <c r="DO840" s="5"/>
      <c r="DP840" s="5"/>
      <c r="DQ840" s="5"/>
      <c r="DR840" s="5"/>
      <c r="DS840" s="5"/>
      <c r="DT840" s="5"/>
      <c r="DU840" s="5"/>
      <c r="DV840" s="5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5"/>
      <c r="CT841" s="5"/>
      <c r="CU841" s="5"/>
      <c r="CV841" s="5"/>
      <c r="CW841" s="5"/>
      <c r="CX841" s="5"/>
      <c r="CY841" s="5"/>
      <c r="CZ841" s="5"/>
      <c r="DA841" s="5"/>
      <c r="DB841" s="5"/>
      <c r="DC841" s="5"/>
      <c r="DD841" s="5"/>
      <c r="DE841" s="5"/>
      <c r="DF841" s="5"/>
      <c r="DG841" s="5"/>
      <c r="DH841" s="5"/>
      <c r="DI841" s="5"/>
      <c r="DJ841" s="5"/>
      <c r="DK841" s="5"/>
      <c r="DL841" s="5"/>
      <c r="DM841" s="5"/>
      <c r="DN841" s="5"/>
      <c r="DO841" s="5"/>
      <c r="DP841" s="5"/>
      <c r="DQ841" s="5"/>
      <c r="DR841" s="5"/>
      <c r="DS841" s="5"/>
      <c r="DT841" s="5"/>
      <c r="DU841" s="5"/>
      <c r="DV841" s="5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5"/>
      <c r="CT842" s="5"/>
      <c r="CU842" s="5"/>
      <c r="CV842" s="5"/>
      <c r="CW842" s="5"/>
      <c r="CX842" s="5"/>
      <c r="CY842" s="5"/>
      <c r="CZ842" s="5"/>
      <c r="DA842" s="5"/>
      <c r="DB842" s="5"/>
      <c r="DC842" s="5"/>
      <c r="DD842" s="5"/>
      <c r="DE842" s="5"/>
      <c r="DF842" s="5"/>
      <c r="DG842" s="5"/>
      <c r="DH842" s="5"/>
      <c r="DI842" s="5"/>
      <c r="DJ842" s="5"/>
      <c r="DK842" s="5"/>
      <c r="DL842" s="5"/>
      <c r="DM842" s="5"/>
      <c r="DN842" s="5"/>
      <c r="DO842" s="5"/>
      <c r="DP842" s="5"/>
      <c r="DQ842" s="5"/>
      <c r="DR842" s="5"/>
      <c r="DS842" s="5"/>
      <c r="DT842" s="5"/>
      <c r="DU842" s="5"/>
      <c r="DV842" s="5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5"/>
      <c r="CT843" s="5"/>
      <c r="CU843" s="5"/>
      <c r="CV843" s="5"/>
      <c r="CW843" s="5"/>
      <c r="CX843" s="5"/>
      <c r="CY843" s="5"/>
      <c r="CZ843" s="5"/>
      <c r="DA843" s="5"/>
      <c r="DB843" s="5"/>
      <c r="DC843" s="5"/>
      <c r="DD843" s="5"/>
      <c r="DE843" s="5"/>
      <c r="DF843" s="5"/>
      <c r="DG843" s="5"/>
      <c r="DH843" s="5"/>
      <c r="DI843" s="5"/>
      <c r="DJ843" s="5"/>
      <c r="DK843" s="5"/>
      <c r="DL843" s="5"/>
      <c r="DM843" s="5"/>
      <c r="DN843" s="5"/>
      <c r="DO843" s="5"/>
      <c r="DP843" s="5"/>
      <c r="DQ843" s="5"/>
      <c r="DR843" s="5"/>
      <c r="DS843" s="5"/>
      <c r="DT843" s="5"/>
      <c r="DU843" s="5"/>
      <c r="DV843" s="5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5"/>
      <c r="CT844" s="5"/>
      <c r="CU844" s="5"/>
      <c r="CV844" s="5"/>
      <c r="CW844" s="5"/>
      <c r="CX844" s="5"/>
      <c r="CY844" s="5"/>
      <c r="CZ844" s="5"/>
      <c r="DA844" s="5"/>
      <c r="DB844" s="5"/>
      <c r="DC844" s="5"/>
      <c r="DD844" s="5"/>
      <c r="DE844" s="5"/>
      <c r="DF844" s="5"/>
      <c r="DG844" s="5"/>
      <c r="DH844" s="5"/>
      <c r="DI844" s="5"/>
      <c r="DJ844" s="5"/>
      <c r="DK844" s="5"/>
      <c r="DL844" s="5"/>
      <c r="DM844" s="5"/>
      <c r="DN844" s="5"/>
      <c r="DO844" s="5"/>
      <c r="DP844" s="5"/>
      <c r="DQ844" s="5"/>
      <c r="DR844" s="5"/>
      <c r="DS844" s="5"/>
      <c r="DT844" s="5"/>
      <c r="DU844" s="5"/>
      <c r="DV844" s="5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5"/>
      <c r="CT845" s="5"/>
      <c r="CU845" s="5"/>
      <c r="CV845" s="5"/>
      <c r="CW845" s="5"/>
      <c r="CX845" s="5"/>
      <c r="CY845" s="5"/>
      <c r="CZ845" s="5"/>
      <c r="DA845" s="5"/>
      <c r="DB845" s="5"/>
      <c r="DC845" s="5"/>
      <c r="DD845" s="5"/>
      <c r="DE845" s="5"/>
      <c r="DF845" s="5"/>
      <c r="DG845" s="5"/>
      <c r="DH845" s="5"/>
      <c r="DI845" s="5"/>
      <c r="DJ845" s="5"/>
      <c r="DK845" s="5"/>
      <c r="DL845" s="5"/>
      <c r="DM845" s="5"/>
      <c r="DN845" s="5"/>
      <c r="DO845" s="5"/>
      <c r="DP845" s="5"/>
      <c r="DQ845" s="5"/>
      <c r="DR845" s="5"/>
      <c r="DS845" s="5"/>
      <c r="DT845" s="5"/>
      <c r="DU845" s="5"/>
      <c r="DV845" s="5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5"/>
      <c r="CT846" s="5"/>
      <c r="CU846" s="5"/>
      <c r="CV846" s="5"/>
      <c r="CW846" s="5"/>
      <c r="CX846" s="5"/>
      <c r="CY846" s="5"/>
      <c r="CZ846" s="5"/>
      <c r="DA846" s="5"/>
      <c r="DB846" s="5"/>
      <c r="DC846" s="5"/>
      <c r="DD846" s="5"/>
      <c r="DE846" s="5"/>
      <c r="DF846" s="5"/>
      <c r="DG846" s="5"/>
      <c r="DH846" s="5"/>
      <c r="DI846" s="5"/>
      <c r="DJ846" s="5"/>
      <c r="DK846" s="5"/>
      <c r="DL846" s="5"/>
      <c r="DM846" s="5"/>
      <c r="DN846" s="5"/>
      <c r="DO846" s="5"/>
      <c r="DP846" s="5"/>
      <c r="DQ846" s="5"/>
      <c r="DR846" s="5"/>
      <c r="DS846" s="5"/>
      <c r="DT846" s="5"/>
      <c r="DU846" s="5"/>
      <c r="DV846" s="5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5"/>
      <c r="CT847" s="5"/>
      <c r="CU847" s="5"/>
      <c r="CV847" s="5"/>
      <c r="CW847" s="5"/>
      <c r="CX847" s="5"/>
      <c r="CY847" s="5"/>
      <c r="CZ847" s="5"/>
      <c r="DA847" s="5"/>
      <c r="DB847" s="5"/>
      <c r="DC847" s="5"/>
      <c r="DD847" s="5"/>
      <c r="DE847" s="5"/>
      <c r="DF847" s="5"/>
      <c r="DG847" s="5"/>
      <c r="DH847" s="5"/>
      <c r="DI847" s="5"/>
      <c r="DJ847" s="5"/>
      <c r="DK847" s="5"/>
      <c r="DL847" s="5"/>
      <c r="DM847" s="5"/>
      <c r="DN847" s="5"/>
      <c r="DO847" s="5"/>
      <c r="DP847" s="5"/>
      <c r="DQ847" s="5"/>
      <c r="DR847" s="5"/>
      <c r="DS847" s="5"/>
      <c r="DT847" s="5"/>
      <c r="DU847" s="5"/>
      <c r="DV847" s="5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5"/>
      <c r="CT848" s="5"/>
      <c r="CU848" s="5"/>
      <c r="CV848" s="5"/>
      <c r="CW848" s="5"/>
      <c r="CX848" s="5"/>
      <c r="CY848" s="5"/>
      <c r="CZ848" s="5"/>
      <c r="DA848" s="5"/>
      <c r="DB848" s="5"/>
      <c r="DC848" s="5"/>
      <c r="DD848" s="5"/>
      <c r="DE848" s="5"/>
      <c r="DF848" s="5"/>
      <c r="DG848" s="5"/>
      <c r="DH848" s="5"/>
      <c r="DI848" s="5"/>
      <c r="DJ848" s="5"/>
      <c r="DK848" s="5"/>
      <c r="DL848" s="5"/>
      <c r="DM848" s="5"/>
      <c r="DN848" s="5"/>
      <c r="DO848" s="5"/>
      <c r="DP848" s="5"/>
      <c r="DQ848" s="5"/>
      <c r="DR848" s="5"/>
      <c r="DS848" s="5"/>
      <c r="DT848" s="5"/>
      <c r="DU848" s="5"/>
      <c r="DV848" s="5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5"/>
      <c r="CT849" s="5"/>
      <c r="CU849" s="5"/>
      <c r="CV849" s="5"/>
      <c r="CW849" s="5"/>
      <c r="CX849" s="5"/>
      <c r="CY849" s="5"/>
      <c r="CZ849" s="5"/>
      <c r="DA849" s="5"/>
      <c r="DB849" s="5"/>
      <c r="DC849" s="5"/>
      <c r="DD849" s="5"/>
      <c r="DE849" s="5"/>
      <c r="DF849" s="5"/>
      <c r="DG849" s="5"/>
      <c r="DH849" s="5"/>
      <c r="DI849" s="5"/>
      <c r="DJ849" s="5"/>
      <c r="DK849" s="5"/>
      <c r="DL849" s="5"/>
      <c r="DM849" s="5"/>
      <c r="DN849" s="5"/>
      <c r="DO849" s="5"/>
      <c r="DP849" s="5"/>
      <c r="DQ849" s="5"/>
      <c r="DR849" s="5"/>
      <c r="DS849" s="5"/>
      <c r="DT849" s="5"/>
      <c r="DU849" s="5"/>
      <c r="DV849" s="5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5"/>
      <c r="CT850" s="5"/>
      <c r="CU850" s="5"/>
      <c r="CV850" s="5"/>
      <c r="CW850" s="5"/>
      <c r="CX850" s="5"/>
      <c r="CY850" s="5"/>
      <c r="CZ850" s="5"/>
      <c r="DA850" s="5"/>
      <c r="DB850" s="5"/>
      <c r="DC850" s="5"/>
      <c r="DD850" s="5"/>
      <c r="DE850" s="5"/>
      <c r="DF850" s="5"/>
      <c r="DG850" s="5"/>
      <c r="DH850" s="5"/>
      <c r="DI850" s="5"/>
      <c r="DJ850" s="5"/>
      <c r="DK850" s="5"/>
      <c r="DL850" s="5"/>
      <c r="DM850" s="5"/>
      <c r="DN850" s="5"/>
      <c r="DO850" s="5"/>
      <c r="DP850" s="5"/>
      <c r="DQ850" s="5"/>
      <c r="DR850" s="5"/>
      <c r="DS850" s="5"/>
      <c r="DT850" s="5"/>
      <c r="DU850" s="5"/>
      <c r="DV850" s="5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5"/>
      <c r="CT851" s="5"/>
      <c r="CU851" s="5"/>
      <c r="CV851" s="5"/>
      <c r="CW851" s="5"/>
      <c r="CX851" s="5"/>
      <c r="CY851" s="5"/>
      <c r="CZ851" s="5"/>
      <c r="DA851" s="5"/>
      <c r="DB851" s="5"/>
      <c r="DC851" s="5"/>
      <c r="DD851" s="5"/>
      <c r="DE851" s="5"/>
      <c r="DF851" s="5"/>
      <c r="DG851" s="5"/>
      <c r="DH851" s="5"/>
      <c r="DI851" s="5"/>
      <c r="DJ851" s="5"/>
      <c r="DK851" s="5"/>
      <c r="DL851" s="5"/>
      <c r="DM851" s="5"/>
      <c r="DN851" s="5"/>
      <c r="DO851" s="5"/>
      <c r="DP851" s="5"/>
      <c r="DQ851" s="5"/>
      <c r="DR851" s="5"/>
      <c r="DS851" s="5"/>
      <c r="DT851" s="5"/>
      <c r="DU851" s="5"/>
      <c r="DV851" s="5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5"/>
      <c r="CT852" s="5"/>
      <c r="CU852" s="5"/>
      <c r="CV852" s="5"/>
      <c r="CW852" s="5"/>
      <c r="CX852" s="5"/>
      <c r="CY852" s="5"/>
      <c r="CZ852" s="5"/>
      <c r="DA852" s="5"/>
      <c r="DB852" s="5"/>
      <c r="DC852" s="5"/>
      <c r="DD852" s="5"/>
      <c r="DE852" s="5"/>
      <c r="DF852" s="5"/>
      <c r="DG852" s="5"/>
      <c r="DH852" s="5"/>
      <c r="DI852" s="5"/>
      <c r="DJ852" s="5"/>
      <c r="DK852" s="5"/>
      <c r="DL852" s="5"/>
      <c r="DM852" s="5"/>
      <c r="DN852" s="5"/>
      <c r="DO852" s="5"/>
      <c r="DP852" s="5"/>
      <c r="DQ852" s="5"/>
      <c r="DR852" s="5"/>
      <c r="DS852" s="5"/>
      <c r="DT852" s="5"/>
      <c r="DU852" s="5"/>
      <c r="DV852" s="5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5"/>
      <c r="CT853" s="5"/>
      <c r="CU853" s="5"/>
      <c r="CV853" s="5"/>
      <c r="CW853" s="5"/>
      <c r="CX853" s="5"/>
      <c r="CY853" s="5"/>
      <c r="CZ853" s="5"/>
      <c r="DA853" s="5"/>
      <c r="DB853" s="5"/>
      <c r="DC853" s="5"/>
      <c r="DD853" s="5"/>
      <c r="DE853" s="5"/>
      <c r="DF853" s="5"/>
      <c r="DG853" s="5"/>
      <c r="DH853" s="5"/>
      <c r="DI853" s="5"/>
      <c r="DJ853" s="5"/>
      <c r="DK853" s="5"/>
      <c r="DL853" s="5"/>
      <c r="DM853" s="5"/>
      <c r="DN853" s="5"/>
      <c r="DO853" s="5"/>
      <c r="DP853" s="5"/>
      <c r="DQ853" s="5"/>
      <c r="DR853" s="5"/>
      <c r="DS853" s="5"/>
      <c r="DT853" s="5"/>
      <c r="DU853" s="5"/>
      <c r="DV853" s="5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5"/>
      <c r="CT854" s="5"/>
      <c r="CU854" s="5"/>
      <c r="CV854" s="5"/>
      <c r="CW854" s="5"/>
      <c r="CX854" s="5"/>
      <c r="CY854" s="5"/>
      <c r="CZ854" s="5"/>
      <c r="DA854" s="5"/>
      <c r="DB854" s="5"/>
      <c r="DC854" s="5"/>
      <c r="DD854" s="5"/>
      <c r="DE854" s="5"/>
      <c r="DF854" s="5"/>
      <c r="DG854" s="5"/>
      <c r="DH854" s="5"/>
      <c r="DI854" s="5"/>
      <c r="DJ854" s="5"/>
      <c r="DK854" s="5"/>
      <c r="DL854" s="5"/>
      <c r="DM854" s="5"/>
      <c r="DN854" s="5"/>
      <c r="DO854" s="5"/>
      <c r="DP854" s="5"/>
      <c r="DQ854" s="5"/>
      <c r="DR854" s="5"/>
      <c r="DS854" s="5"/>
      <c r="DT854" s="5"/>
      <c r="DU854" s="5"/>
      <c r="DV854" s="5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5"/>
      <c r="CT855" s="5"/>
      <c r="CU855" s="5"/>
      <c r="CV855" s="5"/>
      <c r="CW855" s="5"/>
      <c r="CX855" s="5"/>
      <c r="CY855" s="5"/>
      <c r="CZ855" s="5"/>
      <c r="DA855" s="5"/>
      <c r="DB855" s="5"/>
      <c r="DC855" s="5"/>
      <c r="DD855" s="5"/>
      <c r="DE855" s="5"/>
      <c r="DF855" s="5"/>
      <c r="DG855" s="5"/>
      <c r="DH855" s="5"/>
      <c r="DI855" s="5"/>
      <c r="DJ855" s="5"/>
      <c r="DK855" s="5"/>
      <c r="DL855" s="5"/>
      <c r="DM855" s="5"/>
      <c r="DN855" s="5"/>
      <c r="DO855" s="5"/>
      <c r="DP855" s="5"/>
      <c r="DQ855" s="5"/>
      <c r="DR855" s="5"/>
      <c r="DS855" s="5"/>
      <c r="DT855" s="5"/>
      <c r="DU855" s="5"/>
      <c r="DV855" s="5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5"/>
      <c r="CT856" s="5"/>
      <c r="CU856" s="5"/>
      <c r="CV856" s="5"/>
      <c r="CW856" s="5"/>
      <c r="CX856" s="5"/>
      <c r="CY856" s="5"/>
      <c r="CZ856" s="5"/>
      <c r="DA856" s="5"/>
      <c r="DB856" s="5"/>
      <c r="DC856" s="5"/>
      <c r="DD856" s="5"/>
      <c r="DE856" s="5"/>
      <c r="DF856" s="5"/>
      <c r="DG856" s="5"/>
      <c r="DH856" s="5"/>
      <c r="DI856" s="5"/>
      <c r="DJ856" s="5"/>
      <c r="DK856" s="5"/>
      <c r="DL856" s="5"/>
      <c r="DM856" s="5"/>
      <c r="DN856" s="5"/>
      <c r="DO856" s="5"/>
      <c r="DP856" s="5"/>
      <c r="DQ856" s="5"/>
      <c r="DR856" s="5"/>
      <c r="DS856" s="5"/>
      <c r="DT856" s="5"/>
      <c r="DU856" s="5"/>
      <c r="DV856" s="5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5"/>
      <c r="CT857" s="5"/>
      <c r="CU857" s="5"/>
      <c r="CV857" s="5"/>
      <c r="CW857" s="5"/>
      <c r="CX857" s="5"/>
      <c r="CY857" s="5"/>
      <c r="CZ857" s="5"/>
      <c r="DA857" s="5"/>
      <c r="DB857" s="5"/>
      <c r="DC857" s="5"/>
      <c r="DD857" s="5"/>
      <c r="DE857" s="5"/>
      <c r="DF857" s="5"/>
      <c r="DG857" s="5"/>
      <c r="DH857" s="5"/>
      <c r="DI857" s="5"/>
      <c r="DJ857" s="5"/>
      <c r="DK857" s="5"/>
      <c r="DL857" s="5"/>
      <c r="DM857" s="5"/>
      <c r="DN857" s="5"/>
      <c r="DO857" s="5"/>
      <c r="DP857" s="5"/>
      <c r="DQ857" s="5"/>
      <c r="DR857" s="5"/>
      <c r="DS857" s="5"/>
      <c r="DT857" s="5"/>
      <c r="DU857" s="5"/>
      <c r="DV857" s="5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5"/>
      <c r="CT858" s="5"/>
      <c r="CU858" s="5"/>
      <c r="CV858" s="5"/>
      <c r="CW858" s="5"/>
      <c r="CX858" s="5"/>
      <c r="CY858" s="5"/>
      <c r="CZ858" s="5"/>
      <c r="DA858" s="5"/>
      <c r="DB858" s="5"/>
      <c r="DC858" s="5"/>
      <c r="DD858" s="5"/>
      <c r="DE858" s="5"/>
      <c r="DF858" s="5"/>
      <c r="DG858" s="5"/>
      <c r="DH858" s="5"/>
      <c r="DI858" s="5"/>
      <c r="DJ858" s="5"/>
      <c r="DK858" s="5"/>
      <c r="DL858" s="5"/>
      <c r="DM858" s="5"/>
      <c r="DN858" s="5"/>
      <c r="DO858" s="5"/>
      <c r="DP858" s="5"/>
      <c r="DQ858" s="5"/>
      <c r="DR858" s="5"/>
      <c r="DS858" s="5"/>
      <c r="DT858" s="5"/>
      <c r="DU858" s="5"/>
      <c r="DV858" s="5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5"/>
      <c r="CT859" s="5"/>
      <c r="CU859" s="5"/>
      <c r="CV859" s="5"/>
      <c r="CW859" s="5"/>
      <c r="CX859" s="5"/>
      <c r="CY859" s="5"/>
      <c r="CZ859" s="5"/>
      <c r="DA859" s="5"/>
      <c r="DB859" s="5"/>
      <c r="DC859" s="5"/>
      <c r="DD859" s="5"/>
      <c r="DE859" s="5"/>
      <c r="DF859" s="5"/>
      <c r="DG859" s="5"/>
      <c r="DH859" s="5"/>
      <c r="DI859" s="5"/>
      <c r="DJ859" s="5"/>
      <c r="DK859" s="5"/>
      <c r="DL859" s="5"/>
      <c r="DM859" s="5"/>
      <c r="DN859" s="5"/>
      <c r="DO859" s="5"/>
      <c r="DP859" s="5"/>
      <c r="DQ859" s="5"/>
      <c r="DR859" s="5"/>
      <c r="DS859" s="5"/>
      <c r="DT859" s="5"/>
      <c r="DU859" s="5"/>
      <c r="DV859" s="5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5"/>
      <c r="CT860" s="5"/>
      <c r="CU860" s="5"/>
      <c r="CV860" s="5"/>
      <c r="CW860" s="5"/>
      <c r="CX860" s="5"/>
      <c r="CY860" s="5"/>
      <c r="CZ860" s="5"/>
      <c r="DA860" s="5"/>
      <c r="DB860" s="5"/>
      <c r="DC860" s="5"/>
      <c r="DD860" s="5"/>
      <c r="DE860" s="5"/>
      <c r="DF860" s="5"/>
      <c r="DG860" s="5"/>
      <c r="DH860" s="5"/>
      <c r="DI860" s="5"/>
      <c r="DJ860" s="5"/>
      <c r="DK860" s="5"/>
      <c r="DL860" s="5"/>
      <c r="DM860" s="5"/>
      <c r="DN860" s="5"/>
      <c r="DO860" s="5"/>
      <c r="DP860" s="5"/>
      <c r="DQ860" s="5"/>
      <c r="DR860" s="5"/>
      <c r="DS860" s="5"/>
      <c r="DT860" s="5"/>
      <c r="DU860" s="5"/>
      <c r="DV860" s="5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5"/>
      <c r="CT861" s="5"/>
      <c r="CU861" s="5"/>
      <c r="CV861" s="5"/>
      <c r="CW861" s="5"/>
      <c r="CX861" s="5"/>
      <c r="CY861" s="5"/>
      <c r="CZ861" s="5"/>
      <c r="DA861" s="5"/>
      <c r="DB861" s="5"/>
      <c r="DC861" s="5"/>
      <c r="DD861" s="5"/>
      <c r="DE861" s="5"/>
      <c r="DF861" s="5"/>
      <c r="DG861" s="5"/>
      <c r="DH861" s="5"/>
      <c r="DI861" s="5"/>
      <c r="DJ861" s="5"/>
      <c r="DK861" s="5"/>
      <c r="DL861" s="5"/>
      <c r="DM861" s="5"/>
      <c r="DN861" s="5"/>
      <c r="DO861" s="5"/>
      <c r="DP861" s="5"/>
      <c r="DQ861" s="5"/>
      <c r="DR861" s="5"/>
      <c r="DS861" s="5"/>
      <c r="DT861" s="5"/>
      <c r="DU861" s="5"/>
      <c r="DV861" s="5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5"/>
      <c r="CT862" s="5"/>
      <c r="CU862" s="5"/>
      <c r="CV862" s="5"/>
      <c r="CW862" s="5"/>
      <c r="CX862" s="5"/>
      <c r="CY862" s="5"/>
      <c r="CZ862" s="5"/>
      <c r="DA862" s="5"/>
      <c r="DB862" s="5"/>
      <c r="DC862" s="5"/>
      <c r="DD862" s="5"/>
      <c r="DE862" s="5"/>
      <c r="DF862" s="5"/>
      <c r="DG862" s="5"/>
      <c r="DH862" s="5"/>
      <c r="DI862" s="5"/>
      <c r="DJ862" s="5"/>
      <c r="DK862" s="5"/>
      <c r="DL862" s="5"/>
      <c r="DM862" s="5"/>
      <c r="DN862" s="5"/>
      <c r="DO862" s="5"/>
      <c r="DP862" s="5"/>
      <c r="DQ862" s="5"/>
      <c r="DR862" s="5"/>
      <c r="DS862" s="5"/>
      <c r="DT862" s="5"/>
      <c r="DU862" s="5"/>
      <c r="DV862" s="5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5"/>
      <c r="CT863" s="5"/>
      <c r="CU863" s="5"/>
      <c r="CV863" s="5"/>
      <c r="CW863" s="5"/>
      <c r="CX863" s="5"/>
      <c r="CY863" s="5"/>
      <c r="CZ863" s="5"/>
      <c r="DA863" s="5"/>
      <c r="DB863" s="5"/>
      <c r="DC863" s="5"/>
      <c r="DD863" s="5"/>
      <c r="DE863" s="5"/>
      <c r="DF863" s="5"/>
      <c r="DG863" s="5"/>
      <c r="DH863" s="5"/>
      <c r="DI863" s="5"/>
      <c r="DJ863" s="5"/>
      <c r="DK863" s="5"/>
      <c r="DL863" s="5"/>
      <c r="DM863" s="5"/>
      <c r="DN863" s="5"/>
      <c r="DO863" s="5"/>
      <c r="DP863" s="5"/>
      <c r="DQ863" s="5"/>
      <c r="DR863" s="5"/>
      <c r="DS863" s="5"/>
      <c r="DT863" s="5"/>
      <c r="DU863" s="5"/>
      <c r="DV863" s="5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5"/>
      <c r="CT864" s="5"/>
      <c r="CU864" s="5"/>
      <c r="CV864" s="5"/>
      <c r="CW864" s="5"/>
      <c r="CX864" s="5"/>
      <c r="CY864" s="5"/>
      <c r="CZ864" s="5"/>
      <c r="DA864" s="5"/>
      <c r="DB864" s="5"/>
      <c r="DC864" s="5"/>
      <c r="DD864" s="5"/>
      <c r="DE864" s="5"/>
      <c r="DF864" s="5"/>
      <c r="DG864" s="5"/>
      <c r="DH864" s="5"/>
      <c r="DI864" s="5"/>
      <c r="DJ864" s="5"/>
      <c r="DK864" s="5"/>
      <c r="DL864" s="5"/>
      <c r="DM864" s="5"/>
      <c r="DN864" s="5"/>
      <c r="DO864" s="5"/>
      <c r="DP864" s="5"/>
      <c r="DQ864" s="5"/>
      <c r="DR864" s="5"/>
      <c r="DS864" s="5"/>
      <c r="DT864" s="5"/>
      <c r="DU864" s="5"/>
      <c r="DV864" s="5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5"/>
      <c r="CT865" s="5"/>
      <c r="CU865" s="5"/>
      <c r="CV865" s="5"/>
      <c r="CW865" s="5"/>
      <c r="CX865" s="5"/>
      <c r="CY865" s="5"/>
      <c r="CZ865" s="5"/>
      <c r="DA865" s="5"/>
      <c r="DB865" s="5"/>
      <c r="DC865" s="5"/>
      <c r="DD865" s="5"/>
      <c r="DE865" s="5"/>
      <c r="DF865" s="5"/>
      <c r="DG865" s="5"/>
      <c r="DH865" s="5"/>
      <c r="DI865" s="5"/>
      <c r="DJ865" s="5"/>
      <c r="DK865" s="5"/>
      <c r="DL865" s="5"/>
      <c r="DM865" s="5"/>
      <c r="DN865" s="5"/>
      <c r="DO865" s="5"/>
      <c r="DP865" s="5"/>
      <c r="DQ865" s="5"/>
      <c r="DR865" s="5"/>
      <c r="DS865" s="5"/>
      <c r="DT865" s="5"/>
      <c r="DU865" s="5"/>
      <c r="DV865" s="5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5"/>
      <c r="CT866" s="5"/>
      <c r="CU866" s="5"/>
      <c r="CV866" s="5"/>
      <c r="CW866" s="5"/>
      <c r="CX866" s="5"/>
      <c r="CY866" s="5"/>
      <c r="CZ866" s="5"/>
      <c r="DA866" s="5"/>
      <c r="DB866" s="5"/>
      <c r="DC866" s="5"/>
      <c r="DD866" s="5"/>
      <c r="DE866" s="5"/>
      <c r="DF866" s="5"/>
      <c r="DG866" s="5"/>
      <c r="DH866" s="5"/>
      <c r="DI866" s="5"/>
      <c r="DJ866" s="5"/>
      <c r="DK866" s="5"/>
      <c r="DL866" s="5"/>
      <c r="DM866" s="5"/>
      <c r="DN866" s="5"/>
      <c r="DO866" s="5"/>
      <c r="DP866" s="5"/>
      <c r="DQ866" s="5"/>
      <c r="DR866" s="5"/>
      <c r="DS866" s="5"/>
      <c r="DT866" s="5"/>
      <c r="DU866" s="5"/>
      <c r="DV866" s="5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5"/>
      <c r="CT867" s="5"/>
      <c r="CU867" s="5"/>
      <c r="CV867" s="5"/>
      <c r="CW867" s="5"/>
      <c r="CX867" s="5"/>
      <c r="CY867" s="5"/>
      <c r="CZ867" s="5"/>
      <c r="DA867" s="5"/>
      <c r="DB867" s="5"/>
      <c r="DC867" s="5"/>
      <c r="DD867" s="5"/>
      <c r="DE867" s="5"/>
      <c r="DF867" s="5"/>
      <c r="DG867" s="5"/>
      <c r="DH867" s="5"/>
      <c r="DI867" s="5"/>
      <c r="DJ867" s="5"/>
      <c r="DK867" s="5"/>
      <c r="DL867" s="5"/>
      <c r="DM867" s="5"/>
      <c r="DN867" s="5"/>
      <c r="DO867" s="5"/>
      <c r="DP867" s="5"/>
      <c r="DQ867" s="5"/>
      <c r="DR867" s="5"/>
      <c r="DS867" s="5"/>
      <c r="DT867" s="5"/>
      <c r="DU867" s="5"/>
      <c r="DV867" s="5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5"/>
      <c r="CT868" s="5"/>
      <c r="CU868" s="5"/>
      <c r="CV868" s="5"/>
      <c r="CW868" s="5"/>
      <c r="CX868" s="5"/>
      <c r="CY868" s="5"/>
      <c r="CZ868" s="5"/>
      <c r="DA868" s="5"/>
      <c r="DB868" s="5"/>
      <c r="DC868" s="5"/>
      <c r="DD868" s="5"/>
      <c r="DE868" s="5"/>
      <c r="DF868" s="5"/>
      <c r="DG868" s="5"/>
      <c r="DH868" s="5"/>
      <c r="DI868" s="5"/>
      <c r="DJ868" s="5"/>
      <c r="DK868" s="5"/>
      <c r="DL868" s="5"/>
      <c r="DM868" s="5"/>
      <c r="DN868" s="5"/>
      <c r="DO868" s="5"/>
      <c r="DP868" s="5"/>
      <c r="DQ868" s="5"/>
      <c r="DR868" s="5"/>
      <c r="DS868" s="5"/>
      <c r="DT868" s="5"/>
      <c r="DU868" s="5"/>
      <c r="DV868" s="5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5"/>
      <c r="CT869" s="5"/>
      <c r="CU869" s="5"/>
      <c r="CV869" s="5"/>
      <c r="CW869" s="5"/>
      <c r="CX869" s="5"/>
      <c r="CY869" s="5"/>
      <c r="CZ869" s="5"/>
      <c r="DA869" s="5"/>
      <c r="DB869" s="5"/>
      <c r="DC869" s="5"/>
      <c r="DD869" s="5"/>
      <c r="DE869" s="5"/>
      <c r="DF869" s="5"/>
      <c r="DG869" s="5"/>
      <c r="DH869" s="5"/>
      <c r="DI869" s="5"/>
      <c r="DJ869" s="5"/>
      <c r="DK869" s="5"/>
      <c r="DL869" s="5"/>
      <c r="DM869" s="5"/>
      <c r="DN869" s="5"/>
      <c r="DO869" s="5"/>
      <c r="DP869" s="5"/>
      <c r="DQ869" s="5"/>
      <c r="DR869" s="5"/>
      <c r="DS869" s="5"/>
      <c r="DT869" s="5"/>
      <c r="DU869" s="5"/>
      <c r="DV869" s="5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5"/>
      <c r="CT870" s="5"/>
      <c r="CU870" s="5"/>
      <c r="CV870" s="5"/>
      <c r="CW870" s="5"/>
      <c r="CX870" s="5"/>
      <c r="CY870" s="5"/>
      <c r="CZ870" s="5"/>
      <c r="DA870" s="5"/>
      <c r="DB870" s="5"/>
      <c r="DC870" s="5"/>
      <c r="DD870" s="5"/>
      <c r="DE870" s="5"/>
      <c r="DF870" s="5"/>
      <c r="DG870" s="5"/>
      <c r="DH870" s="5"/>
      <c r="DI870" s="5"/>
      <c r="DJ870" s="5"/>
      <c r="DK870" s="5"/>
      <c r="DL870" s="5"/>
      <c r="DM870" s="5"/>
      <c r="DN870" s="5"/>
      <c r="DO870" s="5"/>
      <c r="DP870" s="5"/>
      <c r="DQ870" s="5"/>
      <c r="DR870" s="5"/>
      <c r="DS870" s="5"/>
      <c r="DT870" s="5"/>
      <c r="DU870" s="5"/>
      <c r="DV870" s="5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5"/>
      <c r="CT871" s="5"/>
      <c r="CU871" s="5"/>
      <c r="CV871" s="5"/>
      <c r="CW871" s="5"/>
      <c r="CX871" s="5"/>
      <c r="CY871" s="5"/>
      <c r="CZ871" s="5"/>
      <c r="DA871" s="5"/>
      <c r="DB871" s="5"/>
      <c r="DC871" s="5"/>
      <c r="DD871" s="5"/>
      <c r="DE871" s="5"/>
      <c r="DF871" s="5"/>
      <c r="DG871" s="5"/>
      <c r="DH871" s="5"/>
      <c r="DI871" s="5"/>
      <c r="DJ871" s="5"/>
      <c r="DK871" s="5"/>
      <c r="DL871" s="5"/>
      <c r="DM871" s="5"/>
      <c r="DN871" s="5"/>
      <c r="DO871" s="5"/>
      <c r="DP871" s="5"/>
      <c r="DQ871" s="5"/>
      <c r="DR871" s="5"/>
      <c r="DS871" s="5"/>
      <c r="DT871" s="5"/>
      <c r="DU871" s="5"/>
      <c r="DV871" s="5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5"/>
      <c r="CT872" s="5"/>
      <c r="CU872" s="5"/>
      <c r="CV872" s="5"/>
      <c r="CW872" s="5"/>
      <c r="CX872" s="5"/>
      <c r="CY872" s="5"/>
      <c r="CZ872" s="5"/>
      <c r="DA872" s="5"/>
      <c r="DB872" s="5"/>
      <c r="DC872" s="5"/>
      <c r="DD872" s="5"/>
      <c r="DE872" s="5"/>
      <c r="DF872" s="5"/>
      <c r="DG872" s="5"/>
      <c r="DH872" s="5"/>
      <c r="DI872" s="5"/>
      <c r="DJ872" s="5"/>
      <c r="DK872" s="5"/>
      <c r="DL872" s="5"/>
      <c r="DM872" s="5"/>
      <c r="DN872" s="5"/>
      <c r="DO872" s="5"/>
      <c r="DP872" s="5"/>
      <c r="DQ872" s="5"/>
      <c r="DR872" s="5"/>
      <c r="DS872" s="5"/>
      <c r="DT872" s="5"/>
      <c r="DU872" s="5"/>
      <c r="DV872" s="5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5"/>
      <c r="CT873" s="5"/>
      <c r="CU873" s="5"/>
      <c r="CV873" s="5"/>
      <c r="CW873" s="5"/>
      <c r="CX873" s="5"/>
      <c r="CY873" s="5"/>
      <c r="CZ873" s="5"/>
      <c r="DA873" s="5"/>
      <c r="DB873" s="5"/>
      <c r="DC873" s="5"/>
      <c r="DD873" s="5"/>
      <c r="DE873" s="5"/>
      <c r="DF873" s="5"/>
      <c r="DG873" s="5"/>
      <c r="DH873" s="5"/>
      <c r="DI873" s="5"/>
      <c r="DJ873" s="5"/>
      <c r="DK873" s="5"/>
      <c r="DL873" s="5"/>
      <c r="DM873" s="5"/>
      <c r="DN873" s="5"/>
      <c r="DO873" s="5"/>
      <c r="DP873" s="5"/>
      <c r="DQ873" s="5"/>
      <c r="DR873" s="5"/>
      <c r="DS873" s="5"/>
      <c r="DT873" s="5"/>
      <c r="DU873" s="5"/>
      <c r="DV873" s="5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5"/>
      <c r="CT874" s="5"/>
      <c r="CU874" s="5"/>
      <c r="CV874" s="5"/>
      <c r="CW874" s="5"/>
      <c r="CX874" s="5"/>
      <c r="CY874" s="5"/>
      <c r="CZ874" s="5"/>
      <c r="DA874" s="5"/>
      <c r="DB874" s="5"/>
      <c r="DC874" s="5"/>
      <c r="DD874" s="5"/>
      <c r="DE874" s="5"/>
      <c r="DF874" s="5"/>
      <c r="DG874" s="5"/>
      <c r="DH874" s="5"/>
      <c r="DI874" s="5"/>
      <c r="DJ874" s="5"/>
      <c r="DK874" s="5"/>
      <c r="DL874" s="5"/>
      <c r="DM874" s="5"/>
      <c r="DN874" s="5"/>
      <c r="DO874" s="5"/>
      <c r="DP874" s="5"/>
      <c r="DQ874" s="5"/>
      <c r="DR874" s="5"/>
      <c r="DS874" s="5"/>
      <c r="DT874" s="5"/>
      <c r="DU874" s="5"/>
      <c r="DV874" s="5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5"/>
      <c r="CT875" s="5"/>
      <c r="CU875" s="5"/>
      <c r="CV875" s="5"/>
      <c r="CW875" s="5"/>
      <c r="CX875" s="5"/>
      <c r="CY875" s="5"/>
      <c r="CZ875" s="5"/>
      <c r="DA875" s="5"/>
      <c r="DB875" s="5"/>
      <c r="DC875" s="5"/>
      <c r="DD875" s="5"/>
      <c r="DE875" s="5"/>
      <c r="DF875" s="5"/>
      <c r="DG875" s="5"/>
      <c r="DH875" s="5"/>
      <c r="DI875" s="5"/>
      <c r="DJ875" s="5"/>
      <c r="DK875" s="5"/>
      <c r="DL875" s="5"/>
      <c r="DM875" s="5"/>
      <c r="DN875" s="5"/>
      <c r="DO875" s="5"/>
      <c r="DP875" s="5"/>
      <c r="DQ875" s="5"/>
      <c r="DR875" s="5"/>
      <c r="DS875" s="5"/>
      <c r="DT875" s="5"/>
      <c r="DU875" s="5"/>
      <c r="DV875" s="5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5"/>
      <c r="CT876" s="5"/>
      <c r="CU876" s="5"/>
      <c r="CV876" s="5"/>
      <c r="CW876" s="5"/>
      <c r="CX876" s="5"/>
      <c r="CY876" s="5"/>
      <c r="CZ876" s="5"/>
      <c r="DA876" s="5"/>
      <c r="DB876" s="5"/>
      <c r="DC876" s="5"/>
      <c r="DD876" s="5"/>
      <c r="DE876" s="5"/>
      <c r="DF876" s="5"/>
      <c r="DG876" s="5"/>
      <c r="DH876" s="5"/>
      <c r="DI876" s="5"/>
      <c r="DJ876" s="5"/>
      <c r="DK876" s="5"/>
      <c r="DL876" s="5"/>
      <c r="DM876" s="5"/>
      <c r="DN876" s="5"/>
      <c r="DO876" s="5"/>
      <c r="DP876" s="5"/>
      <c r="DQ876" s="5"/>
      <c r="DR876" s="5"/>
      <c r="DS876" s="5"/>
      <c r="DT876" s="5"/>
      <c r="DU876" s="5"/>
      <c r="DV876" s="5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5"/>
      <c r="CT877" s="5"/>
      <c r="CU877" s="5"/>
      <c r="CV877" s="5"/>
      <c r="CW877" s="5"/>
      <c r="CX877" s="5"/>
      <c r="CY877" s="5"/>
      <c r="CZ877" s="5"/>
      <c r="DA877" s="5"/>
      <c r="DB877" s="5"/>
      <c r="DC877" s="5"/>
      <c r="DD877" s="5"/>
      <c r="DE877" s="5"/>
      <c r="DF877" s="5"/>
      <c r="DG877" s="5"/>
      <c r="DH877" s="5"/>
      <c r="DI877" s="5"/>
      <c r="DJ877" s="5"/>
      <c r="DK877" s="5"/>
      <c r="DL877" s="5"/>
      <c r="DM877" s="5"/>
      <c r="DN877" s="5"/>
      <c r="DO877" s="5"/>
      <c r="DP877" s="5"/>
      <c r="DQ877" s="5"/>
      <c r="DR877" s="5"/>
      <c r="DS877" s="5"/>
      <c r="DT877" s="5"/>
      <c r="DU877" s="5"/>
      <c r="DV877" s="5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5"/>
      <c r="CT878" s="5"/>
      <c r="CU878" s="5"/>
      <c r="CV878" s="5"/>
      <c r="CW878" s="5"/>
      <c r="CX878" s="5"/>
      <c r="CY878" s="5"/>
      <c r="CZ878" s="5"/>
      <c r="DA878" s="5"/>
      <c r="DB878" s="5"/>
      <c r="DC878" s="5"/>
      <c r="DD878" s="5"/>
      <c r="DE878" s="5"/>
      <c r="DF878" s="5"/>
      <c r="DG878" s="5"/>
      <c r="DH878" s="5"/>
      <c r="DI878" s="5"/>
      <c r="DJ878" s="5"/>
      <c r="DK878" s="5"/>
      <c r="DL878" s="5"/>
      <c r="DM878" s="5"/>
      <c r="DN878" s="5"/>
      <c r="DO878" s="5"/>
      <c r="DP878" s="5"/>
      <c r="DQ878" s="5"/>
      <c r="DR878" s="5"/>
      <c r="DS878" s="5"/>
      <c r="DT878" s="5"/>
      <c r="DU878" s="5"/>
      <c r="DV878" s="5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5"/>
      <c r="CT879" s="5"/>
      <c r="CU879" s="5"/>
      <c r="CV879" s="5"/>
      <c r="CW879" s="5"/>
      <c r="CX879" s="5"/>
      <c r="CY879" s="5"/>
      <c r="CZ879" s="5"/>
      <c r="DA879" s="5"/>
      <c r="DB879" s="5"/>
      <c r="DC879" s="5"/>
      <c r="DD879" s="5"/>
      <c r="DE879" s="5"/>
      <c r="DF879" s="5"/>
      <c r="DG879" s="5"/>
      <c r="DH879" s="5"/>
      <c r="DI879" s="5"/>
      <c r="DJ879" s="5"/>
      <c r="DK879" s="5"/>
      <c r="DL879" s="5"/>
      <c r="DM879" s="5"/>
      <c r="DN879" s="5"/>
      <c r="DO879" s="5"/>
      <c r="DP879" s="5"/>
      <c r="DQ879" s="5"/>
      <c r="DR879" s="5"/>
      <c r="DS879" s="5"/>
      <c r="DT879" s="5"/>
      <c r="DU879" s="5"/>
      <c r="DV879" s="5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5"/>
      <c r="CT880" s="5"/>
      <c r="CU880" s="5"/>
      <c r="CV880" s="5"/>
      <c r="CW880" s="5"/>
      <c r="CX880" s="5"/>
      <c r="CY880" s="5"/>
      <c r="CZ880" s="5"/>
      <c r="DA880" s="5"/>
      <c r="DB880" s="5"/>
      <c r="DC880" s="5"/>
      <c r="DD880" s="5"/>
      <c r="DE880" s="5"/>
      <c r="DF880" s="5"/>
      <c r="DG880" s="5"/>
      <c r="DH880" s="5"/>
      <c r="DI880" s="5"/>
      <c r="DJ880" s="5"/>
      <c r="DK880" s="5"/>
      <c r="DL880" s="5"/>
      <c r="DM880" s="5"/>
      <c r="DN880" s="5"/>
      <c r="DO880" s="5"/>
      <c r="DP880" s="5"/>
      <c r="DQ880" s="5"/>
      <c r="DR880" s="5"/>
      <c r="DS880" s="5"/>
      <c r="DT880" s="5"/>
      <c r="DU880" s="5"/>
      <c r="DV880" s="5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5"/>
      <c r="CT881" s="5"/>
      <c r="CU881" s="5"/>
      <c r="CV881" s="5"/>
      <c r="CW881" s="5"/>
      <c r="CX881" s="5"/>
      <c r="CY881" s="5"/>
      <c r="CZ881" s="5"/>
      <c r="DA881" s="5"/>
      <c r="DB881" s="5"/>
      <c r="DC881" s="5"/>
      <c r="DD881" s="5"/>
      <c r="DE881" s="5"/>
      <c r="DF881" s="5"/>
      <c r="DG881" s="5"/>
      <c r="DH881" s="5"/>
      <c r="DI881" s="5"/>
      <c r="DJ881" s="5"/>
      <c r="DK881" s="5"/>
      <c r="DL881" s="5"/>
      <c r="DM881" s="5"/>
      <c r="DN881" s="5"/>
      <c r="DO881" s="5"/>
      <c r="DP881" s="5"/>
      <c r="DQ881" s="5"/>
      <c r="DR881" s="5"/>
      <c r="DS881" s="5"/>
      <c r="DT881" s="5"/>
      <c r="DU881" s="5"/>
      <c r="DV881" s="5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5"/>
      <c r="CT882" s="5"/>
      <c r="CU882" s="5"/>
      <c r="CV882" s="5"/>
      <c r="CW882" s="5"/>
      <c r="CX882" s="5"/>
      <c r="CY882" s="5"/>
      <c r="CZ882" s="5"/>
      <c r="DA882" s="5"/>
      <c r="DB882" s="5"/>
      <c r="DC882" s="5"/>
      <c r="DD882" s="5"/>
      <c r="DE882" s="5"/>
      <c r="DF882" s="5"/>
      <c r="DG882" s="5"/>
      <c r="DH882" s="5"/>
      <c r="DI882" s="5"/>
      <c r="DJ882" s="5"/>
      <c r="DK882" s="5"/>
      <c r="DL882" s="5"/>
      <c r="DM882" s="5"/>
      <c r="DN882" s="5"/>
      <c r="DO882" s="5"/>
      <c r="DP882" s="5"/>
      <c r="DQ882" s="5"/>
      <c r="DR882" s="5"/>
      <c r="DS882" s="5"/>
      <c r="DT882" s="5"/>
      <c r="DU882" s="5"/>
      <c r="DV882" s="5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5"/>
      <c r="CT883" s="5"/>
      <c r="CU883" s="5"/>
      <c r="CV883" s="5"/>
      <c r="CW883" s="5"/>
      <c r="CX883" s="5"/>
      <c r="CY883" s="5"/>
      <c r="CZ883" s="5"/>
      <c r="DA883" s="5"/>
      <c r="DB883" s="5"/>
      <c r="DC883" s="5"/>
      <c r="DD883" s="5"/>
      <c r="DE883" s="5"/>
      <c r="DF883" s="5"/>
      <c r="DG883" s="5"/>
      <c r="DH883" s="5"/>
      <c r="DI883" s="5"/>
      <c r="DJ883" s="5"/>
      <c r="DK883" s="5"/>
      <c r="DL883" s="5"/>
      <c r="DM883" s="5"/>
      <c r="DN883" s="5"/>
      <c r="DO883" s="5"/>
      <c r="DP883" s="5"/>
      <c r="DQ883" s="5"/>
      <c r="DR883" s="5"/>
      <c r="DS883" s="5"/>
      <c r="DT883" s="5"/>
      <c r="DU883" s="5"/>
      <c r="DV883" s="5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5"/>
      <c r="CT884" s="5"/>
      <c r="CU884" s="5"/>
      <c r="CV884" s="5"/>
      <c r="CW884" s="5"/>
      <c r="CX884" s="5"/>
      <c r="CY884" s="5"/>
      <c r="CZ884" s="5"/>
      <c r="DA884" s="5"/>
      <c r="DB884" s="5"/>
      <c r="DC884" s="5"/>
      <c r="DD884" s="5"/>
      <c r="DE884" s="5"/>
      <c r="DF884" s="5"/>
      <c r="DG884" s="5"/>
      <c r="DH884" s="5"/>
      <c r="DI884" s="5"/>
      <c r="DJ884" s="5"/>
      <c r="DK884" s="5"/>
      <c r="DL884" s="5"/>
      <c r="DM884" s="5"/>
      <c r="DN884" s="5"/>
      <c r="DO884" s="5"/>
      <c r="DP884" s="5"/>
      <c r="DQ884" s="5"/>
      <c r="DR884" s="5"/>
      <c r="DS884" s="5"/>
      <c r="DT884" s="5"/>
      <c r="DU884" s="5"/>
      <c r="DV884" s="5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5"/>
      <c r="CT885" s="5"/>
      <c r="CU885" s="5"/>
      <c r="CV885" s="5"/>
      <c r="CW885" s="5"/>
      <c r="CX885" s="5"/>
      <c r="CY885" s="5"/>
      <c r="CZ885" s="5"/>
      <c r="DA885" s="5"/>
      <c r="DB885" s="5"/>
      <c r="DC885" s="5"/>
      <c r="DD885" s="5"/>
      <c r="DE885" s="5"/>
      <c r="DF885" s="5"/>
      <c r="DG885" s="5"/>
      <c r="DH885" s="5"/>
      <c r="DI885" s="5"/>
      <c r="DJ885" s="5"/>
      <c r="DK885" s="5"/>
      <c r="DL885" s="5"/>
      <c r="DM885" s="5"/>
      <c r="DN885" s="5"/>
      <c r="DO885" s="5"/>
      <c r="DP885" s="5"/>
      <c r="DQ885" s="5"/>
      <c r="DR885" s="5"/>
      <c r="DS885" s="5"/>
      <c r="DT885" s="5"/>
      <c r="DU885" s="5"/>
      <c r="DV885" s="5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5"/>
      <c r="CT886" s="5"/>
      <c r="CU886" s="5"/>
      <c r="CV886" s="5"/>
      <c r="CW886" s="5"/>
      <c r="CX886" s="5"/>
      <c r="CY886" s="5"/>
      <c r="CZ886" s="5"/>
      <c r="DA886" s="5"/>
      <c r="DB886" s="5"/>
      <c r="DC886" s="5"/>
      <c r="DD886" s="5"/>
      <c r="DE886" s="5"/>
      <c r="DF886" s="5"/>
      <c r="DG886" s="5"/>
      <c r="DH886" s="5"/>
      <c r="DI886" s="5"/>
      <c r="DJ886" s="5"/>
      <c r="DK886" s="5"/>
      <c r="DL886" s="5"/>
      <c r="DM886" s="5"/>
      <c r="DN886" s="5"/>
      <c r="DO886" s="5"/>
      <c r="DP886" s="5"/>
      <c r="DQ886" s="5"/>
      <c r="DR886" s="5"/>
      <c r="DS886" s="5"/>
      <c r="DT886" s="5"/>
      <c r="DU886" s="5"/>
      <c r="DV886" s="5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5"/>
      <c r="CT887" s="5"/>
      <c r="CU887" s="5"/>
      <c r="CV887" s="5"/>
      <c r="CW887" s="5"/>
      <c r="CX887" s="5"/>
      <c r="CY887" s="5"/>
      <c r="CZ887" s="5"/>
      <c r="DA887" s="5"/>
      <c r="DB887" s="5"/>
      <c r="DC887" s="5"/>
      <c r="DD887" s="5"/>
      <c r="DE887" s="5"/>
      <c r="DF887" s="5"/>
      <c r="DG887" s="5"/>
      <c r="DH887" s="5"/>
      <c r="DI887" s="5"/>
      <c r="DJ887" s="5"/>
      <c r="DK887" s="5"/>
      <c r="DL887" s="5"/>
      <c r="DM887" s="5"/>
      <c r="DN887" s="5"/>
      <c r="DO887" s="5"/>
      <c r="DP887" s="5"/>
      <c r="DQ887" s="5"/>
      <c r="DR887" s="5"/>
      <c r="DS887" s="5"/>
      <c r="DT887" s="5"/>
      <c r="DU887" s="5"/>
      <c r="DV887" s="5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5"/>
      <c r="CT888" s="5"/>
      <c r="CU888" s="5"/>
      <c r="CV888" s="5"/>
      <c r="CW888" s="5"/>
      <c r="CX888" s="5"/>
      <c r="CY888" s="5"/>
      <c r="CZ888" s="5"/>
      <c r="DA888" s="5"/>
      <c r="DB888" s="5"/>
      <c r="DC888" s="5"/>
      <c r="DD888" s="5"/>
      <c r="DE888" s="5"/>
      <c r="DF888" s="5"/>
      <c r="DG888" s="5"/>
      <c r="DH888" s="5"/>
      <c r="DI888" s="5"/>
      <c r="DJ888" s="5"/>
      <c r="DK888" s="5"/>
      <c r="DL888" s="5"/>
      <c r="DM888" s="5"/>
      <c r="DN888" s="5"/>
      <c r="DO888" s="5"/>
      <c r="DP888" s="5"/>
      <c r="DQ888" s="5"/>
      <c r="DR888" s="5"/>
      <c r="DS888" s="5"/>
      <c r="DT888" s="5"/>
      <c r="DU888" s="5"/>
      <c r="DV888" s="5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5"/>
      <c r="CT889" s="5"/>
      <c r="CU889" s="5"/>
      <c r="CV889" s="5"/>
      <c r="CW889" s="5"/>
      <c r="CX889" s="5"/>
      <c r="CY889" s="5"/>
      <c r="CZ889" s="5"/>
      <c r="DA889" s="5"/>
      <c r="DB889" s="5"/>
      <c r="DC889" s="5"/>
      <c r="DD889" s="5"/>
      <c r="DE889" s="5"/>
      <c r="DF889" s="5"/>
      <c r="DG889" s="5"/>
      <c r="DH889" s="5"/>
      <c r="DI889" s="5"/>
      <c r="DJ889" s="5"/>
      <c r="DK889" s="5"/>
      <c r="DL889" s="5"/>
      <c r="DM889" s="5"/>
      <c r="DN889" s="5"/>
      <c r="DO889" s="5"/>
      <c r="DP889" s="5"/>
      <c r="DQ889" s="5"/>
      <c r="DR889" s="5"/>
      <c r="DS889" s="5"/>
      <c r="DT889" s="5"/>
      <c r="DU889" s="5"/>
      <c r="DV889" s="5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5"/>
      <c r="CT890" s="5"/>
      <c r="CU890" s="5"/>
      <c r="CV890" s="5"/>
      <c r="CW890" s="5"/>
      <c r="CX890" s="5"/>
      <c r="CY890" s="5"/>
      <c r="CZ890" s="5"/>
      <c r="DA890" s="5"/>
      <c r="DB890" s="5"/>
      <c r="DC890" s="5"/>
      <c r="DD890" s="5"/>
      <c r="DE890" s="5"/>
      <c r="DF890" s="5"/>
      <c r="DG890" s="5"/>
      <c r="DH890" s="5"/>
      <c r="DI890" s="5"/>
      <c r="DJ890" s="5"/>
      <c r="DK890" s="5"/>
      <c r="DL890" s="5"/>
      <c r="DM890" s="5"/>
      <c r="DN890" s="5"/>
      <c r="DO890" s="5"/>
      <c r="DP890" s="5"/>
      <c r="DQ890" s="5"/>
      <c r="DR890" s="5"/>
      <c r="DS890" s="5"/>
      <c r="DT890" s="5"/>
      <c r="DU890" s="5"/>
      <c r="DV890" s="5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5"/>
      <c r="CT891" s="5"/>
      <c r="CU891" s="5"/>
      <c r="CV891" s="5"/>
      <c r="CW891" s="5"/>
      <c r="CX891" s="5"/>
      <c r="CY891" s="5"/>
      <c r="CZ891" s="5"/>
      <c r="DA891" s="5"/>
      <c r="DB891" s="5"/>
      <c r="DC891" s="5"/>
      <c r="DD891" s="5"/>
      <c r="DE891" s="5"/>
      <c r="DF891" s="5"/>
      <c r="DG891" s="5"/>
      <c r="DH891" s="5"/>
      <c r="DI891" s="5"/>
      <c r="DJ891" s="5"/>
      <c r="DK891" s="5"/>
      <c r="DL891" s="5"/>
      <c r="DM891" s="5"/>
      <c r="DN891" s="5"/>
      <c r="DO891" s="5"/>
      <c r="DP891" s="5"/>
      <c r="DQ891" s="5"/>
      <c r="DR891" s="5"/>
      <c r="DS891" s="5"/>
      <c r="DT891" s="5"/>
      <c r="DU891" s="5"/>
      <c r="DV891" s="5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5"/>
      <c r="CT892" s="5"/>
      <c r="CU892" s="5"/>
      <c r="CV892" s="5"/>
      <c r="CW892" s="5"/>
      <c r="CX892" s="5"/>
      <c r="CY892" s="5"/>
      <c r="CZ892" s="5"/>
      <c r="DA892" s="5"/>
      <c r="DB892" s="5"/>
      <c r="DC892" s="5"/>
      <c r="DD892" s="5"/>
      <c r="DE892" s="5"/>
      <c r="DF892" s="5"/>
      <c r="DG892" s="5"/>
      <c r="DH892" s="5"/>
      <c r="DI892" s="5"/>
      <c r="DJ892" s="5"/>
      <c r="DK892" s="5"/>
      <c r="DL892" s="5"/>
      <c r="DM892" s="5"/>
      <c r="DN892" s="5"/>
      <c r="DO892" s="5"/>
      <c r="DP892" s="5"/>
      <c r="DQ892" s="5"/>
      <c r="DR892" s="5"/>
      <c r="DS892" s="5"/>
      <c r="DT892" s="5"/>
      <c r="DU892" s="5"/>
      <c r="DV892" s="5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5"/>
      <c r="CT893" s="5"/>
      <c r="CU893" s="5"/>
      <c r="CV893" s="5"/>
      <c r="CW893" s="5"/>
      <c r="CX893" s="5"/>
      <c r="CY893" s="5"/>
      <c r="CZ893" s="5"/>
      <c r="DA893" s="5"/>
      <c r="DB893" s="5"/>
      <c r="DC893" s="5"/>
      <c r="DD893" s="5"/>
      <c r="DE893" s="5"/>
      <c r="DF893" s="5"/>
      <c r="DG893" s="5"/>
      <c r="DH893" s="5"/>
      <c r="DI893" s="5"/>
      <c r="DJ893" s="5"/>
      <c r="DK893" s="5"/>
      <c r="DL893" s="5"/>
      <c r="DM893" s="5"/>
      <c r="DN893" s="5"/>
      <c r="DO893" s="5"/>
      <c r="DP893" s="5"/>
      <c r="DQ893" s="5"/>
      <c r="DR893" s="5"/>
      <c r="DS893" s="5"/>
      <c r="DT893" s="5"/>
      <c r="DU893" s="5"/>
      <c r="DV893" s="5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5"/>
      <c r="CT894" s="5"/>
      <c r="CU894" s="5"/>
      <c r="CV894" s="5"/>
      <c r="CW894" s="5"/>
      <c r="CX894" s="5"/>
      <c r="CY894" s="5"/>
      <c r="CZ894" s="5"/>
      <c r="DA894" s="5"/>
      <c r="DB894" s="5"/>
      <c r="DC894" s="5"/>
      <c r="DD894" s="5"/>
      <c r="DE894" s="5"/>
      <c r="DF894" s="5"/>
      <c r="DG894" s="5"/>
      <c r="DH894" s="5"/>
      <c r="DI894" s="5"/>
      <c r="DJ894" s="5"/>
      <c r="DK894" s="5"/>
      <c r="DL894" s="5"/>
      <c r="DM894" s="5"/>
      <c r="DN894" s="5"/>
      <c r="DO894" s="5"/>
      <c r="DP894" s="5"/>
      <c r="DQ894" s="5"/>
      <c r="DR894" s="5"/>
      <c r="DS894" s="5"/>
      <c r="DT894" s="5"/>
      <c r="DU894" s="5"/>
      <c r="DV894" s="5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5"/>
      <c r="CT895" s="5"/>
      <c r="CU895" s="5"/>
      <c r="CV895" s="5"/>
      <c r="CW895" s="5"/>
      <c r="CX895" s="5"/>
      <c r="CY895" s="5"/>
      <c r="CZ895" s="5"/>
      <c r="DA895" s="5"/>
      <c r="DB895" s="5"/>
      <c r="DC895" s="5"/>
      <c r="DD895" s="5"/>
      <c r="DE895" s="5"/>
      <c r="DF895" s="5"/>
      <c r="DG895" s="5"/>
      <c r="DH895" s="5"/>
      <c r="DI895" s="5"/>
      <c r="DJ895" s="5"/>
      <c r="DK895" s="5"/>
      <c r="DL895" s="5"/>
      <c r="DM895" s="5"/>
      <c r="DN895" s="5"/>
      <c r="DO895" s="5"/>
      <c r="DP895" s="5"/>
      <c r="DQ895" s="5"/>
      <c r="DR895" s="5"/>
      <c r="DS895" s="5"/>
      <c r="DT895" s="5"/>
      <c r="DU895" s="5"/>
      <c r="DV895" s="5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5"/>
      <c r="CT896" s="5"/>
      <c r="CU896" s="5"/>
      <c r="CV896" s="5"/>
      <c r="CW896" s="5"/>
      <c r="CX896" s="5"/>
      <c r="CY896" s="5"/>
      <c r="CZ896" s="5"/>
      <c r="DA896" s="5"/>
      <c r="DB896" s="5"/>
      <c r="DC896" s="5"/>
      <c r="DD896" s="5"/>
      <c r="DE896" s="5"/>
      <c r="DF896" s="5"/>
      <c r="DG896" s="5"/>
      <c r="DH896" s="5"/>
      <c r="DI896" s="5"/>
      <c r="DJ896" s="5"/>
      <c r="DK896" s="5"/>
      <c r="DL896" s="5"/>
      <c r="DM896" s="5"/>
      <c r="DN896" s="5"/>
      <c r="DO896" s="5"/>
      <c r="DP896" s="5"/>
      <c r="DQ896" s="5"/>
      <c r="DR896" s="5"/>
      <c r="DS896" s="5"/>
      <c r="DT896" s="5"/>
      <c r="DU896" s="5"/>
      <c r="DV896" s="5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5"/>
      <c r="CT897" s="5"/>
      <c r="CU897" s="5"/>
      <c r="CV897" s="5"/>
      <c r="CW897" s="5"/>
      <c r="CX897" s="5"/>
      <c r="CY897" s="5"/>
      <c r="CZ897" s="5"/>
      <c r="DA897" s="5"/>
      <c r="DB897" s="5"/>
      <c r="DC897" s="5"/>
      <c r="DD897" s="5"/>
      <c r="DE897" s="5"/>
      <c r="DF897" s="5"/>
      <c r="DG897" s="5"/>
      <c r="DH897" s="5"/>
      <c r="DI897" s="5"/>
      <c r="DJ897" s="5"/>
      <c r="DK897" s="5"/>
      <c r="DL897" s="5"/>
      <c r="DM897" s="5"/>
      <c r="DN897" s="5"/>
      <c r="DO897" s="5"/>
      <c r="DP897" s="5"/>
      <c r="DQ897" s="5"/>
      <c r="DR897" s="5"/>
      <c r="DS897" s="5"/>
      <c r="DT897" s="5"/>
      <c r="DU897" s="5"/>
      <c r="DV897" s="5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5"/>
      <c r="CT898" s="5"/>
      <c r="CU898" s="5"/>
      <c r="CV898" s="5"/>
      <c r="CW898" s="5"/>
      <c r="CX898" s="5"/>
      <c r="CY898" s="5"/>
      <c r="CZ898" s="5"/>
      <c r="DA898" s="5"/>
      <c r="DB898" s="5"/>
      <c r="DC898" s="5"/>
      <c r="DD898" s="5"/>
      <c r="DE898" s="5"/>
      <c r="DF898" s="5"/>
      <c r="DG898" s="5"/>
      <c r="DH898" s="5"/>
      <c r="DI898" s="5"/>
      <c r="DJ898" s="5"/>
      <c r="DK898" s="5"/>
      <c r="DL898" s="5"/>
      <c r="DM898" s="5"/>
      <c r="DN898" s="5"/>
      <c r="DO898" s="5"/>
      <c r="DP898" s="5"/>
      <c r="DQ898" s="5"/>
      <c r="DR898" s="5"/>
      <c r="DS898" s="5"/>
      <c r="DT898" s="5"/>
      <c r="DU898" s="5"/>
      <c r="DV898" s="5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5"/>
      <c r="CT899" s="5"/>
      <c r="CU899" s="5"/>
      <c r="CV899" s="5"/>
      <c r="CW899" s="5"/>
      <c r="CX899" s="5"/>
      <c r="CY899" s="5"/>
      <c r="CZ899" s="5"/>
      <c r="DA899" s="5"/>
      <c r="DB899" s="5"/>
      <c r="DC899" s="5"/>
      <c r="DD899" s="5"/>
      <c r="DE899" s="5"/>
      <c r="DF899" s="5"/>
      <c r="DG899" s="5"/>
      <c r="DH899" s="5"/>
      <c r="DI899" s="5"/>
      <c r="DJ899" s="5"/>
      <c r="DK899" s="5"/>
      <c r="DL899" s="5"/>
      <c r="DM899" s="5"/>
      <c r="DN899" s="5"/>
      <c r="DO899" s="5"/>
      <c r="DP899" s="5"/>
      <c r="DQ899" s="5"/>
      <c r="DR899" s="5"/>
      <c r="DS899" s="5"/>
      <c r="DT899" s="5"/>
      <c r="DU899" s="5"/>
      <c r="DV899" s="5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5"/>
      <c r="CT900" s="5"/>
      <c r="CU900" s="5"/>
      <c r="CV900" s="5"/>
      <c r="CW900" s="5"/>
      <c r="CX900" s="5"/>
      <c r="CY900" s="5"/>
      <c r="CZ900" s="5"/>
      <c r="DA900" s="5"/>
      <c r="DB900" s="5"/>
      <c r="DC900" s="5"/>
      <c r="DD900" s="5"/>
      <c r="DE900" s="5"/>
      <c r="DF900" s="5"/>
      <c r="DG900" s="5"/>
      <c r="DH900" s="5"/>
      <c r="DI900" s="5"/>
      <c r="DJ900" s="5"/>
      <c r="DK900" s="5"/>
      <c r="DL900" s="5"/>
      <c r="DM900" s="5"/>
      <c r="DN900" s="5"/>
      <c r="DO900" s="5"/>
      <c r="DP900" s="5"/>
      <c r="DQ900" s="5"/>
      <c r="DR900" s="5"/>
      <c r="DS900" s="5"/>
      <c r="DT900" s="5"/>
      <c r="DU900" s="5"/>
      <c r="DV900" s="5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5"/>
      <c r="CT901" s="5"/>
      <c r="CU901" s="5"/>
      <c r="CV901" s="5"/>
      <c r="CW901" s="5"/>
      <c r="CX901" s="5"/>
      <c r="CY901" s="5"/>
      <c r="CZ901" s="5"/>
      <c r="DA901" s="5"/>
      <c r="DB901" s="5"/>
      <c r="DC901" s="5"/>
      <c r="DD901" s="5"/>
      <c r="DE901" s="5"/>
      <c r="DF901" s="5"/>
      <c r="DG901" s="5"/>
      <c r="DH901" s="5"/>
      <c r="DI901" s="5"/>
      <c r="DJ901" s="5"/>
      <c r="DK901" s="5"/>
      <c r="DL901" s="5"/>
      <c r="DM901" s="5"/>
      <c r="DN901" s="5"/>
      <c r="DO901" s="5"/>
      <c r="DP901" s="5"/>
      <c r="DQ901" s="5"/>
      <c r="DR901" s="5"/>
      <c r="DS901" s="5"/>
      <c r="DT901" s="5"/>
      <c r="DU901" s="5"/>
      <c r="DV901" s="5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5"/>
      <c r="CT902" s="5"/>
      <c r="CU902" s="5"/>
      <c r="CV902" s="5"/>
      <c r="CW902" s="5"/>
      <c r="CX902" s="5"/>
      <c r="CY902" s="5"/>
      <c r="CZ902" s="5"/>
      <c r="DA902" s="5"/>
      <c r="DB902" s="5"/>
      <c r="DC902" s="5"/>
      <c r="DD902" s="5"/>
      <c r="DE902" s="5"/>
      <c r="DF902" s="5"/>
      <c r="DG902" s="5"/>
      <c r="DH902" s="5"/>
      <c r="DI902" s="5"/>
      <c r="DJ902" s="5"/>
      <c r="DK902" s="5"/>
      <c r="DL902" s="5"/>
      <c r="DM902" s="5"/>
      <c r="DN902" s="5"/>
      <c r="DO902" s="5"/>
      <c r="DP902" s="5"/>
      <c r="DQ902" s="5"/>
      <c r="DR902" s="5"/>
      <c r="DS902" s="5"/>
      <c r="DT902" s="5"/>
      <c r="DU902" s="5"/>
      <c r="DV902" s="5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5"/>
      <c r="CT903" s="5"/>
      <c r="CU903" s="5"/>
      <c r="CV903" s="5"/>
      <c r="CW903" s="5"/>
      <c r="CX903" s="5"/>
      <c r="CY903" s="5"/>
      <c r="CZ903" s="5"/>
      <c r="DA903" s="5"/>
      <c r="DB903" s="5"/>
      <c r="DC903" s="5"/>
      <c r="DD903" s="5"/>
      <c r="DE903" s="5"/>
      <c r="DF903" s="5"/>
      <c r="DG903" s="5"/>
      <c r="DH903" s="5"/>
      <c r="DI903" s="5"/>
      <c r="DJ903" s="5"/>
      <c r="DK903" s="5"/>
      <c r="DL903" s="5"/>
      <c r="DM903" s="5"/>
      <c r="DN903" s="5"/>
      <c r="DO903" s="5"/>
      <c r="DP903" s="5"/>
      <c r="DQ903" s="5"/>
      <c r="DR903" s="5"/>
      <c r="DS903" s="5"/>
      <c r="DT903" s="5"/>
      <c r="DU903" s="5"/>
      <c r="DV903" s="5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5"/>
      <c r="CT904" s="5"/>
      <c r="CU904" s="5"/>
      <c r="CV904" s="5"/>
      <c r="CW904" s="5"/>
      <c r="CX904" s="5"/>
      <c r="CY904" s="5"/>
      <c r="CZ904" s="5"/>
      <c r="DA904" s="5"/>
      <c r="DB904" s="5"/>
      <c r="DC904" s="5"/>
      <c r="DD904" s="5"/>
      <c r="DE904" s="5"/>
      <c r="DF904" s="5"/>
      <c r="DG904" s="5"/>
      <c r="DH904" s="5"/>
      <c r="DI904" s="5"/>
      <c r="DJ904" s="5"/>
      <c r="DK904" s="5"/>
      <c r="DL904" s="5"/>
      <c r="DM904" s="5"/>
      <c r="DN904" s="5"/>
      <c r="DO904" s="5"/>
      <c r="DP904" s="5"/>
      <c r="DQ904" s="5"/>
      <c r="DR904" s="5"/>
      <c r="DS904" s="5"/>
      <c r="DT904" s="5"/>
      <c r="DU904" s="5"/>
      <c r="DV904" s="5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5"/>
      <c r="CT905" s="5"/>
      <c r="CU905" s="5"/>
      <c r="CV905" s="5"/>
      <c r="CW905" s="5"/>
      <c r="CX905" s="5"/>
      <c r="CY905" s="5"/>
      <c r="CZ905" s="5"/>
      <c r="DA905" s="5"/>
      <c r="DB905" s="5"/>
      <c r="DC905" s="5"/>
      <c r="DD905" s="5"/>
      <c r="DE905" s="5"/>
      <c r="DF905" s="5"/>
      <c r="DG905" s="5"/>
      <c r="DH905" s="5"/>
      <c r="DI905" s="5"/>
      <c r="DJ905" s="5"/>
      <c r="DK905" s="5"/>
      <c r="DL905" s="5"/>
      <c r="DM905" s="5"/>
      <c r="DN905" s="5"/>
      <c r="DO905" s="5"/>
      <c r="DP905" s="5"/>
      <c r="DQ905" s="5"/>
      <c r="DR905" s="5"/>
      <c r="DS905" s="5"/>
      <c r="DT905" s="5"/>
      <c r="DU905" s="5"/>
      <c r="DV905" s="5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5"/>
      <c r="CT906" s="5"/>
      <c r="CU906" s="5"/>
      <c r="CV906" s="5"/>
      <c r="CW906" s="5"/>
      <c r="CX906" s="5"/>
      <c r="CY906" s="5"/>
      <c r="CZ906" s="5"/>
      <c r="DA906" s="5"/>
      <c r="DB906" s="5"/>
      <c r="DC906" s="5"/>
      <c r="DD906" s="5"/>
      <c r="DE906" s="5"/>
      <c r="DF906" s="5"/>
      <c r="DG906" s="5"/>
      <c r="DH906" s="5"/>
      <c r="DI906" s="5"/>
      <c r="DJ906" s="5"/>
      <c r="DK906" s="5"/>
      <c r="DL906" s="5"/>
      <c r="DM906" s="5"/>
      <c r="DN906" s="5"/>
      <c r="DO906" s="5"/>
      <c r="DP906" s="5"/>
      <c r="DQ906" s="5"/>
      <c r="DR906" s="5"/>
      <c r="DS906" s="5"/>
      <c r="DT906" s="5"/>
      <c r="DU906" s="5"/>
      <c r="DV906" s="5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5"/>
      <c r="CT907" s="5"/>
      <c r="CU907" s="5"/>
      <c r="CV907" s="5"/>
      <c r="CW907" s="5"/>
      <c r="CX907" s="5"/>
      <c r="CY907" s="5"/>
      <c r="CZ907" s="5"/>
      <c r="DA907" s="5"/>
      <c r="DB907" s="5"/>
      <c r="DC907" s="5"/>
      <c r="DD907" s="5"/>
      <c r="DE907" s="5"/>
      <c r="DF907" s="5"/>
      <c r="DG907" s="5"/>
      <c r="DH907" s="5"/>
      <c r="DI907" s="5"/>
      <c r="DJ907" s="5"/>
      <c r="DK907" s="5"/>
      <c r="DL907" s="5"/>
      <c r="DM907" s="5"/>
      <c r="DN907" s="5"/>
      <c r="DO907" s="5"/>
      <c r="DP907" s="5"/>
      <c r="DQ907" s="5"/>
      <c r="DR907" s="5"/>
      <c r="DS907" s="5"/>
      <c r="DT907" s="5"/>
      <c r="DU907" s="5"/>
      <c r="DV907" s="5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5"/>
      <c r="CT908" s="5"/>
      <c r="CU908" s="5"/>
      <c r="CV908" s="5"/>
      <c r="CW908" s="5"/>
      <c r="CX908" s="5"/>
      <c r="CY908" s="5"/>
      <c r="CZ908" s="5"/>
      <c r="DA908" s="5"/>
      <c r="DB908" s="5"/>
      <c r="DC908" s="5"/>
      <c r="DD908" s="5"/>
      <c r="DE908" s="5"/>
      <c r="DF908" s="5"/>
      <c r="DG908" s="5"/>
      <c r="DH908" s="5"/>
      <c r="DI908" s="5"/>
      <c r="DJ908" s="5"/>
      <c r="DK908" s="5"/>
      <c r="DL908" s="5"/>
      <c r="DM908" s="5"/>
      <c r="DN908" s="5"/>
      <c r="DO908" s="5"/>
      <c r="DP908" s="5"/>
      <c r="DQ908" s="5"/>
      <c r="DR908" s="5"/>
      <c r="DS908" s="5"/>
      <c r="DT908" s="5"/>
      <c r="DU908" s="5"/>
      <c r="DV908" s="5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5"/>
      <c r="CT909" s="5"/>
      <c r="CU909" s="5"/>
      <c r="CV909" s="5"/>
      <c r="CW909" s="5"/>
      <c r="CX909" s="5"/>
      <c r="CY909" s="5"/>
      <c r="CZ909" s="5"/>
      <c r="DA909" s="5"/>
      <c r="DB909" s="5"/>
      <c r="DC909" s="5"/>
      <c r="DD909" s="5"/>
      <c r="DE909" s="5"/>
      <c r="DF909" s="5"/>
      <c r="DG909" s="5"/>
      <c r="DH909" s="5"/>
      <c r="DI909" s="5"/>
      <c r="DJ909" s="5"/>
      <c r="DK909" s="5"/>
      <c r="DL909" s="5"/>
      <c r="DM909" s="5"/>
      <c r="DN909" s="5"/>
      <c r="DO909" s="5"/>
      <c r="DP909" s="5"/>
      <c r="DQ909" s="5"/>
      <c r="DR909" s="5"/>
      <c r="DS909" s="5"/>
      <c r="DT909" s="5"/>
      <c r="DU909" s="5"/>
      <c r="DV909" s="5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5"/>
      <c r="CT910" s="5"/>
      <c r="CU910" s="5"/>
      <c r="CV910" s="5"/>
      <c r="CW910" s="5"/>
      <c r="CX910" s="5"/>
      <c r="CY910" s="5"/>
      <c r="CZ910" s="5"/>
      <c r="DA910" s="5"/>
      <c r="DB910" s="5"/>
      <c r="DC910" s="5"/>
      <c r="DD910" s="5"/>
      <c r="DE910" s="5"/>
      <c r="DF910" s="5"/>
      <c r="DG910" s="5"/>
      <c r="DH910" s="5"/>
      <c r="DI910" s="5"/>
      <c r="DJ910" s="5"/>
      <c r="DK910" s="5"/>
      <c r="DL910" s="5"/>
      <c r="DM910" s="5"/>
      <c r="DN910" s="5"/>
      <c r="DO910" s="5"/>
      <c r="DP910" s="5"/>
      <c r="DQ910" s="5"/>
      <c r="DR910" s="5"/>
      <c r="DS910" s="5"/>
      <c r="DT910" s="5"/>
      <c r="DU910" s="5"/>
      <c r="DV910" s="5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5"/>
      <c r="CT911" s="5"/>
      <c r="CU911" s="5"/>
      <c r="CV911" s="5"/>
      <c r="CW911" s="5"/>
      <c r="CX911" s="5"/>
      <c r="CY911" s="5"/>
      <c r="CZ911" s="5"/>
      <c r="DA911" s="5"/>
      <c r="DB911" s="5"/>
      <c r="DC911" s="5"/>
      <c r="DD911" s="5"/>
      <c r="DE911" s="5"/>
      <c r="DF911" s="5"/>
      <c r="DG911" s="5"/>
      <c r="DH911" s="5"/>
      <c r="DI911" s="5"/>
      <c r="DJ911" s="5"/>
      <c r="DK911" s="5"/>
      <c r="DL911" s="5"/>
      <c r="DM911" s="5"/>
      <c r="DN911" s="5"/>
      <c r="DO911" s="5"/>
      <c r="DP911" s="5"/>
      <c r="DQ911" s="5"/>
      <c r="DR911" s="5"/>
      <c r="DS911" s="5"/>
      <c r="DT911" s="5"/>
      <c r="DU911" s="5"/>
      <c r="DV911" s="5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5"/>
      <c r="CT912" s="5"/>
      <c r="CU912" s="5"/>
      <c r="CV912" s="5"/>
      <c r="CW912" s="5"/>
      <c r="CX912" s="5"/>
      <c r="CY912" s="5"/>
      <c r="CZ912" s="5"/>
      <c r="DA912" s="5"/>
      <c r="DB912" s="5"/>
      <c r="DC912" s="5"/>
      <c r="DD912" s="5"/>
      <c r="DE912" s="5"/>
      <c r="DF912" s="5"/>
      <c r="DG912" s="5"/>
      <c r="DH912" s="5"/>
      <c r="DI912" s="5"/>
      <c r="DJ912" s="5"/>
      <c r="DK912" s="5"/>
      <c r="DL912" s="5"/>
      <c r="DM912" s="5"/>
      <c r="DN912" s="5"/>
      <c r="DO912" s="5"/>
      <c r="DP912" s="5"/>
      <c r="DQ912" s="5"/>
      <c r="DR912" s="5"/>
      <c r="DS912" s="5"/>
      <c r="DT912" s="5"/>
      <c r="DU912" s="5"/>
      <c r="DV912" s="5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5"/>
      <c r="CT913" s="5"/>
      <c r="CU913" s="5"/>
      <c r="CV913" s="5"/>
      <c r="CW913" s="5"/>
      <c r="CX913" s="5"/>
      <c r="CY913" s="5"/>
      <c r="CZ913" s="5"/>
      <c r="DA913" s="5"/>
      <c r="DB913" s="5"/>
      <c r="DC913" s="5"/>
      <c r="DD913" s="5"/>
      <c r="DE913" s="5"/>
      <c r="DF913" s="5"/>
      <c r="DG913" s="5"/>
      <c r="DH913" s="5"/>
      <c r="DI913" s="5"/>
      <c r="DJ913" s="5"/>
      <c r="DK913" s="5"/>
      <c r="DL913" s="5"/>
      <c r="DM913" s="5"/>
      <c r="DN913" s="5"/>
      <c r="DO913" s="5"/>
      <c r="DP913" s="5"/>
      <c r="DQ913" s="5"/>
      <c r="DR913" s="5"/>
      <c r="DS913" s="5"/>
      <c r="DT913" s="5"/>
      <c r="DU913" s="5"/>
      <c r="DV913" s="5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5"/>
      <c r="CT914" s="5"/>
      <c r="CU914" s="5"/>
      <c r="CV914" s="5"/>
      <c r="CW914" s="5"/>
      <c r="CX914" s="5"/>
      <c r="CY914" s="5"/>
      <c r="CZ914" s="5"/>
      <c r="DA914" s="5"/>
      <c r="DB914" s="5"/>
      <c r="DC914" s="5"/>
      <c r="DD914" s="5"/>
      <c r="DE914" s="5"/>
      <c r="DF914" s="5"/>
      <c r="DG914" s="5"/>
      <c r="DH914" s="5"/>
      <c r="DI914" s="5"/>
      <c r="DJ914" s="5"/>
      <c r="DK914" s="5"/>
      <c r="DL914" s="5"/>
      <c r="DM914" s="5"/>
      <c r="DN914" s="5"/>
      <c r="DO914" s="5"/>
      <c r="DP914" s="5"/>
      <c r="DQ914" s="5"/>
      <c r="DR914" s="5"/>
      <c r="DS914" s="5"/>
      <c r="DT914" s="5"/>
      <c r="DU914" s="5"/>
      <c r="DV914" s="5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5"/>
      <c r="CT915" s="5"/>
      <c r="CU915" s="5"/>
      <c r="CV915" s="5"/>
      <c r="CW915" s="5"/>
      <c r="CX915" s="5"/>
      <c r="CY915" s="5"/>
      <c r="CZ915" s="5"/>
      <c r="DA915" s="5"/>
      <c r="DB915" s="5"/>
      <c r="DC915" s="5"/>
      <c r="DD915" s="5"/>
      <c r="DE915" s="5"/>
      <c r="DF915" s="5"/>
      <c r="DG915" s="5"/>
      <c r="DH915" s="5"/>
      <c r="DI915" s="5"/>
      <c r="DJ915" s="5"/>
      <c r="DK915" s="5"/>
      <c r="DL915" s="5"/>
      <c r="DM915" s="5"/>
      <c r="DN915" s="5"/>
      <c r="DO915" s="5"/>
      <c r="DP915" s="5"/>
      <c r="DQ915" s="5"/>
      <c r="DR915" s="5"/>
      <c r="DS915" s="5"/>
      <c r="DT915" s="5"/>
      <c r="DU915" s="5"/>
      <c r="DV915" s="5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5"/>
      <c r="CT916" s="5"/>
      <c r="CU916" s="5"/>
      <c r="CV916" s="5"/>
      <c r="CW916" s="5"/>
      <c r="CX916" s="5"/>
      <c r="CY916" s="5"/>
      <c r="CZ916" s="5"/>
      <c r="DA916" s="5"/>
      <c r="DB916" s="5"/>
      <c r="DC916" s="5"/>
      <c r="DD916" s="5"/>
      <c r="DE916" s="5"/>
      <c r="DF916" s="5"/>
      <c r="DG916" s="5"/>
      <c r="DH916" s="5"/>
      <c r="DI916" s="5"/>
      <c r="DJ916" s="5"/>
      <c r="DK916" s="5"/>
      <c r="DL916" s="5"/>
      <c r="DM916" s="5"/>
      <c r="DN916" s="5"/>
      <c r="DO916" s="5"/>
      <c r="DP916" s="5"/>
      <c r="DQ916" s="5"/>
      <c r="DR916" s="5"/>
      <c r="DS916" s="5"/>
      <c r="DT916" s="5"/>
      <c r="DU916" s="5"/>
      <c r="DV916" s="5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5"/>
      <c r="CT917" s="5"/>
      <c r="CU917" s="5"/>
      <c r="CV917" s="5"/>
      <c r="CW917" s="5"/>
      <c r="CX917" s="5"/>
      <c r="CY917" s="5"/>
      <c r="CZ917" s="5"/>
      <c r="DA917" s="5"/>
      <c r="DB917" s="5"/>
      <c r="DC917" s="5"/>
      <c r="DD917" s="5"/>
      <c r="DE917" s="5"/>
      <c r="DF917" s="5"/>
      <c r="DG917" s="5"/>
      <c r="DH917" s="5"/>
      <c r="DI917" s="5"/>
      <c r="DJ917" s="5"/>
      <c r="DK917" s="5"/>
      <c r="DL917" s="5"/>
      <c r="DM917" s="5"/>
      <c r="DN917" s="5"/>
      <c r="DO917" s="5"/>
      <c r="DP917" s="5"/>
      <c r="DQ917" s="5"/>
      <c r="DR917" s="5"/>
      <c r="DS917" s="5"/>
      <c r="DT917" s="5"/>
      <c r="DU917" s="5"/>
      <c r="DV917" s="5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5"/>
      <c r="CT918" s="5"/>
      <c r="CU918" s="5"/>
      <c r="CV918" s="5"/>
      <c r="CW918" s="5"/>
      <c r="CX918" s="5"/>
      <c r="CY918" s="5"/>
      <c r="CZ918" s="5"/>
      <c r="DA918" s="5"/>
      <c r="DB918" s="5"/>
      <c r="DC918" s="5"/>
      <c r="DD918" s="5"/>
      <c r="DE918" s="5"/>
      <c r="DF918" s="5"/>
      <c r="DG918" s="5"/>
      <c r="DH918" s="5"/>
      <c r="DI918" s="5"/>
      <c r="DJ918" s="5"/>
      <c r="DK918" s="5"/>
      <c r="DL918" s="5"/>
      <c r="DM918" s="5"/>
      <c r="DN918" s="5"/>
      <c r="DO918" s="5"/>
      <c r="DP918" s="5"/>
      <c r="DQ918" s="5"/>
      <c r="DR918" s="5"/>
      <c r="DS918" s="5"/>
      <c r="DT918" s="5"/>
      <c r="DU918" s="5"/>
      <c r="DV918" s="5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5"/>
      <c r="CT919" s="5"/>
      <c r="CU919" s="5"/>
      <c r="CV919" s="5"/>
      <c r="CW919" s="5"/>
      <c r="CX919" s="5"/>
      <c r="CY919" s="5"/>
      <c r="CZ919" s="5"/>
      <c r="DA919" s="5"/>
      <c r="DB919" s="5"/>
      <c r="DC919" s="5"/>
      <c r="DD919" s="5"/>
      <c r="DE919" s="5"/>
      <c r="DF919" s="5"/>
      <c r="DG919" s="5"/>
      <c r="DH919" s="5"/>
      <c r="DI919" s="5"/>
      <c r="DJ919" s="5"/>
      <c r="DK919" s="5"/>
      <c r="DL919" s="5"/>
      <c r="DM919" s="5"/>
      <c r="DN919" s="5"/>
      <c r="DO919" s="5"/>
      <c r="DP919" s="5"/>
      <c r="DQ919" s="5"/>
      <c r="DR919" s="5"/>
      <c r="DS919" s="5"/>
      <c r="DT919" s="5"/>
      <c r="DU919" s="5"/>
      <c r="DV919" s="5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5"/>
      <c r="CT920" s="5"/>
      <c r="CU920" s="5"/>
      <c r="CV920" s="5"/>
      <c r="CW920" s="5"/>
      <c r="CX920" s="5"/>
      <c r="CY920" s="5"/>
      <c r="CZ920" s="5"/>
      <c r="DA920" s="5"/>
      <c r="DB920" s="5"/>
      <c r="DC920" s="5"/>
      <c r="DD920" s="5"/>
      <c r="DE920" s="5"/>
      <c r="DF920" s="5"/>
      <c r="DG920" s="5"/>
      <c r="DH920" s="5"/>
      <c r="DI920" s="5"/>
      <c r="DJ920" s="5"/>
      <c r="DK920" s="5"/>
      <c r="DL920" s="5"/>
      <c r="DM920" s="5"/>
      <c r="DN920" s="5"/>
      <c r="DO920" s="5"/>
      <c r="DP920" s="5"/>
      <c r="DQ920" s="5"/>
      <c r="DR920" s="5"/>
      <c r="DS920" s="5"/>
      <c r="DT920" s="5"/>
      <c r="DU920" s="5"/>
      <c r="DV920" s="5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5"/>
      <c r="CT921" s="5"/>
      <c r="CU921" s="5"/>
      <c r="CV921" s="5"/>
      <c r="CW921" s="5"/>
      <c r="CX921" s="5"/>
      <c r="CY921" s="5"/>
      <c r="CZ921" s="5"/>
      <c r="DA921" s="5"/>
      <c r="DB921" s="5"/>
      <c r="DC921" s="5"/>
      <c r="DD921" s="5"/>
      <c r="DE921" s="5"/>
      <c r="DF921" s="5"/>
      <c r="DG921" s="5"/>
      <c r="DH921" s="5"/>
      <c r="DI921" s="5"/>
      <c r="DJ921" s="5"/>
      <c r="DK921" s="5"/>
      <c r="DL921" s="5"/>
      <c r="DM921" s="5"/>
      <c r="DN921" s="5"/>
      <c r="DO921" s="5"/>
      <c r="DP921" s="5"/>
      <c r="DQ921" s="5"/>
      <c r="DR921" s="5"/>
      <c r="DS921" s="5"/>
      <c r="DT921" s="5"/>
      <c r="DU921" s="5"/>
      <c r="DV921" s="5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5"/>
      <c r="CT922" s="5"/>
      <c r="CU922" s="5"/>
      <c r="CV922" s="5"/>
      <c r="CW922" s="5"/>
      <c r="CX922" s="5"/>
      <c r="CY922" s="5"/>
      <c r="CZ922" s="5"/>
      <c r="DA922" s="5"/>
      <c r="DB922" s="5"/>
      <c r="DC922" s="5"/>
      <c r="DD922" s="5"/>
      <c r="DE922" s="5"/>
      <c r="DF922" s="5"/>
      <c r="DG922" s="5"/>
      <c r="DH922" s="5"/>
      <c r="DI922" s="5"/>
      <c r="DJ922" s="5"/>
      <c r="DK922" s="5"/>
      <c r="DL922" s="5"/>
      <c r="DM922" s="5"/>
      <c r="DN922" s="5"/>
      <c r="DO922" s="5"/>
      <c r="DP922" s="5"/>
      <c r="DQ922" s="5"/>
      <c r="DR922" s="5"/>
      <c r="DS922" s="5"/>
      <c r="DT922" s="5"/>
      <c r="DU922" s="5"/>
      <c r="DV922" s="5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5"/>
      <c r="CT923" s="5"/>
      <c r="CU923" s="5"/>
      <c r="CV923" s="5"/>
      <c r="CW923" s="5"/>
      <c r="CX923" s="5"/>
      <c r="CY923" s="5"/>
      <c r="CZ923" s="5"/>
      <c r="DA923" s="5"/>
      <c r="DB923" s="5"/>
      <c r="DC923" s="5"/>
      <c r="DD923" s="5"/>
      <c r="DE923" s="5"/>
      <c r="DF923" s="5"/>
      <c r="DG923" s="5"/>
      <c r="DH923" s="5"/>
      <c r="DI923" s="5"/>
      <c r="DJ923" s="5"/>
      <c r="DK923" s="5"/>
      <c r="DL923" s="5"/>
      <c r="DM923" s="5"/>
      <c r="DN923" s="5"/>
      <c r="DO923" s="5"/>
      <c r="DP923" s="5"/>
      <c r="DQ923" s="5"/>
      <c r="DR923" s="5"/>
      <c r="DS923" s="5"/>
      <c r="DT923" s="5"/>
      <c r="DU923" s="5"/>
      <c r="DV923" s="5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5"/>
      <c r="CT924" s="5"/>
      <c r="CU924" s="5"/>
      <c r="CV924" s="5"/>
      <c r="CW924" s="5"/>
      <c r="CX924" s="5"/>
      <c r="CY924" s="5"/>
      <c r="CZ924" s="5"/>
      <c r="DA924" s="5"/>
      <c r="DB924" s="5"/>
      <c r="DC924" s="5"/>
      <c r="DD924" s="5"/>
      <c r="DE924" s="5"/>
      <c r="DF924" s="5"/>
      <c r="DG924" s="5"/>
      <c r="DH924" s="5"/>
      <c r="DI924" s="5"/>
      <c r="DJ924" s="5"/>
      <c r="DK924" s="5"/>
      <c r="DL924" s="5"/>
      <c r="DM924" s="5"/>
      <c r="DN924" s="5"/>
      <c r="DO924" s="5"/>
      <c r="DP924" s="5"/>
      <c r="DQ924" s="5"/>
      <c r="DR924" s="5"/>
      <c r="DS924" s="5"/>
      <c r="DT924" s="5"/>
      <c r="DU924" s="5"/>
      <c r="DV924" s="5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5"/>
      <c r="CT925" s="5"/>
      <c r="CU925" s="5"/>
      <c r="CV925" s="5"/>
      <c r="CW925" s="5"/>
      <c r="CX925" s="5"/>
      <c r="CY925" s="5"/>
      <c r="CZ925" s="5"/>
      <c r="DA925" s="5"/>
      <c r="DB925" s="5"/>
      <c r="DC925" s="5"/>
      <c r="DD925" s="5"/>
      <c r="DE925" s="5"/>
      <c r="DF925" s="5"/>
      <c r="DG925" s="5"/>
      <c r="DH925" s="5"/>
      <c r="DI925" s="5"/>
      <c r="DJ925" s="5"/>
      <c r="DK925" s="5"/>
      <c r="DL925" s="5"/>
      <c r="DM925" s="5"/>
      <c r="DN925" s="5"/>
      <c r="DO925" s="5"/>
      <c r="DP925" s="5"/>
      <c r="DQ925" s="5"/>
      <c r="DR925" s="5"/>
      <c r="DS925" s="5"/>
      <c r="DT925" s="5"/>
      <c r="DU925" s="5"/>
      <c r="DV925" s="5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5"/>
      <c r="CT926" s="5"/>
      <c r="CU926" s="5"/>
      <c r="CV926" s="5"/>
      <c r="CW926" s="5"/>
      <c r="CX926" s="5"/>
      <c r="CY926" s="5"/>
      <c r="CZ926" s="5"/>
      <c r="DA926" s="5"/>
      <c r="DB926" s="5"/>
      <c r="DC926" s="5"/>
      <c r="DD926" s="5"/>
      <c r="DE926" s="5"/>
      <c r="DF926" s="5"/>
      <c r="DG926" s="5"/>
      <c r="DH926" s="5"/>
      <c r="DI926" s="5"/>
      <c r="DJ926" s="5"/>
      <c r="DK926" s="5"/>
      <c r="DL926" s="5"/>
      <c r="DM926" s="5"/>
      <c r="DN926" s="5"/>
      <c r="DO926" s="5"/>
      <c r="DP926" s="5"/>
      <c r="DQ926" s="5"/>
      <c r="DR926" s="5"/>
      <c r="DS926" s="5"/>
      <c r="DT926" s="5"/>
      <c r="DU926" s="5"/>
      <c r="DV926" s="5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5"/>
      <c r="CT927" s="5"/>
      <c r="CU927" s="5"/>
      <c r="CV927" s="5"/>
      <c r="CW927" s="5"/>
      <c r="CX927" s="5"/>
      <c r="CY927" s="5"/>
      <c r="CZ927" s="5"/>
      <c r="DA927" s="5"/>
      <c r="DB927" s="5"/>
      <c r="DC927" s="5"/>
      <c r="DD927" s="5"/>
      <c r="DE927" s="5"/>
      <c r="DF927" s="5"/>
      <c r="DG927" s="5"/>
      <c r="DH927" s="5"/>
      <c r="DI927" s="5"/>
      <c r="DJ927" s="5"/>
      <c r="DK927" s="5"/>
      <c r="DL927" s="5"/>
      <c r="DM927" s="5"/>
      <c r="DN927" s="5"/>
      <c r="DO927" s="5"/>
      <c r="DP927" s="5"/>
      <c r="DQ927" s="5"/>
      <c r="DR927" s="5"/>
      <c r="DS927" s="5"/>
      <c r="DT927" s="5"/>
      <c r="DU927" s="5"/>
      <c r="DV927" s="5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5"/>
      <c r="CT928" s="5"/>
      <c r="CU928" s="5"/>
      <c r="CV928" s="5"/>
      <c r="CW928" s="5"/>
      <c r="CX928" s="5"/>
      <c r="CY928" s="5"/>
      <c r="CZ928" s="5"/>
      <c r="DA928" s="5"/>
      <c r="DB928" s="5"/>
      <c r="DC928" s="5"/>
      <c r="DD928" s="5"/>
      <c r="DE928" s="5"/>
      <c r="DF928" s="5"/>
      <c r="DG928" s="5"/>
      <c r="DH928" s="5"/>
      <c r="DI928" s="5"/>
      <c r="DJ928" s="5"/>
      <c r="DK928" s="5"/>
      <c r="DL928" s="5"/>
      <c r="DM928" s="5"/>
      <c r="DN928" s="5"/>
      <c r="DO928" s="5"/>
      <c r="DP928" s="5"/>
      <c r="DQ928" s="5"/>
      <c r="DR928" s="5"/>
      <c r="DS928" s="5"/>
      <c r="DT928" s="5"/>
      <c r="DU928" s="5"/>
      <c r="DV928" s="5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5"/>
      <c r="CT929" s="5"/>
      <c r="CU929" s="5"/>
      <c r="CV929" s="5"/>
      <c r="CW929" s="5"/>
      <c r="CX929" s="5"/>
      <c r="CY929" s="5"/>
      <c r="CZ929" s="5"/>
      <c r="DA929" s="5"/>
      <c r="DB929" s="5"/>
      <c r="DC929" s="5"/>
      <c r="DD929" s="5"/>
      <c r="DE929" s="5"/>
      <c r="DF929" s="5"/>
      <c r="DG929" s="5"/>
      <c r="DH929" s="5"/>
      <c r="DI929" s="5"/>
      <c r="DJ929" s="5"/>
      <c r="DK929" s="5"/>
      <c r="DL929" s="5"/>
      <c r="DM929" s="5"/>
      <c r="DN929" s="5"/>
      <c r="DO929" s="5"/>
      <c r="DP929" s="5"/>
      <c r="DQ929" s="5"/>
      <c r="DR929" s="5"/>
      <c r="DS929" s="5"/>
      <c r="DT929" s="5"/>
      <c r="DU929" s="5"/>
      <c r="DV929" s="5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5"/>
      <c r="CT930" s="5"/>
      <c r="CU930" s="5"/>
      <c r="CV930" s="5"/>
      <c r="CW930" s="5"/>
      <c r="CX930" s="5"/>
      <c r="CY930" s="5"/>
      <c r="CZ930" s="5"/>
      <c r="DA930" s="5"/>
      <c r="DB930" s="5"/>
      <c r="DC930" s="5"/>
      <c r="DD930" s="5"/>
      <c r="DE930" s="5"/>
      <c r="DF930" s="5"/>
      <c r="DG930" s="5"/>
      <c r="DH930" s="5"/>
      <c r="DI930" s="5"/>
      <c r="DJ930" s="5"/>
      <c r="DK930" s="5"/>
      <c r="DL930" s="5"/>
      <c r="DM930" s="5"/>
      <c r="DN930" s="5"/>
      <c r="DO930" s="5"/>
      <c r="DP930" s="5"/>
      <c r="DQ930" s="5"/>
      <c r="DR930" s="5"/>
      <c r="DS930" s="5"/>
      <c r="DT930" s="5"/>
      <c r="DU930" s="5"/>
      <c r="DV930" s="5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5"/>
      <c r="CT931" s="5"/>
      <c r="CU931" s="5"/>
      <c r="CV931" s="5"/>
      <c r="CW931" s="5"/>
      <c r="CX931" s="5"/>
      <c r="CY931" s="5"/>
      <c r="CZ931" s="5"/>
      <c r="DA931" s="5"/>
      <c r="DB931" s="5"/>
      <c r="DC931" s="5"/>
      <c r="DD931" s="5"/>
      <c r="DE931" s="5"/>
      <c r="DF931" s="5"/>
      <c r="DG931" s="5"/>
      <c r="DH931" s="5"/>
      <c r="DI931" s="5"/>
      <c r="DJ931" s="5"/>
      <c r="DK931" s="5"/>
      <c r="DL931" s="5"/>
      <c r="DM931" s="5"/>
      <c r="DN931" s="5"/>
      <c r="DO931" s="5"/>
      <c r="DP931" s="5"/>
      <c r="DQ931" s="5"/>
      <c r="DR931" s="5"/>
      <c r="DS931" s="5"/>
      <c r="DT931" s="5"/>
      <c r="DU931" s="5"/>
      <c r="DV931" s="5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5"/>
      <c r="CT932" s="5"/>
      <c r="CU932" s="5"/>
      <c r="CV932" s="5"/>
      <c r="CW932" s="5"/>
      <c r="CX932" s="5"/>
      <c r="CY932" s="5"/>
      <c r="CZ932" s="5"/>
      <c r="DA932" s="5"/>
      <c r="DB932" s="5"/>
      <c r="DC932" s="5"/>
      <c r="DD932" s="5"/>
      <c r="DE932" s="5"/>
      <c r="DF932" s="5"/>
      <c r="DG932" s="5"/>
      <c r="DH932" s="5"/>
      <c r="DI932" s="5"/>
      <c r="DJ932" s="5"/>
      <c r="DK932" s="5"/>
      <c r="DL932" s="5"/>
      <c r="DM932" s="5"/>
      <c r="DN932" s="5"/>
      <c r="DO932" s="5"/>
      <c r="DP932" s="5"/>
      <c r="DQ932" s="5"/>
      <c r="DR932" s="5"/>
      <c r="DS932" s="5"/>
      <c r="DT932" s="5"/>
      <c r="DU932" s="5"/>
      <c r="DV932" s="5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5"/>
      <c r="CT933" s="5"/>
      <c r="CU933" s="5"/>
      <c r="CV933" s="5"/>
      <c r="CW933" s="5"/>
      <c r="CX933" s="5"/>
      <c r="CY933" s="5"/>
      <c r="CZ933" s="5"/>
      <c r="DA933" s="5"/>
      <c r="DB933" s="5"/>
      <c r="DC933" s="5"/>
      <c r="DD933" s="5"/>
      <c r="DE933" s="5"/>
      <c r="DF933" s="5"/>
      <c r="DG933" s="5"/>
      <c r="DH933" s="5"/>
      <c r="DI933" s="5"/>
      <c r="DJ933" s="5"/>
      <c r="DK933" s="5"/>
      <c r="DL933" s="5"/>
      <c r="DM933" s="5"/>
      <c r="DN933" s="5"/>
      <c r="DO933" s="5"/>
      <c r="DP933" s="5"/>
      <c r="DQ933" s="5"/>
      <c r="DR933" s="5"/>
      <c r="DS933" s="5"/>
      <c r="DT933" s="5"/>
      <c r="DU933" s="5"/>
      <c r="DV933" s="5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5"/>
      <c r="CT934" s="5"/>
      <c r="CU934" s="5"/>
      <c r="CV934" s="5"/>
      <c r="CW934" s="5"/>
      <c r="CX934" s="5"/>
      <c r="CY934" s="5"/>
      <c r="CZ934" s="5"/>
      <c r="DA934" s="5"/>
      <c r="DB934" s="5"/>
      <c r="DC934" s="5"/>
      <c r="DD934" s="5"/>
      <c r="DE934" s="5"/>
      <c r="DF934" s="5"/>
      <c r="DG934" s="5"/>
      <c r="DH934" s="5"/>
      <c r="DI934" s="5"/>
      <c r="DJ934" s="5"/>
      <c r="DK934" s="5"/>
      <c r="DL934" s="5"/>
      <c r="DM934" s="5"/>
      <c r="DN934" s="5"/>
      <c r="DO934" s="5"/>
      <c r="DP934" s="5"/>
      <c r="DQ934" s="5"/>
      <c r="DR934" s="5"/>
      <c r="DS934" s="5"/>
      <c r="DT934" s="5"/>
      <c r="DU934" s="5"/>
      <c r="DV934" s="5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5"/>
      <c r="CT935" s="5"/>
      <c r="CU935" s="5"/>
      <c r="CV935" s="5"/>
      <c r="CW935" s="5"/>
      <c r="CX935" s="5"/>
      <c r="CY935" s="5"/>
      <c r="CZ935" s="5"/>
      <c r="DA935" s="5"/>
      <c r="DB935" s="5"/>
      <c r="DC935" s="5"/>
      <c r="DD935" s="5"/>
      <c r="DE935" s="5"/>
      <c r="DF935" s="5"/>
      <c r="DG935" s="5"/>
      <c r="DH935" s="5"/>
      <c r="DI935" s="5"/>
      <c r="DJ935" s="5"/>
      <c r="DK935" s="5"/>
      <c r="DL935" s="5"/>
      <c r="DM935" s="5"/>
      <c r="DN935" s="5"/>
      <c r="DO935" s="5"/>
      <c r="DP935" s="5"/>
      <c r="DQ935" s="5"/>
      <c r="DR935" s="5"/>
      <c r="DS935" s="5"/>
      <c r="DT935" s="5"/>
      <c r="DU935" s="5"/>
      <c r="DV935" s="5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5"/>
      <c r="CT936" s="5"/>
      <c r="CU936" s="5"/>
      <c r="CV936" s="5"/>
      <c r="CW936" s="5"/>
      <c r="CX936" s="5"/>
      <c r="CY936" s="5"/>
      <c r="CZ936" s="5"/>
      <c r="DA936" s="5"/>
      <c r="DB936" s="5"/>
      <c r="DC936" s="5"/>
      <c r="DD936" s="5"/>
      <c r="DE936" s="5"/>
      <c r="DF936" s="5"/>
      <c r="DG936" s="5"/>
      <c r="DH936" s="5"/>
      <c r="DI936" s="5"/>
      <c r="DJ936" s="5"/>
      <c r="DK936" s="5"/>
      <c r="DL936" s="5"/>
      <c r="DM936" s="5"/>
      <c r="DN936" s="5"/>
      <c r="DO936" s="5"/>
      <c r="DP936" s="5"/>
      <c r="DQ936" s="5"/>
      <c r="DR936" s="5"/>
      <c r="DS936" s="5"/>
      <c r="DT936" s="5"/>
      <c r="DU936" s="5"/>
      <c r="DV936" s="5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5"/>
      <c r="CT937" s="5"/>
      <c r="CU937" s="5"/>
      <c r="CV937" s="5"/>
      <c r="CW937" s="5"/>
      <c r="CX937" s="5"/>
      <c r="CY937" s="5"/>
      <c r="CZ937" s="5"/>
      <c r="DA937" s="5"/>
      <c r="DB937" s="5"/>
      <c r="DC937" s="5"/>
      <c r="DD937" s="5"/>
      <c r="DE937" s="5"/>
      <c r="DF937" s="5"/>
      <c r="DG937" s="5"/>
      <c r="DH937" s="5"/>
      <c r="DI937" s="5"/>
      <c r="DJ937" s="5"/>
      <c r="DK937" s="5"/>
      <c r="DL937" s="5"/>
      <c r="DM937" s="5"/>
      <c r="DN937" s="5"/>
      <c r="DO937" s="5"/>
      <c r="DP937" s="5"/>
      <c r="DQ937" s="5"/>
      <c r="DR937" s="5"/>
      <c r="DS937" s="5"/>
      <c r="DT937" s="5"/>
      <c r="DU937" s="5"/>
      <c r="DV937" s="5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5"/>
      <c r="CT938" s="5"/>
      <c r="CU938" s="5"/>
      <c r="CV938" s="5"/>
      <c r="CW938" s="5"/>
      <c r="CX938" s="5"/>
      <c r="CY938" s="5"/>
      <c r="CZ938" s="5"/>
      <c r="DA938" s="5"/>
      <c r="DB938" s="5"/>
      <c r="DC938" s="5"/>
      <c r="DD938" s="5"/>
      <c r="DE938" s="5"/>
      <c r="DF938" s="5"/>
      <c r="DG938" s="5"/>
      <c r="DH938" s="5"/>
      <c r="DI938" s="5"/>
      <c r="DJ938" s="5"/>
      <c r="DK938" s="5"/>
      <c r="DL938" s="5"/>
      <c r="DM938" s="5"/>
      <c r="DN938" s="5"/>
      <c r="DO938" s="5"/>
      <c r="DP938" s="5"/>
      <c r="DQ938" s="5"/>
      <c r="DR938" s="5"/>
      <c r="DS938" s="5"/>
      <c r="DT938" s="5"/>
      <c r="DU938" s="5"/>
      <c r="DV938" s="5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5"/>
      <c r="CT939" s="5"/>
      <c r="CU939" s="5"/>
      <c r="CV939" s="5"/>
      <c r="CW939" s="5"/>
      <c r="CX939" s="5"/>
      <c r="CY939" s="5"/>
      <c r="CZ939" s="5"/>
      <c r="DA939" s="5"/>
      <c r="DB939" s="5"/>
      <c r="DC939" s="5"/>
      <c r="DD939" s="5"/>
      <c r="DE939" s="5"/>
      <c r="DF939" s="5"/>
      <c r="DG939" s="5"/>
      <c r="DH939" s="5"/>
      <c r="DI939" s="5"/>
      <c r="DJ939" s="5"/>
      <c r="DK939" s="5"/>
      <c r="DL939" s="5"/>
      <c r="DM939" s="5"/>
      <c r="DN939" s="5"/>
      <c r="DO939" s="5"/>
      <c r="DP939" s="5"/>
      <c r="DQ939" s="5"/>
      <c r="DR939" s="5"/>
      <c r="DS939" s="5"/>
      <c r="DT939" s="5"/>
      <c r="DU939" s="5"/>
      <c r="DV939" s="5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5"/>
      <c r="CT940" s="5"/>
      <c r="CU940" s="5"/>
      <c r="CV940" s="5"/>
      <c r="CW940" s="5"/>
      <c r="CX940" s="5"/>
      <c r="CY940" s="5"/>
      <c r="CZ940" s="5"/>
      <c r="DA940" s="5"/>
      <c r="DB940" s="5"/>
      <c r="DC940" s="5"/>
      <c r="DD940" s="5"/>
      <c r="DE940" s="5"/>
      <c r="DF940" s="5"/>
      <c r="DG940" s="5"/>
      <c r="DH940" s="5"/>
      <c r="DI940" s="5"/>
      <c r="DJ940" s="5"/>
      <c r="DK940" s="5"/>
      <c r="DL940" s="5"/>
      <c r="DM940" s="5"/>
      <c r="DN940" s="5"/>
      <c r="DO940" s="5"/>
      <c r="DP940" s="5"/>
      <c r="DQ940" s="5"/>
      <c r="DR940" s="5"/>
      <c r="DS940" s="5"/>
      <c r="DT940" s="5"/>
      <c r="DU940" s="5"/>
      <c r="DV940" s="5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5"/>
      <c r="CT941" s="5"/>
      <c r="CU941" s="5"/>
      <c r="CV941" s="5"/>
      <c r="CW941" s="5"/>
      <c r="CX941" s="5"/>
      <c r="CY941" s="5"/>
      <c r="CZ941" s="5"/>
      <c r="DA941" s="5"/>
      <c r="DB941" s="5"/>
      <c r="DC941" s="5"/>
      <c r="DD941" s="5"/>
      <c r="DE941" s="5"/>
      <c r="DF941" s="5"/>
      <c r="DG941" s="5"/>
      <c r="DH941" s="5"/>
      <c r="DI941" s="5"/>
      <c r="DJ941" s="5"/>
      <c r="DK941" s="5"/>
      <c r="DL941" s="5"/>
      <c r="DM941" s="5"/>
      <c r="DN941" s="5"/>
      <c r="DO941" s="5"/>
      <c r="DP941" s="5"/>
      <c r="DQ941" s="5"/>
      <c r="DR941" s="5"/>
      <c r="DS941" s="5"/>
      <c r="DT941" s="5"/>
      <c r="DU941" s="5"/>
      <c r="DV941" s="5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5"/>
      <c r="CT942" s="5"/>
      <c r="CU942" s="5"/>
      <c r="CV942" s="5"/>
      <c r="CW942" s="5"/>
      <c r="CX942" s="5"/>
      <c r="CY942" s="5"/>
      <c r="CZ942" s="5"/>
      <c r="DA942" s="5"/>
      <c r="DB942" s="5"/>
      <c r="DC942" s="5"/>
      <c r="DD942" s="5"/>
      <c r="DE942" s="5"/>
      <c r="DF942" s="5"/>
      <c r="DG942" s="5"/>
      <c r="DH942" s="5"/>
      <c r="DI942" s="5"/>
      <c r="DJ942" s="5"/>
      <c r="DK942" s="5"/>
      <c r="DL942" s="5"/>
      <c r="DM942" s="5"/>
      <c r="DN942" s="5"/>
      <c r="DO942" s="5"/>
      <c r="DP942" s="5"/>
      <c r="DQ942" s="5"/>
      <c r="DR942" s="5"/>
      <c r="DS942" s="5"/>
      <c r="DT942" s="5"/>
      <c r="DU942" s="5"/>
      <c r="DV942" s="5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5"/>
      <c r="CT943" s="5"/>
      <c r="CU943" s="5"/>
      <c r="CV943" s="5"/>
      <c r="CW943" s="5"/>
      <c r="CX943" s="5"/>
      <c r="CY943" s="5"/>
      <c r="CZ943" s="5"/>
      <c r="DA943" s="5"/>
      <c r="DB943" s="5"/>
      <c r="DC943" s="5"/>
      <c r="DD943" s="5"/>
      <c r="DE943" s="5"/>
      <c r="DF943" s="5"/>
      <c r="DG943" s="5"/>
      <c r="DH943" s="5"/>
      <c r="DI943" s="5"/>
      <c r="DJ943" s="5"/>
      <c r="DK943" s="5"/>
      <c r="DL943" s="5"/>
      <c r="DM943" s="5"/>
      <c r="DN943" s="5"/>
      <c r="DO943" s="5"/>
      <c r="DP943" s="5"/>
      <c r="DQ943" s="5"/>
      <c r="DR943" s="5"/>
      <c r="DS943" s="5"/>
      <c r="DT943" s="5"/>
      <c r="DU943" s="5"/>
      <c r="DV943" s="5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5"/>
      <c r="CT944" s="5"/>
      <c r="CU944" s="5"/>
      <c r="CV944" s="5"/>
      <c r="CW944" s="5"/>
      <c r="CX944" s="5"/>
      <c r="CY944" s="5"/>
      <c r="CZ944" s="5"/>
      <c r="DA944" s="5"/>
      <c r="DB944" s="5"/>
      <c r="DC944" s="5"/>
      <c r="DD944" s="5"/>
      <c r="DE944" s="5"/>
      <c r="DF944" s="5"/>
      <c r="DG944" s="5"/>
      <c r="DH944" s="5"/>
      <c r="DI944" s="5"/>
      <c r="DJ944" s="5"/>
      <c r="DK944" s="5"/>
      <c r="DL944" s="5"/>
      <c r="DM944" s="5"/>
      <c r="DN944" s="5"/>
      <c r="DO944" s="5"/>
      <c r="DP944" s="5"/>
      <c r="DQ944" s="5"/>
      <c r="DR944" s="5"/>
      <c r="DS944" s="5"/>
      <c r="DT944" s="5"/>
      <c r="DU944" s="5"/>
      <c r="DV944" s="5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5"/>
      <c r="CT945" s="5"/>
      <c r="CU945" s="5"/>
      <c r="CV945" s="5"/>
      <c r="CW945" s="5"/>
      <c r="CX945" s="5"/>
      <c r="CY945" s="5"/>
      <c r="CZ945" s="5"/>
      <c r="DA945" s="5"/>
      <c r="DB945" s="5"/>
      <c r="DC945" s="5"/>
      <c r="DD945" s="5"/>
      <c r="DE945" s="5"/>
      <c r="DF945" s="5"/>
      <c r="DG945" s="5"/>
      <c r="DH945" s="5"/>
      <c r="DI945" s="5"/>
      <c r="DJ945" s="5"/>
      <c r="DK945" s="5"/>
      <c r="DL945" s="5"/>
      <c r="DM945" s="5"/>
      <c r="DN945" s="5"/>
      <c r="DO945" s="5"/>
      <c r="DP945" s="5"/>
      <c r="DQ945" s="5"/>
      <c r="DR945" s="5"/>
      <c r="DS945" s="5"/>
      <c r="DT945" s="5"/>
      <c r="DU945" s="5"/>
      <c r="DV945" s="5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5"/>
      <c r="CT946" s="5"/>
      <c r="CU946" s="5"/>
      <c r="CV946" s="5"/>
      <c r="CW946" s="5"/>
      <c r="CX946" s="5"/>
      <c r="CY946" s="5"/>
      <c r="CZ946" s="5"/>
      <c r="DA946" s="5"/>
      <c r="DB946" s="5"/>
      <c r="DC946" s="5"/>
      <c r="DD946" s="5"/>
      <c r="DE946" s="5"/>
      <c r="DF946" s="5"/>
      <c r="DG946" s="5"/>
      <c r="DH946" s="5"/>
      <c r="DI946" s="5"/>
      <c r="DJ946" s="5"/>
      <c r="DK946" s="5"/>
      <c r="DL946" s="5"/>
      <c r="DM946" s="5"/>
      <c r="DN946" s="5"/>
      <c r="DO946" s="5"/>
      <c r="DP946" s="5"/>
      <c r="DQ946" s="5"/>
      <c r="DR946" s="5"/>
      <c r="DS946" s="5"/>
      <c r="DT946" s="5"/>
      <c r="DU946" s="5"/>
      <c r="DV946" s="5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5"/>
      <c r="CT947" s="5"/>
      <c r="CU947" s="5"/>
      <c r="CV947" s="5"/>
      <c r="CW947" s="5"/>
      <c r="CX947" s="5"/>
      <c r="CY947" s="5"/>
      <c r="CZ947" s="5"/>
      <c r="DA947" s="5"/>
      <c r="DB947" s="5"/>
      <c r="DC947" s="5"/>
      <c r="DD947" s="5"/>
      <c r="DE947" s="5"/>
      <c r="DF947" s="5"/>
      <c r="DG947" s="5"/>
      <c r="DH947" s="5"/>
      <c r="DI947" s="5"/>
      <c r="DJ947" s="5"/>
      <c r="DK947" s="5"/>
      <c r="DL947" s="5"/>
      <c r="DM947" s="5"/>
      <c r="DN947" s="5"/>
      <c r="DO947" s="5"/>
      <c r="DP947" s="5"/>
      <c r="DQ947" s="5"/>
      <c r="DR947" s="5"/>
      <c r="DS947" s="5"/>
      <c r="DT947" s="5"/>
      <c r="DU947" s="5"/>
      <c r="DV947" s="5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5"/>
      <c r="CT948" s="5"/>
      <c r="CU948" s="5"/>
      <c r="CV948" s="5"/>
      <c r="CW948" s="5"/>
      <c r="CX948" s="5"/>
      <c r="CY948" s="5"/>
      <c r="CZ948" s="5"/>
      <c r="DA948" s="5"/>
      <c r="DB948" s="5"/>
      <c r="DC948" s="5"/>
      <c r="DD948" s="5"/>
      <c r="DE948" s="5"/>
      <c r="DF948" s="5"/>
      <c r="DG948" s="5"/>
      <c r="DH948" s="5"/>
      <c r="DI948" s="5"/>
      <c r="DJ948" s="5"/>
      <c r="DK948" s="5"/>
      <c r="DL948" s="5"/>
      <c r="DM948" s="5"/>
      <c r="DN948" s="5"/>
      <c r="DO948" s="5"/>
      <c r="DP948" s="5"/>
      <c r="DQ948" s="5"/>
      <c r="DR948" s="5"/>
      <c r="DS948" s="5"/>
      <c r="DT948" s="5"/>
      <c r="DU948" s="5"/>
      <c r="DV948" s="5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5"/>
      <c r="CT949" s="5"/>
      <c r="CU949" s="5"/>
      <c r="CV949" s="5"/>
      <c r="CW949" s="5"/>
      <c r="CX949" s="5"/>
      <c r="CY949" s="5"/>
      <c r="CZ949" s="5"/>
      <c r="DA949" s="5"/>
      <c r="DB949" s="5"/>
      <c r="DC949" s="5"/>
      <c r="DD949" s="5"/>
      <c r="DE949" s="5"/>
      <c r="DF949" s="5"/>
      <c r="DG949" s="5"/>
      <c r="DH949" s="5"/>
      <c r="DI949" s="5"/>
      <c r="DJ949" s="5"/>
      <c r="DK949" s="5"/>
      <c r="DL949" s="5"/>
      <c r="DM949" s="5"/>
      <c r="DN949" s="5"/>
      <c r="DO949" s="5"/>
      <c r="DP949" s="5"/>
      <c r="DQ949" s="5"/>
      <c r="DR949" s="5"/>
      <c r="DS949" s="5"/>
      <c r="DT949" s="5"/>
      <c r="DU949" s="5"/>
      <c r="DV949" s="5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5"/>
      <c r="CT950" s="5"/>
      <c r="CU950" s="5"/>
      <c r="CV950" s="5"/>
      <c r="CW950" s="5"/>
      <c r="CX950" s="5"/>
      <c r="CY950" s="5"/>
      <c r="CZ950" s="5"/>
      <c r="DA950" s="5"/>
      <c r="DB950" s="5"/>
      <c r="DC950" s="5"/>
      <c r="DD950" s="5"/>
      <c r="DE950" s="5"/>
      <c r="DF950" s="5"/>
      <c r="DG950" s="5"/>
      <c r="DH950" s="5"/>
      <c r="DI950" s="5"/>
      <c r="DJ950" s="5"/>
      <c r="DK950" s="5"/>
      <c r="DL950" s="5"/>
      <c r="DM950" s="5"/>
      <c r="DN950" s="5"/>
      <c r="DO950" s="5"/>
      <c r="DP950" s="5"/>
      <c r="DQ950" s="5"/>
      <c r="DR950" s="5"/>
      <c r="DS950" s="5"/>
      <c r="DT950" s="5"/>
      <c r="DU950" s="5"/>
      <c r="DV950" s="5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5"/>
      <c r="CT951" s="5"/>
      <c r="CU951" s="5"/>
      <c r="CV951" s="5"/>
      <c r="CW951" s="5"/>
      <c r="CX951" s="5"/>
      <c r="CY951" s="5"/>
      <c r="CZ951" s="5"/>
      <c r="DA951" s="5"/>
      <c r="DB951" s="5"/>
      <c r="DC951" s="5"/>
      <c r="DD951" s="5"/>
      <c r="DE951" s="5"/>
      <c r="DF951" s="5"/>
      <c r="DG951" s="5"/>
      <c r="DH951" s="5"/>
      <c r="DI951" s="5"/>
      <c r="DJ951" s="5"/>
      <c r="DK951" s="5"/>
      <c r="DL951" s="5"/>
      <c r="DM951" s="5"/>
      <c r="DN951" s="5"/>
      <c r="DO951" s="5"/>
      <c r="DP951" s="5"/>
      <c r="DQ951" s="5"/>
      <c r="DR951" s="5"/>
      <c r="DS951" s="5"/>
      <c r="DT951" s="5"/>
      <c r="DU951" s="5"/>
      <c r="DV951" s="5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5"/>
      <c r="CT952" s="5"/>
      <c r="CU952" s="5"/>
      <c r="CV952" s="5"/>
      <c r="CW952" s="5"/>
      <c r="CX952" s="5"/>
      <c r="CY952" s="5"/>
      <c r="CZ952" s="5"/>
      <c r="DA952" s="5"/>
      <c r="DB952" s="5"/>
      <c r="DC952" s="5"/>
      <c r="DD952" s="5"/>
      <c r="DE952" s="5"/>
      <c r="DF952" s="5"/>
      <c r="DG952" s="5"/>
      <c r="DH952" s="5"/>
      <c r="DI952" s="5"/>
      <c r="DJ952" s="5"/>
      <c r="DK952" s="5"/>
      <c r="DL952" s="5"/>
      <c r="DM952" s="5"/>
      <c r="DN952" s="5"/>
      <c r="DO952" s="5"/>
      <c r="DP952" s="5"/>
      <c r="DQ952" s="5"/>
      <c r="DR952" s="5"/>
      <c r="DS952" s="5"/>
      <c r="DT952" s="5"/>
      <c r="DU952" s="5"/>
      <c r="DV952" s="5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5"/>
      <c r="CT953" s="5"/>
      <c r="CU953" s="5"/>
      <c r="CV953" s="5"/>
      <c r="CW953" s="5"/>
      <c r="CX953" s="5"/>
      <c r="CY953" s="5"/>
      <c r="CZ953" s="5"/>
      <c r="DA953" s="5"/>
      <c r="DB953" s="5"/>
      <c r="DC953" s="5"/>
      <c r="DD953" s="5"/>
      <c r="DE953" s="5"/>
      <c r="DF953" s="5"/>
      <c r="DG953" s="5"/>
      <c r="DH953" s="5"/>
      <c r="DI953" s="5"/>
      <c r="DJ953" s="5"/>
      <c r="DK953" s="5"/>
      <c r="DL953" s="5"/>
      <c r="DM953" s="5"/>
      <c r="DN953" s="5"/>
      <c r="DO953" s="5"/>
      <c r="DP953" s="5"/>
      <c r="DQ953" s="5"/>
      <c r="DR953" s="5"/>
      <c r="DS953" s="5"/>
      <c r="DT953" s="5"/>
      <c r="DU953" s="5"/>
      <c r="DV953" s="5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5"/>
      <c r="CT954" s="5"/>
      <c r="CU954" s="5"/>
      <c r="CV954" s="5"/>
      <c r="CW954" s="5"/>
      <c r="CX954" s="5"/>
      <c r="CY954" s="5"/>
      <c r="CZ954" s="5"/>
      <c r="DA954" s="5"/>
      <c r="DB954" s="5"/>
      <c r="DC954" s="5"/>
      <c r="DD954" s="5"/>
      <c r="DE954" s="5"/>
      <c r="DF954" s="5"/>
      <c r="DG954" s="5"/>
      <c r="DH954" s="5"/>
      <c r="DI954" s="5"/>
      <c r="DJ954" s="5"/>
      <c r="DK954" s="5"/>
      <c r="DL954" s="5"/>
      <c r="DM954" s="5"/>
      <c r="DN954" s="5"/>
      <c r="DO954" s="5"/>
      <c r="DP954" s="5"/>
      <c r="DQ954" s="5"/>
      <c r="DR954" s="5"/>
      <c r="DS954" s="5"/>
      <c r="DT954" s="5"/>
      <c r="DU954" s="5"/>
      <c r="DV954" s="5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5"/>
      <c r="CT955" s="5"/>
      <c r="CU955" s="5"/>
      <c r="CV955" s="5"/>
      <c r="CW955" s="5"/>
      <c r="CX955" s="5"/>
      <c r="CY955" s="5"/>
      <c r="CZ955" s="5"/>
      <c r="DA955" s="5"/>
      <c r="DB955" s="5"/>
      <c r="DC955" s="5"/>
      <c r="DD955" s="5"/>
      <c r="DE955" s="5"/>
      <c r="DF955" s="5"/>
      <c r="DG955" s="5"/>
      <c r="DH955" s="5"/>
      <c r="DI955" s="5"/>
      <c r="DJ955" s="5"/>
      <c r="DK955" s="5"/>
      <c r="DL955" s="5"/>
      <c r="DM955" s="5"/>
      <c r="DN955" s="5"/>
      <c r="DO955" s="5"/>
      <c r="DP955" s="5"/>
      <c r="DQ955" s="5"/>
      <c r="DR955" s="5"/>
      <c r="DS955" s="5"/>
      <c r="DT955" s="5"/>
      <c r="DU955" s="5"/>
      <c r="DV955" s="5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5"/>
      <c r="CT956" s="5"/>
      <c r="CU956" s="5"/>
      <c r="CV956" s="5"/>
      <c r="CW956" s="5"/>
      <c r="CX956" s="5"/>
      <c r="CY956" s="5"/>
      <c r="CZ956" s="5"/>
      <c r="DA956" s="5"/>
      <c r="DB956" s="5"/>
      <c r="DC956" s="5"/>
      <c r="DD956" s="5"/>
      <c r="DE956" s="5"/>
      <c r="DF956" s="5"/>
      <c r="DG956" s="5"/>
      <c r="DH956" s="5"/>
      <c r="DI956" s="5"/>
      <c r="DJ956" s="5"/>
      <c r="DK956" s="5"/>
      <c r="DL956" s="5"/>
      <c r="DM956" s="5"/>
      <c r="DN956" s="5"/>
      <c r="DO956" s="5"/>
      <c r="DP956" s="5"/>
      <c r="DQ956" s="5"/>
      <c r="DR956" s="5"/>
      <c r="DS956" s="5"/>
      <c r="DT956" s="5"/>
      <c r="DU956" s="5"/>
      <c r="DV956" s="5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5"/>
      <c r="CT957" s="5"/>
      <c r="CU957" s="5"/>
      <c r="CV957" s="5"/>
      <c r="CW957" s="5"/>
      <c r="CX957" s="5"/>
      <c r="CY957" s="5"/>
      <c r="CZ957" s="5"/>
      <c r="DA957" s="5"/>
      <c r="DB957" s="5"/>
      <c r="DC957" s="5"/>
      <c r="DD957" s="5"/>
      <c r="DE957" s="5"/>
      <c r="DF957" s="5"/>
      <c r="DG957" s="5"/>
      <c r="DH957" s="5"/>
      <c r="DI957" s="5"/>
      <c r="DJ957" s="5"/>
      <c r="DK957" s="5"/>
      <c r="DL957" s="5"/>
      <c r="DM957" s="5"/>
      <c r="DN957" s="5"/>
      <c r="DO957" s="5"/>
      <c r="DP957" s="5"/>
      <c r="DQ957" s="5"/>
      <c r="DR957" s="5"/>
      <c r="DS957" s="5"/>
      <c r="DT957" s="5"/>
      <c r="DU957" s="5"/>
      <c r="DV957" s="5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5"/>
      <c r="CT958" s="5"/>
      <c r="CU958" s="5"/>
      <c r="CV958" s="5"/>
      <c r="CW958" s="5"/>
      <c r="CX958" s="5"/>
      <c r="CY958" s="5"/>
      <c r="CZ958" s="5"/>
      <c r="DA958" s="5"/>
      <c r="DB958" s="5"/>
      <c r="DC958" s="5"/>
      <c r="DD958" s="5"/>
      <c r="DE958" s="5"/>
      <c r="DF958" s="5"/>
      <c r="DG958" s="5"/>
      <c r="DH958" s="5"/>
      <c r="DI958" s="5"/>
      <c r="DJ958" s="5"/>
      <c r="DK958" s="5"/>
      <c r="DL958" s="5"/>
      <c r="DM958" s="5"/>
      <c r="DN958" s="5"/>
      <c r="DO958" s="5"/>
      <c r="DP958" s="5"/>
      <c r="DQ958" s="5"/>
      <c r="DR958" s="5"/>
      <c r="DS958" s="5"/>
      <c r="DT958" s="5"/>
      <c r="DU958" s="5"/>
      <c r="DV958" s="5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5"/>
      <c r="CT959" s="5"/>
      <c r="CU959" s="5"/>
      <c r="CV959" s="5"/>
      <c r="CW959" s="5"/>
      <c r="CX959" s="5"/>
      <c r="CY959" s="5"/>
      <c r="CZ959" s="5"/>
      <c r="DA959" s="5"/>
      <c r="DB959" s="5"/>
      <c r="DC959" s="5"/>
      <c r="DD959" s="5"/>
      <c r="DE959" s="5"/>
      <c r="DF959" s="5"/>
      <c r="DG959" s="5"/>
      <c r="DH959" s="5"/>
      <c r="DI959" s="5"/>
      <c r="DJ959" s="5"/>
      <c r="DK959" s="5"/>
      <c r="DL959" s="5"/>
      <c r="DM959" s="5"/>
      <c r="DN959" s="5"/>
      <c r="DO959" s="5"/>
      <c r="DP959" s="5"/>
      <c r="DQ959" s="5"/>
      <c r="DR959" s="5"/>
      <c r="DS959" s="5"/>
      <c r="DT959" s="5"/>
      <c r="DU959" s="5"/>
      <c r="DV959" s="5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5"/>
      <c r="CT960" s="5"/>
      <c r="CU960" s="5"/>
      <c r="CV960" s="5"/>
      <c r="CW960" s="5"/>
      <c r="CX960" s="5"/>
      <c r="CY960" s="5"/>
      <c r="CZ960" s="5"/>
      <c r="DA960" s="5"/>
      <c r="DB960" s="5"/>
      <c r="DC960" s="5"/>
      <c r="DD960" s="5"/>
      <c r="DE960" s="5"/>
      <c r="DF960" s="5"/>
      <c r="DG960" s="5"/>
      <c r="DH960" s="5"/>
      <c r="DI960" s="5"/>
      <c r="DJ960" s="5"/>
      <c r="DK960" s="5"/>
      <c r="DL960" s="5"/>
      <c r="DM960" s="5"/>
      <c r="DN960" s="5"/>
      <c r="DO960" s="5"/>
      <c r="DP960" s="5"/>
      <c r="DQ960" s="5"/>
      <c r="DR960" s="5"/>
      <c r="DS960" s="5"/>
      <c r="DT960" s="5"/>
      <c r="DU960" s="5"/>
      <c r="DV960" s="5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5"/>
      <c r="CT961" s="5"/>
      <c r="CU961" s="5"/>
      <c r="CV961" s="5"/>
      <c r="CW961" s="5"/>
      <c r="CX961" s="5"/>
      <c r="CY961" s="5"/>
      <c r="CZ961" s="5"/>
      <c r="DA961" s="5"/>
      <c r="DB961" s="5"/>
      <c r="DC961" s="5"/>
      <c r="DD961" s="5"/>
      <c r="DE961" s="5"/>
      <c r="DF961" s="5"/>
      <c r="DG961" s="5"/>
      <c r="DH961" s="5"/>
      <c r="DI961" s="5"/>
      <c r="DJ961" s="5"/>
      <c r="DK961" s="5"/>
      <c r="DL961" s="5"/>
      <c r="DM961" s="5"/>
      <c r="DN961" s="5"/>
      <c r="DO961" s="5"/>
      <c r="DP961" s="5"/>
      <c r="DQ961" s="5"/>
      <c r="DR961" s="5"/>
      <c r="DS961" s="5"/>
      <c r="DT961" s="5"/>
      <c r="DU961" s="5"/>
      <c r="DV961" s="5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5"/>
      <c r="CT962" s="5"/>
      <c r="CU962" s="5"/>
      <c r="CV962" s="5"/>
      <c r="CW962" s="5"/>
      <c r="CX962" s="5"/>
      <c r="CY962" s="5"/>
      <c r="CZ962" s="5"/>
      <c r="DA962" s="5"/>
      <c r="DB962" s="5"/>
      <c r="DC962" s="5"/>
      <c r="DD962" s="5"/>
      <c r="DE962" s="5"/>
      <c r="DF962" s="5"/>
      <c r="DG962" s="5"/>
      <c r="DH962" s="5"/>
      <c r="DI962" s="5"/>
      <c r="DJ962" s="5"/>
      <c r="DK962" s="5"/>
      <c r="DL962" s="5"/>
      <c r="DM962" s="5"/>
      <c r="DN962" s="5"/>
      <c r="DO962" s="5"/>
      <c r="DP962" s="5"/>
      <c r="DQ962" s="5"/>
      <c r="DR962" s="5"/>
      <c r="DS962" s="5"/>
      <c r="DT962" s="5"/>
      <c r="DU962" s="5"/>
      <c r="DV962" s="5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5"/>
      <c r="CT963" s="5"/>
      <c r="CU963" s="5"/>
      <c r="CV963" s="5"/>
      <c r="CW963" s="5"/>
      <c r="CX963" s="5"/>
      <c r="CY963" s="5"/>
      <c r="CZ963" s="5"/>
      <c r="DA963" s="5"/>
      <c r="DB963" s="5"/>
      <c r="DC963" s="5"/>
      <c r="DD963" s="5"/>
      <c r="DE963" s="5"/>
      <c r="DF963" s="5"/>
      <c r="DG963" s="5"/>
      <c r="DH963" s="5"/>
      <c r="DI963" s="5"/>
      <c r="DJ963" s="5"/>
      <c r="DK963" s="5"/>
      <c r="DL963" s="5"/>
      <c r="DM963" s="5"/>
      <c r="DN963" s="5"/>
      <c r="DO963" s="5"/>
      <c r="DP963" s="5"/>
      <c r="DQ963" s="5"/>
      <c r="DR963" s="5"/>
      <c r="DS963" s="5"/>
      <c r="DT963" s="5"/>
      <c r="DU963" s="5"/>
      <c r="DV963" s="5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5"/>
      <c r="CT964" s="5"/>
      <c r="CU964" s="5"/>
      <c r="CV964" s="5"/>
      <c r="CW964" s="5"/>
      <c r="CX964" s="5"/>
      <c r="CY964" s="5"/>
      <c r="CZ964" s="5"/>
      <c r="DA964" s="5"/>
      <c r="DB964" s="5"/>
      <c r="DC964" s="5"/>
      <c r="DD964" s="5"/>
      <c r="DE964" s="5"/>
      <c r="DF964" s="5"/>
      <c r="DG964" s="5"/>
      <c r="DH964" s="5"/>
      <c r="DI964" s="5"/>
      <c r="DJ964" s="5"/>
      <c r="DK964" s="5"/>
      <c r="DL964" s="5"/>
      <c r="DM964" s="5"/>
      <c r="DN964" s="5"/>
      <c r="DO964" s="5"/>
      <c r="DP964" s="5"/>
      <c r="DQ964" s="5"/>
      <c r="DR964" s="5"/>
      <c r="DS964" s="5"/>
      <c r="DT964" s="5"/>
      <c r="DU964" s="5"/>
      <c r="DV964" s="5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5"/>
      <c r="CT965" s="5"/>
      <c r="CU965" s="5"/>
      <c r="CV965" s="5"/>
      <c r="CW965" s="5"/>
      <c r="CX965" s="5"/>
      <c r="CY965" s="5"/>
      <c r="CZ965" s="5"/>
      <c r="DA965" s="5"/>
      <c r="DB965" s="5"/>
      <c r="DC965" s="5"/>
      <c r="DD965" s="5"/>
      <c r="DE965" s="5"/>
      <c r="DF965" s="5"/>
      <c r="DG965" s="5"/>
      <c r="DH965" s="5"/>
      <c r="DI965" s="5"/>
      <c r="DJ965" s="5"/>
      <c r="DK965" s="5"/>
      <c r="DL965" s="5"/>
      <c r="DM965" s="5"/>
      <c r="DN965" s="5"/>
      <c r="DO965" s="5"/>
      <c r="DP965" s="5"/>
      <c r="DQ965" s="5"/>
      <c r="DR965" s="5"/>
      <c r="DS965" s="5"/>
      <c r="DT965" s="5"/>
      <c r="DU965" s="5"/>
      <c r="DV965" s="5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5"/>
      <c r="CT966" s="5"/>
      <c r="CU966" s="5"/>
      <c r="CV966" s="5"/>
      <c r="CW966" s="5"/>
      <c r="CX966" s="5"/>
      <c r="CY966" s="5"/>
      <c r="CZ966" s="5"/>
      <c r="DA966" s="5"/>
      <c r="DB966" s="5"/>
      <c r="DC966" s="5"/>
      <c r="DD966" s="5"/>
      <c r="DE966" s="5"/>
      <c r="DF966" s="5"/>
      <c r="DG966" s="5"/>
      <c r="DH966" s="5"/>
      <c r="DI966" s="5"/>
      <c r="DJ966" s="5"/>
      <c r="DK966" s="5"/>
      <c r="DL966" s="5"/>
      <c r="DM966" s="5"/>
      <c r="DN966" s="5"/>
      <c r="DO966" s="5"/>
      <c r="DP966" s="5"/>
      <c r="DQ966" s="5"/>
      <c r="DR966" s="5"/>
      <c r="DS966" s="5"/>
      <c r="DT966" s="5"/>
      <c r="DU966" s="5"/>
      <c r="DV966" s="5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5"/>
      <c r="CT967" s="5"/>
      <c r="CU967" s="5"/>
      <c r="CV967" s="5"/>
      <c r="CW967" s="5"/>
      <c r="CX967" s="5"/>
      <c r="CY967" s="5"/>
      <c r="CZ967" s="5"/>
      <c r="DA967" s="5"/>
      <c r="DB967" s="5"/>
      <c r="DC967" s="5"/>
      <c r="DD967" s="5"/>
      <c r="DE967" s="5"/>
      <c r="DF967" s="5"/>
      <c r="DG967" s="5"/>
      <c r="DH967" s="5"/>
      <c r="DI967" s="5"/>
      <c r="DJ967" s="5"/>
      <c r="DK967" s="5"/>
      <c r="DL967" s="5"/>
      <c r="DM967" s="5"/>
      <c r="DN967" s="5"/>
      <c r="DO967" s="5"/>
      <c r="DP967" s="5"/>
      <c r="DQ967" s="5"/>
      <c r="DR967" s="5"/>
      <c r="DS967" s="5"/>
      <c r="DT967" s="5"/>
      <c r="DU967" s="5"/>
      <c r="DV967" s="5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5"/>
      <c r="CT968" s="5"/>
      <c r="CU968" s="5"/>
      <c r="CV968" s="5"/>
      <c r="CW968" s="5"/>
      <c r="CX968" s="5"/>
      <c r="CY968" s="5"/>
      <c r="CZ968" s="5"/>
      <c r="DA968" s="5"/>
      <c r="DB968" s="5"/>
      <c r="DC968" s="5"/>
      <c r="DD968" s="5"/>
      <c r="DE968" s="5"/>
      <c r="DF968" s="5"/>
      <c r="DG968" s="5"/>
      <c r="DH968" s="5"/>
      <c r="DI968" s="5"/>
      <c r="DJ968" s="5"/>
      <c r="DK968" s="5"/>
      <c r="DL968" s="5"/>
      <c r="DM968" s="5"/>
      <c r="DN968" s="5"/>
      <c r="DO968" s="5"/>
      <c r="DP968" s="5"/>
      <c r="DQ968" s="5"/>
      <c r="DR968" s="5"/>
      <c r="DS968" s="5"/>
      <c r="DT968" s="5"/>
      <c r="DU968" s="5"/>
      <c r="DV968" s="5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5"/>
      <c r="CT969" s="5"/>
      <c r="CU969" s="5"/>
      <c r="CV969" s="5"/>
      <c r="CW969" s="5"/>
      <c r="CX969" s="5"/>
      <c r="CY969" s="5"/>
      <c r="CZ969" s="5"/>
      <c r="DA969" s="5"/>
      <c r="DB969" s="5"/>
      <c r="DC969" s="5"/>
      <c r="DD969" s="5"/>
      <c r="DE969" s="5"/>
      <c r="DF969" s="5"/>
      <c r="DG969" s="5"/>
      <c r="DH969" s="5"/>
      <c r="DI969" s="5"/>
      <c r="DJ969" s="5"/>
      <c r="DK969" s="5"/>
      <c r="DL969" s="5"/>
      <c r="DM969" s="5"/>
      <c r="DN969" s="5"/>
      <c r="DO969" s="5"/>
      <c r="DP969" s="5"/>
      <c r="DQ969" s="5"/>
      <c r="DR969" s="5"/>
      <c r="DS969" s="5"/>
      <c r="DT969" s="5"/>
      <c r="DU969" s="5"/>
      <c r="DV969" s="5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5"/>
      <c r="CT970" s="5"/>
      <c r="CU970" s="5"/>
      <c r="CV970" s="5"/>
      <c r="CW970" s="5"/>
      <c r="CX970" s="5"/>
      <c r="CY970" s="5"/>
      <c r="CZ970" s="5"/>
      <c r="DA970" s="5"/>
      <c r="DB970" s="5"/>
      <c r="DC970" s="5"/>
      <c r="DD970" s="5"/>
      <c r="DE970" s="5"/>
      <c r="DF970" s="5"/>
      <c r="DG970" s="5"/>
      <c r="DH970" s="5"/>
      <c r="DI970" s="5"/>
      <c r="DJ970" s="5"/>
      <c r="DK970" s="5"/>
      <c r="DL970" s="5"/>
      <c r="DM970" s="5"/>
      <c r="DN970" s="5"/>
      <c r="DO970" s="5"/>
      <c r="DP970" s="5"/>
      <c r="DQ970" s="5"/>
      <c r="DR970" s="5"/>
      <c r="DS970" s="5"/>
      <c r="DT970" s="5"/>
      <c r="DU970" s="5"/>
      <c r="DV970" s="5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5"/>
      <c r="CT971" s="5"/>
      <c r="CU971" s="5"/>
      <c r="CV971" s="5"/>
      <c r="CW971" s="5"/>
      <c r="CX971" s="5"/>
      <c r="CY971" s="5"/>
      <c r="CZ971" s="5"/>
      <c r="DA971" s="5"/>
      <c r="DB971" s="5"/>
      <c r="DC971" s="5"/>
      <c r="DD971" s="5"/>
      <c r="DE971" s="5"/>
      <c r="DF971" s="5"/>
      <c r="DG971" s="5"/>
      <c r="DH971" s="5"/>
      <c r="DI971" s="5"/>
      <c r="DJ971" s="5"/>
      <c r="DK971" s="5"/>
      <c r="DL971" s="5"/>
      <c r="DM971" s="5"/>
      <c r="DN971" s="5"/>
      <c r="DO971" s="5"/>
      <c r="DP971" s="5"/>
      <c r="DQ971" s="5"/>
      <c r="DR971" s="5"/>
      <c r="DS971" s="5"/>
      <c r="DT971" s="5"/>
      <c r="DU971" s="5"/>
      <c r="DV971" s="5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5"/>
      <c r="CT972" s="5"/>
      <c r="CU972" s="5"/>
      <c r="CV972" s="5"/>
      <c r="CW972" s="5"/>
      <c r="CX972" s="5"/>
      <c r="CY972" s="5"/>
      <c r="CZ972" s="5"/>
      <c r="DA972" s="5"/>
      <c r="DB972" s="5"/>
      <c r="DC972" s="5"/>
      <c r="DD972" s="5"/>
      <c r="DE972" s="5"/>
      <c r="DF972" s="5"/>
      <c r="DG972" s="5"/>
      <c r="DH972" s="5"/>
      <c r="DI972" s="5"/>
      <c r="DJ972" s="5"/>
      <c r="DK972" s="5"/>
      <c r="DL972" s="5"/>
      <c r="DM972" s="5"/>
      <c r="DN972" s="5"/>
      <c r="DO972" s="5"/>
      <c r="DP972" s="5"/>
      <c r="DQ972" s="5"/>
      <c r="DR972" s="5"/>
      <c r="DS972" s="5"/>
      <c r="DT972" s="5"/>
      <c r="DU972" s="5"/>
      <c r="DV972" s="5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5"/>
      <c r="CT973" s="5"/>
      <c r="CU973" s="5"/>
      <c r="CV973" s="5"/>
      <c r="CW973" s="5"/>
      <c r="CX973" s="5"/>
      <c r="CY973" s="5"/>
      <c r="CZ973" s="5"/>
      <c r="DA973" s="5"/>
      <c r="DB973" s="5"/>
      <c r="DC973" s="5"/>
      <c r="DD973" s="5"/>
      <c r="DE973" s="5"/>
      <c r="DF973" s="5"/>
      <c r="DG973" s="5"/>
      <c r="DH973" s="5"/>
      <c r="DI973" s="5"/>
      <c r="DJ973" s="5"/>
      <c r="DK973" s="5"/>
      <c r="DL973" s="5"/>
      <c r="DM973" s="5"/>
      <c r="DN973" s="5"/>
      <c r="DO973" s="5"/>
      <c r="DP973" s="5"/>
      <c r="DQ973" s="5"/>
      <c r="DR973" s="5"/>
      <c r="DS973" s="5"/>
      <c r="DT973" s="5"/>
      <c r="DU973" s="5"/>
      <c r="DV973" s="5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5"/>
      <c r="CT974" s="5"/>
      <c r="CU974" s="5"/>
      <c r="CV974" s="5"/>
      <c r="CW974" s="5"/>
      <c r="CX974" s="5"/>
      <c r="CY974" s="5"/>
      <c r="CZ974" s="5"/>
      <c r="DA974" s="5"/>
      <c r="DB974" s="5"/>
      <c r="DC974" s="5"/>
      <c r="DD974" s="5"/>
      <c r="DE974" s="5"/>
      <c r="DF974" s="5"/>
      <c r="DG974" s="5"/>
      <c r="DH974" s="5"/>
      <c r="DI974" s="5"/>
      <c r="DJ974" s="5"/>
      <c r="DK974" s="5"/>
      <c r="DL974" s="5"/>
      <c r="DM974" s="5"/>
      <c r="DN974" s="5"/>
      <c r="DO974" s="5"/>
      <c r="DP974" s="5"/>
      <c r="DQ974" s="5"/>
      <c r="DR974" s="5"/>
      <c r="DS974" s="5"/>
      <c r="DT974" s="5"/>
      <c r="DU974" s="5"/>
      <c r="DV974" s="5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5"/>
      <c r="CT975" s="5"/>
      <c r="CU975" s="5"/>
      <c r="CV975" s="5"/>
      <c r="CW975" s="5"/>
      <c r="CX975" s="5"/>
      <c r="CY975" s="5"/>
      <c r="CZ975" s="5"/>
      <c r="DA975" s="5"/>
      <c r="DB975" s="5"/>
      <c r="DC975" s="5"/>
      <c r="DD975" s="5"/>
      <c r="DE975" s="5"/>
      <c r="DF975" s="5"/>
      <c r="DG975" s="5"/>
      <c r="DH975" s="5"/>
      <c r="DI975" s="5"/>
      <c r="DJ975" s="5"/>
      <c r="DK975" s="5"/>
      <c r="DL975" s="5"/>
      <c r="DM975" s="5"/>
      <c r="DN975" s="5"/>
      <c r="DO975" s="5"/>
      <c r="DP975" s="5"/>
      <c r="DQ975" s="5"/>
      <c r="DR975" s="5"/>
      <c r="DS975" s="5"/>
      <c r="DT975" s="5"/>
      <c r="DU975" s="5"/>
      <c r="DV975" s="5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5"/>
      <c r="CT976" s="5"/>
      <c r="CU976" s="5"/>
      <c r="CV976" s="5"/>
      <c r="CW976" s="5"/>
      <c r="CX976" s="5"/>
      <c r="CY976" s="5"/>
      <c r="CZ976" s="5"/>
      <c r="DA976" s="5"/>
      <c r="DB976" s="5"/>
      <c r="DC976" s="5"/>
      <c r="DD976" s="5"/>
      <c r="DE976" s="5"/>
      <c r="DF976" s="5"/>
      <c r="DG976" s="5"/>
      <c r="DH976" s="5"/>
      <c r="DI976" s="5"/>
      <c r="DJ976" s="5"/>
      <c r="DK976" s="5"/>
      <c r="DL976" s="5"/>
      <c r="DM976" s="5"/>
      <c r="DN976" s="5"/>
      <c r="DO976" s="5"/>
      <c r="DP976" s="5"/>
      <c r="DQ976" s="5"/>
      <c r="DR976" s="5"/>
      <c r="DS976" s="5"/>
      <c r="DT976" s="5"/>
      <c r="DU976" s="5"/>
      <c r="DV976" s="5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5"/>
      <c r="CT977" s="5"/>
      <c r="CU977" s="5"/>
      <c r="CV977" s="5"/>
      <c r="CW977" s="5"/>
      <c r="CX977" s="5"/>
      <c r="CY977" s="5"/>
      <c r="CZ977" s="5"/>
      <c r="DA977" s="5"/>
      <c r="DB977" s="5"/>
      <c r="DC977" s="5"/>
      <c r="DD977" s="5"/>
      <c r="DE977" s="5"/>
      <c r="DF977" s="5"/>
      <c r="DG977" s="5"/>
      <c r="DH977" s="5"/>
      <c r="DI977" s="5"/>
      <c r="DJ977" s="5"/>
      <c r="DK977" s="5"/>
      <c r="DL977" s="5"/>
      <c r="DM977" s="5"/>
      <c r="DN977" s="5"/>
      <c r="DO977" s="5"/>
      <c r="DP977" s="5"/>
      <c r="DQ977" s="5"/>
      <c r="DR977" s="5"/>
      <c r="DS977" s="5"/>
      <c r="DT977" s="5"/>
      <c r="DU977" s="5"/>
      <c r="DV977" s="5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5"/>
      <c r="CT978" s="5"/>
      <c r="CU978" s="5"/>
      <c r="CV978" s="5"/>
      <c r="CW978" s="5"/>
      <c r="CX978" s="5"/>
      <c r="CY978" s="5"/>
      <c r="CZ978" s="5"/>
      <c r="DA978" s="5"/>
      <c r="DB978" s="5"/>
      <c r="DC978" s="5"/>
      <c r="DD978" s="5"/>
      <c r="DE978" s="5"/>
      <c r="DF978" s="5"/>
      <c r="DG978" s="5"/>
      <c r="DH978" s="5"/>
      <c r="DI978" s="5"/>
      <c r="DJ978" s="5"/>
      <c r="DK978" s="5"/>
      <c r="DL978" s="5"/>
      <c r="DM978" s="5"/>
      <c r="DN978" s="5"/>
      <c r="DO978" s="5"/>
      <c r="DP978" s="5"/>
      <c r="DQ978" s="5"/>
      <c r="DR978" s="5"/>
      <c r="DS978" s="5"/>
      <c r="DT978" s="5"/>
      <c r="DU978" s="5"/>
      <c r="DV978" s="5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5"/>
      <c r="CT979" s="5"/>
      <c r="CU979" s="5"/>
      <c r="CV979" s="5"/>
      <c r="CW979" s="5"/>
      <c r="CX979" s="5"/>
      <c r="CY979" s="5"/>
      <c r="CZ979" s="5"/>
      <c r="DA979" s="5"/>
      <c r="DB979" s="5"/>
      <c r="DC979" s="5"/>
      <c r="DD979" s="5"/>
      <c r="DE979" s="5"/>
      <c r="DF979" s="5"/>
      <c r="DG979" s="5"/>
      <c r="DH979" s="5"/>
      <c r="DI979" s="5"/>
      <c r="DJ979" s="5"/>
      <c r="DK979" s="5"/>
      <c r="DL979" s="5"/>
      <c r="DM979" s="5"/>
      <c r="DN979" s="5"/>
      <c r="DO979" s="5"/>
      <c r="DP979" s="5"/>
      <c r="DQ979" s="5"/>
      <c r="DR979" s="5"/>
      <c r="DS979" s="5"/>
      <c r="DT979" s="5"/>
      <c r="DU979" s="5"/>
      <c r="DV979" s="5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5"/>
      <c r="CT980" s="5"/>
      <c r="CU980" s="5"/>
      <c r="CV980" s="5"/>
      <c r="CW980" s="5"/>
      <c r="CX980" s="5"/>
      <c r="CY980" s="5"/>
      <c r="CZ980" s="5"/>
      <c r="DA980" s="5"/>
      <c r="DB980" s="5"/>
      <c r="DC980" s="5"/>
      <c r="DD980" s="5"/>
      <c r="DE980" s="5"/>
      <c r="DF980" s="5"/>
      <c r="DG980" s="5"/>
      <c r="DH980" s="5"/>
      <c r="DI980" s="5"/>
      <c r="DJ980" s="5"/>
      <c r="DK980" s="5"/>
      <c r="DL980" s="5"/>
      <c r="DM980" s="5"/>
      <c r="DN980" s="5"/>
      <c r="DO980" s="5"/>
      <c r="DP980" s="5"/>
      <c r="DQ980" s="5"/>
      <c r="DR980" s="5"/>
      <c r="DS980" s="5"/>
      <c r="DT980" s="5"/>
      <c r="DU980" s="5"/>
      <c r="DV980" s="5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5"/>
      <c r="CT981" s="5"/>
      <c r="CU981" s="5"/>
      <c r="CV981" s="5"/>
      <c r="CW981" s="5"/>
      <c r="CX981" s="5"/>
      <c r="CY981" s="5"/>
      <c r="CZ981" s="5"/>
      <c r="DA981" s="5"/>
      <c r="DB981" s="5"/>
      <c r="DC981" s="5"/>
      <c r="DD981" s="5"/>
      <c r="DE981" s="5"/>
      <c r="DF981" s="5"/>
      <c r="DG981" s="5"/>
      <c r="DH981" s="5"/>
      <c r="DI981" s="5"/>
      <c r="DJ981" s="5"/>
      <c r="DK981" s="5"/>
      <c r="DL981" s="5"/>
      <c r="DM981" s="5"/>
      <c r="DN981" s="5"/>
      <c r="DO981" s="5"/>
      <c r="DP981" s="5"/>
      <c r="DQ981" s="5"/>
      <c r="DR981" s="5"/>
      <c r="DS981" s="5"/>
      <c r="DT981" s="5"/>
      <c r="DU981" s="5"/>
      <c r="DV981" s="5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5"/>
      <c r="CT982" s="5"/>
      <c r="CU982" s="5"/>
      <c r="CV982" s="5"/>
      <c r="CW982" s="5"/>
      <c r="CX982" s="5"/>
      <c r="CY982" s="5"/>
      <c r="CZ982" s="5"/>
      <c r="DA982" s="5"/>
      <c r="DB982" s="5"/>
      <c r="DC982" s="5"/>
      <c r="DD982" s="5"/>
      <c r="DE982" s="5"/>
      <c r="DF982" s="5"/>
      <c r="DG982" s="5"/>
      <c r="DH982" s="5"/>
      <c r="DI982" s="5"/>
      <c r="DJ982" s="5"/>
      <c r="DK982" s="5"/>
      <c r="DL982" s="5"/>
      <c r="DM982" s="5"/>
      <c r="DN982" s="5"/>
      <c r="DO982" s="5"/>
      <c r="DP982" s="5"/>
      <c r="DQ982" s="5"/>
      <c r="DR982" s="5"/>
      <c r="DS982" s="5"/>
      <c r="DT982" s="5"/>
      <c r="DU982" s="5"/>
      <c r="DV982" s="5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5"/>
      <c r="CT983" s="5"/>
      <c r="CU983" s="5"/>
      <c r="CV983" s="5"/>
      <c r="CW983" s="5"/>
      <c r="CX983" s="5"/>
      <c r="CY983" s="5"/>
      <c r="CZ983" s="5"/>
      <c r="DA983" s="5"/>
      <c r="DB983" s="5"/>
      <c r="DC983" s="5"/>
      <c r="DD983" s="5"/>
      <c r="DE983" s="5"/>
      <c r="DF983" s="5"/>
      <c r="DG983" s="5"/>
      <c r="DH983" s="5"/>
      <c r="DI983" s="5"/>
      <c r="DJ983" s="5"/>
      <c r="DK983" s="5"/>
      <c r="DL983" s="5"/>
      <c r="DM983" s="5"/>
      <c r="DN983" s="5"/>
      <c r="DO983" s="5"/>
      <c r="DP983" s="5"/>
      <c r="DQ983" s="5"/>
      <c r="DR983" s="5"/>
      <c r="DS983" s="5"/>
      <c r="DT983" s="5"/>
      <c r="DU983" s="5"/>
      <c r="DV983" s="5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5"/>
      <c r="CT984" s="5"/>
      <c r="CU984" s="5"/>
      <c r="CV984" s="5"/>
      <c r="CW984" s="5"/>
      <c r="CX984" s="5"/>
      <c r="CY984" s="5"/>
      <c r="CZ984" s="5"/>
      <c r="DA984" s="5"/>
      <c r="DB984" s="5"/>
      <c r="DC984" s="5"/>
      <c r="DD984" s="5"/>
      <c r="DE984" s="5"/>
      <c r="DF984" s="5"/>
      <c r="DG984" s="5"/>
      <c r="DH984" s="5"/>
      <c r="DI984" s="5"/>
      <c r="DJ984" s="5"/>
      <c r="DK984" s="5"/>
      <c r="DL984" s="5"/>
      <c r="DM984" s="5"/>
      <c r="DN984" s="5"/>
      <c r="DO984" s="5"/>
      <c r="DP984" s="5"/>
      <c r="DQ984" s="5"/>
      <c r="DR984" s="5"/>
      <c r="DS984" s="5"/>
      <c r="DT984" s="5"/>
      <c r="DU984" s="5"/>
      <c r="DV984" s="5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5"/>
      <c r="CT985" s="5"/>
      <c r="CU985" s="5"/>
      <c r="CV985" s="5"/>
      <c r="CW985" s="5"/>
      <c r="CX985" s="5"/>
      <c r="CY985" s="5"/>
      <c r="CZ985" s="5"/>
      <c r="DA985" s="5"/>
      <c r="DB985" s="5"/>
      <c r="DC985" s="5"/>
      <c r="DD985" s="5"/>
      <c r="DE985" s="5"/>
      <c r="DF985" s="5"/>
      <c r="DG985" s="5"/>
      <c r="DH985" s="5"/>
      <c r="DI985" s="5"/>
      <c r="DJ985" s="5"/>
      <c r="DK985" s="5"/>
      <c r="DL985" s="5"/>
      <c r="DM985" s="5"/>
      <c r="DN985" s="5"/>
      <c r="DO985" s="5"/>
      <c r="DP985" s="5"/>
      <c r="DQ985" s="5"/>
      <c r="DR985" s="5"/>
      <c r="DS985" s="5"/>
      <c r="DT985" s="5"/>
      <c r="DU985" s="5"/>
      <c r="DV985" s="5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5"/>
      <c r="CT986" s="5"/>
      <c r="CU986" s="5"/>
      <c r="CV986" s="5"/>
      <c r="CW986" s="5"/>
      <c r="CX986" s="5"/>
      <c r="CY986" s="5"/>
      <c r="CZ986" s="5"/>
      <c r="DA986" s="5"/>
      <c r="DB986" s="5"/>
      <c r="DC986" s="5"/>
      <c r="DD986" s="5"/>
      <c r="DE986" s="5"/>
      <c r="DF986" s="5"/>
      <c r="DG986" s="5"/>
      <c r="DH986" s="5"/>
      <c r="DI986" s="5"/>
      <c r="DJ986" s="5"/>
      <c r="DK986" s="5"/>
      <c r="DL986" s="5"/>
      <c r="DM986" s="5"/>
      <c r="DN986" s="5"/>
      <c r="DO986" s="5"/>
      <c r="DP986" s="5"/>
      <c r="DQ986" s="5"/>
      <c r="DR986" s="5"/>
      <c r="DS986" s="5"/>
      <c r="DT986" s="5"/>
      <c r="DU986" s="5"/>
      <c r="DV986" s="5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5"/>
      <c r="CT987" s="5"/>
      <c r="CU987" s="5"/>
      <c r="CV987" s="5"/>
      <c r="CW987" s="5"/>
      <c r="CX987" s="5"/>
      <c r="CY987" s="5"/>
      <c r="CZ987" s="5"/>
      <c r="DA987" s="5"/>
      <c r="DB987" s="5"/>
      <c r="DC987" s="5"/>
      <c r="DD987" s="5"/>
      <c r="DE987" s="5"/>
      <c r="DF987" s="5"/>
      <c r="DG987" s="5"/>
      <c r="DH987" s="5"/>
      <c r="DI987" s="5"/>
      <c r="DJ987" s="5"/>
      <c r="DK987" s="5"/>
      <c r="DL987" s="5"/>
      <c r="DM987" s="5"/>
      <c r="DN987" s="5"/>
      <c r="DO987" s="5"/>
      <c r="DP987" s="5"/>
      <c r="DQ987" s="5"/>
      <c r="DR987" s="5"/>
      <c r="DS987" s="5"/>
      <c r="DT987" s="5"/>
      <c r="DU987" s="5"/>
      <c r="DV987" s="5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5"/>
      <c r="CT988" s="5"/>
      <c r="CU988" s="5"/>
      <c r="CV988" s="5"/>
      <c r="CW988" s="5"/>
      <c r="CX988" s="5"/>
      <c r="CY988" s="5"/>
      <c r="CZ988" s="5"/>
      <c r="DA988" s="5"/>
      <c r="DB988" s="5"/>
      <c r="DC988" s="5"/>
      <c r="DD988" s="5"/>
      <c r="DE988" s="5"/>
      <c r="DF988" s="5"/>
      <c r="DG988" s="5"/>
      <c r="DH988" s="5"/>
      <c r="DI988" s="5"/>
      <c r="DJ988" s="5"/>
      <c r="DK988" s="5"/>
      <c r="DL988" s="5"/>
      <c r="DM988" s="5"/>
      <c r="DN988" s="5"/>
      <c r="DO988" s="5"/>
      <c r="DP988" s="5"/>
      <c r="DQ988" s="5"/>
      <c r="DR988" s="5"/>
      <c r="DS988" s="5"/>
      <c r="DT988" s="5"/>
      <c r="DU988" s="5"/>
      <c r="DV988" s="5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5"/>
      <c r="CT989" s="5"/>
      <c r="CU989" s="5"/>
      <c r="CV989" s="5"/>
      <c r="CW989" s="5"/>
      <c r="CX989" s="5"/>
      <c r="CY989" s="5"/>
      <c r="CZ989" s="5"/>
      <c r="DA989" s="5"/>
      <c r="DB989" s="5"/>
      <c r="DC989" s="5"/>
      <c r="DD989" s="5"/>
      <c r="DE989" s="5"/>
      <c r="DF989" s="5"/>
      <c r="DG989" s="5"/>
      <c r="DH989" s="5"/>
      <c r="DI989" s="5"/>
      <c r="DJ989" s="5"/>
      <c r="DK989" s="5"/>
      <c r="DL989" s="5"/>
      <c r="DM989" s="5"/>
      <c r="DN989" s="5"/>
      <c r="DO989" s="5"/>
      <c r="DP989" s="5"/>
      <c r="DQ989" s="5"/>
      <c r="DR989" s="5"/>
      <c r="DS989" s="5"/>
      <c r="DT989" s="5"/>
      <c r="DU989" s="5"/>
      <c r="DV989" s="5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5"/>
      <c r="CT990" s="5"/>
      <c r="CU990" s="5"/>
      <c r="CV990" s="5"/>
      <c r="CW990" s="5"/>
      <c r="CX990" s="5"/>
      <c r="CY990" s="5"/>
      <c r="CZ990" s="5"/>
      <c r="DA990" s="5"/>
      <c r="DB990" s="5"/>
      <c r="DC990" s="5"/>
      <c r="DD990" s="5"/>
      <c r="DE990" s="5"/>
      <c r="DF990" s="5"/>
      <c r="DG990" s="5"/>
      <c r="DH990" s="5"/>
      <c r="DI990" s="5"/>
      <c r="DJ990" s="5"/>
      <c r="DK990" s="5"/>
      <c r="DL990" s="5"/>
      <c r="DM990" s="5"/>
      <c r="DN990" s="5"/>
      <c r="DO990" s="5"/>
      <c r="DP990" s="5"/>
      <c r="DQ990" s="5"/>
      <c r="DR990" s="5"/>
      <c r="DS990" s="5"/>
      <c r="DT990" s="5"/>
      <c r="DU990" s="5"/>
      <c r="DV990" s="5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5"/>
      <c r="CT991" s="5"/>
      <c r="CU991" s="5"/>
      <c r="CV991" s="5"/>
      <c r="CW991" s="5"/>
      <c r="CX991" s="5"/>
      <c r="CY991" s="5"/>
      <c r="CZ991" s="5"/>
      <c r="DA991" s="5"/>
      <c r="DB991" s="5"/>
      <c r="DC991" s="5"/>
      <c r="DD991" s="5"/>
      <c r="DE991" s="5"/>
      <c r="DF991" s="5"/>
      <c r="DG991" s="5"/>
      <c r="DH991" s="5"/>
      <c r="DI991" s="5"/>
      <c r="DJ991" s="5"/>
      <c r="DK991" s="5"/>
      <c r="DL991" s="5"/>
      <c r="DM991" s="5"/>
      <c r="DN991" s="5"/>
      <c r="DO991" s="5"/>
      <c r="DP991" s="5"/>
      <c r="DQ991" s="5"/>
      <c r="DR991" s="5"/>
      <c r="DS991" s="5"/>
      <c r="DT991" s="5"/>
      <c r="DU991" s="5"/>
      <c r="DV991" s="5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5"/>
      <c r="CT992" s="5"/>
      <c r="CU992" s="5"/>
      <c r="CV992" s="5"/>
      <c r="CW992" s="5"/>
      <c r="CX992" s="5"/>
      <c r="CY992" s="5"/>
      <c r="CZ992" s="5"/>
      <c r="DA992" s="5"/>
      <c r="DB992" s="5"/>
      <c r="DC992" s="5"/>
      <c r="DD992" s="5"/>
      <c r="DE992" s="5"/>
      <c r="DF992" s="5"/>
      <c r="DG992" s="5"/>
      <c r="DH992" s="5"/>
      <c r="DI992" s="5"/>
      <c r="DJ992" s="5"/>
      <c r="DK992" s="5"/>
      <c r="DL992" s="5"/>
      <c r="DM992" s="5"/>
      <c r="DN992" s="5"/>
      <c r="DO992" s="5"/>
      <c r="DP992" s="5"/>
      <c r="DQ992" s="5"/>
      <c r="DR992" s="5"/>
      <c r="DS992" s="5"/>
      <c r="DT992" s="5"/>
      <c r="DU992" s="5"/>
      <c r="DV992" s="5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5"/>
      <c r="CT993" s="5"/>
      <c r="CU993" s="5"/>
      <c r="CV993" s="5"/>
      <c r="CW993" s="5"/>
      <c r="CX993" s="5"/>
      <c r="CY993" s="5"/>
      <c r="CZ993" s="5"/>
      <c r="DA993" s="5"/>
      <c r="DB993" s="5"/>
      <c r="DC993" s="5"/>
      <c r="DD993" s="5"/>
      <c r="DE993" s="5"/>
      <c r="DF993" s="5"/>
      <c r="DG993" s="5"/>
      <c r="DH993" s="5"/>
      <c r="DI993" s="5"/>
      <c r="DJ993" s="5"/>
      <c r="DK993" s="5"/>
      <c r="DL993" s="5"/>
      <c r="DM993" s="5"/>
      <c r="DN993" s="5"/>
      <c r="DO993" s="5"/>
      <c r="DP993" s="5"/>
      <c r="DQ993" s="5"/>
      <c r="DR993" s="5"/>
      <c r="DS993" s="5"/>
      <c r="DT993" s="5"/>
      <c r="DU993" s="5"/>
      <c r="DV993" s="5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5"/>
      <c r="CT994" s="5"/>
      <c r="CU994" s="5"/>
      <c r="CV994" s="5"/>
      <c r="CW994" s="5"/>
      <c r="CX994" s="5"/>
      <c r="CY994" s="5"/>
      <c r="CZ994" s="5"/>
      <c r="DA994" s="5"/>
      <c r="DB994" s="5"/>
      <c r="DC994" s="5"/>
      <c r="DD994" s="5"/>
      <c r="DE994" s="5"/>
      <c r="DF994" s="5"/>
      <c r="DG994" s="5"/>
      <c r="DH994" s="5"/>
      <c r="DI994" s="5"/>
      <c r="DJ994" s="5"/>
      <c r="DK994" s="5"/>
      <c r="DL994" s="5"/>
      <c r="DM994" s="5"/>
      <c r="DN994" s="5"/>
      <c r="DO994" s="5"/>
      <c r="DP994" s="5"/>
      <c r="DQ994" s="5"/>
      <c r="DR994" s="5"/>
      <c r="DS994" s="5"/>
      <c r="DT994" s="5"/>
      <c r="DU994" s="5"/>
      <c r="DV994" s="5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5"/>
      <c r="CT995" s="5"/>
      <c r="CU995" s="5"/>
      <c r="CV995" s="5"/>
      <c r="CW995" s="5"/>
      <c r="CX995" s="5"/>
      <c r="CY995" s="5"/>
      <c r="CZ995" s="5"/>
      <c r="DA995" s="5"/>
      <c r="DB995" s="5"/>
      <c r="DC995" s="5"/>
      <c r="DD995" s="5"/>
      <c r="DE995" s="5"/>
      <c r="DF995" s="5"/>
      <c r="DG995" s="5"/>
      <c r="DH995" s="5"/>
      <c r="DI995" s="5"/>
      <c r="DJ995" s="5"/>
      <c r="DK995" s="5"/>
      <c r="DL995" s="5"/>
      <c r="DM995" s="5"/>
      <c r="DN995" s="5"/>
      <c r="DO995" s="5"/>
      <c r="DP995" s="5"/>
      <c r="DQ995" s="5"/>
      <c r="DR995" s="5"/>
      <c r="DS995" s="5"/>
      <c r="DT995" s="5"/>
      <c r="DU995" s="5"/>
      <c r="DV995" s="5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5"/>
      <c r="CT996" s="5"/>
      <c r="CU996" s="5"/>
      <c r="CV996" s="5"/>
      <c r="CW996" s="5"/>
      <c r="CX996" s="5"/>
      <c r="CY996" s="5"/>
      <c r="CZ996" s="5"/>
      <c r="DA996" s="5"/>
      <c r="DB996" s="5"/>
      <c r="DC996" s="5"/>
      <c r="DD996" s="5"/>
      <c r="DE996" s="5"/>
      <c r="DF996" s="5"/>
      <c r="DG996" s="5"/>
      <c r="DH996" s="5"/>
      <c r="DI996" s="5"/>
      <c r="DJ996" s="5"/>
      <c r="DK996" s="5"/>
      <c r="DL996" s="5"/>
      <c r="DM996" s="5"/>
      <c r="DN996" s="5"/>
      <c r="DO996" s="5"/>
      <c r="DP996" s="5"/>
      <c r="DQ996" s="5"/>
      <c r="DR996" s="5"/>
      <c r="DS996" s="5"/>
      <c r="DT996" s="5"/>
      <c r="DU996" s="5"/>
      <c r="DV996" s="5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5"/>
      <c r="CT997" s="5"/>
      <c r="CU997" s="5"/>
      <c r="CV997" s="5"/>
      <c r="CW997" s="5"/>
      <c r="CX997" s="5"/>
      <c r="CY997" s="5"/>
      <c r="CZ997" s="5"/>
      <c r="DA997" s="5"/>
      <c r="DB997" s="5"/>
      <c r="DC997" s="5"/>
      <c r="DD997" s="5"/>
      <c r="DE997" s="5"/>
      <c r="DF997" s="5"/>
      <c r="DG997" s="5"/>
      <c r="DH997" s="5"/>
      <c r="DI997" s="5"/>
      <c r="DJ997" s="5"/>
      <c r="DK997" s="5"/>
      <c r="DL997" s="5"/>
      <c r="DM997" s="5"/>
      <c r="DN997" s="5"/>
      <c r="DO997" s="5"/>
      <c r="DP997" s="5"/>
      <c r="DQ997" s="5"/>
      <c r="DR997" s="5"/>
      <c r="DS997" s="5"/>
      <c r="DT997" s="5"/>
      <c r="DU997" s="5"/>
      <c r="DV997" s="5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5"/>
      <c r="CT998" s="5"/>
      <c r="CU998" s="5"/>
      <c r="CV998" s="5"/>
      <c r="CW998" s="5"/>
      <c r="CX998" s="5"/>
      <c r="CY998" s="5"/>
      <c r="CZ998" s="5"/>
      <c r="DA998" s="5"/>
      <c r="DB998" s="5"/>
      <c r="DC998" s="5"/>
      <c r="DD998" s="5"/>
      <c r="DE998" s="5"/>
      <c r="DF998" s="5"/>
      <c r="DG998" s="5"/>
      <c r="DH998" s="5"/>
      <c r="DI998" s="5"/>
      <c r="DJ998" s="5"/>
      <c r="DK998" s="5"/>
      <c r="DL998" s="5"/>
      <c r="DM998" s="5"/>
      <c r="DN998" s="5"/>
      <c r="DO998" s="5"/>
      <c r="DP998" s="5"/>
      <c r="DQ998" s="5"/>
      <c r="DR998" s="5"/>
      <c r="DS998" s="5"/>
      <c r="DT998" s="5"/>
      <c r="DU998" s="5"/>
      <c r="DV998" s="5"/>
    </row>
  </sheetData>
  <mergeCells count="18">
    <mergeCell ref="AJ2:BM2"/>
    <mergeCell ref="BN2:CR2"/>
    <mergeCell ref="CS2:DV2"/>
    <mergeCell ref="E2:AI2"/>
    <mergeCell ref="A4:A10"/>
    <mergeCell ref="B53:D53"/>
    <mergeCell ref="B54:D54"/>
    <mergeCell ref="A31:A37"/>
    <mergeCell ref="A48:A50"/>
    <mergeCell ref="B52:D52"/>
    <mergeCell ref="A39:A47"/>
    <mergeCell ref="A21:A23"/>
    <mergeCell ref="B25:D25"/>
    <mergeCell ref="A12:A20"/>
    <mergeCell ref="AJ29:BM29"/>
    <mergeCell ref="BN29:CR29"/>
    <mergeCell ref="CS29:DV29"/>
    <mergeCell ref="E29:AI29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9.29"/>
    <col customWidth="1" min="2" max="2" width="37.29"/>
    <col customWidth="1" min="3" max="3" width="8.57"/>
    <col customWidth="1" min="4" max="4" width="8.43"/>
    <col customWidth="1" min="5" max="5" width="5.0"/>
    <col customWidth="1" min="6" max="9" width="4.43"/>
    <col customWidth="1" min="10" max="12" width="4.86"/>
    <col customWidth="1" min="13" max="24" width="5.14"/>
    <col customWidth="1" min="25" max="25" width="5.86"/>
    <col customWidth="1" min="26" max="34" width="5.14"/>
    <col customWidth="1" min="35" max="35" width="5.71"/>
    <col customWidth="1" min="36" max="55" width="5.14"/>
    <col customWidth="1" min="56" max="56" width="4.86"/>
    <col customWidth="1" min="57" max="58" width="4.14"/>
    <col customWidth="1" min="59" max="61" width="5.14"/>
    <col customWidth="1" min="62" max="66" width="4.86"/>
    <col customWidth="1" min="67" max="69" width="4.14"/>
    <col customWidth="1" min="70" max="70" width="4.29"/>
    <col customWidth="1" min="71" max="78" width="4.14"/>
    <col customWidth="1" min="79" max="94" width="5.14"/>
    <col customWidth="1" min="95" max="95" width="5.71"/>
    <col customWidth="1" min="96" max="157" width="5.14"/>
    <col customWidth="1" min="158" max="218" width="4.0"/>
  </cols>
  <sheetData>
    <row r="1" ht="16.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4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1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</row>
    <row r="2" ht="14.25" customHeight="1">
      <c r="A2" s="1"/>
      <c r="B2" s="6" t="s">
        <v>1</v>
      </c>
      <c r="C2" s="6" t="s">
        <v>2</v>
      </c>
      <c r="D2" s="6" t="s">
        <v>3</v>
      </c>
      <c r="E2" s="7" t="s">
        <v>35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9"/>
      <c r="AJ2" s="7" t="s">
        <v>4</v>
      </c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9"/>
      <c r="BN2" s="7" t="s">
        <v>5</v>
      </c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9"/>
      <c r="CS2" s="7" t="s">
        <v>6</v>
      </c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9"/>
      <c r="DW2" s="7" t="s">
        <v>36</v>
      </c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9"/>
      <c r="FB2" s="7" t="s">
        <v>37</v>
      </c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7" t="s">
        <v>38</v>
      </c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9"/>
    </row>
    <row r="3" ht="13.5" customHeight="1">
      <c r="A3" s="1"/>
      <c r="B3" s="6"/>
      <c r="C3" s="6"/>
      <c r="D3" s="6"/>
      <c r="E3" s="11">
        <v>1.0</v>
      </c>
      <c r="F3" s="11">
        <v>2.0</v>
      </c>
      <c r="G3" s="11">
        <v>3.0</v>
      </c>
      <c r="H3" s="11">
        <v>4.0</v>
      </c>
      <c r="I3" s="11">
        <v>5.0</v>
      </c>
      <c r="J3" s="11">
        <v>6.0</v>
      </c>
      <c r="K3" s="11">
        <v>7.0</v>
      </c>
      <c r="L3" s="11">
        <v>8.0</v>
      </c>
      <c r="M3" s="11">
        <v>9.0</v>
      </c>
      <c r="N3" s="11">
        <v>10.0</v>
      </c>
      <c r="O3" s="11">
        <v>11.0</v>
      </c>
      <c r="P3" s="11">
        <v>12.0</v>
      </c>
      <c r="Q3" s="11">
        <v>13.0</v>
      </c>
      <c r="R3" s="11">
        <v>14.0</v>
      </c>
      <c r="S3" s="11">
        <v>15.0</v>
      </c>
      <c r="T3" s="11">
        <v>16.0</v>
      </c>
      <c r="U3" s="11">
        <v>17.0</v>
      </c>
      <c r="V3" s="11">
        <v>18.0</v>
      </c>
      <c r="W3" s="11">
        <v>19.0</v>
      </c>
      <c r="X3" s="11">
        <v>20.0</v>
      </c>
      <c r="Y3" s="11">
        <v>21.0</v>
      </c>
      <c r="Z3" s="11">
        <v>22.0</v>
      </c>
      <c r="AA3" s="11">
        <v>23.0</v>
      </c>
      <c r="AB3" s="11">
        <v>24.0</v>
      </c>
      <c r="AC3" s="11">
        <v>25.0</v>
      </c>
      <c r="AD3" s="11">
        <v>26.0</v>
      </c>
      <c r="AE3" s="11">
        <v>27.0</v>
      </c>
      <c r="AF3" s="11">
        <v>28.0</v>
      </c>
      <c r="AG3" s="11">
        <v>29.0</v>
      </c>
      <c r="AH3" s="11">
        <v>30.0</v>
      </c>
      <c r="AI3" s="11">
        <v>31.0</v>
      </c>
      <c r="AJ3" s="11">
        <v>1.0</v>
      </c>
      <c r="AK3" s="11">
        <v>2.0</v>
      </c>
      <c r="AL3" s="11">
        <v>3.0</v>
      </c>
      <c r="AM3" s="11">
        <v>4.0</v>
      </c>
      <c r="AN3" s="11">
        <v>5.0</v>
      </c>
      <c r="AO3" s="11">
        <v>6.0</v>
      </c>
      <c r="AP3" s="11">
        <v>7.0</v>
      </c>
      <c r="AQ3" s="11">
        <v>8.0</v>
      </c>
      <c r="AR3" s="11">
        <v>9.0</v>
      </c>
      <c r="AS3" s="11">
        <v>10.0</v>
      </c>
      <c r="AT3" s="11">
        <v>11.0</v>
      </c>
      <c r="AU3" s="11">
        <v>12.0</v>
      </c>
      <c r="AV3" s="11">
        <v>13.0</v>
      </c>
      <c r="AW3" s="11">
        <v>14.0</v>
      </c>
      <c r="AX3" s="11">
        <v>15.0</v>
      </c>
      <c r="AY3" s="11">
        <v>16.0</v>
      </c>
      <c r="AZ3" s="11">
        <v>17.0</v>
      </c>
      <c r="BA3" s="11">
        <v>18.0</v>
      </c>
      <c r="BB3" s="11">
        <v>19.0</v>
      </c>
      <c r="BC3" s="11">
        <v>20.0</v>
      </c>
      <c r="BD3" s="11">
        <v>21.0</v>
      </c>
      <c r="BE3" s="11">
        <v>22.0</v>
      </c>
      <c r="BF3" s="11">
        <v>23.0</v>
      </c>
      <c r="BG3" s="11">
        <v>24.0</v>
      </c>
      <c r="BH3" s="11">
        <v>25.0</v>
      </c>
      <c r="BI3" s="11">
        <v>26.0</v>
      </c>
      <c r="BJ3" s="11">
        <v>27.0</v>
      </c>
      <c r="BK3" s="11">
        <v>28.0</v>
      </c>
      <c r="BL3" s="11">
        <v>29.0</v>
      </c>
      <c r="BM3" s="11">
        <v>30.0</v>
      </c>
      <c r="BN3" s="11">
        <v>1.0</v>
      </c>
      <c r="BO3" s="11">
        <v>2.0</v>
      </c>
      <c r="BP3" s="11">
        <v>3.0</v>
      </c>
      <c r="BQ3" s="11">
        <v>4.0</v>
      </c>
      <c r="BR3" s="11">
        <v>5.0</v>
      </c>
      <c r="BS3" s="11">
        <v>6.0</v>
      </c>
      <c r="BT3" s="11">
        <v>7.0</v>
      </c>
      <c r="BU3" s="11">
        <v>8.0</v>
      </c>
      <c r="BV3" s="11">
        <v>9.0</v>
      </c>
      <c r="BW3" s="11">
        <v>10.0</v>
      </c>
      <c r="BX3" s="11">
        <v>11.0</v>
      </c>
      <c r="BY3" s="11">
        <v>12.0</v>
      </c>
      <c r="BZ3" s="11">
        <v>13.0</v>
      </c>
      <c r="CA3" s="11">
        <v>14.0</v>
      </c>
      <c r="CB3" s="11">
        <v>15.0</v>
      </c>
      <c r="CC3" s="11">
        <v>16.0</v>
      </c>
      <c r="CD3" s="11">
        <v>17.0</v>
      </c>
      <c r="CE3" s="11">
        <v>18.0</v>
      </c>
      <c r="CF3" s="11">
        <v>19.0</v>
      </c>
      <c r="CG3" s="11">
        <v>20.0</v>
      </c>
      <c r="CH3" s="11">
        <v>21.0</v>
      </c>
      <c r="CI3" s="11">
        <v>22.0</v>
      </c>
      <c r="CJ3" s="11">
        <v>23.0</v>
      </c>
      <c r="CK3" s="11">
        <v>24.0</v>
      </c>
      <c r="CL3" s="11">
        <v>25.0</v>
      </c>
      <c r="CM3" s="11">
        <v>26.0</v>
      </c>
      <c r="CN3" s="11">
        <v>27.0</v>
      </c>
      <c r="CO3" s="11">
        <v>28.0</v>
      </c>
      <c r="CP3" s="11">
        <v>29.0</v>
      </c>
      <c r="CQ3" s="11">
        <v>30.0</v>
      </c>
      <c r="CR3" s="11">
        <v>31.0</v>
      </c>
      <c r="CS3" s="11">
        <v>1.0</v>
      </c>
      <c r="CT3" s="12">
        <v>2.0</v>
      </c>
      <c r="CU3" s="11">
        <v>3.0</v>
      </c>
      <c r="CV3" s="12">
        <v>4.0</v>
      </c>
      <c r="CW3" s="11">
        <v>5.0</v>
      </c>
      <c r="CX3" s="12">
        <v>6.0</v>
      </c>
      <c r="CY3" s="11">
        <v>7.0</v>
      </c>
      <c r="CZ3" s="11">
        <v>8.0</v>
      </c>
      <c r="DA3" s="12">
        <v>9.0</v>
      </c>
      <c r="DB3" s="12">
        <v>10.0</v>
      </c>
      <c r="DC3" s="11">
        <v>11.0</v>
      </c>
      <c r="DD3" s="12">
        <v>12.0</v>
      </c>
      <c r="DE3" s="11">
        <v>13.0</v>
      </c>
      <c r="DF3" s="12">
        <v>14.0</v>
      </c>
      <c r="DG3" s="11">
        <v>15.0</v>
      </c>
      <c r="DH3" s="12">
        <v>16.0</v>
      </c>
      <c r="DI3" s="11">
        <v>17.0</v>
      </c>
      <c r="DJ3" s="12">
        <v>18.0</v>
      </c>
      <c r="DK3" s="11">
        <v>19.0</v>
      </c>
      <c r="DL3" s="12">
        <v>20.0</v>
      </c>
      <c r="DM3" s="11">
        <v>21.0</v>
      </c>
      <c r="DN3" s="11">
        <v>22.0</v>
      </c>
      <c r="DO3" s="12">
        <v>23.0</v>
      </c>
      <c r="DP3" s="12">
        <v>24.0</v>
      </c>
      <c r="DQ3" s="11">
        <v>25.0</v>
      </c>
      <c r="DR3" s="12">
        <v>26.0</v>
      </c>
      <c r="DS3" s="11">
        <v>27.0</v>
      </c>
      <c r="DT3" s="12">
        <v>28.0</v>
      </c>
      <c r="DU3" s="11">
        <v>29.0</v>
      </c>
      <c r="DV3" s="12">
        <v>30.0</v>
      </c>
      <c r="DW3" s="12">
        <v>1.0</v>
      </c>
      <c r="DX3" s="12">
        <v>2.0</v>
      </c>
      <c r="DY3" s="12">
        <v>3.0</v>
      </c>
      <c r="DZ3" s="12">
        <v>4.0</v>
      </c>
      <c r="EA3" s="12">
        <v>5.0</v>
      </c>
      <c r="EB3" s="11">
        <v>6.0</v>
      </c>
      <c r="EC3" s="12">
        <v>7.0</v>
      </c>
      <c r="ED3" s="12">
        <v>8.0</v>
      </c>
      <c r="EE3" s="12">
        <v>9.0</v>
      </c>
      <c r="EF3" s="12">
        <v>10.0</v>
      </c>
      <c r="EG3" s="12">
        <v>11.0</v>
      </c>
      <c r="EH3" s="12">
        <v>12.0</v>
      </c>
      <c r="EI3" s="11">
        <v>13.0</v>
      </c>
      <c r="EJ3" s="12">
        <v>14.0</v>
      </c>
      <c r="EK3" s="12">
        <v>15.0</v>
      </c>
      <c r="EL3" s="12">
        <v>16.0</v>
      </c>
      <c r="EM3" s="12">
        <v>17.0</v>
      </c>
      <c r="EN3" s="12">
        <v>18.0</v>
      </c>
      <c r="EO3" s="12">
        <v>19.0</v>
      </c>
      <c r="EP3" s="11">
        <v>20.0</v>
      </c>
      <c r="EQ3" s="12">
        <v>21.0</v>
      </c>
      <c r="ER3" s="12">
        <v>22.0</v>
      </c>
      <c r="ES3" s="12">
        <v>23.0</v>
      </c>
      <c r="ET3" s="12">
        <v>24.0</v>
      </c>
      <c r="EU3" s="12">
        <v>25.0</v>
      </c>
      <c r="EV3" s="12">
        <v>26.0</v>
      </c>
      <c r="EW3" s="11">
        <v>27.0</v>
      </c>
      <c r="EX3" s="12">
        <v>28.0</v>
      </c>
      <c r="EY3" s="12">
        <v>29.0</v>
      </c>
      <c r="EZ3" s="12">
        <v>30.0</v>
      </c>
      <c r="FA3" s="12">
        <v>31.0</v>
      </c>
      <c r="FB3" s="12">
        <v>1.0</v>
      </c>
      <c r="FC3" s="12">
        <v>2.0</v>
      </c>
      <c r="FD3" s="12">
        <v>3.0</v>
      </c>
      <c r="FE3" s="12">
        <v>4.0</v>
      </c>
      <c r="FF3" s="12">
        <v>5.0</v>
      </c>
      <c r="FG3" s="12">
        <v>6.0</v>
      </c>
      <c r="FH3" s="12">
        <v>7.0</v>
      </c>
      <c r="FI3" s="12">
        <v>8.0</v>
      </c>
      <c r="FJ3" s="12">
        <v>9.0</v>
      </c>
      <c r="FK3" s="12">
        <v>10.0</v>
      </c>
      <c r="FL3" s="12">
        <v>11.0</v>
      </c>
      <c r="FM3" s="12">
        <v>12.0</v>
      </c>
      <c r="FN3" s="12">
        <v>13.0</v>
      </c>
      <c r="FO3" s="12">
        <v>14.0</v>
      </c>
      <c r="FP3" s="12">
        <v>15.0</v>
      </c>
      <c r="FQ3" s="12">
        <v>16.0</v>
      </c>
      <c r="FR3" s="12">
        <v>17.0</v>
      </c>
      <c r="FS3" s="12">
        <v>18.0</v>
      </c>
      <c r="FT3" s="12">
        <v>19.0</v>
      </c>
      <c r="FU3" s="12">
        <v>20.0</v>
      </c>
      <c r="FV3" s="12">
        <v>21.0</v>
      </c>
      <c r="FW3" s="12">
        <v>22.0</v>
      </c>
      <c r="FX3" s="12">
        <v>23.0</v>
      </c>
      <c r="FY3" s="12">
        <v>24.0</v>
      </c>
      <c r="FZ3" s="12">
        <v>25.0</v>
      </c>
      <c r="GA3" s="12">
        <v>26.0</v>
      </c>
      <c r="GB3" s="12">
        <v>27.0</v>
      </c>
      <c r="GC3" s="12">
        <v>28.0</v>
      </c>
      <c r="GD3" s="12">
        <v>29.0</v>
      </c>
      <c r="GE3" s="12">
        <v>30.0</v>
      </c>
      <c r="GF3" s="12">
        <v>31.0</v>
      </c>
      <c r="GG3" s="12">
        <v>1.0</v>
      </c>
      <c r="GH3" s="12">
        <v>2.0</v>
      </c>
      <c r="GI3" s="12">
        <v>3.0</v>
      </c>
      <c r="GJ3" s="12">
        <v>4.0</v>
      </c>
      <c r="GK3" s="12">
        <v>5.0</v>
      </c>
      <c r="GL3" s="12">
        <v>6.0</v>
      </c>
      <c r="GM3" s="12">
        <v>7.0</v>
      </c>
      <c r="GN3" s="12">
        <v>8.0</v>
      </c>
      <c r="GO3" s="12">
        <v>9.0</v>
      </c>
      <c r="GP3" s="12">
        <v>10.0</v>
      </c>
      <c r="GQ3" s="12">
        <v>11.0</v>
      </c>
      <c r="GR3" s="12">
        <v>12.0</v>
      </c>
      <c r="GS3" s="12">
        <v>13.0</v>
      </c>
      <c r="GT3" s="12">
        <v>14.0</v>
      </c>
      <c r="GU3" s="12">
        <v>15.0</v>
      </c>
      <c r="GV3" s="12">
        <v>16.0</v>
      </c>
      <c r="GW3" s="12">
        <v>17.0</v>
      </c>
      <c r="GX3" s="12">
        <v>18.0</v>
      </c>
      <c r="GY3" s="12">
        <v>19.0</v>
      </c>
      <c r="GZ3" s="12">
        <v>20.0</v>
      </c>
      <c r="HA3" s="12">
        <v>21.0</v>
      </c>
      <c r="HB3" s="12">
        <v>22.0</v>
      </c>
      <c r="HC3" s="12">
        <v>23.0</v>
      </c>
      <c r="HD3" s="12">
        <v>24.0</v>
      </c>
      <c r="HE3" s="12">
        <v>25.0</v>
      </c>
      <c r="HF3" s="12">
        <v>26.0</v>
      </c>
      <c r="HG3" s="12">
        <v>27.0</v>
      </c>
      <c r="HH3" s="12">
        <v>28.0</v>
      </c>
      <c r="HI3" s="12">
        <v>29.0</v>
      </c>
      <c r="HJ3" s="12">
        <v>30.0</v>
      </c>
    </row>
    <row r="4" ht="15.0" customHeight="1">
      <c r="A4" s="13" t="s">
        <v>7</v>
      </c>
      <c r="B4" s="16" t="s">
        <v>39</v>
      </c>
      <c r="C4" s="15">
        <v>115.0</v>
      </c>
      <c r="D4" s="16">
        <v>100.0</v>
      </c>
      <c r="E4" s="16"/>
      <c r="F4" s="17"/>
      <c r="G4" s="17"/>
      <c r="H4" s="16"/>
      <c r="I4" s="16"/>
      <c r="J4" s="16"/>
      <c r="K4" s="16"/>
      <c r="L4" s="16"/>
      <c r="M4" s="17"/>
      <c r="N4" s="17"/>
      <c r="O4" s="17"/>
      <c r="P4" s="16"/>
      <c r="Q4" s="16"/>
      <c r="R4" s="16"/>
      <c r="S4" s="16"/>
      <c r="T4" s="17"/>
      <c r="U4" s="17"/>
      <c r="V4" s="16"/>
      <c r="W4" s="16"/>
      <c r="X4" s="16"/>
      <c r="Y4" s="16"/>
      <c r="Z4" s="16"/>
      <c r="AA4" s="17"/>
      <c r="AB4" s="17"/>
      <c r="AC4" s="16"/>
      <c r="AD4" s="16"/>
      <c r="AE4" s="16"/>
      <c r="AF4" s="16"/>
      <c r="AG4" s="16"/>
      <c r="AH4" s="17"/>
      <c r="AI4" s="17"/>
      <c r="AJ4" s="16"/>
      <c r="AK4" s="16"/>
      <c r="AL4" s="16"/>
      <c r="AM4" s="16"/>
      <c r="AN4" s="16"/>
      <c r="AO4" s="17"/>
      <c r="AP4" s="17"/>
      <c r="AQ4" s="50"/>
      <c r="AR4" s="50"/>
      <c r="AS4" s="50"/>
      <c r="AT4" s="50"/>
      <c r="AU4" s="50"/>
      <c r="AV4" s="17"/>
      <c r="AW4" s="17"/>
      <c r="AX4" s="16"/>
      <c r="AY4" s="16"/>
      <c r="AZ4" s="16"/>
      <c r="BA4" s="16"/>
      <c r="BB4" s="3"/>
      <c r="BC4" s="19"/>
      <c r="BD4" s="19"/>
      <c r="BE4" s="3"/>
      <c r="BF4" s="3"/>
      <c r="BG4" s="3"/>
      <c r="BH4" s="3"/>
      <c r="BI4" s="3"/>
      <c r="BJ4" s="19"/>
      <c r="BK4" s="19"/>
      <c r="BL4" s="3"/>
      <c r="BM4" s="3"/>
      <c r="BN4" s="3"/>
      <c r="BO4" s="3"/>
      <c r="BP4" s="3"/>
      <c r="BQ4" s="19"/>
      <c r="BR4" s="19"/>
      <c r="BS4" s="3"/>
      <c r="BT4" s="3"/>
      <c r="BU4" s="3"/>
      <c r="BV4" s="3"/>
      <c r="BW4" s="3"/>
      <c r="BX4" s="19"/>
      <c r="BY4" s="19"/>
      <c r="BZ4" s="3"/>
      <c r="CA4" s="3"/>
      <c r="CB4" s="3"/>
      <c r="CC4" s="3"/>
      <c r="CD4" s="3"/>
      <c r="CE4" s="19"/>
      <c r="CF4" s="19"/>
      <c r="CG4" s="3"/>
      <c r="CH4" s="3"/>
      <c r="CI4" s="3"/>
      <c r="CJ4" s="3"/>
      <c r="CK4" s="3"/>
      <c r="CL4" s="19"/>
      <c r="CM4" s="19"/>
      <c r="CN4" s="3"/>
      <c r="CO4" s="3"/>
      <c r="CP4" s="3"/>
      <c r="CQ4" s="3"/>
      <c r="CR4" s="3"/>
      <c r="CS4" s="20"/>
      <c r="CT4" s="20"/>
      <c r="CU4" s="4"/>
      <c r="CV4" s="4"/>
      <c r="CW4" s="4"/>
      <c r="CX4" s="4"/>
      <c r="CY4" s="4"/>
      <c r="CZ4" s="20"/>
      <c r="DA4" s="20"/>
      <c r="DB4" s="4"/>
      <c r="DC4" s="4"/>
      <c r="DD4" s="4"/>
      <c r="DE4" s="4"/>
      <c r="DF4" s="4"/>
      <c r="DG4" s="20"/>
      <c r="DH4" s="20"/>
      <c r="DI4" s="4"/>
      <c r="DJ4" s="4"/>
      <c r="DK4" s="4"/>
      <c r="DL4" s="4"/>
      <c r="DM4" s="4"/>
      <c r="DN4" s="20"/>
      <c r="DO4" s="20"/>
      <c r="DP4" s="4"/>
      <c r="DQ4" s="4"/>
      <c r="DR4" s="4"/>
      <c r="DS4" s="4"/>
      <c r="DT4" s="4"/>
      <c r="DU4" s="20"/>
      <c r="DV4" s="20"/>
      <c r="DW4" s="4"/>
      <c r="DX4" s="4"/>
      <c r="DY4" s="4"/>
      <c r="DZ4" s="4"/>
      <c r="EA4" s="4"/>
      <c r="EB4" s="20"/>
      <c r="EC4" s="20"/>
      <c r="ED4" s="4"/>
      <c r="EE4" s="4"/>
      <c r="EF4" s="4"/>
      <c r="EG4" s="4"/>
      <c r="EH4" s="4"/>
      <c r="EI4" s="20"/>
      <c r="EJ4" s="20"/>
      <c r="EK4" s="4"/>
      <c r="EL4" s="4"/>
      <c r="EM4" s="4"/>
      <c r="EN4" s="4"/>
      <c r="EO4" s="4"/>
      <c r="EP4" s="20"/>
      <c r="EQ4" s="20"/>
      <c r="ER4" s="4"/>
      <c r="ES4" s="4"/>
      <c r="ET4" s="4"/>
      <c r="EU4" s="4"/>
      <c r="EV4" s="4"/>
      <c r="EW4" s="20"/>
      <c r="EX4" s="20"/>
      <c r="EY4" s="4"/>
      <c r="EZ4" s="4"/>
      <c r="FA4" s="4"/>
      <c r="FB4" s="3"/>
      <c r="FC4" s="3"/>
      <c r="FD4" s="20"/>
      <c r="FE4" s="20"/>
      <c r="FF4" s="3"/>
      <c r="FG4" s="3"/>
      <c r="FH4" s="3"/>
      <c r="FI4" s="3"/>
      <c r="FJ4" s="3"/>
      <c r="FK4" s="20"/>
      <c r="FL4" s="20"/>
      <c r="FM4" s="3"/>
      <c r="FN4" s="3"/>
      <c r="FO4" s="3"/>
      <c r="FP4" s="3"/>
      <c r="FQ4" s="3"/>
      <c r="FR4" s="20"/>
      <c r="FS4" s="20"/>
      <c r="FT4" s="3"/>
      <c r="FU4" s="3"/>
      <c r="FV4" s="3"/>
      <c r="FW4" s="3"/>
      <c r="FX4" s="3"/>
      <c r="FY4" s="20"/>
      <c r="FZ4" s="20"/>
      <c r="GA4" s="3"/>
      <c r="GB4" s="3"/>
      <c r="GC4" s="3"/>
      <c r="GD4" s="3"/>
      <c r="GE4" s="3"/>
      <c r="GF4" s="20"/>
      <c r="GG4" s="20"/>
      <c r="GH4" s="3"/>
      <c r="GI4" s="3"/>
      <c r="GJ4" s="3"/>
      <c r="GK4" s="3"/>
      <c r="GL4" s="3"/>
      <c r="GM4" s="20"/>
      <c r="GN4" s="20"/>
      <c r="GO4" s="3"/>
      <c r="GP4" s="3"/>
      <c r="GQ4" s="3"/>
      <c r="GR4" s="3"/>
      <c r="GS4" s="3"/>
      <c r="GT4" s="20"/>
      <c r="GU4" s="20"/>
      <c r="GV4" s="3"/>
      <c r="GW4" s="3"/>
      <c r="GX4" s="3"/>
      <c r="GY4" s="3"/>
      <c r="GZ4" s="3"/>
      <c r="HA4" s="20"/>
      <c r="HB4" s="20"/>
      <c r="HC4" s="3"/>
      <c r="HD4" s="3"/>
      <c r="HE4" s="3"/>
      <c r="HF4" s="3"/>
      <c r="HG4" s="3"/>
      <c r="HH4" s="20"/>
      <c r="HI4" s="20"/>
      <c r="HJ4" s="3"/>
    </row>
    <row r="5" ht="13.5" customHeight="1">
      <c r="A5" s="21"/>
      <c r="B5" s="51" t="s">
        <v>40</v>
      </c>
      <c r="C5" s="23"/>
      <c r="D5" s="23">
        <f>D6+D9</f>
        <v>30</v>
      </c>
      <c r="E5" s="25"/>
      <c r="F5" s="24"/>
      <c r="G5" s="24"/>
      <c r="H5" s="25"/>
      <c r="I5" s="25"/>
      <c r="J5" s="25"/>
      <c r="K5" s="25"/>
      <c r="L5" s="25"/>
      <c r="M5" s="24"/>
      <c r="N5" s="24"/>
      <c r="O5" s="24"/>
      <c r="P5" s="25"/>
      <c r="Q5" s="25"/>
      <c r="R5" s="25"/>
      <c r="S5" s="25"/>
      <c r="T5" s="24"/>
      <c r="U5" s="24"/>
      <c r="V5" s="25"/>
      <c r="W5" s="25"/>
      <c r="X5" s="25"/>
      <c r="Y5" s="25"/>
      <c r="Z5" s="25"/>
      <c r="AA5" s="24"/>
      <c r="AB5" s="24"/>
      <c r="AC5" s="25"/>
      <c r="AD5" s="25"/>
      <c r="AE5" s="25"/>
      <c r="AF5" s="25"/>
      <c r="AG5" s="25"/>
      <c r="AH5" s="24"/>
      <c r="AI5" s="24"/>
      <c r="AJ5" s="25"/>
      <c r="AK5" s="25"/>
      <c r="AL5" s="25"/>
      <c r="AM5" s="25"/>
      <c r="AN5" s="25"/>
      <c r="AO5" s="24"/>
      <c r="AP5" s="24"/>
      <c r="AQ5" s="52"/>
      <c r="AR5" s="52"/>
      <c r="AS5" s="52"/>
      <c r="AT5" s="52"/>
      <c r="AU5" s="52"/>
      <c r="AV5" s="24"/>
      <c r="AW5" s="24"/>
      <c r="AX5" s="25"/>
      <c r="AY5" s="25"/>
      <c r="AZ5" s="25"/>
      <c r="BA5" s="25"/>
      <c r="BB5" s="28"/>
      <c r="BC5" s="27"/>
      <c r="BD5" s="27"/>
      <c r="BE5" s="28"/>
      <c r="BF5" s="28"/>
      <c r="BG5" s="28"/>
      <c r="BH5" s="28"/>
      <c r="BI5" s="28"/>
      <c r="BJ5" s="27"/>
      <c r="BK5" s="27"/>
      <c r="BL5" s="28"/>
      <c r="BM5" s="28"/>
      <c r="BN5" s="28"/>
      <c r="BO5" s="28"/>
      <c r="BP5" s="28"/>
      <c r="BQ5" s="27"/>
      <c r="BR5" s="27"/>
      <c r="BS5" s="28"/>
      <c r="BT5" s="28"/>
      <c r="BU5" s="28"/>
      <c r="BV5" s="28"/>
      <c r="BW5" s="28"/>
      <c r="BX5" s="27"/>
      <c r="BY5" s="27"/>
      <c r="BZ5" s="28"/>
      <c r="CA5" s="28"/>
      <c r="CB5" s="28"/>
      <c r="CC5" s="28"/>
      <c r="CD5" s="28"/>
      <c r="CE5" s="27"/>
      <c r="CF5" s="27"/>
      <c r="CG5" s="28"/>
      <c r="CH5" s="28"/>
      <c r="CI5" s="28"/>
      <c r="CJ5" s="28"/>
      <c r="CK5" s="28"/>
      <c r="CL5" s="27"/>
      <c r="CM5" s="27"/>
      <c r="CN5" s="28"/>
      <c r="CO5" s="28"/>
      <c r="CP5" s="28"/>
      <c r="CQ5" s="28"/>
      <c r="CR5" s="28"/>
      <c r="CS5" s="29"/>
      <c r="CT5" s="20"/>
      <c r="CU5" s="30"/>
      <c r="CV5" s="4"/>
      <c r="CW5" s="4"/>
      <c r="CX5" s="4"/>
      <c r="CY5" s="4"/>
      <c r="CZ5" s="29"/>
      <c r="DA5" s="20"/>
      <c r="DB5" s="4"/>
      <c r="DC5" s="4"/>
      <c r="DD5" s="4"/>
      <c r="DE5" s="4"/>
      <c r="DF5" s="4"/>
      <c r="DG5" s="29"/>
      <c r="DH5" s="20"/>
      <c r="DI5" s="4"/>
      <c r="DJ5" s="4"/>
      <c r="DK5" s="4"/>
      <c r="DL5" s="4"/>
      <c r="DM5" s="4"/>
      <c r="DN5" s="29"/>
      <c r="DO5" s="20"/>
      <c r="DP5" s="4"/>
      <c r="DQ5" s="4"/>
      <c r="DR5" s="4"/>
      <c r="DS5" s="4"/>
      <c r="DT5" s="4"/>
      <c r="DU5" s="29"/>
      <c r="DV5" s="20"/>
      <c r="DW5" s="4"/>
      <c r="DX5" s="4"/>
      <c r="DY5" s="4"/>
      <c r="DZ5" s="4"/>
      <c r="EA5" s="4"/>
      <c r="EB5" s="29"/>
      <c r="EC5" s="20"/>
      <c r="ED5" s="4"/>
      <c r="EE5" s="4"/>
      <c r="EF5" s="4"/>
      <c r="EG5" s="4"/>
      <c r="EH5" s="4"/>
      <c r="EI5" s="29"/>
      <c r="EJ5" s="20"/>
      <c r="EK5" s="4"/>
      <c r="EL5" s="4"/>
      <c r="EM5" s="4"/>
      <c r="EN5" s="4"/>
      <c r="EO5" s="4"/>
      <c r="EP5" s="29"/>
      <c r="EQ5" s="20"/>
      <c r="ER5" s="4"/>
      <c r="ES5" s="4"/>
      <c r="ET5" s="4"/>
      <c r="EU5" s="4"/>
      <c r="EV5" s="4"/>
      <c r="EW5" s="29"/>
      <c r="EX5" s="20"/>
      <c r="EY5" s="4"/>
      <c r="EZ5" s="4"/>
      <c r="FA5" s="4"/>
      <c r="FB5" s="3"/>
      <c r="FC5" s="3"/>
      <c r="FD5" s="29"/>
      <c r="FE5" s="20"/>
      <c r="FF5" s="3"/>
      <c r="FG5" s="3"/>
      <c r="FH5" s="3"/>
      <c r="FI5" s="3"/>
      <c r="FJ5" s="3"/>
      <c r="FK5" s="29"/>
      <c r="FL5" s="20"/>
      <c r="FM5" s="3"/>
      <c r="FN5" s="3"/>
      <c r="FO5" s="3"/>
      <c r="FP5" s="3"/>
      <c r="FQ5" s="3"/>
      <c r="FR5" s="29"/>
      <c r="FS5" s="20"/>
      <c r="FT5" s="3"/>
      <c r="FU5" s="3"/>
      <c r="FV5" s="3"/>
      <c r="FW5" s="3"/>
      <c r="FX5" s="3"/>
      <c r="FY5" s="29"/>
      <c r="FZ5" s="20"/>
      <c r="GA5" s="3"/>
      <c r="GB5" s="3"/>
      <c r="GC5" s="3"/>
      <c r="GD5" s="3"/>
      <c r="GE5" s="3"/>
      <c r="GF5" s="29"/>
      <c r="GG5" s="20"/>
      <c r="GH5" s="3"/>
      <c r="GI5" s="3"/>
      <c r="GJ5" s="3"/>
      <c r="GK5" s="3"/>
      <c r="GL5" s="3"/>
      <c r="GM5" s="29"/>
      <c r="GN5" s="20"/>
      <c r="GO5" s="3"/>
      <c r="GP5" s="3"/>
      <c r="GQ5" s="3"/>
      <c r="GR5" s="3"/>
      <c r="GS5" s="3"/>
      <c r="GT5" s="29"/>
      <c r="GU5" s="20"/>
      <c r="GV5" s="3"/>
      <c r="GW5" s="3"/>
      <c r="GX5" s="3"/>
      <c r="GY5" s="3"/>
      <c r="GZ5" s="3"/>
      <c r="HA5" s="29"/>
      <c r="HB5" s="20"/>
      <c r="HC5" s="3"/>
      <c r="HD5" s="3"/>
      <c r="HE5" s="3"/>
      <c r="HF5" s="3"/>
      <c r="HG5" s="3"/>
      <c r="HH5" s="29"/>
      <c r="HI5" s="20"/>
      <c r="HJ5" s="3"/>
    </row>
    <row r="6" ht="13.5" customHeight="1">
      <c r="A6" s="21"/>
      <c r="B6" s="31" t="s">
        <v>10</v>
      </c>
      <c r="C6" s="16">
        <f t="shared" ref="C6:D6" si="1">SUM(C7:C8)</f>
        <v>4</v>
      </c>
      <c r="D6" s="16">
        <f t="shared" si="1"/>
        <v>5</v>
      </c>
      <c r="E6" s="25"/>
      <c r="F6" s="24"/>
      <c r="G6" s="24"/>
      <c r="H6" s="25"/>
      <c r="I6" s="25"/>
      <c r="J6" s="25"/>
      <c r="K6" s="25"/>
      <c r="L6" s="25"/>
      <c r="M6" s="24"/>
      <c r="N6" s="24"/>
      <c r="O6" s="24"/>
      <c r="P6" s="25"/>
      <c r="Q6" s="25"/>
      <c r="R6" s="25"/>
      <c r="S6" s="25"/>
      <c r="T6" s="24"/>
      <c r="U6" s="24"/>
      <c r="V6" s="25"/>
      <c r="W6" s="25"/>
      <c r="X6" s="25"/>
      <c r="Y6" s="25"/>
      <c r="Z6" s="25"/>
      <c r="AA6" s="24"/>
      <c r="AB6" s="24"/>
      <c r="AC6" s="25"/>
      <c r="AD6" s="25"/>
      <c r="AE6" s="25"/>
      <c r="AF6" s="25"/>
      <c r="AG6" s="25"/>
      <c r="AH6" s="24"/>
      <c r="AI6" s="24"/>
      <c r="AJ6" s="25"/>
      <c r="AK6" s="25"/>
      <c r="AL6" s="25"/>
      <c r="AM6" s="25"/>
      <c r="AN6" s="25"/>
      <c r="AO6" s="24"/>
      <c r="AP6" s="24"/>
      <c r="AQ6" s="52"/>
      <c r="AR6" s="52"/>
      <c r="AS6" s="52"/>
      <c r="AT6" s="52"/>
      <c r="AU6" s="52"/>
      <c r="AV6" s="24"/>
      <c r="AW6" s="24"/>
      <c r="AX6" s="25"/>
      <c r="AY6" s="25"/>
      <c r="AZ6" s="25"/>
      <c r="BA6" s="25"/>
      <c r="BB6" s="28"/>
      <c r="BC6" s="27"/>
      <c r="BD6" s="27"/>
      <c r="BE6" s="28"/>
      <c r="BF6" s="28"/>
      <c r="BG6" s="28"/>
      <c r="BH6" s="28"/>
      <c r="BI6" s="28"/>
      <c r="BJ6" s="27"/>
      <c r="BK6" s="27"/>
      <c r="BL6" s="28"/>
      <c r="BM6" s="28"/>
      <c r="BN6" s="28"/>
      <c r="BO6" s="28"/>
      <c r="BP6" s="28"/>
      <c r="BQ6" s="27"/>
      <c r="BR6" s="27"/>
      <c r="BS6" s="28"/>
      <c r="BT6" s="28"/>
      <c r="BU6" s="28"/>
      <c r="BV6" s="28"/>
      <c r="BW6" s="28"/>
      <c r="BX6" s="27"/>
      <c r="BY6" s="27"/>
      <c r="BZ6" s="28"/>
      <c r="CA6" s="28"/>
      <c r="CB6" s="28"/>
      <c r="CC6" s="28"/>
      <c r="CD6" s="28"/>
      <c r="CE6" s="27"/>
      <c r="CF6" s="27"/>
      <c r="CG6" s="28"/>
      <c r="CH6" s="28"/>
      <c r="CI6" s="28"/>
      <c r="CJ6" s="28"/>
      <c r="CK6" s="28"/>
      <c r="CL6" s="27"/>
      <c r="CM6" s="27"/>
      <c r="CN6" s="28"/>
      <c r="CO6" s="28"/>
      <c r="CP6" s="28"/>
      <c r="CQ6" s="28"/>
      <c r="CR6" s="28"/>
      <c r="CS6" s="29"/>
      <c r="CT6" s="20"/>
      <c r="CU6" s="30"/>
      <c r="CV6" s="4"/>
      <c r="CW6" s="4"/>
      <c r="CX6" s="4"/>
      <c r="CY6" s="4"/>
      <c r="CZ6" s="29"/>
      <c r="DA6" s="20"/>
      <c r="DB6" s="4"/>
      <c r="DC6" s="4"/>
      <c r="DD6" s="4"/>
      <c r="DE6" s="4"/>
      <c r="DF6" s="4"/>
      <c r="DG6" s="29"/>
      <c r="DH6" s="20"/>
      <c r="DI6" s="4"/>
      <c r="DJ6" s="4"/>
      <c r="DK6" s="4"/>
      <c r="DL6" s="4"/>
      <c r="DM6" s="4"/>
      <c r="DN6" s="29"/>
      <c r="DO6" s="20"/>
      <c r="DP6" s="4"/>
      <c r="DQ6" s="4"/>
      <c r="DR6" s="4"/>
      <c r="DS6" s="4"/>
      <c r="DT6" s="4"/>
      <c r="DU6" s="29"/>
      <c r="DV6" s="20"/>
      <c r="DW6" s="4"/>
      <c r="DX6" s="4"/>
      <c r="DY6" s="4"/>
      <c r="DZ6" s="4"/>
      <c r="EA6" s="4"/>
      <c r="EB6" s="29"/>
      <c r="EC6" s="20"/>
      <c r="ED6" s="4"/>
      <c r="EE6" s="4"/>
      <c r="EF6" s="4"/>
      <c r="EG6" s="4"/>
      <c r="EH6" s="4"/>
      <c r="EI6" s="29"/>
      <c r="EJ6" s="20"/>
      <c r="EK6" s="4"/>
      <c r="EL6" s="4"/>
      <c r="EM6" s="4"/>
      <c r="EN6" s="4"/>
      <c r="EO6" s="4"/>
      <c r="EP6" s="29"/>
      <c r="EQ6" s="20"/>
      <c r="ER6" s="4"/>
      <c r="ES6" s="4"/>
      <c r="ET6" s="4"/>
      <c r="EU6" s="4"/>
      <c r="EV6" s="4"/>
      <c r="EW6" s="29"/>
      <c r="EX6" s="20"/>
      <c r="EY6" s="4"/>
      <c r="EZ6" s="4"/>
      <c r="FA6" s="4"/>
      <c r="FB6" s="3"/>
      <c r="FC6" s="3"/>
      <c r="FD6" s="29"/>
      <c r="FE6" s="20"/>
      <c r="FF6" s="3"/>
      <c r="FG6" s="3"/>
      <c r="FH6" s="3"/>
      <c r="FI6" s="3"/>
      <c r="FJ6" s="3"/>
      <c r="FK6" s="29"/>
      <c r="FL6" s="20"/>
      <c r="FM6" s="3"/>
      <c r="FN6" s="3"/>
      <c r="FO6" s="3"/>
      <c r="FP6" s="3"/>
      <c r="FQ6" s="3"/>
      <c r="FR6" s="29"/>
      <c r="FS6" s="20"/>
      <c r="FT6" s="3"/>
      <c r="FU6" s="3"/>
      <c r="FV6" s="3"/>
      <c r="FW6" s="3"/>
      <c r="FX6" s="3"/>
      <c r="FY6" s="29"/>
      <c r="FZ6" s="20"/>
      <c r="GA6" s="3"/>
      <c r="GB6" s="3"/>
      <c r="GC6" s="3"/>
      <c r="GD6" s="3"/>
      <c r="GE6" s="3"/>
      <c r="GF6" s="29"/>
      <c r="GG6" s="20"/>
      <c r="GH6" s="3"/>
      <c r="GI6" s="3"/>
      <c r="GJ6" s="3"/>
      <c r="GK6" s="3"/>
      <c r="GL6" s="3"/>
      <c r="GM6" s="29"/>
      <c r="GN6" s="20"/>
      <c r="GO6" s="3"/>
      <c r="GP6" s="3"/>
      <c r="GQ6" s="3"/>
      <c r="GR6" s="3"/>
      <c r="GS6" s="3"/>
      <c r="GT6" s="29"/>
      <c r="GU6" s="20"/>
      <c r="GV6" s="3"/>
      <c r="GW6" s="3"/>
      <c r="GX6" s="3"/>
      <c r="GY6" s="3"/>
      <c r="GZ6" s="3"/>
      <c r="HA6" s="29"/>
      <c r="HB6" s="20"/>
      <c r="HC6" s="3"/>
      <c r="HD6" s="3"/>
      <c r="HE6" s="3"/>
      <c r="HF6" s="3"/>
      <c r="HG6" s="3"/>
      <c r="HH6" s="29"/>
      <c r="HI6" s="20"/>
      <c r="HJ6" s="3"/>
    </row>
    <row r="7" ht="13.5" customHeight="1">
      <c r="A7" s="21"/>
      <c r="B7" s="32" t="s">
        <v>11</v>
      </c>
      <c r="C7" s="33">
        <v>2.0</v>
      </c>
      <c r="D7" s="16">
        <f t="shared" ref="D7:D8" si="2">SUM(E7:EZ7)</f>
        <v>2</v>
      </c>
      <c r="E7" s="25">
        <v>1.0</v>
      </c>
      <c r="F7" s="24"/>
      <c r="G7" s="24"/>
      <c r="H7" s="25"/>
      <c r="I7" s="25"/>
      <c r="J7" s="25">
        <v>1.0</v>
      </c>
      <c r="K7" s="25"/>
      <c r="L7" s="25"/>
      <c r="M7" s="24"/>
      <c r="N7" s="24"/>
      <c r="O7" s="24"/>
      <c r="P7" s="25"/>
      <c r="Q7" s="25"/>
      <c r="R7" s="25"/>
      <c r="S7" s="25"/>
      <c r="T7" s="24"/>
      <c r="U7" s="24"/>
      <c r="V7" s="25"/>
      <c r="W7" s="25"/>
      <c r="X7" s="25"/>
      <c r="Y7" s="25"/>
      <c r="Z7" s="25"/>
      <c r="AA7" s="24"/>
      <c r="AB7" s="24"/>
      <c r="AC7" s="25"/>
      <c r="AD7" s="25"/>
      <c r="AE7" s="25"/>
      <c r="AF7" s="25"/>
      <c r="AG7" s="25"/>
      <c r="AH7" s="24"/>
      <c r="AI7" s="24"/>
      <c r="AJ7" s="25"/>
      <c r="AK7" s="25"/>
      <c r="AL7" s="25"/>
      <c r="AM7" s="25"/>
      <c r="AN7" s="25"/>
      <c r="AO7" s="24"/>
      <c r="AP7" s="24"/>
      <c r="AQ7" s="52"/>
      <c r="AR7" s="52"/>
      <c r="AS7" s="52"/>
      <c r="AT7" s="52"/>
      <c r="AU7" s="52"/>
      <c r="AV7" s="24"/>
      <c r="AW7" s="24"/>
      <c r="AX7" s="25"/>
      <c r="AY7" s="25"/>
      <c r="AZ7" s="25"/>
      <c r="BA7" s="25"/>
      <c r="BB7" s="28"/>
      <c r="BC7" s="27"/>
      <c r="BD7" s="27"/>
      <c r="BE7" s="28"/>
      <c r="BF7" s="28"/>
      <c r="BG7" s="28"/>
      <c r="BH7" s="28"/>
      <c r="BI7" s="28"/>
      <c r="BJ7" s="27"/>
      <c r="BK7" s="27"/>
      <c r="BL7" s="28"/>
      <c r="BM7" s="28"/>
      <c r="BN7" s="28"/>
      <c r="BO7" s="28"/>
      <c r="BP7" s="28"/>
      <c r="BQ7" s="27"/>
      <c r="BR7" s="27"/>
      <c r="BS7" s="28"/>
      <c r="BT7" s="28"/>
      <c r="BU7" s="28"/>
      <c r="BV7" s="28"/>
      <c r="BW7" s="28"/>
      <c r="BX7" s="27"/>
      <c r="BY7" s="27"/>
      <c r="BZ7" s="28"/>
      <c r="CA7" s="28"/>
      <c r="CB7" s="28"/>
      <c r="CC7" s="28"/>
      <c r="CD7" s="28"/>
      <c r="CE7" s="27"/>
      <c r="CF7" s="27"/>
      <c r="CG7" s="28"/>
      <c r="CH7" s="28"/>
      <c r="CI7" s="28"/>
      <c r="CJ7" s="28"/>
      <c r="CK7" s="28"/>
      <c r="CL7" s="27"/>
      <c r="CM7" s="27"/>
      <c r="CN7" s="28"/>
      <c r="CO7" s="28"/>
      <c r="CP7" s="28"/>
      <c r="CQ7" s="28"/>
      <c r="CR7" s="28"/>
      <c r="CS7" s="29"/>
      <c r="CT7" s="20"/>
      <c r="CU7" s="30"/>
      <c r="CV7" s="4"/>
      <c r="CW7" s="4"/>
      <c r="CX7" s="4"/>
      <c r="CY7" s="4"/>
      <c r="CZ7" s="29"/>
      <c r="DA7" s="20"/>
      <c r="DB7" s="4"/>
      <c r="DC7" s="4"/>
      <c r="DD7" s="4"/>
      <c r="DE7" s="4"/>
      <c r="DF7" s="4"/>
      <c r="DG7" s="29"/>
      <c r="DH7" s="20"/>
      <c r="DI7" s="4"/>
      <c r="DJ7" s="4"/>
      <c r="DK7" s="4"/>
      <c r="DL7" s="4"/>
      <c r="DM7" s="4"/>
      <c r="DN7" s="29"/>
      <c r="DO7" s="20"/>
      <c r="DP7" s="4"/>
      <c r="DQ7" s="4"/>
      <c r="DR7" s="4"/>
      <c r="DS7" s="4"/>
      <c r="DT7" s="4"/>
      <c r="DU7" s="29"/>
      <c r="DV7" s="20"/>
      <c r="DW7" s="4"/>
      <c r="DX7" s="4"/>
      <c r="DY7" s="4"/>
      <c r="DZ7" s="4"/>
      <c r="EA7" s="4"/>
      <c r="EB7" s="29"/>
      <c r="EC7" s="20"/>
      <c r="ED7" s="4"/>
      <c r="EE7" s="4"/>
      <c r="EF7" s="4"/>
      <c r="EG7" s="4"/>
      <c r="EH7" s="4"/>
      <c r="EI7" s="29"/>
      <c r="EJ7" s="20"/>
      <c r="EK7" s="4"/>
      <c r="EL7" s="4"/>
      <c r="EM7" s="4"/>
      <c r="EN7" s="4"/>
      <c r="EO7" s="4"/>
      <c r="EP7" s="29"/>
      <c r="EQ7" s="20"/>
      <c r="ER7" s="4"/>
      <c r="ES7" s="4"/>
      <c r="ET7" s="4"/>
      <c r="EU7" s="4"/>
      <c r="EV7" s="4"/>
      <c r="EW7" s="29"/>
      <c r="EX7" s="20"/>
      <c r="EY7" s="4"/>
      <c r="EZ7" s="4"/>
      <c r="FA7" s="4"/>
      <c r="FB7" s="3"/>
      <c r="FC7" s="3"/>
      <c r="FD7" s="29"/>
      <c r="FE7" s="20"/>
      <c r="FF7" s="3"/>
      <c r="FG7" s="3"/>
      <c r="FH7" s="3"/>
      <c r="FI7" s="3"/>
      <c r="FJ7" s="3"/>
      <c r="FK7" s="29"/>
      <c r="FL7" s="20"/>
      <c r="FM7" s="3"/>
      <c r="FN7" s="3"/>
      <c r="FO7" s="3"/>
      <c r="FP7" s="3"/>
      <c r="FQ7" s="3"/>
      <c r="FR7" s="29"/>
      <c r="FS7" s="20"/>
      <c r="FT7" s="3"/>
      <c r="FU7" s="3"/>
      <c r="FV7" s="3"/>
      <c r="FW7" s="3"/>
      <c r="FX7" s="3"/>
      <c r="FY7" s="29"/>
      <c r="FZ7" s="20"/>
      <c r="GA7" s="3"/>
      <c r="GB7" s="3"/>
      <c r="GC7" s="3"/>
      <c r="GD7" s="3"/>
      <c r="GE7" s="3"/>
      <c r="GF7" s="29"/>
      <c r="GG7" s="20"/>
      <c r="GH7" s="3"/>
      <c r="GI7" s="3"/>
      <c r="GJ7" s="3"/>
      <c r="GK7" s="3"/>
      <c r="GL7" s="3"/>
      <c r="GM7" s="29"/>
      <c r="GN7" s="20"/>
      <c r="GO7" s="3"/>
      <c r="GP7" s="3"/>
      <c r="GQ7" s="3"/>
      <c r="GR7" s="3"/>
      <c r="GS7" s="3"/>
      <c r="GT7" s="29"/>
      <c r="GU7" s="20"/>
      <c r="GV7" s="3"/>
      <c r="GW7" s="3"/>
      <c r="GX7" s="3"/>
      <c r="GY7" s="3"/>
      <c r="GZ7" s="3"/>
      <c r="HA7" s="29"/>
      <c r="HB7" s="20"/>
      <c r="HC7" s="3"/>
      <c r="HD7" s="3"/>
      <c r="HE7" s="3"/>
      <c r="HF7" s="3"/>
      <c r="HG7" s="3"/>
      <c r="HH7" s="29"/>
      <c r="HI7" s="20"/>
      <c r="HJ7" s="3"/>
    </row>
    <row r="8" ht="13.5" customHeight="1">
      <c r="A8" s="21"/>
      <c r="B8" s="35" t="s">
        <v>41</v>
      </c>
      <c r="C8" s="33">
        <v>2.0</v>
      </c>
      <c r="D8" s="16">
        <f t="shared" si="2"/>
        <v>3</v>
      </c>
      <c r="E8" s="16"/>
      <c r="F8" s="17"/>
      <c r="G8" s="17"/>
      <c r="H8" s="16"/>
      <c r="I8" s="16"/>
      <c r="J8" s="16">
        <v>1.0</v>
      </c>
      <c r="K8" s="16"/>
      <c r="L8" s="16">
        <v>1.0</v>
      </c>
      <c r="M8" s="17"/>
      <c r="N8" s="17"/>
      <c r="O8" s="17"/>
      <c r="P8" s="16"/>
      <c r="Q8" s="16"/>
      <c r="R8" s="16"/>
      <c r="S8" s="16">
        <v>1.0</v>
      </c>
      <c r="T8" s="17"/>
      <c r="U8" s="17"/>
      <c r="V8" s="16"/>
      <c r="W8" s="16"/>
      <c r="X8" s="16"/>
      <c r="Y8" s="16"/>
      <c r="Z8" s="16"/>
      <c r="AA8" s="17"/>
      <c r="AB8" s="17"/>
      <c r="AC8" s="16"/>
      <c r="AD8" s="16"/>
      <c r="AE8" s="16"/>
      <c r="AF8" s="16"/>
      <c r="AG8" s="16"/>
      <c r="AH8" s="17"/>
      <c r="AI8" s="17"/>
      <c r="AJ8" s="16"/>
      <c r="AK8" s="16"/>
      <c r="AL8" s="16"/>
      <c r="AM8" s="16"/>
      <c r="AN8" s="16"/>
      <c r="AO8" s="17"/>
      <c r="AP8" s="17"/>
      <c r="AQ8" s="50"/>
      <c r="AR8" s="50"/>
      <c r="AS8" s="50"/>
      <c r="AT8" s="50"/>
      <c r="AU8" s="50"/>
      <c r="AV8" s="17"/>
      <c r="AW8" s="17"/>
      <c r="AX8" s="16"/>
      <c r="AY8" s="16"/>
      <c r="AZ8" s="16"/>
      <c r="BA8" s="16"/>
      <c r="BB8" s="3"/>
      <c r="BC8" s="19"/>
      <c r="BD8" s="19"/>
      <c r="BE8" s="3"/>
      <c r="BF8" s="3"/>
      <c r="BG8" s="3"/>
      <c r="BH8" s="3"/>
      <c r="BI8" s="3"/>
      <c r="BJ8" s="19"/>
      <c r="BK8" s="19"/>
      <c r="BL8" s="3"/>
      <c r="BM8" s="3"/>
      <c r="BN8" s="3"/>
      <c r="BO8" s="3"/>
      <c r="BP8" s="3"/>
      <c r="BQ8" s="19"/>
      <c r="BR8" s="19"/>
      <c r="BS8" s="3"/>
      <c r="BT8" s="3"/>
      <c r="BU8" s="3"/>
      <c r="BV8" s="3"/>
      <c r="BW8" s="3"/>
      <c r="BX8" s="19"/>
      <c r="BY8" s="19"/>
      <c r="BZ8" s="3"/>
      <c r="CA8" s="3"/>
      <c r="CB8" s="3"/>
      <c r="CC8" s="3"/>
      <c r="CD8" s="3"/>
      <c r="CE8" s="19"/>
      <c r="CF8" s="19"/>
      <c r="CG8" s="3"/>
      <c r="CH8" s="3"/>
      <c r="CI8" s="3"/>
      <c r="CJ8" s="3"/>
      <c r="CK8" s="3"/>
      <c r="CL8" s="19"/>
      <c r="CM8" s="19"/>
      <c r="CN8" s="3"/>
      <c r="CO8" s="3"/>
      <c r="CP8" s="3"/>
      <c r="CQ8" s="3"/>
      <c r="CR8" s="3"/>
      <c r="CS8" s="20"/>
      <c r="CT8" s="20"/>
      <c r="CU8" s="4"/>
      <c r="CV8" s="4"/>
      <c r="CW8" s="4"/>
      <c r="CX8" s="4"/>
      <c r="CY8" s="4"/>
      <c r="CZ8" s="20"/>
      <c r="DA8" s="20"/>
      <c r="DB8" s="4"/>
      <c r="DC8" s="4"/>
      <c r="DD8" s="4"/>
      <c r="DE8" s="4"/>
      <c r="DF8" s="4"/>
      <c r="DG8" s="20"/>
      <c r="DH8" s="20"/>
      <c r="DI8" s="4"/>
      <c r="DJ8" s="4"/>
      <c r="DK8" s="4"/>
      <c r="DL8" s="4"/>
      <c r="DM8" s="4"/>
      <c r="DN8" s="20"/>
      <c r="DO8" s="20"/>
      <c r="DP8" s="4"/>
      <c r="DQ8" s="4"/>
      <c r="DR8" s="4"/>
      <c r="DS8" s="4"/>
      <c r="DT8" s="4"/>
      <c r="DU8" s="20"/>
      <c r="DV8" s="20"/>
      <c r="DW8" s="4"/>
      <c r="DX8" s="4"/>
      <c r="DY8" s="4"/>
      <c r="DZ8" s="4"/>
      <c r="EA8" s="4"/>
      <c r="EB8" s="20"/>
      <c r="EC8" s="20"/>
      <c r="ED8" s="4"/>
      <c r="EE8" s="4"/>
      <c r="EF8" s="4"/>
      <c r="EG8" s="4"/>
      <c r="EH8" s="4"/>
      <c r="EI8" s="20"/>
      <c r="EJ8" s="20"/>
      <c r="EK8" s="4"/>
      <c r="EL8" s="4"/>
      <c r="EM8" s="4"/>
      <c r="EN8" s="4"/>
      <c r="EO8" s="4"/>
      <c r="EP8" s="20"/>
      <c r="EQ8" s="20"/>
      <c r="ER8" s="4"/>
      <c r="ES8" s="4"/>
      <c r="ET8" s="4"/>
      <c r="EU8" s="4"/>
      <c r="EV8" s="4"/>
      <c r="EW8" s="20"/>
      <c r="EX8" s="20"/>
      <c r="EY8" s="4"/>
      <c r="EZ8" s="4"/>
      <c r="FA8" s="4"/>
      <c r="FB8" s="3"/>
      <c r="FC8" s="3"/>
      <c r="FD8" s="20"/>
      <c r="FE8" s="20"/>
      <c r="FF8" s="3"/>
      <c r="FG8" s="3"/>
      <c r="FH8" s="3"/>
      <c r="FI8" s="3"/>
      <c r="FJ8" s="3"/>
      <c r="FK8" s="20"/>
      <c r="FL8" s="20"/>
      <c r="FM8" s="3"/>
      <c r="FN8" s="3"/>
      <c r="FO8" s="3"/>
      <c r="FP8" s="3"/>
      <c r="FQ8" s="3"/>
      <c r="FR8" s="20"/>
      <c r="FS8" s="20"/>
      <c r="FT8" s="3"/>
      <c r="FU8" s="3"/>
      <c r="FV8" s="3"/>
      <c r="FW8" s="3"/>
      <c r="FX8" s="3"/>
      <c r="FY8" s="20"/>
      <c r="FZ8" s="20"/>
      <c r="GA8" s="3"/>
      <c r="GB8" s="3"/>
      <c r="GC8" s="3"/>
      <c r="GD8" s="3"/>
      <c r="GE8" s="3"/>
      <c r="GF8" s="20"/>
      <c r="GG8" s="20"/>
      <c r="GH8" s="3"/>
      <c r="GI8" s="3"/>
      <c r="GJ8" s="3"/>
      <c r="GK8" s="3"/>
      <c r="GL8" s="3"/>
      <c r="GM8" s="20"/>
      <c r="GN8" s="20"/>
      <c r="GO8" s="3"/>
      <c r="GP8" s="3"/>
      <c r="GQ8" s="3"/>
      <c r="GR8" s="3"/>
      <c r="GS8" s="3"/>
      <c r="GT8" s="20"/>
      <c r="GU8" s="20"/>
      <c r="GV8" s="3"/>
      <c r="GW8" s="3"/>
      <c r="GX8" s="3"/>
      <c r="GY8" s="3"/>
      <c r="GZ8" s="3"/>
      <c r="HA8" s="20"/>
      <c r="HB8" s="20"/>
      <c r="HC8" s="3"/>
      <c r="HD8" s="3"/>
      <c r="HE8" s="3"/>
      <c r="HF8" s="3"/>
      <c r="HG8" s="3"/>
      <c r="HH8" s="20"/>
      <c r="HI8" s="20"/>
      <c r="HJ8" s="3"/>
    </row>
    <row r="9" ht="13.5" customHeight="1">
      <c r="A9" s="21"/>
      <c r="B9" s="31" t="s">
        <v>12</v>
      </c>
      <c r="C9" s="16">
        <f t="shared" ref="C9:D9" si="3">SUM(C10:C11)</f>
        <v>14</v>
      </c>
      <c r="D9" s="16">
        <f t="shared" si="3"/>
        <v>25</v>
      </c>
      <c r="E9" s="16"/>
      <c r="F9" s="17"/>
      <c r="G9" s="17"/>
      <c r="H9" s="16"/>
      <c r="I9" s="16"/>
      <c r="J9" s="16"/>
      <c r="K9" s="16"/>
      <c r="L9" s="16"/>
      <c r="M9" s="17"/>
      <c r="N9" s="17"/>
      <c r="O9" s="17"/>
      <c r="P9" s="16"/>
      <c r="Q9" s="16"/>
      <c r="R9" s="16"/>
      <c r="S9" s="16"/>
      <c r="T9" s="17"/>
      <c r="U9" s="17"/>
      <c r="V9" s="16"/>
      <c r="W9" s="16"/>
      <c r="X9" s="16"/>
      <c r="Y9" s="16"/>
      <c r="Z9" s="16"/>
      <c r="AA9" s="17"/>
      <c r="AB9" s="17"/>
      <c r="AC9" s="16"/>
      <c r="AD9" s="16"/>
      <c r="AE9" s="16"/>
      <c r="AF9" s="16"/>
      <c r="AG9" s="16"/>
      <c r="AH9" s="17"/>
      <c r="AI9" s="17"/>
      <c r="AJ9" s="16"/>
      <c r="AK9" s="16"/>
      <c r="AL9" s="16"/>
      <c r="AM9" s="16"/>
      <c r="AN9" s="16"/>
      <c r="AO9" s="17"/>
      <c r="AP9" s="17"/>
      <c r="AQ9" s="50"/>
      <c r="AR9" s="50"/>
      <c r="AS9" s="50"/>
      <c r="AT9" s="50"/>
      <c r="AU9" s="50"/>
      <c r="AV9" s="17"/>
      <c r="AW9" s="17"/>
      <c r="AX9" s="16"/>
      <c r="AY9" s="16"/>
      <c r="AZ9" s="16"/>
      <c r="BA9" s="16"/>
      <c r="BB9" s="3"/>
      <c r="BC9" s="19"/>
      <c r="BD9" s="19"/>
      <c r="BE9" s="3"/>
      <c r="BF9" s="3"/>
      <c r="BG9" s="3"/>
      <c r="BH9" s="3"/>
      <c r="BI9" s="3"/>
      <c r="BJ9" s="19"/>
      <c r="BK9" s="19"/>
      <c r="BL9" s="3"/>
      <c r="BM9" s="3"/>
      <c r="BN9" s="3"/>
      <c r="BO9" s="3"/>
      <c r="BP9" s="3"/>
      <c r="BQ9" s="19"/>
      <c r="BR9" s="19"/>
      <c r="BS9" s="3"/>
      <c r="BT9" s="3"/>
      <c r="BU9" s="3"/>
      <c r="BV9" s="3"/>
      <c r="BW9" s="3"/>
      <c r="BX9" s="19"/>
      <c r="BY9" s="19"/>
      <c r="BZ9" s="3"/>
      <c r="CA9" s="3"/>
      <c r="CB9" s="3"/>
      <c r="CC9" s="3"/>
      <c r="CD9" s="3"/>
      <c r="CE9" s="19"/>
      <c r="CF9" s="19"/>
      <c r="CG9" s="3"/>
      <c r="CH9" s="3"/>
      <c r="CI9" s="3"/>
      <c r="CJ9" s="3"/>
      <c r="CK9" s="3"/>
      <c r="CL9" s="19"/>
      <c r="CM9" s="19"/>
      <c r="CN9" s="3"/>
      <c r="CO9" s="3"/>
      <c r="CP9" s="3"/>
      <c r="CQ9" s="3"/>
      <c r="CR9" s="3"/>
      <c r="CS9" s="20"/>
      <c r="CT9" s="20"/>
      <c r="CU9" s="4"/>
      <c r="CV9" s="4"/>
      <c r="CW9" s="4"/>
      <c r="CX9" s="4"/>
      <c r="CY9" s="4"/>
      <c r="CZ9" s="20"/>
      <c r="DA9" s="20"/>
      <c r="DB9" s="4"/>
      <c r="DC9" s="4"/>
      <c r="DD9" s="4"/>
      <c r="DE9" s="4"/>
      <c r="DF9" s="4"/>
      <c r="DG9" s="20"/>
      <c r="DH9" s="20"/>
      <c r="DI9" s="4"/>
      <c r="DJ9" s="4"/>
      <c r="DK9" s="4"/>
      <c r="DL9" s="4"/>
      <c r="DM9" s="4"/>
      <c r="DN9" s="20"/>
      <c r="DO9" s="20"/>
      <c r="DP9" s="4"/>
      <c r="DQ9" s="4"/>
      <c r="DR9" s="4"/>
      <c r="DS9" s="4"/>
      <c r="DT9" s="4"/>
      <c r="DU9" s="20"/>
      <c r="DV9" s="20"/>
      <c r="DW9" s="4"/>
      <c r="DX9" s="4"/>
      <c r="DY9" s="4"/>
      <c r="DZ9" s="4"/>
      <c r="EA9" s="4"/>
      <c r="EB9" s="20"/>
      <c r="EC9" s="20"/>
      <c r="ED9" s="4"/>
      <c r="EE9" s="4"/>
      <c r="EF9" s="4"/>
      <c r="EG9" s="4"/>
      <c r="EH9" s="4"/>
      <c r="EI9" s="20"/>
      <c r="EJ9" s="20"/>
      <c r="EK9" s="4"/>
      <c r="EL9" s="4"/>
      <c r="EM9" s="4"/>
      <c r="EN9" s="4"/>
      <c r="EO9" s="4"/>
      <c r="EP9" s="20"/>
      <c r="EQ9" s="20"/>
      <c r="ER9" s="4"/>
      <c r="ES9" s="4"/>
      <c r="ET9" s="4"/>
      <c r="EU9" s="4"/>
      <c r="EV9" s="4"/>
      <c r="EW9" s="20"/>
      <c r="EX9" s="20"/>
      <c r="EY9" s="4"/>
      <c r="EZ9" s="4"/>
      <c r="FA9" s="4"/>
      <c r="FB9" s="3"/>
      <c r="FC9" s="3"/>
      <c r="FD9" s="20"/>
      <c r="FE9" s="20"/>
      <c r="FF9" s="3"/>
      <c r="FG9" s="3"/>
      <c r="FH9" s="3"/>
      <c r="FI9" s="3"/>
      <c r="FJ9" s="3"/>
      <c r="FK9" s="20"/>
      <c r="FL9" s="20"/>
      <c r="FM9" s="3"/>
      <c r="FN9" s="3"/>
      <c r="FO9" s="3"/>
      <c r="FP9" s="3"/>
      <c r="FQ9" s="3"/>
      <c r="FR9" s="20"/>
      <c r="FS9" s="20"/>
      <c r="FT9" s="3"/>
      <c r="FU9" s="3"/>
      <c r="FV9" s="3"/>
      <c r="FW9" s="3"/>
      <c r="FX9" s="3"/>
      <c r="FY9" s="20"/>
      <c r="FZ9" s="20"/>
      <c r="GA9" s="3"/>
      <c r="GB9" s="3"/>
      <c r="GC9" s="3"/>
      <c r="GD9" s="3"/>
      <c r="GE9" s="3"/>
      <c r="GF9" s="20"/>
      <c r="GG9" s="20"/>
      <c r="GH9" s="3"/>
      <c r="GI9" s="3"/>
      <c r="GJ9" s="3"/>
      <c r="GK9" s="3"/>
      <c r="GL9" s="3"/>
      <c r="GM9" s="20"/>
      <c r="GN9" s="20"/>
      <c r="GO9" s="3"/>
      <c r="GP9" s="3"/>
      <c r="GQ9" s="3"/>
      <c r="GR9" s="3"/>
      <c r="GS9" s="3"/>
      <c r="GT9" s="20"/>
      <c r="GU9" s="20"/>
      <c r="GV9" s="3"/>
      <c r="GW9" s="3"/>
      <c r="GX9" s="3"/>
      <c r="GY9" s="3"/>
      <c r="GZ9" s="3"/>
      <c r="HA9" s="20"/>
      <c r="HB9" s="20"/>
      <c r="HC9" s="3"/>
      <c r="HD9" s="3"/>
      <c r="HE9" s="3"/>
      <c r="HF9" s="3"/>
      <c r="HG9" s="3"/>
      <c r="HH9" s="20"/>
      <c r="HI9" s="20"/>
      <c r="HJ9" s="3"/>
    </row>
    <row r="10" ht="13.5" customHeight="1">
      <c r="A10" s="21"/>
      <c r="B10" s="35" t="s">
        <v>13</v>
      </c>
      <c r="C10" s="33">
        <v>5.0</v>
      </c>
      <c r="D10" s="16">
        <f t="shared" ref="D10:D11" si="4">SUM(E10:EZ10)</f>
        <v>10</v>
      </c>
      <c r="E10" s="16"/>
      <c r="F10" s="17"/>
      <c r="G10" s="17"/>
      <c r="H10" s="16"/>
      <c r="I10" s="16"/>
      <c r="J10" s="16"/>
      <c r="K10" s="16">
        <v>1.0</v>
      </c>
      <c r="L10" s="16">
        <v>1.0</v>
      </c>
      <c r="M10" s="17"/>
      <c r="N10" s="17"/>
      <c r="O10" s="17"/>
      <c r="P10" s="16"/>
      <c r="Q10" s="16">
        <v>1.0</v>
      </c>
      <c r="R10" s="16">
        <v>1.0</v>
      </c>
      <c r="S10" s="16">
        <v>1.0</v>
      </c>
      <c r="T10" s="17"/>
      <c r="U10" s="17"/>
      <c r="V10" s="16">
        <v>1.0</v>
      </c>
      <c r="W10" s="16">
        <v>1.0</v>
      </c>
      <c r="X10" s="16">
        <v>1.0</v>
      </c>
      <c r="Y10" s="16">
        <v>1.0</v>
      </c>
      <c r="Z10" s="16">
        <v>1.0</v>
      </c>
      <c r="AA10" s="17"/>
      <c r="AB10" s="17"/>
      <c r="AC10" s="16"/>
      <c r="AD10" s="16"/>
      <c r="AE10" s="16"/>
      <c r="AF10" s="16"/>
      <c r="AG10" s="16"/>
      <c r="AH10" s="17"/>
      <c r="AI10" s="17"/>
      <c r="AJ10" s="16"/>
      <c r="AK10" s="16"/>
      <c r="AL10" s="16"/>
      <c r="AM10" s="16"/>
      <c r="AN10" s="16"/>
      <c r="AO10" s="17"/>
      <c r="AP10" s="17"/>
      <c r="AQ10" s="50"/>
      <c r="AR10" s="50"/>
      <c r="AS10" s="50"/>
      <c r="AT10" s="50"/>
      <c r="AU10" s="50"/>
      <c r="AV10" s="17"/>
      <c r="AW10" s="17"/>
      <c r="AX10" s="16"/>
      <c r="AY10" s="16"/>
      <c r="AZ10" s="16"/>
      <c r="BA10" s="16"/>
      <c r="BB10" s="3"/>
      <c r="BC10" s="19"/>
      <c r="BD10" s="19"/>
      <c r="BE10" s="3"/>
      <c r="BF10" s="3"/>
      <c r="BG10" s="3"/>
      <c r="BH10" s="3"/>
      <c r="BI10" s="3"/>
      <c r="BJ10" s="19"/>
      <c r="BK10" s="19"/>
      <c r="BL10" s="3"/>
      <c r="BM10" s="3"/>
      <c r="BN10" s="3"/>
      <c r="BO10" s="3"/>
      <c r="BP10" s="3"/>
      <c r="BQ10" s="19"/>
      <c r="BR10" s="19"/>
      <c r="BS10" s="3"/>
      <c r="BT10" s="3"/>
      <c r="BU10" s="3"/>
      <c r="BV10" s="3"/>
      <c r="BW10" s="3"/>
      <c r="BX10" s="19"/>
      <c r="BY10" s="19"/>
      <c r="BZ10" s="3"/>
      <c r="CA10" s="3"/>
      <c r="CB10" s="3"/>
      <c r="CC10" s="3"/>
      <c r="CD10" s="3"/>
      <c r="CE10" s="19"/>
      <c r="CF10" s="19"/>
      <c r="CG10" s="3"/>
      <c r="CH10" s="3"/>
      <c r="CI10" s="3"/>
      <c r="CJ10" s="3"/>
      <c r="CK10" s="3"/>
      <c r="CL10" s="19"/>
      <c r="CM10" s="19"/>
      <c r="CN10" s="3"/>
      <c r="CO10" s="3"/>
      <c r="CP10" s="3"/>
      <c r="CQ10" s="3"/>
      <c r="CR10" s="3"/>
      <c r="CS10" s="20"/>
      <c r="CT10" s="20"/>
      <c r="CU10" s="4"/>
      <c r="CV10" s="4"/>
      <c r="CW10" s="4"/>
      <c r="CX10" s="4"/>
      <c r="CY10" s="4"/>
      <c r="CZ10" s="20"/>
      <c r="DA10" s="20"/>
      <c r="DB10" s="4"/>
      <c r="DC10" s="4"/>
      <c r="DD10" s="4"/>
      <c r="DE10" s="4"/>
      <c r="DF10" s="4"/>
      <c r="DG10" s="20"/>
      <c r="DH10" s="20"/>
      <c r="DI10" s="4"/>
      <c r="DJ10" s="4"/>
      <c r="DK10" s="4"/>
      <c r="DL10" s="4"/>
      <c r="DM10" s="4"/>
      <c r="DN10" s="20"/>
      <c r="DO10" s="20"/>
      <c r="DP10" s="4"/>
      <c r="DQ10" s="4"/>
      <c r="DR10" s="4"/>
      <c r="DS10" s="4"/>
      <c r="DT10" s="4"/>
      <c r="DU10" s="20"/>
      <c r="DV10" s="20"/>
      <c r="DW10" s="4"/>
      <c r="DX10" s="4"/>
      <c r="DY10" s="4"/>
      <c r="DZ10" s="4"/>
      <c r="EA10" s="4"/>
      <c r="EB10" s="20"/>
      <c r="EC10" s="20"/>
      <c r="ED10" s="4"/>
      <c r="EE10" s="4"/>
      <c r="EF10" s="4"/>
      <c r="EG10" s="4"/>
      <c r="EH10" s="4"/>
      <c r="EI10" s="20"/>
      <c r="EJ10" s="20"/>
      <c r="EK10" s="4"/>
      <c r="EL10" s="4"/>
      <c r="EM10" s="4"/>
      <c r="EN10" s="4"/>
      <c r="EO10" s="4"/>
      <c r="EP10" s="20"/>
      <c r="EQ10" s="20"/>
      <c r="ER10" s="4"/>
      <c r="ES10" s="4"/>
      <c r="ET10" s="4"/>
      <c r="EU10" s="4"/>
      <c r="EV10" s="4"/>
      <c r="EW10" s="20"/>
      <c r="EX10" s="20"/>
      <c r="EY10" s="4"/>
      <c r="EZ10" s="4"/>
      <c r="FA10" s="4"/>
      <c r="FB10" s="3"/>
      <c r="FC10" s="3"/>
      <c r="FD10" s="20"/>
      <c r="FE10" s="20"/>
      <c r="FF10" s="3"/>
      <c r="FG10" s="3"/>
      <c r="FH10" s="3"/>
      <c r="FI10" s="3"/>
      <c r="FJ10" s="3"/>
      <c r="FK10" s="20"/>
      <c r="FL10" s="20"/>
      <c r="FM10" s="3"/>
      <c r="FN10" s="3"/>
      <c r="FO10" s="3"/>
      <c r="FP10" s="3"/>
      <c r="FQ10" s="3"/>
      <c r="FR10" s="20"/>
      <c r="FS10" s="20"/>
      <c r="FT10" s="3"/>
      <c r="FU10" s="3"/>
      <c r="FV10" s="3"/>
      <c r="FW10" s="3"/>
      <c r="FX10" s="3"/>
      <c r="FY10" s="20"/>
      <c r="FZ10" s="20"/>
      <c r="GA10" s="3"/>
      <c r="GB10" s="3"/>
      <c r="GC10" s="3"/>
      <c r="GD10" s="3"/>
      <c r="GE10" s="3"/>
      <c r="GF10" s="20"/>
      <c r="GG10" s="20"/>
      <c r="GH10" s="3"/>
      <c r="GI10" s="3"/>
      <c r="GJ10" s="3"/>
      <c r="GK10" s="3"/>
      <c r="GL10" s="3"/>
      <c r="GM10" s="20"/>
      <c r="GN10" s="20"/>
      <c r="GO10" s="3"/>
      <c r="GP10" s="3"/>
      <c r="GQ10" s="3"/>
      <c r="GR10" s="3"/>
      <c r="GS10" s="3"/>
      <c r="GT10" s="20"/>
      <c r="GU10" s="20"/>
      <c r="GV10" s="3"/>
      <c r="GW10" s="3"/>
      <c r="GX10" s="3"/>
      <c r="GY10" s="3"/>
      <c r="GZ10" s="3"/>
      <c r="HA10" s="20"/>
      <c r="HB10" s="20"/>
      <c r="HC10" s="3"/>
      <c r="HD10" s="3"/>
      <c r="HE10" s="3"/>
      <c r="HF10" s="3"/>
      <c r="HG10" s="3"/>
      <c r="HH10" s="20"/>
      <c r="HI10" s="20"/>
      <c r="HJ10" s="3"/>
    </row>
    <row r="11" ht="13.5" customHeight="1">
      <c r="A11" s="21"/>
      <c r="B11" s="35" t="s">
        <v>14</v>
      </c>
      <c r="C11" s="33">
        <v>9.0</v>
      </c>
      <c r="D11" s="16">
        <f t="shared" si="4"/>
        <v>15</v>
      </c>
      <c r="E11" s="25"/>
      <c r="F11" s="24"/>
      <c r="G11" s="24"/>
      <c r="H11" s="25"/>
      <c r="I11" s="25"/>
      <c r="J11" s="25"/>
      <c r="K11" s="25"/>
      <c r="L11" s="25"/>
      <c r="M11" s="24"/>
      <c r="N11" s="24"/>
      <c r="O11" s="24"/>
      <c r="P11" s="25"/>
      <c r="Q11" s="25"/>
      <c r="R11" s="25"/>
      <c r="S11" s="25"/>
      <c r="T11" s="24"/>
      <c r="U11" s="24"/>
      <c r="V11" s="25">
        <v>1.0</v>
      </c>
      <c r="W11" s="25">
        <v>1.0</v>
      </c>
      <c r="X11" s="25">
        <v>1.0</v>
      </c>
      <c r="Y11" s="25">
        <v>1.0</v>
      </c>
      <c r="Z11" s="25">
        <v>1.0</v>
      </c>
      <c r="AA11" s="24"/>
      <c r="AB11" s="24"/>
      <c r="AC11" s="25">
        <v>2.0</v>
      </c>
      <c r="AD11" s="25">
        <v>2.0</v>
      </c>
      <c r="AE11" s="25">
        <v>2.0</v>
      </c>
      <c r="AF11" s="25">
        <v>2.0</v>
      </c>
      <c r="AG11" s="25">
        <v>2.0</v>
      </c>
      <c r="AH11" s="24"/>
      <c r="AI11" s="24"/>
      <c r="AJ11" s="25"/>
      <c r="AK11" s="25"/>
      <c r="AL11" s="25"/>
      <c r="AM11" s="25"/>
      <c r="AN11" s="25"/>
      <c r="AO11" s="24"/>
      <c r="AP11" s="24"/>
      <c r="AQ11" s="52"/>
      <c r="AR11" s="52"/>
      <c r="AS11" s="52"/>
      <c r="AT11" s="52"/>
      <c r="AU11" s="52"/>
      <c r="AV11" s="24"/>
      <c r="AW11" s="24"/>
      <c r="AX11" s="25"/>
      <c r="AY11" s="25"/>
      <c r="AZ11" s="25"/>
      <c r="BA11" s="25"/>
      <c r="BB11" s="3"/>
      <c r="BC11" s="19"/>
      <c r="BD11" s="19"/>
      <c r="BE11" s="3"/>
      <c r="BF11" s="3"/>
      <c r="BG11" s="3"/>
      <c r="BH11" s="3"/>
      <c r="BI11" s="3"/>
      <c r="BJ11" s="19"/>
      <c r="BK11" s="19"/>
      <c r="BL11" s="3"/>
      <c r="BM11" s="3"/>
      <c r="BN11" s="3"/>
      <c r="BO11" s="3"/>
      <c r="BP11" s="3"/>
      <c r="BQ11" s="19"/>
      <c r="BR11" s="19"/>
      <c r="BS11" s="3"/>
      <c r="BT11" s="3"/>
      <c r="BU11" s="3"/>
      <c r="BV11" s="3"/>
      <c r="BW11" s="3"/>
      <c r="BX11" s="19"/>
      <c r="BY11" s="19"/>
      <c r="BZ11" s="3"/>
      <c r="CA11" s="3"/>
      <c r="CB11" s="3"/>
      <c r="CC11" s="3"/>
      <c r="CD11" s="3"/>
      <c r="CE11" s="19"/>
      <c r="CF11" s="19"/>
      <c r="CG11" s="3"/>
      <c r="CH11" s="3"/>
      <c r="CI11" s="3"/>
      <c r="CJ11" s="3"/>
      <c r="CK11" s="3"/>
      <c r="CL11" s="19"/>
      <c r="CM11" s="19"/>
      <c r="CN11" s="3"/>
      <c r="CO11" s="3"/>
      <c r="CP11" s="3"/>
      <c r="CQ11" s="3"/>
      <c r="CR11" s="3"/>
      <c r="CS11" s="20"/>
      <c r="CT11" s="20"/>
      <c r="CU11" s="4"/>
      <c r="CV11" s="4"/>
      <c r="CW11" s="4"/>
      <c r="CX11" s="4"/>
      <c r="CY11" s="4"/>
      <c r="CZ11" s="20"/>
      <c r="DA11" s="20"/>
      <c r="DB11" s="4"/>
      <c r="DC11" s="4"/>
      <c r="DD11" s="4"/>
      <c r="DE11" s="4"/>
      <c r="DF11" s="4"/>
      <c r="DG11" s="20"/>
      <c r="DH11" s="20"/>
      <c r="DI11" s="4"/>
      <c r="DJ11" s="4"/>
      <c r="DK11" s="4"/>
      <c r="DL11" s="4"/>
      <c r="DM11" s="4"/>
      <c r="DN11" s="20"/>
      <c r="DO11" s="20"/>
      <c r="DP11" s="4"/>
      <c r="DQ11" s="4"/>
      <c r="DR11" s="4"/>
      <c r="DS11" s="4"/>
      <c r="DT11" s="4"/>
      <c r="DU11" s="20"/>
      <c r="DV11" s="20"/>
      <c r="DW11" s="4"/>
      <c r="DX11" s="4"/>
      <c r="DY11" s="4"/>
      <c r="DZ11" s="4"/>
      <c r="EA11" s="4"/>
      <c r="EB11" s="20"/>
      <c r="EC11" s="20"/>
      <c r="ED11" s="4"/>
      <c r="EE11" s="4"/>
      <c r="EF11" s="4"/>
      <c r="EG11" s="4"/>
      <c r="EH11" s="4"/>
      <c r="EI11" s="20"/>
      <c r="EJ11" s="20"/>
      <c r="EK11" s="4"/>
      <c r="EL11" s="4"/>
      <c r="EM11" s="4"/>
      <c r="EN11" s="4"/>
      <c r="EO11" s="4"/>
      <c r="EP11" s="20"/>
      <c r="EQ11" s="20"/>
      <c r="ER11" s="4"/>
      <c r="ES11" s="4"/>
      <c r="ET11" s="4"/>
      <c r="EU11" s="4"/>
      <c r="EV11" s="4"/>
      <c r="EW11" s="20"/>
      <c r="EX11" s="20"/>
      <c r="EY11" s="4"/>
      <c r="EZ11" s="4"/>
      <c r="FA11" s="4"/>
      <c r="FB11" s="3"/>
      <c r="FC11" s="3"/>
      <c r="FD11" s="20"/>
      <c r="FE11" s="20"/>
      <c r="FF11" s="3"/>
      <c r="FG11" s="3"/>
      <c r="FH11" s="3"/>
      <c r="FI11" s="3"/>
      <c r="FJ11" s="3"/>
      <c r="FK11" s="20"/>
      <c r="FL11" s="20"/>
      <c r="FM11" s="3"/>
      <c r="FN11" s="3"/>
      <c r="FO11" s="3"/>
      <c r="FP11" s="3"/>
      <c r="FQ11" s="3"/>
      <c r="FR11" s="20"/>
      <c r="FS11" s="20"/>
      <c r="FT11" s="3"/>
      <c r="FU11" s="3"/>
      <c r="FV11" s="3"/>
      <c r="FW11" s="3"/>
      <c r="FX11" s="3"/>
      <c r="FY11" s="20"/>
      <c r="FZ11" s="20"/>
      <c r="GA11" s="3"/>
      <c r="GB11" s="3"/>
      <c r="GC11" s="3"/>
      <c r="GD11" s="3"/>
      <c r="GE11" s="3"/>
      <c r="GF11" s="20"/>
      <c r="GG11" s="20"/>
      <c r="GH11" s="3"/>
      <c r="GI11" s="3"/>
      <c r="GJ11" s="3"/>
      <c r="GK11" s="3"/>
      <c r="GL11" s="3"/>
      <c r="GM11" s="20"/>
      <c r="GN11" s="20"/>
      <c r="GO11" s="3"/>
      <c r="GP11" s="3"/>
      <c r="GQ11" s="3"/>
      <c r="GR11" s="3"/>
      <c r="GS11" s="3"/>
      <c r="GT11" s="20"/>
      <c r="GU11" s="20"/>
      <c r="GV11" s="3"/>
      <c r="GW11" s="3"/>
      <c r="GX11" s="3"/>
      <c r="GY11" s="3"/>
      <c r="GZ11" s="3"/>
      <c r="HA11" s="20"/>
      <c r="HB11" s="20"/>
      <c r="HC11" s="3"/>
      <c r="HD11" s="3"/>
      <c r="HE11" s="3"/>
      <c r="HF11" s="3"/>
      <c r="HG11" s="3"/>
      <c r="HH11" s="20"/>
      <c r="HI11" s="20"/>
      <c r="HJ11" s="3"/>
    </row>
    <row r="12" ht="13.5" customHeight="1">
      <c r="A12" s="13" t="s">
        <v>16</v>
      </c>
      <c r="B12" s="51" t="s">
        <v>42</v>
      </c>
      <c r="C12" s="23"/>
      <c r="D12" s="23">
        <f>D13+D17+D21+D24+D25</f>
        <v>69</v>
      </c>
      <c r="E12" s="16"/>
      <c r="F12" s="17"/>
      <c r="G12" s="17"/>
      <c r="H12" s="16"/>
      <c r="I12" s="16"/>
      <c r="J12" s="16"/>
      <c r="K12" s="16"/>
      <c r="L12" s="16"/>
      <c r="M12" s="17"/>
      <c r="N12" s="17"/>
      <c r="O12" s="17"/>
      <c r="P12" s="16"/>
      <c r="Q12" s="16"/>
      <c r="R12" s="16"/>
      <c r="S12" s="16"/>
      <c r="T12" s="17"/>
      <c r="U12" s="17"/>
      <c r="V12" s="16"/>
      <c r="W12" s="16"/>
      <c r="X12" s="16"/>
      <c r="Y12" s="16"/>
      <c r="Z12" s="16"/>
      <c r="AA12" s="17"/>
      <c r="AB12" s="17"/>
      <c r="AC12" s="16"/>
      <c r="AD12" s="16"/>
      <c r="AE12" s="16"/>
      <c r="AF12" s="16"/>
      <c r="AG12" s="16"/>
      <c r="AH12" s="17"/>
      <c r="AI12" s="17"/>
      <c r="AJ12" s="16"/>
      <c r="AK12" s="16"/>
      <c r="AL12" s="16"/>
      <c r="AM12" s="16"/>
      <c r="AN12" s="16"/>
      <c r="AO12" s="17"/>
      <c r="AP12" s="17"/>
      <c r="AQ12" s="50"/>
      <c r="AR12" s="50"/>
      <c r="AS12" s="50"/>
      <c r="AT12" s="50"/>
      <c r="AU12" s="50"/>
      <c r="AV12" s="17"/>
      <c r="AW12" s="17"/>
      <c r="AX12" s="16"/>
      <c r="AY12" s="16"/>
      <c r="AZ12" s="16"/>
      <c r="BA12" s="16"/>
      <c r="BB12" s="3"/>
      <c r="BC12" s="19"/>
      <c r="BD12" s="19"/>
      <c r="BE12" s="3"/>
      <c r="BF12" s="3"/>
      <c r="BG12" s="3"/>
      <c r="BH12" s="3"/>
      <c r="BI12" s="3"/>
      <c r="BJ12" s="19"/>
      <c r="BK12" s="19"/>
      <c r="BL12" s="3"/>
      <c r="BM12" s="3"/>
      <c r="BN12" s="3"/>
      <c r="BO12" s="3"/>
      <c r="BP12" s="3"/>
      <c r="BQ12" s="19"/>
      <c r="BR12" s="19"/>
      <c r="BS12" s="3"/>
      <c r="BT12" s="3"/>
      <c r="BU12" s="3"/>
      <c r="BV12" s="3"/>
      <c r="BW12" s="3"/>
      <c r="BX12" s="19"/>
      <c r="BY12" s="19"/>
      <c r="BZ12" s="3"/>
      <c r="CA12" s="3"/>
      <c r="CB12" s="3"/>
      <c r="CC12" s="3"/>
      <c r="CD12" s="3"/>
      <c r="CE12" s="19"/>
      <c r="CF12" s="19"/>
      <c r="CG12" s="3"/>
      <c r="CH12" s="3"/>
      <c r="CI12" s="3"/>
      <c r="CJ12" s="3"/>
      <c r="CK12" s="3"/>
      <c r="CL12" s="19"/>
      <c r="CM12" s="19"/>
      <c r="CN12" s="3"/>
      <c r="CO12" s="3"/>
      <c r="CP12" s="3"/>
      <c r="CQ12" s="3"/>
      <c r="CR12" s="3"/>
      <c r="CS12" s="20"/>
      <c r="CT12" s="20"/>
      <c r="CU12" s="4"/>
      <c r="CV12" s="4"/>
      <c r="CW12" s="4"/>
      <c r="CX12" s="4"/>
      <c r="CY12" s="4"/>
      <c r="CZ12" s="20"/>
      <c r="DA12" s="20"/>
      <c r="DB12" s="4"/>
      <c r="DC12" s="4"/>
      <c r="DD12" s="4"/>
      <c r="DE12" s="4"/>
      <c r="DF12" s="4"/>
      <c r="DG12" s="20"/>
      <c r="DH12" s="20"/>
      <c r="DI12" s="4"/>
      <c r="DJ12" s="4"/>
      <c r="DK12" s="4"/>
      <c r="DL12" s="4"/>
      <c r="DM12" s="4"/>
      <c r="DN12" s="20"/>
      <c r="DO12" s="20"/>
      <c r="DP12" s="4"/>
      <c r="DQ12" s="4"/>
      <c r="DR12" s="4"/>
      <c r="DS12" s="4"/>
      <c r="DT12" s="4"/>
      <c r="DU12" s="20"/>
      <c r="DV12" s="20"/>
      <c r="DW12" s="4"/>
      <c r="DX12" s="4"/>
      <c r="DY12" s="4"/>
      <c r="DZ12" s="4"/>
      <c r="EA12" s="4"/>
      <c r="EB12" s="20"/>
      <c r="EC12" s="20"/>
      <c r="ED12" s="4"/>
      <c r="EE12" s="4"/>
      <c r="EF12" s="4"/>
      <c r="EG12" s="4"/>
      <c r="EH12" s="4"/>
      <c r="EI12" s="20"/>
      <c r="EJ12" s="20"/>
      <c r="EK12" s="4"/>
      <c r="EL12" s="4"/>
      <c r="EM12" s="4"/>
      <c r="EN12" s="4"/>
      <c r="EO12" s="4"/>
      <c r="EP12" s="20"/>
      <c r="EQ12" s="20"/>
      <c r="ER12" s="4"/>
      <c r="ES12" s="4"/>
      <c r="ET12" s="4"/>
      <c r="EU12" s="4"/>
      <c r="EV12" s="4"/>
      <c r="EW12" s="20"/>
      <c r="EX12" s="20"/>
      <c r="EY12" s="4"/>
      <c r="EZ12" s="4"/>
      <c r="FA12" s="4"/>
      <c r="FB12" s="3"/>
      <c r="FC12" s="3"/>
      <c r="FD12" s="20"/>
      <c r="FE12" s="20"/>
      <c r="FF12" s="3"/>
      <c r="FG12" s="3"/>
      <c r="FH12" s="3"/>
      <c r="FI12" s="3"/>
      <c r="FJ12" s="3"/>
      <c r="FK12" s="20"/>
      <c r="FL12" s="20"/>
      <c r="FM12" s="3"/>
      <c r="FN12" s="3"/>
      <c r="FO12" s="3"/>
      <c r="FP12" s="3"/>
      <c r="FQ12" s="3"/>
      <c r="FR12" s="20"/>
      <c r="FS12" s="20"/>
      <c r="FT12" s="3"/>
      <c r="FU12" s="3"/>
      <c r="FV12" s="3"/>
      <c r="FW12" s="3"/>
      <c r="FX12" s="3"/>
      <c r="FY12" s="20"/>
      <c r="FZ12" s="20"/>
      <c r="GA12" s="3"/>
      <c r="GB12" s="3"/>
      <c r="GC12" s="3"/>
      <c r="GD12" s="3"/>
      <c r="GE12" s="3"/>
      <c r="GF12" s="20"/>
      <c r="GG12" s="20"/>
      <c r="GH12" s="3"/>
      <c r="GI12" s="3"/>
      <c r="GJ12" s="3"/>
      <c r="GK12" s="3"/>
      <c r="GL12" s="3"/>
      <c r="GM12" s="20"/>
      <c r="GN12" s="20"/>
      <c r="GO12" s="3"/>
      <c r="GP12" s="3"/>
      <c r="GQ12" s="3"/>
      <c r="GR12" s="3"/>
      <c r="GS12" s="3"/>
      <c r="GT12" s="20"/>
      <c r="GU12" s="20"/>
      <c r="GV12" s="3"/>
      <c r="GW12" s="3"/>
      <c r="GX12" s="3"/>
      <c r="GY12" s="3"/>
      <c r="GZ12" s="3"/>
      <c r="HA12" s="20"/>
      <c r="HB12" s="20"/>
      <c r="HC12" s="3"/>
      <c r="HD12" s="3"/>
      <c r="HE12" s="3"/>
      <c r="HF12" s="3"/>
      <c r="HG12" s="3"/>
      <c r="HH12" s="20"/>
      <c r="HI12" s="20"/>
      <c r="HJ12" s="3"/>
    </row>
    <row r="13" ht="13.5" customHeight="1">
      <c r="A13" s="21"/>
      <c r="B13" s="31" t="s">
        <v>18</v>
      </c>
      <c r="C13" s="16">
        <f>SUM(C14:C15:C16)</f>
        <v>22</v>
      </c>
      <c r="D13" s="16">
        <f>SUM(D14:D16)</f>
        <v>33</v>
      </c>
      <c r="E13" s="16"/>
      <c r="F13" s="17"/>
      <c r="G13" s="17"/>
      <c r="H13" s="16"/>
      <c r="I13" s="16"/>
      <c r="J13" s="16"/>
      <c r="K13" s="16"/>
      <c r="L13" s="16"/>
      <c r="M13" s="17"/>
      <c r="N13" s="17"/>
      <c r="O13" s="17"/>
      <c r="P13" s="16"/>
      <c r="Q13" s="16"/>
      <c r="R13" s="16"/>
      <c r="S13" s="16"/>
      <c r="T13" s="17"/>
      <c r="U13" s="17"/>
      <c r="V13" s="16"/>
      <c r="W13" s="16"/>
      <c r="X13" s="16"/>
      <c r="Y13" s="16"/>
      <c r="Z13" s="16"/>
      <c r="AA13" s="17"/>
      <c r="AB13" s="17"/>
      <c r="AC13" s="16"/>
      <c r="AD13" s="16"/>
      <c r="AE13" s="16"/>
      <c r="AF13" s="16"/>
      <c r="AG13" s="16"/>
      <c r="AH13" s="17"/>
      <c r="AI13" s="17"/>
      <c r="AJ13" s="16"/>
      <c r="AK13" s="16"/>
      <c r="AL13" s="16"/>
      <c r="AM13" s="16"/>
      <c r="AN13" s="16"/>
      <c r="AO13" s="17"/>
      <c r="AP13" s="17"/>
      <c r="AQ13" s="50"/>
      <c r="AR13" s="50"/>
      <c r="AS13" s="50"/>
      <c r="AT13" s="50"/>
      <c r="AU13" s="50"/>
      <c r="AV13" s="17"/>
      <c r="AW13" s="17"/>
      <c r="AX13" s="16"/>
      <c r="AY13" s="16"/>
      <c r="AZ13" s="16"/>
      <c r="BA13" s="16"/>
      <c r="BB13" s="3"/>
      <c r="BC13" s="19"/>
      <c r="BD13" s="19"/>
      <c r="BE13" s="3"/>
      <c r="BF13" s="3"/>
      <c r="BG13" s="3"/>
      <c r="BH13" s="3"/>
      <c r="BI13" s="3"/>
      <c r="BJ13" s="19"/>
      <c r="BK13" s="19"/>
      <c r="BL13" s="3"/>
      <c r="BM13" s="3"/>
      <c r="BN13" s="3"/>
      <c r="BO13" s="3"/>
      <c r="BP13" s="3"/>
      <c r="BQ13" s="19"/>
      <c r="BR13" s="19"/>
      <c r="BS13" s="3"/>
      <c r="BT13" s="3"/>
      <c r="BU13" s="3"/>
      <c r="BV13" s="3"/>
      <c r="BW13" s="3"/>
      <c r="BX13" s="19"/>
      <c r="BY13" s="19"/>
      <c r="BZ13" s="3"/>
      <c r="CA13" s="3"/>
      <c r="CB13" s="3"/>
      <c r="CC13" s="3"/>
      <c r="CD13" s="3"/>
      <c r="CE13" s="19"/>
      <c r="CF13" s="19"/>
      <c r="CG13" s="3"/>
      <c r="CH13" s="3"/>
      <c r="CI13" s="3"/>
      <c r="CJ13" s="3"/>
      <c r="CK13" s="3"/>
      <c r="CL13" s="19"/>
      <c r="CM13" s="19"/>
      <c r="CN13" s="3"/>
      <c r="CO13" s="3"/>
      <c r="CP13" s="3"/>
      <c r="CQ13" s="3"/>
      <c r="CR13" s="3"/>
      <c r="CS13" s="20"/>
      <c r="CT13" s="20"/>
      <c r="CU13" s="4"/>
      <c r="CV13" s="4"/>
      <c r="CW13" s="4"/>
      <c r="CX13" s="4"/>
      <c r="CY13" s="4"/>
      <c r="CZ13" s="20"/>
      <c r="DA13" s="20"/>
      <c r="DB13" s="4"/>
      <c r="DC13" s="4"/>
      <c r="DD13" s="4"/>
      <c r="DE13" s="4"/>
      <c r="DF13" s="4"/>
      <c r="DG13" s="20"/>
      <c r="DH13" s="20"/>
      <c r="DI13" s="4"/>
      <c r="DJ13" s="4"/>
      <c r="DK13" s="4"/>
      <c r="DL13" s="4"/>
      <c r="DM13" s="4"/>
      <c r="DN13" s="20"/>
      <c r="DO13" s="20"/>
      <c r="DP13" s="4"/>
      <c r="DQ13" s="4"/>
      <c r="DR13" s="4"/>
      <c r="DS13" s="4"/>
      <c r="DT13" s="4"/>
      <c r="DU13" s="20"/>
      <c r="DV13" s="20"/>
      <c r="DW13" s="4"/>
      <c r="DX13" s="4"/>
      <c r="DY13" s="4"/>
      <c r="DZ13" s="4"/>
      <c r="EA13" s="4"/>
      <c r="EB13" s="20"/>
      <c r="EC13" s="20"/>
      <c r="ED13" s="4"/>
      <c r="EE13" s="4"/>
      <c r="EF13" s="4"/>
      <c r="EG13" s="4"/>
      <c r="EH13" s="4"/>
      <c r="EI13" s="20"/>
      <c r="EJ13" s="20"/>
      <c r="EK13" s="4"/>
      <c r="EL13" s="4"/>
      <c r="EM13" s="4"/>
      <c r="EN13" s="4"/>
      <c r="EO13" s="4"/>
      <c r="EP13" s="20"/>
      <c r="EQ13" s="20"/>
      <c r="ER13" s="4"/>
      <c r="ES13" s="4"/>
      <c r="ET13" s="4"/>
      <c r="EU13" s="4"/>
      <c r="EV13" s="4"/>
      <c r="EW13" s="20"/>
      <c r="EX13" s="20"/>
      <c r="EY13" s="4"/>
      <c r="EZ13" s="4"/>
      <c r="FA13" s="4"/>
      <c r="FB13" s="3"/>
      <c r="FC13" s="3"/>
      <c r="FD13" s="20"/>
      <c r="FE13" s="20"/>
      <c r="FF13" s="3"/>
      <c r="FG13" s="3"/>
      <c r="FH13" s="3"/>
      <c r="FI13" s="3"/>
      <c r="FJ13" s="3"/>
      <c r="FK13" s="20"/>
      <c r="FL13" s="20"/>
      <c r="FM13" s="3"/>
      <c r="FN13" s="3"/>
      <c r="FO13" s="3"/>
      <c r="FP13" s="3"/>
      <c r="FQ13" s="3"/>
      <c r="FR13" s="20"/>
      <c r="FS13" s="20"/>
      <c r="FT13" s="3"/>
      <c r="FU13" s="3"/>
      <c r="FV13" s="3"/>
      <c r="FW13" s="3"/>
      <c r="FX13" s="3"/>
      <c r="FY13" s="20"/>
      <c r="FZ13" s="20"/>
      <c r="GA13" s="3"/>
      <c r="GB13" s="3"/>
      <c r="GC13" s="3"/>
      <c r="GD13" s="3"/>
      <c r="GE13" s="3"/>
      <c r="GF13" s="20"/>
      <c r="GG13" s="20"/>
      <c r="GH13" s="3"/>
      <c r="GI13" s="3"/>
      <c r="GJ13" s="3"/>
      <c r="GK13" s="3"/>
      <c r="GL13" s="3"/>
      <c r="GM13" s="20"/>
      <c r="GN13" s="20"/>
      <c r="GO13" s="3"/>
      <c r="GP13" s="3"/>
      <c r="GQ13" s="3"/>
      <c r="GR13" s="3"/>
      <c r="GS13" s="3"/>
      <c r="GT13" s="20"/>
      <c r="GU13" s="20"/>
      <c r="GV13" s="3"/>
      <c r="GW13" s="3"/>
      <c r="GX13" s="3"/>
      <c r="GY13" s="3"/>
      <c r="GZ13" s="3"/>
      <c r="HA13" s="20"/>
      <c r="HB13" s="20"/>
      <c r="HC13" s="3"/>
      <c r="HD13" s="3"/>
      <c r="HE13" s="3"/>
      <c r="HF13" s="3"/>
      <c r="HG13" s="3"/>
      <c r="HH13" s="20"/>
      <c r="HI13" s="20"/>
      <c r="HJ13" s="3"/>
    </row>
    <row r="14" ht="13.5" customHeight="1">
      <c r="A14" s="21"/>
      <c r="B14" s="35" t="s">
        <v>19</v>
      </c>
      <c r="C14" s="33">
        <v>2.0</v>
      </c>
      <c r="D14" s="25">
        <f t="shared" ref="D14:D16" si="5">SUM(E14:EZ14)</f>
        <v>2</v>
      </c>
      <c r="E14" s="16"/>
      <c r="F14" s="17"/>
      <c r="G14" s="17"/>
      <c r="H14" s="16"/>
      <c r="I14" s="16"/>
      <c r="J14" s="16"/>
      <c r="K14" s="16"/>
      <c r="L14" s="16">
        <v>1.0</v>
      </c>
      <c r="M14" s="17"/>
      <c r="N14" s="17"/>
      <c r="O14" s="17"/>
      <c r="P14" s="16"/>
      <c r="Q14" s="16"/>
      <c r="R14" s="16"/>
      <c r="S14" s="16">
        <v>1.0</v>
      </c>
      <c r="T14" s="17"/>
      <c r="U14" s="17"/>
      <c r="V14" s="16"/>
      <c r="W14" s="16"/>
      <c r="X14" s="16"/>
      <c r="Y14" s="16"/>
      <c r="Z14" s="16"/>
      <c r="AA14" s="17"/>
      <c r="AB14" s="17"/>
      <c r="AC14" s="16"/>
      <c r="AD14" s="16"/>
      <c r="AE14" s="16"/>
      <c r="AF14" s="16"/>
      <c r="AG14" s="16"/>
      <c r="AH14" s="17"/>
      <c r="AI14" s="17"/>
      <c r="AJ14" s="16"/>
      <c r="AK14" s="16"/>
      <c r="AL14" s="16"/>
      <c r="AM14" s="16"/>
      <c r="AN14" s="16"/>
      <c r="AO14" s="17"/>
      <c r="AP14" s="17"/>
      <c r="AQ14" s="50"/>
      <c r="AR14" s="50"/>
      <c r="AS14" s="50"/>
      <c r="AT14" s="50"/>
      <c r="AU14" s="50"/>
      <c r="AV14" s="17"/>
      <c r="AW14" s="17"/>
      <c r="AX14" s="16"/>
      <c r="AY14" s="16"/>
      <c r="AZ14" s="16"/>
      <c r="BA14" s="16"/>
      <c r="BB14" s="28"/>
      <c r="BC14" s="27"/>
      <c r="BD14" s="27"/>
      <c r="BE14" s="28"/>
      <c r="BF14" s="28"/>
      <c r="BG14" s="28"/>
      <c r="BH14" s="28"/>
      <c r="BI14" s="28"/>
      <c r="BJ14" s="27"/>
      <c r="BK14" s="27"/>
      <c r="BL14" s="28"/>
      <c r="BM14" s="28"/>
      <c r="BN14" s="28"/>
      <c r="BO14" s="28"/>
      <c r="BP14" s="28"/>
      <c r="BQ14" s="27"/>
      <c r="BR14" s="27"/>
      <c r="BS14" s="28"/>
      <c r="BT14" s="28"/>
      <c r="BU14" s="28"/>
      <c r="BV14" s="28"/>
      <c r="BW14" s="28"/>
      <c r="BX14" s="27"/>
      <c r="BY14" s="27"/>
      <c r="BZ14" s="28"/>
      <c r="CA14" s="28"/>
      <c r="CB14" s="28"/>
      <c r="CC14" s="28"/>
      <c r="CD14" s="28"/>
      <c r="CE14" s="27"/>
      <c r="CF14" s="27"/>
      <c r="CG14" s="28"/>
      <c r="CH14" s="28"/>
      <c r="CI14" s="28"/>
      <c r="CJ14" s="28"/>
      <c r="CK14" s="28"/>
      <c r="CL14" s="27"/>
      <c r="CM14" s="27"/>
      <c r="CN14" s="28"/>
      <c r="CO14" s="28"/>
      <c r="CP14" s="28"/>
      <c r="CQ14" s="28"/>
      <c r="CR14" s="28"/>
      <c r="CS14" s="29"/>
      <c r="CT14" s="20"/>
      <c r="CU14" s="30"/>
      <c r="CV14" s="4"/>
      <c r="CW14" s="4"/>
      <c r="CX14" s="4"/>
      <c r="CY14" s="4"/>
      <c r="CZ14" s="29"/>
      <c r="DA14" s="20"/>
      <c r="DB14" s="4"/>
      <c r="DC14" s="4"/>
      <c r="DD14" s="4"/>
      <c r="DE14" s="4"/>
      <c r="DF14" s="4"/>
      <c r="DG14" s="29"/>
      <c r="DH14" s="20"/>
      <c r="DI14" s="4"/>
      <c r="DJ14" s="4"/>
      <c r="DK14" s="4"/>
      <c r="DL14" s="4"/>
      <c r="DM14" s="4"/>
      <c r="DN14" s="29"/>
      <c r="DO14" s="20"/>
      <c r="DP14" s="4"/>
      <c r="DQ14" s="4"/>
      <c r="DR14" s="4"/>
      <c r="DS14" s="4"/>
      <c r="DT14" s="4"/>
      <c r="DU14" s="29"/>
      <c r="DV14" s="20"/>
      <c r="DW14" s="4"/>
      <c r="DX14" s="4"/>
      <c r="DY14" s="4"/>
      <c r="DZ14" s="4"/>
      <c r="EA14" s="4"/>
      <c r="EB14" s="29"/>
      <c r="EC14" s="20"/>
      <c r="ED14" s="4"/>
      <c r="EE14" s="4"/>
      <c r="EF14" s="4"/>
      <c r="EG14" s="4"/>
      <c r="EH14" s="4"/>
      <c r="EI14" s="29"/>
      <c r="EJ14" s="20"/>
      <c r="EK14" s="4"/>
      <c r="EL14" s="4"/>
      <c r="EM14" s="4"/>
      <c r="EN14" s="4"/>
      <c r="EO14" s="4"/>
      <c r="EP14" s="29"/>
      <c r="EQ14" s="20"/>
      <c r="ER14" s="4"/>
      <c r="ES14" s="4"/>
      <c r="ET14" s="4"/>
      <c r="EU14" s="4"/>
      <c r="EV14" s="4"/>
      <c r="EW14" s="29"/>
      <c r="EX14" s="20"/>
      <c r="EY14" s="4"/>
      <c r="EZ14" s="4"/>
      <c r="FA14" s="4"/>
      <c r="FB14" s="3"/>
      <c r="FC14" s="3"/>
      <c r="FD14" s="29"/>
      <c r="FE14" s="20"/>
      <c r="FF14" s="3"/>
      <c r="FG14" s="3"/>
      <c r="FH14" s="3"/>
      <c r="FI14" s="3"/>
      <c r="FJ14" s="3"/>
      <c r="FK14" s="29"/>
      <c r="FL14" s="20"/>
      <c r="FM14" s="3"/>
      <c r="FN14" s="3"/>
      <c r="FO14" s="3"/>
      <c r="FP14" s="3"/>
      <c r="FQ14" s="3"/>
      <c r="FR14" s="29"/>
      <c r="FS14" s="20"/>
      <c r="FT14" s="3"/>
      <c r="FU14" s="3"/>
      <c r="FV14" s="3"/>
      <c r="FW14" s="3"/>
      <c r="FX14" s="3"/>
      <c r="FY14" s="29"/>
      <c r="FZ14" s="20"/>
      <c r="GA14" s="3"/>
      <c r="GB14" s="3"/>
      <c r="GC14" s="3"/>
      <c r="GD14" s="3"/>
      <c r="GE14" s="3"/>
      <c r="GF14" s="29"/>
      <c r="GG14" s="20"/>
      <c r="GH14" s="3"/>
      <c r="GI14" s="3"/>
      <c r="GJ14" s="3"/>
      <c r="GK14" s="3"/>
      <c r="GL14" s="3"/>
      <c r="GM14" s="29"/>
      <c r="GN14" s="20"/>
      <c r="GO14" s="3"/>
      <c r="GP14" s="3"/>
      <c r="GQ14" s="3"/>
      <c r="GR14" s="3"/>
      <c r="GS14" s="3"/>
      <c r="GT14" s="29"/>
      <c r="GU14" s="20"/>
      <c r="GV14" s="3"/>
      <c r="GW14" s="3"/>
      <c r="GX14" s="3"/>
      <c r="GY14" s="3"/>
      <c r="GZ14" s="3"/>
      <c r="HA14" s="29"/>
      <c r="HB14" s="20"/>
      <c r="HC14" s="3"/>
      <c r="HD14" s="3"/>
      <c r="HE14" s="3"/>
      <c r="HF14" s="3"/>
      <c r="HG14" s="3"/>
      <c r="HH14" s="29"/>
      <c r="HI14" s="20"/>
      <c r="HJ14" s="3"/>
    </row>
    <row r="15" ht="13.5" customHeight="1">
      <c r="A15" s="21"/>
      <c r="B15" s="35" t="s">
        <v>20</v>
      </c>
      <c r="C15" s="33">
        <v>15.0</v>
      </c>
      <c r="D15" s="25">
        <f t="shared" si="5"/>
        <v>26</v>
      </c>
      <c r="E15" s="25"/>
      <c r="F15" s="24"/>
      <c r="G15" s="27"/>
      <c r="H15" s="28"/>
      <c r="I15" s="25"/>
      <c r="J15" s="25"/>
      <c r="K15" s="25"/>
      <c r="L15" s="25"/>
      <c r="M15" s="24"/>
      <c r="N15" s="24"/>
      <c r="O15" s="24"/>
      <c r="P15" s="25"/>
      <c r="Q15" s="25"/>
      <c r="R15" s="25"/>
      <c r="S15" s="25"/>
      <c r="T15" s="24"/>
      <c r="U15" s="24"/>
      <c r="V15" s="25">
        <v>1.0</v>
      </c>
      <c r="W15" s="25">
        <v>1.0</v>
      </c>
      <c r="X15" s="25">
        <v>1.0</v>
      </c>
      <c r="Y15" s="25">
        <v>1.0</v>
      </c>
      <c r="Z15" s="25">
        <v>1.0</v>
      </c>
      <c r="AA15" s="24"/>
      <c r="AB15" s="24"/>
      <c r="AC15" s="25">
        <v>1.0</v>
      </c>
      <c r="AD15" s="25">
        <v>1.0</v>
      </c>
      <c r="AE15" s="25">
        <v>1.0</v>
      </c>
      <c r="AF15" s="25">
        <v>1.0</v>
      </c>
      <c r="AG15" s="25">
        <v>1.0</v>
      </c>
      <c r="AH15" s="24"/>
      <c r="AI15" s="24"/>
      <c r="AJ15" s="25">
        <v>1.0</v>
      </c>
      <c r="AK15" s="25">
        <v>1.0</v>
      </c>
      <c r="AL15" s="25">
        <v>1.0</v>
      </c>
      <c r="AM15" s="25">
        <v>1.0</v>
      </c>
      <c r="AN15" s="25">
        <v>1.0</v>
      </c>
      <c r="AO15" s="24"/>
      <c r="AP15" s="24"/>
      <c r="AQ15" s="52"/>
      <c r="AR15" s="52"/>
      <c r="AS15" s="52"/>
      <c r="AT15" s="52"/>
      <c r="AU15" s="52"/>
      <c r="AV15" s="24"/>
      <c r="AW15" s="24"/>
      <c r="AX15" s="25">
        <v>1.0</v>
      </c>
      <c r="AY15" s="25">
        <v>1.0</v>
      </c>
      <c r="AZ15" s="25">
        <v>1.0</v>
      </c>
      <c r="BA15" s="25">
        <v>1.0</v>
      </c>
      <c r="BB15" s="28">
        <v>1.0</v>
      </c>
      <c r="BC15" s="27"/>
      <c r="BD15" s="27"/>
      <c r="BE15" s="28">
        <v>1.0</v>
      </c>
      <c r="BF15" s="28">
        <v>1.0</v>
      </c>
      <c r="BG15" s="28">
        <v>1.0</v>
      </c>
      <c r="BH15" s="28">
        <v>1.0</v>
      </c>
      <c r="BI15" s="28">
        <v>1.0</v>
      </c>
      <c r="BJ15" s="27"/>
      <c r="BK15" s="27"/>
      <c r="BL15" s="28">
        <v>1.0</v>
      </c>
      <c r="BM15" s="28"/>
      <c r="BN15" s="28"/>
      <c r="BO15" s="28"/>
      <c r="BP15" s="28"/>
      <c r="BQ15" s="27"/>
      <c r="BR15" s="27"/>
      <c r="BS15" s="28"/>
      <c r="BT15" s="28"/>
      <c r="BU15" s="28"/>
      <c r="BV15" s="28"/>
      <c r="BW15" s="28"/>
      <c r="BX15" s="27"/>
      <c r="BY15" s="27"/>
      <c r="BZ15" s="28"/>
      <c r="CA15" s="28"/>
      <c r="CB15" s="28"/>
      <c r="CC15" s="28"/>
      <c r="CD15" s="28"/>
      <c r="CE15" s="27"/>
      <c r="CF15" s="27"/>
      <c r="CG15" s="28"/>
      <c r="CH15" s="28"/>
      <c r="CI15" s="28"/>
      <c r="CJ15" s="28"/>
      <c r="CK15" s="28"/>
      <c r="CL15" s="27"/>
      <c r="CM15" s="27"/>
      <c r="CN15" s="28"/>
      <c r="CO15" s="28"/>
      <c r="CP15" s="28"/>
      <c r="CQ15" s="28"/>
      <c r="CR15" s="28"/>
      <c r="CS15" s="29"/>
      <c r="CT15" s="20"/>
      <c r="CU15" s="30"/>
      <c r="CV15" s="4"/>
      <c r="CW15" s="4"/>
      <c r="CX15" s="4"/>
      <c r="CY15" s="4"/>
      <c r="CZ15" s="29"/>
      <c r="DA15" s="20"/>
      <c r="DB15" s="4"/>
      <c r="DC15" s="4"/>
      <c r="DD15" s="4"/>
      <c r="DE15" s="4"/>
      <c r="DF15" s="4"/>
      <c r="DG15" s="29"/>
      <c r="DH15" s="20"/>
      <c r="DI15" s="4"/>
      <c r="DJ15" s="4"/>
      <c r="DK15" s="4"/>
      <c r="DL15" s="4"/>
      <c r="DM15" s="4"/>
      <c r="DN15" s="29"/>
      <c r="DO15" s="20"/>
      <c r="DP15" s="4"/>
      <c r="DQ15" s="4"/>
      <c r="DR15" s="4"/>
      <c r="DS15" s="4"/>
      <c r="DT15" s="4"/>
      <c r="DU15" s="29"/>
      <c r="DV15" s="20"/>
      <c r="DW15" s="4"/>
      <c r="DX15" s="4"/>
      <c r="DY15" s="4"/>
      <c r="DZ15" s="4"/>
      <c r="EA15" s="4"/>
      <c r="EB15" s="29"/>
      <c r="EC15" s="20"/>
      <c r="ED15" s="4"/>
      <c r="EE15" s="4"/>
      <c r="EF15" s="4"/>
      <c r="EG15" s="4"/>
      <c r="EH15" s="4"/>
      <c r="EI15" s="29"/>
      <c r="EJ15" s="20"/>
      <c r="EK15" s="4"/>
      <c r="EL15" s="4"/>
      <c r="EM15" s="4"/>
      <c r="EN15" s="4"/>
      <c r="EO15" s="4"/>
      <c r="EP15" s="29"/>
      <c r="EQ15" s="20"/>
      <c r="ER15" s="4"/>
      <c r="ES15" s="4"/>
      <c r="ET15" s="4"/>
      <c r="EU15" s="4"/>
      <c r="EV15" s="4"/>
      <c r="EW15" s="29"/>
      <c r="EX15" s="20"/>
      <c r="EY15" s="4"/>
      <c r="EZ15" s="4"/>
      <c r="FA15" s="4"/>
      <c r="FB15" s="3"/>
      <c r="FC15" s="3"/>
      <c r="FD15" s="29"/>
      <c r="FE15" s="20"/>
      <c r="FF15" s="3"/>
      <c r="FG15" s="3"/>
      <c r="FH15" s="3"/>
      <c r="FI15" s="3"/>
      <c r="FJ15" s="3"/>
      <c r="FK15" s="29"/>
      <c r="FL15" s="20"/>
      <c r="FM15" s="3"/>
      <c r="FN15" s="3"/>
      <c r="FO15" s="3"/>
      <c r="FP15" s="3"/>
      <c r="FQ15" s="3"/>
      <c r="FR15" s="29"/>
      <c r="FS15" s="20"/>
      <c r="FT15" s="3"/>
      <c r="FU15" s="3"/>
      <c r="FV15" s="3"/>
      <c r="FW15" s="3"/>
      <c r="FX15" s="3"/>
      <c r="FY15" s="29"/>
      <c r="FZ15" s="20"/>
      <c r="GA15" s="3"/>
      <c r="GB15" s="3"/>
      <c r="GC15" s="3"/>
      <c r="GD15" s="3"/>
      <c r="GE15" s="3"/>
      <c r="GF15" s="29"/>
      <c r="GG15" s="20"/>
      <c r="GH15" s="3"/>
      <c r="GI15" s="3"/>
      <c r="GJ15" s="3"/>
      <c r="GK15" s="3"/>
      <c r="GL15" s="3"/>
      <c r="GM15" s="29"/>
      <c r="GN15" s="20"/>
      <c r="GO15" s="3"/>
      <c r="GP15" s="3"/>
      <c r="GQ15" s="3"/>
      <c r="GR15" s="3"/>
      <c r="GS15" s="3"/>
      <c r="GT15" s="29"/>
      <c r="GU15" s="20"/>
      <c r="GV15" s="3"/>
      <c r="GW15" s="3"/>
      <c r="GX15" s="3"/>
      <c r="GY15" s="3"/>
      <c r="GZ15" s="3"/>
      <c r="HA15" s="29"/>
      <c r="HB15" s="20"/>
      <c r="HC15" s="3"/>
      <c r="HD15" s="3"/>
      <c r="HE15" s="3"/>
      <c r="HF15" s="3"/>
      <c r="HG15" s="3"/>
      <c r="HH15" s="29"/>
      <c r="HI15" s="20"/>
      <c r="HJ15" s="3"/>
    </row>
    <row r="16" ht="13.5" customHeight="1">
      <c r="A16" s="21"/>
      <c r="B16" s="35" t="s">
        <v>21</v>
      </c>
      <c r="C16" s="33">
        <v>5.0</v>
      </c>
      <c r="D16" s="25">
        <f t="shared" si="5"/>
        <v>5</v>
      </c>
      <c r="E16" s="25"/>
      <c r="F16" s="24"/>
      <c r="G16" s="24"/>
      <c r="H16" s="28"/>
      <c r="I16" s="25"/>
      <c r="J16" s="25"/>
      <c r="K16" s="25"/>
      <c r="L16" s="25"/>
      <c r="M16" s="24"/>
      <c r="N16" s="24"/>
      <c r="O16" s="24"/>
      <c r="P16" s="25"/>
      <c r="Q16" s="25"/>
      <c r="R16" s="25"/>
      <c r="S16" s="25"/>
      <c r="T16" s="24"/>
      <c r="U16" s="24"/>
      <c r="V16" s="25"/>
      <c r="W16" s="25"/>
      <c r="X16" s="25"/>
      <c r="Y16" s="25"/>
      <c r="Z16" s="25"/>
      <c r="AA16" s="24"/>
      <c r="AB16" s="24"/>
      <c r="AC16" s="25"/>
      <c r="AD16" s="25"/>
      <c r="AE16" s="25"/>
      <c r="AF16" s="25"/>
      <c r="AG16" s="25"/>
      <c r="AH16" s="24"/>
      <c r="AI16" s="24"/>
      <c r="AJ16" s="25"/>
      <c r="AK16" s="25"/>
      <c r="AL16" s="25"/>
      <c r="AM16" s="25"/>
      <c r="AN16" s="25"/>
      <c r="AO16" s="24"/>
      <c r="AP16" s="24"/>
      <c r="AQ16" s="52"/>
      <c r="AR16" s="52"/>
      <c r="AS16" s="52"/>
      <c r="AT16" s="52"/>
      <c r="AU16" s="52"/>
      <c r="AV16" s="24"/>
      <c r="AW16" s="24"/>
      <c r="AX16" s="25"/>
      <c r="AY16" s="25"/>
      <c r="AZ16" s="25"/>
      <c r="BA16" s="25"/>
      <c r="BB16" s="28"/>
      <c r="BC16" s="27"/>
      <c r="BD16" s="27"/>
      <c r="BE16" s="28"/>
      <c r="BF16" s="28"/>
      <c r="BG16" s="28"/>
      <c r="BH16" s="28"/>
      <c r="BI16" s="28"/>
      <c r="BJ16" s="27"/>
      <c r="BK16" s="27"/>
      <c r="BL16" s="28">
        <v>1.0</v>
      </c>
      <c r="BM16" s="28">
        <v>1.0</v>
      </c>
      <c r="BN16" s="28">
        <v>1.0</v>
      </c>
      <c r="BO16" s="28"/>
      <c r="BP16" s="28"/>
      <c r="BQ16" s="27"/>
      <c r="BR16" s="27"/>
      <c r="BS16" s="28"/>
      <c r="BT16" s="28"/>
      <c r="BU16" s="28"/>
      <c r="BV16" s="28"/>
      <c r="BW16" s="28"/>
      <c r="BX16" s="27"/>
      <c r="BY16" s="27"/>
      <c r="BZ16" s="28"/>
      <c r="CA16" s="28"/>
      <c r="CB16" s="28"/>
      <c r="CC16" s="28"/>
      <c r="CD16" s="28"/>
      <c r="CE16" s="27"/>
      <c r="CF16" s="27"/>
      <c r="CG16" s="28"/>
      <c r="CH16" s="28"/>
      <c r="CI16" s="28"/>
      <c r="CJ16" s="28"/>
      <c r="CK16" s="28"/>
      <c r="CL16" s="27"/>
      <c r="CM16" s="27"/>
      <c r="CN16" s="28">
        <v>1.0</v>
      </c>
      <c r="CO16" s="28">
        <v>1.0</v>
      </c>
      <c r="CP16" s="28"/>
      <c r="CQ16" s="28"/>
      <c r="CR16" s="28"/>
      <c r="CS16" s="29"/>
      <c r="CT16" s="20"/>
      <c r="CU16" s="30"/>
      <c r="CV16" s="4"/>
      <c r="CW16" s="4"/>
      <c r="CX16" s="4"/>
      <c r="CY16" s="4"/>
      <c r="CZ16" s="29"/>
      <c r="DA16" s="20"/>
      <c r="DB16" s="4"/>
      <c r="DC16" s="4"/>
      <c r="DD16" s="4"/>
      <c r="DE16" s="4"/>
      <c r="DF16" s="4"/>
      <c r="DG16" s="29"/>
      <c r="DH16" s="20"/>
      <c r="DI16" s="4"/>
      <c r="DJ16" s="4"/>
      <c r="DK16" s="4"/>
      <c r="DL16" s="4"/>
      <c r="DM16" s="4"/>
      <c r="DN16" s="29"/>
      <c r="DO16" s="20"/>
      <c r="DP16" s="4"/>
      <c r="DQ16" s="4"/>
      <c r="DR16" s="4"/>
      <c r="DS16" s="4"/>
      <c r="DT16" s="4"/>
      <c r="DU16" s="29"/>
      <c r="DV16" s="20"/>
      <c r="DW16" s="4"/>
      <c r="DX16" s="4"/>
      <c r="DY16" s="4"/>
      <c r="DZ16" s="4"/>
      <c r="EA16" s="4"/>
      <c r="EB16" s="29"/>
      <c r="EC16" s="20"/>
      <c r="ED16" s="4"/>
      <c r="EE16" s="4"/>
      <c r="EF16" s="4"/>
      <c r="EG16" s="4"/>
      <c r="EH16" s="4"/>
      <c r="EI16" s="29"/>
      <c r="EJ16" s="20"/>
      <c r="EK16" s="4"/>
      <c r="EL16" s="4"/>
      <c r="EM16" s="4"/>
      <c r="EN16" s="4"/>
      <c r="EO16" s="4"/>
      <c r="EP16" s="29"/>
      <c r="EQ16" s="20"/>
      <c r="ER16" s="4"/>
      <c r="ES16" s="4"/>
      <c r="ET16" s="4"/>
      <c r="EU16" s="4"/>
      <c r="EV16" s="4"/>
      <c r="EW16" s="29"/>
      <c r="EX16" s="20"/>
      <c r="EY16" s="4"/>
      <c r="EZ16" s="4"/>
      <c r="FA16" s="4"/>
      <c r="FB16" s="3"/>
      <c r="FC16" s="3"/>
      <c r="FD16" s="29"/>
      <c r="FE16" s="20"/>
      <c r="FF16" s="3"/>
      <c r="FG16" s="3"/>
      <c r="FH16" s="3"/>
      <c r="FI16" s="3"/>
      <c r="FJ16" s="3"/>
      <c r="FK16" s="29"/>
      <c r="FL16" s="20"/>
      <c r="FM16" s="3"/>
      <c r="FN16" s="3"/>
      <c r="FO16" s="3"/>
      <c r="FP16" s="3"/>
      <c r="FQ16" s="3"/>
      <c r="FR16" s="29"/>
      <c r="FS16" s="20"/>
      <c r="FT16" s="3"/>
      <c r="FU16" s="3"/>
      <c r="FV16" s="3"/>
      <c r="FW16" s="3"/>
      <c r="FX16" s="3"/>
      <c r="FY16" s="29"/>
      <c r="FZ16" s="20"/>
      <c r="GA16" s="3"/>
      <c r="GB16" s="3"/>
      <c r="GC16" s="3"/>
      <c r="GD16" s="3"/>
      <c r="GE16" s="3"/>
      <c r="GF16" s="29"/>
      <c r="GG16" s="20"/>
      <c r="GH16" s="3"/>
      <c r="GI16" s="3"/>
      <c r="GJ16" s="3"/>
      <c r="GK16" s="3"/>
      <c r="GL16" s="3"/>
      <c r="GM16" s="29"/>
      <c r="GN16" s="20"/>
      <c r="GO16" s="3"/>
      <c r="GP16" s="3"/>
      <c r="GQ16" s="3"/>
      <c r="GR16" s="3"/>
      <c r="GS16" s="3"/>
      <c r="GT16" s="29"/>
      <c r="GU16" s="20"/>
      <c r="GV16" s="3"/>
      <c r="GW16" s="3"/>
      <c r="GX16" s="3"/>
      <c r="GY16" s="3"/>
      <c r="GZ16" s="3"/>
      <c r="HA16" s="29"/>
      <c r="HB16" s="20"/>
      <c r="HC16" s="3"/>
      <c r="HD16" s="3"/>
      <c r="HE16" s="3"/>
      <c r="HF16" s="3"/>
      <c r="HG16" s="3"/>
      <c r="HH16" s="29"/>
      <c r="HI16" s="20"/>
      <c r="HJ16" s="3"/>
    </row>
    <row r="17" ht="13.5" customHeight="1">
      <c r="A17" s="21"/>
      <c r="B17" s="31" t="s">
        <v>22</v>
      </c>
      <c r="C17" s="16">
        <f>SUM(C18:C19:C20)</f>
        <v>10</v>
      </c>
      <c r="D17" s="16">
        <f>SUM(D18:D20)</f>
        <v>20</v>
      </c>
      <c r="E17" s="25"/>
      <c r="F17" s="24"/>
      <c r="G17" s="24"/>
      <c r="H17" s="25"/>
      <c r="I17" s="25"/>
      <c r="J17" s="25"/>
      <c r="K17" s="25"/>
      <c r="L17" s="25"/>
      <c r="M17" s="24"/>
      <c r="N17" s="24"/>
      <c r="O17" s="24"/>
      <c r="P17" s="25"/>
      <c r="Q17" s="25"/>
      <c r="R17" s="25"/>
      <c r="S17" s="25"/>
      <c r="T17" s="24"/>
      <c r="U17" s="24"/>
      <c r="V17" s="25"/>
      <c r="W17" s="25"/>
      <c r="X17" s="25"/>
      <c r="Y17" s="25"/>
      <c r="Z17" s="25"/>
      <c r="AA17" s="24"/>
      <c r="AB17" s="24"/>
      <c r="AC17" s="25"/>
      <c r="AD17" s="25"/>
      <c r="AE17" s="25"/>
      <c r="AF17" s="25"/>
      <c r="AG17" s="25"/>
      <c r="AH17" s="24"/>
      <c r="AI17" s="24"/>
      <c r="AJ17" s="25"/>
      <c r="AK17" s="25"/>
      <c r="AL17" s="25"/>
      <c r="AM17" s="25"/>
      <c r="AN17" s="25"/>
      <c r="AO17" s="24"/>
      <c r="AP17" s="24"/>
      <c r="AQ17" s="52"/>
      <c r="AR17" s="52"/>
      <c r="AS17" s="52"/>
      <c r="AT17" s="52"/>
      <c r="AU17" s="52"/>
      <c r="AV17" s="24"/>
      <c r="AW17" s="24"/>
      <c r="AX17" s="25"/>
      <c r="AY17" s="25"/>
      <c r="AZ17" s="25"/>
      <c r="BA17" s="25"/>
      <c r="BB17" s="28"/>
      <c r="BC17" s="27"/>
      <c r="BD17" s="27"/>
      <c r="BE17" s="28"/>
      <c r="BF17" s="28"/>
      <c r="BG17" s="28"/>
      <c r="BH17" s="28"/>
      <c r="BI17" s="28"/>
      <c r="BJ17" s="27"/>
      <c r="BK17" s="27"/>
      <c r="BL17" s="28"/>
      <c r="BM17" s="28"/>
      <c r="BN17" s="28"/>
      <c r="BO17" s="28"/>
      <c r="BP17" s="28"/>
      <c r="BQ17" s="27"/>
      <c r="BR17" s="27"/>
      <c r="BS17" s="28"/>
      <c r="BT17" s="28"/>
      <c r="BU17" s="28"/>
      <c r="BV17" s="28"/>
      <c r="BW17" s="28"/>
      <c r="BX17" s="27"/>
      <c r="BY17" s="27"/>
      <c r="BZ17" s="28"/>
      <c r="CA17" s="28"/>
      <c r="CB17" s="28"/>
      <c r="CC17" s="28"/>
      <c r="CD17" s="28"/>
      <c r="CE17" s="27"/>
      <c r="CF17" s="27"/>
      <c r="CG17" s="28"/>
      <c r="CH17" s="28"/>
      <c r="CI17" s="28"/>
      <c r="CJ17" s="28"/>
      <c r="CK17" s="28"/>
      <c r="CL17" s="27"/>
      <c r="CM17" s="27"/>
      <c r="CN17" s="28"/>
      <c r="CO17" s="28"/>
      <c r="CP17" s="28"/>
      <c r="CQ17" s="28"/>
      <c r="CR17" s="28"/>
      <c r="CS17" s="29"/>
      <c r="CT17" s="20"/>
      <c r="CU17" s="30"/>
      <c r="CV17" s="4"/>
      <c r="CW17" s="4"/>
      <c r="CX17" s="4"/>
      <c r="CY17" s="4"/>
      <c r="CZ17" s="29"/>
      <c r="DA17" s="20"/>
      <c r="DB17" s="4"/>
      <c r="DC17" s="4"/>
      <c r="DD17" s="4"/>
      <c r="DE17" s="4"/>
      <c r="DF17" s="4"/>
      <c r="DG17" s="29"/>
      <c r="DH17" s="20"/>
      <c r="DI17" s="4"/>
      <c r="DJ17" s="4"/>
      <c r="DK17" s="4"/>
      <c r="DL17" s="4"/>
      <c r="DM17" s="4"/>
      <c r="DN17" s="29"/>
      <c r="DO17" s="20"/>
      <c r="DP17" s="4"/>
      <c r="DQ17" s="4"/>
      <c r="DR17" s="4"/>
      <c r="DS17" s="4"/>
      <c r="DT17" s="4"/>
      <c r="DU17" s="29"/>
      <c r="DV17" s="20"/>
      <c r="DW17" s="4"/>
      <c r="DX17" s="4"/>
      <c r="DY17" s="4"/>
      <c r="DZ17" s="4"/>
      <c r="EA17" s="4"/>
      <c r="EB17" s="29"/>
      <c r="EC17" s="20"/>
      <c r="ED17" s="4"/>
      <c r="EE17" s="4"/>
      <c r="EF17" s="4"/>
      <c r="EG17" s="4"/>
      <c r="EH17" s="4"/>
      <c r="EI17" s="29"/>
      <c r="EJ17" s="20"/>
      <c r="EK17" s="4"/>
      <c r="EL17" s="4"/>
      <c r="EM17" s="4"/>
      <c r="EN17" s="4"/>
      <c r="EO17" s="4"/>
      <c r="EP17" s="29"/>
      <c r="EQ17" s="20"/>
      <c r="ER17" s="4"/>
      <c r="ES17" s="4"/>
      <c r="ET17" s="4"/>
      <c r="EU17" s="4"/>
      <c r="EV17" s="4"/>
      <c r="EW17" s="29"/>
      <c r="EX17" s="20"/>
      <c r="EY17" s="4"/>
      <c r="EZ17" s="4"/>
      <c r="FA17" s="4"/>
      <c r="FB17" s="3"/>
      <c r="FC17" s="3"/>
      <c r="FD17" s="29"/>
      <c r="FE17" s="20"/>
      <c r="FF17" s="3"/>
      <c r="FG17" s="3"/>
      <c r="FH17" s="3"/>
      <c r="FI17" s="3"/>
      <c r="FJ17" s="3"/>
      <c r="FK17" s="29"/>
      <c r="FL17" s="20"/>
      <c r="FM17" s="3"/>
      <c r="FN17" s="3"/>
      <c r="FO17" s="3"/>
      <c r="FP17" s="3"/>
      <c r="FQ17" s="3"/>
      <c r="FR17" s="29"/>
      <c r="FS17" s="20"/>
      <c r="FT17" s="3"/>
      <c r="FU17" s="3"/>
      <c r="FV17" s="3"/>
      <c r="FW17" s="3"/>
      <c r="FX17" s="3"/>
      <c r="FY17" s="29"/>
      <c r="FZ17" s="20"/>
      <c r="GA17" s="3"/>
      <c r="GB17" s="3"/>
      <c r="GC17" s="3"/>
      <c r="GD17" s="3"/>
      <c r="GE17" s="3"/>
      <c r="GF17" s="29"/>
      <c r="GG17" s="20"/>
      <c r="GH17" s="3"/>
      <c r="GI17" s="3"/>
      <c r="GJ17" s="3"/>
      <c r="GK17" s="3"/>
      <c r="GL17" s="3"/>
      <c r="GM17" s="29"/>
      <c r="GN17" s="20"/>
      <c r="GO17" s="3"/>
      <c r="GP17" s="3"/>
      <c r="GQ17" s="3"/>
      <c r="GR17" s="3"/>
      <c r="GS17" s="3"/>
      <c r="GT17" s="29"/>
      <c r="GU17" s="20"/>
      <c r="GV17" s="3"/>
      <c r="GW17" s="3"/>
      <c r="GX17" s="3"/>
      <c r="GY17" s="3"/>
      <c r="GZ17" s="3"/>
      <c r="HA17" s="29"/>
      <c r="HB17" s="20"/>
      <c r="HC17" s="3"/>
      <c r="HD17" s="3"/>
      <c r="HE17" s="3"/>
      <c r="HF17" s="3"/>
      <c r="HG17" s="3"/>
      <c r="HH17" s="29"/>
      <c r="HI17" s="20"/>
      <c r="HJ17" s="3"/>
    </row>
    <row r="18" ht="13.5" customHeight="1">
      <c r="A18" s="21"/>
      <c r="B18" s="35" t="s">
        <v>23</v>
      </c>
      <c r="C18" s="33">
        <v>3.0</v>
      </c>
      <c r="D18" s="25">
        <f t="shared" ref="D18:D20" si="6">SUM(E18:HJ18)</f>
        <v>5</v>
      </c>
      <c r="E18" s="25"/>
      <c r="F18" s="24"/>
      <c r="G18" s="24"/>
      <c r="H18" s="25"/>
      <c r="I18" s="25"/>
      <c r="J18" s="25"/>
      <c r="K18" s="25"/>
      <c r="L18" s="25"/>
      <c r="M18" s="24"/>
      <c r="N18" s="24"/>
      <c r="O18" s="24"/>
      <c r="P18" s="25"/>
      <c r="Q18" s="25"/>
      <c r="R18" s="25"/>
      <c r="S18" s="25"/>
      <c r="T18" s="24"/>
      <c r="U18" s="24"/>
      <c r="V18" s="25"/>
      <c r="W18" s="25"/>
      <c r="X18" s="25"/>
      <c r="Y18" s="25"/>
      <c r="Z18" s="25"/>
      <c r="AA18" s="24"/>
      <c r="AB18" s="24"/>
      <c r="AC18" s="25"/>
      <c r="AD18" s="25"/>
      <c r="AE18" s="25"/>
      <c r="AF18" s="25"/>
      <c r="AG18" s="25"/>
      <c r="AH18" s="24"/>
      <c r="AI18" s="24"/>
      <c r="AJ18" s="25"/>
      <c r="AK18" s="25"/>
      <c r="AL18" s="25"/>
      <c r="AM18" s="25"/>
      <c r="AN18" s="25"/>
      <c r="AO18" s="24"/>
      <c r="AP18" s="24"/>
      <c r="AQ18" s="52"/>
      <c r="AR18" s="52"/>
      <c r="AS18" s="52"/>
      <c r="AT18" s="52"/>
      <c r="AU18" s="52"/>
      <c r="AV18" s="24"/>
      <c r="AW18" s="24"/>
      <c r="AX18" s="25"/>
      <c r="AY18" s="25"/>
      <c r="AZ18" s="25"/>
      <c r="BA18" s="25"/>
      <c r="BB18" s="28"/>
      <c r="BC18" s="27"/>
      <c r="BD18" s="27"/>
      <c r="BE18" s="28"/>
      <c r="BF18" s="28"/>
      <c r="BG18" s="28"/>
      <c r="BH18" s="28"/>
      <c r="BI18" s="28"/>
      <c r="BJ18" s="27"/>
      <c r="BK18" s="27"/>
      <c r="BL18" s="28"/>
      <c r="BM18" s="28"/>
      <c r="BN18" s="28"/>
      <c r="BO18" s="28"/>
      <c r="BP18" s="28"/>
      <c r="BQ18" s="27"/>
      <c r="BR18" s="27"/>
      <c r="BS18" s="28">
        <v>1.0</v>
      </c>
      <c r="BT18" s="28">
        <v>1.0</v>
      </c>
      <c r="BU18" s="28">
        <v>1.0</v>
      </c>
      <c r="BV18" s="28"/>
      <c r="BW18" s="28"/>
      <c r="BX18" s="27"/>
      <c r="BY18" s="27"/>
      <c r="BZ18" s="28"/>
      <c r="CA18" s="28"/>
      <c r="CB18" s="28"/>
      <c r="CC18" s="28"/>
      <c r="CD18" s="28"/>
      <c r="CE18" s="27"/>
      <c r="CF18" s="27"/>
      <c r="CG18" s="28"/>
      <c r="CH18" s="28"/>
      <c r="CI18" s="28"/>
      <c r="CJ18" s="28"/>
      <c r="CK18" s="28"/>
      <c r="CL18" s="27"/>
      <c r="CM18" s="27"/>
      <c r="CN18" s="28"/>
      <c r="CO18" s="28"/>
      <c r="CP18" s="28"/>
      <c r="CQ18" s="28"/>
      <c r="CR18" s="28"/>
      <c r="CS18" s="29"/>
      <c r="CT18" s="20"/>
      <c r="CU18" s="30"/>
      <c r="CV18" s="4"/>
      <c r="CW18" s="4"/>
      <c r="CX18" s="4"/>
      <c r="CY18" s="4">
        <v>2.0</v>
      </c>
      <c r="CZ18" s="29"/>
      <c r="DA18" s="20"/>
      <c r="DB18" s="4"/>
      <c r="DC18" s="4"/>
      <c r="DD18" s="4"/>
      <c r="DE18" s="4"/>
      <c r="DF18" s="4"/>
      <c r="DG18" s="29"/>
      <c r="DH18" s="20"/>
      <c r="DI18" s="4"/>
      <c r="DJ18" s="4"/>
      <c r="DK18" s="4"/>
      <c r="DL18" s="4"/>
      <c r="DM18" s="4"/>
      <c r="DN18" s="29"/>
      <c r="DO18" s="20"/>
      <c r="DP18" s="4"/>
      <c r="DQ18" s="4"/>
      <c r="DR18" s="4"/>
      <c r="DS18" s="4"/>
      <c r="DT18" s="4"/>
      <c r="DU18" s="29"/>
      <c r="DV18" s="20"/>
      <c r="DW18" s="4"/>
      <c r="DX18" s="4"/>
      <c r="DY18" s="4"/>
      <c r="DZ18" s="4"/>
      <c r="EA18" s="4"/>
      <c r="EB18" s="29"/>
      <c r="EC18" s="20"/>
      <c r="ED18" s="4"/>
      <c r="EE18" s="4"/>
      <c r="EF18" s="4"/>
      <c r="EG18" s="4"/>
      <c r="EH18" s="4"/>
      <c r="EI18" s="29"/>
      <c r="EJ18" s="20"/>
      <c r="EK18" s="4"/>
      <c r="EL18" s="4"/>
      <c r="EM18" s="4"/>
      <c r="EN18" s="4"/>
      <c r="EO18" s="4"/>
      <c r="EP18" s="29"/>
      <c r="EQ18" s="20"/>
      <c r="ER18" s="4"/>
      <c r="ES18" s="4"/>
      <c r="ET18" s="4"/>
      <c r="EU18" s="4"/>
      <c r="EV18" s="4"/>
      <c r="EW18" s="29"/>
      <c r="EX18" s="20"/>
      <c r="EY18" s="4"/>
      <c r="EZ18" s="4"/>
      <c r="FA18" s="4"/>
      <c r="FB18" s="3"/>
      <c r="FC18" s="3"/>
      <c r="FD18" s="29"/>
      <c r="FE18" s="20"/>
      <c r="FF18" s="3"/>
      <c r="FG18" s="3"/>
      <c r="FH18" s="3"/>
      <c r="FI18" s="3"/>
      <c r="FJ18" s="3"/>
      <c r="FK18" s="29"/>
      <c r="FL18" s="20"/>
      <c r="FM18" s="3"/>
      <c r="FN18" s="3"/>
      <c r="FO18" s="3"/>
      <c r="FP18" s="3"/>
      <c r="FQ18" s="3"/>
      <c r="FR18" s="29"/>
      <c r="FS18" s="20"/>
      <c r="FT18" s="3"/>
      <c r="FU18" s="3"/>
      <c r="FV18" s="3"/>
      <c r="FW18" s="3"/>
      <c r="FX18" s="3"/>
      <c r="FY18" s="29"/>
      <c r="FZ18" s="20"/>
      <c r="GA18" s="3"/>
      <c r="GB18" s="3"/>
      <c r="GC18" s="3"/>
      <c r="GD18" s="3"/>
      <c r="GE18" s="3"/>
      <c r="GF18" s="29"/>
      <c r="GG18" s="20"/>
      <c r="GH18" s="3"/>
      <c r="GI18" s="3"/>
      <c r="GJ18" s="3"/>
      <c r="GK18" s="3"/>
      <c r="GL18" s="3"/>
      <c r="GM18" s="29"/>
      <c r="GN18" s="20"/>
      <c r="GO18" s="3"/>
      <c r="GP18" s="3"/>
      <c r="GQ18" s="3"/>
      <c r="GR18" s="3"/>
      <c r="GS18" s="3"/>
      <c r="GT18" s="29"/>
      <c r="GU18" s="20"/>
      <c r="GV18" s="3"/>
      <c r="GW18" s="3"/>
      <c r="GX18" s="3"/>
      <c r="GY18" s="3"/>
      <c r="GZ18" s="3"/>
      <c r="HA18" s="29"/>
      <c r="HB18" s="20"/>
      <c r="HC18" s="3"/>
      <c r="HD18" s="3"/>
      <c r="HE18" s="3"/>
      <c r="HF18" s="3"/>
      <c r="HG18" s="3"/>
      <c r="HH18" s="29"/>
      <c r="HI18" s="20"/>
      <c r="HJ18" s="3"/>
    </row>
    <row r="19" ht="13.5" customHeight="1">
      <c r="A19" s="21"/>
      <c r="B19" s="35" t="s">
        <v>24</v>
      </c>
      <c r="C19" s="33">
        <v>4.0</v>
      </c>
      <c r="D19" s="25">
        <f t="shared" si="6"/>
        <v>10</v>
      </c>
      <c r="E19" s="16"/>
      <c r="F19" s="17"/>
      <c r="G19" s="17"/>
      <c r="H19" s="16"/>
      <c r="I19" s="16"/>
      <c r="J19" s="16"/>
      <c r="K19" s="16"/>
      <c r="L19" s="16"/>
      <c r="M19" s="17"/>
      <c r="N19" s="17"/>
      <c r="O19" s="17"/>
      <c r="P19" s="16"/>
      <c r="Q19" s="16"/>
      <c r="R19" s="16"/>
      <c r="S19" s="16"/>
      <c r="T19" s="17"/>
      <c r="U19" s="17"/>
      <c r="V19" s="16"/>
      <c r="W19" s="16"/>
      <c r="X19" s="16"/>
      <c r="Y19" s="16"/>
      <c r="Z19" s="16"/>
      <c r="AA19" s="17"/>
      <c r="AB19" s="17"/>
      <c r="AC19" s="16"/>
      <c r="AD19" s="16"/>
      <c r="AE19" s="16"/>
      <c r="AF19" s="16"/>
      <c r="AG19" s="16"/>
      <c r="AH19" s="17"/>
      <c r="AI19" s="17"/>
      <c r="AJ19" s="16"/>
      <c r="AK19" s="16"/>
      <c r="AL19" s="16"/>
      <c r="AM19" s="16"/>
      <c r="AN19" s="16"/>
      <c r="AO19" s="17"/>
      <c r="AP19" s="17"/>
      <c r="AQ19" s="50"/>
      <c r="AR19" s="50"/>
      <c r="AS19" s="50"/>
      <c r="AT19" s="50"/>
      <c r="AU19" s="50"/>
      <c r="AV19" s="17"/>
      <c r="AW19" s="17"/>
      <c r="AX19" s="16"/>
      <c r="AY19" s="16"/>
      <c r="AZ19" s="16"/>
      <c r="BA19" s="16"/>
      <c r="BB19" s="3"/>
      <c r="BC19" s="19"/>
      <c r="BD19" s="19"/>
      <c r="BE19" s="3"/>
      <c r="BF19" s="3"/>
      <c r="BG19" s="3"/>
      <c r="BH19" s="3"/>
      <c r="BI19" s="3"/>
      <c r="BJ19" s="19"/>
      <c r="BK19" s="19"/>
      <c r="BL19" s="3"/>
      <c r="BM19" s="3"/>
      <c r="BN19" s="3"/>
      <c r="BO19" s="3"/>
      <c r="BP19" s="3"/>
      <c r="BQ19" s="19"/>
      <c r="BR19" s="19"/>
      <c r="BS19" s="3"/>
      <c r="BT19" s="3"/>
      <c r="BU19" s="3"/>
      <c r="BV19" s="3"/>
      <c r="BW19" s="3"/>
      <c r="BX19" s="19"/>
      <c r="BY19" s="19"/>
      <c r="BZ19" s="3">
        <v>2.0</v>
      </c>
      <c r="CA19" s="3">
        <v>2.0</v>
      </c>
      <c r="CB19" s="3">
        <v>1.0</v>
      </c>
      <c r="CC19" s="3">
        <v>1.0</v>
      </c>
      <c r="CD19" s="3">
        <v>1.0</v>
      </c>
      <c r="CE19" s="19"/>
      <c r="CF19" s="19"/>
      <c r="CG19" s="3">
        <v>1.0</v>
      </c>
      <c r="CH19" s="3"/>
      <c r="CI19" s="3"/>
      <c r="CJ19" s="3"/>
      <c r="CK19" s="3"/>
      <c r="CL19" s="19"/>
      <c r="CM19" s="19"/>
      <c r="CN19" s="3"/>
      <c r="CO19" s="3"/>
      <c r="CP19" s="3"/>
      <c r="CQ19" s="3"/>
      <c r="CR19" s="3"/>
      <c r="CS19" s="20"/>
      <c r="CT19" s="20"/>
      <c r="CU19" s="4"/>
      <c r="CV19" s="4"/>
      <c r="CW19" s="4"/>
      <c r="CX19" s="4"/>
      <c r="CY19" s="4"/>
      <c r="CZ19" s="20"/>
      <c r="DA19" s="20"/>
      <c r="DB19" s="4"/>
      <c r="DC19" s="4"/>
      <c r="DD19" s="4"/>
      <c r="DE19" s="4"/>
      <c r="DF19" s="4"/>
      <c r="DG19" s="20"/>
      <c r="DH19" s="20"/>
      <c r="DI19" s="4"/>
      <c r="DJ19" s="4"/>
      <c r="DK19" s="4"/>
      <c r="DL19" s="4"/>
      <c r="DM19" s="4"/>
      <c r="DN19" s="20"/>
      <c r="DO19" s="20"/>
      <c r="DP19" s="4">
        <v>1.0</v>
      </c>
      <c r="DQ19" s="4">
        <v>1.0</v>
      </c>
      <c r="DR19" s="4"/>
      <c r="DS19" s="4"/>
      <c r="DT19" s="4"/>
      <c r="DU19" s="20"/>
      <c r="DV19" s="20"/>
      <c r="DW19" s="4"/>
      <c r="DX19" s="4"/>
      <c r="DY19" s="4"/>
      <c r="DZ19" s="4"/>
      <c r="EA19" s="4"/>
      <c r="EB19" s="20"/>
      <c r="EC19" s="20"/>
      <c r="ED19" s="4"/>
      <c r="EE19" s="4"/>
      <c r="EF19" s="4"/>
      <c r="EG19" s="4"/>
      <c r="EH19" s="4"/>
      <c r="EI19" s="20"/>
      <c r="EJ19" s="20"/>
      <c r="EK19" s="4"/>
      <c r="EL19" s="4"/>
      <c r="EM19" s="4"/>
      <c r="EN19" s="4"/>
      <c r="EO19" s="4"/>
      <c r="EP19" s="20"/>
      <c r="EQ19" s="20"/>
      <c r="ER19" s="4"/>
      <c r="ES19" s="4"/>
      <c r="ET19" s="4"/>
      <c r="EU19" s="4"/>
      <c r="EV19" s="4"/>
      <c r="EW19" s="20"/>
      <c r="EX19" s="20"/>
      <c r="EY19" s="4"/>
      <c r="EZ19" s="4"/>
      <c r="FA19" s="4"/>
      <c r="FB19" s="3"/>
      <c r="FC19" s="3"/>
      <c r="FD19" s="20"/>
      <c r="FE19" s="20"/>
      <c r="FF19" s="3"/>
      <c r="FG19" s="3"/>
      <c r="FH19" s="3"/>
      <c r="FI19" s="3"/>
      <c r="FJ19" s="3"/>
      <c r="FK19" s="20"/>
      <c r="FL19" s="20"/>
      <c r="FM19" s="3"/>
      <c r="FN19" s="3"/>
      <c r="FO19" s="3"/>
      <c r="FP19" s="3"/>
      <c r="FQ19" s="3"/>
      <c r="FR19" s="20"/>
      <c r="FS19" s="20"/>
      <c r="FT19" s="3"/>
      <c r="FU19" s="3"/>
      <c r="FV19" s="3"/>
      <c r="FW19" s="3"/>
      <c r="FX19" s="3"/>
      <c r="FY19" s="20"/>
      <c r="FZ19" s="20"/>
      <c r="GA19" s="3"/>
      <c r="GB19" s="3"/>
      <c r="GC19" s="3"/>
      <c r="GD19" s="3"/>
      <c r="GE19" s="3"/>
      <c r="GF19" s="20"/>
      <c r="GG19" s="20"/>
      <c r="GH19" s="3"/>
      <c r="GI19" s="3"/>
      <c r="GJ19" s="3"/>
      <c r="GK19" s="3"/>
      <c r="GL19" s="3"/>
      <c r="GM19" s="20"/>
      <c r="GN19" s="20"/>
      <c r="GO19" s="3"/>
      <c r="GP19" s="3"/>
      <c r="GQ19" s="3"/>
      <c r="GR19" s="3"/>
      <c r="GS19" s="3"/>
      <c r="GT19" s="20"/>
      <c r="GU19" s="20"/>
      <c r="GV19" s="3"/>
      <c r="GW19" s="3"/>
      <c r="GX19" s="3"/>
      <c r="GY19" s="3"/>
      <c r="GZ19" s="3"/>
      <c r="HA19" s="20"/>
      <c r="HB19" s="20"/>
      <c r="HC19" s="3"/>
      <c r="HD19" s="3"/>
      <c r="HE19" s="3"/>
      <c r="HF19" s="3"/>
      <c r="HG19" s="3"/>
      <c r="HH19" s="20"/>
      <c r="HI19" s="20"/>
      <c r="HJ19" s="3"/>
    </row>
    <row r="20" ht="13.5" customHeight="1">
      <c r="A20" s="21"/>
      <c r="B20" s="35" t="s">
        <v>25</v>
      </c>
      <c r="C20" s="33">
        <v>3.0</v>
      </c>
      <c r="D20" s="25">
        <f t="shared" si="6"/>
        <v>5</v>
      </c>
      <c r="E20" s="16"/>
      <c r="F20" s="17"/>
      <c r="G20" s="17"/>
      <c r="H20" s="16"/>
      <c r="I20" s="16"/>
      <c r="J20" s="16"/>
      <c r="K20" s="16"/>
      <c r="L20" s="16"/>
      <c r="M20" s="17"/>
      <c r="N20" s="17"/>
      <c r="O20" s="17"/>
      <c r="P20" s="16"/>
      <c r="Q20" s="16"/>
      <c r="R20" s="16"/>
      <c r="S20" s="16"/>
      <c r="T20" s="17"/>
      <c r="U20" s="17"/>
      <c r="V20" s="16"/>
      <c r="W20" s="16"/>
      <c r="X20" s="16"/>
      <c r="Y20" s="16"/>
      <c r="Z20" s="16"/>
      <c r="AA20" s="17"/>
      <c r="AB20" s="17"/>
      <c r="AC20" s="16"/>
      <c r="AD20" s="16"/>
      <c r="AE20" s="16"/>
      <c r="AF20" s="16"/>
      <c r="AG20" s="16"/>
      <c r="AH20" s="17"/>
      <c r="AI20" s="17"/>
      <c r="AJ20" s="16"/>
      <c r="AK20" s="16"/>
      <c r="AL20" s="16"/>
      <c r="AM20" s="16"/>
      <c r="AN20" s="16"/>
      <c r="AO20" s="17"/>
      <c r="AP20" s="17"/>
      <c r="AQ20" s="50"/>
      <c r="AR20" s="50"/>
      <c r="AS20" s="50"/>
      <c r="AT20" s="50"/>
      <c r="AU20" s="50"/>
      <c r="AV20" s="17"/>
      <c r="AW20" s="17"/>
      <c r="AX20" s="16"/>
      <c r="AY20" s="16"/>
      <c r="AZ20" s="16"/>
      <c r="BA20" s="16"/>
      <c r="BB20" s="28"/>
      <c r="BC20" s="27"/>
      <c r="BD20" s="27"/>
      <c r="BE20" s="28"/>
      <c r="BF20" s="28"/>
      <c r="BG20" s="28"/>
      <c r="BH20" s="28"/>
      <c r="BI20" s="28"/>
      <c r="BJ20" s="27"/>
      <c r="BK20" s="27"/>
      <c r="BL20" s="28"/>
      <c r="BM20" s="28"/>
      <c r="BN20" s="28"/>
      <c r="BO20" s="28"/>
      <c r="BP20" s="28"/>
      <c r="BQ20" s="27"/>
      <c r="BR20" s="27"/>
      <c r="BS20" s="28"/>
      <c r="BT20" s="28"/>
      <c r="BU20" s="28"/>
      <c r="BV20" s="28"/>
      <c r="BW20" s="28"/>
      <c r="BX20" s="27"/>
      <c r="BY20" s="27"/>
      <c r="BZ20" s="28"/>
      <c r="CA20" s="28"/>
      <c r="CB20" s="28"/>
      <c r="CC20" s="28"/>
      <c r="CD20" s="28"/>
      <c r="CE20" s="27"/>
      <c r="CF20" s="27"/>
      <c r="CG20" s="28"/>
      <c r="CH20" s="28"/>
      <c r="CI20" s="28"/>
      <c r="CJ20" s="28"/>
      <c r="CK20" s="28"/>
      <c r="CL20" s="27"/>
      <c r="CM20" s="27"/>
      <c r="CN20" s="28"/>
      <c r="CO20" s="28"/>
      <c r="CP20" s="28"/>
      <c r="CQ20" s="28"/>
      <c r="CR20" s="28"/>
      <c r="CS20" s="29"/>
      <c r="CT20" s="20"/>
      <c r="CU20" s="30"/>
      <c r="CV20" s="4"/>
      <c r="CW20" s="4"/>
      <c r="CX20" s="4"/>
      <c r="CY20" s="4">
        <v>3.0</v>
      </c>
      <c r="CZ20" s="29"/>
      <c r="DA20" s="20"/>
      <c r="DB20" s="4"/>
      <c r="DC20" s="4"/>
      <c r="DD20" s="4"/>
      <c r="DE20" s="4"/>
      <c r="DF20" s="4"/>
      <c r="DG20" s="29"/>
      <c r="DH20" s="20"/>
      <c r="DI20" s="4"/>
      <c r="DJ20" s="4"/>
      <c r="DK20" s="4"/>
      <c r="DL20" s="4"/>
      <c r="DM20" s="4"/>
      <c r="DN20" s="29"/>
      <c r="DO20" s="20"/>
      <c r="DP20" s="4"/>
      <c r="DQ20" s="4"/>
      <c r="DR20" s="4"/>
      <c r="DS20" s="4"/>
      <c r="DT20" s="4"/>
      <c r="DU20" s="29"/>
      <c r="DV20" s="20"/>
      <c r="DW20" s="4"/>
      <c r="DX20" s="4"/>
      <c r="DY20" s="4"/>
      <c r="DZ20" s="4"/>
      <c r="EA20" s="4"/>
      <c r="EB20" s="29"/>
      <c r="EC20" s="20"/>
      <c r="ED20" s="4"/>
      <c r="EE20" s="4"/>
      <c r="EF20" s="4"/>
      <c r="EG20" s="4">
        <v>1.0</v>
      </c>
      <c r="EH20" s="4"/>
      <c r="EI20" s="29"/>
      <c r="EJ20" s="20"/>
      <c r="EK20" s="4">
        <v>1.0</v>
      </c>
      <c r="EL20" s="4"/>
      <c r="EM20" s="4"/>
      <c r="EN20" s="4"/>
      <c r="EO20" s="4"/>
      <c r="EP20" s="29"/>
      <c r="EQ20" s="20"/>
      <c r="ER20" s="4"/>
      <c r="ES20" s="4"/>
      <c r="ET20" s="4"/>
      <c r="EU20" s="4"/>
      <c r="EV20" s="4"/>
      <c r="EW20" s="29"/>
      <c r="EX20" s="20"/>
      <c r="EY20" s="4"/>
      <c r="EZ20" s="4"/>
      <c r="FA20" s="4"/>
      <c r="FB20" s="3"/>
      <c r="FC20" s="3"/>
      <c r="FD20" s="29"/>
      <c r="FE20" s="20"/>
      <c r="FF20" s="3"/>
      <c r="FG20" s="3"/>
      <c r="FH20" s="3"/>
      <c r="FI20" s="3"/>
      <c r="FJ20" s="3"/>
      <c r="FK20" s="29"/>
      <c r="FL20" s="20"/>
      <c r="FM20" s="3"/>
      <c r="FN20" s="3"/>
      <c r="FO20" s="3"/>
      <c r="FP20" s="3"/>
      <c r="FQ20" s="3"/>
      <c r="FR20" s="29"/>
      <c r="FS20" s="20"/>
      <c r="FT20" s="3"/>
      <c r="FU20" s="3"/>
      <c r="FV20" s="3"/>
      <c r="FW20" s="3"/>
      <c r="FX20" s="3"/>
      <c r="FY20" s="29"/>
      <c r="FZ20" s="20"/>
      <c r="GA20" s="3"/>
      <c r="GB20" s="3"/>
      <c r="GC20" s="3"/>
      <c r="GD20" s="3"/>
      <c r="GE20" s="3"/>
      <c r="GF20" s="29"/>
      <c r="GG20" s="20"/>
      <c r="GH20" s="3"/>
      <c r="GI20" s="3"/>
      <c r="GJ20" s="3"/>
      <c r="GK20" s="3"/>
      <c r="GL20" s="3"/>
      <c r="GM20" s="29"/>
      <c r="GN20" s="20"/>
      <c r="GO20" s="3"/>
      <c r="GP20" s="3"/>
      <c r="GQ20" s="3"/>
      <c r="GR20" s="3"/>
      <c r="GS20" s="3"/>
      <c r="GT20" s="29"/>
      <c r="GU20" s="20"/>
      <c r="GV20" s="3"/>
      <c r="GW20" s="3"/>
      <c r="GX20" s="3"/>
      <c r="GY20" s="3"/>
      <c r="GZ20" s="3"/>
      <c r="HA20" s="29"/>
      <c r="HB20" s="20"/>
      <c r="HC20" s="3"/>
      <c r="HD20" s="3"/>
      <c r="HE20" s="3"/>
      <c r="HF20" s="3"/>
      <c r="HG20" s="3"/>
      <c r="HH20" s="29"/>
      <c r="HI20" s="20"/>
      <c r="HJ20" s="3"/>
    </row>
    <row r="21" ht="13.5" customHeight="1">
      <c r="A21" s="21"/>
      <c r="B21" s="31" t="s">
        <v>43</v>
      </c>
      <c r="C21" s="16">
        <f>SUM(C22:C25)</f>
        <v>7</v>
      </c>
      <c r="D21" s="16">
        <f>SUM(D22:D23)</f>
        <v>13</v>
      </c>
      <c r="E21" s="25"/>
      <c r="F21" s="24"/>
      <c r="G21" s="24"/>
      <c r="H21" s="25"/>
      <c r="I21" s="25"/>
      <c r="J21" s="25"/>
      <c r="K21" s="25"/>
      <c r="L21" s="25"/>
      <c r="M21" s="24"/>
      <c r="N21" s="24"/>
      <c r="O21" s="24"/>
      <c r="P21" s="25"/>
      <c r="Q21" s="25"/>
      <c r="R21" s="25"/>
      <c r="S21" s="25"/>
      <c r="T21" s="24"/>
      <c r="U21" s="24"/>
      <c r="V21" s="25"/>
      <c r="W21" s="25"/>
      <c r="X21" s="25"/>
      <c r="Y21" s="25"/>
      <c r="Z21" s="25"/>
      <c r="AA21" s="24"/>
      <c r="AB21" s="24"/>
      <c r="AC21" s="25"/>
      <c r="AD21" s="25"/>
      <c r="AE21" s="25"/>
      <c r="AF21" s="25"/>
      <c r="AG21" s="25"/>
      <c r="AH21" s="24"/>
      <c r="AI21" s="24"/>
      <c r="AJ21" s="25"/>
      <c r="AK21" s="25"/>
      <c r="AL21" s="25"/>
      <c r="AM21" s="25"/>
      <c r="AN21" s="25"/>
      <c r="AO21" s="24"/>
      <c r="AP21" s="24"/>
      <c r="AQ21" s="52"/>
      <c r="AR21" s="52"/>
      <c r="AS21" s="52"/>
      <c r="AT21" s="52"/>
      <c r="AU21" s="52"/>
      <c r="AV21" s="24"/>
      <c r="AW21" s="24"/>
      <c r="AX21" s="25"/>
      <c r="AY21" s="25"/>
      <c r="AZ21" s="25"/>
      <c r="BA21" s="25"/>
      <c r="BB21" s="3"/>
      <c r="BC21" s="19"/>
      <c r="BD21" s="19"/>
      <c r="BE21" s="3"/>
      <c r="BF21" s="3"/>
      <c r="BG21" s="3"/>
      <c r="BH21" s="3"/>
      <c r="BI21" s="3"/>
      <c r="BJ21" s="19"/>
      <c r="BK21" s="19"/>
      <c r="BL21" s="3"/>
      <c r="BM21" s="3"/>
      <c r="BN21" s="3"/>
      <c r="BO21" s="3"/>
      <c r="BP21" s="3"/>
      <c r="BQ21" s="19"/>
      <c r="BR21" s="19"/>
      <c r="BS21" s="3"/>
      <c r="BT21" s="3"/>
      <c r="BU21" s="3"/>
      <c r="BV21" s="3"/>
      <c r="BW21" s="3"/>
      <c r="BX21" s="19"/>
      <c r="BY21" s="19"/>
      <c r="BZ21" s="3"/>
      <c r="CA21" s="3"/>
      <c r="CB21" s="3"/>
      <c r="CC21" s="3"/>
      <c r="CD21" s="3"/>
      <c r="CE21" s="19"/>
      <c r="CF21" s="19"/>
      <c r="CG21" s="3"/>
      <c r="CH21" s="3"/>
      <c r="CI21" s="3"/>
      <c r="CJ21" s="3"/>
      <c r="CK21" s="3"/>
      <c r="CL21" s="19"/>
      <c r="CM21" s="19"/>
      <c r="CN21" s="3"/>
      <c r="CO21" s="3"/>
      <c r="CP21" s="3"/>
      <c r="CQ21" s="3"/>
      <c r="CR21" s="3"/>
      <c r="CS21" s="20"/>
      <c r="CT21" s="20"/>
      <c r="CU21" s="4"/>
      <c r="CV21" s="4"/>
      <c r="CW21" s="4"/>
      <c r="CX21" s="4"/>
      <c r="CY21" s="4"/>
      <c r="CZ21" s="20"/>
      <c r="DA21" s="20"/>
      <c r="DB21" s="4"/>
      <c r="DC21" s="4"/>
      <c r="DD21" s="4"/>
      <c r="DE21" s="4"/>
      <c r="DF21" s="4"/>
      <c r="DG21" s="20"/>
      <c r="DH21" s="20"/>
      <c r="DI21" s="4"/>
      <c r="DJ21" s="4"/>
      <c r="DK21" s="4"/>
      <c r="DL21" s="4"/>
      <c r="DM21" s="4"/>
      <c r="DN21" s="20"/>
      <c r="DO21" s="20"/>
      <c r="DP21" s="4"/>
      <c r="DQ21" s="4"/>
      <c r="DR21" s="4"/>
      <c r="DS21" s="4"/>
      <c r="DT21" s="4"/>
      <c r="DU21" s="20"/>
      <c r="DV21" s="20"/>
      <c r="DW21" s="4"/>
      <c r="DX21" s="4"/>
      <c r="DY21" s="4"/>
      <c r="DZ21" s="4"/>
      <c r="EA21" s="4"/>
      <c r="EB21" s="20"/>
      <c r="EC21" s="20"/>
      <c r="ED21" s="4"/>
      <c r="EE21" s="4"/>
      <c r="EF21" s="4"/>
      <c r="EG21" s="4"/>
      <c r="EH21" s="4"/>
      <c r="EI21" s="20"/>
      <c r="EJ21" s="20"/>
      <c r="EK21" s="4"/>
      <c r="EL21" s="4"/>
      <c r="EM21" s="4"/>
      <c r="EN21" s="4"/>
      <c r="EO21" s="4"/>
      <c r="EP21" s="20"/>
      <c r="EQ21" s="20"/>
      <c r="ER21" s="4"/>
      <c r="ES21" s="4"/>
      <c r="ET21" s="4"/>
      <c r="EU21" s="4"/>
      <c r="EV21" s="4"/>
      <c r="EW21" s="20"/>
      <c r="EX21" s="20"/>
      <c r="EY21" s="4"/>
      <c r="EZ21" s="4"/>
      <c r="FA21" s="4"/>
      <c r="FB21" s="3"/>
      <c r="FC21" s="3"/>
      <c r="FD21" s="20"/>
      <c r="FE21" s="20"/>
      <c r="FF21" s="3"/>
      <c r="FG21" s="3"/>
      <c r="FH21" s="3"/>
      <c r="FI21" s="3"/>
      <c r="FJ21" s="3"/>
      <c r="FK21" s="20"/>
      <c r="FL21" s="20"/>
      <c r="FM21" s="3"/>
      <c r="FN21" s="3"/>
      <c r="FO21" s="3"/>
      <c r="FP21" s="3"/>
      <c r="FQ21" s="3"/>
      <c r="FR21" s="20"/>
      <c r="FS21" s="20"/>
      <c r="FT21" s="3"/>
      <c r="FU21" s="3"/>
      <c r="FV21" s="3"/>
      <c r="FW21" s="3"/>
      <c r="FX21" s="3"/>
      <c r="FY21" s="20"/>
      <c r="FZ21" s="20"/>
      <c r="GA21" s="3"/>
      <c r="GB21" s="3"/>
      <c r="GC21" s="3"/>
      <c r="GD21" s="3"/>
      <c r="GE21" s="3"/>
      <c r="GF21" s="20"/>
      <c r="GG21" s="20"/>
      <c r="GH21" s="3"/>
      <c r="GI21" s="3"/>
      <c r="GJ21" s="3"/>
      <c r="GK21" s="3"/>
      <c r="GL21" s="3"/>
      <c r="GM21" s="20"/>
      <c r="GN21" s="20"/>
      <c r="GO21" s="3"/>
      <c r="GP21" s="3"/>
      <c r="GQ21" s="3"/>
      <c r="GR21" s="3"/>
      <c r="GS21" s="3"/>
      <c r="GT21" s="20"/>
      <c r="GU21" s="20"/>
      <c r="GV21" s="3"/>
      <c r="GW21" s="3"/>
      <c r="GX21" s="3"/>
      <c r="GY21" s="3"/>
      <c r="GZ21" s="3"/>
      <c r="HA21" s="20"/>
      <c r="HB21" s="20"/>
      <c r="HC21" s="3"/>
      <c r="HD21" s="3"/>
      <c r="HE21" s="3"/>
      <c r="HF21" s="3"/>
      <c r="HG21" s="3"/>
      <c r="HH21" s="20"/>
      <c r="HI21" s="20"/>
      <c r="HJ21" s="3"/>
    </row>
    <row r="22" ht="13.5" customHeight="1">
      <c r="A22" s="21"/>
      <c r="B22" s="35" t="s">
        <v>44</v>
      </c>
      <c r="C22" s="33">
        <v>3.0</v>
      </c>
      <c r="D22" s="25">
        <f t="shared" ref="D22:D25" si="7">SUM(E22:HJ22)</f>
        <v>8</v>
      </c>
      <c r="E22" s="25"/>
      <c r="F22" s="24"/>
      <c r="G22" s="24"/>
      <c r="H22" s="25"/>
      <c r="I22" s="25"/>
      <c r="J22" s="25"/>
      <c r="K22" s="25"/>
      <c r="L22" s="25"/>
      <c r="M22" s="24"/>
      <c r="N22" s="24"/>
      <c r="O22" s="24"/>
      <c r="P22" s="25"/>
      <c r="Q22" s="25"/>
      <c r="R22" s="25"/>
      <c r="S22" s="25"/>
      <c r="T22" s="24"/>
      <c r="U22" s="24"/>
      <c r="V22" s="25"/>
      <c r="W22" s="25"/>
      <c r="X22" s="25"/>
      <c r="Y22" s="25"/>
      <c r="Z22" s="25"/>
      <c r="AA22" s="24"/>
      <c r="AB22" s="24"/>
      <c r="AC22" s="25"/>
      <c r="AD22" s="25"/>
      <c r="AE22" s="25"/>
      <c r="AF22" s="25"/>
      <c r="AG22" s="25"/>
      <c r="AH22" s="24"/>
      <c r="AI22" s="24"/>
      <c r="AJ22" s="25"/>
      <c r="AK22" s="25"/>
      <c r="AL22" s="25"/>
      <c r="AM22" s="25"/>
      <c r="AN22" s="25"/>
      <c r="AO22" s="24"/>
      <c r="AP22" s="24"/>
      <c r="AQ22" s="52"/>
      <c r="AR22" s="52"/>
      <c r="AS22" s="52"/>
      <c r="AT22" s="52"/>
      <c r="AU22" s="52"/>
      <c r="AV22" s="24"/>
      <c r="AW22" s="24"/>
      <c r="AX22" s="25"/>
      <c r="AY22" s="25"/>
      <c r="AZ22" s="25"/>
      <c r="BA22" s="25"/>
      <c r="BB22" s="28"/>
      <c r="BC22" s="27"/>
      <c r="BD22" s="27"/>
      <c r="BE22" s="28"/>
      <c r="BF22" s="28"/>
      <c r="BG22" s="28"/>
      <c r="BH22" s="28"/>
      <c r="BI22" s="28"/>
      <c r="BJ22" s="27"/>
      <c r="BK22" s="27"/>
      <c r="BL22" s="28"/>
      <c r="BM22" s="28"/>
      <c r="BN22" s="28"/>
      <c r="BO22" s="28"/>
      <c r="BP22" s="28"/>
      <c r="BQ22" s="27"/>
      <c r="BR22" s="27"/>
      <c r="BS22" s="28"/>
      <c r="BT22" s="28"/>
      <c r="BU22" s="28"/>
      <c r="BV22" s="28"/>
      <c r="BW22" s="28"/>
      <c r="BX22" s="27"/>
      <c r="BY22" s="27"/>
      <c r="BZ22" s="28"/>
      <c r="CA22" s="28"/>
      <c r="CB22" s="28"/>
      <c r="CC22" s="28"/>
      <c r="CD22" s="28"/>
      <c r="CE22" s="27"/>
      <c r="CF22" s="27"/>
      <c r="CG22" s="28"/>
      <c r="CH22" s="28"/>
      <c r="CI22" s="28"/>
      <c r="CJ22" s="28"/>
      <c r="CK22" s="28"/>
      <c r="CL22" s="27"/>
      <c r="CM22" s="27"/>
      <c r="CN22" s="28"/>
      <c r="CO22" s="28"/>
      <c r="CP22" s="28"/>
      <c r="CQ22" s="28"/>
      <c r="CR22" s="28"/>
      <c r="CS22" s="29"/>
      <c r="CT22" s="20"/>
      <c r="CU22" s="30"/>
      <c r="CV22" s="4"/>
      <c r="CW22" s="4"/>
      <c r="CX22" s="4"/>
      <c r="CY22" s="4"/>
      <c r="CZ22" s="29"/>
      <c r="DA22" s="20"/>
      <c r="DB22" s="4"/>
      <c r="DC22" s="4"/>
      <c r="DD22" s="4"/>
      <c r="DE22" s="4"/>
      <c r="DF22" s="4"/>
      <c r="DG22" s="29"/>
      <c r="DH22" s="20"/>
      <c r="DI22" s="4">
        <v>1.0</v>
      </c>
      <c r="DJ22" s="4">
        <v>1.0</v>
      </c>
      <c r="DK22" s="4">
        <v>1.0</v>
      </c>
      <c r="DL22" s="4">
        <v>1.0</v>
      </c>
      <c r="DM22" s="4">
        <v>1.0</v>
      </c>
      <c r="DN22" s="29"/>
      <c r="DO22" s="20"/>
      <c r="DP22" s="4">
        <v>1.0</v>
      </c>
      <c r="DQ22" s="4">
        <v>1.0</v>
      </c>
      <c r="DR22" s="4"/>
      <c r="DS22" s="4"/>
      <c r="DT22" s="4"/>
      <c r="DU22" s="29"/>
      <c r="DV22" s="20"/>
      <c r="DW22" s="53"/>
      <c r="DX22" s="53"/>
      <c r="DY22" s="53"/>
      <c r="DZ22" s="53"/>
      <c r="EA22" s="53"/>
      <c r="EB22" s="29"/>
      <c r="EC22" s="20"/>
      <c r="ED22" s="4">
        <v>1.0</v>
      </c>
      <c r="EE22" s="4"/>
      <c r="EF22" s="4"/>
      <c r="EG22" s="4"/>
      <c r="EH22" s="4"/>
      <c r="EI22" s="29"/>
      <c r="EJ22" s="20"/>
      <c r="EK22" s="4"/>
      <c r="EL22" s="4"/>
      <c r="EM22" s="4"/>
      <c r="EN22" s="4"/>
      <c r="EO22" s="4"/>
      <c r="EP22" s="29"/>
      <c r="EQ22" s="20"/>
      <c r="ER22" s="4"/>
      <c r="ES22" s="4"/>
      <c r="ET22" s="4"/>
      <c r="EU22" s="4"/>
      <c r="EV22" s="4"/>
      <c r="EW22" s="29"/>
      <c r="EX22" s="20"/>
      <c r="EY22" s="4"/>
      <c r="EZ22" s="4"/>
      <c r="FA22" s="4"/>
      <c r="FB22" s="3"/>
      <c r="FC22" s="3"/>
      <c r="FD22" s="29"/>
      <c r="FE22" s="20"/>
      <c r="FF22" s="3"/>
      <c r="FG22" s="3"/>
      <c r="FH22" s="3"/>
      <c r="FI22" s="3"/>
      <c r="FJ22" s="3"/>
      <c r="FK22" s="29"/>
      <c r="FL22" s="20"/>
      <c r="FM22" s="3"/>
      <c r="FN22" s="3"/>
      <c r="FO22" s="3"/>
      <c r="FP22" s="3"/>
      <c r="FQ22" s="3"/>
      <c r="FR22" s="29"/>
      <c r="FS22" s="20"/>
      <c r="FT22" s="3"/>
      <c r="FU22" s="3"/>
      <c r="FV22" s="3"/>
      <c r="FW22" s="3"/>
      <c r="FX22" s="3"/>
      <c r="FY22" s="29"/>
      <c r="FZ22" s="20"/>
      <c r="GA22" s="3"/>
      <c r="GB22" s="3"/>
      <c r="GC22" s="3"/>
      <c r="GD22" s="3"/>
      <c r="GE22" s="3"/>
      <c r="GF22" s="29"/>
      <c r="GG22" s="20"/>
      <c r="GH22" s="3"/>
      <c r="GI22" s="3"/>
      <c r="GJ22" s="3"/>
      <c r="GK22" s="3"/>
      <c r="GL22" s="3"/>
      <c r="GM22" s="29"/>
      <c r="GN22" s="20"/>
      <c r="GO22" s="3"/>
      <c r="GP22" s="3"/>
      <c r="GQ22" s="3"/>
      <c r="GR22" s="3"/>
      <c r="GS22" s="3"/>
      <c r="GT22" s="29"/>
      <c r="GU22" s="20"/>
      <c r="GV22" s="3"/>
      <c r="GW22" s="3"/>
      <c r="GX22" s="3"/>
      <c r="GY22" s="3"/>
      <c r="GZ22" s="3"/>
      <c r="HA22" s="29"/>
      <c r="HB22" s="20"/>
      <c r="HC22" s="3"/>
      <c r="HD22" s="3"/>
      <c r="HE22" s="3"/>
      <c r="HF22" s="3"/>
      <c r="HG22" s="3"/>
      <c r="HH22" s="29"/>
      <c r="HI22" s="20"/>
      <c r="HJ22" s="3"/>
    </row>
    <row r="23" ht="13.5" customHeight="1">
      <c r="A23" s="21"/>
      <c r="B23" s="35" t="s">
        <v>45</v>
      </c>
      <c r="C23" s="33">
        <v>2.0</v>
      </c>
      <c r="D23" s="25">
        <f t="shared" si="7"/>
        <v>5</v>
      </c>
      <c r="E23" s="25"/>
      <c r="F23" s="24"/>
      <c r="G23" s="24"/>
      <c r="H23" s="25"/>
      <c r="I23" s="25"/>
      <c r="J23" s="25"/>
      <c r="K23" s="25"/>
      <c r="L23" s="25"/>
      <c r="M23" s="24"/>
      <c r="N23" s="24"/>
      <c r="O23" s="24"/>
      <c r="P23" s="25"/>
      <c r="Q23" s="25"/>
      <c r="R23" s="25"/>
      <c r="S23" s="25"/>
      <c r="T23" s="24"/>
      <c r="U23" s="24"/>
      <c r="V23" s="25"/>
      <c r="W23" s="25"/>
      <c r="X23" s="25"/>
      <c r="Y23" s="25"/>
      <c r="Z23" s="25"/>
      <c r="AA23" s="24"/>
      <c r="AB23" s="24"/>
      <c r="AC23" s="25"/>
      <c r="AD23" s="25"/>
      <c r="AE23" s="25"/>
      <c r="AF23" s="25"/>
      <c r="AG23" s="25"/>
      <c r="AH23" s="24"/>
      <c r="AI23" s="24"/>
      <c r="AJ23" s="25"/>
      <c r="AK23" s="25"/>
      <c r="AL23" s="25"/>
      <c r="AM23" s="25"/>
      <c r="AN23" s="25"/>
      <c r="AO23" s="24"/>
      <c r="AP23" s="24"/>
      <c r="AQ23" s="52"/>
      <c r="AR23" s="52"/>
      <c r="AS23" s="52"/>
      <c r="AT23" s="52"/>
      <c r="AU23" s="52"/>
      <c r="AV23" s="24"/>
      <c r="AW23" s="24"/>
      <c r="AX23" s="25"/>
      <c r="AY23" s="25"/>
      <c r="AZ23" s="25"/>
      <c r="BA23" s="25"/>
      <c r="BB23" s="28"/>
      <c r="BC23" s="27"/>
      <c r="BD23" s="27"/>
      <c r="BE23" s="28"/>
      <c r="BF23" s="28"/>
      <c r="BG23" s="28"/>
      <c r="BH23" s="28"/>
      <c r="BI23" s="28"/>
      <c r="BJ23" s="27"/>
      <c r="BK23" s="27"/>
      <c r="BL23" s="28"/>
      <c r="BM23" s="28"/>
      <c r="BN23" s="28"/>
      <c r="BO23" s="28"/>
      <c r="BP23" s="28"/>
      <c r="BQ23" s="27"/>
      <c r="BR23" s="27"/>
      <c r="BS23" s="28"/>
      <c r="BT23" s="28"/>
      <c r="BU23" s="28"/>
      <c r="BV23" s="28"/>
      <c r="BW23" s="28"/>
      <c r="BX23" s="27"/>
      <c r="BY23" s="27"/>
      <c r="BZ23" s="28"/>
      <c r="CA23" s="28"/>
      <c r="CB23" s="28"/>
      <c r="CC23" s="28"/>
      <c r="CD23" s="28"/>
      <c r="CE23" s="27"/>
      <c r="CF23" s="27"/>
      <c r="CG23" s="28"/>
      <c r="CH23" s="28"/>
      <c r="CI23" s="28"/>
      <c r="CJ23" s="28"/>
      <c r="CK23" s="28"/>
      <c r="CL23" s="27"/>
      <c r="CM23" s="27"/>
      <c r="CN23" s="28"/>
      <c r="CO23" s="28"/>
      <c r="CP23" s="28"/>
      <c r="CQ23" s="28"/>
      <c r="CR23" s="28"/>
      <c r="CS23" s="29"/>
      <c r="CT23" s="20"/>
      <c r="CU23" s="30"/>
      <c r="CV23" s="4"/>
      <c r="CW23" s="4"/>
      <c r="CX23" s="4"/>
      <c r="CY23" s="4"/>
      <c r="CZ23" s="29"/>
      <c r="DA23" s="20"/>
      <c r="DB23" s="4"/>
      <c r="DC23" s="4"/>
      <c r="DD23" s="4"/>
      <c r="DE23" s="4"/>
      <c r="DF23" s="4"/>
      <c r="DG23" s="29"/>
      <c r="DH23" s="20"/>
      <c r="DI23" s="4"/>
      <c r="DJ23" s="4"/>
      <c r="DK23" s="4"/>
      <c r="DL23" s="4"/>
      <c r="DM23" s="4"/>
      <c r="DN23" s="29"/>
      <c r="DO23" s="20"/>
      <c r="DP23" s="4"/>
      <c r="DQ23" s="4"/>
      <c r="DR23" s="4">
        <v>1.0</v>
      </c>
      <c r="DS23" s="4"/>
      <c r="DT23" s="4"/>
      <c r="DU23" s="29"/>
      <c r="DV23" s="20"/>
      <c r="DW23" s="4"/>
      <c r="DX23" s="4">
        <v>1.0</v>
      </c>
      <c r="DY23" s="4"/>
      <c r="DZ23" s="4"/>
      <c r="EA23" s="4"/>
      <c r="EB23" s="29"/>
      <c r="EC23" s="20"/>
      <c r="ED23" s="4"/>
      <c r="EE23" s="4"/>
      <c r="EF23" s="4"/>
      <c r="EG23" s="4"/>
      <c r="EH23" s="4"/>
      <c r="EI23" s="29"/>
      <c r="EJ23" s="20"/>
      <c r="EK23" s="4"/>
      <c r="EL23" s="4"/>
      <c r="EM23" s="4"/>
      <c r="EN23" s="4"/>
      <c r="EO23" s="4"/>
      <c r="EP23" s="29"/>
      <c r="EQ23" s="20"/>
      <c r="ER23" s="4"/>
      <c r="ES23" s="4"/>
      <c r="ET23" s="4"/>
      <c r="EU23" s="4"/>
      <c r="EV23" s="4"/>
      <c r="EW23" s="29"/>
      <c r="EX23" s="20"/>
      <c r="EY23" s="4"/>
      <c r="EZ23" s="4"/>
      <c r="FA23" s="4">
        <v>1.0</v>
      </c>
      <c r="FB23" s="3"/>
      <c r="FC23" s="3"/>
      <c r="FD23" s="29"/>
      <c r="FE23" s="20"/>
      <c r="FF23" s="3"/>
      <c r="FG23" s="3"/>
      <c r="FH23" s="3">
        <v>1.0</v>
      </c>
      <c r="FI23" s="3"/>
      <c r="FJ23" s="3"/>
      <c r="FK23" s="29"/>
      <c r="FL23" s="20"/>
      <c r="FM23" s="3"/>
      <c r="FN23" s="3"/>
      <c r="FO23" s="3">
        <v>1.0</v>
      </c>
      <c r="FP23" s="3"/>
      <c r="FQ23" s="3"/>
      <c r="FR23" s="29"/>
      <c r="FS23" s="20"/>
      <c r="FT23" s="3"/>
      <c r="FU23" s="3"/>
      <c r="FV23" s="3"/>
      <c r="FW23" s="3"/>
      <c r="FX23" s="3"/>
      <c r="FY23" s="29"/>
      <c r="FZ23" s="20"/>
      <c r="GA23" s="3"/>
      <c r="GB23" s="3"/>
      <c r="GC23" s="3"/>
      <c r="GD23" s="3"/>
      <c r="GE23" s="3"/>
      <c r="GF23" s="29"/>
      <c r="GG23" s="20"/>
      <c r="GH23" s="3"/>
      <c r="GI23" s="3"/>
      <c r="GJ23" s="3"/>
      <c r="GK23" s="3"/>
      <c r="GL23" s="3"/>
      <c r="GM23" s="29"/>
      <c r="GN23" s="20"/>
      <c r="GO23" s="3"/>
      <c r="GP23" s="3"/>
      <c r="GQ23" s="3"/>
      <c r="GR23" s="3"/>
      <c r="GS23" s="3"/>
      <c r="GT23" s="29"/>
      <c r="GU23" s="20"/>
      <c r="GV23" s="3"/>
      <c r="GW23" s="3"/>
      <c r="GX23" s="3"/>
      <c r="GY23" s="3"/>
      <c r="GZ23" s="3"/>
      <c r="HA23" s="29"/>
      <c r="HB23" s="20"/>
      <c r="HC23" s="3"/>
      <c r="HD23" s="3"/>
      <c r="HE23" s="3"/>
      <c r="HF23" s="3"/>
      <c r="HG23" s="3"/>
      <c r="HH23" s="29"/>
      <c r="HI23" s="20"/>
      <c r="HJ23" s="3"/>
    </row>
    <row r="24" ht="13.5" customHeight="1">
      <c r="A24" s="21"/>
      <c r="B24" s="31" t="s">
        <v>46</v>
      </c>
      <c r="C24" s="33"/>
      <c r="D24" s="25">
        <f t="shared" si="7"/>
        <v>2</v>
      </c>
      <c r="E24" s="25"/>
      <c r="F24" s="24"/>
      <c r="G24" s="24"/>
      <c r="H24" s="25"/>
      <c r="I24" s="25"/>
      <c r="J24" s="25"/>
      <c r="K24" s="25"/>
      <c r="L24" s="25"/>
      <c r="M24" s="24"/>
      <c r="N24" s="24"/>
      <c r="O24" s="24"/>
      <c r="P24" s="25"/>
      <c r="Q24" s="25"/>
      <c r="R24" s="25"/>
      <c r="S24" s="25"/>
      <c r="T24" s="24"/>
      <c r="U24" s="24"/>
      <c r="V24" s="25"/>
      <c r="W24" s="25"/>
      <c r="X24" s="25"/>
      <c r="Y24" s="25"/>
      <c r="Z24" s="25"/>
      <c r="AA24" s="24"/>
      <c r="AB24" s="24"/>
      <c r="AC24" s="25"/>
      <c r="AD24" s="25"/>
      <c r="AE24" s="25"/>
      <c r="AF24" s="25"/>
      <c r="AG24" s="25"/>
      <c r="AH24" s="24"/>
      <c r="AI24" s="24"/>
      <c r="AJ24" s="25"/>
      <c r="AK24" s="25"/>
      <c r="AL24" s="25"/>
      <c r="AM24" s="25"/>
      <c r="AN24" s="25"/>
      <c r="AO24" s="24"/>
      <c r="AP24" s="24"/>
      <c r="AQ24" s="52"/>
      <c r="AR24" s="52"/>
      <c r="AS24" s="52"/>
      <c r="AT24" s="52"/>
      <c r="AU24" s="52"/>
      <c r="AV24" s="24"/>
      <c r="AW24" s="24"/>
      <c r="AX24" s="25"/>
      <c r="AY24" s="25"/>
      <c r="AZ24" s="25"/>
      <c r="BA24" s="25"/>
      <c r="BB24" s="28"/>
      <c r="BC24" s="27"/>
      <c r="BD24" s="27"/>
      <c r="BE24" s="28"/>
      <c r="BF24" s="28"/>
      <c r="BG24" s="28"/>
      <c r="BH24" s="28"/>
      <c r="BI24" s="28"/>
      <c r="BJ24" s="27"/>
      <c r="BK24" s="27"/>
      <c r="BL24" s="28"/>
      <c r="BM24" s="28"/>
      <c r="BN24" s="28"/>
      <c r="BO24" s="28"/>
      <c r="BP24" s="28"/>
      <c r="BQ24" s="27"/>
      <c r="BR24" s="27"/>
      <c r="BS24" s="28"/>
      <c r="BT24" s="28"/>
      <c r="BU24" s="28"/>
      <c r="BV24" s="28"/>
      <c r="BW24" s="28"/>
      <c r="BX24" s="27"/>
      <c r="BY24" s="27"/>
      <c r="BZ24" s="28"/>
      <c r="CA24" s="28"/>
      <c r="CB24" s="28"/>
      <c r="CC24" s="28"/>
      <c r="CD24" s="28"/>
      <c r="CE24" s="27"/>
      <c r="CF24" s="27"/>
      <c r="CG24" s="28"/>
      <c r="CH24" s="28"/>
      <c r="CI24" s="28"/>
      <c r="CJ24" s="28"/>
      <c r="CK24" s="28"/>
      <c r="CL24" s="27"/>
      <c r="CM24" s="27"/>
      <c r="CN24" s="28"/>
      <c r="CO24" s="28"/>
      <c r="CP24" s="28"/>
      <c r="CQ24" s="28"/>
      <c r="CR24" s="28"/>
      <c r="CS24" s="29"/>
      <c r="CT24" s="20"/>
      <c r="CU24" s="30"/>
      <c r="CV24" s="4"/>
      <c r="CW24" s="4"/>
      <c r="CX24" s="4"/>
      <c r="CY24" s="4"/>
      <c r="CZ24" s="29"/>
      <c r="DA24" s="20"/>
      <c r="DB24" s="4"/>
      <c r="DC24" s="4"/>
      <c r="DD24" s="4"/>
      <c r="DE24" s="4"/>
      <c r="DF24" s="4"/>
      <c r="DG24" s="29"/>
      <c r="DH24" s="20"/>
      <c r="DI24" s="4"/>
      <c r="DJ24" s="4"/>
      <c r="DK24" s="4"/>
      <c r="DL24" s="4"/>
      <c r="DM24" s="4"/>
      <c r="DN24" s="29"/>
      <c r="DO24" s="20"/>
      <c r="DP24" s="4"/>
      <c r="DQ24" s="4"/>
      <c r="DR24" s="4"/>
      <c r="DS24" s="4"/>
      <c r="DT24" s="4"/>
      <c r="DU24" s="29"/>
      <c r="DV24" s="20"/>
      <c r="DW24" s="4"/>
      <c r="DX24" s="4"/>
      <c r="DY24" s="4"/>
      <c r="DZ24" s="4"/>
      <c r="EA24" s="4"/>
      <c r="EB24" s="29"/>
      <c r="EC24" s="20"/>
      <c r="ED24" s="4"/>
      <c r="EE24" s="4"/>
      <c r="EF24" s="4"/>
      <c r="EG24" s="4"/>
      <c r="EH24" s="4"/>
      <c r="EI24" s="29"/>
      <c r="EJ24" s="20"/>
      <c r="EK24" s="4"/>
      <c r="EL24" s="4"/>
      <c r="EM24" s="4"/>
      <c r="EN24" s="4"/>
      <c r="EO24" s="4"/>
      <c r="EP24" s="29"/>
      <c r="EQ24" s="20"/>
      <c r="ER24" s="4"/>
      <c r="ES24" s="4"/>
      <c r="ET24" s="4">
        <v>1.0</v>
      </c>
      <c r="EU24" s="4"/>
      <c r="EV24" s="4"/>
      <c r="EW24" s="29"/>
      <c r="EX24" s="20"/>
      <c r="EY24" s="4"/>
      <c r="EZ24" s="4"/>
      <c r="FA24" s="4"/>
      <c r="FB24" s="3"/>
      <c r="FC24" s="3"/>
      <c r="FD24" s="29"/>
      <c r="FE24" s="20"/>
      <c r="FF24" s="3"/>
      <c r="FG24" s="3"/>
      <c r="FH24" s="3"/>
      <c r="FI24" s="3"/>
      <c r="FJ24" s="3"/>
      <c r="FK24" s="29"/>
      <c r="FL24" s="20"/>
      <c r="FM24" s="3"/>
      <c r="FN24" s="3"/>
      <c r="FO24" s="3"/>
      <c r="FP24" s="3"/>
      <c r="FQ24" s="3"/>
      <c r="FR24" s="29"/>
      <c r="FS24" s="20"/>
      <c r="FT24" s="3">
        <v>1.0</v>
      </c>
      <c r="FU24" s="3"/>
      <c r="FV24" s="3"/>
      <c r="FW24" s="3"/>
      <c r="FX24" s="3"/>
      <c r="FY24" s="29"/>
      <c r="FZ24" s="20"/>
      <c r="GA24" s="3"/>
      <c r="GB24" s="3"/>
      <c r="GC24" s="3"/>
      <c r="GD24" s="3"/>
      <c r="GE24" s="3"/>
      <c r="GF24" s="29"/>
      <c r="GG24" s="20"/>
      <c r="GH24" s="3"/>
      <c r="GI24" s="3"/>
      <c r="GJ24" s="3"/>
      <c r="GK24" s="3"/>
      <c r="GL24" s="3"/>
      <c r="GM24" s="29"/>
      <c r="GN24" s="20"/>
      <c r="GO24" s="3"/>
      <c r="GP24" s="3"/>
      <c r="GQ24" s="3"/>
      <c r="GR24" s="3"/>
      <c r="GS24" s="3"/>
      <c r="GT24" s="29"/>
      <c r="GU24" s="20"/>
      <c r="GV24" s="3"/>
      <c r="GW24" s="3"/>
      <c r="GX24" s="3"/>
      <c r="GY24" s="3"/>
      <c r="GZ24" s="3"/>
      <c r="HA24" s="29"/>
      <c r="HB24" s="20"/>
      <c r="HC24" s="3"/>
      <c r="HD24" s="3"/>
      <c r="HE24" s="3"/>
      <c r="HF24" s="3"/>
      <c r="HG24" s="3"/>
      <c r="HH24" s="29"/>
      <c r="HI24" s="20"/>
      <c r="HJ24" s="3"/>
    </row>
    <row r="25" ht="13.5" customHeight="1">
      <c r="A25" s="21"/>
      <c r="B25" s="31" t="s">
        <v>47</v>
      </c>
      <c r="C25" s="33">
        <v>2.0</v>
      </c>
      <c r="D25" s="16">
        <f t="shared" si="7"/>
        <v>1</v>
      </c>
      <c r="E25" s="25"/>
      <c r="F25" s="24"/>
      <c r="G25" s="24"/>
      <c r="H25" s="25"/>
      <c r="I25" s="25"/>
      <c r="J25" s="25"/>
      <c r="K25" s="25"/>
      <c r="L25" s="25"/>
      <c r="M25" s="24"/>
      <c r="N25" s="24"/>
      <c r="O25" s="24"/>
      <c r="P25" s="25"/>
      <c r="Q25" s="25"/>
      <c r="R25" s="25"/>
      <c r="S25" s="25"/>
      <c r="T25" s="24"/>
      <c r="U25" s="24"/>
      <c r="V25" s="25"/>
      <c r="W25" s="25"/>
      <c r="X25" s="25"/>
      <c r="Y25" s="25"/>
      <c r="Z25" s="25"/>
      <c r="AA25" s="24"/>
      <c r="AB25" s="24"/>
      <c r="AC25" s="25"/>
      <c r="AD25" s="25"/>
      <c r="AE25" s="25"/>
      <c r="AF25" s="25"/>
      <c r="AG25" s="25"/>
      <c r="AH25" s="24"/>
      <c r="AI25" s="24"/>
      <c r="AJ25" s="25"/>
      <c r="AK25" s="25"/>
      <c r="AL25" s="25"/>
      <c r="AM25" s="25"/>
      <c r="AN25" s="25"/>
      <c r="AO25" s="24"/>
      <c r="AP25" s="24"/>
      <c r="AQ25" s="52"/>
      <c r="AR25" s="52"/>
      <c r="AS25" s="52"/>
      <c r="AT25" s="52"/>
      <c r="AU25" s="52"/>
      <c r="AV25" s="24"/>
      <c r="AW25" s="24"/>
      <c r="AX25" s="25"/>
      <c r="AY25" s="25"/>
      <c r="AZ25" s="25"/>
      <c r="BA25" s="25"/>
      <c r="BB25" s="28"/>
      <c r="BC25" s="27"/>
      <c r="BD25" s="27"/>
      <c r="BE25" s="28"/>
      <c r="BF25" s="28"/>
      <c r="BG25" s="28"/>
      <c r="BH25" s="28"/>
      <c r="BI25" s="28"/>
      <c r="BJ25" s="27"/>
      <c r="BK25" s="27"/>
      <c r="BL25" s="28"/>
      <c r="BM25" s="28"/>
      <c r="BN25" s="28"/>
      <c r="BO25" s="28"/>
      <c r="BP25" s="28"/>
      <c r="BQ25" s="27"/>
      <c r="BR25" s="27"/>
      <c r="BS25" s="28"/>
      <c r="BT25" s="28"/>
      <c r="BU25" s="28"/>
      <c r="BV25" s="28"/>
      <c r="BW25" s="28"/>
      <c r="BX25" s="27"/>
      <c r="BY25" s="27"/>
      <c r="BZ25" s="28"/>
      <c r="CA25" s="28"/>
      <c r="CB25" s="28"/>
      <c r="CC25" s="28"/>
      <c r="CD25" s="28"/>
      <c r="CE25" s="27"/>
      <c r="CF25" s="27"/>
      <c r="CG25" s="28"/>
      <c r="CH25" s="28"/>
      <c r="CI25" s="28"/>
      <c r="CJ25" s="28"/>
      <c r="CK25" s="28"/>
      <c r="CL25" s="27"/>
      <c r="CM25" s="27"/>
      <c r="CN25" s="28"/>
      <c r="CO25" s="28"/>
      <c r="CP25" s="28"/>
      <c r="CQ25" s="28"/>
      <c r="CR25" s="28"/>
      <c r="CS25" s="29"/>
      <c r="CT25" s="20"/>
      <c r="CU25" s="30"/>
      <c r="CV25" s="4"/>
      <c r="CW25" s="4"/>
      <c r="CX25" s="4"/>
      <c r="CY25" s="4"/>
      <c r="CZ25" s="29"/>
      <c r="DA25" s="20"/>
      <c r="DB25" s="4"/>
      <c r="DC25" s="4"/>
      <c r="DD25" s="4"/>
      <c r="DE25" s="4"/>
      <c r="DF25" s="4"/>
      <c r="DG25" s="29"/>
      <c r="DH25" s="20"/>
      <c r="DI25" s="4"/>
      <c r="DJ25" s="4"/>
      <c r="DK25" s="4"/>
      <c r="DL25" s="4"/>
      <c r="DM25" s="4"/>
      <c r="DN25" s="29"/>
      <c r="DO25" s="20"/>
      <c r="DP25" s="4"/>
      <c r="DQ25" s="4"/>
      <c r="DR25" s="4"/>
      <c r="DS25" s="4"/>
      <c r="DT25" s="4"/>
      <c r="DU25" s="29"/>
      <c r="DV25" s="20"/>
      <c r="DW25" s="4"/>
      <c r="DX25" s="4"/>
      <c r="DY25" s="4"/>
      <c r="DZ25" s="4"/>
      <c r="EA25" s="4"/>
      <c r="EB25" s="29"/>
      <c r="EC25" s="20"/>
      <c r="ED25" s="4"/>
      <c r="EE25" s="4"/>
      <c r="EF25" s="4"/>
      <c r="EG25" s="4"/>
      <c r="EH25" s="4"/>
      <c r="EI25" s="29"/>
      <c r="EJ25" s="20"/>
      <c r="EK25" s="4"/>
      <c r="EL25" s="4"/>
      <c r="EM25" s="4"/>
      <c r="EN25" s="4"/>
      <c r="EO25" s="4"/>
      <c r="EP25" s="29"/>
      <c r="EQ25" s="20"/>
      <c r="ER25" s="4"/>
      <c r="ES25" s="4"/>
      <c r="ET25" s="4"/>
      <c r="EU25" s="4"/>
      <c r="EV25" s="4"/>
      <c r="EW25" s="29"/>
      <c r="EX25" s="20"/>
      <c r="EY25" s="4"/>
      <c r="EZ25" s="4"/>
      <c r="FA25" s="4"/>
      <c r="FB25" s="3"/>
      <c r="FC25" s="3"/>
      <c r="FD25" s="29"/>
      <c r="FE25" s="20"/>
      <c r="FF25" s="3"/>
      <c r="FG25" s="3"/>
      <c r="FH25" s="3"/>
      <c r="FI25" s="3"/>
      <c r="FJ25" s="3"/>
      <c r="FK25" s="29"/>
      <c r="FL25" s="20"/>
      <c r="FM25" s="3"/>
      <c r="FN25" s="3"/>
      <c r="FO25" s="3"/>
      <c r="FP25" s="3"/>
      <c r="FQ25" s="3"/>
      <c r="FR25" s="29"/>
      <c r="FS25" s="20"/>
      <c r="FT25" s="3"/>
      <c r="FU25" s="3"/>
      <c r="FV25" s="3"/>
      <c r="FW25" s="3"/>
      <c r="FX25" s="3"/>
      <c r="FY25" s="29"/>
      <c r="FZ25" s="20"/>
      <c r="GA25" s="3"/>
      <c r="GB25" s="3"/>
      <c r="GC25" s="3"/>
      <c r="GD25" s="3"/>
      <c r="GE25" s="3"/>
      <c r="GF25" s="29"/>
      <c r="GG25" s="20">
        <v>1.0</v>
      </c>
      <c r="GH25" s="3"/>
      <c r="GI25" s="3"/>
      <c r="GJ25" s="3"/>
      <c r="GK25" s="3"/>
      <c r="GL25" s="3"/>
      <c r="GM25" s="29"/>
      <c r="GN25" s="20"/>
      <c r="GO25" s="3"/>
      <c r="GP25" s="3"/>
      <c r="GQ25" s="3"/>
      <c r="GR25" s="3"/>
      <c r="GS25" s="3"/>
      <c r="GT25" s="29"/>
      <c r="GU25" s="20"/>
      <c r="GV25" s="3"/>
      <c r="GW25" s="3"/>
      <c r="GX25" s="3"/>
      <c r="GY25" s="3"/>
      <c r="GZ25" s="3"/>
      <c r="HA25" s="29"/>
      <c r="HB25" s="20"/>
      <c r="HC25" s="3"/>
      <c r="HD25" s="3"/>
      <c r="HE25" s="3"/>
      <c r="HF25" s="3"/>
      <c r="HG25" s="3"/>
      <c r="HH25" s="29"/>
      <c r="HI25" s="20"/>
      <c r="HJ25" s="3"/>
    </row>
    <row r="26" ht="13.5" customHeight="1">
      <c r="A26" s="13" t="s">
        <v>26</v>
      </c>
      <c r="B26" s="51" t="s">
        <v>48</v>
      </c>
      <c r="C26" s="23"/>
      <c r="D26" s="23">
        <f t="shared" ref="D26:D27" si="8">D27</f>
        <v>1</v>
      </c>
      <c r="E26" s="25"/>
      <c r="F26" s="24"/>
      <c r="G26" s="24"/>
      <c r="H26" s="25"/>
      <c r="I26" s="25"/>
      <c r="J26" s="25"/>
      <c r="K26" s="25"/>
      <c r="L26" s="25"/>
      <c r="M26" s="24"/>
      <c r="N26" s="24"/>
      <c r="O26" s="24"/>
      <c r="P26" s="25"/>
      <c r="Q26" s="25"/>
      <c r="R26" s="25"/>
      <c r="S26" s="25"/>
      <c r="T26" s="24"/>
      <c r="U26" s="24"/>
      <c r="V26" s="25"/>
      <c r="W26" s="25"/>
      <c r="X26" s="25"/>
      <c r="Y26" s="25"/>
      <c r="Z26" s="25"/>
      <c r="AA26" s="24"/>
      <c r="AB26" s="24"/>
      <c r="AC26" s="25"/>
      <c r="AD26" s="25"/>
      <c r="AE26" s="25"/>
      <c r="AF26" s="25"/>
      <c r="AG26" s="25"/>
      <c r="AH26" s="24"/>
      <c r="AI26" s="24"/>
      <c r="AJ26" s="25"/>
      <c r="AK26" s="25"/>
      <c r="AL26" s="25"/>
      <c r="AM26" s="25"/>
      <c r="AN26" s="25"/>
      <c r="AO26" s="24"/>
      <c r="AP26" s="24"/>
      <c r="AQ26" s="52"/>
      <c r="AR26" s="52"/>
      <c r="AS26" s="52"/>
      <c r="AT26" s="52"/>
      <c r="AU26" s="52"/>
      <c r="AV26" s="24"/>
      <c r="AW26" s="24"/>
      <c r="AX26" s="25"/>
      <c r="AY26" s="25"/>
      <c r="AZ26" s="25"/>
      <c r="BA26" s="25"/>
      <c r="BB26" s="3"/>
      <c r="BC26" s="19"/>
      <c r="BD26" s="19"/>
      <c r="BE26" s="3"/>
      <c r="BF26" s="3"/>
      <c r="BG26" s="3"/>
      <c r="BH26" s="3"/>
      <c r="BI26" s="3"/>
      <c r="BJ26" s="19"/>
      <c r="BK26" s="19"/>
      <c r="BL26" s="3"/>
      <c r="BM26" s="3"/>
      <c r="BN26" s="3"/>
      <c r="BO26" s="3"/>
      <c r="BP26" s="3"/>
      <c r="BQ26" s="19"/>
      <c r="BR26" s="19"/>
      <c r="BS26" s="3"/>
      <c r="BT26" s="3"/>
      <c r="BU26" s="3"/>
      <c r="BV26" s="3"/>
      <c r="BW26" s="3"/>
      <c r="BX26" s="19"/>
      <c r="BY26" s="19"/>
      <c r="BZ26" s="3"/>
      <c r="CA26" s="3"/>
      <c r="CB26" s="3"/>
      <c r="CC26" s="3"/>
      <c r="CD26" s="3"/>
      <c r="CE26" s="19"/>
      <c r="CF26" s="19"/>
      <c r="CG26" s="3"/>
      <c r="CH26" s="3"/>
      <c r="CI26" s="3"/>
      <c r="CJ26" s="3"/>
      <c r="CK26" s="3"/>
      <c r="CL26" s="19"/>
      <c r="CM26" s="19"/>
      <c r="CN26" s="3"/>
      <c r="CO26" s="3"/>
      <c r="CP26" s="3"/>
      <c r="CQ26" s="3"/>
      <c r="CR26" s="3"/>
      <c r="CS26" s="20"/>
      <c r="CT26" s="20"/>
      <c r="CU26" s="4"/>
      <c r="CV26" s="4"/>
      <c r="CW26" s="4"/>
      <c r="CX26" s="4"/>
      <c r="CY26" s="4"/>
      <c r="CZ26" s="20"/>
      <c r="DA26" s="20"/>
      <c r="DB26" s="4"/>
      <c r="DC26" s="4"/>
      <c r="DD26" s="4"/>
      <c r="DE26" s="4"/>
      <c r="DF26" s="4"/>
      <c r="DG26" s="20"/>
      <c r="DH26" s="20"/>
      <c r="DI26" s="4"/>
      <c r="DJ26" s="4"/>
      <c r="DK26" s="4"/>
      <c r="DL26" s="4"/>
      <c r="DM26" s="4"/>
      <c r="DN26" s="20"/>
      <c r="DO26" s="20"/>
      <c r="DP26" s="4"/>
      <c r="DQ26" s="4"/>
      <c r="DR26" s="4"/>
      <c r="DS26" s="4"/>
      <c r="DT26" s="4"/>
      <c r="DU26" s="20"/>
      <c r="DV26" s="20"/>
      <c r="DW26" s="4"/>
      <c r="DX26" s="4"/>
      <c r="DY26" s="4"/>
      <c r="DZ26" s="4"/>
      <c r="EA26" s="4"/>
      <c r="EB26" s="20"/>
      <c r="EC26" s="20"/>
      <c r="ED26" s="4"/>
      <c r="EE26" s="4"/>
      <c r="EF26" s="4"/>
      <c r="EG26" s="4"/>
      <c r="EH26" s="4"/>
      <c r="EI26" s="20"/>
      <c r="EJ26" s="20"/>
      <c r="EK26" s="4"/>
      <c r="EL26" s="4"/>
      <c r="EM26" s="4"/>
      <c r="EN26" s="4"/>
      <c r="EO26" s="4"/>
      <c r="EP26" s="20"/>
      <c r="EQ26" s="20"/>
      <c r="ER26" s="4"/>
      <c r="ES26" s="4"/>
      <c r="ET26" s="4"/>
      <c r="EU26" s="4"/>
      <c r="EV26" s="4"/>
      <c r="EW26" s="20"/>
      <c r="EX26" s="20"/>
      <c r="EY26" s="4"/>
      <c r="EZ26" s="4"/>
      <c r="FA26" s="4"/>
      <c r="FB26" s="3"/>
      <c r="FC26" s="3"/>
      <c r="FD26" s="20"/>
      <c r="FE26" s="20"/>
      <c r="FF26" s="3"/>
      <c r="FG26" s="3"/>
      <c r="FH26" s="3"/>
      <c r="FI26" s="3"/>
      <c r="FJ26" s="3"/>
      <c r="FK26" s="20"/>
      <c r="FL26" s="20"/>
      <c r="FM26" s="3"/>
      <c r="FN26" s="3"/>
      <c r="FO26" s="3"/>
      <c r="FP26" s="3"/>
      <c r="FQ26" s="3"/>
      <c r="FR26" s="20"/>
      <c r="FS26" s="20"/>
      <c r="FT26" s="3"/>
      <c r="FU26" s="3"/>
      <c r="FV26" s="3"/>
      <c r="FW26" s="3"/>
      <c r="FX26" s="3"/>
      <c r="FY26" s="20"/>
      <c r="FZ26" s="20"/>
      <c r="GA26" s="3"/>
      <c r="GB26" s="3"/>
      <c r="GC26" s="3"/>
      <c r="GD26" s="3"/>
      <c r="GE26" s="3"/>
      <c r="GF26" s="20"/>
      <c r="GG26" s="20"/>
      <c r="GH26" s="3"/>
      <c r="GI26" s="3"/>
      <c r="GJ26" s="3"/>
      <c r="GK26" s="3"/>
      <c r="GL26" s="3"/>
      <c r="GM26" s="20"/>
      <c r="GN26" s="20"/>
      <c r="GO26" s="3"/>
      <c r="GP26" s="3"/>
      <c r="GQ26" s="3"/>
      <c r="GR26" s="3"/>
      <c r="GS26" s="3"/>
      <c r="GT26" s="20"/>
      <c r="GU26" s="20"/>
      <c r="GV26" s="3"/>
      <c r="GW26" s="3"/>
      <c r="GX26" s="3"/>
      <c r="GY26" s="3"/>
      <c r="GZ26" s="3"/>
      <c r="HA26" s="20"/>
      <c r="HB26" s="20"/>
      <c r="HC26" s="3"/>
      <c r="HD26" s="3"/>
      <c r="HE26" s="3"/>
      <c r="HF26" s="3"/>
      <c r="HG26" s="3"/>
      <c r="HH26" s="20"/>
      <c r="HI26" s="20"/>
      <c r="HJ26" s="3"/>
    </row>
    <row r="27" ht="13.5" customHeight="1">
      <c r="A27" s="21"/>
      <c r="B27" s="54" t="s">
        <v>28</v>
      </c>
      <c r="C27" s="16">
        <f>SUM(C28)</f>
        <v>60</v>
      </c>
      <c r="D27" s="16">
        <f t="shared" si="8"/>
        <v>1</v>
      </c>
      <c r="E27" s="25"/>
      <c r="F27" s="24"/>
      <c r="G27" s="24"/>
      <c r="H27" s="25"/>
      <c r="I27" s="25"/>
      <c r="J27" s="25"/>
      <c r="K27" s="25"/>
      <c r="L27" s="25"/>
      <c r="M27" s="24"/>
      <c r="N27" s="24"/>
      <c r="O27" s="24"/>
      <c r="P27" s="25"/>
      <c r="Q27" s="25"/>
      <c r="R27" s="25"/>
      <c r="S27" s="25"/>
      <c r="T27" s="24"/>
      <c r="U27" s="24"/>
      <c r="V27" s="25"/>
      <c r="W27" s="25"/>
      <c r="X27" s="25"/>
      <c r="Y27" s="25"/>
      <c r="Z27" s="25"/>
      <c r="AA27" s="24"/>
      <c r="AB27" s="24"/>
      <c r="AC27" s="25"/>
      <c r="AD27" s="25"/>
      <c r="AE27" s="25"/>
      <c r="AF27" s="25"/>
      <c r="AG27" s="25"/>
      <c r="AH27" s="24"/>
      <c r="AI27" s="24"/>
      <c r="AJ27" s="25"/>
      <c r="AK27" s="25"/>
      <c r="AL27" s="25"/>
      <c r="AM27" s="25"/>
      <c r="AN27" s="25"/>
      <c r="AO27" s="24"/>
      <c r="AP27" s="24"/>
      <c r="AQ27" s="52"/>
      <c r="AR27" s="52"/>
      <c r="AS27" s="52"/>
      <c r="AT27" s="52"/>
      <c r="AU27" s="52"/>
      <c r="AV27" s="24"/>
      <c r="AW27" s="24"/>
      <c r="AX27" s="25"/>
      <c r="AY27" s="25"/>
      <c r="AZ27" s="25"/>
      <c r="BA27" s="25"/>
      <c r="BB27" s="3"/>
      <c r="BC27" s="19"/>
      <c r="BD27" s="19"/>
      <c r="BE27" s="3"/>
      <c r="BF27" s="3"/>
      <c r="BG27" s="3"/>
      <c r="BH27" s="3"/>
      <c r="BI27" s="3"/>
      <c r="BJ27" s="19"/>
      <c r="BK27" s="19"/>
      <c r="BL27" s="3"/>
      <c r="BM27" s="3"/>
      <c r="BN27" s="3"/>
      <c r="BO27" s="3"/>
      <c r="BP27" s="3"/>
      <c r="BQ27" s="19"/>
      <c r="BR27" s="19"/>
      <c r="BS27" s="3"/>
      <c r="BT27" s="3"/>
      <c r="BU27" s="3"/>
      <c r="BV27" s="3"/>
      <c r="BW27" s="3"/>
      <c r="BX27" s="19"/>
      <c r="BY27" s="19"/>
      <c r="BZ27" s="3"/>
      <c r="CA27" s="3"/>
      <c r="CB27" s="3"/>
      <c r="CC27" s="3"/>
      <c r="CD27" s="3"/>
      <c r="CE27" s="19"/>
      <c r="CF27" s="19"/>
      <c r="CG27" s="3"/>
      <c r="CH27" s="3"/>
      <c r="CI27" s="3"/>
      <c r="CJ27" s="3"/>
      <c r="CK27" s="3"/>
      <c r="CL27" s="19"/>
      <c r="CM27" s="19"/>
      <c r="CN27" s="3"/>
      <c r="CO27" s="3"/>
      <c r="CP27" s="3"/>
      <c r="CQ27" s="3"/>
      <c r="CR27" s="3"/>
      <c r="CS27" s="20"/>
      <c r="CT27" s="20"/>
      <c r="CU27" s="4"/>
      <c r="CV27" s="4"/>
      <c r="CW27" s="4"/>
      <c r="CX27" s="4"/>
      <c r="CY27" s="4"/>
      <c r="CZ27" s="20"/>
      <c r="DA27" s="20"/>
      <c r="DB27" s="4"/>
      <c r="DC27" s="4"/>
      <c r="DD27" s="4"/>
      <c r="DE27" s="4"/>
      <c r="DF27" s="4"/>
      <c r="DG27" s="20"/>
      <c r="DH27" s="20"/>
      <c r="DI27" s="4"/>
      <c r="DJ27" s="4"/>
      <c r="DK27" s="4"/>
      <c r="DL27" s="4"/>
      <c r="DM27" s="4"/>
      <c r="DN27" s="20"/>
      <c r="DO27" s="20"/>
      <c r="DP27" s="4"/>
      <c r="DQ27" s="4"/>
      <c r="DR27" s="4"/>
      <c r="DS27" s="4"/>
      <c r="DT27" s="4"/>
      <c r="DU27" s="20"/>
      <c r="DV27" s="20"/>
      <c r="DW27" s="4"/>
      <c r="DX27" s="4"/>
      <c r="DY27" s="4"/>
      <c r="DZ27" s="4"/>
      <c r="EA27" s="4"/>
      <c r="EB27" s="20"/>
      <c r="EC27" s="20"/>
      <c r="ED27" s="4"/>
      <c r="EE27" s="4"/>
      <c r="EF27" s="4"/>
      <c r="EG27" s="4"/>
      <c r="EH27" s="4"/>
      <c r="EI27" s="20"/>
      <c r="EJ27" s="20"/>
      <c r="EK27" s="4"/>
      <c r="EL27" s="4"/>
      <c r="EM27" s="4"/>
      <c r="EN27" s="4"/>
      <c r="EO27" s="4"/>
      <c r="EP27" s="20"/>
      <c r="EQ27" s="20"/>
      <c r="ER27" s="4"/>
      <c r="ES27" s="4"/>
      <c r="ET27" s="4"/>
      <c r="EU27" s="4"/>
      <c r="EV27" s="4"/>
      <c r="EW27" s="20"/>
      <c r="EX27" s="20"/>
      <c r="EY27" s="4"/>
      <c r="EZ27" s="4"/>
      <c r="FA27" s="4"/>
      <c r="FB27" s="3"/>
      <c r="FC27" s="3"/>
      <c r="FD27" s="20"/>
      <c r="FE27" s="20"/>
      <c r="FF27" s="3"/>
      <c r="FG27" s="3"/>
      <c r="FH27" s="3"/>
      <c r="FI27" s="3"/>
      <c r="FJ27" s="3"/>
      <c r="FK27" s="20"/>
      <c r="FL27" s="20"/>
      <c r="FM27" s="3"/>
      <c r="FN27" s="3"/>
      <c r="FO27" s="3"/>
      <c r="FP27" s="3"/>
      <c r="FQ27" s="3"/>
      <c r="FR27" s="20"/>
      <c r="FS27" s="20"/>
      <c r="FT27" s="3"/>
      <c r="FU27" s="3"/>
      <c r="FV27" s="3"/>
      <c r="FW27" s="3"/>
      <c r="FX27" s="3"/>
      <c r="FY27" s="20"/>
      <c r="FZ27" s="20"/>
      <c r="GA27" s="3"/>
      <c r="GB27" s="3"/>
      <c r="GC27" s="3"/>
      <c r="GD27" s="3"/>
      <c r="GE27" s="3"/>
      <c r="GF27" s="20"/>
      <c r="GG27" s="20"/>
      <c r="GH27" s="3"/>
      <c r="GI27" s="3"/>
      <c r="GJ27" s="3"/>
      <c r="GK27" s="3"/>
      <c r="GL27" s="3"/>
      <c r="GM27" s="20"/>
      <c r="GN27" s="20"/>
      <c r="GO27" s="3"/>
      <c r="GP27" s="3"/>
      <c r="GQ27" s="3"/>
      <c r="GR27" s="3"/>
      <c r="GS27" s="3"/>
      <c r="GT27" s="20"/>
      <c r="GU27" s="20"/>
      <c r="GV27" s="3"/>
      <c r="GW27" s="3"/>
      <c r="GX27" s="3"/>
      <c r="GY27" s="3"/>
      <c r="GZ27" s="3"/>
      <c r="HA27" s="20"/>
      <c r="HB27" s="20"/>
      <c r="HC27" s="3"/>
      <c r="HD27" s="3"/>
      <c r="HE27" s="3"/>
      <c r="HF27" s="3"/>
      <c r="HG27" s="3"/>
      <c r="HH27" s="20"/>
      <c r="HI27" s="20"/>
      <c r="HJ27" s="3"/>
    </row>
    <row r="28" ht="13.5" customHeight="1">
      <c r="A28" s="21"/>
      <c r="B28" s="35" t="s">
        <v>28</v>
      </c>
      <c r="C28" s="33">
        <v>60.0</v>
      </c>
      <c r="D28" s="16">
        <f>SUM(E28:HJ28)</f>
        <v>1</v>
      </c>
      <c r="E28" s="25"/>
      <c r="F28" s="24"/>
      <c r="G28" s="24"/>
      <c r="H28" s="25"/>
      <c r="I28" s="25"/>
      <c r="J28" s="25"/>
      <c r="K28" s="25"/>
      <c r="L28" s="25"/>
      <c r="M28" s="24"/>
      <c r="N28" s="24"/>
      <c r="O28" s="24"/>
      <c r="P28" s="25"/>
      <c r="Q28" s="25"/>
      <c r="R28" s="25"/>
      <c r="S28" s="25"/>
      <c r="T28" s="24"/>
      <c r="U28" s="24"/>
      <c r="V28" s="25"/>
      <c r="W28" s="25"/>
      <c r="X28" s="25"/>
      <c r="Y28" s="25"/>
      <c r="Z28" s="25"/>
      <c r="AA28" s="24"/>
      <c r="AB28" s="24"/>
      <c r="AC28" s="25"/>
      <c r="AD28" s="25"/>
      <c r="AE28" s="25"/>
      <c r="AF28" s="25"/>
      <c r="AG28" s="25"/>
      <c r="AH28" s="24"/>
      <c r="AI28" s="24"/>
      <c r="AJ28" s="25"/>
      <c r="AK28" s="25"/>
      <c r="AL28" s="25"/>
      <c r="AM28" s="25"/>
      <c r="AN28" s="25"/>
      <c r="AO28" s="24"/>
      <c r="AP28" s="24"/>
      <c r="AQ28" s="52"/>
      <c r="AR28" s="52"/>
      <c r="AS28" s="52"/>
      <c r="AT28" s="52"/>
      <c r="AU28" s="52"/>
      <c r="AV28" s="24"/>
      <c r="AW28" s="24"/>
      <c r="AX28" s="25"/>
      <c r="AY28" s="25"/>
      <c r="AZ28" s="25"/>
      <c r="BA28" s="25"/>
      <c r="BB28" s="3"/>
      <c r="BC28" s="19"/>
      <c r="BD28" s="19"/>
      <c r="BE28" s="3"/>
      <c r="BF28" s="3"/>
      <c r="BG28" s="3"/>
      <c r="BH28" s="3"/>
      <c r="BI28" s="3"/>
      <c r="BJ28" s="19"/>
      <c r="BK28" s="19"/>
      <c r="BL28" s="3"/>
      <c r="BM28" s="3"/>
      <c r="BN28" s="3"/>
      <c r="BO28" s="3"/>
      <c r="BP28" s="3"/>
      <c r="BQ28" s="19"/>
      <c r="BR28" s="19"/>
      <c r="BS28" s="3"/>
      <c r="BT28" s="3"/>
      <c r="BU28" s="3"/>
      <c r="BV28" s="3"/>
      <c r="BW28" s="3"/>
      <c r="BX28" s="19"/>
      <c r="BY28" s="19"/>
      <c r="BZ28" s="3"/>
      <c r="CA28" s="3"/>
      <c r="CB28" s="3"/>
      <c r="CC28" s="3"/>
      <c r="CD28" s="3"/>
      <c r="CE28" s="19"/>
      <c r="CF28" s="19"/>
      <c r="CG28" s="3"/>
      <c r="CH28" s="3"/>
      <c r="CI28" s="3"/>
      <c r="CJ28" s="3"/>
      <c r="CK28" s="3"/>
      <c r="CL28" s="19"/>
      <c r="CM28" s="19"/>
      <c r="CN28" s="3"/>
      <c r="CO28" s="3"/>
      <c r="CP28" s="3"/>
      <c r="CQ28" s="3"/>
      <c r="CR28" s="3"/>
      <c r="CS28" s="20"/>
      <c r="CT28" s="20"/>
      <c r="CU28" s="4"/>
      <c r="CV28" s="4"/>
      <c r="CW28" s="4"/>
      <c r="CX28" s="4"/>
      <c r="CY28" s="4"/>
      <c r="CZ28" s="20"/>
      <c r="DA28" s="20"/>
      <c r="DB28" s="4"/>
      <c r="DC28" s="4"/>
      <c r="DD28" s="4"/>
      <c r="DE28" s="4"/>
      <c r="DF28" s="4"/>
      <c r="DG28" s="20"/>
      <c r="DH28" s="20"/>
      <c r="DI28" s="4"/>
      <c r="DJ28" s="4"/>
      <c r="DK28" s="4"/>
      <c r="DL28" s="4"/>
      <c r="DM28" s="4"/>
      <c r="DN28" s="20"/>
      <c r="DO28" s="20"/>
      <c r="DP28" s="4"/>
      <c r="DQ28" s="4"/>
      <c r="DR28" s="4"/>
      <c r="DS28" s="4"/>
      <c r="DT28" s="4"/>
      <c r="DU28" s="20"/>
      <c r="DV28" s="20"/>
      <c r="DW28" s="4"/>
      <c r="DX28" s="4"/>
      <c r="DY28" s="4"/>
      <c r="DZ28" s="4"/>
      <c r="EA28" s="4"/>
      <c r="EB28" s="20"/>
      <c r="EC28" s="20"/>
      <c r="ED28" s="4"/>
      <c r="EE28" s="4"/>
      <c r="EF28" s="4"/>
      <c r="EG28" s="4"/>
      <c r="EH28" s="4"/>
      <c r="EI28" s="20"/>
      <c r="EJ28" s="20"/>
      <c r="EK28" s="4"/>
      <c r="EL28" s="4"/>
      <c r="EM28" s="4"/>
      <c r="EN28" s="4"/>
      <c r="EO28" s="4"/>
      <c r="EP28" s="20"/>
      <c r="EQ28" s="20"/>
      <c r="ER28" s="4"/>
      <c r="ES28" s="4"/>
      <c r="ET28" s="4"/>
      <c r="EU28" s="4"/>
      <c r="EV28" s="4"/>
      <c r="EW28" s="20"/>
      <c r="EX28" s="20"/>
      <c r="EY28" s="4"/>
      <c r="EZ28" s="4"/>
      <c r="FA28" s="4"/>
      <c r="FB28" s="4"/>
      <c r="FC28" s="3"/>
      <c r="FD28" s="20"/>
      <c r="FE28" s="20"/>
      <c r="FF28" s="3"/>
      <c r="FG28" s="3"/>
      <c r="FH28" s="3"/>
      <c r="FI28" s="3"/>
      <c r="FJ28" s="3"/>
      <c r="FK28" s="20"/>
      <c r="FL28" s="20"/>
      <c r="FM28" s="3"/>
      <c r="FN28" s="3"/>
      <c r="FO28" s="3"/>
      <c r="FP28" s="3"/>
      <c r="FQ28" s="3"/>
      <c r="FR28" s="20"/>
      <c r="FS28" s="20"/>
      <c r="FT28" s="3"/>
      <c r="FU28" s="3"/>
      <c r="FV28" s="3"/>
      <c r="FW28" s="3"/>
      <c r="FX28" s="3"/>
      <c r="FY28" s="20"/>
      <c r="FZ28" s="20"/>
      <c r="GA28" s="3"/>
      <c r="GB28" s="3"/>
      <c r="GC28" s="3"/>
      <c r="GD28" s="3"/>
      <c r="GE28" s="3"/>
      <c r="GF28" s="20"/>
      <c r="GG28" s="20"/>
      <c r="GH28" s="3">
        <v>1.0</v>
      </c>
      <c r="GI28" s="3"/>
      <c r="GJ28" s="3"/>
      <c r="GK28" s="3"/>
      <c r="GL28" s="3"/>
      <c r="GM28" s="20"/>
      <c r="GN28" s="20"/>
      <c r="GO28" s="3"/>
      <c r="GP28" s="3"/>
      <c r="GQ28" s="3"/>
      <c r="GR28" s="3"/>
      <c r="GS28" s="3"/>
      <c r="GT28" s="20"/>
      <c r="GU28" s="20"/>
      <c r="GV28" s="3"/>
      <c r="GW28" s="3"/>
      <c r="GX28" s="3"/>
      <c r="GY28" s="3"/>
      <c r="GZ28" s="3"/>
      <c r="HA28" s="20"/>
      <c r="HB28" s="20"/>
      <c r="HC28" s="3"/>
      <c r="HD28" s="3"/>
      <c r="HE28" s="3"/>
      <c r="HF28" s="3"/>
      <c r="HG28" s="3"/>
      <c r="HH28" s="20"/>
      <c r="HI28" s="20"/>
      <c r="HJ28" s="3"/>
    </row>
    <row r="29" ht="13.5" customHeight="1">
      <c r="A29" s="1"/>
      <c r="B29" s="4" t="s">
        <v>29</v>
      </c>
      <c r="C29" s="3">
        <f>sum(C27+C21+C17+C13+C9+C6)</f>
        <v>117</v>
      </c>
      <c r="D29" s="3">
        <f>D5+D12+D26</f>
        <v>100</v>
      </c>
      <c r="E29" s="44">
        <f t="shared" ref="E29:HJ29" si="9">SUM(E4:E28)</f>
        <v>1</v>
      </c>
      <c r="F29" s="44">
        <f t="shared" si="9"/>
        <v>0</v>
      </c>
      <c r="G29" s="44">
        <f t="shared" si="9"/>
        <v>0</v>
      </c>
      <c r="H29" s="44">
        <f t="shared" si="9"/>
        <v>0</v>
      </c>
      <c r="I29" s="44">
        <f t="shared" si="9"/>
        <v>0</v>
      </c>
      <c r="J29" s="44">
        <f t="shared" si="9"/>
        <v>2</v>
      </c>
      <c r="K29" s="44">
        <f t="shared" si="9"/>
        <v>1</v>
      </c>
      <c r="L29" s="44">
        <f t="shared" si="9"/>
        <v>3</v>
      </c>
      <c r="M29" s="44">
        <f t="shared" si="9"/>
        <v>0</v>
      </c>
      <c r="N29" s="44">
        <f t="shared" si="9"/>
        <v>0</v>
      </c>
      <c r="O29" s="44">
        <f t="shared" si="9"/>
        <v>0</v>
      </c>
      <c r="P29" s="44">
        <f t="shared" si="9"/>
        <v>0</v>
      </c>
      <c r="Q29" s="44">
        <f t="shared" si="9"/>
        <v>1</v>
      </c>
      <c r="R29" s="44">
        <f t="shared" si="9"/>
        <v>1</v>
      </c>
      <c r="S29" s="44">
        <f t="shared" si="9"/>
        <v>3</v>
      </c>
      <c r="T29" s="44">
        <f t="shared" si="9"/>
        <v>0</v>
      </c>
      <c r="U29" s="44">
        <f t="shared" si="9"/>
        <v>0</v>
      </c>
      <c r="V29" s="44">
        <f t="shared" si="9"/>
        <v>3</v>
      </c>
      <c r="W29" s="44">
        <f t="shared" si="9"/>
        <v>3</v>
      </c>
      <c r="X29" s="44">
        <f t="shared" si="9"/>
        <v>3</v>
      </c>
      <c r="Y29" s="44">
        <f t="shared" si="9"/>
        <v>3</v>
      </c>
      <c r="Z29" s="44">
        <f t="shared" si="9"/>
        <v>3</v>
      </c>
      <c r="AA29" s="44">
        <f t="shared" si="9"/>
        <v>0</v>
      </c>
      <c r="AB29" s="44">
        <f t="shared" si="9"/>
        <v>0</v>
      </c>
      <c r="AC29" s="44">
        <f t="shared" si="9"/>
        <v>3</v>
      </c>
      <c r="AD29" s="44">
        <f t="shared" si="9"/>
        <v>3</v>
      </c>
      <c r="AE29" s="44">
        <f t="shared" si="9"/>
        <v>3</v>
      </c>
      <c r="AF29" s="44">
        <f t="shared" si="9"/>
        <v>3</v>
      </c>
      <c r="AG29" s="44">
        <f t="shared" si="9"/>
        <v>3</v>
      </c>
      <c r="AH29" s="44">
        <f t="shared" si="9"/>
        <v>0</v>
      </c>
      <c r="AI29" s="44">
        <f t="shared" si="9"/>
        <v>0</v>
      </c>
      <c r="AJ29" s="44">
        <f t="shared" si="9"/>
        <v>1</v>
      </c>
      <c r="AK29" s="44">
        <f t="shared" si="9"/>
        <v>1</v>
      </c>
      <c r="AL29" s="44">
        <f t="shared" si="9"/>
        <v>1</v>
      </c>
      <c r="AM29" s="44">
        <f t="shared" si="9"/>
        <v>1</v>
      </c>
      <c r="AN29" s="44">
        <f t="shared" si="9"/>
        <v>1</v>
      </c>
      <c r="AO29" s="44">
        <f t="shared" si="9"/>
        <v>0</v>
      </c>
      <c r="AP29" s="44">
        <f t="shared" si="9"/>
        <v>0</v>
      </c>
      <c r="AQ29" s="44">
        <f t="shared" si="9"/>
        <v>0</v>
      </c>
      <c r="AR29" s="44">
        <f t="shared" si="9"/>
        <v>0</v>
      </c>
      <c r="AS29" s="44">
        <f t="shared" si="9"/>
        <v>0</v>
      </c>
      <c r="AT29" s="44">
        <f t="shared" si="9"/>
        <v>0</v>
      </c>
      <c r="AU29" s="44">
        <f t="shared" si="9"/>
        <v>0</v>
      </c>
      <c r="AV29" s="44">
        <f t="shared" si="9"/>
        <v>0</v>
      </c>
      <c r="AW29" s="44">
        <f t="shared" si="9"/>
        <v>0</v>
      </c>
      <c r="AX29" s="44">
        <f t="shared" si="9"/>
        <v>1</v>
      </c>
      <c r="AY29" s="44">
        <f t="shared" si="9"/>
        <v>1</v>
      </c>
      <c r="AZ29" s="44">
        <f t="shared" si="9"/>
        <v>1</v>
      </c>
      <c r="BA29" s="44">
        <f t="shared" si="9"/>
        <v>1</v>
      </c>
      <c r="BB29" s="44">
        <f t="shared" si="9"/>
        <v>1</v>
      </c>
      <c r="BC29" s="44">
        <f t="shared" si="9"/>
        <v>0</v>
      </c>
      <c r="BD29" s="44">
        <f t="shared" si="9"/>
        <v>0</v>
      </c>
      <c r="BE29" s="44">
        <f t="shared" si="9"/>
        <v>1</v>
      </c>
      <c r="BF29" s="44">
        <f t="shared" si="9"/>
        <v>1</v>
      </c>
      <c r="BG29" s="44">
        <f t="shared" si="9"/>
        <v>1</v>
      </c>
      <c r="BH29" s="44">
        <f t="shared" si="9"/>
        <v>1</v>
      </c>
      <c r="BI29" s="44">
        <f t="shared" si="9"/>
        <v>1</v>
      </c>
      <c r="BJ29" s="44">
        <f t="shared" si="9"/>
        <v>0</v>
      </c>
      <c r="BK29" s="44">
        <f t="shared" si="9"/>
        <v>0</v>
      </c>
      <c r="BL29" s="44">
        <f t="shared" si="9"/>
        <v>2</v>
      </c>
      <c r="BM29" s="44">
        <f t="shared" si="9"/>
        <v>1</v>
      </c>
      <c r="BN29" s="44">
        <f t="shared" si="9"/>
        <v>1</v>
      </c>
      <c r="BO29" s="44">
        <f t="shared" si="9"/>
        <v>0</v>
      </c>
      <c r="BP29" s="44">
        <f t="shared" si="9"/>
        <v>0</v>
      </c>
      <c r="BQ29" s="44">
        <f t="shared" si="9"/>
        <v>0</v>
      </c>
      <c r="BR29" s="44">
        <f t="shared" si="9"/>
        <v>0</v>
      </c>
      <c r="BS29" s="44">
        <f t="shared" si="9"/>
        <v>1</v>
      </c>
      <c r="BT29" s="44">
        <f t="shared" si="9"/>
        <v>1</v>
      </c>
      <c r="BU29" s="44">
        <f t="shared" si="9"/>
        <v>1</v>
      </c>
      <c r="BV29" s="44">
        <f t="shared" si="9"/>
        <v>0</v>
      </c>
      <c r="BW29" s="44">
        <f t="shared" si="9"/>
        <v>0</v>
      </c>
      <c r="BX29" s="44">
        <f t="shared" si="9"/>
        <v>0</v>
      </c>
      <c r="BY29" s="44">
        <f t="shared" si="9"/>
        <v>0</v>
      </c>
      <c r="BZ29" s="44">
        <f t="shared" si="9"/>
        <v>2</v>
      </c>
      <c r="CA29" s="44">
        <f t="shared" si="9"/>
        <v>2</v>
      </c>
      <c r="CB29" s="44">
        <f t="shared" si="9"/>
        <v>1</v>
      </c>
      <c r="CC29" s="44">
        <f t="shared" si="9"/>
        <v>1</v>
      </c>
      <c r="CD29" s="44">
        <f t="shared" si="9"/>
        <v>1</v>
      </c>
      <c r="CE29" s="44">
        <f t="shared" si="9"/>
        <v>0</v>
      </c>
      <c r="CF29" s="44">
        <f t="shared" si="9"/>
        <v>0</v>
      </c>
      <c r="CG29" s="44">
        <f t="shared" si="9"/>
        <v>1</v>
      </c>
      <c r="CH29" s="44">
        <f t="shared" si="9"/>
        <v>0</v>
      </c>
      <c r="CI29" s="44">
        <f t="shared" si="9"/>
        <v>0</v>
      </c>
      <c r="CJ29" s="44">
        <f t="shared" si="9"/>
        <v>0</v>
      </c>
      <c r="CK29" s="44">
        <f t="shared" si="9"/>
        <v>0</v>
      </c>
      <c r="CL29" s="44">
        <f t="shared" si="9"/>
        <v>0</v>
      </c>
      <c r="CM29" s="44">
        <f t="shared" si="9"/>
        <v>0</v>
      </c>
      <c r="CN29" s="44">
        <f t="shared" si="9"/>
        <v>1</v>
      </c>
      <c r="CO29" s="44">
        <f t="shared" si="9"/>
        <v>1</v>
      </c>
      <c r="CP29" s="44">
        <f t="shared" si="9"/>
        <v>0</v>
      </c>
      <c r="CQ29" s="44">
        <f t="shared" si="9"/>
        <v>0</v>
      </c>
      <c r="CR29" s="44">
        <f t="shared" si="9"/>
        <v>0</v>
      </c>
      <c r="CS29" s="44">
        <f t="shared" si="9"/>
        <v>0</v>
      </c>
      <c r="CT29" s="44">
        <f t="shared" si="9"/>
        <v>0</v>
      </c>
      <c r="CU29" s="44">
        <f t="shared" si="9"/>
        <v>0</v>
      </c>
      <c r="CV29" s="44">
        <f t="shared" si="9"/>
        <v>0</v>
      </c>
      <c r="CW29" s="44">
        <f t="shared" si="9"/>
        <v>0</v>
      </c>
      <c r="CX29" s="44">
        <f t="shared" si="9"/>
        <v>0</v>
      </c>
      <c r="CY29" s="44">
        <f t="shared" si="9"/>
        <v>5</v>
      </c>
      <c r="CZ29" s="44">
        <f t="shared" si="9"/>
        <v>0</v>
      </c>
      <c r="DA29" s="44">
        <f t="shared" si="9"/>
        <v>0</v>
      </c>
      <c r="DB29" s="44">
        <f t="shared" si="9"/>
        <v>0</v>
      </c>
      <c r="DC29" s="44">
        <f t="shared" si="9"/>
        <v>0</v>
      </c>
      <c r="DD29" s="44">
        <f t="shared" si="9"/>
        <v>0</v>
      </c>
      <c r="DE29" s="44">
        <f t="shared" si="9"/>
        <v>0</v>
      </c>
      <c r="DF29" s="44">
        <f t="shared" si="9"/>
        <v>0</v>
      </c>
      <c r="DG29" s="44">
        <f t="shared" si="9"/>
        <v>0</v>
      </c>
      <c r="DH29" s="44">
        <f t="shared" si="9"/>
        <v>0</v>
      </c>
      <c r="DI29" s="44">
        <f t="shared" si="9"/>
        <v>1</v>
      </c>
      <c r="DJ29" s="44">
        <f t="shared" si="9"/>
        <v>1</v>
      </c>
      <c r="DK29" s="44">
        <f t="shared" si="9"/>
        <v>1</v>
      </c>
      <c r="DL29" s="44">
        <f t="shared" si="9"/>
        <v>1</v>
      </c>
      <c r="DM29" s="44">
        <f t="shared" si="9"/>
        <v>1</v>
      </c>
      <c r="DN29" s="44">
        <f t="shared" si="9"/>
        <v>0</v>
      </c>
      <c r="DO29" s="44">
        <f t="shared" si="9"/>
        <v>0</v>
      </c>
      <c r="DP29" s="44">
        <f t="shared" si="9"/>
        <v>2</v>
      </c>
      <c r="DQ29" s="44">
        <f t="shared" si="9"/>
        <v>2</v>
      </c>
      <c r="DR29" s="44">
        <f t="shared" si="9"/>
        <v>1</v>
      </c>
      <c r="DS29" s="44">
        <f t="shared" si="9"/>
        <v>0</v>
      </c>
      <c r="DT29" s="44">
        <f t="shared" si="9"/>
        <v>0</v>
      </c>
      <c r="DU29" s="44">
        <f t="shared" si="9"/>
        <v>0</v>
      </c>
      <c r="DV29" s="44">
        <f t="shared" si="9"/>
        <v>0</v>
      </c>
      <c r="DW29" s="44">
        <f t="shared" si="9"/>
        <v>0</v>
      </c>
      <c r="DX29" s="44">
        <f t="shared" si="9"/>
        <v>1</v>
      </c>
      <c r="DY29" s="44">
        <f t="shared" si="9"/>
        <v>0</v>
      </c>
      <c r="DZ29" s="44">
        <f t="shared" si="9"/>
        <v>0</v>
      </c>
      <c r="EA29" s="44">
        <f t="shared" si="9"/>
        <v>0</v>
      </c>
      <c r="EB29" s="44">
        <f t="shared" si="9"/>
        <v>0</v>
      </c>
      <c r="EC29" s="44">
        <f t="shared" si="9"/>
        <v>0</v>
      </c>
      <c r="ED29" s="44">
        <f t="shared" si="9"/>
        <v>1</v>
      </c>
      <c r="EE29" s="44">
        <f t="shared" si="9"/>
        <v>0</v>
      </c>
      <c r="EF29" s="44">
        <f t="shared" si="9"/>
        <v>0</v>
      </c>
      <c r="EG29" s="44">
        <f t="shared" si="9"/>
        <v>1</v>
      </c>
      <c r="EH29" s="44">
        <f t="shared" si="9"/>
        <v>0</v>
      </c>
      <c r="EI29" s="44">
        <f t="shared" si="9"/>
        <v>0</v>
      </c>
      <c r="EJ29" s="44">
        <f t="shared" si="9"/>
        <v>0</v>
      </c>
      <c r="EK29" s="44">
        <f t="shared" si="9"/>
        <v>1</v>
      </c>
      <c r="EL29" s="44">
        <f t="shared" si="9"/>
        <v>0</v>
      </c>
      <c r="EM29" s="44">
        <f t="shared" si="9"/>
        <v>0</v>
      </c>
      <c r="EN29" s="44">
        <f t="shared" si="9"/>
        <v>0</v>
      </c>
      <c r="EO29" s="44">
        <f t="shared" si="9"/>
        <v>0</v>
      </c>
      <c r="EP29" s="44">
        <f t="shared" si="9"/>
        <v>0</v>
      </c>
      <c r="EQ29" s="44">
        <f t="shared" si="9"/>
        <v>0</v>
      </c>
      <c r="ER29" s="44">
        <f t="shared" si="9"/>
        <v>0</v>
      </c>
      <c r="ES29" s="44">
        <f t="shared" si="9"/>
        <v>0</v>
      </c>
      <c r="ET29" s="44">
        <f t="shared" si="9"/>
        <v>1</v>
      </c>
      <c r="EU29" s="44">
        <f t="shared" si="9"/>
        <v>0</v>
      </c>
      <c r="EV29" s="44">
        <f t="shared" si="9"/>
        <v>0</v>
      </c>
      <c r="EW29" s="44">
        <f t="shared" si="9"/>
        <v>0</v>
      </c>
      <c r="EX29" s="44">
        <f t="shared" si="9"/>
        <v>0</v>
      </c>
      <c r="EY29" s="44">
        <f t="shared" si="9"/>
        <v>0</v>
      </c>
      <c r="EZ29" s="44">
        <f t="shared" si="9"/>
        <v>0</v>
      </c>
      <c r="FA29" s="44">
        <f t="shared" si="9"/>
        <v>1</v>
      </c>
      <c r="FB29" s="44">
        <f t="shared" si="9"/>
        <v>0</v>
      </c>
      <c r="FC29" s="44">
        <f t="shared" si="9"/>
        <v>0</v>
      </c>
      <c r="FD29" s="44">
        <f t="shared" si="9"/>
        <v>0</v>
      </c>
      <c r="FE29" s="44">
        <f t="shared" si="9"/>
        <v>0</v>
      </c>
      <c r="FF29" s="44">
        <f t="shared" si="9"/>
        <v>0</v>
      </c>
      <c r="FG29" s="44">
        <f t="shared" si="9"/>
        <v>0</v>
      </c>
      <c r="FH29" s="44">
        <f t="shared" si="9"/>
        <v>1</v>
      </c>
      <c r="FI29" s="44">
        <f t="shared" si="9"/>
        <v>0</v>
      </c>
      <c r="FJ29" s="44">
        <f t="shared" si="9"/>
        <v>0</v>
      </c>
      <c r="FK29" s="44">
        <f t="shared" si="9"/>
        <v>0</v>
      </c>
      <c r="FL29" s="44">
        <f t="shared" si="9"/>
        <v>0</v>
      </c>
      <c r="FM29" s="44">
        <f t="shared" si="9"/>
        <v>0</v>
      </c>
      <c r="FN29" s="44">
        <f t="shared" si="9"/>
        <v>0</v>
      </c>
      <c r="FO29" s="44">
        <f t="shared" si="9"/>
        <v>1</v>
      </c>
      <c r="FP29" s="44">
        <f t="shared" si="9"/>
        <v>0</v>
      </c>
      <c r="FQ29" s="44">
        <f t="shared" si="9"/>
        <v>0</v>
      </c>
      <c r="FR29" s="44">
        <f t="shared" si="9"/>
        <v>0</v>
      </c>
      <c r="FS29" s="44">
        <f t="shared" si="9"/>
        <v>0</v>
      </c>
      <c r="FT29" s="44">
        <f t="shared" si="9"/>
        <v>1</v>
      </c>
      <c r="FU29" s="44">
        <f t="shared" si="9"/>
        <v>0</v>
      </c>
      <c r="FV29" s="44">
        <f t="shared" si="9"/>
        <v>0</v>
      </c>
      <c r="FW29" s="44">
        <f t="shared" si="9"/>
        <v>0</v>
      </c>
      <c r="FX29" s="44">
        <f t="shared" si="9"/>
        <v>0</v>
      </c>
      <c r="FY29" s="44">
        <f t="shared" si="9"/>
        <v>0</v>
      </c>
      <c r="FZ29" s="44">
        <f t="shared" si="9"/>
        <v>0</v>
      </c>
      <c r="GA29" s="44">
        <f t="shared" si="9"/>
        <v>0</v>
      </c>
      <c r="GB29" s="44">
        <f t="shared" si="9"/>
        <v>0</v>
      </c>
      <c r="GC29" s="44">
        <f t="shared" si="9"/>
        <v>0</v>
      </c>
      <c r="GD29" s="44">
        <f t="shared" si="9"/>
        <v>0</v>
      </c>
      <c r="GE29" s="44">
        <f t="shared" si="9"/>
        <v>0</v>
      </c>
      <c r="GF29" s="44">
        <f t="shared" si="9"/>
        <v>0</v>
      </c>
      <c r="GG29" s="44">
        <f t="shared" si="9"/>
        <v>1</v>
      </c>
      <c r="GH29" s="44">
        <f t="shared" si="9"/>
        <v>1</v>
      </c>
      <c r="GI29" s="44">
        <f t="shared" si="9"/>
        <v>0</v>
      </c>
      <c r="GJ29" s="44">
        <f t="shared" si="9"/>
        <v>0</v>
      </c>
      <c r="GK29" s="44">
        <f t="shared" si="9"/>
        <v>0</v>
      </c>
      <c r="GL29" s="44">
        <f t="shared" si="9"/>
        <v>0</v>
      </c>
      <c r="GM29" s="44">
        <f t="shared" si="9"/>
        <v>0</v>
      </c>
      <c r="GN29" s="44">
        <f t="shared" si="9"/>
        <v>0</v>
      </c>
      <c r="GO29" s="44">
        <f t="shared" si="9"/>
        <v>0</v>
      </c>
      <c r="GP29" s="44">
        <f t="shared" si="9"/>
        <v>0</v>
      </c>
      <c r="GQ29" s="44">
        <f t="shared" si="9"/>
        <v>0</v>
      </c>
      <c r="GR29" s="44">
        <f t="shared" si="9"/>
        <v>0</v>
      </c>
      <c r="GS29" s="44">
        <f t="shared" si="9"/>
        <v>0</v>
      </c>
      <c r="GT29" s="44">
        <f t="shared" si="9"/>
        <v>0</v>
      </c>
      <c r="GU29" s="44">
        <f t="shared" si="9"/>
        <v>0</v>
      </c>
      <c r="GV29" s="44">
        <f t="shared" si="9"/>
        <v>0</v>
      </c>
      <c r="GW29" s="44">
        <f t="shared" si="9"/>
        <v>0</v>
      </c>
      <c r="GX29" s="44">
        <f t="shared" si="9"/>
        <v>0</v>
      </c>
      <c r="GY29" s="44">
        <f t="shared" si="9"/>
        <v>0</v>
      </c>
      <c r="GZ29" s="44">
        <f t="shared" si="9"/>
        <v>0</v>
      </c>
      <c r="HA29" s="44">
        <f t="shared" si="9"/>
        <v>0</v>
      </c>
      <c r="HB29" s="44">
        <f t="shared" si="9"/>
        <v>0</v>
      </c>
      <c r="HC29" s="44">
        <f t="shared" si="9"/>
        <v>0</v>
      </c>
      <c r="HD29" s="44">
        <f t="shared" si="9"/>
        <v>0</v>
      </c>
      <c r="HE29" s="44">
        <f t="shared" si="9"/>
        <v>0</v>
      </c>
      <c r="HF29" s="44">
        <f t="shared" si="9"/>
        <v>0</v>
      </c>
      <c r="HG29" s="44">
        <f t="shared" si="9"/>
        <v>0</v>
      </c>
      <c r="HH29" s="44">
        <f t="shared" si="9"/>
        <v>0</v>
      </c>
      <c r="HI29" s="44">
        <f t="shared" si="9"/>
        <v>0</v>
      </c>
      <c r="HJ29" s="44">
        <f t="shared" si="9"/>
        <v>0</v>
      </c>
    </row>
    <row r="30" ht="13.5" customHeight="1">
      <c r="A30" s="1"/>
      <c r="B30" s="45" t="s">
        <v>30</v>
      </c>
      <c r="C30" s="8"/>
      <c r="D30" s="9"/>
      <c r="E30" s="44">
        <f t="shared" ref="E30:HJ30" si="10">E29+D30</f>
        <v>1</v>
      </c>
      <c r="F30" s="44">
        <f t="shared" si="10"/>
        <v>1</v>
      </c>
      <c r="G30" s="44">
        <f t="shared" si="10"/>
        <v>1</v>
      </c>
      <c r="H30" s="44">
        <f t="shared" si="10"/>
        <v>1</v>
      </c>
      <c r="I30" s="44">
        <f t="shared" si="10"/>
        <v>1</v>
      </c>
      <c r="J30" s="44">
        <f t="shared" si="10"/>
        <v>3</v>
      </c>
      <c r="K30" s="44">
        <f t="shared" si="10"/>
        <v>4</v>
      </c>
      <c r="L30" s="44">
        <f t="shared" si="10"/>
        <v>7</v>
      </c>
      <c r="M30" s="44">
        <f t="shared" si="10"/>
        <v>7</v>
      </c>
      <c r="N30" s="44">
        <f t="shared" si="10"/>
        <v>7</v>
      </c>
      <c r="O30" s="44">
        <f t="shared" si="10"/>
        <v>7</v>
      </c>
      <c r="P30" s="44">
        <f t="shared" si="10"/>
        <v>7</v>
      </c>
      <c r="Q30" s="44">
        <f t="shared" si="10"/>
        <v>8</v>
      </c>
      <c r="R30" s="44">
        <f t="shared" si="10"/>
        <v>9</v>
      </c>
      <c r="S30" s="44">
        <f t="shared" si="10"/>
        <v>12</v>
      </c>
      <c r="T30" s="44">
        <f t="shared" si="10"/>
        <v>12</v>
      </c>
      <c r="U30" s="44">
        <f t="shared" si="10"/>
        <v>12</v>
      </c>
      <c r="V30" s="44">
        <f t="shared" si="10"/>
        <v>15</v>
      </c>
      <c r="W30" s="44">
        <f t="shared" si="10"/>
        <v>18</v>
      </c>
      <c r="X30" s="44">
        <f t="shared" si="10"/>
        <v>21</v>
      </c>
      <c r="Y30" s="44">
        <f t="shared" si="10"/>
        <v>24</v>
      </c>
      <c r="Z30" s="44">
        <f t="shared" si="10"/>
        <v>27</v>
      </c>
      <c r="AA30" s="44">
        <f t="shared" si="10"/>
        <v>27</v>
      </c>
      <c r="AB30" s="44">
        <f t="shared" si="10"/>
        <v>27</v>
      </c>
      <c r="AC30" s="44">
        <f t="shared" si="10"/>
        <v>30</v>
      </c>
      <c r="AD30" s="44">
        <f t="shared" si="10"/>
        <v>33</v>
      </c>
      <c r="AE30" s="44">
        <f t="shared" si="10"/>
        <v>36</v>
      </c>
      <c r="AF30" s="44">
        <f t="shared" si="10"/>
        <v>39</v>
      </c>
      <c r="AG30" s="44">
        <f t="shared" si="10"/>
        <v>42</v>
      </c>
      <c r="AH30" s="44">
        <f t="shared" si="10"/>
        <v>42</v>
      </c>
      <c r="AI30" s="44">
        <f t="shared" si="10"/>
        <v>42</v>
      </c>
      <c r="AJ30" s="44">
        <f t="shared" si="10"/>
        <v>43</v>
      </c>
      <c r="AK30" s="44">
        <f t="shared" si="10"/>
        <v>44</v>
      </c>
      <c r="AL30" s="44">
        <f t="shared" si="10"/>
        <v>45</v>
      </c>
      <c r="AM30" s="44">
        <f t="shared" si="10"/>
        <v>46</v>
      </c>
      <c r="AN30" s="44">
        <f t="shared" si="10"/>
        <v>47</v>
      </c>
      <c r="AO30" s="44">
        <f t="shared" si="10"/>
        <v>47</v>
      </c>
      <c r="AP30" s="44">
        <f t="shared" si="10"/>
        <v>47</v>
      </c>
      <c r="AQ30" s="44">
        <f t="shared" si="10"/>
        <v>47</v>
      </c>
      <c r="AR30" s="44">
        <f t="shared" si="10"/>
        <v>47</v>
      </c>
      <c r="AS30" s="44">
        <f t="shared" si="10"/>
        <v>47</v>
      </c>
      <c r="AT30" s="44">
        <f t="shared" si="10"/>
        <v>47</v>
      </c>
      <c r="AU30" s="44">
        <f t="shared" si="10"/>
        <v>47</v>
      </c>
      <c r="AV30" s="44">
        <f t="shared" si="10"/>
        <v>47</v>
      </c>
      <c r="AW30" s="44">
        <f t="shared" si="10"/>
        <v>47</v>
      </c>
      <c r="AX30" s="44">
        <f t="shared" si="10"/>
        <v>48</v>
      </c>
      <c r="AY30" s="44">
        <f t="shared" si="10"/>
        <v>49</v>
      </c>
      <c r="AZ30" s="44">
        <f t="shared" si="10"/>
        <v>50</v>
      </c>
      <c r="BA30" s="44">
        <f t="shared" si="10"/>
        <v>51</v>
      </c>
      <c r="BB30" s="44">
        <f t="shared" si="10"/>
        <v>52</v>
      </c>
      <c r="BC30" s="44">
        <f t="shared" si="10"/>
        <v>52</v>
      </c>
      <c r="BD30" s="44">
        <f t="shared" si="10"/>
        <v>52</v>
      </c>
      <c r="BE30" s="44">
        <f t="shared" si="10"/>
        <v>53</v>
      </c>
      <c r="BF30" s="44">
        <f t="shared" si="10"/>
        <v>54</v>
      </c>
      <c r="BG30" s="44">
        <f t="shared" si="10"/>
        <v>55</v>
      </c>
      <c r="BH30" s="44">
        <f t="shared" si="10"/>
        <v>56</v>
      </c>
      <c r="BI30" s="44">
        <f t="shared" si="10"/>
        <v>57</v>
      </c>
      <c r="BJ30" s="44">
        <f t="shared" si="10"/>
        <v>57</v>
      </c>
      <c r="BK30" s="44">
        <f t="shared" si="10"/>
        <v>57</v>
      </c>
      <c r="BL30" s="44">
        <f t="shared" si="10"/>
        <v>59</v>
      </c>
      <c r="BM30" s="44">
        <f t="shared" si="10"/>
        <v>60</v>
      </c>
      <c r="BN30" s="44">
        <f t="shared" si="10"/>
        <v>61</v>
      </c>
      <c r="BO30" s="44">
        <f t="shared" si="10"/>
        <v>61</v>
      </c>
      <c r="BP30" s="44">
        <f t="shared" si="10"/>
        <v>61</v>
      </c>
      <c r="BQ30" s="44">
        <f t="shared" si="10"/>
        <v>61</v>
      </c>
      <c r="BR30" s="44">
        <f t="shared" si="10"/>
        <v>61</v>
      </c>
      <c r="BS30" s="44">
        <f t="shared" si="10"/>
        <v>62</v>
      </c>
      <c r="BT30" s="44">
        <f t="shared" si="10"/>
        <v>63</v>
      </c>
      <c r="BU30" s="44">
        <f t="shared" si="10"/>
        <v>64</v>
      </c>
      <c r="BV30" s="44">
        <f t="shared" si="10"/>
        <v>64</v>
      </c>
      <c r="BW30" s="44">
        <f t="shared" si="10"/>
        <v>64</v>
      </c>
      <c r="BX30" s="44">
        <f t="shared" si="10"/>
        <v>64</v>
      </c>
      <c r="BY30" s="44">
        <f t="shared" si="10"/>
        <v>64</v>
      </c>
      <c r="BZ30" s="44">
        <f t="shared" si="10"/>
        <v>66</v>
      </c>
      <c r="CA30" s="44">
        <f t="shared" si="10"/>
        <v>68</v>
      </c>
      <c r="CB30" s="44">
        <f t="shared" si="10"/>
        <v>69</v>
      </c>
      <c r="CC30" s="44">
        <f t="shared" si="10"/>
        <v>70</v>
      </c>
      <c r="CD30" s="44">
        <f t="shared" si="10"/>
        <v>71</v>
      </c>
      <c r="CE30" s="44">
        <f t="shared" si="10"/>
        <v>71</v>
      </c>
      <c r="CF30" s="44">
        <f t="shared" si="10"/>
        <v>71</v>
      </c>
      <c r="CG30" s="44">
        <f t="shared" si="10"/>
        <v>72</v>
      </c>
      <c r="CH30" s="44">
        <f t="shared" si="10"/>
        <v>72</v>
      </c>
      <c r="CI30" s="44">
        <f t="shared" si="10"/>
        <v>72</v>
      </c>
      <c r="CJ30" s="44">
        <f t="shared" si="10"/>
        <v>72</v>
      </c>
      <c r="CK30" s="44">
        <f t="shared" si="10"/>
        <v>72</v>
      </c>
      <c r="CL30" s="44">
        <f t="shared" si="10"/>
        <v>72</v>
      </c>
      <c r="CM30" s="44">
        <f t="shared" si="10"/>
        <v>72</v>
      </c>
      <c r="CN30" s="44">
        <f t="shared" si="10"/>
        <v>73</v>
      </c>
      <c r="CO30" s="44">
        <f t="shared" si="10"/>
        <v>74</v>
      </c>
      <c r="CP30" s="44">
        <f t="shared" si="10"/>
        <v>74</v>
      </c>
      <c r="CQ30" s="44">
        <f t="shared" si="10"/>
        <v>74</v>
      </c>
      <c r="CR30" s="44">
        <f t="shared" si="10"/>
        <v>74</v>
      </c>
      <c r="CS30" s="44">
        <f t="shared" si="10"/>
        <v>74</v>
      </c>
      <c r="CT30" s="44">
        <f t="shared" si="10"/>
        <v>74</v>
      </c>
      <c r="CU30" s="44">
        <f t="shared" si="10"/>
        <v>74</v>
      </c>
      <c r="CV30" s="44">
        <f t="shared" si="10"/>
        <v>74</v>
      </c>
      <c r="CW30" s="44">
        <f t="shared" si="10"/>
        <v>74</v>
      </c>
      <c r="CX30" s="44">
        <f t="shared" si="10"/>
        <v>74</v>
      </c>
      <c r="CY30" s="44">
        <f t="shared" si="10"/>
        <v>79</v>
      </c>
      <c r="CZ30" s="44">
        <f t="shared" si="10"/>
        <v>79</v>
      </c>
      <c r="DA30" s="44">
        <f t="shared" si="10"/>
        <v>79</v>
      </c>
      <c r="DB30" s="44">
        <f t="shared" si="10"/>
        <v>79</v>
      </c>
      <c r="DC30" s="44">
        <f t="shared" si="10"/>
        <v>79</v>
      </c>
      <c r="DD30" s="44">
        <f t="shared" si="10"/>
        <v>79</v>
      </c>
      <c r="DE30" s="44">
        <f t="shared" si="10"/>
        <v>79</v>
      </c>
      <c r="DF30" s="44">
        <f t="shared" si="10"/>
        <v>79</v>
      </c>
      <c r="DG30" s="44">
        <f t="shared" si="10"/>
        <v>79</v>
      </c>
      <c r="DH30" s="44">
        <f t="shared" si="10"/>
        <v>79</v>
      </c>
      <c r="DI30" s="44">
        <f t="shared" si="10"/>
        <v>80</v>
      </c>
      <c r="DJ30" s="44">
        <f t="shared" si="10"/>
        <v>81</v>
      </c>
      <c r="DK30" s="44">
        <f t="shared" si="10"/>
        <v>82</v>
      </c>
      <c r="DL30" s="44">
        <f t="shared" si="10"/>
        <v>83</v>
      </c>
      <c r="DM30" s="44">
        <f t="shared" si="10"/>
        <v>84</v>
      </c>
      <c r="DN30" s="44">
        <f t="shared" si="10"/>
        <v>84</v>
      </c>
      <c r="DO30" s="44">
        <f t="shared" si="10"/>
        <v>84</v>
      </c>
      <c r="DP30" s="44">
        <f t="shared" si="10"/>
        <v>86</v>
      </c>
      <c r="DQ30" s="44">
        <f t="shared" si="10"/>
        <v>88</v>
      </c>
      <c r="DR30" s="44">
        <f t="shared" si="10"/>
        <v>89</v>
      </c>
      <c r="DS30" s="44">
        <f t="shared" si="10"/>
        <v>89</v>
      </c>
      <c r="DT30" s="44">
        <f t="shared" si="10"/>
        <v>89</v>
      </c>
      <c r="DU30" s="44">
        <f t="shared" si="10"/>
        <v>89</v>
      </c>
      <c r="DV30" s="44">
        <f t="shared" si="10"/>
        <v>89</v>
      </c>
      <c r="DW30" s="44">
        <f t="shared" si="10"/>
        <v>89</v>
      </c>
      <c r="DX30" s="44">
        <f t="shared" si="10"/>
        <v>90</v>
      </c>
      <c r="DY30" s="44">
        <f t="shared" si="10"/>
        <v>90</v>
      </c>
      <c r="DZ30" s="44">
        <f t="shared" si="10"/>
        <v>90</v>
      </c>
      <c r="EA30" s="44">
        <f t="shared" si="10"/>
        <v>90</v>
      </c>
      <c r="EB30" s="44">
        <f t="shared" si="10"/>
        <v>90</v>
      </c>
      <c r="EC30" s="44">
        <f t="shared" si="10"/>
        <v>90</v>
      </c>
      <c r="ED30" s="44">
        <f t="shared" si="10"/>
        <v>91</v>
      </c>
      <c r="EE30" s="44">
        <f t="shared" si="10"/>
        <v>91</v>
      </c>
      <c r="EF30" s="44">
        <f t="shared" si="10"/>
        <v>91</v>
      </c>
      <c r="EG30" s="44">
        <f t="shared" si="10"/>
        <v>92</v>
      </c>
      <c r="EH30" s="44">
        <f t="shared" si="10"/>
        <v>92</v>
      </c>
      <c r="EI30" s="44">
        <f t="shared" si="10"/>
        <v>92</v>
      </c>
      <c r="EJ30" s="44">
        <f t="shared" si="10"/>
        <v>92</v>
      </c>
      <c r="EK30" s="44">
        <f t="shared" si="10"/>
        <v>93</v>
      </c>
      <c r="EL30" s="44">
        <f t="shared" si="10"/>
        <v>93</v>
      </c>
      <c r="EM30" s="44">
        <f t="shared" si="10"/>
        <v>93</v>
      </c>
      <c r="EN30" s="44">
        <f t="shared" si="10"/>
        <v>93</v>
      </c>
      <c r="EO30" s="44">
        <f t="shared" si="10"/>
        <v>93</v>
      </c>
      <c r="EP30" s="44">
        <f t="shared" si="10"/>
        <v>93</v>
      </c>
      <c r="EQ30" s="44">
        <f t="shared" si="10"/>
        <v>93</v>
      </c>
      <c r="ER30" s="44">
        <f t="shared" si="10"/>
        <v>93</v>
      </c>
      <c r="ES30" s="44">
        <f t="shared" si="10"/>
        <v>93</v>
      </c>
      <c r="ET30" s="44">
        <f t="shared" si="10"/>
        <v>94</v>
      </c>
      <c r="EU30" s="44">
        <f t="shared" si="10"/>
        <v>94</v>
      </c>
      <c r="EV30" s="44">
        <f t="shared" si="10"/>
        <v>94</v>
      </c>
      <c r="EW30" s="44">
        <f t="shared" si="10"/>
        <v>94</v>
      </c>
      <c r="EX30" s="44">
        <f t="shared" si="10"/>
        <v>94</v>
      </c>
      <c r="EY30" s="44">
        <f t="shared" si="10"/>
        <v>94</v>
      </c>
      <c r="EZ30" s="44">
        <f t="shared" si="10"/>
        <v>94</v>
      </c>
      <c r="FA30" s="44">
        <f t="shared" si="10"/>
        <v>95</v>
      </c>
      <c r="FB30" s="44">
        <f t="shared" si="10"/>
        <v>95</v>
      </c>
      <c r="FC30" s="44">
        <f t="shared" si="10"/>
        <v>95</v>
      </c>
      <c r="FD30" s="44">
        <f t="shared" si="10"/>
        <v>95</v>
      </c>
      <c r="FE30" s="44">
        <f t="shared" si="10"/>
        <v>95</v>
      </c>
      <c r="FF30" s="44">
        <f t="shared" si="10"/>
        <v>95</v>
      </c>
      <c r="FG30" s="44">
        <f t="shared" si="10"/>
        <v>95</v>
      </c>
      <c r="FH30" s="44">
        <f t="shared" si="10"/>
        <v>96</v>
      </c>
      <c r="FI30" s="44">
        <f t="shared" si="10"/>
        <v>96</v>
      </c>
      <c r="FJ30" s="44">
        <f t="shared" si="10"/>
        <v>96</v>
      </c>
      <c r="FK30" s="44">
        <f t="shared" si="10"/>
        <v>96</v>
      </c>
      <c r="FL30" s="44">
        <f t="shared" si="10"/>
        <v>96</v>
      </c>
      <c r="FM30" s="44">
        <f t="shared" si="10"/>
        <v>96</v>
      </c>
      <c r="FN30" s="44">
        <f t="shared" si="10"/>
        <v>96</v>
      </c>
      <c r="FO30" s="44">
        <f t="shared" si="10"/>
        <v>97</v>
      </c>
      <c r="FP30" s="44">
        <f t="shared" si="10"/>
        <v>97</v>
      </c>
      <c r="FQ30" s="44">
        <f t="shared" si="10"/>
        <v>97</v>
      </c>
      <c r="FR30" s="44">
        <f t="shared" si="10"/>
        <v>97</v>
      </c>
      <c r="FS30" s="44">
        <f t="shared" si="10"/>
        <v>97</v>
      </c>
      <c r="FT30" s="44">
        <f t="shared" si="10"/>
        <v>98</v>
      </c>
      <c r="FU30" s="44">
        <f t="shared" si="10"/>
        <v>98</v>
      </c>
      <c r="FV30" s="44">
        <f t="shared" si="10"/>
        <v>98</v>
      </c>
      <c r="FW30" s="44">
        <f t="shared" si="10"/>
        <v>98</v>
      </c>
      <c r="FX30" s="44">
        <f t="shared" si="10"/>
        <v>98</v>
      </c>
      <c r="FY30" s="44">
        <f t="shared" si="10"/>
        <v>98</v>
      </c>
      <c r="FZ30" s="44">
        <f t="shared" si="10"/>
        <v>98</v>
      </c>
      <c r="GA30" s="44">
        <f t="shared" si="10"/>
        <v>98</v>
      </c>
      <c r="GB30" s="44">
        <f t="shared" si="10"/>
        <v>98</v>
      </c>
      <c r="GC30" s="44">
        <f t="shared" si="10"/>
        <v>98</v>
      </c>
      <c r="GD30" s="44">
        <f t="shared" si="10"/>
        <v>98</v>
      </c>
      <c r="GE30" s="44">
        <f t="shared" si="10"/>
        <v>98</v>
      </c>
      <c r="GF30" s="44">
        <f t="shared" si="10"/>
        <v>98</v>
      </c>
      <c r="GG30" s="44">
        <f t="shared" si="10"/>
        <v>99</v>
      </c>
      <c r="GH30" s="44">
        <f t="shared" si="10"/>
        <v>100</v>
      </c>
      <c r="GI30" s="44">
        <f t="shared" si="10"/>
        <v>100</v>
      </c>
      <c r="GJ30" s="44">
        <f t="shared" si="10"/>
        <v>100</v>
      </c>
      <c r="GK30" s="44">
        <f t="shared" si="10"/>
        <v>100</v>
      </c>
      <c r="GL30" s="44">
        <f t="shared" si="10"/>
        <v>100</v>
      </c>
      <c r="GM30" s="44">
        <f t="shared" si="10"/>
        <v>100</v>
      </c>
      <c r="GN30" s="44">
        <f t="shared" si="10"/>
        <v>100</v>
      </c>
      <c r="GO30" s="44">
        <f t="shared" si="10"/>
        <v>100</v>
      </c>
      <c r="GP30" s="44">
        <f t="shared" si="10"/>
        <v>100</v>
      </c>
      <c r="GQ30" s="44">
        <f t="shared" si="10"/>
        <v>100</v>
      </c>
      <c r="GR30" s="44">
        <f t="shared" si="10"/>
        <v>100</v>
      </c>
      <c r="GS30" s="44">
        <f t="shared" si="10"/>
        <v>100</v>
      </c>
      <c r="GT30" s="44">
        <f t="shared" si="10"/>
        <v>100</v>
      </c>
      <c r="GU30" s="44">
        <f t="shared" si="10"/>
        <v>100</v>
      </c>
      <c r="GV30" s="44">
        <f t="shared" si="10"/>
        <v>100</v>
      </c>
      <c r="GW30" s="44">
        <f t="shared" si="10"/>
        <v>100</v>
      </c>
      <c r="GX30" s="44">
        <f t="shared" si="10"/>
        <v>100</v>
      </c>
      <c r="GY30" s="44">
        <f t="shared" si="10"/>
        <v>100</v>
      </c>
      <c r="GZ30" s="44">
        <f t="shared" si="10"/>
        <v>100</v>
      </c>
      <c r="HA30" s="44">
        <f t="shared" si="10"/>
        <v>100</v>
      </c>
      <c r="HB30" s="44">
        <f t="shared" si="10"/>
        <v>100</v>
      </c>
      <c r="HC30" s="44">
        <f t="shared" si="10"/>
        <v>100</v>
      </c>
      <c r="HD30" s="44">
        <f t="shared" si="10"/>
        <v>100</v>
      </c>
      <c r="HE30" s="44">
        <f t="shared" si="10"/>
        <v>100</v>
      </c>
      <c r="HF30" s="44">
        <f t="shared" si="10"/>
        <v>100</v>
      </c>
      <c r="HG30" s="44">
        <f t="shared" si="10"/>
        <v>100</v>
      </c>
      <c r="HH30" s="44">
        <f t="shared" si="10"/>
        <v>100</v>
      </c>
      <c r="HI30" s="44">
        <f t="shared" si="10"/>
        <v>100</v>
      </c>
      <c r="HJ30" s="44">
        <f t="shared" si="10"/>
        <v>100</v>
      </c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</row>
    <row r="33" ht="13.5" customHeight="1">
      <c r="A33" s="1"/>
      <c r="B33" s="55" t="s">
        <v>49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</row>
    <row r="34" ht="14.25" customHeight="1">
      <c r="A34" s="1"/>
      <c r="B34" s="6" t="s">
        <v>1</v>
      </c>
      <c r="C34" s="6" t="s">
        <v>32</v>
      </c>
      <c r="D34" s="6" t="s">
        <v>50</v>
      </c>
      <c r="E34" s="7" t="s">
        <v>35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9"/>
      <c r="AJ34" s="7" t="s">
        <v>4</v>
      </c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9"/>
      <c r="BN34" s="7" t="s">
        <v>5</v>
      </c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9"/>
      <c r="CS34" s="7" t="s">
        <v>6</v>
      </c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9"/>
      <c r="DW34" s="7" t="s">
        <v>36</v>
      </c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9"/>
      <c r="FB34" s="56" t="s">
        <v>37</v>
      </c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56" t="s">
        <v>38</v>
      </c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9"/>
    </row>
    <row r="35" ht="13.5" customHeight="1">
      <c r="A35" s="1"/>
      <c r="B35" s="6"/>
      <c r="C35" s="6"/>
      <c r="D35" s="6"/>
      <c r="E35" s="11">
        <v>1.0</v>
      </c>
      <c r="F35" s="11">
        <v>2.0</v>
      </c>
      <c r="G35" s="11">
        <v>3.0</v>
      </c>
      <c r="H35" s="11">
        <v>4.0</v>
      </c>
      <c r="I35" s="11">
        <v>5.0</v>
      </c>
      <c r="J35" s="11">
        <v>6.0</v>
      </c>
      <c r="K35" s="11">
        <v>7.0</v>
      </c>
      <c r="L35" s="11">
        <v>8.0</v>
      </c>
      <c r="M35" s="11">
        <v>9.0</v>
      </c>
      <c r="N35" s="11">
        <v>10.0</v>
      </c>
      <c r="O35" s="11">
        <v>11.0</v>
      </c>
      <c r="P35" s="11">
        <v>12.0</v>
      </c>
      <c r="Q35" s="11">
        <v>13.0</v>
      </c>
      <c r="R35" s="11">
        <v>14.0</v>
      </c>
      <c r="S35" s="11">
        <v>15.0</v>
      </c>
      <c r="T35" s="11">
        <v>16.0</v>
      </c>
      <c r="U35" s="11">
        <v>17.0</v>
      </c>
      <c r="V35" s="11">
        <v>18.0</v>
      </c>
      <c r="W35" s="11">
        <v>19.0</v>
      </c>
      <c r="X35" s="11">
        <v>20.0</v>
      </c>
      <c r="Y35" s="11">
        <v>21.0</v>
      </c>
      <c r="Z35" s="11">
        <v>22.0</v>
      </c>
      <c r="AA35" s="11">
        <v>23.0</v>
      </c>
      <c r="AB35" s="11">
        <v>24.0</v>
      </c>
      <c r="AC35" s="11">
        <v>25.0</v>
      </c>
      <c r="AD35" s="11">
        <v>26.0</v>
      </c>
      <c r="AE35" s="11">
        <v>27.0</v>
      </c>
      <c r="AF35" s="11">
        <v>28.0</v>
      </c>
      <c r="AG35" s="11">
        <v>29.0</v>
      </c>
      <c r="AH35" s="11">
        <v>30.0</v>
      </c>
      <c r="AI35" s="11">
        <v>31.0</v>
      </c>
      <c r="AJ35" s="11">
        <v>1.0</v>
      </c>
      <c r="AK35" s="11">
        <v>2.0</v>
      </c>
      <c r="AL35" s="11">
        <v>3.0</v>
      </c>
      <c r="AM35" s="11">
        <v>4.0</v>
      </c>
      <c r="AN35" s="11">
        <v>5.0</v>
      </c>
      <c r="AO35" s="11">
        <v>6.0</v>
      </c>
      <c r="AP35" s="11">
        <v>7.0</v>
      </c>
      <c r="AQ35" s="11">
        <v>8.0</v>
      </c>
      <c r="AR35" s="11">
        <v>9.0</v>
      </c>
      <c r="AS35" s="11">
        <v>10.0</v>
      </c>
      <c r="AT35" s="11">
        <v>11.0</v>
      </c>
      <c r="AU35" s="11">
        <v>12.0</v>
      </c>
      <c r="AV35" s="11">
        <v>13.0</v>
      </c>
      <c r="AW35" s="11">
        <v>14.0</v>
      </c>
      <c r="AX35" s="11">
        <v>15.0</v>
      </c>
      <c r="AY35" s="11">
        <v>16.0</v>
      </c>
      <c r="AZ35" s="11">
        <v>17.0</v>
      </c>
      <c r="BA35" s="11">
        <v>18.0</v>
      </c>
      <c r="BB35" s="11">
        <v>19.0</v>
      </c>
      <c r="BC35" s="11">
        <v>20.0</v>
      </c>
      <c r="BD35" s="11">
        <v>21.0</v>
      </c>
      <c r="BE35" s="11">
        <v>22.0</v>
      </c>
      <c r="BF35" s="11">
        <v>23.0</v>
      </c>
      <c r="BG35" s="11">
        <v>24.0</v>
      </c>
      <c r="BH35" s="11">
        <v>25.0</v>
      </c>
      <c r="BI35" s="11">
        <v>26.0</v>
      </c>
      <c r="BJ35" s="11">
        <v>27.0</v>
      </c>
      <c r="BK35" s="11">
        <v>28.0</v>
      </c>
      <c r="BL35" s="11">
        <v>29.0</v>
      </c>
      <c r="BM35" s="11">
        <v>30.0</v>
      </c>
      <c r="BN35" s="11">
        <v>1.0</v>
      </c>
      <c r="BO35" s="11">
        <v>2.0</v>
      </c>
      <c r="BP35" s="11">
        <v>3.0</v>
      </c>
      <c r="BQ35" s="11">
        <v>4.0</v>
      </c>
      <c r="BR35" s="11">
        <v>5.0</v>
      </c>
      <c r="BS35" s="11">
        <v>6.0</v>
      </c>
      <c r="BT35" s="11">
        <v>7.0</v>
      </c>
      <c r="BU35" s="11">
        <v>8.0</v>
      </c>
      <c r="BV35" s="11">
        <v>9.0</v>
      </c>
      <c r="BW35" s="11">
        <v>10.0</v>
      </c>
      <c r="BX35" s="11">
        <v>11.0</v>
      </c>
      <c r="BY35" s="11">
        <v>12.0</v>
      </c>
      <c r="BZ35" s="11">
        <v>13.0</v>
      </c>
      <c r="CA35" s="11">
        <v>14.0</v>
      </c>
      <c r="CB35" s="11">
        <v>15.0</v>
      </c>
      <c r="CC35" s="11">
        <v>16.0</v>
      </c>
      <c r="CD35" s="11">
        <v>17.0</v>
      </c>
      <c r="CE35" s="11">
        <v>18.0</v>
      </c>
      <c r="CF35" s="11">
        <v>19.0</v>
      </c>
      <c r="CG35" s="11">
        <v>20.0</v>
      </c>
      <c r="CH35" s="11">
        <v>21.0</v>
      </c>
      <c r="CI35" s="11">
        <v>22.0</v>
      </c>
      <c r="CJ35" s="11">
        <v>23.0</v>
      </c>
      <c r="CK35" s="11">
        <v>24.0</v>
      </c>
      <c r="CL35" s="11">
        <v>25.0</v>
      </c>
      <c r="CM35" s="11">
        <v>26.0</v>
      </c>
      <c r="CN35" s="11">
        <v>27.0</v>
      </c>
      <c r="CO35" s="11">
        <v>28.0</v>
      </c>
      <c r="CP35" s="11">
        <v>29.0</v>
      </c>
      <c r="CQ35" s="11">
        <v>30.0</v>
      </c>
      <c r="CR35" s="11">
        <v>31.0</v>
      </c>
      <c r="CS35" s="11">
        <v>1.0</v>
      </c>
      <c r="CT35" s="12">
        <v>2.0</v>
      </c>
      <c r="CU35" s="11">
        <v>3.0</v>
      </c>
      <c r="CV35" s="12">
        <v>4.0</v>
      </c>
      <c r="CW35" s="11">
        <v>5.0</v>
      </c>
      <c r="CX35" s="12">
        <v>6.0</v>
      </c>
      <c r="CY35" s="11">
        <v>7.0</v>
      </c>
      <c r="CZ35" s="11">
        <v>8.0</v>
      </c>
      <c r="DA35" s="12">
        <v>9.0</v>
      </c>
      <c r="DB35" s="12">
        <v>10.0</v>
      </c>
      <c r="DC35" s="11">
        <v>11.0</v>
      </c>
      <c r="DD35" s="12">
        <v>12.0</v>
      </c>
      <c r="DE35" s="11">
        <v>13.0</v>
      </c>
      <c r="DF35" s="12">
        <v>14.0</v>
      </c>
      <c r="DG35" s="11">
        <v>15.0</v>
      </c>
      <c r="DH35" s="12">
        <v>16.0</v>
      </c>
      <c r="DI35" s="11">
        <v>17.0</v>
      </c>
      <c r="DJ35" s="12">
        <v>18.0</v>
      </c>
      <c r="DK35" s="11">
        <v>19.0</v>
      </c>
      <c r="DL35" s="12">
        <v>20.0</v>
      </c>
      <c r="DM35" s="11">
        <v>21.0</v>
      </c>
      <c r="DN35" s="11">
        <v>22.0</v>
      </c>
      <c r="DO35" s="12">
        <v>23.0</v>
      </c>
      <c r="DP35" s="12">
        <v>24.0</v>
      </c>
      <c r="DQ35" s="11">
        <v>25.0</v>
      </c>
      <c r="DR35" s="12">
        <v>26.0</v>
      </c>
      <c r="DS35" s="11">
        <v>27.0</v>
      </c>
      <c r="DT35" s="12">
        <v>28.0</v>
      </c>
      <c r="DU35" s="11">
        <v>29.0</v>
      </c>
      <c r="DV35" s="12">
        <v>30.0</v>
      </c>
      <c r="DW35" s="12">
        <v>1.0</v>
      </c>
      <c r="DX35" s="12">
        <v>2.0</v>
      </c>
      <c r="DY35" s="12">
        <v>3.0</v>
      </c>
      <c r="DZ35" s="12">
        <v>4.0</v>
      </c>
      <c r="EA35" s="12">
        <v>5.0</v>
      </c>
      <c r="EB35" s="11">
        <v>6.0</v>
      </c>
      <c r="EC35" s="12">
        <v>7.0</v>
      </c>
      <c r="ED35" s="12">
        <v>8.0</v>
      </c>
      <c r="EE35" s="12">
        <v>9.0</v>
      </c>
      <c r="EF35" s="12">
        <v>10.0</v>
      </c>
      <c r="EG35" s="12">
        <v>11.0</v>
      </c>
      <c r="EH35" s="12">
        <v>12.0</v>
      </c>
      <c r="EI35" s="11">
        <v>13.0</v>
      </c>
      <c r="EJ35" s="12">
        <v>14.0</v>
      </c>
      <c r="EK35" s="12">
        <v>15.0</v>
      </c>
      <c r="EL35" s="12">
        <v>16.0</v>
      </c>
      <c r="EM35" s="12">
        <v>17.0</v>
      </c>
      <c r="EN35" s="12">
        <v>18.0</v>
      </c>
      <c r="EO35" s="12">
        <v>19.0</v>
      </c>
      <c r="EP35" s="11">
        <v>20.0</v>
      </c>
      <c r="EQ35" s="12">
        <v>21.0</v>
      </c>
      <c r="ER35" s="12">
        <v>22.0</v>
      </c>
      <c r="ES35" s="12">
        <v>23.0</v>
      </c>
      <c r="ET35" s="12">
        <v>24.0</v>
      </c>
      <c r="EU35" s="12">
        <v>25.0</v>
      </c>
      <c r="EV35" s="12">
        <v>26.0</v>
      </c>
      <c r="EW35" s="11">
        <v>27.0</v>
      </c>
      <c r="EX35" s="12">
        <v>28.0</v>
      </c>
      <c r="EY35" s="12">
        <v>29.0</v>
      </c>
      <c r="EZ35" s="12">
        <v>30.0</v>
      </c>
      <c r="FA35" s="12">
        <v>31.0</v>
      </c>
      <c r="FB35" s="57">
        <v>1.0</v>
      </c>
      <c r="FC35" s="57">
        <v>2.0</v>
      </c>
      <c r="FD35" s="11">
        <v>27.0</v>
      </c>
      <c r="FE35" s="12">
        <v>28.0</v>
      </c>
      <c r="FF35" s="57">
        <v>5.0</v>
      </c>
      <c r="FG35" s="58">
        <v>6.0</v>
      </c>
      <c r="FH35" s="57">
        <v>7.0</v>
      </c>
      <c r="FI35" s="57">
        <v>8.0</v>
      </c>
      <c r="FJ35" s="57">
        <v>9.0</v>
      </c>
      <c r="FK35" s="11">
        <v>27.0</v>
      </c>
      <c r="FL35" s="12">
        <v>28.0</v>
      </c>
      <c r="FM35" s="57">
        <v>12.0</v>
      </c>
      <c r="FN35" s="58">
        <v>13.0</v>
      </c>
      <c r="FO35" s="57">
        <v>14.0</v>
      </c>
      <c r="FP35" s="57">
        <v>15.0</v>
      </c>
      <c r="FQ35" s="57">
        <v>16.0</v>
      </c>
      <c r="FR35" s="11">
        <v>27.0</v>
      </c>
      <c r="FS35" s="12">
        <v>28.0</v>
      </c>
      <c r="FT35" s="57">
        <v>19.0</v>
      </c>
      <c r="FU35" s="58">
        <v>20.0</v>
      </c>
      <c r="FV35" s="57">
        <v>21.0</v>
      </c>
      <c r="FW35" s="57">
        <v>22.0</v>
      </c>
      <c r="FX35" s="57">
        <v>23.0</v>
      </c>
      <c r="FY35" s="11">
        <v>27.0</v>
      </c>
      <c r="FZ35" s="12">
        <v>28.0</v>
      </c>
      <c r="GA35" s="57">
        <v>26.0</v>
      </c>
      <c r="GB35" s="58">
        <v>27.0</v>
      </c>
      <c r="GC35" s="57">
        <v>28.0</v>
      </c>
      <c r="GD35" s="57">
        <v>29.0</v>
      </c>
      <c r="GE35" s="57">
        <v>30.0</v>
      </c>
      <c r="GF35" s="11">
        <v>27.0</v>
      </c>
      <c r="GG35" s="12">
        <v>28.0</v>
      </c>
      <c r="GH35" s="57">
        <v>2.0</v>
      </c>
      <c r="GI35" s="57">
        <v>3.0</v>
      </c>
      <c r="GJ35" s="57">
        <v>4.0</v>
      </c>
      <c r="GK35" s="57">
        <v>5.0</v>
      </c>
      <c r="GL35" s="57">
        <v>6.0</v>
      </c>
      <c r="GM35" s="11">
        <v>27.0</v>
      </c>
      <c r="GN35" s="12">
        <v>28.0</v>
      </c>
      <c r="GO35" s="57">
        <v>9.0</v>
      </c>
      <c r="GP35" s="57">
        <v>10.0</v>
      </c>
      <c r="GQ35" s="57">
        <v>11.0</v>
      </c>
      <c r="GR35" s="57">
        <v>12.0</v>
      </c>
      <c r="GS35" s="57">
        <v>13.0</v>
      </c>
      <c r="GT35" s="11">
        <v>27.0</v>
      </c>
      <c r="GU35" s="12">
        <v>28.0</v>
      </c>
      <c r="GV35" s="57">
        <v>16.0</v>
      </c>
      <c r="GW35" s="57">
        <v>17.0</v>
      </c>
      <c r="GX35" s="57">
        <v>18.0</v>
      </c>
      <c r="GY35" s="57">
        <v>19.0</v>
      </c>
      <c r="GZ35" s="57">
        <v>20.0</v>
      </c>
      <c r="HA35" s="11">
        <v>27.0</v>
      </c>
      <c r="HB35" s="12">
        <v>28.0</v>
      </c>
      <c r="HC35" s="57">
        <v>23.0</v>
      </c>
      <c r="HD35" s="57">
        <v>24.0</v>
      </c>
      <c r="HE35" s="57">
        <v>25.0</v>
      </c>
      <c r="HF35" s="57">
        <v>26.0</v>
      </c>
      <c r="HG35" s="57">
        <v>27.0</v>
      </c>
      <c r="HH35" s="11">
        <v>27.0</v>
      </c>
      <c r="HI35" s="12">
        <v>28.0</v>
      </c>
      <c r="HJ35" s="57">
        <v>30.0</v>
      </c>
    </row>
    <row r="36" ht="13.5" customHeight="1">
      <c r="A36" s="59" t="s">
        <v>7</v>
      </c>
      <c r="B36" s="60" t="s">
        <v>39</v>
      </c>
      <c r="C36" s="15">
        <v>100.0</v>
      </c>
      <c r="D36" s="16">
        <v>100.0</v>
      </c>
      <c r="E36" s="61"/>
      <c r="F36" s="62"/>
      <c r="G36" s="62"/>
      <c r="H36" s="61"/>
      <c r="I36" s="61"/>
      <c r="J36" s="61"/>
      <c r="K36" s="61"/>
      <c r="L36" s="61"/>
      <c r="M36" s="62"/>
      <c r="N36" s="62"/>
      <c r="O36" s="62"/>
      <c r="P36" s="61"/>
      <c r="Q36" s="61"/>
      <c r="R36" s="61"/>
      <c r="S36" s="61"/>
      <c r="T36" s="62"/>
      <c r="U36" s="62"/>
      <c r="V36" s="61"/>
      <c r="W36" s="61"/>
      <c r="X36" s="61"/>
      <c r="Y36" s="61"/>
      <c r="Z36" s="61"/>
      <c r="AA36" s="62"/>
      <c r="AB36" s="62"/>
      <c r="AC36" s="61"/>
      <c r="AD36" s="61"/>
      <c r="AE36" s="61"/>
      <c r="AF36" s="61"/>
      <c r="AG36" s="61"/>
      <c r="AH36" s="62"/>
      <c r="AI36" s="62"/>
      <c r="AJ36" s="61"/>
      <c r="AK36" s="61"/>
      <c r="AL36" s="61"/>
      <c r="AM36" s="61"/>
      <c r="AN36" s="61"/>
      <c r="AO36" s="62"/>
      <c r="AP36" s="62"/>
      <c r="AQ36" s="63"/>
      <c r="AR36" s="63"/>
      <c r="AS36" s="63"/>
      <c r="AT36" s="63"/>
      <c r="AU36" s="63"/>
      <c r="AV36" s="62"/>
      <c r="AW36" s="62"/>
      <c r="AX36" s="61"/>
      <c r="AY36" s="61"/>
      <c r="AZ36" s="61"/>
      <c r="BA36" s="61"/>
      <c r="BB36" s="64"/>
      <c r="BC36" s="65"/>
      <c r="BD36" s="65"/>
      <c r="BE36" s="64"/>
      <c r="BF36" s="64"/>
      <c r="BG36" s="64"/>
      <c r="BH36" s="64"/>
      <c r="BI36" s="64"/>
      <c r="BJ36" s="65"/>
      <c r="BK36" s="65"/>
      <c r="BL36" s="64"/>
      <c r="BM36" s="64"/>
      <c r="BN36" s="64"/>
      <c r="BO36" s="64"/>
      <c r="BP36" s="64"/>
      <c r="BQ36" s="65"/>
      <c r="BR36" s="65"/>
      <c r="BS36" s="64"/>
      <c r="BT36" s="64"/>
      <c r="BU36" s="64"/>
      <c r="BV36" s="64"/>
      <c r="BW36" s="64"/>
      <c r="BX36" s="65"/>
      <c r="BY36" s="65"/>
      <c r="BZ36" s="64"/>
      <c r="CA36" s="64"/>
      <c r="CB36" s="64"/>
      <c r="CC36" s="64"/>
      <c r="CD36" s="64"/>
      <c r="CE36" s="65"/>
      <c r="CF36" s="65"/>
      <c r="CG36" s="64"/>
      <c r="CH36" s="64"/>
      <c r="CI36" s="64"/>
      <c r="CJ36" s="64"/>
      <c r="CK36" s="64"/>
      <c r="CL36" s="65"/>
      <c r="CM36" s="65"/>
      <c r="CN36" s="64"/>
      <c r="CO36" s="64"/>
      <c r="CP36" s="64"/>
      <c r="CQ36" s="64"/>
      <c r="CR36" s="64"/>
      <c r="CS36" s="66"/>
      <c r="CT36" s="66"/>
      <c r="CU36" s="67"/>
      <c r="CV36" s="67"/>
      <c r="CW36" s="67"/>
      <c r="CX36" s="67"/>
      <c r="CY36" s="67"/>
      <c r="CZ36" s="66"/>
      <c r="DA36" s="66"/>
      <c r="DB36" s="67"/>
      <c r="DC36" s="67"/>
      <c r="DD36" s="67"/>
      <c r="DE36" s="67"/>
      <c r="DF36" s="67"/>
      <c r="DG36" s="66"/>
      <c r="DH36" s="66"/>
      <c r="DI36" s="67"/>
      <c r="DJ36" s="67"/>
      <c r="DK36" s="67"/>
      <c r="DL36" s="67"/>
      <c r="DM36" s="67"/>
      <c r="DN36" s="66"/>
      <c r="DO36" s="66"/>
      <c r="DP36" s="67"/>
      <c r="DQ36" s="67"/>
      <c r="DR36" s="67"/>
      <c r="DS36" s="67"/>
      <c r="DT36" s="67"/>
      <c r="DU36" s="66"/>
      <c r="DV36" s="66"/>
      <c r="DW36" s="67"/>
      <c r="DX36" s="67"/>
      <c r="DY36" s="67"/>
      <c r="DZ36" s="67"/>
      <c r="EA36" s="67"/>
      <c r="EB36" s="66"/>
      <c r="EC36" s="66"/>
      <c r="ED36" s="67"/>
      <c r="EE36" s="67"/>
      <c r="EF36" s="67"/>
      <c r="EG36" s="67"/>
      <c r="EH36" s="67"/>
      <c r="EI36" s="66"/>
      <c r="EJ36" s="66"/>
      <c r="EK36" s="67"/>
      <c r="EL36" s="67"/>
      <c r="EM36" s="67"/>
      <c r="EN36" s="67"/>
      <c r="EO36" s="67"/>
      <c r="EP36" s="66"/>
      <c r="EQ36" s="66"/>
      <c r="ER36" s="67"/>
      <c r="ES36" s="67"/>
      <c r="ET36" s="67"/>
      <c r="EU36" s="67"/>
      <c r="EV36" s="67"/>
      <c r="EW36" s="66"/>
      <c r="EX36" s="66"/>
      <c r="EY36" s="67"/>
      <c r="EZ36" s="67"/>
      <c r="FA36" s="67"/>
      <c r="FB36" s="64"/>
      <c r="FC36" s="64"/>
      <c r="FD36" s="66"/>
      <c r="FE36" s="66"/>
      <c r="FF36" s="64"/>
      <c r="FG36" s="64"/>
      <c r="FH36" s="64"/>
      <c r="FI36" s="64"/>
      <c r="FJ36" s="64"/>
      <c r="FK36" s="66"/>
      <c r="FL36" s="66"/>
      <c r="FM36" s="64"/>
      <c r="FN36" s="64"/>
      <c r="FO36" s="64"/>
      <c r="FP36" s="64"/>
      <c r="FQ36" s="64"/>
      <c r="FR36" s="66"/>
      <c r="FS36" s="66"/>
      <c r="FT36" s="64"/>
      <c r="FU36" s="64"/>
      <c r="FV36" s="64"/>
      <c r="FW36" s="64"/>
      <c r="FX36" s="64"/>
      <c r="FY36" s="66"/>
      <c r="FZ36" s="66"/>
      <c r="GA36" s="64"/>
      <c r="GB36" s="64"/>
      <c r="GC36" s="64"/>
      <c r="GD36" s="64"/>
      <c r="GE36" s="64"/>
      <c r="GF36" s="66"/>
      <c r="GG36" s="66"/>
      <c r="GH36" s="64"/>
      <c r="GI36" s="64"/>
      <c r="GJ36" s="64"/>
      <c r="GK36" s="64"/>
      <c r="GL36" s="64"/>
      <c r="GM36" s="66"/>
      <c r="GN36" s="66"/>
      <c r="GO36" s="64"/>
      <c r="GP36" s="64"/>
      <c r="GQ36" s="64"/>
      <c r="GR36" s="64"/>
      <c r="GS36" s="64"/>
      <c r="GT36" s="66"/>
      <c r="GU36" s="66"/>
      <c r="GV36" s="64"/>
      <c r="GW36" s="64"/>
      <c r="GX36" s="64"/>
      <c r="GY36" s="64"/>
      <c r="GZ36" s="64"/>
      <c r="HA36" s="66"/>
      <c r="HB36" s="66"/>
      <c r="HC36" s="64"/>
      <c r="HD36" s="64"/>
      <c r="HE36" s="64"/>
      <c r="HF36" s="64"/>
      <c r="HG36" s="64"/>
      <c r="HH36" s="66"/>
      <c r="HI36" s="66"/>
      <c r="HJ36" s="64"/>
    </row>
    <row r="37" ht="13.5" customHeight="1">
      <c r="A37" s="21"/>
      <c r="B37" s="68" t="s">
        <v>51</v>
      </c>
      <c r="C37" s="23">
        <v>30.0</v>
      </c>
      <c r="D37" s="23">
        <f>(D38+D41)</f>
        <v>30</v>
      </c>
      <c r="E37" s="69"/>
      <c r="F37" s="70"/>
      <c r="G37" s="70"/>
      <c r="H37" s="69"/>
      <c r="I37" s="69"/>
      <c r="J37" s="69"/>
      <c r="K37" s="69"/>
      <c r="L37" s="69"/>
      <c r="M37" s="70"/>
      <c r="N37" s="70"/>
      <c r="O37" s="70"/>
      <c r="P37" s="69"/>
      <c r="Q37" s="69"/>
      <c r="R37" s="69"/>
      <c r="S37" s="69"/>
      <c r="T37" s="70"/>
      <c r="U37" s="70"/>
      <c r="V37" s="69"/>
      <c r="W37" s="69"/>
      <c r="X37" s="69"/>
      <c r="Y37" s="69"/>
      <c r="Z37" s="69"/>
      <c r="AA37" s="70"/>
      <c r="AB37" s="70"/>
      <c r="AC37" s="69"/>
      <c r="AD37" s="69"/>
      <c r="AE37" s="69"/>
      <c r="AF37" s="69"/>
      <c r="AG37" s="69"/>
      <c r="AH37" s="70"/>
      <c r="AI37" s="70"/>
      <c r="AJ37" s="69"/>
      <c r="AK37" s="69"/>
      <c r="AL37" s="69"/>
      <c r="AM37" s="69"/>
      <c r="AN37" s="69"/>
      <c r="AO37" s="70"/>
      <c r="AP37" s="70"/>
      <c r="AQ37" s="71"/>
      <c r="AR37" s="71"/>
      <c r="AS37" s="71"/>
      <c r="AT37" s="71"/>
      <c r="AU37" s="71"/>
      <c r="AV37" s="70"/>
      <c r="AW37" s="70"/>
      <c r="AX37" s="69"/>
      <c r="AY37" s="69"/>
      <c r="AZ37" s="69"/>
      <c r="BA37" s="69"/>
      <c r="BB37" s="72"/>
      <c r="BC37" s="73"/>
      <c r="BD37" s="73"/>
      <c r="BE37" s="72"/>
      <c r="BF37" s="72"/>
      <c r="BG37" s="72"/>
      <c r="BH37" s="72"/>
      <c r="BI37" s="72"/>
      <c r="BJ37" s="73"/>
      <c r="BK37" s="73"/>
      <c r="BL37" s="72"/>
      <c r="BM37" s="72"/>
      <c r="BN37" s="72"/>
      <c r="BO37" s="72"/>
      <c r="BP37" s="72"/>
      <c r="BQ37" s="73"/>
      <c r="BR37" s="73"/>
      <c r="BS37" s="72"/>
      <c r="BT37" s="72"/>
      <c r="BU37" s="72"/>
      <c r="BV37" s="72"/>
      <c r="BW37" s="72"/>
      <c r="BX37" s="73"/>
      <c r="BY37" s="73"/>
      <c r="BZ37" s="72"/>
      <c r="CA37" s="72"/>
      <c r="CB37" s="72"/>
      <c r="CC37" s="72"/>
      <c r="CD37" s="72"/>
      <c r="CE37" s="73"/>
      <c r="CF37" s="73"/>
      <c r="CG37" s="72"/>
      <c r="CH37" s="72"/>
      <c r="CI37" s="72"/>
      <c r="CJ37" s="72"/>
      <c r="CK37" s="72"/>
      <c r="CL37" s="73"/>
      <c r="CM37" s="73"/>
      <c r="CN37" s="72"/>
      <c r="CO37" s="72"/>
      <c r="CP37" s="72"/>
      <c r="CQ37" s="72"/>
      <c r="CR37" s="72"/>
      <c r="CS37" s="74"/>
      <c r="CT37" s="66"/>
      <c r="CU37" s="75"/>
      <c r="CV37" s="67"/>
      <c r="CW37" s="67"/>
      <c r="CX37" s="67"/>
      <c r="CY37" s="67"/>
      <c r="CZ37" s="74"/>
      <c r="DA37" s="66"/>
      <c r="DB37" s="67"/>
      <c r="DC37" s="67"/>
      <c r="DD37" s="67"/>
      <c r="DE37" s="67"/>
      <c r="DF37" s="67"/>
      <c r="DG37" s="74"/>
      <c r="DH37" s="66"/>
      <c r="DI37" s="67"/>
      <c r="DJ37" s="67"/>
      <c r="DK37" s="67"/>
      <c r="DL37" s="67"/>
      <c r="DM37" s="67"/>
      <c r="DN37" s="74"/>
      <c r="DO37" s="66"/>
      <c r="DP37" s="67"/>
      <c r="DQ37" s="67"/>
      <c r="DR37" s="67"/>
      <c r="DS37" s="67"/>
      <c r="DT37" s="67"/>
      <c r="DU37" s="74"/>
      <c r="DV37" s="66"/>
      <c r="DW37" s="67"/>
      <c r="DX37" s="67"/>
      <c r="DY37" s="67"/>
      <c r="DZ37" s="67"/>
      <c r="EA37" s="67"/>
      <c r="EB37" s="74"/>
      <c r="EC37" s="66"/>
      <c r="ED37" s="67"/>
      <c r="EE37" s="67"/>
      <c r="EF37" s="67"/>
      <c r="EG37" s="67"/>
      <c r="EH37" s="67"/>
      <c r="EI37" s="74"/>
      <c r="EJ37" s="66"/>
      <c r="EK37" s="67"/>
      <c r="EL37" s="67"/>
      <c r="EM37" s="67"/>
      <c r="EN37" s="67"/>
      <c r="EO37" s="67"/>
      <c r="EP37" s="74"/>
      <c r="EQ37" s="66"/>
      <c r="ER37" s="67"/>
      <c r="ES37" s="67"/>
      <c r="ET37" s="67"/>
      <c r="EU37" s="67"/>
      <c r="EV37" s="67"/>
      <c r="EW37" s="74"/>
      <c r="EX37" s="66"/>
      <c r="EY37" s="67"/>
      <c r="EZ37" s="67"/>
      <c r="FA37" s="67"/>
      <c r="FB37" s="64"/>
      <c r="FC37" s="64"/>
      <c r="FD37" s="74"/>
      <c r="FE37" s="66"/>
      <c r="FF37" s="64"/>
      <c r="FG37" s="64"/>
      <c r="FH37" s="64"/>
      <c r="FI37" s="64"/>
      <c r="FJ37" s="64"/>
      <c r="FK37" s="74"/>
      <c r="FL37" s="66"/>
      <c r="FM37" s="64"/>
      <c r="FN37" s="64"/>
      <c r="FO37" s="64"/>
      <c r="FP37" s="64"/>
      <c r="FQ37" s="64"/>
      <c r="FR37" s="74"/>
      <c r="FS37" s="66"/>
      <c r="FT37" s="64"/>
      <c r="FU37" s="64"/>
      <c r="FV37" s="64"/>
      <c r="FW37" s="64"/>
      <c r="FX37" s="64"/>
      <c r="FY37" s="74"/>
      <c r="FZ37" s="66"/>
      <c r="GA37" s="64"/>
      <c r="GB37" s="64"/>
      <c r="GC37" s="64"/>
      <c r="GD37" s="64"/>
      <c r="GE37" s="64"/>
      <c r="GF37" s="74"/>
      <c r="GG37" s="66"/>
      <c r="GH37" s="64"/>
      <c r="GI37" s="64"/>
      <c r="GJ37" s="64"/>
      <c r="GK37" s="64"/>
      <c r="GL37" s="64"/>
      <c r="GM37" s="74"/>
      <c r="GN37" s="66"/>
      <c r="GO37" s="64"/>
      <c r="GP37" s="64"/>
      <c r="GQ37" s="64"/>
      <c r="GR37" s="64"/>
      <c r="GS37" s="64"/>
      <c r="GT37" s="74"/>
      <c r="GU37" s="66"/>
      <c r="GV37" s="64"/>
      <c r="GW37" s="64"/>
      <c r="GX37" s="64"/>
      <c r="GY37" s="64"/>
      <c r="GZ37" s="64"/>
      <c r="HA37" s="74"/>
      <c r="HB37" s="66"/>
      <c r="HC37" s="64"/>
      <c r="HD37" s="64"/>
      <c r="HE37" s="64"/>
      <c r="HF37" s="64"/>
      <c r="HG37" s="64"/>
      <c r="HH37" s="74"/>
      <c r="HI37" s="66"/>
      <c r="HJ37" s="64"/>
    </row>
    <row r="38" ht="13.5" customHeight="1">
      <c r="A38" s="21"/>
      <c r="B38" s="31" t="s">
        <v>10</v>
      </c>
      <c r="C38" s="16">
        <v>5.0</v>
      </c>
      <c r="D38" s="16">
        <f>sum(D39:D40)</f>
        <v>5</v>
      </c>
      <c r="E38" s="69"/>
      <c r="F38" s="70"/>
      <c r="G38" s="70"/>
      <c r="H38" s="69"/>
      <c r="I38" s="69"/>
      <c r="J38" s="69"/>
      <c r="K38" s="69"/>
      <c r="L38" s="69"/>
      <c r="M38" s="70"/>
      <c r="N38" s="70"/>
      <c r="O38" s="70"/>
      <c r="P38" s="69"/>
      <c r="Q38" s="69"/>
      <c r="R38" s="69"/>
      <c r="S38" s="69"/>
      <c r="T38" s="70"/>
      <c r="U38" s="70"/>
      <c r="V38" s="69"/>
      <c r="W38" s="69"/>
      <c r="X38" s="69"/>
      <c r="Y38" s="69"/>
      <c r="Z38" s="69"/>
      <c r="AA38" s="70"/>
      <c r="AB38" s="70"/>
      <c r="AC38" s="69"/>
      <c r="AD38" s="69"/>
      <c r="AE38" s="69"/>
      <c r="AF38" s="69"/>
      <c r="AG38" s="69"/>
      <c r="AH38" s="70"/>
      <c r="AI38" s="70"/>
      <c r="AJ38" s="69"/>
      <c r="AK38" s="69"/>
      <c r="AL38" s="69"/>
      <c r="AM38" s="69"/>
      <c r="AN38" s="69"/>
      <c r="AO38" s="70"/>
      <c r="AP38" s="70"/>
      <c r="AQ38" s="71"/>
      <c r="AR38" s="71"/>
      <c r="AS38" s="71"/>
      <c r="AT38" s="71"/>
      <c r="AU38" s="71"/>
      <c r="AV38" s="70"/>
      <c r="AW38" s="70"/>
      <c r="AX38" s="69"/>
      <c r="AY38" s="69"/>
      <c r="AZ38" s="69"/>
      <c r="BA38" s="69"/>
      <c r="BB38" s="72"/>
      <c r="BC38" s="73"/>
      <c r="BD38" s="73"/>
      <c r="BE38" s="72"/>
      <c r="BF38" s="72"/>
      <c r="BG38" s="72"/>
      <c r="BH38" s="72"/>
      <c r="BI38" s="72"/>
      <c r="BJ38" s="73"/>
      <c r="BK38" s="73"/>
      <c r="BL38" s="72"/>
      <c r="BM38" s="72"/>
      <c r="BN38" s="72"/>
      <c r="BO38" s="72"/>
      <c r="BP38" s="72"/>
      <c r="BQ38" s="73"/>
      <c r="BR38" s="73"/>
      <c r="BS38" s="72"/>
      <c r="BT38" s="72"/>
      <c r="BU38" s="72"/>
      <c r="BV38" s="72"/>
      <c r="BW38" s="72"/>
      <c r="BX38" s="73"/>
      <c r="BY38" s="73"/>
      <c r="BZ38" s="72"/>
      <c r="CA38" s="72"/>
      <c r="CB38" s="72"/>
      <c r="CC38" s="72"/>
      <c r="CD38" s="72"/>
      <c r="CE38" s="73"/>
      <c r="CF38" s="73"/>
      <c r="CG38" s="72"/>
      <c r="CH38" s="72"/>
      <c r="CI38" s="72"/>
      <c r="CJ38" s="72"/>
      <c r="CK38" s="72"/>
      <c r="CL38" s="73"/>
      <c r="CM38" s="73"/>
      <c r="CN38" s="72"/>
      <c r="CO38" s="72"/>
      <c r="CP38" s="72"/>
      <c r="CQ38" s="72"/>
      <c r="CR38" s="72"/>
      <c r="CS38" s="74"/>
      <c r="CT38" s="66"/>
      <c r="CU38" s="75"/>
      <c r="CV38" s="67"/>
      <c r="CW38" s="67"/>
      <c r="CX38" s="67"/>
      <c r="CY38" s="67"/>
      <c r="CZ38" s="74"/>
      <c r="DA38" s="66"/>
      <c r="DB38" s="67"/>
      <c r="DC38" s="67"/>
      <c r="DD38" s="67"/>
      <c r="DE38" s="67"/>
      <c r="DF38" s="67"/>
      <c r="DG38" s="74"/>
      <c r="DH38" s="66"/>
      <c r="DI38" s="67"/>
      <c r="DJ38" s="67"/>
      <c r="DK38" s="67"/>
      <c r="DL38" s="67"/>
      <c r="DM38" s="67"/>
      <c r="DN38" s="74"/>
      <c r="DO38" s="66"/>
      <c r="DP38" s="67"/>
      <c r="DQ38" s="67"/>
      <c r="DR38" s="67"/>
      <c r="DS38" s="67"/>
      <c r="DT38" s="67"/>
      <c r="DU38" s="74"/>
      <c r="DV38" s="66"/>
      <c r="DW38" s="67"/>
      <c r="DX38" s="67"/>
      <c r="DY38" s="67"/>
      <c r="DZ38" s="67"/>
      <c r="EA38" s="67"/>
      <c r="EB38" s="74"/>
      <c r="EC38" s="66"/>
      <c r="ED38" s="67"/>
      <c r="EE38" s="67"/>
      <c r="EF38" s="67"/>
      <c r="EG38" s="67"/>
      <c r="EH38" s="67"/>
      <c r="EI38" s="74"/>
      <c r="EJ38" s="66"/>
      <c r="EK38" s="67"/>
      <c r="EL38" s="67"/>
      <c r="EM38" s="67"/>
      <c r="EN38" s="67"/>
      <c r="EO38" s="67"/>
      <c r="EP38" s="74"/>
      <c r="EQ38" s="66"/>
      <c r="ER38" s="67"/>
      <c r="ES38" s="67"/>
      <c r="ET38" s="67"/>
      <c r="EU38" s="67"/>
      <c r="EV38" s="67"/>
      <c r="EW38" s="74"/>
      <c r="EX38" s="66"/>
      <c r="EY38" s="67"/>
      <c r="EZ38" s="67"/>
      <c r="FA38" s="67"/>
      <c r="FB38" s="64"/>
      <c r="FC38" s="64"/>
      <c r="FD38" s="74"/>
      <c r="FE38" s="66"/>
      <c r="FF38" s="64"/>
      <c r="FG38" s="64"/>
      <c r="FH38" s="64"/>
      <c r="FI38" s="64"/>
      <c r="FJ38" s="64"/>
      <c r="FK38" s="74"/>
      <c r="FL38" s="66"/>
      <c r="FM38" s="64"/>
      <c r="FN38" s="64"/>
      <c r="FO38" s="64"/>
      <c r="FP38" s="64"/>
      <c r="FQ38" s="64"/>
      <c r="FR38" s="74"/>
      <c r="FS38" s="66"/>
      <c r="FT38" s="64"/>
      <c r="FU38" s="64"/>
      <c r="FV38" s="64"/>
      <c r="FW38" s="64"/>
      <c r="FX38" s="64"/>
      <c r="FY38" s="74"/>
      <c r="FZ38" s="66"/>
      <c r="GA38" s="64"/>
      <c r="GB38" s="64"/>
      <c r="GC38" s="64"/>
      <c r="GD38" s="64"/>
      <c r="GE38" s="64"/>
      <c r="GF38" s="74"/>
      <c r="GG38" s="66"/>
      <c r="GH38" s="64"/>
      <c r="GI38" s="64"/>
      <c r="GJ38" s="64"/>
      <c r="GK38" s="64"/>
      <c r="GL38" s="64"/>
      <c r="GM38" s="74"/>
      <c r="GN38" s="66"/>
      <c r="GO38" s="64"/>
      <c r="GP38" s="64"/>
      <c r="GQ38" s="64"/>
      <c r="GR38" s="64"/>
      <c r="GS38" s="64"/>
      <c r="GT38" s="74"/>
      <c r="GU38" s="66"/>
      <c r="GV38" s="64"/>
      <c r="GW38" s="64"/>
      <c r="GX38" s="64"/>
      <c r="GY38" s="64"/>
      <c r="GZ38" s="64"/>
      <c r="HA38" s="74"/>
      <c r="HB38" s="66"/>
      <c r="HC38" s="64"/>
      <c r="HD38" s="64"/>
      <c r="HE38" s="64"/>
      <c r="HF38" s="64"/>
      <c r="HG38" s="64"/>
      <c r="HH38" s="74"/>
      <c r="HI38" s="66"/>
      <c r="HJ38" s="64"/>
    </row>
    <row r="39" ht="13.5" customHeight="1">
      <c r="A39" s="21"/>
      <c r="B39" s="35" t="s">
        <v>52</v>
      </c>
      <c r="C39" s="33">
        <v>2.0</v>
      </c>
      <c r="D39" s="16">
        <f t="shared" ref="D39:D40" si="11">sum(E39:HJ39)</f>
        <v>2</v>
      </c>
      <c r="E39" s="69">
        <v>1.0</v>
      </c>
      <c r="F39" s="70"/>
      <c r="G39" s="70"/>
      <c r="H39" s="69"/>
      <c r="I39" s="69"/>
      <c r="J39" s="69">
        <v>1.0</v>
      </c>
      <c r="K39" s="69"/>
      <c r="L39" s="69"/>
      <c r="M39" s="70"/>
      <c r="N39" s="70"/>
      <c r="O39" s="70"/>
      <c r="P39" s="69"/>
      <c r="Q39" s="69"/>
      <c r="R39" s="69"/>
      <c r="S39" s="69"/>
      <c r="T39" s="70"/>
      <c r="U39" s="70"/>
      <c r="V39" s="69"/>
      <c r="W39" s="69"/>
      <c r="X39" s="69"/>
      <c r="Y39" s="69"/>
      <c r="Z39" s="69"/>
      <c r="AA39" s="70"/>
      <c r="AB39" s="70"/>
      <c r="AC39" s="69"/>
      <c r="AD39" s="69"/>
      <c r="AE39" s="69"/>
      <c r="AF39" s="69"/>
      <c r="AG39" s="69"/>
      <c r="AH39" s="70"/>
      <c r="AI39" s="70"/>
      <c r="AJ39" s="69"/>
      <c r="AK39" s="69"/>
      <c r="AL39" s="69"/>
      <c r="AM39" s="69"/>
      <c r="AN39" s="69"/>
      <c r="AO39" s="70"/>
      <c r="AP39" s="70"/>
      <c r="AQ39" s="71"/>
      <c r="AR39" s="71"/>
      <c r="AS39" s="71"/>
      <c r="AT39" s="71"/>
      <c r="AU39" s="71"/>
      <c r="AV39" s="70"/>
      <c r="AW39" s="70"/>
      <c r="AX39" s="69"/>
      <c r="AY39" s="69"/>
      <c r="AZ39" s="69"/>
      <c r="BA39" s="69"/>
      <c r="BB39" s="72"/>
      <c r="BC39" s="73"/>
      <c r="BD39" s="73"/>
      <c r="BE39" s="72"/>
      <c r="BF39" s="72"/>
      <c r="BG39" s="72"/>
      <c r="BH39" s="72"/>
      <c r="BI39" s="72"/>
      <c r="BJ39" s="73"/>
      <c r="BK39" s="73"/>
      <c r="BL39" s="72"/>
      <c r="BM39" s="72"/>
      <c r="BN39" s="72"/>
      <c r="BO39" s="72"/>
      <c r="BP39" s="72"/>
      <c r="BQ39" s="73"/>
      <c r="BR39" s="73"/>
      <c r="BS39" s="72"/>
      <c r="BT39" s="72"/>
      <c r="BU39" s="72"/>
      <c r="BV39" s="72"/>
      <c r="BW39" s="72"/>
      <c r="BX39" s="73"/>
      <c r="BY39" s="73"/>
      <c r="BZ39" s="72"/>
      <c r="CA39" s="72"/>
      <c r="CB39" s="72"/>
      <c r="CC39" s="72"/>
      <c r="CD39" s="72"/>
      <c r="CE39" s="73"/>
      <c r="CF39" s="73"/>
      <c r="CG39" s="72"/>
      <c r="CH39" s="72"/>
      <c r="CI39" s="72"/>
      <c r="CJ39" s="72"/>
      <c r="CK39" s="72"/>
      <c r="CL39" s="73"/>
      <c r="CM39" s="73"/>
      <c r="CN39" s="72"/>
      <c r="CO39" s="72"/>
      <c r="CP39" s="72"/>
      <c r="CQ39" s="72"/>
      <c r="CR39" s="72"/>
      <c r="CS39" s="74"/>
      <c r="CT39" s="66"/>
      <c r="CU39" s="75"/>
      <c r="CV39" s="67"/>
      <c r="CW39" s="67"/>
      <c r="CX39" s="67"/>
      <c r="CY39" s="67"/>
      <c r="CZ39" s="74"/>
      <c r="DA39" s="66"/>
      <c r="DB39" s="67"/>
      <c r="DC39" s="67"/>
      <c r="DD39" s="67"/>
      <c r="DE39" s="67"/>
      <c r="DF39" s="67"/>
      <c r="DG39" s="74"/>
      <c r="DH39" s="66"/>
      <c r="DI39" s="67"/>
      <c r="DJ39" s="67"/>
      <c r="DK39" s="67"/>
      <c r="DL39" s="67"/>
      <c r="DM39" s="67"/>
      <c r="DN39" s="74"/>
      <c r="DO39" s="66"/>
      <c r="DP39" s="67"/>
      <c r="DQ39" s="67"/>
      <c r="DR39" s="67"/>
      <c r="DS39" s="67"/>
      <c r="DT39" s="67"/>
      <c r="DU39" s="74"/>
      <c r="DV39" s="66"/>
      <c r="DW39" s="67"/>
      <c r="DX39" s="67"/>
      <c r="DY39" s="67"/>
      <c r="DZ39" s="67"/>
      <c r="EA39" s="67"/>
      <c r="EB39" s="74"/>
      <c r="EC39" s="66"/>
      <c r="ED39" s="67"/>
      <c r="EE39" s="67"/>
      <c r="EF39" s="67"/>
      <c r="EG39" s="67"/>
      <c r="EH39" s="67"/>
      <c r="EI39" s="74"/>
      <c r="EJ39" s="66"/>
      <c r="EK39" s="67"/>
      <c r="EL39" s="67"/>
      <c r="EM39" s="67"/>
      <c r="EN39" s="67"/>
      <c r="EO39" s="67"/>
      <c r="EP39" s="74"/>
      <c r="EQ39" s="66"/>
      <c r="ER39" s="67"/>
      <c r="ES39" s="67"/>
      <c r="ET39" s="67"/>
      <c r="EU39" s="67"/>
      <c r="EV39" s="67"/>
      <c r="EW39" s="74"/>
      <c r="EX39" s="66"/>
      <c r="EY39" s="67"/>
      <c r="EZ39" s="67"/>
      <c r="FA39" s="67"/>
      <c r="FB39" s="64"/>
      <c r="FC39" s="64"/>
      <c r="FD39" s="74"/>
      <c r="FE39" s="66"/>
      <c r="FF39" s="64"/>
      <c r="FG39" s="64"/>
      <c r="FH39" s="64"/>
      <c r="FI39" s="64"/>
      <c r="FJ39" s="64"/>
      <c r="FK39" s="74"/>
      <c r="FL39" s="66"/>
      <c r="FM39" s="64"/>
      <c r="FN39" s="64"/>
      <c r="FO39" s="64"/>
      <c r="FP39" s="64"/>
      <c r="FQ39" s="64"/>
      <c r="FR39" s="74"/>
      <c r="FS39" s="66"/>
      <c r="FT39" s="64"/>
      <c r="FU39" s="64"/>
      <c r="FV39" s="64"/>
      <c r="FW39" s="64"/>
      <c r="FX39" s="64"/>
      <c r="FY39" s="74"/>
      <c r="FZ39" s="66"/>
      <c r="GA39" s="64"/>
      <c r="GB39" s="64"/>
      <c r="GC39" s="64"/>
      <c r="GD39" s="64"/>
      <c r="GE39" s="64"/>
      <c r="GF39" s="74"/>
      <c r="GG39" s="66"/>
      <c r="GH39" s="64"/>
      <c r="GI39" s="64"/>
      <c r="GJ39" s="64"/>
      <c r="GK39" s="64"/>
      <c r="GL39" s="64"/>
      <c r="GM39" s="74"/>
      <c r="GN39" s="66"/>
      <c r="GO39" s="64"/>
      <c r="GP39" s="64"/>
      <c r="GQ39" s="64"/>
      <c r="GR39" s="64"/>
      <c r="GS39" s="64"/>
      <c r="GT39" s="74"/>
      <c r="GU39" s="66"/>
      <c r="GV39" s="64"/>
      <c r="GW39" s="64"/>
      <c r="GX39" s="64"/>
      <c r="GY39" s="64"/>
      <c r="GZ39" s="64"/>
      <c r="HA39" s="74"/>
      <c r="HB39" s="66"/>
      <c r="HC39" s="64"/>
      <c r="HD39" s="64"/>
      <c r="HE39" s="64"/>
      <c r="HF39" s="64"/>
      <c r="HG39" s="64"/>
      <c r="HH39" s="74"/>
      <c r="HI39" s="66"/>
      <c r="HJ39" s="64"/>
    </row>
    <row r="40" ht="13.5" customHeight="1">
      <c r="A40" s="21"/>
      <c r="B40" s="35" t="s">
        <v>53</v>
      </c>
      <c r="C40" s="33">
        <v>3.0</v>
      </c>
      <c r="D40" s="16">
        <f t="shared" si="11"/>
        <v>3</v>
      </c>
      <c r="E40" s="61"/>
      <c r="F40" s="62"/>
      <c r="G40" s="62"/>
      <c r="H40" s="61"/>
      <c r="I40" s="61"/>
      <c r="J40" s="61"/>
      <c r="K40" s="61"/>
      <c r="L40" s="61">
        <v>1.0</v>
      </c>
      <c r="M40" s="62"/>
      <c r="N40" s="62"/>
      <c r="O40" s="62"/>
      <c r="P40" s="61">
        <v>0.5</v>
      </c>
      <c r="Q40" s="61"/>
      <c r="R40" s="61"/>
      <c r="S40" s="61"/>
      <c r="T40" s="62"/>
      <c r="U40" s="62"/>
      <c r="V40" s="61"/>
      <c r="W40" s="61"/>
      <c r="X40" s="61">
        <v>1.0</v>
      </c>
      <c r="Y40" s="61"/>
      <c r="Z40" s="61"/>
      <c r="AA40" s="62"/>
      <c r="AB40" s="62"/>
      <c r="AC40" s="61">
        <v>0.5</v>
      </c>
      <c r="AD40" s="61"/>
      <c r="AE40" s="61"/>
      <c r="AF40" s="61"/>
      <c r="AG40" s="61"/>
      <c r="AH40" s="62"/>
      <c r="AI40" s="62"/>
      <c r="AJ40" s="61"/>
      <c r="AK40" s="61"/>
      <c r="AL40" s="61"/>
      <c r="AM40" s="61"/>
      <c r="AN40" s="61"/>
      <c r="AO40" s="62"/>
      <c r="AP40" s="62"/>
      <c r="AQ40" s="63"/>
      <c r="AR40" s="63"/>
      <c r="AS40" s="63"/>
      <c r="AT40" s="63"/>
      <c r="AU40" s="63"/>
      <c r="AV40" s="62"/>
      <c r="AW40" s="62"/>
      <c r="AX40" s="61"/>
      <c r="AY40" s="61"/>
      <c r="AZ40" s="61"/>
      <c r="BA40" s="61"/>
      <c r="BB40" s="64"/>
      <c r="BC40" s="65"/>
      <c r="BD40" s="65"/>
      <c r="BE40" s="64"/>
      <c r="BF40" s="64"/>
      <c r="BG40" s="64"/>
      <c r="BH40" s="64"/>
      <c r="BI40" s="64"/>
      <c r="BJ40" s="65"/>
      <c r="BK40" s="65"/>
      <c r="BL40" s="64"/>
      <c r="BM40" s="64"/>
      <c r="BN40" s="64"/>
      <c r="BO40" s="64"/>
      <c r="BP40" s="64"/>
      <c r="BQ40" s="65"/>
      <c r="BR40" s="65"/>
      <c r="BS40" s="64"/>
      <c r="BT40" s="64"/>
      <c r="BU40" s="64"/>
      <c r="BV40" s="64"/>
      <c r="BW40" s="64"/>
      <c r="BX40" s="65"/>
      <c r="BY40" s="65"/>
      <c r="BZ40" s="64"/>
      <c r="CA40" s="64"/>
      <c r="CB40" s="64"/>
      <c r="CC40" s="64"/>
      <c r="CD40" s="64"/>
      <c r="CE40" s="65"/>
      <c r="CF40" s="65"/>
      <c r="CG40" s="64"/>
      <c r="CH40" s="64"/>
      <c r="CI40" s="64"/>
      <c r="CJ40" s="64"/>
      <c r="CK40" s="64"/>
      <c r="CL40" s="65"/>
      <c r="CM40" s="65"/>
      <c r="CN40" s="64"/>
      <c r="CO40" s="64"/>
      <c r="CP40" s="64"/>
      <c r="CQ40" s="64"/>
      <c r="CR40" s="64"/>
      <c r="CS40" s="66"/>
      <c r="CT40" s="66"/>
      <c r="CU40" s="67"/>
      <c r="CV40" s="67"/>
      <c r="CW40" s="67"/>
      <c r="CX40" s="67"/>
      <c r="CY40" s="67"/>
      <c r="CZ40" s="66"/>
      <c r="DA40" s="66"/>
      <c r="DB40" s="67"/>
      <c r="DC40" s="67"/>
      <c r="DD40" s="67"/>
      <c r="DE40" s="67"/>
      <c r="DF40" s="67"/>
      <c r="DG40" s="66"/>
      <c r="DH40" s="66"/>
      <c r="DI40" s="67"/>
      <c r="DJ40" s="67"/>
      <c r="DK40" s="67"/>
      <c r="DL40" s="67"/>
      <c r="DM40" s="67"/>
      <c r="DN40" s="66"/>
      <c r="DO40" s="66"/>
      <c r="DP40" s="67"/>
      <c r="DQ40" s="67"/>
      <c r="DR40" s="67"/>
      <c r="DS40" s="67"/>
      <c r="DT40" s="67"/>
      <c r="DU40" s="66"/>
      <c r="DV40" s="66"/>
      <c r="DW40" s="67"/>
      <c r="DX40" s="67"/>
      <c r="DY40" s="67"/>
      <c r="DZ40" s="67"/>
      <c r="EA40" s="67"/>
      <c r="EB40" s="66"/>
      <c r="EC40" s="66"/>
      <c r="ED40" s="67"/>
      <c r="EE40" s="67"/>
      <c r="EF40" s="67"/>
      <c r="EG40" s="67"/>
      <c r="EH40" s="67"/>
      <c r="EI40" s="66"/>
      <c r="EJ40" s="66"/>
      <c r="EK40" s="67"/>
      <c r="EL40" s="67"/>
      <c r="EM40" s="67"/>
      <c r="EN40" s="67"/>
      <c r="EO40" s="67"/>
      <c r="EP40" s="66"/>
      <c r="EQ40" s="66"/>
      <c r="ER40" s="67"/>
      <c r="ES40" s="67"/>
      <c r="ET40" s="67"/>
      <c r="EU40" s="67"/>
      <c r="EV40" s="67"/>
      <c r="EW40" s="66"/>
      <c r="EX40" s="66"/>
      <c r="EY40" s="67"/>
      <c r="EZ40" s="67"/>
      <c r="FA40" s="67"/>
      <c r="FB40" s="64"/>
      <c r="FC40" s="64"/>
      <c r="FD40" s="66"/>
      <c r="FE40" s="66"/>
      <c r="FF40" s="64"/>
      <c r="FG40" s="64"/>
      <c r="FH40" s="64"/>
      <c r="FI40" s="64"/>
      <c r="FJ40" s="64"/>
      <c r="FK40" s="66"/>
      <c r="FL40" s="66"/>
      <c r="FM40" s="64"/>
      <c r="FN40" s="64"/>
      <c r="FO40" s="64"/>
      <c r="FP40" s="64"/>
      <c r="FQ40" s="64"/>
      <c r="FR40" s="66"/>
      <c r="FS40" s="66"/>
      <c r="FT40" s="64"/>
      <c r="FU40" s="64"/>
      <c r="FV40" s="64"/>
      <c r="FW40" s="64"/>
      <c r="FX40" s="64"/>
      <c r="FY40" s="66"/>
      <c r="FZ40" s="66"/>
      <c r="GA40" s="64"/>
      <c r="GB40" s="64"/>
      <c r="GC40" s="64"/>
      <c r="GD40" s="64"/>
      <c r="GE40" s="64"/>
      <c r="GF40" s="66"/>
      <c r="GG40" s="66"/>
      <c r="GH40" s="64"/>
      <c r="GI40" s="64"/>
      <c r="GJ40" s="64"/>
      <c r="GK40" s="64"/>
      <c r="GL40" s="64"/>
      <c r="GM40" s="66"/>
      <c r="GN40" s="66"/>
      <c r="GO40" s="64"/>
      <c r="GP40" s="64"/>
      <c r="GQ40" s="64"/>
      <c r="GR40" s="64"/>
      <c r="GS40" s="64"/>
      <c r="GT40" s="66"/>
      <c r="GU40" s="66"/>
      <c r="GV40" s="64"/>
      <c r="GW40" s="64"/>
      <c r="GX40" s="64"/>
      <c r="GY40" s="64"/>
      <c r="GZ40" s="64"/>
      <c r="HA40" s="66"/>
      <c r="HB40" s="66"/>
      <c r="HC40" s="64"/>
      <c r="HD40" s="64"/>
      <c r="HE40" s="64"/>
      <c r="HF40" s="64"/>
      <c r="HG40" s="64"/>
      <c r="HH40" s="66"/>
      <c r="HI40" s="66"/>
      <c r="HJ40" s="64"/>
    </row>
    <row r="41" ht="13.5" customHeight="1">
      <c r="A41" s="21"/>
      <c r="B41" s="31" t="s">
        <v>12</v>
      </c>
      <c r="C41" s="16">
        <v>25.0</v>
      </c>
      <c r="D41" s="16">
        <f>sum(D42:D43)</f>
        <v>25</v>
      </c>
      <c r="E41" s="61"/>
      <c r="F41" s="62"/>
      <c r="G41" s="62"/>
      <c r="H41" s="61"/>
      <c r="I41" s="61"/>
      <c r="J41" s="61"/>
      <c r="K41" s="61"/>
      <c r="L41" s="61"/>
      <c r="M41" s="62"/>
      <c r="N41" s="62"/>
      <c r="O41" s="62"/>
      <c r="P41" s="61"/>
      <c r="Q41" s="61"/>
      <c r="R41" s="61"/>
      <c r="S41" s="61"/>
      <c r="T41" s="62"/>
      <c r="U41" s="62"/>
      <c r="V41" s="61"/>
      <c r="W41" s="61"/>
      <c r="X41" s="61"/>
      <c r="Y41" s="61"/>
      <c r="Z41" s="61"/>
      <c r="AA41" s="62"/>
      <c r="AB41" s="62"/>
      <c r="AC41" s="61"/>
      <c r="AD41" s="61"/>
      <c r="AE41" s="61"/>
      <c r="AF41" s="61"/>
      <c r="AG41" s="61"/>
      <c r="AH41" s="62"/>
      <c r="AI41" s="62"/>
      <c r="AJ41" s="61"/>
      <c r="AK41" s="61"/>
      <c r="AL41" s="61"/>
      <c r="AM41" s="61"/>
      <c r="AN41" s="61"/>
      <c r="AO41" s="62"/>
      <c r="AP41" s="62"/>
      <c r="AQ41" s="63"/>
      <c r="AR41" s="63"/>
      <c r="AS41" s="63"/>
      <c r="AT41" s="63"/>
      <c r="AU41" s="63"/>
      <c r="AV41" s="62"/>
      <c r="AW41" s="62"/>
      <c r="AX41" s="61"/>
      <c r="AY41" s="61"/>
      <c r="AZ41" s="61"/>
      <c r="BA41" s="61"/>
      <c r="BB41" s="64"/>
      <c r="BC41" s="65"/>
      <c r="BD41" s="65"/>
      <c r="BE41" s="64"/>
      <c r="BF41" s="64"/>
      <c r="BG41" s="64"/>
      <c r="BH41" s="64"/>
      <c r="BI41" s="64"/>
      <c r="BJ41" s="65"/>
      <c r="BK41" s="65"/>
      <c r="BL41" s="64"/>
      <c r="BM41" s="64"/>
      <c r="BN41" s="64"/>
      <c r="BO41" s="64"/>
      <c r="BP41" s="64"/>
      <c r="BQ41" s="65"/>
      <c r="BR41" s="65"/>
      <c r="BS41" s="64"/>
      <c r="BT41" s="64"/>
      <c r="BU41" s="64"/>
      <c r="BV41" s="64"/>
      <c r="BW41" s="64"/>
      <c r="BX41" s="65"/>
      <c r="BY41" s="65"/>
      <c r="BZ41" s="64"/>
      <c r="CA41" s="64"/>
      <c r="CB41" s="64"/>
      <c r="CC41" s="64"/>
      <c r="CD41" s="64"/>
      <c r="CE41" s="65"/>
      <c r="CF41" s="65"/>
      <c r="CG41" s="64"/>
      <c r="CH41" s="64"/>
      <c r="CI41" s="64"/>
      <c r="CJ41" s="64"/>
      <c r="CK41" s="64"/>
      <c r="CL41" s="65"/>
      <c r="CM41" s="65"/>
      <c r="CN41" s="64"/>
      <c r="CO41" s="64"/>
      <c r="CP41" s="64"/>
      <c r="CQ41" s="64"/>
      <c r="CR41" s="64"/>
      <c r="CS41" s="66"/>
      <c r="CT41" s="66"/>
      <c r="CU41" s="67"/>
      <c r="CV41" s="67"/>
      <c r="CW41" s="67"/>
      <c r="CX41" s="67"/>
      <c r="CY41" s="67"/>
      <c r="CZ41" s="66"/>
      <c r="DA41" s="66"/>
      <c r="DB41" s="67"/>
      <c r="DC41" s="67"/>
      <c r="DD41" s="67"/>
      <c r="DE41" s="67"/>
      <c r="DF41" s="67"/>
      <c r="DG41" s="66"/>
      <c r="DH41" s="66"/>
      <c r="DI41" s="67"/>
      <c r="DJ41" s="67"/>
      <c r="DK41" s="67"/>
      <c r="DL41" s="67"/>
      <c r="DM41" s="67"/>
      <c r="DN41" s="66"/>
      <c r="DO41" s="66"/>
      <c r="DP41" s="67"/>
      <c r="DQ41" s="67"/>
      <c r="DR41" s="67"/>
      <c r="DS41" s="67"/>
      <c r="DT41" s="67"/>
      <c r="DU41" s="66"/>
      <c r="DV41" s="66"/>
      <c r="DW41" s="67"/>
      <c r="DX41" s="67"/>
      <c r="DY41" s="67"/>
      <c r="DZ41" s="67"/>
      <c r="EA41" s="67"/>
      <c r="EB41" s="66"/>
      <c r="EC41" s="66"/>
      <c r="ED41" s="67"/>
      <c r="EE41" s="67"/>
      <c r="EF41" s="67"/>
      <c r="EG41" s="67"/>
      <c r="EH41" s="67"/>
      <c r="EI41" s="66"/>
      <c r="EJ41" s="66"/>
      <c r="EK41" s="67"/>
      <c r="EL41" s="67"/>
      <c r="EM41" s="67"/>
      <c r="EN41" s="67"/>
      <c r="EO41" s="67"/>
      <c r="EP41" s="66"/>
      <c r="EQ41" s="66"/>
      <c r="ER41" s="67"/>
      <c r="ES41" s="67"/>
      <c r="ET41" s="67"/>
      <c r="EU41" s="67"/>
      <c r="EV41" s="67"/>
      <c r="EW41" s="66"/>
      <c r="EX41" s="66"/>
      <c r="EY41" s="67"/>
      <c r="EZ41" s="67"/>
      <c r="FA41" s="67"/>
      <c r="FB41" s="64"/>
      <c r="FC41" s="64"/>
      <c r="FD41" s="66"/>
      <c r="FE41" s="66"/>
      <c r="FF41" s="64"/>
      <c r="FG41" s="64"/>
      <c r="FH41" s="64"/>
      <c r="FI41" s="64"/>
      <c r="FJ41" s="64"/>
      <c r="FK41" s="66"/>
      <c r="FL41" s="66"/>
      <c r="FM41" s="64"/>
      <c r="FN41" s="64"/>
      <c r="FO41" s="64"/>
      <c r="FP41" s="64"/>
      <c r="FQ41" s="64"/>
      <c r="FR41" s="66"/>
      <c r="FS41" s="66"/>
      <c r="FT41" s="64"/>
      <c r="FU41" s="64"/>
      <c r="FV41" s="64"/>
      <c r="FW41" s="64"/>
      <c r="FX41" s="64"/>
      <c r="FY41" s="66"/>
      <c r="FZ41" s="66"/>
      <c r="GA41" s="64"/>
      <c r="GB41" s="64"/>
      <c r="GC41" s="64"/>
      <c r="GD41" s="64"/>
      <c r="GE41" s="64"/>
      <c r="GF41" s="66"/>
      <c r="GG41" s="66"/>
      <c r="GH41" s="64"/>
      <c r="GI41" s="64"/>
      <c r="GJ41" s="64"/>
      <c r="GK41" s="64"/>
      <c r="GL41" s="64"/>
      <c r="GM41" s="66"/>
      <c r="GN41" s="66"/>
      <c r="GO41" s="64"/>
      <c r="GP41" s="64"/>
      <c r="GQ41" s="64"/>
      <c r="GR41" s="64"/>
      <c r="GS41" s="64"/>
      <c r="GT41" s="66"/>
      <c r="GU41" s="66"/>
      <c r="GV41" s="64"/>
      <c r="GW41" s="64"/>
      <c r="GX41" s="64"/>
      <c r="GY41" s="64"/>
      <c r="GZ41" s="64"/>
      <c r="HA41" s="66"/>
      <c r="HB41" s="66"/>
      <c r="HC41" s="64"/>
      <c r="HD41" s="64"/>
      <c r="HE41" s="64"/>
      <c r="HF41" s="64"/>
      <c r="HG41" s="64"/>
      <c r="HH41" s="66"/>
      <c r="HI41" s="66"/>
      <c r="HJ41" s="64"/>
    </row>
    <row r="42" ht="13.5" customHeight="1">
      <c r="A42" s="21"/>
      <c r="B42" s="35" t="s">
        <v>13</v>
      </c>
      <c r="C42" s="33">
        <v>10.0</v>
      </c>
      <c r="D42" s="16">
        <f t="shared" ref="D42:D43" si="12">sum(E42:HJ42)</f>
        <v>10</v>
      </c>
      <c r="E42" s="61"/>
      <c r="F42" s="62"/>
      <c r="G42" s="62"/>
      <c r="H42" s="61"/>
      <c r="I42" s="61"/>
      <c r="J42" s="61"/>
      <c r="K42" s="61">
        <v>0.5</v>
      </c>
      <c r="L42" s="61">
        <v>1.0</v>
      </c>
      <c r="M42" s="62"/>
      <c r="N42" s="62"/>
      <c r="O42" s="62"/>
      <c r="P42" s="61"/>
      <c r="Q42" s="61">
        <v>0.5</v>
      </c>
      <c r="R42" s="61">
        <v>0.5</v>
      </c>
      <c r="S42" s="61">
        <v>0.5</v>
      </c>
      <c r="T42" s="62"/>
      <c r="U42" s="62"/>
      <c r="V42" s="61">
        <v>1.0</v>
      </c>
      <c r="W42" s="61">
        <v>1.0</v>
      </c>
      <c r="X42" s="61">
        <v>1.0</v>
      </c>
      <c r="Y42" s="61">
        <v>0.5</v>
      </c>
      <c r="Z42" s="61">
        <v>1.0</v>
      </c>
      <c r="AA42" s="62"/>
      <c r="AB42" s="62"/>
      <c r="AC42" s="61">
        <v>1.0</v>
      </c>
      <c r="AD42" s="61">
        <v>1.0</v>
      </c>
      <c r="AE42" s="61">
        <v>0.5</v>
      </c>
      <c r="AF42" s="61"/>
      <c r="AG42" s="61"/>
      <c r="AH42" s="62"/>
      <c r="AI42" s="62"/>
      <c r="AJ42" s="61"/>
      <c r="AK42" s="61"/>
      <c r="AL42" s="61"/>
      <c r="AM42" s="61"/>
      <c r="AN42" s="61"/>
      <c r="AO42" s="62"/>
      <c r="AP42" s="62"/>
      <c r="AQ42" s="63"/>
      <c r="AR42" s="63"/>
      <c r="AS42" s="63"/>
      <c r="AT42" s="63"/>
      <c r="AU42" s="63"/>
      <c r="AV42" s="62"/>
      <c r="AW42" s="62"/>
      <c r="AX42" s="61"/>
      <c r="AY42" s="61"/>
      <c r="AZ42" s="61"/>
      <c r="BA42" s="61"/>
      <c r="BB42" s="64"/>
      <c r="BC42" s="65"/>
      <c r="BD42" s="65"/>
      <c r="BE42" s="64"/>
      <c r="BF42" s="64"/>
      <c r="BG42" s="64"/>
      <c r="BH42" s="64"/>
      <c r="BI42" s="64"/>
      <c r="BJ42" s="65"/>
      <c r="BK42" s="65"/>
      <c r="BL42" s="64"/>
      <c r="BM42" s="64"/>
      <c r="BN42" s="64"/>
      <c r="BO42" s="64"/>
      <c r="BP42" s="64"/>
      <c r="BQ42" s="65"/>
      <c r="BR42" s="65"/>
      <c r="BS42" s="64"/>
      <c r="BT42" s="64"/>
      <c r="BU42" s="64"/>
      <c r="BV42" s="64"/>
      <c r="BW42" s="64"/>
      <c r="BX42" s="65"/>
      <c r="BY42" s="65"/>
      <c r="BZ42" s="64"/>
      <c r="CA42" s="64"/>
      <c r="CB42" s="64"/>
      <c r="CC42" s="64"/>
      <c r="CD42" s="64"/>
      <c r="CE42" s="65"/>
      <c r="CF42" s="65"/>
      <c r="CG42" s="64"/>
      <c r="CH42" s="64"/>
      <c r="CI42" s="64"/>
      <c r="CJ42" s="64"/>
      <c r="CK42" s="64"/>
      <c r="CL42" s="65"/>
      <c r="CM42" s="65"/>
      <c r="CN42" s="64"/>
      <c r="CO42" s="64"/>
      <c r="CP42" s="64"/>
      <c r="CQ42" s="64"/>
      <c r="CR42" s="64"/>
      <c r="CS42" s="66"/>
      <c r="CT42" s="66"/>
      <c r="CU42" s="67"/>
      <c r="CV42" s="67"/>
      <c r="CW42" s="67"/>
      <c r="CX42" s="67"/>
      <c r="CY42" s="67"/>
      <c r="CZ42" s="66"/>
      <c r="DA42" s="66"/>
      <c r="DB42" s="67"/>
      <c r="DC42" s="67"/>
      <c r="DD42" s="67"/>
      <c r="DE42" s="67"/>
      <c r="DF42" s="67"/>
      <c r="DG42" s="66"/>
      <c r="DH42" s="66"/>
      <c r="DI42" s="67"/>
      <c r="DJ42" s="67"/>
      <c r="DK42" s="67"/>
      <c r="DL42" s="67"/>
      <c r="DM42" s="67"/>
      <c r="DN42" s="66"/>
      <c r="DO42" s="66"/>
      <c r="DP42" s="67"/>
      <c r="DQ42" s="67"/>
      <c r="DR42" s="67"/>
      <c r="DS42" s="67"/>
      <c r="DT42" s="67"/>
      <c r="DU42" s="66"/>
      <c r="DV42" s="66"/>
      <c r="DW42" s="67"/>
      <c r="DX42" s="67"/>
      <c r="DY42" s="67"/>
      <c r="DZ42" s="67"/>
      <c r="EA42" s="67"/>
      <c r="EB42" s="66"/>
      <c r="EC42" s="66"/>
      <c r="ED42" s="67"/>
      <c r="EE42" s="67"/>
      <c r="EF42" s="67"/>
      <c r="EG42" s="67"/>
      <c r="EH42" s="67"/>
      <c r="EI42" s="66"/>
      <c r="EJ42" s="66"/>
      <c r="EK42" s="67"/>
      <c r="EL42" s="67"/>
      <c r="EM42" s="67"/>
      <c r="EN42" s="67"/>
      <c r="EO42" s="67"/>
      <c r="EP42" s="66"/>
      <c r="EQ42" s="66"/>
      <c r="ER42" s="67"/>
      <c r="ES42" s="67"/>
      <c r="ET42" s="67"/>
      <c r="EU42" s="67"/>
      <c r="EV42" s="67"/>
      <c r="EW42" s="66"/>
      <c r="EX42" s="66"/>
      <c r="EY42" s="67"/>
      <c r="EZ42" s="67"/>
      <c r="FA42" s="67"/>
      <c r="FB42" s="64"/>
      <c r="FC42" s="64"/>
      <c r="FD42" s="66"/>
      <c r="FE42" s="66"/>
      <c r="FF42" s="64"/>
      <c r="FG42" s="64"/>
      <c r="FH42" s="64"/>
      <c r="FI42" s="64"/>
      <c r="FJ42" s="64"/>
      <c r="FK42" s="66"/>
      <c r="FL42" s="66"/>
      <c r="FM42" s="64"/>
      <c r="FN42" s="64"/>
      <c r="FO42" s="64"/>
      <c r="FP42" s="64"/>
      <c r="FQ42" s="64"/>
      <c r="FR42" s="66"/>
      <c r="FS42" s="66"/>
      <c r="FT42" s="64"/>
      <c r="FU42" s="64"/>
      <c r="FV42" s="64"/>
      <c r="FW42" s="64"/>
      <c r="FX42" s="64"/>
      <c r="FY42" s="66"/>
      <c r="FZ42" s="66"/>
      <c r="GA42" s="64"/>
      <c r="GB42" s="64"/>
      <c r="GC42" s="64"/>
      <c r="GD42" s="64"/>
      <c r="GE42" s="64"/>
      <c r="GF42" s="66"/>
      <c r="GG42" s="66"/>
      <c r="GH42" s="64"/>
      <c r="GI42" s="64"/>
      <c r="GJ42" s="64"/>
      <c r="GK42" s="64"/>
      <c r="GL42" s="64"/>
      <c r="GM42" s="66"/>
      <c r="GN42" s="66"/>
      <c r="GO42" s="64"/>
      <c r="GP42" s="64"/>
      <c r="GQ42" s="64"/>
      <c r="GR42" s="64"/>
      <c r="GS42" s="64"/>
      <c r="GT42" s="66"/>
      <c r="GU42" s="66"/>
      <c r="GV42" s="64"/>
      <c r="GW42" s="64"/>
      <c r="GX42" s="64"/>
      <c r="GY42" s="64"/>
      <c r="GZ42" s="64"/>
      <c r="HA42" s="66"/>
      <c r="HB42" s="66"/>
      <c r="HC42" s="64"/>
      <c r="HD42" s="64"/>
      <c r="HE42" s="64"/>
      <c r="HF42" s="64"/>
      <c r="HG42" s="64"/>
      <c r="HH42" s="66"/>
      <c r="HI42" s="66"/>
      <c r="HJ42" s="64"/>
    </row>
    <row r="43" ht="13.5" customHeight="1">
      <c r="A43" s="21"/>
      <c r="B43" s="76" t="s">
        <v>14</v>
      </c>
      <c r="C43" s="33">
        <v>15.0</v>
      </c>
      <c r="D43" s="16">
        <f t="shared" si="12"/>
        <v>15</v>
      </c>
      <c r="E43" s="69"/>
      <c r="F43" s="70"/>
      <c r="G43" s="70"/>
      <c r="H43" s="69"/>
      <c r="I43" s="69"/>
      <c r="J43" s="69"/>
      <c r="K43" s="69"/>
      <c r="L43" s="69"/>
      <c r="M43" s="70"/>
      <c r="N43" s="70"/>
      <c r="O43" s="70"/>
      <c r="P43" s="69"/>
      <c r="Q43" s="69"/>
      <c r="R43" s="69"/>
      <c r="S43" s="69"/>
      <c r="T43" s="70"/>
      <c r="U43" s="70"/>
      <c r="V43" s="69">
        <v>0.5</v>
      </c>
      <c r="W43" s="69">
        <v>0.5</v>
      </c>
      <c r="X43" s="69">
        <v>0.5</v>
      </c>
      <c r="Y43" s="69">
        <v>0.5</v>
      </c>
      <c r="Z43" s="69">
        <v>0.5</v>
      </c>
      <c r="AA43" s="70"/>
      <c r="AB43" s="70"/>
      <c r="AC43" s="69">
        <v>0.5</v>
      </c>
      <c r="AD43" s="69">
        <v>1.0</v>
      </c>
      <c r="AE43" s="69">
        <v>1.0</v>
      </c>
      <c r="AF43" s="69">
        <v>1.0</v>
      </c>
      <c r="AG43" s="69">
        <v>1.0</v>
      </c>
      <c r="AH43" s="70"/>
      <c r="AI43" s="70"/>
      <c r="AJ43" s="69">
        <v>2.0</v>
      </c>
      <c r="AK43" s="69">
        <v>1.0</v>
      </c>
      <c r="AL43" s="69">
        <v>1.0</v>
      </c>
      <c r="AM43" s="69">
        <v>1.0</v>
      </c>
      <c r="AN43" s="69"/>
      <c r="AO43" s="70"/>
      <c r="AP43" s="70"/>
      <c r="AQ43" s="71"/>
      <c r="AR43" s="71"/>
      <c r="AS43" s="71"/>
      <c r="AT43" s="71"/>
      <c r="AU43" s="71"/>
      <c r="AV43" s="70"/>
      <c r="AW43" s="70"/>
      <c r="AX43" s="69">
        <v>0.5</v>
      </c>
      <c r="AY43" s="69"/>
      <c r="AZ43" s="69">
        <v>0.5</v>
      </c>
      <c r="BA43" s="69"/>
      <c r="BB43" s="64"/>
      <c r="BC43" s="65"/>
      <c r="BD43" s="65"/>
      <c r="BE43" s="64">
        <v>0.5</v>
      </c>
      <c r="BF43" s="64">
        <v>0.5</v>
      </c>
      <c r="BG43" s="64"/>
      <c r="BH43" s="64"/>
      <c r="BI43" s="64"/>
      <c r="BJ43" s="65"/>
      <c r="BK43" s="65"/>
      <c r="BL43" s="64"/>
      <c r="BM43" s="64"/>
      <c r="BN43" s="64"/>
      <c r="BO43" s="64"/>
      <c r="BP43" s="64"/>
      <c r="BQ43" s="65"/>
      <c r="BR43" s="65"/>
      <c r="BS43" s="64"/>
      <c r="BT43" s="64"/>
      <c r="BU43" s="64"/>
      <c r="BV43" s="64"/>
      <c r="BW43" s="64"/>
      <c r="BX43" s="65"/>
      <c r="BY43" s="65"/>
      <c r="BZ43" s="64">
        <v>0.5</v>
      </c>
      <c r="CA43" s="64"/>
      <c r="CB43" s="64"/>
      <c r="CC43" s="64"/>
      <c r="CD43" s="64"/>
      <c r="CE43" s="65"/>
      <c r="CF43" s="65"/>
      <c r="CG43" s="64">
        <v>0.5</v>
      </c>
      <c r="CH43" s="64"/>
      <c r="CI43" s="64"/>
      <c r="CJ43" s="64"/>
      <c r="CK43" s="64"/>
      <c r="CL43" s="65"/>
      <c r="CM43" s="65"/>
      <c r="CN43" s="64"/>
      <c r="CO43" s="64"/>
      <c r="CP43" s="64"/>
      <c r="CQ43" s="64"/>
      <c r="CR43" s="64"/>
      <c r="CS43" s="66"/>
      <c r="CT43" s="66"/>
      <c r="CU43" s="67"/>
      <c r="CV43" s="67"/>
      <c r="CW43" s="67"/>
      <c r="CX43" s="67"/>
      <c r="CY43" s="67"/>
      <c r="CZ43" s="66"/>
      <c r="DA43" s="66"/>
      <c r="DB43" s="67"/>
      <c r="DC43" s="67"/>
      <c r="DD43" s="67"/>
      <c r="DE43" s="67"/>
      <c r="DF43" s="67"/>
      <c r="DG43" s="66"/>
      <c r="DH43" s="66"/>
      <c r="DI43" s="67"/>
      <c r="DJ43" s="67"/>
      <c r="DK43" s="67"/>
      <c r="DL43" s="67"/>
      <c r="DM43" s="67"/>
      <c r="DN43" s="66"/>
      <c r="DO43" s="66"/>
      <c r="DP43" s="67"/>
      <c r="DQ43" s="67"/>
      <c r="DR43" s="67"/>
      <c r="DS43" s="67"/>
      <c r="DT43" s="67"/>
      <c r="DU43" s="66"/>
      <c r="DV43" s="66"/>
      <c r="DW43" s="67"/>
      <c r="DX43" s="67"/>
      <c r="DY43" s="67"/>
      <c r="DZ43" s="67"/>
      <c r="EA43" s="67"/>
      <c r="EB43" s="66"/>
      <c r="EC43" s="66"/>
      <c r="ED43" s="67"/>
      <c r="EE43" s="67"/>
      <c r="EF43" s="67"/>
      <c r="EG43" s="67"/>
      <c r="EH43" s="67"/>
      <c r="EI43" s="66"/>
      <c r="EJ43" s="66"/>
      <c r="EK43" s="67"/>
      <c r="EL43" s="67"/>
      <c r="EM43" s="67"/>
      <c r="EN43" s="67"/>
      <c r="EO43" s="67"/>
      <c r="EP43" s="66"/>
      <c r="EQ43" s="66"/>
      <c r="ER43" s="67"/>
      <c r="ES43" s="67"/>
      <c r="ET43" s="67"/>
      <c r="EU43" s="67"/>
      <c r="EV43" s="67"/>
      <c r="EW43" s="66"/>
      <c r="EX43" s="66"/>
      <c r="EY43" s="67"/>
      <c r="EZ43" s="67"/>
      <c r="FA43" s="67"/>
      <c r="FB43" s="64"/>
      <c r="FC43" s="64"/>
      <c r="FD43" s="66"/>
      <c r="FE43" s="66"/>
      <c r="FF43" s="64"/>
      <c r="FG43" s="64"/>
      <c r="FH43" s="64"/>
      <c r="FI43" s="64"/>
      <c r="FJ43" s="64"/>
      <c r="FK43" s="66"/>
      <c r="FL43" s="66"/>
      <c r="FM43" s="64"/>
      <c r="FN43" s="64"/>
      <c r="FO43" s="64"/>
      <c r="FP43" s="64"/>
      <c r="FQ43" s="64"/>
      <c r="FR43" s="66"/>
      <c r="FS43" s="66"/>
      <c r="FT43" s="64"/>
      <c r="FU43" s="64"/>
      <c r="FV43" s="64"/>
      <c r="FW43" s="64"/>
      <c r="FX43" s="64"/>
      <c r="FY43" s="66"/>
      <c r="FZ43" s="66"/>
      <c r="GA43" s="64"/>
      <c r="GB43" s="64"/>
      <c r="GC43" s="64"/>
      <c r="GD43" s="64"/>
      <c r="GE43" s="64"/>
      <c r="GF43" s="66"/>
      <c r="GG43" s="66"/>
      <c r="GH43" s="64"/>
      <c r="GI43" s="64"/>
      <c r="GJ43" s="64"/>
      <c r="GK43" s="64"/>
      <c r="GL43" s="64"/>
      <c r="GM43" s="66"/>
      <c r="GN43" s="66"/>
      <c r="GO43" s="64"/>
      <c r="GP43" s="64"/>
      <c r="GQ43" s="64"/>
      <c r="GR43" s="64"/>
      <c r="GS43" s="64"/>
      <c r="GT43" s="66"/>
      <c r="GU43" s="66"/>
      <c r="GV43" s="64"/>
      <c r="GW43" s="64"/>
      <c r="GX43" s="64"/>
      <c r="GY43" s="64"/>
      <c r="GZ43" s="64"/>
      <c r="HA43" s="66"/>
      <c r="HB43" s="66"/>
      <c r="HC43" s="64"/>
      <c r="HD43" s="64"/>
      <c r="HE43" s="64"/>
      <c r="HF43" s="64"/>
      <c r="HG43" s="64"/>
      <c r="HH43" s="66"/>
      <c r="HI43" s="66"/>
      <c r="HJ43" s="64"/>
    </row>
    <row r="44" ht="13.5" customHeight="1">
      <c r="A44" s="59"/>
      <c r="B44" s="68" t="s">
        <v>42</v>
      </c>
      <c r="C44" s="23">
        <v>69.0</v>
      </c>
      <c r="D44" s="77">
        <f>(D45+D49+D53+D56+D57)</f>
        <v>69</v>
      </c>
      <c r="E44" s="61"/>
      <c r="F44" s="62"/>
      <c r="G44" s="62"/>
      <c r="H44" s="61"/>
      <c r="I44" s="61"/>
      <c r="J44" s="61"/>
      <c r="K44" s="61"/>
      <c r="L44" s="61"/>
      <c r="M44" s="62"/>
      <c r="N44" s="62"/>
      <c r="O44" s="62"/>
      <c r="P44" s="61"/>
      <c r="Q44" s="61"/>
      <c r="R44" s="61"/>
      <c r="S44" s="61"/>
      <c r="T44" s="62"/>
      <c r="U44" s="62"/>
      <c r="V44" s="61"/>
      <c r="W44" s="61"/>
      <c r="X44" s="61"/>
      <c r="Y44" s="61"/>
      <c r="Z44" s="61"/>
      <c r="AA44" s="62"/>
      <c r="AB44" s="62"/>
      <c r="AC44" s="61"/>
      <c r="AD44" s="61"/>
      <c r="AE44" s="61"/>
      <c r="AF44" s="61"/>
      <c r="AG44" s="61"/>
      <c r="AH44" s="62"/>
      <c r="AI44" s="62"/>
      <c r="AJ44" s="61"/>
      <c r="AK44" s="61"/>
      <c r="AL44" s="61"/>
      <c r="AM44" s="61"/>
      <c r="AN44" s="61"/>
      <c r="AO44" s="62"/>
      <c r="AP44" s="62"/>
      <c r="AQ44" s="63"/>
      <c r="AR44" s="63"/>
      <c r="AS44" s="63"/>
      <c r="AT44" s="63"/>
      <c r="AU44" s="63"/>
      <c r="AV44" s="62"/>
      <c r="AW44" s="62"/>
      <c r="AX44" s="61"/>
      <c r="AY44" s="61"/>
      <c r="AZ44" s="61"/>
      <c r="BA44" s="61"/>
      <c r="BB44" s="64"/>
      <c r="BC44" s="65"/>
      <c r="BD44" s="65"/>
      <c r="BE44" s="64"/>
      <c r="BF44" s="64"/>
      <c r="BG44" s="64"/>
      <c r="BH44" s="64"/>
      <c r="BI44" s="64"/>
      <c r="BJ44" s="65"/>
      <c r="BK44" s="65"/>
      <c r="BL44" s="64"/>
      <c r="BM44" s="64"/>
      <c r="BN44" s="64"/>
      <c r="BO44" s="64"/>
      <c r="BP44" s="64"/>
      <c r="BQ44" s="65"/>
      <c r="BR44" s="65"/>
      <c r="BS44" s="64"/>
      <c r="BT44" s="64"/>
      <c r="BU44" s="64"/>
      <c r="BV44" s="64"/>
      <c r="BW44" s="64"/>
      <c r="BX44" s="65"/>
      <c r="BY44" s="65"/>
      <c r="BZ44" s="64"/>
      <c r="CA44" s="64"/>
      <c r="CB44" s="64"/>
      <c r="CC44" s="64"/>
      <c r="CD44" s="64"/>
      <c r="CE44" s="65"/>
      <c r="CF44" s="65"/>
      <c r="CG44" s="64"/>
      <c r="CH44" s="64"/>
      <c r="CI44" s="64"/>
      <c r="CJ44" s="64"/>
      <c r="CK44" s="64"/>
      <c r="CL44" s="65"/>
      <c r="CM44" s="65"/>
      <c r="CN44" s="64"/>
      <c r="CO44" s="64"/>
      <c r="CP44" s="64"/>
      <c r="CQ44" s="64"/>
      <c r="CR44" s="64"/>
      <c r="CS44" s="66"/>
      <c r="CT44" s="66"/>
      <c r="CU44" s="67"/>
      <c r="CV44" s="67"/>
      <c r="CW44" s="67"/>
      <c r="CX44" s="67"/>
      <c r="CY44" s="67"/>
      <c r="CZ44" s="66"/>
      <c r="DA44" s="66"/>
      <c r="DB44" s="67"/>
      <c r="DC44" s="67"/>
      <c r="DD44" s="67"/>
      <c r="DE44" s="67"/>
      <c r="DF44" s="67"/>
      <c r="DG44" s="66"/>
      <c r="DH44" s="66"/>
      <c r="DI44" s="67"/>
      <c r="DJ44" s="67"/>
      <c r="DK44" s="67"/>
      <c r="DL44" s="67"/>
      <c r="DM44" s="67"/>
      <c r="DN44" s="66"/>
      <c r="DO44" s="66"/>
      <c r="DP44" s="67"/>
      <c r="DQ44" s="67"/>
      <c r="DR44" s="67"/>
      <c r="DS44" s="67"/>
      <c r="DT44" s="67"/>
      <c r="DU44" s="66"/>
      <c r="DV44" s="66"/>
      <c r="DW44" s="67"/>
      <c r="DX44" s="67"/>
      <c r="DY44" s="67"/>
      <c r="DZ44" s="67"/>
      <c r="EA44" s="67"/>
      <c r="EB44" s="66"/>
      <c r="EC44" s="66"/>
      <c r="ED44" s="67"/>
      <c r="EE44" s="67"/>
      <c r="EF44" s="67"/>
      <c r="EG44" s="67"/>
      <c r="EH44" s="67"/>
      <c r="EI44" s="66"/>
      <c r="EJ44" s="66"/>
      <c r="EK44" s="67"/>
      <c r="EL44" s="67"/>
      <c r="EM44" s="67"/>
      <c r="EN44" s="67"/>
      <c r="EO44" s="67"/>
      <c r="EP44" s="66"/>
      <c r="EQ44" s="66"/>
      <c r="ER44" s="67"/>
      <c r="ES44" s="67"/>
      <c r="ET44" s="67"/>
      <c r="EU44" s="67"/>
      <c r="EV44" s="67"/>
      <c r="EW44" s="66"/>
      <c r="EX44" s="66"/>
      <c r="EY44" s="67"/>
      <c r="EZ44" s="67"/>
      <c r="FA44" s="67"/>
      <c r="FB44" s="64"/>
      <c r="FC44" s="64"/>
      <c r="FD44" s="66"/>
      <c r="FE44" s="66"/>
      <c r="FF44" s="64"/>
      <c r="FG44" s="64"/>
      <c r="FH44" s="64"/>
      <c r="FI44" s="64"/>
      <c r="FJ44" s="64"/>
      <c r="FK44" s="66"/>
      <c r="FL44" s="66"/>
      <c r="FM44" s="64"/>
      <c r="FN44" s="64"/>
      <c r="FO44" s="64"/>
      <c r="FP44" s="64"/>
      <c r="FQ44" s="64"/>
      <c r="FR44" s="66"/>
      <c r="FS44" s="66"/>
      <c r="FT44" s="64"/>
      <c r="FU44" s="64"/>
      <c r="FV44" s="64"/>
      <c r="FW44" s="64"/>
      <c r="FX44" s="64"/>
      <c r="FY44" s="66"/>
      <c r="FZ44" s="66"/>
      <c r="GA44" s="64"/>
      <c r="GB44" s="64"/>
      <c r="GC44" s="64"/>
      <c r="GD44" s="64"/>
      <c r="GE44" s="64"/>
      <c r="GF44" s="66"/>
      <c r="GG44" s="66"/>
      <c r="GH44" s="64"/>
      <c r="GI44" s="64"/>
      <c r="GJ44" s="64"/>
      <c r="GK44" s="64"/>
      <c r="GL44" s="64"/>
      <c r="GM44" s="66"/>
      <c r="GN44" s="66"/>
      <c r="GO44" s="64"/>
      <c r="GP44" s="64"/>
      <c r="GQ44" s="64"/>
      <c r="GR44" s="64"/>
      <c r="GS44" s="64"/>
      <c r="GT44" s="66"/>
      <c r="GU44" s="66"/>
      <c r="GV44" s="64"/>
      <c r="GW44" s="64"/>
      <c r="GX44" s="64"/>
      <c r="GY44" s="64"/>
      <c r="GZ44" s="64"/>
      <c r="HA44" s="66"/>
      <c r="HB44" s="66"/>
      <c r="HC44" s="64"/>
      <c r="HD44" s="64"/>
      <c r="HE44" s="64"/>
      <c r="HF44" s="64"/>
      <c r="HG44" s="64"/>
      <c r="HH44" s="66"/>
      <c r="HI44" s="66"/>
      <c r="HJ44" s="64"/>
    </row>
    <row r="45" ht="13.5" customHeight="1">
      <c r="A45" s="59" t="s">
        <v>16</v>
      </c>
      <c r="B45" s="31" t="s">
        <v>18</v>
      </c>
      <c r="C45" s="16">
        <v>33.0</v>
      </c>
      <c r="D45" s="16">
        <f>sum(D46:D48)</f>
        <v>33</v>
      </c>
      <c r="E45" s="61"/>
      <c r="F45" s="62"/>
      <c r="G45" s="62"/>
      <c r="H45" s="61"/>
      <c r="I45" s="61"/>
      <c r="J45" s="61"/>
      <c r="K45" s="61"/>
      <c r="L45" s="61"/>
      <c r="M45" s="62"/>
      <c r="N45" s="62"/>
      <c r="O45" s="62"/>
      <c r="P45" s="61"/>
      <c r="Q45" s="61"/>
      <c r="R45" s="61"/>
      <c r="S45" s="61"/>
      <c r="T45" s="62"/>
      <c r="U45" s="62"/>
      <c r="V45" s="61"/>
      <c r="W45" s="61"/>
      <c r="X45" s="61"/>
      <c r="Y45" s="61"/>
      <c r="Z45" s="61"/>
      <c r="AA45" s="62"/>
      <c r="AB45" s="62"/>
      <c r="AC45" s="61"/>
      <c r="AD45" s="61"/>
      <c r="AE45" s="61"/>
      <c r="AF45" s="61"/>
      <c r="AG45" s="61"/>
      <c r="AH45" s="62"/>
      <c r="AI45" s="62"/>
      <c r="AJ45" s="61"/>
      <c r="AK45" s="61"/>
      <c r="AL45" s="61"/>
      <c r="AM45" s="61"/>
      <c r="AN45" s="61"/>
      <c r="AO45" s="62"/>
      <c r="AP45" s="62"/>
      <c r="AQ45" s="63"/>
      <c r="AR45" s="63"/>
      <c r="AS45" s="63"/>
      <c r="AT45" s="63"/>
      <c r="AU45" s="63"/>
      <c r="AV45" s="62"/>
      <c r="AW45" s="62"/>
      <c r="AX45" s="61"/>
      <c r="AY45" s="61"/>
      <c r="AZ45" s="61"/>
      <c r="BA45" s="61"/>
      <c r="BB45" s="64"/>
      <c r="BC45" s="65"/>
      <c r="BD45" s="65"/>
      <c r="BE45" s="64"/>
      <c r="BF45" s="64"/>
      <c r="BG45" s="64"/>
      <c r="BH45" s="64"/>
      <c r="BI45" s="64"/>
      <c r="BJ45" s="65"/>
      <c r="BK45" s="65"/>
      <c r="BL45" s="64"/>
      <c r="BM45" s="64"/>
      <c r="BN45" s="64"/>
      <c r="BO45" s="64"/>
      <c r="BP45" s="64"/>
      <c r="BQ45" s="65"/>
      <c r="BR45" s="65"/>
      <c r="BS45" s="64"/>
      <c r="BT45" s="64"/>
      <c r="BU45" s="64"/>
      <c r="BV45" s="64"/>
      <c r="BW45" s="64"/>
      <c r="BX45" s="65"/>
      <c r="BY45" s="65"/>
      <c r="BZ45" s="64"/>
      <c r="CA45" s="64"/>
      <c r="CB45" s="64"/>
      <c r="CC45" s="64"/>
      <c r="CD45" s="64"/>
      <c r="CE45" s="65"/>
      <c r="CF45" s="65"/>
      <c r="CG45" s="64"/>
      <c r="CH45" s="64"/>
      <c r="CI45" s="64"/>
      <c r="CJ45" s="64"/>
      <c r="CK45" s="64"/>
      <c r="CL45" s="65"/>
      <c r="CM45" s="65"/>
      <c r="CN45" s="64"/>
      <c r="CO45" s="64"/>
      <c r="CP45" s="64"/>
      <c r="CQ45" s="64"/>
      <c r="CR45" s="64"/>
      <c r="CS45" s="66"/>
      <c r="CT45" s="66"/>
      <c r="CU45" s="67"/>
      <c r="CV45" s="67"/>
      <c r="CW45" s="67"/>
      <c r="CX45" s="67"/>
      <c r="CY45" s="67"/>
      <c r="CZ45" s="66"/>
      <c r="DA45" s="66"/>
      <c r="DB45" s="67"/>
      <c r="DC45" s="67"/>
      <c r="DD45" s="67"/>
      <c r="DE45" s="67"/>
      <c r="DF45" s="67"/>
      <c r="DG45" s="66"/>
      <c r="DH45" s="66"/>
      <c r="DI45" s="67"/>
      <c r="DJ45" s="67"/>
      <c r="DK45" s="67"/>
      <c r="DL45" s="67"/>
      <c r="DM45" s="67"/>
      <c r="DN45" s="66"/>
      <c r="DO45" s="66"/>
      <c r="DP45" s="67"/>
      <c r="DQ45" s="67"/>
      <c r="DR45" s="67"/>
      <c r="DS45" s="67"/>
      <c r="DT45" s="67"/>
      <c r="DU45" s="66"/>
      <c r="DV45" s="66"/>
      <c r="DW45" s="67"/>
      <c r="DX45" s="67"/>
      <c r="DY45" s="67"/>
      <c r="DZ45" s="67"/>
      <c r="EA45" s="67"/>
      <c r="EB45" s="66"/>
      <c r="EC45" s="66"/>
      <c r="ED45" s="67"/>
      <c r="EE45" s="67"/>
      <c r="EF45" s="67"/>
      <c r="EG45" s="67"/>
      <c r="EH45" s="67"/>
      <c r="EI45" s="66"/>
      <c r="EJ45" s="66"/>
      <c r="EK45" s="67"/>
      <c r="EL45" s="67"/>
      <c r="EM45" s="67"/>
      <c r="EN45" s="67"/>
      <c r="EO45" s="67"/>
      <c r="EP45" s="66"/>
      <c r="EQ45" s="66"/>
      <c r="ER45" s="67"/>
      <c r="ES45" s="67"/>
      <c r="ET45" s="67"/>
      <c r="EU45" s="67"/>
      <c r="EV45" s="67"/>
      <c r="EW45" s="66"/>
      <c r="EX45" s="66"/>
      <c r="EY45" s="67"/>
      <c r="EZ45" s="67"/>
      <c r="FA45" s="67"/>
      <c r="FB45" s="64"/>
      <c r="FC45" s="64"/>
      <c r="FD45" s="66"/>
      <c r="FE45" s="66"/>
      <c r="FF45" s="64"/>
      <c r="FG45" s="64"/>
      <c r="FH45" s="64"/>
      <c r="FI45" s="64"/>
      <c r="FJ45" s="64"/>
      <c r="FK45" s="66"/>
      <c r="FL45" s="66"/>
      <c r="FM45" s="64"/>
      <c r="FN45" s="64"/>
      <c r="FO45" s="64"/>
      <c r="FP45" s="64"/>
      <c r="FQ45" s="64"/>
      <c r="FR45" s="66"/>
      <c r="FS45" s="66"/>
      <c r="FT45" s="64"/>
      <c r="FU45" s="64"/>
      <c r="FV45" s="64"/>
      <c r="FW45" s="64"/>
      <c r="FX45" s="64"/>
      <c r="FY45" s="66"/>
      <c r="FZ45" s="66"/>
      <c r="GA45" s="64"/>
      <c r="GB45" s="64"/>
      <c r="GC45" s="64"/>
      <c r="GD45" s="64"/>
      <c r="GE45" s="64"/>
      <c r="GF45" s="66"/>
      <c r="GG45" s="66"/>
      <c r="GH45" s="64"/>
      <c r="GI45" s="64"/>
      <c r="GJ45" s="64"/>
      <c r="GK45" s="64"/>
      <c r="GL45" s="64"/>
      <c r="GM45" s="66"/>
      <c r="GN45" s="66"/>
      <c r="GO45" s="64"/>
      <c r="GP45" s="64"/>
      <c r="GQ45" s="64"/>
      <c r="GR45" s="64"/>
      <c r="GS45" s="64"/>
      <c r="GT45" s="66"/>
      <c r="GU45" s="66"/>
      <c r="GV45" s="64"/>
      <c r="GW45" s="64"/>
      <c r="GX45" s="64"/>
      <c r="GY45" s="64"/>
      <c r="GZ45" s="64"/>
      <c r="HA45" s="66"/>
      <c r="HB45" s="66"/>
      <c r="HC45" s="64"/>
      <c r="HD45" s="64"/>
      <c r="HE45" s="64"/>
      <c r="HF45" s="64"/>
      <c r="HG45" s="64"/>
      <c r="HH45" s="66"/>
      <c r="HI45" s="66"/>
      <c r="HJ45" s="64"/>
    </row>
    <row r="46" ht="13.5" customHeight="1">
      <c r="A46" s="21"/>
      <c r="B46" s="35" t="s">
        <v>19</v>
      </c>
      <c r="C46" s="33">
        <v>2.0</v>
      </c>
      <c r="D46" s="25">
        <f t="shared" ref="D46:D48" si="13">sum(E46:HJ46)</f>
        <v>2</v>
      </c>
      <c r="E46" s="61"/>
      <c r="F46" s="62"/>
      <c r="G46" s="62"/>
      <c r="H46" s="61"/>
      <c r="I46" s="61"/>
      <c r="J46" s="61"/>
      <c r="K46" s="61"/>
      <c r="L46" s="61"/>
      <c r="M46" s="62"/>
      <c r="N46" s="62"/>
      <c r="O46" s="62"/>
      <c r="P46" s="61"/>
      <c r="Q46" s="61"/>
      <c r="R46" s="61"/>
      <c r="S46" s="61">
        <v>0.5</v>
      </c>
      <c r="T46" s="62"/>
      <c r="U46" s="62"/>
      <c r="V46" s="61"/>
      <c r="W46" s="61"/>
      <c r="X46" s="61">
        <v>0.5</v>
      </c>
      <c r="Y46" s="61"/>
      <c r="Z46" s="61"/>
      <c r="AA46" s="62"/>
      <c r="AB46" s="62"/>
      <c r="AC46" s="61">
        <v>1.0</v>
      </c>
      <c r="AD46" s="61"/>
      <c r="AE46" s="61"/>
      <c r="AF46" s="61"/>
      <c r="AG46" s="61"/>
      <c r="AH46" s="62"/>
      <c r="AI46" s="62"/>
      <c r="AJ46" s="61"/>
      <c r="AK46" s="61"/>
      <c r="AL46" s="61"/>
      <c r="AM46" s="61"/>
      <c r="AN46" s="61"/>
      <c r="AO46" s="62"/>
      <c r="AP46" s="62"/>
      <c r="AQ46" s="63"/>
      <c r="AR46" s="63"/>
      <c r="AS46" s="63"/>
      <c r="AT46" s="63"/>
      <c r="AU46" s="63"/>
      <c r="AV46" s="62"/>
      <c r="AW46" s="62"/>
      <c r="AX46" s="61"/>
      <c r="AY46" s="61"/>
      <c r="AZ46" s="61"/>
      <c r="BA46" s="61"/>
      <c r="BB46" s="72"/>
      <c r="BC46" s="73"/>
      <c r="BD46" s="73"/>
      <c r="BE46" s="72"/>
      <c r="BF46" s="72"/>
      <c r="BG46" s="72"/>
      <c r="BH46" s="72"/>
      <c r="BI46" s="72"/>
      <c r="BJ46" s="73"/>
      <c r="BK46" s="73"/>
      <c r="BL46" s="72"/>
      <c r="BM46" s="72"/>
      <c r="BN46" s="72"/>
      <c r="BO46" s="72"/>
      <c r="BP46" s="72"/>
      <c r="BQ46" s="73"/>
      <c r="BR46" s="73"/>
      <c r="BS46" s="72"/>
      <c r="BT46" s="72"/>
      <c r="BU46" s="72"/>
      <c r="BV46" s="72"/>
      <c r="BW46" s="72"/>
      <c r="BX46" s="73"/>
      <c r="BY46" s="73"/>
      <c r="BZ46" s="72"/>
      <c r="CA46" s="72"/>
      <c r="CB46" s="72"/>
      <c r="CC46" s="72"/>
      <c r="CD46" s="72"/>
      <c r="CE46" s="73"/>
      <c r="CF46" s="73"/>
      <c r="CG46" s="72"/>
      <c r="CH46" s="72"/>
      <c r="CI46" s="72"/>
      <c r="CJ46" s="72"/>
      <c r="CK46" s="72"/>
      <c r="CL46" s="73"/>
      <c r="CM46" s="73"/>
      <c r="CN46" s="72"/>
      <c r="CO46" s="72"/>
      <c r="CP46" s="72"/>
      <c r="CQ46" s="72"/>
      <c r="CR46" s="72"/>
      <c r="CS46" s="74"/>
      <c r="CT46" s="66"/>
      <c r="CU46" s="75"/>
      <c r="CV46" s="67"/>
      <c r="CW46" s="67"/>
      <c r="CX46" s="67"/>
      <c r="CY46" s="67"/>
      <c r="CZ46" s="74"/>
      <c r="DA46" s="66"/>
      <c r="DB46" s="67"/>
      <c r="DC46" s="67"/>
      <c r="DD46" s="67"/>
      <c r="DE46" s="67"/>
      <c r="DF46" s="67"/>
      <c r="DG46" s="74"/>
      <c r="DH46" s="66"/>
      <c r="DI46" s="67"/>
      <c r="DJ46" s="67"/>
      <c r="DK46" s="67"/>
      <c r="DL46" s="67"/>
      <c r="DM46" s="67"/>
      <c r="DN46" s="74"/>
      <c r="DO46" s="66"/>
      <c r="DP46" s="67"/>
      <c r="DQ46" s="67"/>
      <c r="DR46" s="67"/>
      <c r="DS46" s="67"/>
      <c r="DT46" s="67"/>
      <c r="DU46" s="74"/>
      <c r="DV46" s="66"/>
      <c r="DW46" s="67"/>
      <c r="DX46" s="67"/>
      <c r="DY46" s="67"/>
      <c r="DZ46" s="67"/>
      <c r="EA46" s="67"/>
      <c r="EB46" s="74"/>
      <c r="EC46" s="66"/>
      <c r="ED46" s="67"/>
      <c r="EE46" s="67"/>
      <c r="EF46" s="67"/>
      <c r="EG46" s="67"/>
      <c r="EH46" s="67"/>
      <c r="EI46" s="74"/>
      <c r="EJ46" s="66"/>
      <c r="EK46" s="67"/>
      <c r="EL46" s="67"/>
      <c r="EM46" s="67"/>
      <c r="EN46" s="67"/>
      <c r="EO46" s="67"/>
      <c r="EP46" s="74"/>
      <c r="EQ46" s="66"/>
      <c r="ER46" s="67"/>
      <c r="ES46" s="67"/>
      <c r="ET46" s="67"/>
      <c r="EU46" s="67"/>
      <c r="EV46" s="67"/>
      <c r="EW46" s="74"/>
      <c r="EX46" s="66"/>
      <c r="EY46" s="67"/>
      <c r="EZ46" s="67"/>
      <c r="FA46" s="67"/>
      <c r="FB46" s="64"/>
      <c r="FC46" s="64"/>
      <c r="FD46" s="74"/>
      <c r="FE46" s="66"/>
      <c r="FF46" s="64"/>
      <c r="FG46" s="64"/>
      <c r="FH46" s="64"/>
      <c r="FI46" s="64"/>
      <c r="FJ46" s="64"/>
      <c r="FK46" s="74"/>
      <c r="FL46" s="66"/>
      <c r="FM46" s="64"/>
      <c r="FN46" s="64"/>
      <c r="FO46" s="64"/>
      <c r="FP46" s="64"/>
      <c r="FQ46" s="64"/>
      <c r="FR46" s="74"/>
      <c r="FS46" s="66"/>
      <c r="FT46" s="64"/>
      <c r="FU46" s="64"/>
      <c r="FV46" s="64"/>
      <c r="FW46" s="64"/>
      <c r="FX46" s="64"/>
      <c r="FY46" s="74"/>
      <c r="FZ46" s="66"/>
      <c r="GA46" s="64"/>
      <c r="GB46" s="64"/>
      <c r="GC46" s="64"/>
      <c r="GD46" s="64"/>
      <c r="GE46" s="64"/>
      <c r="GF46" s="74"/>
      <c r="GG46" s="66"/>
      <c r="GH46" s="64"/>
      <c r="GI46" s="64"/>
      <c r="GJ46" s="64"/>
      <c r="GK46" s="64"/>
      <c r="GL46" s="64"/>
      <c r="GM46" s="74"/>
      <c r="GN46" s="66"/>
      <c r="GO46" s="64"/>
      <c r="GP46" s="64"/>
      <c r="GQ46" s="64"/>
      <c r="GR46" s="64"/>
      <c r="GS46" s="64"/>
      <c r="GT46" s="74"/>
      <c r="GU46" s="66"/>
      <c r="GV46" s="64"/>
      <c r="GW46" s="64"/>
      <c r="GX46" s="64"/>
      <c r="GY46" s="64"/>
      <c r="GZ46" s="64"/>
      <c r="HA46" s="74"/>
      <c r="HB46" s="66"/>
      <c r="HC46" s="64"/>
      <c r="HD46" s="64"/>
      <c r="HE46" s="64"/>
      <c r="HF46" s="64"/>
      <c r="HG46" s="64"/>
      <c r="HH46" s="74"/>
      <c r="HI46" s="66"/>
      <c r="HJ46" s="64"/>
    </row>
    <row r="47" ht="13.5" customHeight="1">
      <c r="A47" s="21"/>
      <c r="B47" s="35" t="s">
        <v>20</v>
      </c>
      <c r="C47" s="33">
        <v>26.0</v>
      </c>
      <c r="D47" s="25">
        <f t="shared" si="13"/>
        <v>26</v>
      </c>
      <c r="E47" s="69"/>
      <c r="F47" s="70"/>
      <c r="G47" s="73"/>
      <c r="H47" s="72"/>
      <c r="I47" s="69"/>
      <c r="J47" s="69"/>
      <c r="K47" s="69"/>
      <c r="L47" s="69"/>
      <c r="M47" s="70"/>
      <c r="N47" s="70"/>
      <c r="O47" s="70"/>
      <c r="P47" s="69"/>
      <c r="Q47" s="69"/>
      <c r="R47" s="69"/>
      <c r="S47" s="69"/>
      <c r="T47" s="70"/>
      <c r="U47" s="70"/>
      <c r="V47" s="69">
        <v>1.0</v>
      </c>
      <c r="W47" s="69">
        <v>1.0</v>
      </c>
      <c r="X47" s="69">
        <v>1.0</v>
      </c>
      <c r="Y47" s="69">
        <v>0.5</v>
      </c>
      <c r="Z47" s="69">
        <v>0.5</v>
      </c>
      <c r="AA47" s="70"/>
      <c r="AB47" s="70"/>
      <c r="AC47" s="69">
        <v>0.5</v>
      </c>
      <c r="AD47" s="69">
        <v>0.5</v>
      </c>
      <c r="AE47" s="69">
        <v>0.5</v>
      </c>
      <c r="AF47" s="69">
        <v>0.5</v>
      </c>
      <c r="AG47" s="69">
        <v>0.5</v>
      </c>
      <c r="AH47" s="70"/>
      <c r="AI47" s="70"/>
      <c r="AJ47" s="69">
        <v>0.5</v>
      </c>
      <c r="AK47" s="69">
        <v>0.5</v>
      </c>
      <c r="AL47" s="69">
        <v>0.5</v>
      </c>
      <c r="AM47" s="69">
        <v>0.5</v>
      </c>
      <c r="AN47" s="69">
        <v>0.5</v>
      </c>
      <c r="AO47" s="70"/>
      <c r="AP47" s="70"/>
      <c r="AQ47" s="71"/>
      <c r="AR47" s="71"/>
      <c r="AS47" s="71"/>
      <c r="AT47" s="71"/>
      <c r="AU47" s="71"/>
      <c r="AV47" s="70"/>
      <c r="AW47" s="70"/>
      <c r="AX47" s="69">
        <v>0.5</v>
      </c>
      <c r="AY47" s="69">
        <v>0.5</v>
      </c>
      <c r="AZ47" s="69">
        <v>0.5</v>
      </c>
      <c r="BA47" s="69">
        <v>0.5</v>
      </c>
      <c r="BB47" s="72"/>
      <c r="BC47" s="73"/>
      <c r="BD47" s="73"/>
      <c r="BE47" s="72">
        <v>0.5</v>
      </c>
      <c r="BF47" s="72">
        <v>0.5</v>
      </c>
      <c r="BG47" s="72">
        <v>0.5</v>
      </c>
      <c r="BH47" s="72">
        <v>0.5</v>
      </c>
      <c r="BI47" s="72">
        <v>0.5</v>
      </c>
      <c r="BJ47" s="73"/>
      <c r="BK47" s="73"/>
      <c r="BL47" s="72">
        <v>0.5</v>
      </c>
      <c r="BM47" s="72">
        <v>0.5</v>
      </c>
      <c r="BN47" s="72">
        <v>0.5</v>
      </c>
      <c r="BO47" s="72">
        <v>0.5</v>
      </c>
      <c r="BP47" s="72">
        <v>0.5</v>
      </c>
      <c r="BQ47" s="73"/>
      <c r="BR47" s="73"/>
      <c r="BS47" s="72">
        <v>0.5</v>
      </c>
      <c r="BT47" s="72">
        <v>0.5</v>
      </c>
      <c r="BU47" s="72">
        <v>0.2</v>
      </c>
      <c r="BV47" s="72">
        <v>0.2</v>
      </c>
      <c r="BW47" s="72">
        <v>0.2</v>
      </c>
      <c r="BX47" s="73"/>
      <c r="BY47" s="73"/>
      <c r="BZ47" s="72">
        <v>0.5</v>
      </c>
      <c r="CA47" s="72">
        <v>0.6</v>
      </c>
      <c r="CB47" s="72">
        <v>1.0</v>
      </c>
      <c r="CC47" s="72">
        <v>1.0</v>
      </c>
      <c r="CD47" s="72">
        <v>1.0</v>
      </c>
      <c r="CE47" s="73"/>
      <c r="CF47" s="73"/>
      <c r="CG47" s="72">
        <v>0.5</v>
      </c>
      <c r="CH47" s="72" t="s">
        <v>54</v>
      </c>
      <c r="CI47" s="72">
        <v>0.5</v>
      </c>
      <c r="CJ47" s="72">
        <v>0.2</v>
      </c>
      <c r="CK47" s="72">
        <v>0.2</v>
      </c>
      <c r="CL47" s="73"/>
      <c r="CM47" s="73"/>
      <c r="CN47" s="72">
        <v>0.2</v>
      </c>
      <c r="CO47" s="72">
        <v>0.2</v>
      </c>
      <c r="CP47" s="72">
        <v>0.2</v>
      </c>
      <c r="CQ47" s="72"/>
      <c r="CR47" s="72"/>
      <c r="CS47" s="74"/>
      <c r="CT47" s="66"/>
      <c r="CU47" s="75"/>
      <c r="CV47" s="67"/>
      <c r="CW47" s="67">
        <v>0.5</v>
      </c>
      <c r="CX47" s="67">
        <v>0.5</v>
      </c>
      <c r="CY47" s="67"/>
      <c r="CZ47" s="74"/>
      <c r="DA47" s="66"/>
      <c r="DB47" s="67"/>
      <c r="DC47" s="67">
        <v>0.5</v>
      </c>
      <c r="DD47" s="67">
        <v>0.5</v>
      </c>
      <c r="DE47" s="67">
        <v>0.1</v>
      </c>
      <c r="DF47" s="67"/>
      <c r="DG47" s="74"/>
      <c r="DH47" s="66"/>
      <c r="DI47" s="67">
        <v>0.1</v>
      </c>
      <c r="DJ47" s="67">
        <v>0.1</v>
      </c>
      <c r="DK47" s="67"/>
      <c r="DL47" s="67"/>
      <c r="DM47" s="67"/>
      <c r="DN47" s="74"/>
      <c r="DO47" s="66"/>
      <c r="DP47" s="67"/>
      <c r="DQ47" s="67"/>
      <c r="DR47" s="67"/>
      <c r="DS47" s="67"/>
      <c r="DT47" s="67"/>
      <c r="DU47" s="74"/>
      <c r="DV47" s="66"/>
      <c r="DW47" s="67"/>
      <c r="DX47" s="67"/>
      <c r="DY47" s="67"/>
      <c r="DZ47" s="67"/>
      <c r="EA47" s="67"/>
      <c r="EB47" s="74"/>
      <c r="EC47" s="66"/>
      <c r="ED47" s="67"/>
      <c r="EE47" s="67"/>
      <c r="EF47" s="67"/>
      <c r="EG47" s="67"/>
      <c r="EH47" s="67"/>
      <c r="EI47" s="74"/>
      <c r="EJ47" s="66"/>
      <c r="EK47" s="67"/>
      <c r="EL47" s="67"/>
      <c r="EM47" s="67"/>
      <c r="EN47" s="67"/>
      <c r="EO47" s="67"/>
      <c r="EP47" s="74"/>
      <c r="EQ47" s="66"/>
      <c r="ER47" s="67"/>
      <c r="ES47" s="67"/>
      <c r="ET47" s="67"/>
      <c r="EU47" s="67"/>
      <c r="EV47" s="67"/>
      <c r="EW47" s="74"/>
      <c r="EX47" s="66"/>
      <c r="EY47" s="67"/>
      <c r="EZ47" s="67"/>
      <c r="FA47" s="67"/>
      <c r="FB47" s="64"/>
      <c r="FC47" s="64"/>
      <c r="FD47" s="74"/>
      <c r="FE47" s="66"/>
      <c r="FF47" s="64"/>
      <c r="FG47" s="64"/>
      <c r="FH47" s="64"/>
      <c r="FI47" s="64"/>
      <c r="FJ47" s="64"/>
      <c r="FK47" s="74"/>
      <c r="FL47" s="66"/>
      <c r="FM47" s="64"/>
      <c r="FN47" s="64"/>
      <c r="FO47" s="64"/>
      <c r="FP47" s="64"/>
      <c r="FQ47" s="64"/>
      <c r="FR47" s="74"/>
      <c r="FS47" s="66"/>
      <c r="FT47" s="64"/>
      <c r="FU47" s="64"/>
      <c r="FV47" s="64"/>
      <c r="FW47" s="64"/>
      <c r="FX47" s="64"/>
      <c r="FY47" s="74"/>
      <c r="FZ47" s="66"/>
      <c r="GA47" s="64"/>
      <c r="GB47" s="64"/>
      <c r="GC47" s="64"/>
      <c r="GD47" s="64"/>
      <c r="GE47" s="64"/>
      <c r="GF47" s="74"/>
      <c r="GG47" s="66"/>
      <c r="GH47" s="64"/>
      <c r="GI47" s="64"/>
      <c r="GJ47" s="64"/>
      <c r="GK47" s="64"/>
      <c r="GL47" s="64"/>
      <c r="GM47" s="74"/>
      <c r="GN47" s="66"/>
      <c r="GO47" s="64"/>
      <c r="GP47" s="64"/>
      <c r="GQ47" s="64"/>
      <c r="GR47" s="64"/>
      <c r="GS47" s="64"/>
      <c r="GT47" s="74"/>
      <c r="GU47" s="66"/>
      <c r="GV47" s="64"/>
      <c r="GW47" s="64"/>
      <c r="GX47" s="64"/>
      <c r="GY47" s="64"/>
      <c r="GZ47" s="64"/>
      <c r="HA47" s="74"/>
      <c r="HB47" s="66"/>
      <c r="HC47" s="64"/>
      <c r="HD47" s="64"/>
      <c r="HE47" s="64"/>
      <c r="HF47" s="64"/>
      <c r="HG47" s="64"/>
      <c r="HH47" s="74"/>
      <c r="HI47" s="66"/>
      <c r="HJ47" s="64"/>
    </row>
    <row r="48" ht="13.5" customHeight="1">
      <c r="A48" s="21"/>
      <c r="B48" s="35" t="s">
        <v>21</v>
      </c>
      <c r="C48" s="33">
        <v>5.0</v>
      </c>
      <c r="D48" s="25">
        <f t="shared" si="13"/>
        <v>5</v>
      </c>
      <c r="E48" s="69"/>
      <c r="F48" s="70"/>
      <c r="G48" s="70"/>
      <c r="H48" s="72"/>
      <c r="I48" s="69"/>
      <c r="J48" s="69"/>
      <c r="K48" s="69"/>
      <c r="L48" s="69"/>
      <c r="M48" s="70"/>
      <c r="N48" s="70"/>
      <c r="O48" s="70"/>
      <c r="P48" s="69"/>
      <c r="Q48" s="69"/>
      <c r="R48" s="69"/>
      <c r="S48" s="69"/>
      <c r="T48" s="70"/>
      <c r="U48" s="70"/>
      <c r="V48" s="69"/>
      <c r="W48" s="69"/>
      <c r="X48" s="69"/>
      <c r="Y48" s="69"/>
      <c r="Z48" s="69"/>
      <c r="AA48" s="70"/>
      <c r="AB48" s="70"/>
      <c r="AC48" s="69"/>
      <c r="AD48" s="69"/>
      <c r="AE48" s="69"/>
      <c r="AF48" s="69"/>
      <c r="AG48" s="69"/>
      <c r="AH48" s="70"/>
      <c r="AI48" s="70"/>
      <c r="AJ48" s="69"/>
      <c r="AK48" s="69"/>
      <c r="AL48" s="69"/>
      <c r="AM48" s="69"/>
      <c r="AN48" s="69"/>
      <c r="AO48" s="70"/>
      <c r="AP48" s="70"/>
      <c r="AQ48" s="71"/>
      <c r="AR48" s="71"/>
      <c r="AS48" s="71"/>
      <c r="AT48" s="71"/>
      <c r="AU48" s="71"/>
      <c r="AV48" s="70"/>
      <c r="AW48" s="70"/>
      <c r="AX48" s="69"/>
      <c r="AY48" s="69"/>
      <c r="AZ48" s="69"/>
      <c r="BA48" s="69"/>
      <c r="BB48" s="72"/>
      <c r="BC48" s="73"/>
      <c r="BD48" s="73"/>
      <c r="BE48" s="72"/>
      <c r="BF48" s="72"/>
      <c r="BG48" s="72"/>
      <c r="BH48" s="72"/>
      <c r="BI48" s="72"/>
      <c r="BJ48" s="73"/>
      <c r="BK48" s="73"/>
      <c r="BL48" s="72">
        <v>1.0</v>
      </c>
      <c r="BM48" s="72">
        <v>1.0</v>
      </c>
      <c r="BN48" s="72">
        <v>1.0</v>
      </c>
      <c r="BO48" s="72"/>
      <c r="BP48" s="72"/>
      <c r="BQ48" s="73"/>
      <c r="BR48" s="73"/>
      <c r="BS48" s="72"/>
      <c r="BT48" s="72"/>
      <c r="BU48" s="72"/>
      <c r="BV48" s="72"/>
      <c r="BW48" s="72"/>
      <c r="BX48" s="73"/>
      <c r="BY48" s="73"/>
      <c r="BZ48" s="72"/>
      <c r="CA48" s="72"/>
      <c r="CB48" s="72"/>
      <c r="CC48" s="72"/>
      <c r="CD48" s="72"/>
      <c r="CE48" s="73"/>
      <c r="CF48" s="73"/>
      <c r="CG48" s="72"/>
      <c r="CH48" s="72"/>
      <c r="CI48" s="72"/>
      <c r="CJ48" s="72"/>
      <c r="CK48" s="72"/>
      <c r="CL48" s="73"/>
      <c r="CM48" s="73"/>
      <c r="CN48" s="72">
        <v>1.0</v>
      </c>
      <c r="CO48" s="72">
        <v>1.0</v>
      </c>
      <c r="CP48" s="72"/>
      <c r="CQ48" s="72"/>
      <c r="CR48" s="72"/>
      <c r="CS48" s="74"/>
      <c r="CT48" s="66"/>
      <c r="CU48" s="75"/>
      <c r="CV48" s="67"/>
      <c r="CW48" s="67"/>
      <c r="CX48" s="67"/>
      <c r="CY48" s="67"/>
      <c r="CZ48" s="74"/>
      <c r="DA48" s="66"/>
      <c r="DB48" s="67"/>
      <c r="DC48" s="67"/>
      <c r="DD48" s="67"/>
      <c r="DE48" s="67"/>
      <c r="DF48" s="67"/>
      <c r="DG48" s="74"/>
      <c r="DH48" s="66"/>
      <c r="DI48" s="67"/>
      <c r="DJ48" s="67"/>
      <c r="DK48" s="67"/>
      <c r="DL48" s="67"/>
      <c r="DM48" s="67"/>
      <c r="DN48" s="74"/>
      <c r="DO48" s="66"/>
      <c r="DP48" s="67"/>
      <c r="DQ48" s="67"/>
      <c r="DR48" s="67"/>
      <c r="DS48" s="67"/>
      <c r="DT48" s="67"/>
      <c r="DU48" s="74"/>
      <c r="DV48" s="66"/>
      <c r="DW48" s="67"/>
      <c r="DX48" s="67"/>
      <c r="DY48" s="67"/>
      <c r="DZ48" s="67"/>
      <c r="EA48" s="67"/>
      <c r="EB48" s="74"/>
      <c r="EC48" s="66"/>
      <c r="ED48" s="67"/>
      <c r="EE48" s="67"/>
      <c r="EF48" s="67"/>
      <c r="EG48" s="67"/>
      <c r="EH48" s="67"/>
      <c r="EI48" s="74"/>
      <c r="EJ48" s="66"/>
      <c r="EK48" s="67"/>
      <c r="EL48" s="67"/>
      <c r="EM48" s="67"/>
      <c r="EN48" s="67"/>
      <c r="EO48" s="67"/>
      <c r="EP48" s="74"/>
      <c r="EQ48" s="66"/>
      <c r="ER48" s="67"/>
      <c r="ES48" s="67"/>
      <c r="ET48" s="67"/>
      <c r="EU48" s="67"/>
      <c r="EV48" s="67"/>
      <c r="EW48" s="74"/>
      <c r="EX48" s="66"/>
      <c r="EY48" s="67"/>
      <c r="EZ48" s="67"/>
      <c r="FA48" s="67"/>
      <c r="FB48" s="64"/>
      <c r="FC48" s="64"/>
      <c r="FD48" s="74"/>
      <c r="FE48" s="66"/>
      <c r="FF48" s="64"/>
      <c r="FG48" s="64"/>
      <c r="FH48" s="64"/>
      <c r="FI48" s="64"/>
      <c r="FJ48" s="64"/>
      <c r="FK48" s="74"/>
      <c r="FL48" s="66"/>
      <c r="FM48" s="64"/>
      <c r="FN48" s="64"/>
      <c r="FO48" s="64"/>
      <c r="FP48" s="64"/>
      <c r="FQ48" s="64"/>
      <c r="FR48" s="74"/>
      <c r="FS48" s="66"/>
      <c r="FT48" s="64"/>
      <c r="FU48" s="64"/>
      <c r="FV48" s="64"/>
      <c r="FW48" s="64"/>
      <c r="FX48" s="64"/>
      <c r="FY48" s="74"/>
      <c r="FZ48" s="66"/>
      <c r="GA48" s="64"/>
      <c r="GB48" s="64"/>
      <c r="GC48" s="64"/>
      <c r="GD48" s="64"/>
      <c r="GE48" s="64"/>
      <c r="GF48" s="74"/>
      <c r="GG48" s="66"/>
      <c r="GH48" s="64"/>
      <c r="GI48" s="64"/>
      <c r="GJ48" s="64"/>
      <c r="GK48" s="64"/>
      <c r="GL48" s="64"/>
      <c r="GM48" s="74"/>
      <c r="GN48" s="66"/>
      <c r="GO48" s="64"/>
      <c r="GP48" s="64"/>
      <c r="GQ48" s="64"/>
      <c r="GR48" s="64"/>
      <c r="GS48" s="64"/>
      <c r="GT48" s="74"/>
      <c r="GU48" s="66"/>
      <c r="GV48" s="64"/>
      <c r="GW48" s="64"/>
      <c r="GX48" s="64"/>
      <c r="GY48" s="64"/>
      <c r="GZ48" s="64"/>
      <c r="HA48" s="74"/>
      <c r="HB48" s="66"/>
      <c r="HC48" s="64"/>
      <c r="HD48" s="64"/>
      <c r="HE48" s="64"/>
      <c r="HF48" s="64"/>
      <c r="HG48" s="64"/>
      <c r="HH48" s="74"/>
      <c r="HI48" s="66"/>
      <c r="HJ48" s="64"/>
    </row>
    <row r="49" ht="13.5" customHeight="1">
      <c r="A49" s="21"/>
      <c r="B49" s="31" t="s">
        <v>22</v>
      </c>
      <c r="C49" s="16">
        <v>20.0</v>
      </c>
      <c r="D49" s="16">
        <f>sum(D50:D52)</f>
        <v>20</v>
      </c>
      <c r="E49" s="69"/>
      <c r="F49" s="70"/>
      <c r="G49" s="70"/>
      <c r="H49" s="69"/>
      <c r="I49" s="69"/>
      <c r="J49" s="69"/>
      <c r="K49" s="69"/>
      <c r="L49" s="69"/>
      <c r="M49" s="70"/>
      <c r="N49" s="70"/>
      <c r="O49" s="70"/>
      <c r="P49" s="69"/>
      <c r="Q49" s="69"/>
      <c r="R49" s="69"/>
      <c r="S49" s="69"/>
      <c r="T49" s="70"/>
      <c r="U49" s="70"/>
      <c r="V49" s="69"/>
      <c r="W49" s="69"/>
      <c r="X49" s="69"/>
      <c r="Y49" s="69"/>
      <c r="Z49" s="69"/>
      <c r="AA49" s="70"/>
      <c r="AB49" s="70"/>
      <c r="AC49" s="69"/>
      <c r="AD49" s="69"/>
      <c r="AE49" s="69"/>
      <c r="AF49" s="69"/>
      <c r="AG49" s="69"/>
      <c r="AH49" s="70"/>
      <c r="AI49" s="70"/>
      <c r="AJ49" s="69"/>
      <c r="AK49" s="69"/>
      <c r="AL49" s="69"/>
      <c r="AM49" s="69"/>
      <c r="AN49" s="69"/>
      <c r="AO49" s="70"/>
      <c r="AP49" s="70"/>
      <c r="AQ49" s="71"/>
      <c r="AR49" s="71"/>
      <c r="AS49" s="71"/>
      <c r="AT49" s="71"/>
      <c r="AU49" s="71"/>
      <c r="AV49" s="70"/>
      <c r="AW49" s="70"/>
      <c r="AX49" s="69"/>
      <c r="AY49" s="69"/>
      <c r="AZ49" s="69"/>
      <c r="BA49" s="69"/>
      <c r="BB49" s="72"/>
      <c r="BC49" s="73"/>
      <c r="BD49" s="73"/>
      <c r="BE49" s="72"/>
      <c r="BF49" s="72"/>
      <c r="BG49" s="72"/>
      <c r="BH49" s="72"/>
      <c r="BI49" s="72"/>
      <c r="BJ49" s="73"/>
      <c r="BK49" s="73"/>
      <c r="BL49" s="72"/>
      <c r="BM49" s="72"/>
      <c r="BN49" s="72"/>
      <c r="BO49" s="72"/>
      <c r="BP49" s="72"/>
      <c r="BQ49" s="73"/>
      <c r="BR49" s="73"/>
      <c r="BS49" s="72"/>
      <c r="BT49" s="72"/>
      <c r="BU49" s="72"/>
      <c r="BV49" s="72"/>
      <c r="BW49" s="72"/>
      <c r="BX49" s="73"/>
      <c r="BY49" s="73"/>
      <c r="BZ49" s="72"/>
      <c r="CA49" s="72"/>
      <c r="CB49" s="72"/>
      <c r="CC49" s="72"/>
      <c r="CD49" s="72"/>
      <c r="CE49" s="73"/>
      <c r="CF49" s="73"/>
      <c r="CG49" s="72"/>
      <c r="CH49" s="72"/>
      <c r="CI49" s="72"/>
      <c r="CJ49" s="72"/>
      <c r="CK49" s="72"/>
      <c r="CL49" s="73"/>
      <c r="CM49" s="73"/>
      <c r="CN49" s="72"/>
      <c r="CO49" s="72"/>
      <c r="CP49" s="72"/>
      <c r="CQ49" s="72"/>
      <c r="CR49" s="72"/>
      <c r="CS49" s="74"/>
      <c r="CT49" s="66"/>
      <c r="CU49" s="75"/>
      <c r="CV49" s="67"/>
      <c r="CW49" s="67"/>
      <c r="CX49" s="67"/>
      <c r="CY49" s="67"/>
      <c r="CZ49" s="74"/>
      <c r="DA49" s="66"/>
      <c r="DB49" s="67"/>
      <c r="DC49" s="67"/>
      <c r="DD49" s="67"/>
      <c r="DE49" s="67"/>
      <c r="DF49" s="67"/>
      <c r="DG49" s="74"/>
      <c r="DH49" s="66"/>
      <c r="DI49" s="67"/>
      <c r="DJ49" s="67"/>
      <c r="DK49" s="67"/>
      <c r="DL49" s="67"/>
      <c r="DM49" s="67"/>
      <c r="DN49" s="74"/>
      <c r="DO49" s="66"/>
      <c r="DP49" s="67"/>
      <c r="DQ49" s="67"/>
      <c r="DR49" s="67"/>
      <c r="DS49" s="67"/>
      <c r="DT49" s="67"/>
      <c r="DU49" s="74"/>
      <c r="DV49" s="66"/>
      <c r="DW49" s="67"/>
      <c r="DX49" s="67"/>
      <c r="DY49" s="67"/>
      <c r="DZ49" s="67"/>
      <c r="EA49" s="67"/>
      <c r="EB49" s="74"/>
      <c r="EC49" s="66"/>
      <c r="ED49" s="67"/>
      <c r="EE49" s="67"/>
      <c r="EF49" s="67"/>
      <c r="EG49" s="67"/>
      <c r="EH49" s="67"/>
      <c r="EI49" s="74"/>
      <c r="EJ49" s="66"/>
      <c r="EK49" s="67"/>
      <c r="EL49" s="67"/>
      <c r="EM49" s="67"/>
      <c r="EN49" s="67"/>
      <c r="EO49" s="67"/>
      <c r="EP49" s="74"/>
      <c r="EQ49" s="66"/>
      <c r="ER49" s="67"/>
      <c r="ES49" s="67"/>
      <c r="ET49" s="67"/>
      <c r="EU49" s="67"/>
      <c r="EV49" s="67"/>
      <c r="EW49" s="74"/>
      <c r="EX49" s="66"/>
      <c r="EY49" s="67"/>
      <c r="EZ49" s="67"/>
      <c r="FA49" s="67"/>
      <c r="FB49" s="64"/>
      <c r="FC49" s="64"/>
      <c r="FD49" s="74"/>
      <c r="FE49" s="66"/>
      <c r="FF49" s="64"/>
      <c r="FG49" s="64"/>
      <c r="FH49" s="64"/>
      <c r="FI49" s="64"/>
      <c r="FJ49" s="64"/>
      <c r="FK49" s="74"/>
      <c r="FL49" s="66"/>
      <c r="FM49" s="64"/>
      <c r="FN49" s="64"/>
      <c r="FO49" s="64"/>
      <c r="FP49" s="64"/>
      <c r="FQ49" s="64"/>
      <c r="FR49" s="74"/>
      <c r="FS49" s="66"/>
      <c r="FT49" s="64"/>
      <c r="FU49" s="64"/>
      <c r="FV49" s="64"/>
      <c r="FW49" s="64"/>
      <c r="FX49" s="64"/>
      <c r="FY49" s="74"/>
      <c r="FZ49" s="66"/>
      <c r="GA49" s="64"/>
      <c r="GB49" s="64"/>
      <c r="GC49" s="64"/>
      <c r="GD49" s="64"/>
      <c r="GE49" s="64"/>
      <c r="GF49" s="74"/>
      <c r="GG49" s="66"/>
      <c r="GH49" s="64"/>
      <c r="GI49" s="64"/>
      <c r="GJ49" s="64"/>
      <c r="GK49" s="64"/>
      <c r="GL49" s="64"/>
      <c r="GM49" s="74"/>
      <c r="GN49" s="66"/>
      <c r="GO49" s="64"/>
      <c r="GP49" s="64"/>
      <c r="GQ49" s="64"/>
      <c r="GR49" s="64"/>
      <c r="GS49" s="64"/>
      <c r="GT49" s="74"/>
      <c r="GU49" s="66"/>
      <c r="GV49" s="64"/>
      <c r="GW49" s="64"/>
      <c r="GX49" s="64"/>
      <c r="GY49" s="64"/>
      <c r="GZ49" s="64"/>
      <c r="HA49" s="74"/>
      <c r="HB49" s="66"/>
      <c r="HC49" s="64"/>
      <c r="HD49" s="64"/>
      <c r="HE49" s="64"/>
      <c r="HF49" s="64"/>
      <c r="HG49" s="64"/>
      <c r="HH49" s="74"/>
      <c r="HI49" s="66"/>
      <c r="HJ49" s="64"/>
    </row>
    <row r="50" ht="13.5" customHeight="1">
      <c r="A50" s="21"/>
      <c r="B50" s="35" t="s">
        <v>23</v>
      </c>
      <c r="C50" s="33">
        <v>5.0</v>
      </c>
      <c r="D50" s="25">
        <f t="shared" ref="D50:D52" si="14">sum(E50:HJ50)</f>
        <v>5</v>
      </c>
      <c r="E50" s="69"/>
      <c r="F50" s="70"/>
      <c r="G50" s="70"/>
      <c r="H50" s="69"/>
      <c r="I50" s="69"/>
      <c r="J50" s="69"/>
      <c r="K50" s="69"/>
      <c r="L50" s="69"/>
      <c r="M50" s="70"/>
      <c r="N50" s="70"/>
      <c r="O50" s="70"/>
      <c r="P50" s="69"/>
      <c r="Q50" s="69"/>
      <c r="R50" s="69"/>
      <c r="S50" s="69"/>
      <c r="T50" s="70"/>
      <c r="U50" s="70"/>
      <c r="V50" s="69"/>
      <c r="W50" s="69"/>
      <c r="X50" s="69"/>
      <c r="Y50" s="69"/>
      <c r="Z50" s="69"/>
      <c r="AA50" s="70"/>
      <c r="AB50" s="70"/>
      <c r="AC50" s="69"/>
      <c r="AD50" s="69"/>
      <c r="AE50" s="69"/>
      <c r="AF50" s="69"/>
      <c r="AG50" s="69"/>
      <c r="AH50" s="70"/>
      <c r="AI50" s="70"/>
      <c r="AJ50" s="69"/>
      <c r="AK50" s="69"/>
      <c r="AL50" s="69"/>
      <c r="AM50" s="69"/>
      <c r="AN50" s="69"/>
      <c r="AO50" s="70"/>
      <c r="AP50" s="70"/>
      <c r="AQ50" s="71"/>
      <c r="AR50" s="71"/>
      <c r="AS50" s="71"/>
      <c r="AT50" s="71"/>
      <c r="AU50" s="71"/>
      <c r="AV50" s="70"/>
      <c r="AW50" s="70"/>
      <c r="AX50" s="69"/>
      <c r="AY50" s="69"/>
      <c r="AZ50" s="69"/>
      <c r="BA50" s="69"/>
      <c r="BB50" s="72"/>
      <c r="BC50" s="73"/>
      <c r="BD50" s="73"/>
      <c r="BE50" s="72"/>
      <c r="BF50" s="72"/>
      <c r="BG50" s="72"/>
      <c r="BH50" s="72"/>
      <c r="BI50" s="72"/>
      <c r="BJ50" s="73"/>
      <c r="BK50" s="73"/>
      <c r="BL50" s="72"/>
      <c r="BM50" s="72"/>
      <c r="BN50" s="72"/>
      <c r="BO50" s="72"/>
      <c r="BP50" s="72"/>
      <c r="BQ50" s="73"/>
      <c r="BR50" s="73"/>
      <c r="BS50" s="72"/>
      <c r="BT50" s="72">
        <v>1.0</v>
      </c>
      <c r="BU50" s="72">
        <v>1.0</v>
      </c>
      <c r="BV50" s="72">
        <v>1.0</v>
      </c>
      <c r="BW50" s="72"/>
      <c r="BX50" s="73"/>
      <c r="BY50" s="73"/>
      <c r="BZ50" s="72"/>
      <c r="CA50" s="72"/>
      <c r="CB50" s="72"/>
      <c r="CC50" s="72"/>
      <c r="CD50" s="72"/>
      <c r="CE50" s="73"/>
      <c r="CF50" s="73"/>
      <c r="CG50" s="72"/>
      <c r="CH50" s="72"/>
      <c r="CI50" s="72"/>
      <c r="CJ50" s="72"/>
      <c r="CK50" s="72"/>
      <c r="CL50" s="73"/>
      <c r="CM50" s="73"/>
      <c r="CN50" s="72"/>
      <c r="CO50" s="72"/>
      <c r="CP50" s="72"/>
      <c r="CQ50" s="72"/>
      <c r="CR50" s="72"/>
      <c r="CS50" s="74"/>
      <c r="CT50" s="66"/>
      <c r="CU50" s="75"/>
      <c r="CV50" s="67"/>
      <c r="CW50" s="67"/>
      <c r="CX50" s="67"/>
      <c r="CY50" s="67"/>
      <c r="CZ50" s="74"/>
      <c r="DA50" s="66"/>
      <c r="DB50" s="67"/>
      <c r="DC50" s="67"/>
      <c r="DD50" s="67"/>
      <c r="DE50" s="67"/>
      <c r="DF50" s="67">
        <v>1.0</v>
      </c>
      <c r="DG50" s="74"/>
      <c r="DH50" s="66"/>
      <c r="DI50" s="67"/>
      <c r="DJ50" s="67"/>
      <c r="DK50" s="67">
        <v>1.0</v>
      </c>
      <c r="DL50" s="67"/>
      <c r="DM50" s="67"/>
      <c r="DN50" s="74"/>
      <c r="DO50" s="66"/>
      <c r="DP50" s="67"/>
      <c r="DQ50" s="67"/>
      <c r="DR50" s="67"/>
      <c r="DS50" s="67"/>
      <c r="DT50" s="67"/>
      <c r="DU50" s="74"/>
      <c r="DV50" s="66"/>
      <c r="DW50" s="67"/>
      <c r="DX50" s="67"/>
      <c r="DY50" s="67"/>
      <c r="DZ50" s="67"/>
      <c r="EA50" s="67"/>
      <c r="EB50" s="74"/>
      <c r="EC50" s="66"/>
      <c r="ED50" s="67"/>
      <c r="EE50" s="67"/>
      <c r="EF50" s="67"/>
      <c r="EG50" s="67"/>
      <c r="EH50" s="67"/>
      <c r="EI50" s="74"/>
      <c r="EJ50" s="66"/>
      <c r="EK50" s="67"/>
      <c r="EL50" s="67"/>
      <c r="EM50" s="67"/>
      <c r="EN50" s="67"/>
      <c r="EO50" s="67"/>
      <c r="EP50" s="74"/>
      <c r="EQ50" s="66"/>
      <c r="ER50" s="67"/>
      <c r="ES50" s="67"/>
      <c r="ET50" s="67"/>
      <c r="EU50" s="67"/>
      <c r="EV50" s="67"/>
      <c r="EW50" s="74"/>
      <c r="EX50" s="66"/>
      <c r="EY50" s="67"/>
      <c r="EZ50" s="67"/>
      <c r="FA50" s="67"/>
      <c r="FB50" s="64"/>
      <c r="FC50" s="64"/>
      <c r="FD50" s="74"/>
      <c r="FE50" s="66"/>
      <c r="FF50" s="64"/>
      <c r="FG50" s="64"/>
      <c r="FH50" s="64"/>
      <c r="FI50" s="64"/>
      <c r="FJ50" s="64"/>
      <c r="FK50" s="74"/>
      <c r="FL50" s="66"/>
      <c r="FM50" s="64"/>
      <c r="FN50" s="64"/>
      <c r="FO50" s="64"/>
      <c r="FP50" s="64"/>
      <c r="FQ50" s="64"/>
      <c r="FR50" s="74"/>
      <c r="FS50" s="66"/>
      <c r="FT50" s="64"/>
      <c r="FU50" s="64"/>
      <c r="FV50" s="64"/>
      <c r="FW50" s="64"/>
      <c r="FX50" s="64"/>
      <c r="FY50" s="74"/>
      <c r="FZ50" s="66"/>
      <c r="GA50" s="64"/>
      <c r="GB50" s="64"/>
      <c r="GC50" s="64"/>
      <c r="GD50" s="64"/>
      <c r="GE50" s="64"/>
      <c r="GF50" s="74"/>
      <c r="GG50" s="66"/>
      <c r="GH50" s="64"/>
      <c r="GI50" s="64"/>
      <c r="GJ50" s="64"/>
      <c r="GK50" s="64"/>
      <c r="GL50" s="64"/>
      <c r="GM50" s="74"/>
      <c r="GN50" s="66"/>
      <c r="GO50" s="64"/>
      <c r="GP50" s="64"/>
      <c r="GQ50" s="64"/>
      <c r="GR50" s="64"/>
      <c r="GS50" s="64"/>
      <c r="GT50" s="74"/>
      <c r="GU50" s="66"/>
      <c r="GV50" s="64"/>
      <c r="GW50" s="64"/>
      <c r="GX50" s="64"/>
      <c r="GY50" s="64"/>
      <c r="GZ50" s="64"/>
      <c r="HA50" s="74"/>
      <c r="HB50" s="66"/>
      <c r="HC50" s="64"/>
      <c r="HD50" s="64"/>
      <c r="HE50" s="64"/>
      <c r="HF50" s="64"/>
      <c r="HG50" s="64"/>
      <c r="HH50" s="74"/>
      <c r="HI50" s="66"/>
      <c r="HJ50" s="64"/>
    </row>
    <row r="51" ht="13.5" customHeight="1">
      <c r="A51" s="21"/>
      <c r="B51" s="35" t="s">
        <v>24</v>
      </c>
      <c r="C51" s="33">
        <v>10.0</v>
      </c>
      <c r="D51" s="25">
        <f t="shared" si="14"/>
        <v>10</v>
      </c>
      <c r="E51" s="61"/>
      <c r="F51" s="62"/>
      <c r="G51" s="62"/>
      <c r="H51" s="61"/>
      <c r="I51" s="61"/>
      <c r="J51" s="61"/>
      <c r="K51" s="61"/>
      <c r="L51" s="61"/>
      <c r="M51" s="62"/>
      <c r="N51" s="62"/>
      <c r="O51" s="62"/>
      <c r="P51" s="61"/>
      <c r="Q51" s="61"/>
      <c r="R51" s="61"/>
      <c r="S51" s="61"/>
      <c r="T51" s="62"/>
      <c r="U51" s="62"/>
      <c r="V51" s="61"/>
      <c r="W51" s="61"/>
      <c r="X51" s="61"/>
      <c r="Y51" s="61"/>
      <c r="Z51" s="61"/>
      <c r="AA51" s="62"/>
      <c r="AB51" s="62"/>
      <c r="AC51" s="61"/>
      <c r="AD51" s="61"/>
      <c r="AE51" s="61"/>
      <c r="AF51" s="61"/>
      <c r="AG51" s="61"/>
      <c r="AH51" s="62"/>
      <c r="AI51" s="62"/>
      <c r="AJ51" s="61"/>
      <c r="AK51" s="61"/>
      <c r="AL51" s="61"/>
      <c r="AM51" s="61"/>
      <c r="AN51" s="61"/>
      <c r="AO51" s="62"/>
      <c r="AP51" s="62"/>
      <c r="AQ51" s="63"/>
      <c r="AR51" s="63"/>
      <c r="AS51" s="63"/>
      <c r="AT51" s="63"/>
      <c r="AU51" s="63"/>
      <c r="AV51" s="62"/>
      <c r="AW51" s="62"/>
      <c r="AX51" s="61"/>
      <c r="AY51" s="61"/>
      <c r="AZ51" s="61"/>
      <c r="BA51" s="61"/>
      <c r="BB51" s="64"/>
      <c r="BC51" s="65"/>
      <c r="BD51" s="65"/>
      <c r="BE51" s="64"/>
      <c r="BF51" s="64"/>
      <c r="BG51" s="64"/>
      <c r="BH51" s="64"/>
      <c r="BI51" s="64"/>
      <c r="BJ51" s="65"/>
      <c r="BK51" s="65"/>
      <c r="BL51" s="64"/>
      <c r="BM51" s="64"/>
      <c r="BN51" s="64"/>
      <c r="BO51" s="64"/>
      <c r="BP51" s="64"/>
      <c r="BQ51" s="65"/>
      <c r="BR51" s="65"/>
      <c r="BS51" s="64"/>
      <c r="BT51" s="64">
        <v>1.0</v>
      </c>
      <c r="BU51" s="64">
        <v>1.0</v>
      </c>
      <c r="BV51" s="64">
        <v>1.0</v>
      </c>
      <c r="BW51" s="64">
        <v>1.0</v>
      </c>
      <c r="BX51" s="65"/>
      <c r="BY51" s="65"/>
      <c r="BZ51" s="64">
        <v>2.0</v>
      </c>
      <c r="CA51" s="64">
        <v>1.0</v>
      </c>
      <c r="CB51" s="64"/>
      <c r="CC51" s="64"/>
      <c r="CD51" s="64"/>
      <c r="CE51" s="65"/>
      <c r="CF51" s="65"/>
      <c r="CG51" s="64" t="s">
        <v>55</v>
      </c>
      <c r="CH51" s="64">
        <v>1.0</v>
      </c>
      <c r="CI51" s="64"/>
      <c r="CJ51" s="64"/>
      <c r="CK51" s="64"/>
      <c r="CL51" s="65"/>
      <c r="CM51" s="65"/>
      <c r="CN51" s="64"/>
      <c r="CO51" s="64"/>
      <c r="CP51" s="64"/>
      <c r="CQ51" s="64"/>
      <c r="CR51" s="64"/>
      <c r="CS51" s="66"/>
      <c r="CT51" s="66"/>
      <c r="CU51" s="67"/>
      <c r="CV51" s="67"/>
      <c r="CW51" s="67"/>
      <c r="CX51" s="67"/>
      <c r="CY51" s="67"/>
      <c r="CZ51" s="66"/>
      <c r="DA51" s="66"/>
      <c r="DB51" s="67"/>
      <c r="DC51" s="67"/>
      <c r="DD51" s="67"/>
      <c r="DE51" s="67"/>
      <c r="DF51" s="67"/>
      <c r="DG51" s="66"/>
      <c r="DH51" s="66"/>
      <c r="DI51" s="67"/>
      <c r="DJ51" s="67"/>
      <c r="DK51" s="67"/>
      <c r="DL51" s="67"/>
      <c r="DM51" s="67"/>
      <c r="DN51" s="66"/>
      <c r="DO51" s="66"/>
      <c r="DP51" s="67"/>
      <c r="DQ51" s="67"/>
      <c r="DR51" s="67"/>
      <c r="DS51" s="67"/>
      <c r="DT51" s="67"/>
      <c r="DU51" s="66"/>
      <c r="DV51" s="66"/>
      <c r="DW51" s="67"/>
      <c r="DX51" s="67">
        <v>0.5</v>
      </c>
      <c r="DY51" s="67">
        <v>0.5</v>
      </c>
      <c r="DZ51" s="67">
        <v>0.5</v>
      </c>
      <c r="EA51" s="67">
        <v>0.2</v>
      </c>
      <c r="EB51" s="66"/>
      <c r="EC51" s="66"/>
      <c r="ED51" s="67">
        <v>0.3</v>
      </c>
      <c r="EE51" s="67"/>
      <c r="EF51" s="67"/>
      <c r="EG51" s="67"/>
      <c r="EH51" s="67"/>
      <c r="EI51" s="66"/>
      <c r="EJ51" s="66"/>
      <c r="EK51" s="67"/>
      <c r="EL51" s="67"/>
      <c r="EM51" s="67"/>
      <c r="EN51" s="67"/>
      <c r="EO51" s="67"/>
      <c r="EP51" s="66"/>
      <c r="EQ51" s="66"/>
      <c r="ER51" s="67"/>
      <c r="ES51" s="67"/>
      <c r="ET51" s="67"/>
      <c r="EU51" s="67"/>
      <c r="EV51" s="67"/>
      <c r="EW51" s="66"/>
      <c r="EX51" s="66"/>
      <c r="EY51" s="67"/>
      <c r="EZ51" s="67"/>
      <c r="FA51" s="67"/>
      <c r="FB51" s="64"/>
      <c r="FC51" s="64"/>
      <c r="FD51" s="66"/>
      <c r="FE51" s="66"/>
      <c r="FF51" s="64"/>
      <c r="FG51" s="64"/>
      <c r="FH51" s="64"/>
      <c r="FI51" s="64"/>
      <c r="FJ51" s="64"/>
      <c r="FK51" s="66"/>
      <c r="FL51" s="66"/>
      <c r="FM51" s="64"/>
      <c r="FN51" s="64"/>
      <c r="FO51" s="64"/>
      <c r="FP51" s="64"/>
      <c r="FQ51" s="64"/>
      <c r="FR51" s="66"/>
      <c r="FS51" s="66"/>
      <c r="FT51" s="64"/>
      <c r="FU51" s="64"/>
      <c r="FV51" s="64"/>
      <c r="FW51" s="64"/>
      <c r="FX51" s="64"/>
      <c r="FY51" s="66"/>
      <c r="FZ51" s="66"/>
      <c r="GA51" s="64"/>
      <c r="GB51" s="64"/>
      <c r="GC51" s="64"/>
      <c r="GD51" s="64"/>
      <c r="GE51" s="64"/>
      <c r="GF51" s="66"/>
      <c r="GG51" s="66"/>
      <c r="GH51" s="64"/>
      <c r="GI51" s="64"/>
      <c r="GJ51" s="64"/>
      <c r="GK51" s="64"/>
      <c r="GL51" s="64"/>
      <c r="GM51" s="66"/>
      <c r="GN51" s="66"/>
      <c r="GO51" s="64"/>
      <c r="GP51" s="64"/>
      <c r="GQ51" s="64"/>
      <c r="GR51" s="64"/>
      <c r="GS51" s="64"/>
      <c r="GT51" s="66"/>
      <c r="GU51" s="66"/>
      <c r="GV51" s="64"/>
      <c r="GW51" s="64"/>
      <c r="GX51" s="64"/>
      <c r="GY51" s="64"/>
      <c r="GZ51" s="64"/>
      <c r="HA51" s="66"/>
      <c r="HB51" s="66"/>
      <c r="HC51" s="64"/>
      <c r="HD51" s="64"/>
      <c r="HE51" s="64"/>
      <c r="HF51" s="64"/>
      <c r="HG51" s="64"/>
      <c r="HH51" s="66"/>
      <c r="HI51" s="66"/>
      <c r="HJ51" s="64"/>
    </row>
    <row r="52" ht="13.5" customHeight="1">
      <c r="A52" s="21"/>
      <c r="B52" s="35" t="s">
        <v>25</v>
      </c>
      <c r="C52" s="33">
        <v>5.0</v>
      </c>
      <c r="D52" s="25">
        <f t="shared" si="14"/>
        <v>5</v>
      </c>
      <c r="E52" s="61"/>
      <c r="F52" s="62"/>
      <c r="G52" s="62"/>
      <c r="H52" s="61"/>
      <c r="I52" s="61"/>
      <c r="J52" s="61"/>
      <c r="K52" s="61"/>
      <c r="L52" s="61"/>
      <c r="M52" s="62"/>
      <c r="N52" s="62"/>
      <c r="O52" s="62"/>
      <c r="P52" s="61"/>
      <c r="Q52" s="61"/>
      <c r="R52" s="61"/>
      <c r="S52" s="61"/>
      <c r="T52" s="62"/>
      <c r="U52" s="62"/>
      <c r="V52" s="61"/>
      <c r="W52" s="61"/>
      <c r="X52" s="61"/>
      <c r="Y52" s="61"/>
      <c r="Z52" s="61"/>
      <c r="AA52" s="62"/>
      <c r="AB52" s="62"/>
      <c r="AC52" s="61"/>
      <c r="AD52" s="61"/>
      <c r="AE52" s="61"/>
      <c r="AF52" s="61"/>
      <c r="AG52" s="61"/>
      <c r="AH52" s="62"/>
      <c r="AI52" s="62"/>
      <c r="AJ52" s="61"/>
      <c r="AK52" s="61"/>
      <c r="AL52" s="61"/>
      <c r="AM52" s="61"/>
      <c r="AN52" s="61"/>
      <c r="AO52" s="62"/>
      <c r="AP52" s="62"/>
      <c r="AQ52" s="63"/>
      <c r="AR52" s="63"/>
      <c r="AS52" s="63"/>
      <c r="AT52" s="63"/>
      <c r="AU52" s="63"/>
      <c r="AV52" s="62"/>
      <c r="AW52" s="62"/>
      <c r="AX52" s="61"/>
      <c r="AY52" s="61"/>
      <c r="AZ52" s="61"/>
      <c r="BA52" s="61"/>
      <c r="BB52" s="72"/>
      <c r="BC52" s="73"/>
      <c r="BD52" s="73"/>
      <c r="BE52" s="72"/>
      <c r="BF52" s="72"/>
      <c r="BG52" s="72"/>
      <c r="BH52" s="72"/>
      <c r="BI52" s="72"/>
      <c r="BJ52" s="73"/>
      <c r="BK52" s="73"/>
      <c r="BL52" s="72"/>
      <c r="BM52" s="72"/>
      <c r="BN52" s="72"/>
      <c r="BO52" s="72"/>
      <c r="BP52" s="72"/>
      <c r="BQ52" s="73"/>
      <c r="BR52" s="73"/>
      <c r="BS52" s="72"/>
      <c r="BT52" s="72"/>
      <c r="BU52" s="72"/>
      <c r="BV52" s="72"/>
      <c r="BW52" s="72"/>
      <c r="BX52" s="73"/>
      <c r="BY52" s="73"/>
      <c r="BZ52" s="72"/>
      <c r="CA52" s="72"/>
      <c r="CB52" s="72"/>
      <c r="CC52" s="72"/>
      <c r="CD52" s="72"/>
      <c r="CE52" s="73"/>
      <c r="CF52" s="73"/>
      <c r="CG52" s="72"/>
      <c r="CH52" s="72"/>
      <c r="CI52" s="72"/>
      <c r="CJ52" s="72"/>
      <c r="CK52" s="72"/>
      <c r="CL52" s="73"/>
      <c r="CM52" s="73"/>
      <c r="CN52" s="72"/>
      <c r="CO52" s="72"/>
      <c r="CP52" s="72"/>
      <c r="CQ52" s="72"/>
      <c r="CR52" s="72"/>
      <c r="CS52" s="74"/>
      <c r="CT52" s="66"/>
      <c r="CU52" s="75"/>
      <c r="CV52" s="67"/>
      <c r="CW52" s="67"/>
      <c r="CX52" s="67"/>
      <c r="CY52" s="67">
        <v>3.0</v>
      </c>
      <c r="CZ52" s="74"/>
      <c r="DA52" s="66"/>
      <c r="DB52" s="67"/>
      <c r="DC52" s="67"/>
      <c r="DD52" s="67"/>
      <c r="DE52" s="67"/>
      <c r="DF52" s="67"/>
      <c r="DG52" s="74"/>
      <c r="DH52" s="66"/>
      <c r="DI52" s="67"/>
      <c r="DJ52" s="67"/>
      <c r="DK52" s="67"/>
      <c r="DL52" s="67"/>
      <c r="DM52" s="67"/>
      <c r="DN52" s="74"/>
      <c r="DO52" s="66"/>
      <c r="DP52" s="67"/>
      <c r="DQ52" s="67"/>
      <c r="DR52" s="67"/>
      <c r="DS52" s="67"/>
      <c r="DT52" s="67"/>
      <c r="DU52" s="74"/>
      <c r="DV52" s="66"/>
      <c r="DW52" s="67"/>
      <c r="DX52" s="67"/>
      <c r="DY52" s="67"/>
      <c r="DZ52" s="67"/>
      <c r="EA52" s="67"/>
      <c r="EB52" s="74"/>
      <c r="EC52" s="66"/>
      <c r="ED52" s="67"/>
      <c r="EE52" s="67"/>
      <c r="EF52" s="67"/>
      <c r="EG52" s="67"/>
      <c r="EH52" s="67"/>
      <c r="EI52" s="74"/>
      <c r="EJ52" s="66"/>
      <c r="EK52" s="67"/>
      <c r="EL52" s="67">
        <v>1.0</v>
      </c>
      <c r="EM52" s="67">
        <v>1.0</v>
      </c>
      <c r="EN52" s="67"/>
      <c r="EO52" s="67"/>
      <c r="EP52" s="74"/>
      <c r="EQ52" s="66"/>
      <c r="ER52" s="67"/>
      <c r="ES52" s="67"/>
      <c r="ET52" s="67"/>
      <c r="EU52" s="67"/>
      <c r="EV52" s="67"/>
      <c r="EW52" s="74"/>
      <c r="EX52" s="66"/>
      <c r="EY52" s="67"/>
      <c r="EZ52" s="67"/>
      <c r="FA52" s="67"/>
      <c r="FB52" s="64"/>
      <c r="FC52" s="64"/>
      <c r="FD52" s="74"/>
      <c r="FE52" s="66"/>
      <c r="FF52" s="64"/>
      <c r="FG52" s="64"/>
      <c r="FH52" s="64"/>
      <c r="FI52" s="64"/>
      <c r="FJ52" s="64"/>
      <c r="FK52" s="74"/>
      <c r="FL52" s="66"/>
      <c r="FM52" s="64"/>
      <c r="FN52" s="64"/>
      <c r="FO52" s="64"/>
      <c r="FP52" s="64"/>
      <c r="FQ52" s="64"/>
      <c r="FR52" s="74"/>
      <c r="FS52" s="66"/>
      <c r="FT52" s="64"/>
      <c r="FU52" s="64"/>
      <c r="FV52" s="64"/>
      <c r="FW52" s="64"/>
      <c r="FX52" s="64"/>
      <c r="FY52" s="74"/>
      <c r="FZ52" s="66"/>
      <c r="GA52" s="64"/>
      <c r="GB52" s="64"/>
      <c r="GC52" s="64"/>
      <c r="GD52" s="64"/>
      <c r="GE52" s="64"/>
      <c r="GF52" s="74"/>
      <c r="GG52" s="66"/>
      <c r="GH52" s="64"/>
      <c r="GI52" s="64"/>
      <c r="GJ52" s="64"/>
      <c r="GK52" s="64"/>
      <c r="GL52" s="64"/>
      <c r="GM52" s="74"/>
      <c r="GN52" s="66"/>
      <c r="GO52" s="64"/>
      <c r="GP52" s="64"/>
      <c r="GQ52" s="64"/>
      <c r="GR52" s="64"/>
      <c r="GS52" s="64"/>
      <c r="GT52" s="74"/>
      <c r="GU52" s="66"/>
      <c r="GV52" s="64"/>
      <c r="GW52" s="64"/>
      <c r="GX52" s="64"/>
      <c r="GY52" s="64"/>
      <c r="GZ52" s="64"/>
      <c r="HA52" s="74"/>
      <c r="HB52" s="66"/>
      <c r="HC52" s="64"/>
      <c r="HD52" s="64"/>
      <c r="HE52" s="64"/>
      <c r="HF52" s="64"/>
      <c r="HG52" s="64"/>
      <c r="HH52" s="74"/>
      <c r="HI52" s="66"/>
      <c r="HJ52" s="64"/>
    </row>
    <row r="53" ht="13.5" customHeight="1">
      <c r="A53" s="21"/>
      <c r="B53" s="31" t="s">
        <v>43</v>
      </c>
      <c r="C53" s="16">
        <v>13.0</v>
      </c>
      <c r="D53" s="78">
        <f>sum(D54:D55)</f>
        <v>13</v>
      </c>
      <c r="E53" s="69"/>
      <c r="F53" s="70"/>
      <c r="G53" s="70"/>
      <c r="H53" s="69"/>
      <c r="I53" s="69"/>
      <c r="J53" s="69"/>
      <c r="K53" s="69"/>
      <c r="L53" s="69"/>
      <c r="M53" s="70"/>
      <c r="N53" s="70"/>
      <c r="O53" s="70"/>
      <c r="P53" s="69"/>
      <c r="Q53" s="69"/>
      <c r="R53" s="69"/>
      <c r="S53" s="69"/>
      <c r="T53" s="70"/>
      <c r="U53" s="70"/>
      <c r="V53" s="69"/>
      <c r="W53" s="69"/>
      <c r="X53" s="69"/>
      <c r="Y53" s="69"/>
      <c r="Z53" s="69"/>
      <c r="AA53" s="70"/>
      <c r="AB53" s="70"/>
      <c r="AC53" s="69"/>
      <c r="AD53" s="69"/>
      <c r="AE53" s="69"/>
      <c r="AF53" s="69"/>
      <c r="AG53" s="69"/>
      <c r="AH53" s="70"/>
      <c r="AI53" s="70"/>
      <c r="AJ53" s="69"/>
      <c r="AK53" s="69"/>
      <c r="AL53" s="69"/>
      <c r="AM53" s="69"/>
      <c r="AN53" s="69"/>
      <c r="AO53" s="70"/>
      <c r="AP53" s="70"/>
      <c r="AQ53" s="71"/>
      <c r="AR53" s="71"/>
      <c r="AS53" s="71"/>
      <c r="AT53" s="71"/>
      <c r="AU53" s="71"/>
      <c r="AV53" s="70"/>
      <c r="AW53" s="70"/>
      <c r="AX53" s="69"/>
      <c r="AY53" s="69"/>
      <c r="AZ53" s="69"/>
      <c r="BA53" s="69"/>
      <c r="BB53" s="64"/>
      <c r="BC53" s="65"/>
      <c r="BD53" s="65"/>
      <c r="BE53" s="64"/>
      <c r="BF53" s="64"/>
      <c r="BG53" s="64"/>
      <c r="BH53" s="64"/>
      <c r="BI53" s="64"/>
      <c r="BJ53" s="65"/>
      <c r="BK53" s="65"/>
      <c r="BL53" s="64"/>
      <c r="BM53" s="64"/>
      <c r="BN53" s="64"/>
      <c r="BO53" s="64"/>
      <c r="BP53" s="64"/>
      <c r="BQ53" s="65"/>
      <c r="BR53" s="65"/>
      <c r="BS53" s="64"/>
      <c r="BT53" s="64"/>
      <c r="BU53" s="64"/>
      <c r="BV53" s="64"/>
      <c r="BW53" s="64"/>
      <c r="BX53" s="65"/>
      <c r="BY53" s="65"/>
      <c r="BZ53" s="64"/>
      <c r="CA53" s="64"/>
      <c r="CB53" s="64"/>
      <c r="CC53" s="64"/>
      <c r="CD53" s="64"/>
      <c r="CE53" s="65"/>
      <c r="CF53" s="65"/>
      <c r="CG53" s="64"/>
      <c r="CH53" s="64"/>
      <c r="CI53" s="64"/>
      <c r="CJ53" s="64"/>
      <c r="CK53" s="64"/>
      <c r="CL53" s="65"/>
      <c r="CM53" s="65"/>
      <c r="CN53" s="64"/>
      <c r="CO53" s="64"/>
      <c r="CP53" s="64"/>
      <c r="CQ53" s="64"/>
      <c r="CR53" s="64"/>
      <c r="CS53" s="66"/>
      <c r="CT53" s="66"/>
      <c r="CU53" s="67"/>
      <c r="CV53" s="67"/>
      <c r="CW53" s="67"/>
      <c r="CX53" s="67"/>
      <c r="CY53" s="67"/>
      <c r="CZ53" s="66"/>
      <c r="DA53" s="66"/>
      <c r="DB53" s="67"/>
      <c r="DC53" s="67"/>
      <c r="DD53" s="67"/>
      <c r="DE53" s="67"/>
      <c r="DF53" s="67"/>
      <c r="DG53" s="66"/>
      <c r="DH53" s="66"/>
      <c r="DI53" s="67"/>
      <c r="DJ53" s="67"/>
      <c r="DK53" s="67"/>
      <c r="DL53" s="67"/>
      <c r="DM53" s="67"/>
      <c r="DN53" s="66"/>
      <c r="DO53" s="66"/>
      <c r="DP53" s="67"/>
      <c r="DQ53" s="67"/>
      <c r="DR53" s="67"/>
      <c r="DS53" s="67"/>
      <c r="DT53" s="67"/>
      <c r="DU53" s="66"/>
      <c r="DV53" s="66"/>
      <c r="DW53" s="67"/>
      <c r="DX53" s="67"/>
      <c r="DY53" s="67"/>
      <c r="DZ53" s="67"/>
      <c r="EA53" s="67"/>
      <c r="EB53" s="66"/>
      <c r="EC53" s="66"/>
      <c r="ED53" s="67"/>
      <c r="EE53" s="67"/>
      <c r="EF53" s="67"/>
      <c r="EG53" s="67"/>
      <c r="EH53" s="67"/>
      <c r="EI53" s="66"/>
      <c r="EJ53" s="66"/>
      <c r="EK53" s="67"/>
      <c r="EL53" s="67"/>
      <c r="EM53" s="67"/>
      <c r="EN53" s="67"/>
      <c r="EO53" s="67"/>
      <c r="EP53" s="66"/>
      <c r="EQ53" s="66"/>
      <c r="ER53" s="67"/>
      <c r="ES53" s="67"/>
      <c r="ET53" s="67"/>
      <c r="EU53" s="67"/>
      <c r="EV53" s="67"/>
      <c r="EW53" s="66"/>
      <c r="EX53" s="66"/>
      <c r="EY53" s="67"/>
      <c r="EZ53" s="67"/>
      <c r="FA53" s="67"/>
      <c r="FB53" s="64"/>
      <c r="FC53" s="64"/>
      <c r="FD53" s="66"/>
      <c r="FE53" s="66"/>
      <c r="FF53" s="64"/>
      <c r="FG53" s="64"/>
      <c r="FH53" s="64"/>
      <c r="FI53" s="64"/>
      <c r="FJ53" s="64"/>
      <c r="FK53" s="66"/>
      <c r="FL53" s="66"/>
      <c r="FM53" s="64"/>
      <c r="FN53" s="64"/>
      <c r="FO53" s="64"/>
      <c r="FP53" s="64"/>
      <c r="FQ53" s="64"/>
      <c r="FR53" s="66"/>
      <c r="FS53" s="66"/>
      <c r="FT53" s="64"/>
      <c r="FU53" s="64"/>
      <c r="FV53" s="64"/>
      <c r="FW53" s="64"/>
      <c r="FX53" s="64"/>
      <c r="FY53" s="66"/>
      <c r="FZ53" s="66"/>
      <c r="GA53" s="64"/>
      <c r="GB53" s="64"/>
      <c r="GC53" s="64"/>
      <c r="GD53" s="64"/>
      <c r="GE53" s="64"/>
      <c r="GF53" s="66"/>
      <c r="GG53" s="66"/>
      <c r="GH53" s="64"/>
      <c r="GI53" s="64"/>
      <c r="GJ53" s="64"/>
      <c r="GK53" s="64"/>
      <c r="GL53" s="64"/>
      <c r="GM53" s="66"/>
      <c r="GN53" s="66"/>
      <c r="GO53" s="64"/>
      <c r="GP53" s="64"/>
      <c r="GQ53" s="64"/>
      <c r="GR53" s="64"/>
      <c r="GS53" s="64"/>
      <c r="GT53" s="66"/>
      <c r="GU53" s="66"/>
      <c r="GV53" s="64"/>
      <c r="GW53" s="64"/>
      <c r="GX53" s="64"/>
      <c r="GY53" s="64"/>
      <c r="GZ53" s="64"/>
      <c r="HA53" s="66"/>
      <c r="HB53" s="66"/>
      <c r="HC53" s="64"/>
      <c r="HD53" s="64"/>
      <c r="HE53" s="64"/>
      <c r="HF53" s="64"/>
      <c r="HG53" s="64"/>
      <c r="HH53" s="66"/>
      <c r="HI53" s="66"/>
      <c r="HJ53" s="64"/>
    </row>
    <row r="54" ht="13.5" customHeight="1">
      <c r="A54" s="21"/>
      <c r="B54" s="35" t="s">
        <v>56</v>
      </c>
      <c r="C54" s="33">
        <v>8.0</v>
      </c>
      <c r="D54" s="79">
        <f t="shared" ref="D54:D57" si="15">sum(E54:HJ54)</f>
        <v>8</v>
      </c>
      <c r="E54" s="69"/>
      <c r="F54" s="70"/>
      <c r="G54" s="70"/>
      <c r="H54" s="69"/>
      <c r="I54" s="69"/>
      <c r="J54" s="69"/>
      <c r="K54" s="69"/>
      <c r="L54" s="69"/>
      <c r="M54" s="70"/>
      <c r="N54" s="70"/>
      <c r="O54" s="70"/>
      <c r="P54" s="69"/>
      <c r="Q54" s="69"/>
      <c r="R54" s="69"/>
      <c r="S54" s="69"/>
      <c r="T54" s="70"/>
      <c r="U54" s="70"/>
      <c r="V54" s="69"/>
      <c r="W54" s="69"/>
      <c r="X54" s="69"/>
      <c r="Y54" s="69"/>
      <c r="Z54" s="69"/>
      <c r="AA54" s="70"/>
      <c r="AB54" s="70"/>
      <c r="AC54" s="69"/>
      <c r="AD54" s="69"/>
      <c r="AE54" s="69"/>
      <c r="AF54" s="69"/>
      <c r="AG54" s="69"/>
      <c r="AH54" s="70"/>
      <c r="AI54" s="70"/>
      <c r="AJ54" s="69"/>
      <c r="AK54" s="69"/>
      <c r="AL54" s="69"/>
      <c r="AM54" s="69"/>
      <c r="AN54" s="69"/>
      <c r="AO54" s="70"/>
      <c r="AP54" s="70"/>
      <c r="AQ54" s="71"/>
      <c r="AR54" s="71"/>
      <c r="AS54" s="71"/>
      <c r="AT54" s="71"/>
      <c r="AU54" s="71"/>
      <c r="AV54" s="70"/>
      <c r="AW54" s="70"/>
      <c r="AX54" s="69"/>
      <c r="AY54" s="69"/>
      <c r="AZ54" s="69"/>
      <c r="BA54" s="69"/>
      <c r="BB54" s="72"/>
      <c r="BC54" s="73"/>
      <c r="BD54" s="73"/>
      <c r="BE54" s="72"/>
      <c r="BF54" s="72"/>
      <c r="BG54" s="72"/>
      <c r="BH54" s="72"/>
      <c r="BI54" s="72"/>
      <c r="BJ54" s="73"/>
      <c r="BK54" s="73"/>
      <c r="BL54" s="72"/>
      <c r="BM54" s="72"/>
      <c r="BN54" s="72"/>
      <c r="BO54" s="72"/>
      <c r="BP54" s="72"/>
      <c r="BQ54" s="73"/>
      <c r="BR54" s="73"/>
      <c r="BS54" s="72"/>
      <c r="BT54" s="72"/>
      <c r="BU54" s="72"/>
      <c r="BV54" s="72"/>
      <c r="BW54" s="72"/>
      <c r="BX54" s="73"/>
      <c r="BY54" s="73"/>
      <c r="BZ54" s="72"/>
      <c r="CA54" s="72"/>
      <c r="CB54" s="72"/>
      <c r="CC54" s="72"/>
      <c r="CD54" s="72"/>
      <c r="CE54" s="73"/>
      <c r="CF54" s="73"/>
      <c r="CG54" s="72"/>
      <c r="CH54" s="72"/>
      <c r="CI54" s="72"/>
      <c r="CJ54" s="72"/>
      <c r="CK54" s="72"/>
      <c r="CL54" s="73"/>
      <c r="CM54" s="73"/>
      <c r="CN54" s="72"/>
      <c r="CO54" s="72"/>
      <c r="CP54" s="72">
        <v>0.1</v>
      </c>
      <c r="CQ54" s="72">
        <v>0.1</v>
      </c>
      <c r="CR54" s="72">
        <v>0.1</v>
      </c>
      <c r="CS54" s="74"/>
      <c r="CT54" s="66"/>
      <c r="CU54" s="75">
        <v>0.1</v>
      </c>
      <c r="CV54" s="67">
        <v>0.1</v>
      </c>
      <c r="CW54" s="67">
        <v>0.1</v>
      </c>
      <c r="CX54" s="67">
        <v>0.1</v>
      </c>
      <c r="CY54" s="67">
        <v>0.1</v>
      </c>
      <c r="CZ54" s="74"/>
      <c r="DA54" s="66"/>
      <c r="DB54" s="67">
        <v>0.1</v>
      </c>
      <c r="DC54" s="67">
        <v>0.1</v>
      </c>
      <c r="DD54" s="67">
        <v>0.1</v>
      </c>
      <c r="DE54" s="67">
        <v>0.1</v>
      </c>
      <c r="DF54" s="67">
        <v>0.1</v>
      </c>
      <c r="DG54" s="74"/>
      <c r="DH54" s="66"/>
      <c r="DI54" s="67"/>
      <c r="DJ54" s="67">
        <v>0.1</v>
      </c>
      <c r="DK54" s="67">
        <v>0.1</v>
      </c>
      <c r="DL54" s="67">
        <v>0.1</v>
      </c>
      <c r="DM54" s="67">
        <v>0.1</v>
      </c>
      <c r="DN54" s="74"/>
      <c r="DO54" s="66"/>
      <c r="DP54" s="67">
        <v>0.2</v>
      </c>
      <c r="DQ54" s="67">
        <v>0.2</v>
      </c>
      <c r="DR54" s="67">
        <v>0.2</v>
      </c>
      <c r="DS54" s="67">
        <v>0.2</v>
      </c>
      <c r="DT54" s="67">
        <v>0.2</v>
      </c>
      <c r="DU54" s="74"/>
      <c r="DV54" s="66"/>
      <c r="DW54" s="67">
        <v>0.2</v>
      </c>
      <c r="DX54" s="67">
        <v>0.2</v>
      </c>
      <c r="DY54" s="67">
        <v>0.2</v>
      </c>
      <c r="DZ54" s="67">
        <v>0.2</v>
      </c>
      <c r="EA54" s="67">
        <v>0.2</v>
      </c>
      <c r="EB54" s="74"/>
      <c r="EC54" s="66"/>
      <c r="ED54" s="67">
        <v>0.2</v>
      </c>
      <c r="EE54" s="67">
        <v>0.2</v>
      </c>
      <c r="EF54" s="67">
        <v>0.2</v>
      </c>
      <c r="EG54" s="67">
        <v>0.2</v>
      </c>
      <c r="EH54" s="67">
        <v>0.2</v>
      </c>
      <c r="EI54" s="74"/>
      <c r="EJ54" s="66"/>
      <c r="EK54" s="67">
        <v>0.2</v>
      </c>
      <c r="EL54" s="67">
        <v>0.2</v>
      </c>
      <c r="EM54" s="67">
        <v>0.1</v>
      </c>
      <c r="EN54" s="67">
        <v>0.3</v>
      </c>
      <c r="EO54" s="67">
        <v>0.1</v>
      </c>
      <c r="EP54" s="74"/>
      <c r="EQ54" s="66"/>
      <c r="ER54" s="67">
        <v>0.1</v>
      </c>
      <c r="ES54" s="67">
        <v>0.1</v>
      </c>
      <c r="ET54" s="67">
        <v>0.1</v>
      </c>
      <c r="EU54" s="67">
        <v>0.1</v>
      </c>
      <c r="EV54" s="67">
        <v>0.1</v>
      </c>
      <c r="EW54" s="74"/>
      <c r="EX54" s="66"/>
      <c r="EY54" s="67">
        <v>0.1</v>
      </c>
      <c r="EZ54" s="67">
        <v>0.1</v>
      </c>
      <c r="FA54" s="67">
        <v>0.1</v>
      </c>
      <c r="FB54" s="64">
        <v>0.1</v>
      </c>
      <c r="FC54" s="64">
        <v>0.1</v>
      </c>
      <c r="FD54" s="74"/>
      <c r="FE54" s="66"/>
      <c r="FF54" s="64">
        <v>0.2</v>
      </c>
      <c r="FG54" s="64">
        <v>0.1</v>
      </c>
      <c r="FH54" s="64">
        <v>0.1</v>
      </c>
      <c r="FI54" s="64"/>
      <c r="FJ54" s="64"/>
      <c r="FK54" s="74"/>
      <c r="FL54" s="66"/>
      <c r="FM54" s="64">
        <v>0.1</v>
      </c>
      <c r="FN54" s="64">
        <v>0.1</v>
      </c>
      <c r="FO54" s="64">
        <v>0.1</v>
      </c>
      <c r="FP54" s="64">
        <v>0.1</v>
      </c>
      <c r="FQ54" s="64">
        <v>0.1</v>
      </c>
      <c r="FR54" s="74"/>
      <c r="FS54" s="66"/>
      <c r="FT54" s="64">
        <v>0.2</v>
      </c>
      <c r="FU54" s="64">
        <v>0.1</v>
      </c>
      <c r="FV54" s="64">
        <v>0.2</v>
      </c>
      <c r="FW54" s="64"/>
      <c r="FX54" s="64"/>
      <c r="FY54" s="74"/>
      <c r="FZ54" s="66"/>
      <c r="GA54" s="64"/>
      <c r="GB54" s="64"/>
      <c r="GC54" s="64"/>
      <c r="GD54" s="64"/>
      <c r="GE54" s="64"/>
      <c r="GF54" s="74"/>
      <c r="GG54" s="66"/>
      <c r="GH54" s="64"/>
      <c r="GI54" s="64"/>
      <c r="GJ54" s="64"/>
      <c r="GK54" s="64"/>
      <c r="GL54" s="64"/>
      <c r="GM54" s="74"/>
      <c r="GN54" s="66"/>
      <c r="GO54" s="64"/>
      <c r="GP54" s="64"/>
      <c r="GQ54" s="64"/>
      <c r="GR54" s="64"/>
      <c r="GS54" s="64"/>
      <c r="GT54" s="74"/>
      <c r="GU54" s="66"/>
      <c r="GV54" s="64"/>
      <c r="GW54" s="64"/>
      <c r="GX54" s="64"/>
      <c r="GY54" s="64"/>
      <c r="GZ54" s="64"/>
      <c r="HA54" s="74"/>
      <c r="HB54" s="66"/>
      <c r="HC54" s="64"/>
      <c r="HD54" s="64"/>
      <c r="HE54" s="64"/>
      <c r="HF54" s="64"/>
      <c r="HG54" s="64"/>
      <c r="HH54" s="74"/>
      <c r="HI54" s="66"/>
      <c r="HJ54" s="64"/>
    </row>
    <row r="55" ht="13.5" customHeight="1">
      <c r="A55" s="21"/>
      <c r="B55" s="35" t="s">
        <v>45</v>
      </c>
      <c r="C55" s="33">
        <v>5.0</v>
      </c>
      <c r="D55" s="25">
        <f t="shared" si="15"/>
        <v>5</v>
      </c>
      <c r="E55" s="69"/>
      <c r="F55" s="70"/>
      <c r="G55" s="70"/>
      <c r="H55" s="69"/>
      <c r="I55" s="69"/>
      <c r="J55" s="69"/>
      <c r="K55" s="69"/>
      <c r="L55" s="69"/>
      <c r="M55" s="70"/>
      <c r="N55" s="70"/>
      <c r="O55" s="70"/>
      <c r="P55" s="69"/>
      <c r="Q55" s="69"/>
      <c r="R55" s="69"/>
      <c r="S55" s="69"/>
      <c r="T55" s="70"/>
      <c r="U55" s="70"/>
      <c r="V55" s="69"/>
      <c r="W55" s="69"/>
      <c r="X55" s="69"/>
      <c r="Y55" s="69"/>
      <c r="Z55" s="69"/>
      <c r="AA55" s="70"/>
      <c r="AB55" s="70"/>
      <c r="AC55" s="69"/>
      <c r="AD55" s="69"/>
      <c r="AE55" s="69"/>
      <c r="AF55" s="69"/>
      <c r="AG55" s="69"/>
      <c r="AH55" s="70"/>
      <c r="AI55" s="70"/>
      <c r="AJ55" s="69"/>
      <c r="AK55" s="69"/>
      <c r="AL55" s="69"/>
      <c r="AM55" s="69"/>
      <c r="AN55" s="69"/>
      <c r="AO55" s="70"/>
      <c r="AP55" s="70"/>
      <c r="AQ55" s="71"/>
      <c r="AR55" s="71"/>
      <c r="AS55" s="71"/>
      <c r="AT55" s="71"/>
      <c r="AU55" s="71"/>
      <c r="AV55" s="70"/>
      <c r="AW55" s="70"/>
      <c r="AX55" s="69"/>
      <c r="AY55" s="69"/>
      <c r="AZ55" s="69"/>
      <c r="BA55" s="69"/>
      <c r="BB55" s="72"/>
      <c r="BC55" s="73"/>
      <c r="BD55" s="73"/>
      <c r="BE55" s="72"/>
      <c r="BF55" s="72"/>
      <c r="BG55" s="72"/>
      <c r="BH55" s="72"/>
      <c r="BI55" s="72"/>
      <c r="BJ55" s="73"/>
      <c r="BK55" s="73"/>
      <c r="BL55" s="72"/>
      <c r="BM55" s="72"/>
      <c r="BN55" s="72"/>
      <c r="BO55" s="72"/>
      <c r="BP55" s="72"/>
      <c r="BQ55" s="73"/>
      <c r="BR55" s="73"/>
      <c r="BS55" s="72"/>
      <c r="BT55" s="72"/>
      <c r="BU55" s="72"/>
      <c r="BV55" s="72"/>
      <c r="BW55" s="72"/>
      <c r="BX55" s="73"/>
      <c r="BY55" s="73"/>
      <c r="BZ55" s="72"/>
      <c r="CA55" s="72"/>
      <c r="CB55" s="72"/>
      <c r="CC55" s="72"/>
      <c r="CD55" s="72"/>
      <c r="CE55" s="73"/>
      <c r="CF55" s="73"/>
      <c r="CG55" s="72"/>
      <c r="CH55" s="72"/>
      <c r="CI55" s="72"/>
      <c r="CJ55" s="72"/>
      <c r="CK55" s="72"/>
      <c r="CL55" s="73"/>
      <c r="CM55" s="73"/>
      <c r="CN55" s="72"/>
      <c r="CO55" s="72"/>
      <c r="CP55" s="72"/>
      <c r="CQ55" s="72"/>
      <c r="CR55" s="72"/>
      <c r="CS55" s="74"/>
      <c r="CT55" s="66"/>
      <c r="CU55" s="75"/>
      <c r="CV55" s="67"/>
      <c r="CW55" s="67"/>
      <c r="CX55" s="67"/>
      <c r="CY55" s="67"/>
      <c r="CZ55" s="74"/>
      <c r="DA55" s="66"/>
      <c r="DB55" s="67"/>
      <c r="DC55" s="67"/>
      <c r="DD55" s="67"/>
      <c r="DE55" s="67"/>
      <c r="DF55" s="67"/>
      <c r="DG55" s="74"/>
      <c r="DH55" s="66"/>
      <c r="DI55" s="67"/>
      <c r="DJ55" s="67"/>
      <c r="DK55" s="67"/>
      <c r="DL55" s="67"/>
      <c r="DM55" s="67"/>
      <c r="DN55" s="74"/>
      <c r="DO55" s="66"/>
      <c r="DP55" s="67"/>
      <c r="DQ55" s="67"/>
      <c r="DR55" s="67"/>
      <c r="DS55" s="67"/>
      <c r="DT55" s="67">
        <v>0.2</v>
      </c>
      <c r="DU55" s="74"/>
      <c r="DV55" s="66"/>
      <c r="DW55" s="67"/>
      <c r="DX55" s="67"/>
      <c r="DY55" s="67"/>
      <c r="DZ55" s="67"/>
      <c r="EA55" s="67">
        <v>0.4</v>
      </c>
      <c r="EB55" s="74"/>
      <c r="EC55" s="66"/>
      <c r="ED55" s="67"/>
      <c r="EE55" s="67"/>
      <c r="EF55" s="67"/>
      <c r="EG55" s="67"/>
      <c r="EH55" s="67"/>
      <c r="EI55" s="74"/>
      <c r="EJ55" s="66"/>
      <c r="EK55" s="67">
        <v>0.2</v>
      </c>
      <c r="EL55" s="67">
        <v>0.2</v>
      </c>
      <c r="EM55" s="67"/>
      <c r="EN55" s="67"/>
      <c r="EO55" s="67"/>
      <c r="EP55" s="74"/>
      <c r="EQ55" s="66"/>
      <c r="ER55" s="67"/>
      <c r="ES55" s="67"/>
      <c r="ET55" s="67"/>
      <c r="EU55" s="67">
        <v>0.2</v>
      </c>
      <c r="EV55" s="67">
        <v>0.2</v>
      </c>
      <c r="EW55" s="74"/>
      <c r="EX55" s="66"/>
      <c r="EY55" s="67">
        <v>0.2</v>
      </c>
      <c r="EZ55" s="67">
        <v>0.2</v>
      </c>
      <c r="FA55" s="67">
        <v>0.2</v>
      </c>
      <c r="FB55" s="64"/>
      <c r="FC55" s="64"/>
      <c r="FD55" s="74"/>
      <c r="FE55" s="66"/>
      <c r="FF55" s="64">
        <v>0.1</v>
      </c>
      <c r="FG55" s="64">
        <v>0.1</v>
      </c>
      <c r="FH55" s="64">
        <v>0.1</v>
      </c>
      <c r="FI55" s="64"/>
      <c r="FJ55" s="64"/>
      <c r="FK55" s="74"/>
      <c r="FL55" s="66"/>
      <c r="FM55" s="64">
        <v>1.0</v>
      </c>
      <c r="FN55" s="64">
        <v>0.3</v>
      </c>
      <c r="FO55" s="64">
        <v>0.4</v>
      </c>
      <c r="FP55" s="64"/>
      <c r="FQ55" s="64"/>
      <c r="FR55" s="74"/>
      <c r="FS55" s="66"/>
      <c r="FT55" s="64">
        <v>0.2</v>
      </c>
      <c r="FU55" s="64">
        <v>0.2</v>
      </c>
      <c r="FV55" s="64">
        <v>0.1</v>
      </c>
      <c r="FW55" s="64"/>
      <c r="FX55" s="64"/>
      <c r="FY55" s="74"/>
      <c r="FZ55" s="66"/>
      <c r="GA55" s="64">
        <v>0.1</v>
      </c>
      <c r="GB55" s="64">
        <v>0.3</v>
      </c>
      <c r="GC55" s="64">
        <v>0.1</v>
      </c>
      <c r="GD55" s="64"/>
      <c r="GE55" s="64"/>
      <c r="GF55" s="74"/>
      <c r="GG55" s="66"/>
      <c r="GH55" s="64"/>
      <c r="GI55" s="64"/>
      <c r="GJ55" s="64"/>
      <c r="GK55" s="64"/>
      <c r="GL55" s="64"/>
      <c r="GM55" s="74"/>
      <c r="GN55" s="66"/>
      <c r="GO55" s="64"/>
      <c r="GP55" s="64"/>
      <c r="GQ55" s="64"/>
      <c r="GR55" s="64"/>
      <c r="GS55" s="64"/>
      <c r="GT55" s="74"/>
      <c r="GU55" s="66"/>
      <c r="GV55" s="64"/>
      <c r="GW55" s="64"/>
      <c r="GX55" s="64"/>
      <c r="GY55" s="64"/>
      <c r="GZ55" s="64"/>
      <c r="HA55" s="74"/>
      <c r="HB55" s="66"/>
      <c r="HC55" s="64"/>
      <c r="HD55" s="64"/>
      <c r="HE55" s="64"/>
      <c r="HF55" s="64"/>
      <c r="HG55" s="64"/>
      <c r="HH55" s="74"/>
      <c r="HI55" s="66"/>
      <c r="HJ55" s="64"/>
    </row>
    <row r="56" ht="13.5" customHeight="1">
      <c r="A56" s="21"/>
      <c r="B56" s="31" t="s">
        <v>46</v>
      </c>
      <c r="C56" s="15">
        <v>2.0</v>
      </c>
      <c r="D56" s="25">
        <f t="shared" si="15"/>
        <v>2</v>
      </c>
      <c r="E56" s="69"/>
      <c r="F56" s="70"/>
      <c r="G56" s="70"/>
      <c r="H56" s="69"/>
      <c r="I56" s="69"/>
      <c r="J56" s="69"/>
      <c r="K56" s="69"/>
      <c r="L56" s="69"/>
      <c r="M56" s="70"/>
      <c r="N56" s="70"/>
      <c r="O56" s="70"/>
      <c r="P56" s="69"/>
      <c r="Q56" s="69"/>
      <c r="R56" s="69"/>
      <c r="S56" s="69"/>
      <c r="T56" s="70"/>
      <c r="U56" s="70"/>
      <c r="V56" s="69"/>
      <c r="W56" s="69"/>
      <c r="X56" s="69"/>
      <c r="Y56" s="69"/>
      <c r="Z56" s="69"/>
      <c r="AA56" s="70"/>
      <c r="AB56" s="70"/>
      <c r="AC56" s="69"/>
      <c r="AD56" s="69"/>
      <c r="AE56" s="69"/>
      <c r="AF56" s="69"/>
      <c r="AG56" s="69"/>
      <c r="AH56" s="70"/>
      <c r="AI56" s="70"/>
      <c r="AJ56" s="69"/>
      <c r="AK56" s="69"/>
      <c r="AL56" s="69"/>
      <c r="AM56" s="69"/>
      <c r="AN56" s="69"/>
      <c r="AO56" s="70"/>
      <c r="AP56" s="70"/>
      <c r="AQ56" s="71"/>
      <c r="AR56" s="71"/>
      <c r="AS56" s="71"/>
      <c r="AT56" s="71"/>
      <c r="AU56" s="71"/>
      <c r="AV56" s="70"/>
      <c r="AW56" s="70"/>
      <c r="AX56" s="69"/>
      <c r="AY56" s="69"/>
      <c r="AZ56" s="69"/>
      <c r="BA56" s="69"/>
      <c r="BB56" s="72"/>
      <c r="BC56" s="73"/>
      <c r="BD56" s="73"/>
      <c r="BE56" s="72"/>
      <c r="BF56" s="72"/>
      <c r="BG56" s="72"/>
      <c r="BH56" s="72"/>
      <c r="BI56" s="72"/>
      <c r="BJ56" s="73"/>
      <c r="BK56" s="73"/>
      <c r="BL56" s="72"/>
      <c r="BM56" s="72"/>
      <c r="BN56" s="72"/>
      <c r="BO56" s="72"/>
      <c r="BP56" s="72"/>
      <c r="BQ56" s="73"/>
      <c r="BR56" s="73"/>
      <c r="BS56" s="72"/>
      <c r="BT56" s="72"/>
      <c r="BU56" s="72"/>
      <c r="BV56" s="72"/>
      <c r="BW56" s="72"/>
      <c r="BX56" s="73"/>
      <c r="BY56" s="73"/>
      <c r="BZ56" s="72"/>
      <c r="CA56" s="72"/>
      <c r="CB56" s="72"/>
      <c r="CC56" s="72"/>
      <c r="CD56" s="72"/>
      <c r="CE56" s="73"/>
      <c r="CF56" s="73"/>
      <c r="CG56" s="72"/>
      <c r="CH56" s="72"/>
      <c r="CI56" s="72"/>
      <c r="CJ56" s="72"/>
      <c r="CK56" s="72"/>
      <c r="CL56" s="73"/>
      <c r="CM56" s="73"/>
      <c r="CN56" s="72"/>
      <c r="CO56" s="72"/>
      <c r="CP56" s="72"/>
      <c r="CQ56" s="72"/>
      <c r="CR56" s="72"/>
      <c r="CS56" s="74"/>
      <c r="CT56" s="66"/>
      <c r="CU56" s="75"/>
      <c r="CV56" s="67"/>
      <c r="CW56" s="67"/>
      <c r="CX56" s="67"/>
      <c r="CY56" s="67"/>
      <c r="CZ56" s="74"/>
      <c r="DA56" s="66"/>
      <c r="DB56" s="67"/>
      <c r="DC56" s="67"/>
      <c r="DD56" s="67"/>
      <c r="DE56" s="67"/>
      <c r="DF56" s="67"/>
      <c r="DG56" s="74"/>
      <c r="DH56" s="66"/>
      <c r="DI56" s="67"/>
      <c r="DJ56" s="67"/>
      <c r="DK56" s="67"/>
      <c r="DL56" s="67"/>
      <c r="DM56" s="67"/>
      <c r="DN56" s="74"/>
      <c r="DO56" s="66"/>
      <c r="DP56" s="67"/>
      <c r="DQ56" s="67"/>
      <c r="DR56" s="67"/>
      <c r="DS56" s="67"/>
      <c r="DT56" s="67"/>
      <c r="DU56" s="74"/>
      <c r="DV56" s="66"/>
      <c r="DW56" s="67"/>
      <c r="DX56" s="67"/>
      <c r="DY56" s="67"/>
      <c r="DZ56" s="67"/>
      <c r="EA56" s="67"/>
      <c r="EB56" s="74"/>
      <c r="EC56" s="66"/>
      <c r="ED56" s="67"/>
      <c r="EE56" s="67"/>
      <c r="EF56" s="67"/>
      <c r="EG56" s="67"/>
      <c r="EH56" s="67"/>
      <c r="EI56" s="74"/>
      <c r="EJ56" s="66"/>
      <c r="EK56" s="67"/>
      <c r="EL56" s="67"/>
      <c r="EM56" s="67"/>
      <c r="EN56" s="67"/>
      <c r="EO56" s="67"/>
      <c r="EP56" s="74"/>
      <c r="EQ56" s="66"/>
      <c r="ER56" s="67"/>
      <c r="ES56" s="67">
        <v>0.5</v>
      </c>
      <c r="ET56" s="67"/>
      <c r="EU56" s="67"/>
      <c r="EV56" s="67">
        <v>0.5</v>
      </c>
      <c r="EW56" s="74"/>
      <c r="EX56" s="66"/>
      <c r="EY56" s="67"/>
      <c r="EZ56" s="67"/>
      <c r="FA56" s="67"/>
      <c r="FB56" s="64"/>
      <c r="FC56" s="64"/>
      <c r="FD56" s="74"/>
      <c r="FE56" s="66"/>
      <c r="FF56" s="64"/>
      <c r="FG56" s="64"/>
      <c r="FH56" s="64"/>
      <c r="FI56" s="64"/>
      <c r="FJ56" s="64"/>
      <c r="FK56" s="74"/>
      <c r="FL56" s="66"/>
      <c r="FM56" s="64"/>
      <c r="FN56" s="64"/>
      <c r="FO56" s="64"/>
      <c r="FP56" s="64"/>
      <c r="FQ56" s="64"/>
      <c r="FR56" s="74"/>
      <c r="FS56" s="66"/>
      <c r="FT56" s="64"/>
      <c r="FU56" s="64"/>
      <c r="FV56" s="64"/>
      <c r="FW56" s="64"/>
      <c r="FX56" s="64"/>
      <c r="FY56" s="74"/>
      <c r="FZ56" s="66"/>
      <c r="GA56" s="64"/>
      <c r="GB56" s="64"/>
      <c r="GC56" s="64"/>
      <c r="GD56" s="64">
        <v>0.5</v>
      </c>
      <c r="GE56" s="64">
        <v>0.5</v>
      </c>
      <c r="GF56" s="74"/>
      <c r="GG56" s="66"/>
      <c r="GH56" s="64"/>
      <c r="GI56" s="64"/>
      <c r="GJ56" s="64"/>
      <c r="GK56" s="64"/>
      <c r="GL56" s="64"/>
      <c r="GM56" s="74"/>
      <c r="GN56" s="66"/>
      <c r="GO56" s="64"/>
      <c r="GP56" s="64"/>
      <c r="GQ56" s="64"/>
      <c r="GR56" s="64"/>
      <c r="GS56" s="64"/>
      <c r="GT56" s="74"/>
      <c r="GU56" s="66"/>
      <c r="GV56" s="64"/>
      <c r="GW56" s="64"/>
      <c r="GX56" s="64"/>
      <c r="GY56" s="64"/>
      <c r="GZ56" s="64"/>
      <c r="HA56" s="74"/>
      <c r="HB56" s="66"/>
      <c r="HC56" s="64"/>
      <c r="HD56" s="64"/>
      <c r="HE56" s="64"/>
      <c r="HF56" s="64"/>
      <c r="HG56" s="64"/>
      <c r="HH56" s="74"/>
      <c r="HI56" s="66"/>
      <c r="HJ56" s="64"/>
    </row>
    <row r="57" ht="13.5" customHeight="1">
      <c r="A57" s="21"/>
      <c r="B57" s="31" t="s">
        <v>47</v>
      </c>
      <c r="C57" s="15">
        <v>1.0</v>
      </c>
      <c r="D57" s="25">
        <f t="shared" si="15"/>
        <v>1</v>
      </c>
      <c r="E57" s="69"/>
      <c r="F57" s="70"/>
      <c r="G57" s="70"/>
      <c r="H57" s="69"/>
      <c r="I57" s="69"/>
      <c r="J57" s="69"/>
      <c r="K57" s="69"/>
      <c r="L57" s="69"/>
      <c r="M57" s="70"/>
      <c r="N57" s="70"/>
      <c r="O57" s="70"/>
      <c r="P57" s="69"/>
      <c r="Q57" s="69"/>
      <c r="R57" s="69"/>
      <c r="S57" s="69"/>
      <c r="T57" s="70"/>
      <c r="U57" s="70"/>
      <c r="V57" s="69"/>
      <c r="W57" s="69"/>
      <c r="X57" s="69"/>
      <c r="Y57" s="69"/>
      <c r="Z57" s="69"/>
      <c r="AA57" s="70"/>
      <c r="AB57" s="70"/>
      <c r="AC57" s="69"/>
      <c r="AD57" s="69"/>
      <c r="AE57" s="69"/>
      <c r="AF57" s="69"/>
      <c r="AG57" s="69"/>
      <c r="AH57" s="70"/>
      <c r="AI57" s="70"/>
      <c r="AJ57" s="69"/>
      <c r="AK57" s="69"/>
      <c r="AL57" s="69"/>
      <c r="AM57" s="69"/>
      <c r="AN57" s="69"/>
      <c r="AO57" s="70"/>
      <c r="AP57" s="70"/>
      <c r="AQ57" s="71"/>
      <c r="AR57" s="71"/>
      <c r="AS57" s="71"/>
      <c r="AT57" s="71"/>
      <c r="AU57" s="71"/>
      <c r="AV57" s="70"/>
      <c r="AW57" s="70"/>
      <c r="AX57" s="69"/>
      <c r="AY57" s="69"/>
      <c r="AZ57" s="69"/>
      <c r="BA57" s="69"/>
      <c r="BB57" s="72"/>
      <c r="BC57" s="73"/>
      <c r="BD57" s="73"/>
      <c r="BE57" s="72"/>
      <c r="BF57" s="72"/>
      <c r="BG57" s="72"/>
      <c r="BH57" s="72"/>
      <c r="BI57" s="72"/>
      <c r="BJ57" s="73"/>
      <c r="BK57" s="73"/>
      <c r="BL57" s="72"/>
      <c r="BM57" s="72"/>
      <c r="BN57" s="72"/>
      <c r="BO57" s="72"/>
      <c r="BP57" s="72"/>
      <c r="BQ57" s="73"/>
      <c r="BR57" s="73"/>
      <c r="BS57" s="72"/>
      <c r="BT57" s="72"/>
      <c r="BU57" s="72"/>
      <c r="BV57" s="72"/>
      <c r="BW57" s="72"/>
      <c r="BX57" s="73"/>
      <c r="BY57" s="73"/>
      <c r="BZ57" s="72"/>
      <c r="CA57" s="72"/>
      <c r="CB57" s="72"/>
      <c r="CC57" s="72"/>
      <c r="CD57" s="72"/>
      <c r="CE57" s="73"/>
      <c r="CF57" s="73"/>
      <c r="CG57" s="72"/>
      <c r="CH57" s="72"/>
      <c r="CI57" s="72"/>
      <c r="CJ57" s="72"/>
      <c r="CK57" s="72"/>
      <c r="CL57" s="73"/>
      <c r="CM57" s="73"/>
      <c r="CN57" s="72"/>
      <c r="CO57" s="72"/>
      <c r="CP57" s="72"/>
      <c r="CQ57" s="72"/>
      <c r="CR57" s="72"/>
      <c r="CS57" s="74"/>
      <c r="CT57" s="66"/>
      <c r="CU57" s="75"/>
      <c r="CV57" s="67"/>
      <c r="CW57" s="67"/>
      <c r="CX57" s="67"/>
      <c r="CY57" s="67"/>
      <c r="CZ57" s="74"/>
      <c r="DA57" s="66"/>
      <c r="DB57" s="67"/>
      <c r="DC57" s="67"/>
      <c r="DD57" s="67"/>
      <c r="DE57" s="67"/>
      <c r="DF57" s="67"/>
      <c r="DG57" s="74"/>
      <c r="DH57" s="66"/>
      <c r="DI57" s="67"/>
      <c r="DJ57" s="67"/>
      <c r="DK57" s="67"/>
      <c r="DL57" s="67"/>
      <c r="DM57" s="67"/>
      <c r="DN57" s="74"/>
      <c r="DO57" s="66"/>
      <c r="DP57" s="67"/>
      <c r="DQ57" s="67"/>
      <c r="DR57" s="67"/>
      <c r="DS57" s="67"/>
      <c r="DT57" s="67"/>
      <c r="DU57" s="74"/>
      <c r="DV57" s="66"/>
      <c r="DW57" s="67"/>
      <c r="DX57" s="67"/>
      <c r="DY57" s="67"/>
      <c r="DZ57" s="67"/>
      <c r="EA57" s="67"/>
      <c r="EB57" s="74"/>
      <c r="EC57" s="66"/>
      <c r="ED57" s="67"/>
      <c r="EE57" s="67"/>
      <c r="EF57" s="67"/>
      <c r="EG57" s="67"/>
      <c r="EH57" s="67"/>
      <c r="EI57" s="74"/>
      <c r="EJ57" s="66"/>
      <c r="EK57" s="67"/>
      <c r="EL57" s="67"/>
      <c r="EM57" s="67"/>
      <c r="EN57" s="67"/>
      <c r="EO57" s="67"/>
      <c r="EP57" s="74"/>
      <c r="EQ57" s="66"/>
      <c r="ER57" s="67"/>
      <c r="ES57" s="67"/>
      <c r="ET57" s="67"/>
      <c r="EU57" s="67"/>
      <c r="EV57" s="67"/>
      <c r="EW57" s="74"/>
      <c r="EX57" s="66"/>
      <c r="EY57" s="67"/>
      <c r="EZ57" s="67"/>
      <c r="FA57" s="67"/>
      <c r="FB57" s="64"/>
      <c r="FC57" s="64"/>
      <c r="FD57" s="74"/>
      <c r="FE57" s="66"/>
      <c r="FF57" s="64"/>
      <c r="FG57" s="64"/>
      <c r="FH57" s="64"/>
      <c r="FI57" s="64"/>
      <c r="FJ57" s="64"/>
      <c r="FK57" s="74"/>
      <c r="FL57" s="66"/>
      <c r="FM57" s="64"/>
      <c r="FN57" s="64"/>
      <c r="FO57" s="64"/>
      <c r="FP57" s="64"/>
      <c r="FQ57" s="64"/>
      <c r="FR57" s="74"/>
      <c r="FS57" s="66"/>
      <c r="FT57" s="64"/>
      <c r="FU57" s="64"/>
      <c r="FV57" s="64"/>
      <c r="FW57" s="64"/>
      <c r="FX57" s="64"/>
      <c r="FY57" s="74"/>
      <c r="FZ57" s="66"/>
      <c r="GA57" s="64"/>
      <c r="GB57" s="64"/>
      <c r="GC57" s="64"/>
      <c r="GD57" s="64"/>
      <c r="GE57" s="64"/>
      <c r="GF57" s="74"/>
      <c r="GG57" s="66">
        <v>1.0</v>
      </c>
      <c r="GH57" s="64"/>
      <c r="GI57" s="64"/>
      <c r="GJ57" s="64"/>
      <c r="GK57" s="64"/>
      <c r="GL57" s="64"/>
      <c r="GM57" s="74"/>
      <c r="GN57" s="66"/>
      <c r="GO57" s="64"/>
      <c r="GP57" s="64"/>
      <c r="GQ57" s="64"/>
      <c r="GR57" s="64"/>
      <c r="GS57" s="64"/>
      <c r="GT57" s="74"/>
      <c r="GU57" s="66"/>
      <c r="GV57" s="64"/>
      <c r="GW57" s="64"/>
      <c r="GX57" s="64"/>
      <c r="GY57" s="64"/>
      <c r="GZ57" s="64"/>
      <c r="HA57" s="74"/>
      <c r="HB57" s="66"/>
      <c r="HC57" s="64"/>
      <c r="HD57" s="64"/>
      <c r="HE57" s="64"/>
      <c r="HF57" s="64"/>
      <c r="HG57" s="64"/>
      <c r="HH57" s="74"/>
      <c r="HI57" s="66"/>
      <c r="HJ57" s="64"/>
    </row>
    <row r="58" ht="13.5" customHeight="1">
      <c r="A58" s="59"/>
      <c r="B58" s="68" t="s">
        <v>48</v>
      </c>
      <c r="C58" s="23">
        <v>1.0</v>
      </c>
      <c r="D58" s="23">
        <f>D59</f>
        <v>0</v>
      </c>
      <c r="E58" s="69"/>
      <c r="F58" s="70"/>
      <c r="G58" s="70"/>
      <c r="H58" s="69"/>
      <c r="I58" s="69"/>
      <c r="J58" s="69"/>
      <c r="K58" s="69"/>
      <c r="L58" s="69"/>
      <c r="M58" s="70"/>
      <c r="N58" s="70"/>
      <c r="O58" s="70"/>
      <c r="P58" s="69"/>
      <c r="Q58" s="69"/>
      <c r="R58" s="69"/>
      <c r="S58" s="69"/>
      <c r="T58" s="70"/>
      <c r="U58" s="70"/>
      <c r="V58" s="69"/>
      <c r="W58" s="69"/>
      <c r="X58" s="69"/>
      <c r="Y58" s="69"/>
      <c r="Z58" s="69"/>
      <c r="AA58" s="70"/>
      <c r="AB58" s="70"/>
      <c r="AC58" s="69"/>
      <c r="AD58" s="69"/>
      <c r="AE58" s="69"/>
      <c r="AF58" s="69"/>
      <c r="AG58" s="69"/>
      <c r="AH58" s="70"/>
      <c r="AI58" s="70"/>
      <c r="AJ58" s="69"/>
      <c r="AK58" s="69"/>
      <c r="AL58" s="69"/>
      <c r="AM58" s="69"/>
      <c r="AN58" s="69"/>
      <c r="AO58" s="70"/>
      <c r="AP58" s="70"/>
      <c r="AQ58" s="71"/>
      <c r="AR58" s="71"/>
      <c r="AS58" s="71"/>
      <c r="AT58" s="71"/>
      <c r="AU58" s="71"/>
      <c r="AV58" s="70"/>
      <c r="AW58" s="70"/>
      <c r="AX58" s="69"/>
      <c r="AY58" s="69"/>
      <c r="AZ58" s="69"/>
      <c r="BA58" s="69"/>
      <c r="BB58" s="64"/>
      <c r="BC58" s="65"/>
      <c r="BD58" s="65"/>
      <c r="BE58" s="64"/>
      <c r="BF58" s="64"/>
      <c r="BG58" s="64"/>
      <c r="BH58" s="64"/>
      <c r="BI58" s="64"/>
      <c r="BJ58" s="65"/>
      <c r="BK58" s="65"/>
      <c r="BL58" s="64"/>
      <c r="BM58" s="64"/>
      <c r="BN58" s="64"/>
      <c r="BO58" s="64"/>
      <c r="BP58" s="64"/>
      <c r="BQ58" s="65"/>
      <c r="BR58" s="65"/>
      <c r="BS58" s="64"/>
      <c r="BT58" s="64"/>
      <c r="BU58" s="64"/>
      <c r="BV58" s="64"/>
      <c r="BW58" s="64"/>
      <c r="BX58" s="65"/>
      <c r="BY58" s="65"/>
      <c r="BZ58" s="64"/>
      <c r="CA58" s="64"/>
      <c r="CB58" s="64"/>
      <c r="CC58" s="64"/>
      <c r="CD58" s="64"/>
      <c r="CE58" s="65"/>
      <c r="CF58" s="65"/>
      <c r="CG58" s="64"/>
      <c r="CH58" s="64"/>
      <c r="CI58" s="64"/>
      <c r="CJ58" s="64"/>
      <c r="CK58" s="64"/>
      <c r="CL58" s="65"/>
      <c r="CM58" s="65"/>
      <c r="CN58" s="64"/>
      <c r="CO58" s="64"/>
      <c r="CP58" s="64"/>
      <c r="CQ58" s="64"/>
      <c r="CR58" s="64"/>
      <c r="CS58" s="66"/>
      <c r="CT58" s="66"/>
      <c r="CU58" s="67"/>
      <c r="CV58" s="67"/>
      <c r="CW58" s="67"/>
      <c r="CX58" s="67"/>
      <c r="CY58" s="67"/>
      <c r="CZ58" s="66"/>
      <c r="DA58" s="66"/>
      <c r="DB58" s="67"/>
      <c r="DC58" s="67"/>
      <c r="DD58" s="67"/>
      <c r="DE58" s="67"/>
      <c r="DF58" s="67"/>
      <c r="DG58" s="66"/>
      <c r="DH58" s="66"/>
      <c r="DI58" s="67"/>
      <c r="DJ58" s="67"/>
      <c r="DK58" s="67"/>
      <c r="DL58" s="67"/>
      <c r="DM58" s="67"/>
      <c r="DN58" s="66"/>
      <c r="DO58" s="66"/>
      <c r="DP58" s="67"/>
      <c r="DQ58" s="67"/>
      <c r="DR58" s="67"/>
      <c r="DS58" s="67"/>
      <c r="DT58" s="67"/>
      <c r="DU58" s="66"/>
      <c r="DV58" s="66"/>
      <c r="DW58" s="67"/>
      <c r="DX58" s="67"/>
      <c r="DY58" s="67"/>
      <c r="DZ58" s="67"/>
      <c r="EA58" s="67"/>
      <c r="EB58" s="66"/>
      <c r="EC58" s="66"/>
      <c r="ED58" s="67"/>
      <c r="EE58" s="67"/>
      <c r="EF58" s="67"/>
      <c r="EG58" s="67"/>
      <c r="EH58" s="67"/>
      <c r="EI58" s="66"/>
      <c r="EJ58" s="66"/>
      <c r="EK58" s="67"/>
      <c r="EL58" s="67"/>
      <c r="EM58" s="67"/>
      <c r="EN58" s="67"/>
      <c r="EO58" s="67"/>
      <c r="EP58" s="66"/>
      <c r="EQ58" s="66"/>
      <c r="ER58" s="67"/>
      <c r="ES58" s="67"/>
      <c r="ET58" s="67"/>
      <c r="EU58" s="67"/>
      <c r="EV58" s="67"/>
      <c r="EW58" s="66"/>
      <c r="EX58" s="66"/>
      <c r="EY58" s="67"/>
      <c r="EZ58" s="67"/>
      <c r="FA58" s="67"/>
      <c r="FB58" s="64"/>
      <c r="FC58" s="64"/>
      <c r="FD58" s="66"/>
      <c r="FE58" s="66"/>
      <c r="FF58" s="64"/>
      <c r="FG58" s="64"/>
      <c r="FH58" s="64"/>
      <c r="FI58" s="64"/>
      <c r="FJ58" s="64"/>
      <c r="FK58" s="66"/>
      <c r="FL58" s="66"/>
      <c r="FM58" s="64"/>
      <c r="FN58" s="64"/>
      <c r="FO58" s="64"/>
      <c r="FP58" s="64"/>
      <c r="FQ58" s="64"/>
      <c r="FR58" s="66"/>
      <c r="FS58" s="66"/>
      <c r="FT58" s="64"/>
      <c r="FU58" s="64"/>
      <c r="FV58" s="64"/>
      <c r="FW58" s="64"/>
      <c r="FX58" s="64"/>
      <c r="FY58" s="66"/>
      <c r="FZ58" s="66"/>
      <c r="GA58" s="64"/>
      <c r="GB58" s="64"/>
      <c r="GC58" s="64"/>
      <c r="GD58" s="64"/>
      <c r="GE58" s="64"/>
      <c r="GF58" s="66"/>
      <c r="GG58" s="66"/>
      <c r="GH58" s="64"/>
      <c r="GI58" s="64"/>
      <c r="GJ58" s="64"/>
      <c r="GK58" s="64"/>
      <c r="GL58" s="64"/>
      <c r="GM58" s="66"/>
      <c r="GN58" s="66"/>
      <c r="GO58" s="64"/>
      <c r="GP58" s="64"/>
      <c r="GQ58" s="64"/>
      <c r="GR58" s="64"/>
      <c r="GS58" s="64"/>
      <c r="GT58" s="66"/>
      <c r="GU58" s="66"/>
      <c r="GV58" s="64"/>
      <c r="GW58" s="64"/>
      <c r="GX58" s="64"/>
      <c r="GY58" s="64"/>
      <c r="GZ58" s="64"/>
      <c r="HA58" s="66"/>
      <c r="HB58" s="66"/>
      <c r="HC58" s="64"/>
      <c r="HD58" s="64"/>
      <c r="HE58" s="64"/>
      <c r="HF58" s="64"/>
      <c r="HG58" s="64"/>
      <c r="HH58" s="66"/>
      <c r="HI58" s="66"/>
      <c r="HJ58" s="64"/>
    </row>
    <row r="59" ht="13.5" customHeight="1">
      <c r="A59" s="59" t="s">
        <v>26</v>
      </c>
      <c r="B59" s="31" t="s">
        <v>28</v>
      </c>
      <c r="C59" s="16">
        <v>1.0</v>
      </c>
      <c r="D59" s="16">
        <f t="shared" ref="D59:D60" si="16">sum(E59:HJ59)</f>
        <v>0</v>
      </c>
      <c r="E59" s="69"/>
      <c r="F59" s="70"/>
      <c r="G59" s="70"/>
      <c r="H59" s="69"/>
      <c r="I59" s="69"/>
      <c r="J59" s="69"/>
      <c r="K59" s="69"/>
      <c r="L59" s="69"/>
      <c r="M59" s="70"/>
      <c r="N59" s="70"/>
      <c r="O59" s="70"/>
      <c r="P59" s="69"/>
      <c r="Q59" s="69"/>
      <c r="R59" s="69"/>
      <c r="S59" s="69"/>
      <c r="T59" s="70"/>
      <c r="U59" s="70"/>
      <c r="V59" s="69"/>
      <c r="W59" s="69"/>
      <c r="X59" s="69"/>
      <c r="Y59" s="69"/>
      <c r="Z59" s="69"/>
      <c r="AA59" s="70"/>
      <c r="AB59" s="70"/>
      <c r="AC59" s="69"/>
      <c r="AD59" s="69"/>
      <c r="AE59" s="69"/>
      <c r="AF59" s="69"/>
      <c r="AG59" s="69"/>
      <c r="AH59" s="70"/>
      <c r="AI59" s="70"/>
      <c r="AJ59" s="69"/>
      <c r="AK59" s="69"/>
      <c r="AL59" s="69"/>
      <c r="AM59" s="69"/>
      <c r="AN59" s="69"/>
      <c r="AO59" s="70"/>
      <c r="AP59" s="70"/>
      <c r="AQ59" s="71"/>
      <c r="AR59" s="71"/>
      <c r="AS59" s="71"/>
      <c r="AT59" s="71"/>
      <c r="AU59" s="71"/>
      <c r="AV59" s="70"/>
      <c r="AW59" s="70"/>
      <c r="AX59" s="69"/>
      <c r="AY59" s="69"/>
      <c r="AZ59" s="69"/>
      <c r="BA59" s="69"/>
      <c r="BB59" s="64"/>
      <c r="BC59" s="65"/>
      <c r="BD59" s="65"/>
      <c r="BE59" s="64"/>
      <c r="BF59" s="64"/>
      <c r="BG59" s="64"/>
      <c r="BH59" s="64"/>
      <c r="BI59" s="64"/>
      <c r="BJ59" s="65"/>
      <c r="BK59" s="65"/>
      <c r="BL59" s="64"/>
      <c r="BM59" s="64"/>
      <c r="BN59" s="64"/>
      <c r="BO59" s="64"/>
      <c r="BP59" s="64"/>
      <c r="BQ59" s="65"/>
      <c r="BR59" s="65"/>
      <c r="BS59" s="64"/>
      <c r="BT59" s="64"/>
      <c r="BU59" s="64"/>
      <c r="BV59" s="64"/>
      <c r="BW59" s="64"/>
      <c r="BX59" s="65"/>
      <c r="BY59" s="65"/>
      <c r="BZ59" s="64"/>
      <c r="CA59" s="64"/>
      <c r="CB59" s="64"/>
      <c r="CC59" s="64"/>
      <c r="CD59" s="64"/>
      <c r="CE59" s="65"/>
      <c r="CF59" s="65"/>
      <c r="CG59" s="64"/>
      <c r="CH59" s="64"/>
      <c r="CI59" s="64"/>
      <c r="CJ59" s="64"/>
      <c r="CK59" s="64"/>
      <c r="CL59" s="65"/>
      <c r="CM59" s="65"/>
      <c r="CN59" s="64"/>
      <c r="CO59" s="64"/>
      <c r="CP59" s="64"/>
      <c r="CQ59" s="64"/>
      <c r="CR59" s="64"/>
      <c r="CS59" s="66"/>
      <c r="CT59" s="66"/>
      <c r="CU59" s="67"/>
      <c r="CV59" s="67"/>
      <c r="CW59" s="67"/>
      <c r="CX59" s="67"/>
      <c r="CY59" s="67"/>
      <c r="CZ59" s="66"/>
      <c r="DA59" s="66"/>
      <c r="DB59" s="67"/>
      <c r="DC59" s="67"/>
      <c r="DD59" s="67"/>
      <c r="DE59" s="67"/>
      <c r="DF59" s="67"/>
      <c r="DG59" s="66"/>
      <c r="DH59" s="66"/>
      <c r="DI59" s="67"/>
      <c r="DJ59" s="67"/>
      <c r="DK59" s="67"/>
      <c r="DL59" s="67"/>
      <c r="DM59" s="67"/>
      <c r="DN59" s="66"/>
      <c r="DO59" s="66"/>
      <c r="DP59" s="67"/>
      <c r="DQ59" s="67"/>
      <c r="DR59" s="67"/>
      <c r="DS59" s="67"/>
      <c r="DT59" s="67"/>
      <c r="DU59" s="66"/>
      <c r="DV59" s="66"/>
      <c r="DW59" s="67"/>
      <c r="DX59" s="67"/>
      <c r="DY59" s="67"/>
      <c r="DZ59" s="67"/>
      <c r="EA59" s="67"/>
      <c r="EB59" s="66"/>
      <c r="EC59" s="66"/>
      <c r="ED59" s="67"/>
      <c r="EE59" s="67"/>
      <c r="EF59" s="67"/>
      <c r="EG59" s="67"/>
      <c r="EH59" s="67"/>
      <c r="EI59" s="66"/>
      <c r="EJ59" s="66"/>
      <c r="EK59" s="67"/>
      <c r="EL59" s="67"/>
      <c r="EM59" s="67"/>
      <c r="EN59" s="67"/>
      <c r="EO59" s="67"/>
      <c r="EP59" s="66"/>
      <c r="EQ59" s="66"/>
      <c r="ER59" s="67"/>
      <c r="ES59" s="67"/>
      <c r="ET59" s="67"/>
      <c r="EU59" s="67"/>
      <c r="EV59" s="67"/>
      <c r="EW59" s="66"/>
      <c r="EX59" s="66"/>
      <c r="EY59" s="67"/>
      <c r="EZ59" s="67"/>
      <c r="FA59" s="67"/>
      <c r="FB59" s="64"/>
      <c r="FC59" s="64"/>
      <c r="FD59" s="66"/>
      <c r="FE59" s="66"/>
      <c r="FF59" s="64"/>
      <c r="FG59" s="64"/>
      <c r="FH59" s="64"/>
      <c r="FI59" s="64"/>
      <c r="FJ59" s="64"/>
      <c r="FK59" s="66"/>
      <c r="FL59" s="66"/>
      <c r="FM59" s="64"/>
      <c r="FN59" s="64"/>
      <c r="FO59" s="64"/>
      <c r="FP59" s="64"/>
      <c r="FQ59" s="64"/>
      <c r="FR59" s="66"/>
      <c r="FS59" s="66"/>
      <c r="FT59" s="64"/>
      <c r="FU59" s="64"/>
      <c r="FV59" s="64"/>
      <c r="FW59" s="64"/>
      <c r="FX59" s="64"/>
      <c r="FY59" s="66"/>
      <c r="FZ59" s="66"/>
      <c r="GA59" s="64"/>
      <c r="GB59" s="64"/>
      <c r="GC59" s="64"/>
      <c r="GD59" s="64"/>
      <c r="GE59" s="64"/>
      <c r="GF59" s="66"/>
      <c r="GG59" s="66"/>
      <c r="GH59" s="64"/>
      <c r="GI59" s="64"/>
      <c r="GJ59" s="64"/>
      <c r="GK59" s="64"/>
      <c r="GL59" s="64"/>
      <c r="GM59" s="66"/>
      <c r="GN59" s="66"/>
      <c r="GO59" s="64"/>
      <c r="GP59" s="64"/>
      <c r="GQ59" s="64"/>
      <c r="GR59" s="64"/>
      <c r="GS59" s="64"/>
      <c r="GT59" s="66"/>
      <c r="GU59" s="66"/>
      <c r="GV59" s="64"/>
      <c r="GW59" s="64"/>
      <c r="GX59" s="64"/>
      <c r="GY59" s="64"/>
      <c r="GZ59" s="64"/>
      <c r="HA59" s="66"/>
      <c r="HB59" s="66"/>
      <c r="HC59" s="64"/>
      <c r="HD59" s="64"/>
      <c r="HE59" s="64"/>
      <c r="HF59" s="64"/>
      <c r="HG59" s="64"/>
      <c r="HH59" s="66"/>
      <c r="HI59" s="66"/>
      <c r="HJ59" s="64"/>
    </row>
    <row r="60" ht="13.5" customHeight="1">
      <c r="A60" s="21"/>
      <c r="B60" s="35" t="s">
        <v>57</v>
      </c>
      <c r="C60" s="33">
        <v>1.0</v>
      </c>
      <c r="D60" s="16">
        <f t="shared" si="16"/>
        <v>0</v>
      </c>
      <c r="E60" s="69"/>
      <c r="F60" s="70"/>
      <c r="G60" s="70"/>
      <c r="H60" s="69"/>
      <c r="I60" s="69"/>
      <c r="J60" s="69"/>
      <c r="K60" s="69"/>
      <c r="L60" s="69"/>
      <c r="M60" s="70"/>
      <c r="N60" s="70"/>
      <c r="O60" s="70"/>
      <c r="P60" s="69"/>
      <c r="Q60" s="69"/>
      <c r="R60" s="69"/>
      <c r="S60" s="69"/>
      <c r="T60" s="70"/>
      <c r="U60" s="70"/>
      <c r="V60" s="69"/>
      <c r="W60" s="69"/>
      <c r="X60" s="69"/>
      <c r="Y60" s="69"/>
      <c r="Z60" s="69"/>
      <c r="AA60" s="70"/>
      <c r="AB60" s="70"/>
      <c r="AC60" s="69"/>
      <c r="AD60" s="69"/>
      <c r="AE60" s="69"/>
      <c r="AF60" s="69"/>
      <c r="AG60" s="69"/>
      <c r="AH60" s="70"/>
      <c r="AI60" s="70"/>
      <c r="AJ60" s="69"/>
      <c r="AK60" s="69"/>
      <c r="AL60" s="69"/>
      <c r="AM60" s="69"/>
      <c r="AN60" s="69"/>
      <c r="AO60" s="70"/>
      <c r="AP60" s="70"/>
      <c r="AQ60" s="71"/>
      <c r="AR60" s="71"/>
      <c r="AS60" s="71"/>
      <c r="AT60" s="71"/>
      <c r="AU60" s="71"/>
      <c r="AV60" s="70"/>
      <c r="AW60" s="70"/>
      <c r="AX60" s="69"/>
      <c r="AY60" s="69"/>
      <c r="AZ60" s="69"/>
      <c r="BA60" s="69"/>
      <c r="BB60" s="64"/>
      <c r="BC60" s="65"/>
      <c r="BD60" s="65"/>
      <c r="BE60" s="64"/>
      <c r="BF60" s="64"/>
      <c r="BG60" s="64"/>
      <c r="BH60" s="64"/>
      <c r="BI60" s="64"/>
      <c r="BJ60" s="65"/>
      <c r="BK60" s="65"/>
      <c r="BL60" s="64"/>
      <c r="BM60" s="64"/>
      <c r="BN60" s="64"/>
      <c r="BO60" s="64"/>
      <c r="BP60" s="64"/>
      <c r="BQ60" s="65"/>
      <c r="BR60" s="65"/>
      <c r="BS60" s="64"/>
      <c r="BT60" s="64"/>
      <c r="BU60" s="64"/>
      <c r="BV60" s="64"/>
      <c r="BW60" s="64"/>
      <c r="BX60" s="65"/>
      <c r="BY60" s="65"/>
      <c r="BZ60" s="64"/>
      <c r="CA60" s="64"/>
      <c r="CB60" s="64"/>
      <c r="CC60" s="64"/>
      <c r="CD60" s="64"/>
      <c r="CE60" s="65"/>
      <c r="CF60" s="65"/>
      <c r="CG60" s="64"/>
      <c r="CH60" s="64"/>
      <c r="CI60" s="64"/>
      <c r="CJ60" s="64"/>
      <c r="CK60" s="64"/>
      <c r="CL60" s="65"/>
      <c r="CM60" s="65"/>
      <c r="CN60" s="64"/>
      <c r="CO60" s="64"/>
      <c r="CP60" s="64"/>
      <c r="CQ60" s="64"/>
      <c r="CR60" s="64"/>
      <c r="CS60" s="66"/>
      <c r="CT60" s="66"/>
      <c r="CU60" s="67"/>
      <c r="CV60" s="67"/>
      <c r="CW60" s="67"/>
      <c r="CX60" s="67"/>
      <c r="CY60" s="67"/>
      <c r="CZ60" s="66"/>
      <c r="DA60" s="66"/>
      <c r="DB60" s="67"/>
      <c r="DC60" s="67"/>
      <c r="DD60" s="67"/>
      <c r="DE60" s="67"/>
      <c r="DF60" s="67"/>
      <c r="DG60" s="66"/>
      <c r="DH60" s="66"/>
      <c r="DI60" s="67"/>
      <c r="DJ60" s="67"/>
      <c r="DK60" s="67"/>
      <c r="DL60" s="67"/>
      <c r="DM60" s="67"/>
      <c r="DN60" s="66"/>
      <c r="DO60" s="66"/>
      <c r="DP60" s="67"/>
      <c r="DQ60" s="67"/>
      <c r="DR60" s="67"/>
      <c r="DS60" s="67"/>
      <c r="DT60" s="67"/>
      <c r="DU60" s="66"/>
      <c r="DV60" s="66"/>
      <c r="DW60" s="67"/>
      <c r="DX60" s="67"/>
      <c r="DY60" s="67"/>
      <c r="DZ60" s="67"/>
      <c r="EA60" s="67"/>
      <c r="EB60" s="66"/>
      <c r="EC60" s="66"/>
      <c r="ED60" s="67"/>
      <c r="EE60" s="67"/>
      <c r="EF60" s="67"/>
      <c r="EG60" s="67"/>
      <c r="EH60" s="67"/>
      <c r="EI60" s="66"/>
      <c r="EJ60" s="66"/>
      <c r="EK60" s="67"/>
      <c r="EL60" s="67"/>
      <c r="EM60" s="67"/>
      <c r="EN60" s="67"/>
      <c r="EO60" s="67"/>
      <c r="EP60" s="66"/>
      <c r="EQ60" s="66"/>
      <c r="ER60" s="67"/>
      <c r="ES60" s="67"/>
      <c r="ET60" s="67"/>
      <c r="EU60" s="67"/>
      <c r="EV60" s="67"/>
      <c r="EW60" s="66"/>
      <c r="EX60" s="66"/>
      <c r="EY60" s="67"/>
      <c r="EZ60" s="67"/>
      <c r="FA60" s="67"/>
      <c r="FB60" s="64"/>
      <c r="FC60" s="64"/>
      <c r="FD60" s="66"/>
      <c r="FE60" s="66"/>
      <c r="FF60" s="64"/>
      <c r="FG60" s="64"/>
      <c r="FH60" s="64"/>
      <c r="FI60" s="64"/>
      <c r="FJ60" s="64"/>
      <c r="FK60" s="66"/>
      <c r="FL60" s="66"/>
      <c r="FM60" s="64"/>
      <c r="FN60" s="64"/>
      <c r="FO60" s="64"/>
      <c r="FP60" s="64"/>
      <c r="FQ60" s="64"/>
      <c r="FR60" s="66"/>
      <c r="FS60" s="66"/>
      <c r="FT60" s="64"/>
      <c r="FU60" s="64"/>
      <c r="FV60" s="64"/>
      <c r="FW60" s="64"/>
      <c r="FX60" s="64"/>
      <c r="FY60" s="66"/>
      <c r="FZ60" s="66"/>
      <c r="GA60" s="64"/>
      <c r="GB60" s="64"/>
      <c r="GC60" s="64"/>
      <c r="GD60" s="64"/>
      <c r="GE60" s="64"/>
      <c r="GF60" s="66"/>
      <c r="GG60" s="66"/>
      <c r="GH60" s="64"/>
      <c r="GI60" s="64"/>
      <c r="GJ60" s="64"/>
      <c r="GK60" s="64"/>
      <c r="GL60" s="64"/>
      <c r="GM60" s="66"/>
      <c r="GN60" s="66"/>
      <c r="GO60" s="64"/>
      <c r="GP60" s="64"/>
      <c r="GQ60" s="64"/>
      <c r="GR60" s="64"/>
      <c r="GS60" s="64"/>
      <c r="GT60" s="66"/>
      <c r="GU60" s="66"/>
      <c r="GV60" s="64"/>
      <c r="GW60" s="64"/>
      <c r="GX60" s="64"/>
      <c r="GY60" s="64"/>
      <c r="GZ60" s="64"/>
      <c r="HA60" s="66"/>
      <c r="HB60" s="66"/>
      <c r="HC60" s="64"/>
      <c r="HD60" s="64"/>
      <c r="HE60" s="64"/>
      <c r="HF60" s="64"/>
      <c r="HG60" s="64"/>
      <c r="HH60" s="66"/>
      <c r="HI60" s="66"/>
      <c r="HJ60" s="64"/>
    </row>
    <row r="61" ht="13.5" customHeight="1">
      <c r="A61" s="1"/>
      <c r="B61" s="4" t="s">
        <v>29</v>
      </c>
      <c r="C61" s="3">
        <v>100.0</v>
      </c>
      <c r="D61" s="80">
        <f>(D37+D44+D58)</f>
        <v>99</v>
      </c>
      <c r="E61" s="44">
        <f t="shared" ref="E61:HJ61" si="17">SUM(E36:E60)</f>
        <v>1</v>
      </c>
      <c r="F61" s="44">
        <f t="shared" si="17"/>
        <v>0</v>
      </c>
      <c r="G61" s="44">
        <f t="shared" si="17"/>
        <v>0</v>
      </c>
      <c r="H61" s="44">
        <f t="shared" si="17"/>
        <v>0</v>
      </c>
      <c r="I61" s="44">
        <f t="shared" si="17"/>
        <v>0</v>
      </c>
      <c r="J61" s="44">
        <f t="shared" si="17"/>
        <v>1</v>
      </c>
      <c r="K61" s="44">
        <f t="shared" si="17"/>
        <v>0.5</v>
      </c>
      <c r="L61" s="44">
        <f t="shared" si="17"/>
        <v>2</v>
      </c>
      <c r="M61" s="44">
        <f t="shared" si="17"/>
        <v>0</v>
      </c>
      <c r="N61" s="44">
        <f t="shared" si="17"/>
        <v>0</v>
      </c>
      <c r="O61" s="44">
        <f t="shared" si="17"/>
        <v>0</v>
      </c>
      <c r="P61" s="44">
        <f t="shared" si="17"/>
        <v>0.5</v>
      </c>
      <c r="Q61" s="44">
        <f t="shared" si="17"/>
        <v>0.5</v>
      </c>
      <c r="R61" s="44">
        <f t="shared" si="17"/>
        <v>0.5</v>
      </c>
      <c r="S61" s="44">
        <f t="shared" si="17"/>
        <v>1</v>
      </c>
      <c r="T61" s="44">
        <f t="shared" si="17"/>
        <v>0</v>
      </c>
      <c r="U61" s="44">
        <f t="shared" si="17"/>
        <v>0</v>
      </c>
      <c r="V61" s="44">
        <f t="shared" si="17"/>
        <v>2.5</v>
      </c>
      <c r="W61" s="44">
        <f t="shared" si="17"/>
        <v>2.5</v>
      </c>
      <c r="X61" s="44">
        <f t="shared" si="17"/>
        <v>4</v>
      </c>
      <c r="Y61" s="44">
        <f t="shared" si="17"/>
        <v>1.5</v>
      </c>
      <c r="Z61" s="44">
        <f t="shared" si="17"/>
        <v>2</v>
      </c>
      <c r="AA61" s="44">
        <f t="shared" si="17"/>
        <v>0</v>
      </c>
      <c r="AB61" s="44">
        <f t="shared" si="17"/>
        <v>0</v>
      </c>
      <c r="AC61" s="44">
        <f t="shared" si="17"/>
        <v>3.5</v>
      </c>
      <c r="AD61" s="44">
        <f t="shared" si="17"/>
        <v>2.5</v>
      </c>
      <c r="AE61" s="44">
        <f t="shared" si="17"/>
        <v>2</v>
      </c>
      <c r="AF61" s="44">
        <f t="shared" si="17"/>
        <v>1.5</v>
      </c>
      <c r="AG61" s="44">
        <f t="shared" si="17"/>
        <v>1.5</v>
      </c>
      <c r="AH61" s="44">
        <f t="shared" si="17"/>
        <v>0</v>
      </c>
      <c r="AI61" s="44">
        <f t="shared" si="17"/>
        <v>0</v>
      </c>
      <c r="AJ61" s="44">
        <f t="shared" si="17"/>
        <v>2.5</v>
      </c>
      <c r="AK61" s="44">
        <f t="shared" si="17"/>
        <v>1.5</v>
      </c>
      <c r="AL61" s="44">
        <f t="shared" si="17"/>
        <v>1.5</v>
      </c>
      <c r="AM61" s="44">
        <f t="shared" si="17"/>
        <v>1.5</v>
      </c>
      <c r="AN61" s="44">
        <f t="shared" si="17"/>
        <v>0.5</v>
      </c>
      <c r="AO61" s="44">
        <f t="shared" si="17"/>
        <v>0</v>
      </c>
      <c r="AP61" s="44">
        <f t="shared" si="17"/>
        <v>0</v>
      </c>
      <c r="AQ61" s="44">
        <f t="shared" si="17"/>
        <v>0</v>
      </c>
      <c r="AR61" s="44">
        <f t="shared" si="17"/>
        <v>0</v>
      </c>
      <c r="AS61" s="44">
        <f t="shared" si="17"/>
        <v>0</v>
      </c>
      <c r="AT61" s="44">
        <f t="shared" si="17"/>
        <v>0</v>
      </c>
      <c r="AU61" s="44">
        <f t="shared" si="17"/>
        <v>0</v>
      </c>
      <c r="AV61" s="44">
        <f t="shared" si="17"/>
        <v>0</v>
      </c>
      <c r="AW61" s="44">
        <f t="shared" si="17"/>
        <v>0</v>
      </c>
      <c r="AX61" s="44">
        <f t="shared" si="17"/>
        <v>1</v>
      </c>
      <c r="AY61" s="44">
        <f t="shared" si="17"/>
        <v>0.5</v>
      </c>
      <c r="AZ61" s="44">
        <f t="shared" si="17"/>
        <v>1</v>
      </c>
      <c r="BA61" s="44">
        <f t="shared" si="17"/>
        <v>0.5</v>
      </c>
      <c r="BB61" s="44">
        <f t="shared" si="17"/>
        <v>0</v>
      </c>
      <c r="BC61" s="44">
        <f t="shared" si="17"/>
        <v>0</v>
      </c>
      <c r="BD61" s="44">
        <f t="shared" si="17"/>
        <v>0</v>
      </c>
      <c r="BE61" s="44">
        <f t="shared" si="17"/>
        <v>1</v>
      </c>
      <c r="BF61" s="44">
        <f t="shared" si="17"/>
        <v>1</v>
      </c>
      <c r="BG61" s="44">
        <f t="shared" si="17"/>
        <v>0.5</v>
      </c>
      <c r="BH61" s="44">
        <f t="shared" si="17"/>
        <v>0.5</v>
      </c>
      <c r="BI61" s="44">
        <f t="shared" si="17"/>
        <v>0.5</v>
      </c>
      <c r="BJ61" s="44">
        <f t="shared" si="17"/>
        <v>0</v>
      </c>
      <c r="BK61" s="44">
        <f t="shared" si="17"/>
        <v>0</v>
      </c>
      <c r="BL61" s="44">
        <f t="shared" si="17"/>
        <v>1.5</v>
      </c>
      <c r="BM61" s="44">
        <f t="shared" si="17"/>
        <v>1.5</v>
      </c>
      <c r="BN61" s="44">
        <f t="shared" si="17"/>
        <v>1.5</v>
      </c>
      <c r="BO61" s="44">
        <f t="shared" si="17"/>
        <v>0.5</v>
      </c>
      <c r="BP61" s="44">
        <f t="shared" si="17"/>
        <v>0.5</v>
      </c>
      <c r="BQ61" s="44">
        <f t="shared" si="17"/>
        <v>0</v>
      </c>
      <c r="BR61" s="44">
        <f t="shared" si="17"/>
        <v>0</v>
      </c>
      <c r="BS61" s="44">
        <f t="shared" si="17"/>
        <v>0.5</v>
      </c>
      <c r="BT61" s="44">
        <f t="shared" si="17"/>
        <v>2.5</v>
      </c>
      <c r="BU61" s="44">
        <f t="shared" si="17"/>
        <v>2.2</v>
      </c>
      <c r="BV61" s="44">
        <f t="shared" si="17"/>
        <v>2.2</v>
      </c>
      <c r="BW61" s="44">
        <f t="shared" si="17"/>
        <v>1.2</v>
      </c>
      <c r="BX61" s="44">
        <f t="shared" si="17"/>
        <v>0</v>
      </c>
      <c r="BY61" s="44">
        <f t="shared" si="17"/>
        <v>0</v>
      </c>
      <c r="BZ61" s="44">
        <f t="shared" si="17"/>
        <v>3</v>
      </c>
      <c r="CA61" s="44">
        <f t="shared" si="17"/>
        <v>1.6</v>
      </c>
      <c r="CB61" s="44">
        <f t="shared" si="17"/>
        <v>1</v>
      </c>
      <c r="CC61" s="44">
        <f t="shared" si="17"/>
        <v>1</v>
      </c>
      <c r="CD61" s="44">
        <f t="shared" si="17"/>
        <v>1</v>
      </c>
      <c r="CE61" s="44">
        <f t="shared" si="17"/>
        <v>0</v>
      </c>
      <c r="CF61" s="44">
        <f t="shared" si="17"/>
        <v>0</v>
      </c>
      <c r="CG61" s="44">
        <f t="shared" si="17"/>
        <v>1</v>
      </c>
      <c r="CH61" s="44">
        <f t="shared" si="17"/>
        <v>1</v>
      </c>
      <c r="CI61" s="44">
        <f t="shared" si="17"/>
        <v>0.5</v>
      </c>
      <c r="CJ61" s="44">
        <f t="shared" si="17"/>
        <v>0.2</v>
      </c>
      <c r="CK61" s="44">
        <f t="shared" si="17"/>
        <v>0.2</v>
      </c>
      <c r="CL61" s="44">
        <f t="shared" si="17"/>
        <v>0</v>
      </c>
      <c r="CM61" s="44">
        <f t="shared" si="17"/>
        <v>0</v>
      </c>
      <c r="CN61" s="44">
        <f t="shared" si="17"/>
        <v>1.2</v>
      </c>
      <c r="CO61" s="44">
        <f t="shared" si="17"/>
        <v>1.2</v>
      </c>
      <c r="CP61" s="44">
        <f t="shared" si="17"/>
        <v>0.3</v>
      </c>
      <c r="CQ61" s="44">
        <f t="shared" si="17"/>
        <v>0.1</v>
      </c>
      <c r="CR61" s="44">
        <f t="shared" si="17"/>
        <v>0.1</v>
      </c>
      <c r="CS61" s="44">
        <f t="shared" si="17"/>
        <v>0</v>
      </c>
      <c r="CT61" s="44">
        <f t="shared" si="17"/>
        <v>0</v>
      </c>
      <c r="CU61" s="44">
        <f t="shared" si="17"/>
        <v>0.1</v>
      </c>
      <c r="CV61" s="44">
        <f t="shared" si="17"/>
        <v>0.1</v>
      </c>
      <c r="CW61" s="44">
        <f t="shared" si="17"/>
        <v>0.6</v>
      </c>
      <c r="CX61" s="44">
        <f t="shared" si="17"/>
        <v>0.6</v>
      </c>
      <c r="CY61" s="44">
        <f t="shared" si="17"/>
        <v>3.1</v>
      </c>
      <c r="CZ61" s="44">
        <f t="shared" si="17"/>
        <v>0</v>
      </c>
      <c r="DA61" s="44">
        <f t="shared" si="17"/>
        <v>0</v>
      </c>
      <c r="DB61" s="44">
        <f t="shared" si="17"/>
        <v>0.1</v>
      </c>
      <c r="DC61" s="44">
        <f t="shared" si="17"/>
        <v>0.6</v>
      </c>
      <c r="DD61" s="44">
        <f t="shared" si="17"/>
        <v>0.6</v>
      </c>
      <c r="DE61" s="44">
        <f t="shared" si="17"/>
        <v>0.2</v>
      </c>
      <c r="DF61" s="44">
        <f t="shared" si="17"/>
        <v>1.1</v>
      </c>
      <c r="DG61" s="44">
        <f t="shared" si="17"/>
        <v>0</v>
      </c>
      <c r="DH61" s="44">
        <f t="shared" si="17"/>
        <v>0</v>
      </c>
      <c r="DI61" s="44">
        <f t="shared" si="17"/>
        <v>0.1</v>
      </c>
      <c r="DJ61" s="44">
        <f t="shared" si="17"/>
        <v>0.2</v>
      </c>
      <c r="DK61" s="44">
        <f t="shared" si="17"/>
        <v>1.1</v>
      </c>
      <c r="DL61" s="44">
        <f t="shared" si="17"/>
        <v>0.1</v>
      </c>
      <c r="DM61" s="44">
        <f t="shared" si="17"/>
        <v>0.1</v>
      </c>
      <c r="DN61" s="44">
        <f t="shared" si="17"/>
        <v>0</v>
      </c>
      <c r="DO61" s="44">
        <f t="shared" si="17"/>
        <v>0</v>
      </c>
      <c r="DP61" s="44">
        <f t="shared" si="17"/>
        <v>0.2</v>
      </c>
      <c r="DQ61" s="44">
        <f t="shared" si="17"/>
        <v>0.2</v>
      </c>
      <c r="DR61" s="44">
        <f t="shared" si="17"/>
        <v>0.2</v>
      </c>
      <c r="DS61" s="44">
        <f t="shared" si="17"/>
        <v>0.2</v>
      </c>
      <c r="DT61" s="44">
        <f t="shared" si="17"/>
        <v>0.4</v>
      </c>
      <c r="DU61" s="44">
        <f t="shared" si="17"/>
        <v>0</v>
      </c>
      <c r="DV61" s="44">
        <f t="shared" si="17"/>
        <v>0</v>
      </c>
      <c r="DW61" s="44">
        <f t="shared" si="17"/>
        <v>0.2</v>
      </c>
      <c r="DX61" s="44">
        <f t="shared" si="17"/>
        <v>0.7</v>
      </c>
      <c r="DY61" s="44">
        <f t="shared" si="17"/>
        <v>0.7</v>
      </c>
      <c r="DZ61" s="44">
        <f t="shared" si="17"/>
        <v>0.7</v>
      </c>
      <c r="EA61" s="44">
        <f t="shared" si="17"/>
        <v>0.8</v>
      </c>
      <c r="EB61" s="44">
        <f t="shared" si="17"/>
        <v>0</v>
      </c>
      <c r="EC61" s="44">
        <f t="shared" si="17"/>
        <v>0</v>
      </c>
      <c r="ED61" s="44">
        <f t="shared" si="17"/>
        <v>0.5</v>
      </c>
      <c r="EE61" s="44">
        <f t="shared" si="17"/>
        <v>0.2</v>
      </c>
      <c r="EF61" s="44">
        <f t="shared" si="17"/>
        <v>0.2</v>
      </c>
      <c r="EG61" s="44">
        <f t="shared" si="17"/>
        <v>0.2</v>
      </c>
      <c r="EH61" s="44">
        <f t="shared" si="17"/>
        <v>0.2</v>
      </c>
      <c r="EI61" s="44">
        <f t="shared" si="17"/>
        <v>0</v>
      </c>
      <c r="EJ61" s="44">
        <f t="shared" si="17"/>
        <v>0</v>
      </c>
      <c r="EK61" s="44">
        <f t="shared" si="17"/>
        <v>0.4</v>
      </c>
      <c r="EL61" s="44">
        <f t="shared" si="17"/>
        <v>1.4</v>
      </c>
      <c r="EM61" s="44">
        <f t="shared" si="17"/>
        <v>1.1</v>
      </c>
      <c r="EN61" s="44">
        <f t="shared" si="17"/>
        <v>0.3</v>
      </c>
      <c r="EO61" s="44">
        <f t="shared" si="17"/>
        <v>0.1</v>
      </c>
      <c r="EP61" s="44">
        <f t="shared" si="17"/>
        <v>0</v>
      </c>
      <c r="EQ61" s="44">
        <f t="shared" si="17"/>
        <v>0</v>
      </c>
      <c r="ER61" s="44">
        <f t="shared" si="17"/>
        <v>0.1</v>
      </c>
      <c r="ES61" s="44">
        <f t="shared" si="17"/>
        <v>0.6</v>
      </c>
      <c r="ET61" s="44">
        <f t="shared" si="17"/>
        <v>0.1</v>
      </c>
      <c r="EU61" s="44">
        <f t="shared" si="17"/>
        <v>0.3</v>
      </c>
      <c r="EV61" s="44">
        <f t="shared" si="17"/>
        <v>0.8</v>
      </c>
      <c r="EW61" s="44">
        <f t="shared" si="17"/>
        <v>0</v>
      </c>
      <c r="EX61" s="44">
        <f t="shared" si="17"/>
        <v>0</v>
      </c>
      <c r="EY61" s="44">
        <f t="shared" si="17"/>
        <v>0.3</v>
      </c>
      <c r="EZ61" s="44">
        <f t="shared" si="17"/>
        <v>0.3</v>
      </c>
      <c r="FA61" s="44">
        <f t="shared" si="17"/>
        <v>0.3</v>
      </c>
      <c r="FB61" s="44">
        <f t="shared" si="17"/>
        <v>0.1</v>
      </c>
      <c r="FC61" s="44">
        <f t="shared" si="17"/>
        <v>0.1</v>
      </c>
      <c r="FD61" s="44">
        <f t="shared" si="17"/>
        <v>0</v>
      </c>
      <c r="FE61" s="44">
        <f t="shared" si="17"/>
        <v>0</v>
      </c>
      <c r="FF61" s="44">
        <f t="shared" si="17"/>
        <v>0.3</v>
      </c>
      <c r="FG61" s="44">
        <f t="shared" si="17"/>
        <v>0.2</v>
      </c>
      <c r="FH61" s="44">
        <f t="shared" si="17"/>
        <v>0.2</v>
      </c>
      <c r="FI61" s="44">
        <f t="shared" si="17"/>
        <v>0</v>
      </c>
      <c r="FJ61" s="44">
        <f t="shared" si="17"/>
        <v>0</v>
      </c>
      <c r="FK61" s="44">
        <f t="shared" si="17"/>
        <v>0</v>
      </c>
      <c r="FL61" s="44">
        <f t="shared" si="17"/>
        <v>0</v>
      </c>
      <c r="FM61" s="44">
        <f t="shared" si="17"/>
        <v>1.1</v>
      </c>
      <c r="FN61" s="44">
        <f t="shared" si="17"/>
        <v>0.4</v>
      </c>
      <c r="FO61" s="44">
        <f t="shared" si="17"/>
        <v>0.5</v>
      </c>
      <c r="FP61" s="44">
        <f t="shared" si="17"/>
        <v>0.1</v>
      </c>
      <c r="FQ61" s="44">
        <f t="shared" si="17"/>
        <v>0.1</v>
      </c>
      <c r="FR61" s="44">
        <f t="shared" si="17"/>
        <v>0</v>
      </c>
      <c r="FS61" s="44">
        <f t="shared" si="17"/>
        <v>0</v>
      </c>
      <c r="FT61" s="44">
        <f t="shared" si="17"/>
        <v>0.4</v>
      </c>
      <c r="FU61" s="44">
        <f t="shared" si="17"/>
        <v>0.3</v>
      </c>
      <c r="FV61" s="44">
        <f t="shared" si="17"/>
        <v>0.3</v>
      </c>
      <c r="FW61" s="44">
        <f t="shared" si="17"/>
        <v>0</v>
      </c>
      <c r="FX61" s="44">
        <f t="shared" si="17"/>
        <v>0</v>
      </c>
      <c r="FY61" s="44">
        <f t="shared" si="17"/>
        <v>0</v>
      </c>
      <c r="FZ61" s="81">
        <f t="shared" si="17"/>
        <v>0</v>
      </c>
      <c r="GA61" s="81">
        <f t="shared" si="17"/>
        <v>0.1</v>
      </c>
      <c r="GB61" s="81">
        <f t="shared" si="17"/>
        <v>0.3</v>
      </c>
      <c r="GC61" s="81">
        <f t="shared" si="17"/>
        <v>0.1</v>
      </c>
      <c r="GD61" s="81">
        <f t="shared" si="17"/>
        <v>0.5</v>
      </c>
      <c r="GE61" s="81">
        <f t="shared" si="17"/>
        <v>0.5</v>
      </c>
      <c r="GF61" s="81">
        <f t="shared" si="17"/>
        <v>0</v>
      </c>
      <c r="GG61" s="81">
        <f t="shared" si="17"/>
        <v>1</v>
      </c>
      <c r="GH61" s="81">
        <f t="shared" si="17"/>
        <v>0</v>
      </c>
      <c r="GI61" s="81">
        <f t="shared" si="17"/>
        <v>0</v>
      </c>
      <c r="GJ61" s="81">
        <f t="shared" si="17"/>
        <v>0</v>
      </c>
      <c r="GK61" s="81">
        <f t="shared" si="17"/>
        <v>0</v>
      </c>
      <c r="GL61" s="81">
        <f t="shared" si="17"/>
        <v>0</v>
      </c>
      <c r="GM61" s="81">
        <f t="shared" si="17"/>
        <v>0</v>
      </c>
      <c r="GN61" s="81">
        <f t="shared" si="17"/>
        <v>0</v>
      </c>
      <c r="GO61" s="81">
        <f t="shared" si="17"/>
        <v>0</v>
      </c>
      <c r="GP61" s="81">
        <f t="shared" si="17"/>
        <v>0</v>
      </c>
      <c r="GQ61" s="81">
        <f t="shared" si="17"/>
        <v>0</v>
      </c>
      <c r="GR61" s="81">
        <f t="shared" si="17"/>
        <v>0</v>
      </c>
      <c r="GS61" s="81">
        <f t="shared" si="17"/>
        <v>0</v>
      </c>
      <c r="GT61" s="81">
        <f t="shared" si="17"/>
        <v>0</v>
      </c>
      <c r="GU61" s="81">
        <f t="shared" si="17"/>
        <v>0</v>
      </c>
      <c r="GV61" s="81">
        <f t="shared" si="17"/>
        <v>0</v>
      </c>
      <c r="GW61" s="81">
        <f t="shared" si="17"/>
        <v>0</v>
      </c>
      <c r="GX61" s="81">
        <f t="shared" si="17"/>
        <v>0</v>
      </c>
      <c r="GY61" s="81">
        <f t="shared" si="17"/>
        <v>0</v>
      </c>
      <c r="GZ61" s="81">
        <f t="shared" si="17"/>
        <v>0</v>
      </c>
      <c r="HA61" s="81">
        <f t="shared" si="17"/>
        <v>0</v>
      </c>
      <c r="HB61" s="81">
        <f t="shared" si="17"/>
        <v>0</v>
      </c>
      <c r="HC61" s="81">
        <f t="shared" si="17"/>
        <v>0</v>
      </c>
      <c r="HD61" s="81">
        <f t="shared" si="17"/>
        <v>0</v>
      </c>
      <c r="HE61" s="81">
        <f t="shared" si="17"/>
        <v>0</v>
      </c>
      <c r="HF61" s="81">
        <f t="shared" si="17"/>
        <v>0</v>
      </c>
      <c r="HG61" s="81">
        <f t="shared" si="17"/>
        <v>0</v>
      </c>
      <c r="HH61" s="81">
        <f t="shared" si="17"/>
        <v>0</v>
      </c>
      <c r="HI61" s="81">
        <f t="shared" si="17"/>
        <v>0</v>
      </c>
      <c r="HJ61" s="81">
        <f t="shared" si="17"/>
        <v>0</v>
      </c>
    </row>
    <row r="62" ht="13.5" customHeight="1">
      <c r="A62" s="1"/>
      <c r="B62" s="45" t="s">
        <v>30</v>
      </c>
      <c r="C62" s="8"/>
      <c r="D62" s="9"/>
      <c r="E62" s="44">
        <f t="shared" ref="E62:HJ62" si="18">E61+D62</f>
        <v>1</v>
      </c>
      <c r="F62" s="44">
        <f t="shared" si="18"/>
        <v>1</v>
      </c>
      <c r="G62" s="44">
        <f t="shared" si="18"/>
        <v>1</v>
      </c>
      <c r="H62" s="44">
        <f t="shared" si="18"/>
        <v>1</v>
      </c>
      <c r="I62" s="44">
        <f t="shared" si="18"/>
        <v>1</v>
      </c>
      <c r="J62" s="44">
        <f t="shared" si="18"/>
        <v>2</v>
      </c>
      <c r="K62" s="44">
        <f t="shared" si="18"/>
        <v>2.5</v>
      </c>
      <c r="L62" s="44">
        <f t="shared" si="18"/>
        <v>4.5</v>
      </c>
      <c r="M62" s="44">
        <f t="shared" si="18"/>
        <v>4.5</v>
      </c>
      <c r="N62" s="44">
        <f t="shared" si="18"/>
        <v>4.5</v>
      </c>
      <c r="O62" s="44">
        <f t="shared" si="18"/>
        <v>4.5</v>
      </c>
      <c r="P62" s="44">
        <f t="shared" si="18"/>
        <v>5</v>
      </c>
      <c r="Q62" s="44">
        <f t="shared" si="18"/>
        <v>5.5</v>
      </c>
      <c r="R62" s="44">
        <f t="shared" si="18"/>
        <v>6</v>
      </c>
      <c r="S62" s="44">
        <f t="shared" si="18"/>
        <v>7</v>
      </c>
      <c r="T62" s="44">
        <f t="shared" si="18"/>
        <v>7</v>
      </c>
      <c r="U62" s="44">
        <f t="shared" si="18"/>
        <v>7</v>
      </c>
      <c r="V62" s="44">
        <f t="shared" si="18"/>
        <v>9.5</v>
      </c>
      <c r="W62" s="44">
        <f t="shared" si="18"/>
        <v>12</v>
      </c>
      <c r="X62" s="44">
        <f t="shared" si="18"/>
        <v>16</v>
      </c>
      <c r="Y62" s="44">
        <f t="shared" si="18"/>
        <v>17.5</v>
      </c>
      <c r="Z62" s="44">
        <f t="shared" si="18"/>
        <v>19.5</v>
      </c>
      <c r="AA62" s="44">
        <f t="shared" si="18"/>
        <v>19.5</v>
      </c>
      <c r="AB62" s="44">
        <f t="shared" si="18"/>
        <v>19.5</v>
      </c>
      <c r="AC62" s="44">
        <f t="shared" si="18"/>
        <v>23</v>
      </c>
      <c r="AD62" s="44">
        <f t="shared" si="18"/>
        <v>25.5</v>
      </c>
      <c r="AE62" s="44">
        <f t="shared" si="18"/>
        <v>27.5</v>
      </c>
      <c r="AF62" s="44">
        <f t="shared" si="18"/>
        <v>29</v>
      </c>
      <c r="AG62" s="44">
        <f t="shared" si="18"/>
        <v>30.5</v>
      </c>
      <c r="AH62" s="44">
        <f t="shared" si="18"/>
        <v>30.5</v>
      </c>
      <c r="AI62" s="44">
        <f t="shared" si="18"/>
        <v>30.5</v>
      </c>
      <c r="AJ62" s="44">
        <f t="shared" si="18"/>
        <v>33</v>
      </c>
      <c r="AK62" s="44">
        <f t="shared" si="18"/>
        <v>34.5</v>
      </c>
      <c r="AL62" s="44">
        <f t="shared" si="18"/>
        <v>36</v>
      </c>
      <c r="AM62" s="44">
        <f t="shared" si="18"/>
        <v>37.5</v>
      </c>
      <c r="AN62" s="44">
        <f t="shared" si="18"/>
        <v>38</v>
      </c>
      <c r="AO62" s="44">
        <f t="shared" si="18"/>
        <v>38</v>
      </c>
      <c r="AP62" s="44">
        <f t="shared" si="18"/>
        <v>38</v>
      </c>
      <c r="AQ62" s="44">
        <f t="shared" si="18"/>
        <v>38</v>
      </c>
      <c r="AR62" s="44">
        <f t="shared" si="18"/>
        <v>38</v>
      </c>
      <c r="AS62" s="44">
        <f t="shared" si="18"/>
        <v>38</v>
      </c>
      <c r="AT62" s="44">
        <f t="shared" si="18"/>
        <v>38</v>
      </c>
      <c r="AU62" s="44">
        <f t="shared" si="18"/>
        <v>38</v>
      </c>
      <c r="AV62" s="44">
        <f t="shared" si="18"/>
        <v>38</v>
      </c>
      <c r="AW62" s="44">
        <f t="shared" si="18"/>
        <v>38</v>
      </c>
      <c r="AX62" s="44">
        <f t="shared" si="18"/>
        <v>39</v>
      </c>
      <c r="AY62" s="44">
        <f t="shared" si="18"/>
        <v>39.5</v>
      </c>
      <c r="AZ62" s="44">
        <f t="shared" si="18"/>
        <v>40.5</v>
      </c>
      <c r="BA62" s="44">
        <f t="shared" si="18"/>
        <v>41</v>
      </c>
      <c r="BB62" s="44">
        <f t="shared" si="18"/>
        <v>41</v>
      </c>
      <c r="BC62" s="44">
        <f t="shared" si="18"/>
        <v>41</v>
      </c>
      <c r="BD62" s="44">
        <f t="shared" si="18"/>
        <v>41</v>
      </c>
      <c r="BE62" s="44">
        <f t="shared" si="18"/>
        <v>42</v>
      </c>
      <c r="BF62" s="44">
        <f t="shared" si="18"/>
        <v>43</v>
      </c>
      <c r="BG62" s="44">
        <f t="shared" si="18"/>
        <v>43.5</v>
      </c>
      <c r="BH62" s="44">
        <f t="shared" si="18"/>
        <v>44</v>
      </c>
      <c r="BI62" s="44">
        <f t="shared" si="18"/>
        <v>44.5</v>
      </c>
      <c r="BJ62" s="44">
        <f t="shared" si="18"/>
        <v>44.5</v>
      </c>
      <c r="BK62" s="44">
        <f t="shared" si="18"/>
        <v>44.5</v>
      </c>
      <c r="BL62" s="44">
        <f t="shared" si="18"/>
        <v>46</v>
      </c>
      <c r="BM62" s="44">
        <f t="shared" si="18"/>
        <v>47.5</v>
      </c>
      <c r="BN62" s="44">
        <f t="shared" si="18"/>
        <v>49</v>
      </c>
      <c r="BO62" s="44">
        <f t="shared" si="18"/>
        <v>49.5</v>
      </c>
      <c r="BP62" s="44">
        <f t="shared" si="18"/>
        <v>50</v>
      </c>
      <c r="BQ62" s="44">
        <f t="shared" si="18"/>
        <v>50</v>
      </c>
      <c r="BR62" s="44">
        <f t="shared" si="18"/>
        <v>50</v>
      </c>
      <c r="BS62" s="44">
        <f t="shared" si="18"/>
        <v>50.5</v>
      </c>
      <c r="BT62" s="44">
        <f t="shared" si="18"/>
        <v>53</v>
      </c>
      <c r="BU62" s="44">
        <f t="shared" si="18"/>
        <v>55.2</v>
      </c>
      <c r="BV62" s="44">
        <f t="shared" si="18"/>
        <v>57.4</v>
      </c>
      <c r="BW62" s="44">
        <f t="shared" si="18"/>
        <v>58.6</v>
      </c>
      <c r="BX62" s="44">
        <f t="shared" si="18"/>
        <v>58.6</v>
      </c>
      <c r="BY62" s="44">
        <f t="shared" si="18"/>
        <v>58.6</v>
      </c>
      <c r="BZ62" s="44">
        <f t="shared" si="18"/>
        <v>61.6</v>
      </c>
      <c r="CA62" s="44">
        <f t="shared" si="18"/>
        <v>63.2</v>
      </c>
      <c r="CB62" s="44">
        <f t="shared" si="18"/>
        <v>64.2</v>
      </c>
      <c r="CC62" s="44">
        <f t="shared" si="18"/>
        <v>65.2</v>
      </c>
      <c r="CD62" s="44">
        <f t="shared" si="18"/>
        <v>66.2</v>
      </c>
      <c r="CE62" s="44">
        <f t="shared" si="18"/>
        <v>66.2</v>
      </c>
      <c r="CF62" s="44">
        <f t="shared" si="18"/>
        <v>66.2</v>
      </c>
      <c r="CG62" s="44">
        <f t="shared" si="18"/>
        <v>67.2</v>
      </c>
      <c r="CH62" s="44">
        <f t="shared" si="18"/>
        <v>68.2</v>
      </c>
      <c r="CI62" s="44">
        <f t="shared" si="18"/>
        <v>68.7</v>
      </c>
      <c r="CJ62" s="44">
        <f t="shared" si="18"/>
        <v>68.9</v>
      </c>
      <c r="CK62" s="44">
        <f t="shared" si="18"/>
        <v>69.1</v>
      </c>
      <c r="CL62" s="44">
        <f t="shared" si="18"/>
        <v>69.1</v>
      </c>
      <c r="CM62" s="44">
        <f t="shared" si="18"/>
        <v>69.1</v>
      </c>
      <c r="CN62" s="44">
        <f t="shared" si="18"/>
        <v>70.3</v>
      </c>
      <c r="CO62" s="44">
        <f t="shared" si="18"/>
        <v>71.5</v>
      </c>
      <c r="CP62" s="44">
        <f t="shared" si="18"/>
        <v>71.8</v>
      </c>
      <c r="CQ62" s="44">
        <f t="shared" si="18"/>
        <v>71.9</v>
      </c>
      <c r="CR62" s="44">
        <f t="shared" si="18"/>
        <v>72</v>
      </c>
      <c r="CS62" s="44">
        <f t="shared" si="18"/>
        <v>72</v>
      </c>
      <c r="CT62" s="44">
        <f t="shared" si="18"/>
        <v>72</v>
      </c>
      <c r="CU62" s="44">
        <f t="shared" si="18"/>
        <v>72.1</v>
      </c>
      <c r="CV62" s="44">
        <f t="shared" si="18"/>
        <v>72.2</v>
      </c>
      <c r="CW62" s="44">
        <f t="shared" si="18"/>
        <v>72.8</v>
      </c>
      <c r="CX62" s="44">
        <f t="shared" si="18"/>
        <v>73.4</v>
      </c>
      <c r="CY62" s="44">
        <f t="shared" si="18"/>
        <v>76.5</v>
      </c>
      <c r="CZ62" s="44">
        <f t="shared" si="18"/>
        <v>76.5</v>
      </c>
      <c r="DA62" s="44">
        <f t="shared" si="18"/>
        <v>76.5</v>
      </c>
      <c r="DB62" s="44">
        <f t="shared" si="18"/>
        <v>76.6</v>
      </c>
      <c r="DC62" s="44">
        <f t="shared" si="18"/>
        <v>77.2</v>
      </c>
      <c r="DD62" s="44">
        <f t="shared" si="18"/>
        <v>77.8</v>
      </c>
      <c r="DE62" s="44">
        <f t="shared" si="18"/>
        <v>78</v>
      </c>
      <c r="DF62" s="44">
        <f t="shared" si="18"/>
        <v>79.1</v>
      </c>
      <c r="DG62" s="44">
        <f t="shared" si="18"/>
        <v>79.1</v>
      </c>
      <c r="DH62" s="44">
        <f t="shared" si="18"/>
        <v>79.1</v>
      </c>
      <c r="DI62" s="44">
        <f t="shared" si="18"/>
        <v>79.2</v>
      </c>
      <c r="DJ62" s="44">
        <f t="shared" si="18"/>
        <v>79.4</v>
      </c>
      <c r="DK62" s="44">
        <f t="shared" si="18"/>
        <v>80.5</v>
      </c>
      <c r="DL62" s="44">
        <f t="shared" si="18"/>
        <v>80.6</v>
      </c>
      <c r="DM62" s="44">
        <f t="shared" si="18"/>
        <v>80.7</v>
      </c>
      <c r="DN62" s="44">
        <f t="shared" si="18"/>
        <v>80.7</v>
      </c>
      <c r="DO62" s="44">
        <f t="shared" si="18"/>
        <v>80.7</v>
      </c>
      <c r="DP62" s="44">
        <f t="shared" si="18"/>
        <v>80.9</v>
      </c>
      <c r="DQ62" s="44">
        <f t="shared" si="18"/>
        <v>81.1</v>
      </c>
      <c r="DR62" s="44">
        <f t="shared" si="18"/>
        <v>81.3</v>
      </c>
      <c r="DS62" s="44">
        <f t="shared" si="18"/>
        <v>81.5</v>
      </c>
      <c r="DT62" s="44">
        <f t="shared" si="18"/>
        <v>81.9</v>
      </c>
      <c r="DU62" s="44">
        <f t="shared" si="18"/>
        <v>81.9</v>
      </c>
      <c r="DV62" s="44">
        <f t="shared" si="18"/>
        <v>81.9</v>
      </c>
      <c r="DW62" s="44">
        <f t="shared" si="18"/>
        <v>82.1</v>
      </c>
      <c r="DX62" s="44">
        <f t="shared" si="18"/>
        <v>82.8</v>
      </c>
      <c r="DY62" s="44">
        <f t="shared" si="18"/>
        <v>83.5</v>
      </c>
      <c r="DZ62" s="44">
        <f t="shared" si="18"/>
        <v>84.2</v>
      </c>
      <c r="EA62" s="44">
        <f t="shared" si="18"/>
        <v>85</v>
      </c>
      <c r="EB62" s="44">
        <f t="shared" si="18"/>
        <v>85</v>
      </c>
      <c r="EC62" s="44">
        <f t="shared" si="18"/>
        <v>85</v>
      </c>
      <c r="ED62" s="44">
        <f t="shared" si="18"/>
        <v>85.5</v>
      </c>
      <c r="EE62" s="44">
        <f t="shared" si="18"/>
        <v>85.7</v>
      </c>
      <c r="EF62" s="44">
        <f t="shared" si="18"/>
        <v>85.9</v>
      </c>
      <c r="EG62" s="44">
        <f t="shared" si="18"/>
        <v>86.1</v>
      </c>
      <c r="EH62" s="44">
        <f t="shared" si="18"/>
        <v>86.3</v>
      </c>
      <c r="EI62" s="44">
        <f t="shared" si="18"/>
        <v>86.3</v>
      </c>
      <c r="EJ62" s="44">
        <f t="shared" si="18"/>
        <v>86.3</v>
      </c>
      <c r="EK62" s="44">
        <f t="shared" si="18"/>
        <v>86.7</v>
      </c>
      <c r="EL62" s="44">
        <f t="shared" si="18"/>
        <v>88.1</v>
      </c>
      <c r="EM62" s="44">
        <f t="shared" si="18"/>
        <v>89.2</v>
      </c>
      <c r="EN62" s="44">
        <f t="shared" si="18"/>
        <v>89.5</v>
      </c>
      <c r="EO62" s="44">
        <f t="shared" si="18"/>
        <v>89.6</v>
      </c>
      <c r="EP62" s="44">
        <f t="shared" si="18"/>
        <v>89.6</v>
      </c>
      <c r="EQ62" s="44">
        <f t="shared" si="18"/>
        <v>89.6</v>
      </c>
      <c r="ER62" s="44">
        <f t="shared" si="18"/>
        <v>89.7</v>
      </c>
      <c r="ES62" s="44">
        <f t="shared" si="18"/>
        <v>90.3</v>
      </c>
      <c r="ET62" s="44">
        <f t="shared" si="18"/>
        <v>90.4</v>
      </c>
      <c r="EU62" s="44">
        <f t="shared" si="18"/>
        <v>90.7</v>
      </c>
      <c r="EV62" s="44">
        <f t="shared" si="18"/>
        <v>91.5</v>
      </c>
      <c r="EW62" s="44">
        <f t="shared" si="18"/>
        <v>91.5</v>
      </c>
      <c r="EX62" s="44">
        <f t="shared" si="18"/>
        <v>91.5</v>
      </c>
      <c r="EY62" s="44">
        <f t="shared" si="18"/>
        <v>91.8</v>
      </c>
      <c r="EZ62" s="44">
        <f t="shared" si="18"/>
        <v>92.1</v>
      </c>
      <c r="FA62" s="44">
        <f t="shared" si="18"/>
        <v>92.4</v>
      </c>
      <c r="FB62" s="44">
        <f t="shared" si="18"/>
        <v>92.5</v>
      </c>
      <c r="FC62" s="44">
        <f t="shared" si="18"/>
        <v>92.6</v>
      </c>
      <c r="FD62" s="44">
        <f t="shared" si="18"/>
        <v>92.6</v>
      </c>
      <c r="FE62" s="44">
        <f t="shared" si="18"/>
        <v>92.6</v>
      </c>
      <c r="FF62" s="44">
        <f t="shared" si="18"/>
        <v>92.9</v>
      </c>
      <c r="FG62" s="44">
        <f t="shared" si="18"/>
        <v>93.1</v>
      </c>
      <c r="FH62" s="44">
        <f t="shared" si="18"/>
        <v>93.3</v>
      </c>
      <c r="FI62" s="44">
        <f t="shared" si="18"/>
        <v>93.3</v>
      </c>
      <c r="FJ62" s="44">
        <f t="shared" si="18"/>
        <v>93.3</v>
      </c>
      <c r="FK62" s="44">
        <f t="shared" si="18"/>
        <v>93.3</v>
      </c>
      <c r="FL62" s="44">
        <f t="shared" si="18"/>
        <v>93.3</v>
      </c>
      <c r="FM62" s="44">
        <f t="shared" si="18"/>
        <v>94.4</v>
      </c>
      <c r="FN62" s="44">
        <f t="shared" si="18"/>
        <v>94.8</v>
      </c>
      <c r="FO62" s="44">
        <f t="shared" si="18"/>
        <v>95.3</v>
      </c>
      <c r="FP62" s="44">
        <f t="shared" si="18"/>
        <v>95.4</v>
      </c>
      <c r="FQ62" s="44">
        <f t="shared" si="18"/>
        <v>95.5</v>
      </c>
      <c r="FR62" s="44">
        <f t="shared" si="18"/>
        <v>95.5</v>
      </c>
      <c r="FS62" s="44">
        <f t="shared" si="18"/>
        <v>95.5</v>
      </c>
      <c r="FT62" s="44">
        <f t="shared" si="18"/>
        <v>95.9</v>
      </c>
      <c r="FU62" s="44">
        <f t="shared" si="18"/>
        <v>96.2</v>
      </c>
      <c r="FV62" s="44">
        <f t="shared" si="18"/>
        <v>96.5</v>
      </c>
      <c r="FW62" s="44">
        <f t="shared" si="18"/>
        <v>96.5</v>
      </c>
      <c r="FX62" s="44">
        <f t="shared" si="18"/>
        <v>96.5</v>
      </c>
      <c r="FY62" s="44">
        <f t="shared" si="18"/>
        <v>96.5</v>
      </c>
      <c r="FZ62" s="44">
        <f t="shared" si="18"/>
        <v>96.5</v>
      </c>
      <c r="GA62" s="44">
        <f t="shared" si="18"/>
        <v>96.6</v>
      </c>
      <c r="GB62" s="44">
        <f t="shared" si="18"/>
        <v>96.9</v>
      </c>
      <c r="GC62" s="44">
        <f t="shared" si="18"/>
        <v>97</v>
      </c>
      <c r="GD62" s="44">
        <f t="shared" si="18"/>
        <v>97.5</v>
      </c>
      <c r="GE62" s="44">
        <f t="shared" si="18"/>
        <v>98</v>
      </c>
      <c r="GF62" s="44">
        <f t="shared" si="18"/>
        <v>98</v>
      </c>
      <c r="GG62" s="44">
        <f t="shared" si="18"/>
        <v>99</v>
      </c>
      <c r="GH62" s="44">
        <f t="shared" si="18"/>
        <v>99</v>
      </c>
      <c r="GI62" s="44">
        <f t="shared" si="18"/>
        <v>99</v>
      </c>
      <c r="GJ62" s="44">
        <f t="shared" si="18"/>
        <v>99</v>
      </c>
      <c r="GK62" s="44">
        <f t="shared" si="18"/>
        <v>99</v>
      </c>
      <c r="GL62" s="44">
        <f t="shared" si="18"/>
        <v>99</v>
      </c>
      <c r="GM62" s="44">
        <f t="shared" si="18"/>
        <v>99</v>
      </c>
      <c r="GN62" s="44">
        <f t="shared" si="18"/>
        <v>99</v>
      </c>
      <c r="GO62" s="44">
        <f t="shared" si="18"/>
        <v>99</v>
      </c>
      <c r="GP62" s="44">
        <f t="shared" si="18"/>
        <v>99</v>
      </c>
      <c r="GQ62" s="44">
        <f t="shared" si="18"/>
        <v>99</v>
      </c>
      <c r="GR62" s="44">
        <f t="shared" si="18"/>
        <v>99</v>
      </c>
      <c r="GS62" s="44">
        <f t="shared" si="18"/>
        <v>99</v>
      </c>
      <c r="GT62" s="44">
        <f t="shared" si="18"/>
        <v>99</v>
      </c>
      <c r="GU62" s="44">
        <f t="shared" si="18"/>
        <v>99</v>
      </c>
      <c r="GV62" s="44">
        <f t="shared" si="18"/>
        <v>99</v>
      </c>
      <c r="GW62" s="44">
        <f t="shared" si="18"/>
        <v>99</v>
      </c>
      <c r="GX62" s="44">
        <f t="shared" si="18"/>
        <v>99</v>
      </c>
      <c r="GY62" s="44">
        <f t="shared" si="18"/>
        <v>99</v>
      </c>
      <c r="GZ62" s="44">
        <f t="shared" si="18"/>
        <v>99</v>
      </c>
      <c r="HA62" s="44">
        <f t="shared" si="18"/>
        <v>99</v>
      </c>
      <c r="HB62" s="44">
        <f t="shared" si="18"/>
        <v>99</v>
      </c>
      <c r="HC62" s="44">
        <f t="shared" si="18"/>
        <v>99</v>
      </c>
      <c r="HD62" s="44">
        <f t="shared" si="18"/>
        <v>99</v>
      </c>
      <c r="HE62" s="44">
        <f t="shared" si="18"/>
        <v>99</v>
      </c>
      <c r="HF62" s="44">
        <f t="shared" si="18"/>
        <v>99</v>
      </c>
      <c r="HG62" s="44">
        <f t="shared" si="18"/>
        <v>99</v>
      </c>
      <c r="HH62" s="44">
        <f t="shared" si="18"/>
        <v>99</v>
      </c>
      <c r="HI62" s="44">
        <f t="shared" si="18"/>
        <v>99</v>
      </c>
      <c r="HJ62" s="44">
        <f t="shared" si="18"/>
        <v>99</v>
      </c>
    </row>
    <row r="63" ht="13.5" customHeight="1">
      <c r="A63" s="1"/>
      <c r="B63" s="49" t="s">
        <v>32</v>
      </c>
      <c r="E63" s="1">
        <f t="shared" ref="E63:HJ63" si="19">E30</f>
        <v>1</v>
      </c>
      <c r="F63" s="1">
        <f t="shared" si="19"/>
        <v>1</v>
      </c>
      <c r="G63" s="1">
        <f t="shared" si="19"/>
        <v>1</v>
      </c>
      <c r="H63" s="1">
        <f t="shared" si="19"/>
        <v>1</v>
      </c>
      <c r="I63" s="1">
        <f t="shared" si="19"/>
        <v>1</v>
      </c>
      <c r="J63" s="1">
        <f t="shared" si="19"/>
        <v>3</v>
      </c>
      <c r="K63" s="1">
        <f t="shared" si="19"/>
        <v>4</v>
      </c>
      <c r="L63" s="1">
        <f t="shared" si="19"/>
        <v>7</v>
      </c>
      <c r="M63" s="1">
        <f t="shared" si="19"/>
        <v>7</v>
      </c>
      <c r="N63" s="1">
        <f t="shared" si="19"/>
        <v>7</v>
      </c>
      <c r="O63" s="1">
        <f t="shared" si="19"/>
        <v>7</v>
      </c>
      <c r="P63" s="1">
        <f t="shared" si="19"/>
        <v>7</v>
      </c>
      <c r="Q63" s="1">
        <f t="shared" si="19"/>
        <v>8</v>
      </c>
      <c r="R63" s="1">
        <f t="shared" si="19"/>
        <v>9</v>
      </c>
      <c r="S63" s="1">
        <f t="shared" si="19"/>
        <v>12</v>
      </c>
      <c r="T63" s="1">
        <f t="shared" si="19"/>
        <v>12</v>
      </c>
      <c r="U63" s="1">
        <f t="shared" si="19"/>
        <v>12</v>
      </c>
      <c r="V63" s="1">
        <f t="shared" si="19"/>
        <v>15</v>
      </c>
      <c r="W63" s="1">
        <f t="shared" si="19"/>
        <v>18</v>
      </c>
      <c r="X63" s="1">
        <f t="shared" si="19"/>
        <v>21</v>
      </c>
      <c r="Y63" s="1">
        <f t="shared" si="19"/>
        <v>24</v>
      </c>
      <c r="Z63" s="1">
        <f t="shared" si="19"/>
        <v>27</v>
      </c>
      <c r="AA63" s="1">
        <f t="shared" si="19"/>
        <v>27</v>
      </c>
      <c r="AB63" s="1">
        <f t="shared" si="19"/>
        <v>27</v>
      </c>
      <c r="AC63" s="1">
        <f t="shared" si="19"/>
        <v>30</v>
      </c>
      <c r="AD63" s="1">
        <f t="shared" si="19"/>
        <v>33</v>
      </c>
      <c r="AE63" s="1">
        <f t="shared" si="19"/>
        <v>36</v>
      </c>
      <c r="AF63" s="1">
        <f t="shared" si="19"/>
        <v>39</v>
      </c>
      <c r="AG63" s="1">
        <f t="shared" si="19"/>
        <v>42</v>
      </c>
      <c r="AH63" s="1">
        <f t="shared" si="19"/>
        <v>42</v>
      </c>
      <c r="AI63" s="1">
        <f t="shared" si="19"/>
        <v>42</v>
      </c>
      <c r="AJ63" s="1">
        <f t="shared" si="19"/>
        <v>43</v>
      </c>
      <c r="AK63" s="1">
        <f t="shared" si="19"/>
        <v>44</v>
      </c>
      <c r="AL63" s="1">
        <f t="shared" si="19"/>
        <v>45</v>
      </c>
      <c r="AM63" s="1">
        <f t="shared" si="19"/>
        <v>46</v>
      </c>
      <c r="AN63" s="1">
        <f t="shared" si="19"/>
        <v>47</v>
      </c>
      <c r="AO63" s="1">
        <f t="shared" si="19"/>
        <v>47</v>
      </c>
      <c r="AP63" s="1">
        <f t="shared" si="19"/>
        <v>47</v>
      </c>
      <c r="AQ63" s="1">
        <f t="shared" si="19"/>
        <v>47</v>
      </c>
      <c r="AR63" s="1">
        <f t="shared" si="19"/>
        <v>47</v>
      </c>
      <c r="AS63" s="1">
        <f t="shared" si="19"/>
        <v>47</v>
      </c>
      <c r="AT63" s="1">
        <f t="shared" si="19"/>
        <v>47</v>
      </c>
      <c r="AU63" s="1">
        <f t="shared" si="19"/>
        <v>47</v>
      </c>
      <c r="AV63" s="1">
        <f t="shared" si="19"/>
        <v>47</v>
      </c>
      <c r="AW63" s="1">
        <f t="shared" si="19"/>
        <v>47</v>
      </c>
      <c r="AX63" s="1">
        <f t="shared" si="19"/>
        <v>48</v>
      </c>
      <c r="AY63" s="1">
        <f t="shared" si="19"/>
        <v>49</v>
      </c>
      <c r="AZ63" s="1">
        <f t="shared" si="19"/>
        <v>50</v>
      </c>
      <c r="BA63" s="1">
        <f t="shared" si="19"/>
        <v>51</v>
      </c>
      <c r="BB63" s="1">
        <f t="shared" si="19"/>
        <v>52</v>
      </c>
      <c r="BC63" s="1">
        <f t="shared" si="19"/>
        <v>52</v>
      </c>
      <c r="BD63" s="1">
        <f t="shared" si="19"/>
        <v>52</v>
      </c>
      <c r="BE63" s="1">
        <f t="shared" si="19"/>
        <v>53</v>
      </c>
      <c r="BF63" s="1">
        <f t="shared" si="19"/>
        <v>54</v>
      </c>
      <c r="BG63" s="1">
        <f t="shared" si="19"/>
        <v>55</v>
      </c>
      <c r="BH63" s="1">
        <f t="shared" si="19"/>
        <v>56</v>
      </c>
      <c r="BI63" s="1">
        <f t="shared" si="19"/>
        <v>57</v>
      </c>
      <c r="BJ63" s="1">
        <f t="shared" si="19"/>
        <v>57</v>
      </c>
      <c r="BK63" s="1">
        <f t="shared" si="19"/>
        <v>57</v>
      </c>
      <c r="BL63" s="1">
        <f t="shared" si="19"/>
        <v>59</v>
      </c>
      <c r="BM63" s="1">
        <f t="shared" si="19"/>
        <v>60</v>
      </c>
      <c r="BN63" s="1">
        <f t="shared" si="19"/>
        <v>61</v>
      </c>
      <c r="BO63" s="1">
        <f t="shared" si="19"/>
        <v>61</v>
      </c>
      <c r="BP63" s="1">
        <f t="shared" si="19"/>
        <v>61</v>
      </c>
      <c r="BQ63" s="1">
        <f t="shared" si="19"/>
        <v>61</v>
      </c>
      <c r="BR63" s="1">
        <f t="shared" si="19"/>
        <v>61</v>
      </c>
      <c r="BS63" s="1">
        <f t="shared" si="19"/>
        <v>62</v>
      </c>
      <c r="BT63" s="1">
        <f t="shared" si="19"/>
        <v>63</v>
      </c>
      <c r="BU63" s="1">
        <f t="shared" si="19"/>
        <v>64</v>
      </c>
      <c r="BV63" s="1">
        <f t="shared" si="19"/>
        <v>64</v>
      </c>
      <c r="BW63" s="1">
        <f t="shared" si="19"/>
        <v>64</v>
      </c>
      <c r="BX63" s="1">
        <f t="shared" si="19"/>
        <v>64</v>
      </c>
      <c r="BY63" s="1">
        <f t="shared" si="19"/>
        <v>64</v>
      </c>
      <c r="BZ63" s="1">
        <f t="shared" si="19"/>
        <v>66</v>
      </c>
      <c r="CA63" s="1">
        <f t="shared" si="19"/>
        <v>68</v>
      </c>
      <c r="CB63" s="1">
        <f t="shared" si="19"/>
        <v>69</v>
      </c>
      <c r="CC63" s="1">
        <f t="shared" si="19"/>
        <v>70</v>
      </c>
      <c r="CD63" s="1">
        <f t="shared" si="19"/>
        <v>71</v>
      </c>
      <c r="CE63" s="1">
        <f t="shared" si="19"/>
        <v>71</v>
      </c>
      <c r="CF63" s="1">
        <f t="shared" si="19"/>
        <v>71</v>
      </c>
      <c r="CG63" s="1">
        <f t="shared" si="19"/>
        <v>72</v>
      </c>
      <c r="CH63" s="1">
        <f t="shared" si="19"/>
        <v>72</v>
      </c>
      <c r="CI63" s="1">
        <f t="shared" si="19"/>
        <v>72</v>
      </c>
      <c r="CJ63" s="1">
        <f t="shared" si="19"/>
        <v>72</v>
      </c>
      <c r="CK63" s="1">
        <f t="shared" si="19"/>
        <v>72</v>
      </c>
      <c r="CL63" s="1">
        <f t="shared" si="19"/>
        <v>72</v>
      </c>
      <c r="CM63" s="1">
        <f t="shared" si="19"/>
        <v>72</v>
      </c>
      <c r="CN63" s="1">
        <f t="shared" si="19"/>
        <v>73</v>
      </c>
      <c r="CO63" s="1">
        <f t="shared" si="19"/>
        <v>74</v>
      </c>
      <c r="CP63" s="1">
        <f t="shared" si="19"/>
        <v>74</v>
      </c>
      <c r="CQ63" s="1">
        <f t="shared" si="19"/>
        <v>74</v>
      </c>
      <c r="CR63" s="1">
        <f t="shared" si="19"/>
        <v>74</v>
      </c>
      <c r="CS63" s="1">
        <f t="shared" si="19"/>
        <v>74</v>
      </c>
      <c r="CT63" s="1">
        <f t="shared" si="19"/>
        <v>74</v>
      </c>
      <c r="CU63" s="1">
        <f t="shared" si="19"/>
        <v>74</v>
      </c>
      <c r="CV63" s="1">
        <f t="shared" si="19"/>
        <v>74</v>
      </c>
      <c r="CW63" s="1">
        <f t="shared" si="19"/>
        <v>74</v>
      </c>
      <c r="CX63" s="1">
        <f t="shared" si="19"/>
        <v>74</v>
      </c>
      <c r="CY63" s="1">
        <f t="shared" si="19"/>
        <v>79</v>
      </c>
      <c r="CZ63" s="1">
        <f t="shared" si="19"/>
        <v>79</v>
      </c>
      <c r="DA63" s="1">
        <f t="shared" si="19"/>
        <v>79</v>
      </c>
      <c r="DB63" s="1">
        <f t="shared" si="19"/>
        <v>79</v>
      </c>
      <c r="DC63" s="1">
        <f t="shared" si="19"/>
        <v>79</v>
      </c>
      <c r="DD63" s="1">
        <f t="shared" si="19"/>
        <v>79</v>
      </c>
      <c r="DE63" s="1">
        <f t="shared" si="19"/>
        <v>79</v>
      </c>
      <c r="DF63" s="1">
        <f t="shared" si="19"/>
        <v>79</v>
      </c>
      <c r="DG63" s="1">
        <f t="shared" si="19"/>
        <v>79</v>
      </c>
      <c r="DH63" s="1">
        <f t="shared" si="19"/>
        <v>79</v>
      </c>
      <c r="DI63" s="1">
        <f t="shared" si="19"/>
        <v>80</v>
      </c>
      <c r="DJ63" s="1">
        <f t="shared" si="19"/>
        <v>81</v>
      </c>
      <c r="DK63" s="1">
        <f t="shared" si="19"/>
        <v>82</v>
      </c>
      <c r="DL63" s="1">
        <f t="shared" si="19"/>
        <v>83</v>
      </c>
      <c r="DM63" s="1">
        <f t="shared" si="19"/>
        <v>84</v>
      </c>
      <c r="DN63" s="1">
        <f t="shared" si="19"/>
        <v>84</v>
      </c>
      <c r="DO63" s="1">
        <f t="shared" si="19"/>
        <v>84</v>
      </c>
      <c r="DP63" s="1">
        <f t="shared" si="19"/>
        <v>86</v>
      </c>
      <c r="DQ63" s="1">
        <f t="shared" si="19"/>
        <v>88</v>
      </c>
      <c r="DR63" s="1">
        <f t="shared" si="19"/>
        <v>89</v>
      </c>
      <c r="DS63" s="1">
        <f t="shared" si="19"/>
        <v>89</v>
      </c>
      <c r="DT63" s="1">
        <f t="shared" si="19"/>
        <v>89</v>
      </c>
      <c r="DU63" s="1">
        <f t="shared" si="19"/>
        <v>89</v>
      </c>
      <c r="DV63" s="1">
        <f t="shared" si="19"/>
        <v>89</v>
      </c>
      <c r="DW63" s="1">
        <f t="shared" si="19"/>
        <v>89</v>
      </c>
      <c r="DX63" s="1">
        <f t="shared" si="19"/>
        <v>90</v>
      </c>
      <c r="DY63" s="1">
        <f t="shared" si="19"/>
        <v>90</v>
      </c>
      <c r="DZ63" s="1">
        <f t="shared" si="19"/>
        <v>90</v>
      </c>
      <c r="EA63" s="1">
        <f t="shared" si="19"/>
        <v>90</v>
      </c>
      <c r="EB63" s="1">
        <f t="shared" si="19"/>
        <v>90</v>
      </c>
      <c r="EC63" s="1">
        <f t="shared" si="19"/>
        <v>90</v>
      </c>
      <c r="ED63" s="1">
        <f t="shared" si="19"/>
        <v>91</v>
      </c>
      <c r="EE63" s="1">
        <f t="shared" si="19"/>
        <v>91</v>
      </c>
      <c r="EF63" s="1">
        <f t="shared" si="19"/>
        <v>91</v>
      </c>
      <c r="EG63" s="1">
        <f t="shared" si="19"/>
        <v>92</v>
      </c>
      <c r="EH63" s="1">
        <f t="shared" si="19"/>
        <v>92</v>
      </c>
      <c r="EI63" s="1">
        <f t="shared" si="19"/>
        <v>92</v>
      </c>
      <c r="EJ63" s="1">
        <f t="shared" si="19"/>
        <v>92</v>
      </c>
      <c r="EK63" s="1">
        <f t="shared" si="19"/>
        <v>93</v>
      </c>
      <c r="EL63" s="1">
        <f t="shared" si="19"/>
        <v>93</v>
      </c>
      <c r="EM63" s="1">
        <f t="shared" si="19"/>
        <v>93</v>
      </c>
      <c r="EN63" s="1">
        <f t="shared" si="19"/>
        <v>93</v>
      </c>
      <c r="EO63" s="1">
        <f t="shared" si="19"/>
        <v>93</v>
      </c>
      <c r="EP63" s="1">
        <f t="shared" si="19"/>
        <v>93</v>
      </c>
      <c r="EQ63" s="1">
        <f t="shared" si="19"/>
        <v>93</v>
      </c>
      <c r="ER63" s="1">
        <f t="shared" si="19"/>
        <v>93</v>
      </c>
      <c r="ES63" s="1">
        <f t="shared" si="19"/>
        <v>93</v>
      </c>
      <c r="ET63" s="1">
        <f t="shared" si="19"/>
        <v>94</v>
      </c>
      <c r="EU63" s="1">
        <f t="shared" si="19"/>
        <v>94</v>
      </c>
      <c r="EV63" s="1">
        <f t="shared" si="19"/>
        <v>94</v>
      </c>
      <c r="EW63" s="1">
        <f t="shared" si="19"/>
        <v>94</v>
      </c>
      <c r="EX63" s="1">
        <f t="shared" si="19"/>
        <v>94</v>
      </c>
      <c r="EY63" s="1">
        <f t="shared" si="19"/>
        <v>94</v>
      </c>
      <c r="EZ63" s="1">
        <f t="shared" si="19"/>
        <v>94</v>
      </c>
      <c r="FA63" s="1">
        <f t="shared" si="19"/>
        <v>95</v>
      </c>
      <c r="FB63" s="1">
        <f t="shared" si="19"/>
        <v>95</v>
      </c>
      <c r="FC63" s="1">
        <f t="shared" si="19"/>
        <v>95</v>
      </c>
      <c r="FD63" s="1">
        <f t="shared" si="19"/>
        <v>95</v>
      </c>
      <c r="FE63" s="1">
        <f t="shared" si="19"/>
        <v>95</v>
      </c>
      <c r="FF63" s="1">
        <f t="shared" si="19"/>
        <v>95</v>
      </c>
      <c r="FG63" s="1">
        <f t="shared" si="19"/>
        <v>95</v>
      </c>
      <c r="FH63" s="1">
        <f t="shared" si="19"/>
        <v>96</v>
      </c>
      <c r="FI63" s="1">
        <f t="shared" si="19"/>
        <v>96</v>
      </c>
      <c r="FJ63" s="1">
        <f t="shared" si="19"/>
        <v>96</v>
      </c>
      <c r="FK63" s="1">
        <f t="shared" si="19"/>
        <v>96</v>
      </c>
      <c r="FL63" s="1">
        <f t="shared" si="19"/>
        <v>96</v>
      </c>
      <c r="FM63" s="1">
        <f t="shared" si="19"/>
        <v>96</v>
      </c>
      <c r="FN63" s="1">
        <f t="shared" si="19"/>
        <v>96</v>
      </c>
      <c r="FO63" s="1">
        <f t="shared" si="19"/>
        <v>97</v>
      </c>
      <c r="FP63" s="1">
        <f t="shared" si="19"/>
        <v>97</v>
      </c>
      <c r="FQ63" s="1">
        <f t="shared" si="19"/>
        <v>97</v>
      </c>
      <c r="FR63" s="1">
        <f t="shared" si="19"/>
        <v>97</v>
      </c>
      <c r="FS63" s="1">
        <f t="shared" si="19"/>
        <v>97</v>
      </c>
      <c r="FT63" s="1">
        <f t="shared" si="19"/>
        <v>98</v>
      </c>
      <c r="FU63" s="1">
        <f t="shared" si="19"/>
        <v>98</v>
      </c>
      <c r="FV63" s="1">
        <f t="shared" si="19"/>
        <v>98</v>
      </c>
      <c r="FW63" s="1">
        <f t="shared" si="19"/>
        <v>98</v>
      </c>
      <c r="FX63" s="1">
        <f t="shared" si="19"/>
        <v>98</v>
      </c>
      <c r="FY63" s="1">
        <f t="shared" si="19"/>
        <v>98</v>
      </c>
      <c r="FZ63" s="1">
        <f t="shared" si="19"/>
        <v>98</v>
      </c>
      <c r="GA63" s="1">
        <f t="shared" si="19"/>
        <v>98</v>
      </c>
      <c r="GB63" s="1">
        <f t="shared" si="19"/>
        <v>98</v>
      </c>
      <c r="GC63" s="1">
        <f t="shared" si="19"/>
        <v>98</v>
      </c>
      <c r="GD63" s="1">
        <f t="shared" si="19"/>
        <v>98</v>
      </c>
      <c r="GE63" s="1">
        <f t="shared" si="19"/>
        <v>98</v>
      </c>
      <c r="GF63" s="1">
        <f t="shared" si="19"/>
        <v>98</v>
      </c>
      <c r="GG63" s="1">
        <f t="shared" si="19"/>
        <v>99</v>
      </c>
      <c r="GH63" s="1">
        <f t="shared" si="19"/>
        <v>100</v>
      </c>
      <c r="GI63" s="1">
        <f t="shared" si="19"/>
        <v>100</v>
      </c>
      <c r="GJ63" s="1">
        <f t="shared" si="19"/>
        <v>100</v>
      </c>
      <c r="GK63" s="1">
        <f t="shared" si="19"/>
        <v>100</v>
      </c>
      <c r="GL63" s="1">
        <f t="shared" si="19"/>
        <v>100</v>
      </c>
      <c r="GM63" s="1">
        <f t="shared" si="19"/>
        <v>100</v>
      </c>
      <c r="GN63" s="1">
        <f t="shared" si="19"/>
        <v>100</v>
      </c>
      <c r="GO63" s="1">
        <f t="shared" si="19"/>
        <v>100</v>
      </c>
      <c r="GP63" s="1">
        <f t="shared" si="19"/>
        <v>100</v>
      </c>
      <c r="GQ63" s="1">
        <f t="shared" si="19"/>
        <v>100</v>
      </c>
      <c r="GR63" s="1">
        <f t="shared" si="19"/>
        <v>100</v>
      </c>
      <c r="GS63" s="1">
        <f t="shared" si="19"/>
        <v>100</v>
      </c>
      <c r="GT63" s="1">
        <f t="shared" si="19"/>
        <v>100</v>
      </c>
      <c r="GU63" s="1">
        <f t="shared" si="19"/>
        <v>100</v>
      </c>
      <c r="GV63" s="1">
        <f t="shared" si="19"/>
        <v>100</v>
      </c>
      <c r="GW63" s="1">
        <f t="shared" si="19"/>
        <v>100</v>
      </c>
      <c r="GX63" s="1">
        <f t="shared" si="19"/>
        <v>100</v>
      </c>
      <c r="GY63" s="1">
        <f t="shared" si="19"/>
        <v>100</v>
      </c>
      <c r="GZ63" s="1">
        <f t="shared" si="19"/>
        <v>100</v>
      </c>
      <c r="HA63" s="1">
        <f t="shared" si="19"/>
        <v>100</v>
      </c>
      <c r="HB63" s="1">
        <f t="shared" si="19"/>
        <v>100</v>
      </c>
      <c r="HC63" s="1">
        <f t="shared" si="19"/>
        <v>100</v>
      </c>
      <c r="HD63" s="1">
        <f t="shared" si="19"/>
        <v>100</v>
      </c>
      <c r="HE63" s="1">
        <f t="shared" si="19"/>
        <v>100</v>
      </c>
      <c r="HF63" s="1">
        <f t="shared" si="19"/>
        <v>100</v>
      </c>
      <c r="HG63" s="1">
        <f t="shared" si="19"/>
        <v>100</v>
      </c>
      <c r="HH63" s="1">
        <f t="shared" si="19"/>
        <v>100</v>
      </c>
      <c r="HI63" s="1">
        <f t="shared" si="19"/>
        <v>100</v>
      </c>
      <c r="HJ63" s="1">
        <f t="shared" si="19"/>
        <v>100</v>
      </c>
    </row>
    <row r="64" ht="13.5" customHeight="1">
      <c r="A64" s="1"/>
      <c r="B64" s="49" t="s">
        <v>34</v>
      </c>
      <c r="E64" s="1">
        <f t="shared" ref="E64:HJ64" si="20">E63-E62</f>
        <v>0</v>
      </c>
      <c r="F64" s="1">
        <f t="shared" si="20"/>
        <v>0</v>
      </c>
      <c r="G64" s="1">
        <f t="shared" si="20"/>
        <v>0</v>
      </c>
      <c r="H64" s="1">
        <f t="shared" si="20"/>
        <v>0</v>
      </c>
      <c r="I64" s="1">
        <f t="shared" si="20"/>
        <v>0</v>
      </c>
      <c r="J64" s="1">
        <f t="shared" si="20"/>
        <v>1</v>
      </c>
      <c r="K64" s="1">
        <f t="shared" si="20"/>
        <v>1.5</v>
      </c>
      <c r="L64" s="1">
        <f t="shared" si="20"/>
        <v>2.5</v>
      </c>
      <c r="M64" s="1">
        <f t="shared" si="20"/>
        <v>2.5</v>
      </c>
      <c r="N64" s="1">
        <f t="shared" si="20"/>
        <v>2.5</v>
      </c>
      <c r="O64" s="1">
        <f t="shared" si="20"/>
        <v>2.5</v>
      </c>
      <c r="P64" s="1">
        <f t="shared" si="20"/>
        <v>2</v>
      </c>
      <c r="Q64" s="1">
        <f t="shared" si="20"/>
        <v>2.5</v>
      </c>
      <c r="R64" s="1">
        <f t="shared" si="20"/>
        <v>3</v>
      </c>
      <c r="S64" s="1">
        <f t="shared" si="20"/>
        <v>5</v>
      </c>
      <c r="T64" s="1">
        <f t="shared" si="20"/>
        <v>5</v>
      </c>
      <c r="U64" s="1">
        <f t="shared" si="20"/>
        <v>5</v>
      </c>
      <c r="V64" s="1">
        <f t="shared" si="20"/>
        <v>5.5</v>
      </c>
      <c r="W64" s="1">
        <f t="shared" si="20"/>
        <v>6</v>
      </c>
      <c r="X64" s="1">
        <f t="shared" si="20"/>
        <v>5</v>
      </c>
      <c r="Y64" s="1">
        <f t="shared" si="20"/>
        <v>6.5</v>
      </c>
      <c r="Z64" s="1">
        <f t="shared" si="20"/>
        <v>7.5</v>
      </c>
      <c r="AA64" s="1">
        <f t="shared" si="20"/>
        <v>7.5</v>
      </c>
      <c r="AB64" s="1">
        <f t="shared" si="20"/>
        <v>7.5</v>
      </c>
      <c r="AC64" s="1">
        <f t="shared" si="20"/>
        <v>7</v>
      </c>
      <c r="AD64" s="1">
        <f t="shared" si="20"/>
        <v>7.5</v>
      </c>
      <c r="AE64" s="1">
        <f t="shared" si="20"/>
        <v>8.5</v>
      </c>
      <c r="AF64" s="1">
        <f t="shared" si="20"/>
        <v>10</v>
      </c>
      <c r="AG64" s="1">
        <f t="shared" si="20"/>
        <v>11.5</v>
      </c>
      <c r="AH64" s="1">
        <f t="shared" si="20"/>
        <v>11.5</v>
      </c>
      <c r="AI64" s="1">
        <f t="shared" si="20"/>
        <v>11.5</v>
      </c>
      <c r="AJ64" s="1">
        <f t="shared" si="20"/>
        <v>10</v>
      </c>
      <c r="AK64" s="1">
        <f t="shared" si="20"/>
        <v>9.5</v>
      </c>
      <c r="AL64" s="1">
        <f t="shared" si="20"/>
        <v>9</v>
      </c>
      <c r="AM64" s="1">
        <f t="shared" si="20"/>
        <v>8.5</v>
      </c>
      <c r="AN64" s="1">
        <f t="shared" si="20"/>
        <v>9</v>
      </c>
      <c r="AO64" s="1">
        <f t="shared" si="20"/>
        <v>9</v>
      </c>
      <c r="AP64" s="1">
        <f t="shared" si="20"/>
        <v>9</v>
      </c>
      <c r="AQ64" s="1">
        <f t="shared" si="20"/>
        <v>9</v>
      </c>
      <c r="AR64" s="1">
        <f t="shared" si="20"/>
        <v>9</v>
      </c>
      <c r="AS64" s="1">
        <f t="shared" si="20"/>
        <v>9</v>
      </c>
      <c r="AT64" s="1">
        <f t="shared" si="20"/>
        <v>9</v>
      </c>
      <c r="AU64" s="1">
        <f t="shared" si="20"/>
        <v>9</v>
      </c>
      <c r="AV64" s="1">
        <f t="shared" si="20"/>
        <v>9</v>
      </c>
      <c r="AW64" s="1">
        <f t="shared" si="20"/>
        <v>9</v>
      </c>
      <c r="AX64" s="1">
        <f t="shared" si="20"/>
        <v>9</v>
      </c>
      <c r="AY64" s="1">
        <f t="shared" si="20"/>
        <v>9.5</v>
      </c>
      <c r="AZ64" s="1">
        <f t="shared" si="20"/>
        <v>9.5</v>
      </c>
      <c r="BA64" s="1">
        <f t="shared" si="20"/>
        <v>10</v>
      </c>
      <c r="BB64" s="1">
        <f t="shared" si="20"/>
        <v>11</v>
      </c>
      <c r="BC64" s="1">
        <f t="shared" si="20"/>
        <v>11</v>
      </c>
      <c r="BD64" s="1">
        <f t="shared" si="20"/>
        <v>11</v>
      </c>
      <c r="BE64" s="1">
        <f t="shared" si="20"/>
        <v>11</v>
      </c>
      <c r="BF64" s="1">
        <f t="shared" si="20"/>
        <v>11</v>
      </c>
      <c r="BG64" s="1">
        <f t="shared" si="20"/>
        <v>11.5</v>
      </c>
      <c r="BH64" s="1">
        <f t="shared" si="20"/>
        <v>12</v>
      </c>
      <c r="BI64" s="1">
        <f t="shared" si="20"/>
        <v>12.5</v>
      </c>
      <c r="BJ64" s="1">
        <f t="shared" si="20"/>
        <v>12.5</v>
      </c>
      <c r="BK64" s="1">
        <f t="shared" si="20"/>
        <v>12.5</v>
      </c>
      <c r="BL64" s="1">
        <f t="shared" si="20"/>
        <v>13</v>
      </c>
      <c r="BM64" s="1">
        <f t="shared" si="20"/>
        <v>12.5</v>
      </c>
      <c r="BN64" s="1">
        <f t="shared" si="20"/>
        <v>12</v>
      </c>
      <c r="BO64" s="1">
        <f t="shared" si="20"/>
        <v>11.5</v>
      </c>
      <c r="BP64" s="1">
        <f t="shared" si="20"/>
        <v>11</v>
      </c>
      <c r="BQ64" s="1">
        <f t="shared" si="20"/>
        <v>11</v>
      </c>
      <c r="BR64" s="1">
        <f t="shared" si="20"/>
        <v>11</v>
      </c>
      <c r="BS64" s="1">
        <f t="shared" si="20"/>
        <v>11.5</v>
      </c>
      <c r="BT64" s="1">
        <f t="shared" si="20"/>
        <v>10</v>
      </c>
      <c r="BU64" s="1">
        <f t="shared" si="20"/>
        <v>8.8</v>
      </c>
      <c r="BV64" s="1">
        <f t="shared" si="20"/>
        <v>6.6</v>
      </c>
      <c r="BW64" s="1">
        <f t="shared" si="20"/>
        <v>5.4</v>
      </c>
      <c r="BX64" s="1">
        <f t="shared" si="20"/>
        <v>5.4</v>
      </c>
      <c r="BY64" s="1">
        <f t="shared" si="20"/>
        <v>5.4</v>
      </c>
      <c r="BZ64" s="1">
        <f t="shared" si="20"/>
        <v>4.4</v>
      </c>
      <c r="CA64" s="1">
        <f t="shared" si="20"/>
        <v>4.8</v>
      </c>
      <c r="CB64" s="1">
        <f t="shared" si="20"/>
        <v>4.8</v>
      </c>
      <c r="CC64" s="1">
        <f t="shared" si="20"/>
        <v>4.8</v>
      </c>
      <c r="CD64" s="1">
        <f t="shared" si="20"/>
        <v>4.8</v>
      </c>
      <c r="CE64" s="1">
        <f t="shared" si="20"/>
        <v>4.8</v>
      </c>
      <c r="CF64" s="1">
        <f t="shared" si="20"/>
        <v>4.8</v>
      </c>
      <c r="CG64" s="1">
        <f t="shared" si="20"/>
        <v>4.8</v>
      </c>
      <c r="CH64" s="1">
        <f t="shared" si="20"/>
        <v>3.8</v>
      </c>
      <c r="CI64" s="1">
        <f t="shared" si="20"/>
        <v>3.3</v>
      </c>
      <c r="CJ64" s="1">
        <f t="shared" si="20"/>
        <v>3.1</v>
      </c>
      <c r="CK64" s="1">
        <f t="shared" si="20"/>
        <v>2.9</v>
      </c>
      <c r="CL64" s="1">
        <f t="shared" si="20"/>
        <v>2.9</v>
      </c>
      <c r="CM64" s="1">
        <f t="shared" si="20"/>
        <v>2.9</v>
      </c>
      <c r="CN64" s="1">
        <f t="shared" si="20"/>
        <v>2.7</v>
      </c>
      <c r="CO64" s="1">
        <f t="shared" si="20"/>
        <v>2.5</v>
      </c>
      <c r="CP64" s="1">
        <f t="shared" si="20"/>
        <v>2.2</v>
      </c>
      <c r="CQ64" s="1">
        <f t="shared" si="20"/>
        <v>2.1</v>
      </c>
      <c r="CR64" s="1">
        <f t="shared" si="20"/>
        <v>2</v>
      </c>
      <c r="CS64" s="1">
        <f t="shared" si="20"/>
        <v>2</v>
      </c>
      <c r="CT64" s="1">
        <f t="shared" si="20"/>
        <v>2</v>
      </c>
      <c r="CU64" s="1">
        <f t="shared" si="20"/>
        <v>1.9</v>
      </c>
      <c r="CV64" s="1">
        <f t="shared" si="20"/>
        <v>1.8</v>
      </c>
      <c r="CW64" s="1">
        <f t="shared" si="20"/>
        <v>1.2</v>
      </c>
      <c r="CX64" s="1">
        <f t="shared" si="20"/>
        <v>0.6</v>
      </c>
      <c r="CY64" s="1">
        <f t="shared" si="20"/>
        <v>2.5</v>
      </c>
      <c r="CZ64" s="1">
        <f t="shared" si="20"/>
        <v>2.5</v>
      </c>
      <c r="DA64" s="1">
        <f t="shared" si="20"/>
        <v>2.5</v>
      </c>
      <c r="DB64" s="1">
        <f t="shared" si="20"/>
        <v>2.4</v>
      </c>
      <c r="DC64" s="1">
        <f t="shared" si="20"/>
        <v>1.8</v>
      </c>
      <c r="DD64" s="1">
        <f t="shared" si="20"/>
        <v>1.2</v>
      </c>
      <c r="DE64" s="1">
        <f t="shared" si="20"/>
        <v>1</v>
      </c>
      <c r="DF64" s="1">
        <f t="shared" si="20"/>
        <v>-0.1</v>
      </c>
      <c r="DG64" s="1">
        <f t="shared" si="20"/>
        <v>-0.1</v>
      </c>
      <c r="DH64" s="1">
        <f t="shared" si="20"/>
        <v>-0.1</v>
      </c>
      <c r="DI64" s="1">
        <f t="shared" si="20"/>
        <v>0.8</v>
      </c>
      <c r="DJ64" s="1">
        <f t="shared" si="20"/>
        <v>1.6</v>
      </c>
      <c r="DK64" s="1">
        <f t="shared" si="20"/>
        <v>1.5</v>
      </c>
      <c r="DL64" s="1">
        <f t="shared" si="20"/>
        <v>2.4</v>
      </c>
      <c r="DM64" s="1">
        <f t="shared" si="20"/>
        <v>3.3</v>
      </c>
      <c r="DN64" s="1">
        <f t="shared" si="20"/>
        <v>3.3</v>
      </c>
      <c r="DO64" s="1">
        <f t="shared" si="20"/>
        <v>3.3</v>
      </c>
      <c r="DP64" s="1">
        <f t="shared" si="20"/>
        <v>5.1</v>
      </c>
      <c r="DQ64" s="1">
        <f t="shared" si="20"/>
        <v>6.9</v>
      </c>
      <c r="DR64" s="1">
        <f t="shared" si="20"/>
        <v>7.7</v>
      </c>
      <c r="DS64" s="1">
        <f t="shared" si="20"/>
        <v>7.5</v>
      </c>
      <c r="DT64" s="1">
        <f t="shared" si="20"/>
        <v>7.1</v>
      </c>
      <c r="DU64" s="1">
        <f t="shared" si="20"/>
        <v>7.1</v>
      </c>
      <c r="DV64" s="1">
        <f t="shared" si="20"/>
        <v>7.1</v>
      </c>
      <c r="DW64" s="1">
        <f t="shared" si="20"/>
        <v>6.9</v>
      </c>
      <c r="DX64" s="1">
        <f t="shared" si="20"/>
        <v>7.2</v>
      </c>
      <c r="DY64" s="1">
        <f t="shared" si="20"/>
        <v>6.5</v>
      </c>
      <c r="DZ64" s="1">
        <f t="shared" si="20"/>
        <v>5.8</v>
      </c>
      <c r="EA64" s="1">
        <f t="shared" si="20"/>
        <v>5</v>
      </c>
      <c r="EB64" s="1">
        <f t="shared" si="20"/>
        <v>5</v>
      </c>
      <c r="EC64" s="1">
        <f t="shared" si="20"/>
        <v>5</v>
      </c>
      <c r="ED64" s="1">
        <f t="shared" si="20"/>
        <v>5.5</v>
      </c>
      <c r="EE64" s="1">
        <f t="shared" si="20"/>
        <v>5.3</v>
      </c>
      <c r="EF64" s="1">
        <f t="shared" si="20"/>
        <v>5.1</v>
      </c>
      <c r="EG64" s="1">
        <f t="shared" si="20"/>
        <v>5.9</v>
      </c>
      <c r="EH64" s="1">
        <f t="shared" si="20"/>
        <v>5.7</v>
      </c>
      <c r="EI64" s="1">
        <f t="shared" si="20"/>
        <v>5.7</v>
      </c>
      <c r="EJ64" s="1">
        <f t="shared" si="20"/>
        <v>5.7</v>
      </c>
      <c r="EK64" s="1">
        <f t="shared" si="20"/>
        <v>6.3</v>
      </c>
      <c r="EL64" s="1">
        <f t="shared" si="20"/>
        <v>4.9</v>
      </c>
      <c r="EM64" s="1">
        <f t="shared" si="20"/>
        <v>3.8</v>
      </c>
      <c r="EN64" s="1">
        <f t="shared" si="20"/>
        <v>3.5</v>
      </c>
      <c r="EO64" s="1">
        <f t="shared" si="20"/>
        <v>3.4</v>
      </c>
      <c r="EP64" s="1">
        <f t="shared" si="20"/>
        <v>3.4</v>
      </c>
      <c r="EQ64" s="1">
        <f t="shared" si="20"/>
        <v>3.4</v>
      </c>
      <c r="ER64" s="1">
        <f t="shared" si="20"/>
        <v>3.3</v>
      </c>
      <c r="ES64" s="1">
        <f t="shared" si="20"/>
        <v>2.7</v>
      </c>
      <c r="ET64" s="1">
        <f t="shared" si="20"/>
        <v>3.6</v>
      </c>
      <c r="EU64" s="1">
        <f t="shared" si="20"/>
        <v>3.3</v>
      </c>
      <c r="EV64" s="1">
        <f t="shared" si="20"/>
        <v>2.5</v>
      </c>
      <c r="EW64" s="1">
        <f t="shared" si="20"/>
        <v>2.5</v>
      </c>
      <c r="EX64" s="1">
        <f t="shared" si="20"/>
        <v>2.5</v>
      </c>
      <c r="EY64" s="1">
        <f t="shared" si="20"/>
        <v>2.2</v>
      </c>
      <c r="EZ64" s="1">
        <f t="shared" si="20"/>
        <v>1.9</v>
      </c>
      <c r="FA64" s="1">
        <f t="shared" si="20"/>
        <v>2.6</v>
      </c>
      <c r="FB64" s="1">
        <f t="shared" si="20"/>
        <v>2.5</v>
      </c>
      <c r="FC64" s="1">
        <f t="shared" si="20"/>
        <v>2.4</v>
      </c>
      <c r="FD64" s="1">
        <f t="shared" si="20"/>
        <v>2.4</v>
      </c>
      <c r="FE64" s="1">
        <f t="shared" si="20"/>
        <v>2.4</v>
      </c>
      <c r="FF64" s="1">
        <f t="shared" si="20"/>
        <v>2.1</v>
      </c>
      <c r="FG64" s="1">
        <f t="shared" si="20"/>
        <v>1.9</v>
      </c>
      <c r="FH64" s="1">
        <f t="shared" si="20"/>
        <v>2.7</v>
      </c>
      <c r="FI64" s="1">
        <f t="shared" si="20"/>
        <v>2.7</v>
      </c>
      <c r="FJ64" s="1">
        <f t="shared" si="20"/>
        <v>2.7</v>
      </c>
      <c r="FK64" s="1">
        <f t="shared" si="20"/>
        <v>2.7</v>
      </c>
      <c r="FL64" s="1">
        <f t="shared" si="20"/>
        <v>2.7</v>
      </c>
      <c r="FM64" s="1">
        <f t="shared" si="20"/>
        <v>1.6</v>
      </c>
      <c r="FN64" s="1">
        <f t="shared" si="20"/>
        <v>1.2</v>
      </c>
      <c r="FO64" s="1">
        <f t="shared" si="20"/>
        <v>1.7</v>
      </c>
      <c r="FP64" s="1">
        <f t="shared" si="20"/>
        <v>1.6</v>
      </c>
      <c r="FQ64" s="1">
        <f t="shared" si="20"/>
        <v>1.5</v>
      </c>
      <c r="FR64" s="1">
        <f t="shared" si="20"/>
        <v>1.5</v>
      </c>
      <c r="FS64" s="1">
        <f t="shared" si="20"/>
        <v>1.5</v>
      </c>
      <c r="FT64" s="1">
        <f t="shared" si="20"/>
        <v>2.1</v>
      </c>
      <c r="FU64" s="1">
        <f t="shared" si="20"/>
        <v>1.8</v>
      </c>
      <c r="FV64" s="1">
        <f t="shared" si="20"/>
        <v>1.5</v>
      </c>
      <c r="FW64" s="1">
        <f t="shared" si="20"/>
        <v>1.5</v>
      </c>
      <c r="FX64" s="1">
        <f t="shared" si="20"/>
        <v>1.5</v>
      </c>
      <c r="FY64" s="1">
        <f t="shared" si="20"/>
        <v>1.5</v>
      </c>
      <c r="FZ64" s="1">
        <f t="shared" si="20"/>
        <v>1.5</v>
      </c>
      <c r="GA64" s="1">
        <f t="shared" si="20"/>
        <v>1.4</v>
      </c>
      <c r="GB64" s="1">
        <f t="shared" si="20"/>
        <v>1.1</v>
      </c>
      <c r="GC64" s="1">
        <f t="shared" si="20"/>
        <v>1</v>
      </c>
      <c r="GD64" s="1">
        <f t="shared" si="20"/>
        <v>0.5</v>
      </c>
      <c r="GE64" s="1">
        <f t="shared" si="20"/>
        <v>0</v>
      </c>
      <c r="GF64" s="1">
        <f t="shared" si="20"/>
        <v>0</v>
      </c>
      <c r="GG64" s="1">
        <f t="shared" si="20"/>
        <v>0</v>
      </c>
      <c r="GH64" s="1">
        <f t="shared" si="20"/>
        <v>1</v>
      </c>
      <c r="GI64" s="1">
        <f t="shared" si="20"/>
        <v>1</v>
      </c>
      <c r="GJ64" s="1">
        <f t="shared" si="20"/>
        <v>1</v>
      </c>
      <c r="GK64" s="1">
        <f t="shared" si="20"/>
        <v>1</v>
      </c>
      <c r="GL64" s="1">
        <f t="shared" si="20"/>
        <v>1</v>
      </c>
      <c r="GM64" s="1">
        <f t="shared" si="20"/>
        <v>1</v>
      </c>
      <c r="GN64" s="1">
        <f t="shared" si="20"/>
        <v>1</v>
      </c>
      <c r="GO64" s="1">
        <f t="shared" si="20"/>
        <v>1</v>
      </c>
      <c r="GP64" s="1">
        <f t="shared" si="20"/>
        <v>1</v>
      </c>
      <c r="GQ64" s="1">
        <f t="shared" si="20"/>
        <v>1</v>
      </c>
      <c r="GR64" s="1">
        <f t="shared" si="20"/>
        <v>1</v>
      </c>
      <c r="GS64" s="1">
        <f t="shared" si="20"/>
        <v>1</v>
      </c>
      <c r="GT64" s="1">
        <f t="shared" si="20"/>
        <v>1</v>
      </c>
      <c r="GU64" s="1">
        <f t="shared" si="20"/>
        <v>1</v>
      </c>
      <c r="GV64" s="1">
        <f t="shared" si="20"/>
        <v>1</v>
      </c>
      <c r="GW64" s="1">
        <f t="shared" si="20"/>
        <v>1</v>
      </c>
      <c r="GX64" s="1">
        <f t="shared" si="20"/>
        <v>1</v>
      </c>
      <c r="GY64" s="1">
        <f t="shared" si="20"/>
        <v>1</v>
      </c>
      <c r="GZ64" s="1">
        <f t="shared" si="20"/>
        <v>1</v>
      </c>
      <c r="HA64" s="1">
        <f t="shared" si="20"/>
        <v>1</v>
      </c>
      <c r="HB64" s="1">
        <f t="shared" si="20"/>
        <v>1</v>
      </c>
      <c r="HC64" s="1">
        <f t="shared" si="20"/>
        <v>1</v>
      </c>
      <c r="HD64" s="1">
        <f t="shared" si="20"/>
        <v>1</v>
      </c>
      <c r="HE64" s="1">
        <f t="shared" si="20"/>
        <v>1</v>
      </c>
      <c r="HF64" s="1">
        <f t="shared" si="20"/>
        <v>1</v>
      </c>
      <c r="HG64" s="1">
        <f t="shared" si="20"/>
        <v>1</v>
      </c>
      <c r="HH64" s="1">
        <f t="shared" si="20"/>
        <v>1</v>
      </c>
      <c r="HI64" s="1">
        <f t="shared" si="20"/>
        <v>1</v>
      </c>
      <c r="HJ64" s="1">
        <f t="shared" si="20"/>
        <v>1</v>
      </c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</row>
    <row r="67" ht="13.5" customHeight="1">
      <c r="A67" s="1"/>
      <c r="B67" s="1"/>
      <c r="C67" s="1"/>
      <c r="D67" s="1">
        <f>2-1.4</f>
        <v>0.6</v>
      </c>
      <c r="E67" s="1">
        <f>1.5+0.6+0.7</f>
        <v>2.8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</row>
    <row r="68" ht="13.5" customHeight="1">
      <c r="A68" s="1"/>
      <c r="B68" s="1"/>
      <c r="C68" s="1"/>
      <c r="D68" s="1"/>
      <c r="E68" s="1"/>
      <c r="F68" s="1"/>
      <c r="G68" s="1"/>
      <c r="H68" s="1">
        <f>8-6.5</f>
        <v>1.5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1"/>
      <c r="FC69" s="1"/>
      <c r="FD69" s="1">
        <f>3-2.2</f>
        <v>0.8</v>
      </c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1"/>
      <c r="FC70" s="1"/>
      <c r="FD70" s="1">
        <v>5.0</v>
      </c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  <c r="FA229" s="5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5"/>
      <c r="EN230" s="5"/>
      <c r="EO230" s="5"/>
      <c r="EP230" s="5"/>
      <c r="EQ230" s="5"/>
      <c r="ER230" s="5"/>
      <c r="ES230" s="5"/>
      <c r="ET230" s="5"/>
      <c r="EU230" s="5"/>
      <c r="EV230" s="5"/>
      <c r="EW230" s="5"/>
      <c r="EX230" s="5"/>
      <c r="EY230" s="5"/>
      <c r="EZ230" s="5"/>
      <c r="FA230" s="5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5"/>
      <c r="EN232" s="5"/>
      <c r="EO232" s="5"/>
      <c r="EP232" s="5"/>
      <c r="EQ232" s="5"/>
      <c r="ER232" s="5"/>
      <c r="ES232" s="5"/>
      <c r="ET232" s="5"/>
      <c r="EU232" s="5"/>
      <c r="EV232" s="5"/>
      <c r="EW232" s="5"/>
      <c r="EX232" s="5"/>
      <c r="EY232" s="5"/>
      <c r="EZ232" s="5"/>
      <c r="FA232" s="5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/>
      <c r="EU234" s="5"/>
      <c r="EV234" s="5"/>
      <c r="EW234" s="5"/>
      <c r="EX234" s="5"/>
      <c r="EY234" s="5"/>
      <c r="EZ234" s="5"/>
      <c r="FA234" s="5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  <c r="EG235" s="5"/>
      <c r="EH235" s="5"/>
      <c r="EI235" s="5"/>
      <c r="EJ235" s="5"/>
      <c r="EK235" s="5"/>
      <c r="EL235" s="5"/>
      <c r="EM235" s="5"/>
      <c r="EN235" s="5"/>
      <c r="EO235" s="5"/>
      <c r="EP235" s="5"/>
      <c r="EQ235" s="5"/>
      <c r="ER235" s="5"/>
      <c r="ES235" s="5"/>
      <c r="ET235" s="5"/>
      <c r="EU235" s="5"/>
      <c r="EV235" s="5"/>
      <c r="EW235" s="5"/>
      <c r="EX235" s="5"/>
      <c r="EY235" s="5"/>
      <c r="EZ235" s="5"/>
      <c r="FA235" s="5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5"/>
      <c r="EN236" s="5"/>
      <c r="EO236" s="5"/>
      <c r="EP236" s="5"/>
      <c r="EQ236" s="5"/>
      <c r="ER236" s="5"/>
      <c r="ES236" s="5"/>
      <c r="ET236" s="5"/>
      <c r="EU236" s="5"/>
      <c r="EV236" s="5"/>
      <c r="EW236" s="5"/>
      <c r="EX236" s="5"/>
      <c r="EY236" s="5"/>
      <c r="EZ236" s="5"/>
      <c r="FA236" s="5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5"/>
      <c r="EP237" s="5"/>
      <c r="EQ237" s="5"/>
      <c r="ER237" s="5"/>
      <c r="ES237" s="5"/>
      <c r="ET237" s="5"/>
      <c r="EU237" s="5"/>
      <c r="EV237" s="5"/>
      <c r="EW237" s="5"/>
      <c r="EX237" s="5"/>
      <c r="EY237" s="5"/>
      <c r="EZ237" s="5"/>
      <c r="FA237" s="5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  <c r="EF238" s="5"/>
      <c r="EG238" s="5"/>
      <c r="EH238" s="5"/>
      <c r="EI238" s="5"/>
      <c r="EJ238" s="5"/>
      <c r="EK238" s="5"/>
      <c r="EL238" s="5"/>
      <c r="EM238" s="5"/>
      <c r="EN238" s="5"/>
      <c r="EO238" s="5"/>
      <c r="EP238" s="5"/>
      <c r="EQ238" s="5"/>
      <c r="ER238" s="5"/>
      <c r="ES238" s="5"/>
      <c r="ET238" s="5"/>
      <c r="EU238" s="5"/>
      <c r="EV238" s="5"/>
      <c r="EW238" s="5"/>
      <c r="EX238" s="5"/>
      <c r="EY238" s="5"/>
      <c r="EZ238" s="5"/>
      <c r="FA238" s="5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/>
      <c r="EK239" s="5"/>
      <c r="EL239" s="5"/>
      <c r="EM239" s="5"/>
      <c r="EN239" s="5"/>
      <c r="EO239" s="5"/>
      <c r="EP239" s="5"/>
      <c r="EQ239" s="5"/>
      <c r="ER239" s="5"/>
      <c r="ES239" s="5"/>
      <c r="ET239" s="5"/>
      <c r="EU239" s="5"/>
      <c r="EV239" s="5"/>
      <c r="EW239" s="5"/>
      <c r="EX239" s="5"/>
      <c r="EY239" s="5"/>
      <c r="EZ239" s="5"/>
      <c r="FA239" s="5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5"/>
      <c r="EN240" s="5"/>
      <c r="EO240" s="5"/>
      <c r="EP240" s="5"/>
      <c r="EQ240" s="5"/>
      <c r="ER240" s="5"/>
      <c r="ES240" s="5"/>
      <c r="ET240" s="5"/>
      <c r="EU240" s="5"/>
      <c r="EV240" s="5"/>
      <c r="EW240" s="5"/>
      <c r="EX240" s="5"/>
      <c r="EY240" s="5"/>
      <c r="EZ240" s="5"/>
      <c r="FA240" s="5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5"/>
      <c r="DQ241" s="5"/>
      <c r="DR241" s="5"/>
      <c r="DS241" s="5"/>
      <c r="DT241" s="5"/>
      <c r="DU241" s="5"/>
      <c r="DV241" s="5"/>
      <c r="DW241" s="5"/>
      <c r="DX241" s="5"/>
      <c r="DY241" s="5"/>
      <c r="DZ241" s="5"/>
      <c r="EA241" s="5"/>
      <c r="EB241" s="5"/>
      <c r="EC241" s="5"/>
      <c r="ED241" s="5"/>
      <c r="EE241" s="5"/>
      <c r="EF241" s="5"/>
      <c r="EG241" s="5"/>
      <c r="EH241" s="5"/>
      <c r="EI241" s="5"/>
      <c r="EJ241" s="5"/>
      <c r="EK241" s="5"/>
      <c r="EL241" s="5"/>
      <c r="EM241" s="5"/>
      <c r="EN241" s="5"/>
      <c r="EO241" s="5"/>
      <c r="EP241" s="5"/>
      <c r="EQ241" s="5"/>
      <c r="ER241" s="5"/>
      <c r="ES241" s="5"/>
      <c r="ET241" s="5"/>
      <c r="EU241" s="5"/>
      <c r="EV241" s="5"/>
      <c r="EW241" s="5"/>
      <c r="EX241" s="5"/>
      <c r="EY241" s="5"/>
      <c r="EZ241" s="5"/>
      <c r="FA241" s="5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  <c r="EF242" s="5"/>
      <c r="EG242" s="5"/>
      <c r="EH242" s="5"/>
      <c r="EI242" s="5"/>
      <c r="EJ242" s="5"/>
      <c r="EK242" s="5"/>
      <c r="EL242" s="5"/>
      <c r="EM242" s="5"/>
      <c r="EN242" s="5"/>
      <c r="EO242" s="5"/>
      <c r="EP242" s="5"/>
      <c r="EQ242" s="5"/>
      <c r="ER242" s="5"/>
      <c r="ES242" s="5"/>
      <c r="ET242" s="5"/>
      <c r="EU242" s="5"/>
      <c r="EV242" s="5"/>
      <c r="EW242" s="5"/>
      <c r="EX242" s="5"/>
      <c r="EY242" s="5"/>
      <c r="EZ242" s="5"/>
      <c r="FA242" s="5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  <c r="EL243" s="5"/>
      <c r="EM243" s="5"/>
      <c r="EN243" s="5"/>
      <c r="EO243" s="5"/>
      <c r="EP243" s="5"/>
      <c r="EQ243" s="5"/>
      <c r="ER243" s="5"/>
      <c r="ES243" s="5"/>
      <c r="ET243" s="5"/>
      <c r="EU243" s="5"/>
      <c r="EV243" s="5"/>
      <c r="EW243" s="5"/>
      <c r="EX243" s="5"/>
      <c r="EY243" s="5"/>
      <c r="EZ243" s="5"/>
      <c r="FA243" s="5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  <c r="EF244" s="5"/>
      <c r="EG244" s="5"/>
      <c r="EH244" s="5"/>
      <c r="EI244" s="5"/>
      <c r="EJ244" s="5"/>
      <c r="EK244" s="5"/>
      <c r="EL244" s="5"/>
      <c r="EM244" s="5"/>
      <c r="EN244" s="5"/>
      <c r="EO244" s="5"/>
      <c r="EP244" s="5"/>
      <c r="EQ244" s="5"/>
      <c r="ER244" s="5"/>
      <c r="ES244" s="5"/>
      <c r="ET244" s="5"/>
      <c r="EU244" s="5"/>
      <c r="EV244" s="5"/>
      <c r="EW244" s="5"/>
      <c r="EX244" s="5"/>
      <c r="EY244" s="5"/>
      <c r="EZ244" s="5"/>
      <c r="FA244" s="5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5"/>
      <c r="EB245" s="5"/>
      <c r="EC245" s="5"/>
      <c r="ED245" s="5"/>
      <c r="EE245" s="5"/>
      <c r="EF245" s="5"/>
      <c r="EG245" s="5"/>
      <c r="EH245" s="5"/>
      <c r="EI245" s="5"/>
      <c r="EJ245" s="5"/>
      <c r="EK245" s="5"/>
      <c r="EL245" s="5"/>
      <c r="EM245" s="5"/>
      <c r="EN245" s="5"/>
      <c r="EO245" s="5"/>
      <c r="EP245" s="5"/>
      <c r="EQ245" s="5"/>
      <c r="ER245" s="5"/>
      <c r="ES245" s="5"/>
      <c r="ET245" s="5"/>
      <c r="EU245" s="5"/>
      <c r="EV245" s="5"/>
      <c r="EW245" s="5"/>
      <c r="EX245" s="5"/>
      <c r="EY245" s="5"/>
      <c r="EZ245" s="5"/>
      <c r="FA245" s="5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5"/>
      <c r="EN246" s="5"/>
      <c r="EO246" s="5"/>
      <c r="EP246" s="5"/>
      <c r="EQ246" s="5"/>
      <c r="ER246" s="5"/>
      <c r="ES246" s="5"/>
      <c r="ET246" s="5"/>
      <c r="EU246" s="5"/>
      <c r="EV246" s="5"/>
      <c r="EW246" s="5"/>
      <c r="EX246" s="5"/>
      <c r="EY246" s="5"/>
      <c r="EZ246" s="5"/>
      <c r="FA246" s="5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5"/>
      <c r="EB247" s="5"/>
      <c r="EC247" s="5"/>
      <c r="ED247" s="5"/>
      <c r="EE247" s="5"/>
      <c r="EF247" s="5"/>
      <c r="EG247" s="5"/>
      <c r="EH247" s="5"/>
      <c r="EI247" s="5"/>
      <c r="EJ247" s="5"/>
      <c r="EK247" s="5"/>
      <c r="EL247" s="5"/>
      <c r="EM247" s="5"/>
      <c r="EN247" s="5"/>
      <c r="EO247" s="5"/>
      <c r="EP247" s="5"/>
      <c r="EQ247" s="5"/>
      <c r="ER247" s="5"/>
      <c r="ES247" s="5"/>
      <c r="ET247" s="5"/>
      <c r="EU247" s="5"/>
      <c r="EV247" s="5"/>
      <c r="EW247" s="5"/>
      <c r="EX247" s="5"/>
      <c r="EY247" s="5"/>
      <c r="EZ247" s="5"/>
      <c r="FA247" s="5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5"/>
      <c r="EP248" s="5"/>
      <c r="EQ248" s="5"/>
      <c r="ER248" s="5"/>
      <c r="ES248" s="5"/>
      <c r="ET248" s="5"/>
      <c r="EU248" s="5"/>
      <c r="EV248" s="5"/>
      <c r="EW248" s="5"/>
      <c r="EX248" s="5"/>
      <c r="EY248" s="5"/>
      <c r="EZ248" s="5"/>
      <c r="FA248" s="5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5"/>
      <c r="EB249" s="5"/>
      <c r="EC249" s="5"/>
      <c r="ED249" s="5"/>
      <c r="EE249" s="5"/>
      <c r="EF249" s="5"/>
      <c r="EG249" s="5"/>
      <c r="EH249" s="5"/>
      <c r="EI249" s="5"/>
      <c r="EJ249" s="5"/>
      <c r="EK249" s="5"/>
      <c r="EL249" s="5"/>
      <c r="EM249" s="5"/>
      <c r="EN249" s="5"/>
      <c r="EO249" s="5"/>
      <c r="EP249" s="5"/>
      <c r="EQ249" s="5"/>
      <c r="ER249" s="5"/>
      <c r="ES249" s="5"/>
      <c r="ET249" s="5"/>
      <c r="EU249" s="5"/>
      <c r="EV249" s="5"/>
      <c r="EW249" s="5"/>
      <c r="EX249" s="5"/>
      <c r="EY249" s="5"/>
      <c r="EZ249" s="5"/>
      <c r="FA249" s="5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5"/>
      <c r="EB250" s="5"/>
      <c r="EC250" s="5"/>
      <c r="ED250" s="5"/>
      <c r="EE250" s="5"/>
      <c r="EF250" s="5"/>
      <c r="EG250" s="5"/>
      <c r="EH250" s="5"/>
      <c r="EI250" s="5"/>
      <c r="EJ250" s="5"/>
      <c r="EK250" s="5"/>
      <c r="EL250" s="5"/>
      <c r="EM250" s="5"/>
      <c r="EN250" s="5"/>
      <c r="EO250" s="5"/>
      <c r="EP250" s="5"/>
      <c r="EQ250" s="5"/>
      <c r="ER250" s="5"/>
      <c r="ES250" s="5"/>
      <c r="ET250" s="5"/>
      <c r="EU250" s="5"/>
      <c r="EV250" s="5"/>
      <c r="EW250" s="5"/>
      <c r="EX250" s="5"/>
      <c r="EY250" s="5"/>
      <c r="EZ250" s="5"/>
      <c r="FA250" s="5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  <c r="DM251" s="5"/>
      <c r="DN251" s="5"/>
      <c r="DO251" s="5"/>
      <c r="DP251" s="5"/>
      <c r="DQ251" s="5"/>
      <c r="DR251" s="5"/>
      <c r="DS251" s="5"/>
      <c r="DT251" s="5"/>
      <c r="DU251" s="5"/>
      <c r="DV251" s="5"/>
      <c r="DW251" s="5"/>
      <c r="DX251" s="5"/>
      <c r="DY251" s="5"/>
      <c r="DZ251" s="5"/>
      <c r="EA251" s="5"/>
      <c r="EB251" s="5"/>
      <c r="EC251" s="5"/>
      <c r="ED251" s="5"/>
      <c r="EE251" s="5"/>
      <c r="EF251" s="5"/>
      <c r="EG251" s="5"/>
      <c r="EH251" s="5"/>
      <c r="EI251" s="5"/>
      <c r="EJ251" s="5"/>
      <c r="EK251" s="5"/>
      <c r="EL251" s="5"/>
      <c r="EM251" s="5"/>
      <c r="EN251" s="5"/>
      <c r="EO251" s="5"/>
      <c r="EP251" s="5"/>
      <c r="EQ251" s="5"/>
      <c r="ER251" s="5"/>
      <c r="ES251" s="5"/>
      <c r="ET251" s="5"/>
      <c r="EU251" s="5"/>
      <c r="EV251" s="5"/>
      <c r="EW251" s="5"/>
      <c r="EX251" s="5"/>
      <c r="EY251" s="5"/>
      <c r="EZ251" s="5"/>
      <c r="FA251" s="5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5"/>
      <c r="DS252" s="5"/>
      <c r="DT252" s="5"/>
      <c r="DU252" s="5"/>
      <c r="DV252" s="5"/>
      <c r="DW252" s="5"/>
      <c r="DX252" s="5"/>
      <c r="DY252" s="5"/>
      <c r="DZ252" s="5"/>
      <c r="EA252" s="5"/>
      <c r="EB252" s="5"/>
      <c r="EC252" s="5"/>
      <c r="ED252" s="5"/>
      <c r="EE252" s="5"/>
      <c r="EF252" s="5"/>
      <c r="EG252" s="5"/>
      <c r="EH252" s="5"/>
      <c r="EI252" s="5"/>
      <c r="EJ252" s="5"/>
      <c r="EK252" s="5"/>
      <c r="EL252" s="5"/>
      <c r="EM252" s="5"/>
      <c r="EN252" s="5"/>
      <c r="EO252" s="5"/>
      <c r="EP252" s="5"/>
      <c r="EQ252" s="5"/>
      <c r="ER252" s="5"/>
      <c r="ES252" s="5"/>
      <c r="ET252" s="5"/>
      <c r="EU252" s="5"/>
      <c r="EV252" s="5"/>
      <c r="EW252" s="5"/>
      <c r="EX252" s="5"/>
      <c r="EY252" s="5"/>
      <c r="EZ252" s="5"/>
      <c r="FA252" s="5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/>
      <c r="DO253" s="5"/>
      <c r="DP253" s="5"/>
      <c r="DQ253" s="5"/>
      <c r="DR253" s="5"/>
      <c r="DS253" s="5"/>
      <c r="DT253" s="5"/>
      <c r="DU253" s="5"/>
      <c r="DV253" s="5"/>
      <c r="DW253" s="5"/>
      <c r="DX253" s="5"/>
      <c r="DY253" s="5"/>
      <c r="DZ253" s="5"/>
      <c r="EA253" s="5"/>
      <c r="EB253" s="5"/>
      <c r="EC253" s="5"/>
      <c r="ED253" s="5"/>
      <c r="EE253" s="5"/>
      <c r="EF253" s="5"/>
      <c r="EG253" s="5"/>
      <c r="EH253" s="5"/>
      <c r="EI253" s="5"/>
      <c r="EJ253" s="5"/>
      <c r="EK253" s="5"/>
      <c r="EL253" s="5"/>
      <c r="EM253" s="5"/>
      <c r="EN253" s="5"/>
      <c r="EO253" s="5"/>
      <c r="EP253" s="5"/>
      <c r="EQ253" s="5"/>
      <c r="ER253" s="5"/>
      <c r="ES253" s="5"/>
      <c r="ET253" s="5"/>
      <c r="EU253" s="5"/>
      <c r="EV253" s="5"/>
      <c r="EW253" s="5"/>
      <c r="EX253" s="5"/>
      <c r="EY253" s="5"/>
      <c r="EZ253" s="5"/>
      <c r="FA253" s="5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5"/>
      <c r="EB254" s="5"/>
      <c r="EC254" s="5"/>
      <c r="ED254" s="5"/>
      <c r="EE254" s="5"/>
      <c r="EF254" s="5"/>
      <c r="EG254" s="5"/>
      <c r="EH254" s="5"/>
      <c r="EI254" s="5"/>
      <c r="EJ254" s="5"/>
      <c r="EK254" s="5"/>
      <c r="EL254" s="5"/>
      <c r="EM254" s="5"/>
      <c r="EN254" s="5"/>
      <c r="EO254" s="5"/>
      <c r="EP254" s="5"/>
      <c r="EQ254" s="5"/>
      <c r="ER254" s="5"/>
      <c r="ES254" s="5"/>
      <c r="ET254" s="5"/>
      <c r="EU254" s="5"/>
      <c r="EV254" s="5"/>
      <c r="EW254" s="5"/>
      <c r="EX254" s="5"/>
      <c r="EY254" s="5"/>
      <c r="EZ254" s="5"/>
      <c r="FA254" s="5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  <c r="DM255" s="5"/>
      <c r="DN255" s="5"/>
      <c r="DO255" s="5"/>
      <c r="DP255" s="5"/>
      <c r="DQ255" s="5"/>
      <c r="DR255" s="5"/>
      <c r="DS255" s="5"/>
      <c r="DT255" s="5"/>
      <c r="DU255" s="5"/>
      <c r="DV255" s="5"/>
      <c r="DW255" s="5"/>
      <c r="DX255" s="5"/>
      <c r="DY255" s="5"/>
      <c r="DZ255" s="5"/>
      <c r="EA255" s="5"/>
      <c r="EB255" s="5"/>
      <c r="EC255" s="5"/>
      <c r="ED255" s="5"/>
      <c r="EE255" s="5"/>
      <c r="EF255" s="5"/>
      <c r="EG255" s="5"/>
      <c r="EH255" s="5"/>
      <c r="EI255" s="5"/>
      <c r="EJ255" s="5"/>
      <c r="EK255" s="5"/>
      <c r="EL255" s="5"/>
      <c r="EM255" s="5"/>
      <c r="EN255" s="5"/>
      <c r="EO255" s="5"/>
      <c r="EP255" s="5"/>
      <c r="EQ255" s="5"/>
      <c r="ER255" s="5"/>
      <c r="ES255" s="5"/>
      <c r="ET255" s="5"/>
      <c r="EU255" s="5"/>
      <c r="EV255" s="5"/>
      <c r="EW255" s="5"/>
      <c r="EX255" s="5"/>
      <c r="EY255" s="5"/>
      <c r="EZ255" s="5"/>
      <c r="FA255" s="5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  <c r="EC256" s="5"/>
      <c r="ED256" s="5"/>
      <c r="EE256" s="5"/>
      <c r="EF256" s="5"/>
      <c r="EG256" s="5"/>
      <c r="EH256" s="5"/>
      <c r="EI256" s="5"/>
      <c r="EJ256" s="5"/>
      <c r="EK256" s="5"/>
      <c r="EL256" s="5"/>
      <c r="EM256" s="5"/>
      <c r="EN256" s="5"/>
      <c r="EO256" s="5"/>
      <c r="EP256" s="5"/>
      <c r="EQ256" s="5"/>
      <c r="ER256" s="5"/>
      <c r="ES256" s="5"/>
      <c r="ET256" s="5"/>
      <c r="EU256" s="5"/>
      <c r="EV256" s="5"/>
      <c r="EW256" s="5"/>
      <c r="EX256" s="5"/>
      <c r="EY256" s="5"/>
      <c r="EZ256" s="5"/>
      <c r="FA256" s="5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L257" s="5"/>
      <c r="DM257" s="5"/>
      <c r="DN257" s="5"/>
      <c r="DO257" s="5"/>
      <c r="DP257" s="5"/>
      <c r="DQ257" s="5"/>
      <c r="DR257" s="5"/>
      <c r="DS257" s="5"/>
      <c r="DT257" s="5"/>
      <c r="DU257" s="5"/>
      <c r="DV257" s="5"/>
      <c r="DW257" s="5"/>
      <c r="DX257" s="5"/>
      <c r="DY257" s="5"/>
      <c r="DZ257" s="5"/>
      <c r="EA257" s="5"/>
      <c r="EB257" s="5"/>
      <c r="EC257" s="5"/>
      <c r="ED257" s="5"/>
      <c r="EE257" s="5"/>
      <c r="EF257" s="5"/>
      <c r="EG257" s="5"/>
      <c r="EH257" s="5"/>
      <c r="EI257" s="5"/>
      <c r="EJ257" s="5"/>
      <c r="EK257" s="5"/>
      <c r="EL257" s="5"/>
      <c r="EM257" s="5"/>
      <c r="EN257" s="5"/>
      <c r="EO257" s="5"/>
      <c r="EP257" s="5"/>
      <c r="EQ257" s="5"/>
      <c r="ER257" s="5"/>
      <c r="ES257" s="5"/>
      <c r="ET257" s="5"/>
      <c r="EU257" s="5"/>
      <c r="EV257" s="5"/>
      <c r="EW257" s="5"/>
      <c r="EX257" s="5"/>
      <c r="EY257" s="5"/>
      <c r="EZ257" s="5"/>
      <c r="FA257" s="5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5"/>
      <c r="CT258" s="5"/>
      <c r="CU258" s="5"/>
      <c r="CV258" s="5"/>
      <c r="CW258" s="5"/>
      <c r="CX258" s="5"/>
      <c r="CY258" s="5"/>
      <c r="CZ258" s="5"/>
      <c r="DA258" s="5"/>
      <c r="DB258" s="5"/>
      <c r="DC258" s="5"/>
      <c r="DD258" s="5"/>
      <c r="DE258" s="5"/>
      <c r="DF258" s="5"/>
      <c r="DG258" s="5"/>
      <c r="DH258" s="5"/>
      <c r="DI258" s="5"/>
      <c r="DJ258" s="5"/>
      <c r="DK258" s="5"/>
      <c r="DL258" s="5"/>
      <c r="DM258" s="5"/>
      <c r="DN258" s="5"/>
      <c r="DO258" s="5"/>
      <c r="DP258" s="5"/>
      <c r="DQ258" s="5"/>
      <c r="DR258" s="5"/>
      <c r="DS258" s="5"/>
      <c r="DT258" s="5"/>
      <c r="DU258" s="5"/>
      <c r="DV258" s="5"/>
      <c r="DW258" s="5"/>
      <c r="DX258" s="5"/>
      <c r="DY258" s="5"/>
      <c r="DZ258" s="5"/>
      <c r="EA258" s="5"/>
      <c r="EB258" s="5"/>
      <c r="EC258" s="5"/>
      <c r="ED258" s="5"/>
      <c r="EE258" s="5"/>
      <c r="EF258" s="5"/>
      <c r="EG258" s="5"/>
      <c r="EH258" s="5"/>
      <c r="EI258" s="5"/>
      <c r="EJ258" s="5"/>
      <c r="EK258" s="5"/>
      <c r="EL258" s="5"/>
      <c r="EM258" s="5"/>
      <c r="EN258" s="5"/>
      <c r="EO258" s="5"/>
      <c r="EP258" s="5"/>
      <c r="EQ258" s="5"/>
      <c r="ER258" s="5"/>
      <c r="ES258" s="5"/>
      <c r="ET258" s="5"/>
      <c r="EU258" s="5"/>
      <c r="EV258" s="5"/>
      <c r="EW258" s="5"/>
      <c r="EX258" s="5"/>
      <c r="EY258" s="5"/>
      <c r="EZ258" s="5"/>
      <c r="FA258" s="5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5"/>
      <c r="CT259" s="5"/>
      <c r="CU259" s="5"/>
      <c r="CV259" s="5"/>
      <c r="CW259" s="5"/>
      <c r="CX259" s="5"/>
      <c r="CY259" s="5"/>
      <c r="CZ259" s="5"/>
      <c r="DA259" s="5"/>
      <c r="DB259" s="5"/>
      <c r="DC259" s="5"/>
      <c r="DD259" s="5"/>
      <c r="DE259" s="5"/>
      <c r="DF259" s="5"/>
      <c r="DG259" s="5"/>
      <c r="DH259" s="5"/>
      <c r="DI259" s="5"/>
      <c r="DJ259" s="5"/>
      <c r="DK259" s="5"/>
      <c r="DL259" s="5"/>
      <c r="DM259" s="5"/>
      <c r="DN259" s="5"/>
      <c r="DO259" s="5"/>
      <c r="DP259" s="5"/>
      <c r="DQ259" s="5"/>
      <c r="DR259" s="5"/>
      <c r="DS259" s="5"/>
      <c r="DT259" s="5"/>
      <c r="DU259" s="5"/>
      <c r="DV259" s="5"/>
      <c r="DW259" s="5"/>
      <c r="DX259" s="5"/>
      <c r="DY259" s="5"/>
      <c r="DZ259" s="5"/>
      <c r="EA259" s="5"/>
      <c r="EB259" s="5"/>
      <c r="EC259" s="5"/>
      <c r="ED259" s="5"/>
      <c r="EE259" s="5"/>
      <c r="EF259" s="5"/>
      <c r="EG259" s="5"/>
      <c r="EH259" s="5"/>
      <c r="EI259" s="5"/>
      <c r="EJ259" s="5"/>
      <c r="EK259" s="5"/>
      <c r="EL259" s="5"/>
      <c r="EM259" s="5"/>
      <c r="EN259" s="5"/>
      <c r="EO259" s="5"/>
      <c r="EP259" s="5"/>
      <c r="EQ259" s="5"/>
      <c r="ER259" s="5"/>
      <c r="ES259" s="5"/>
      <c r="ET259" s="5"/>
      <c r="EU259" s="5"/>
      <c r="EV259" s="5"/>
      <c r="EW259" s="5"/>
      <c r="EX259" s="5"/>
      <c r="EY259" s="5"/>
      <c r="EZ259" s="5"/>
      <c r="FA259" s="5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5"/>
      <c r="CT260" s="5"/>
      <c r="CU260" s="5"/>
      <c r="CV260" s="5"/>
      <c r="CW260" s="5"/>
      <c r="CX260" s="5"/>
      <c r="CY260" s="5"/>
      <c r="CZ260" s="5"/>
      <c r="DA260" s="5"/>
      <c r="DB260" s="5"/>
      <c r="DC260" s="5"/>
      <c r="DD260" s="5"/>
      <c r="DE260" s="5"/>
      <c r="DF260" s="5"/>
      <c r="DG260" s="5"/>
      <c r="DH260" s="5"/>
      <c r="DI260" s="5"/>
      <c r="DJ260" s="5"/>
      <c r="DK260" s="5"/>
      <c r="DL260" s="5"/>
      <c r="DM260" s="5"/>
      <c r="DN260" s="5"/>
      <c r="DO260" s="5"/>
      <c r="DP260" s="5"/>
      <c r="DQ260" s="5"/>
      <c r="DR260" s="5"/>
      <c r="DS260" s="5"/>
      <c r="DT260" s="5"/>
      <c r="DU260" s="5"/>
      <c r="DV260" s="5"/>
      <c r="DW260" s="5"/>
      <c r="DX260" s="5"/>
      <c r="DY260" s="5"/>
      <c r="DZ260" s="5"/>
      <c r="EA260" s="5"/>
      <c r="EB260" s="5"/>
      <c r="EC260" s="5"/>
      <c r="ED260" s="5"/>
      <c r="EE260" s="5"/>
      <c r="EF260" s="5"/>
      <c r="EG260" s="5"/>
      <c r="EH260" s="5"/>
      <c r="EI260" s="5"/>
      <c r="EJ260" s="5"/>
      <c r="EK260" s="5"/>
      <c r="EL260" s="5"/>
      <c r="EM260" s="5"/>
      <c r="EN260" s="5"/>
      <c r="EO260" s="5"/>
      <c r="EP260" s="5"/>
      <c r="EQ260" s="5"/>
      <c r="ER260" s="5"/>
      <c r="ES260" s="5"/>
      <c r="ET260" s="5"/>
      <c r="EU260" s="5"/>
      <c r="EV260" s="5"/>
      <c r="EW260" s="5"/>
      <c r="EX260" s="5"/>
      <c r="EY260" s="5"/>
      <c r="EZ260" s="5"/>
      <c r="FA260" s="5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5"/>
      <c r="CT261" s="5"/>
      <c r="CU261" s="5"/>
      <c r="CV261" s="5"/>
      <c r="CW261" s="5"/>
      <c r="CX261" s="5"/>
      <c r="CY261" s="5"/>
      <c r="CZ261" s="5"/>
      <c r="DA261" s="5"/>
      <c r="DB261" s="5"/>
      <c r="DC261" s="5"/>
      <c r="DD261" s="5"/>
      <c r="DE261" s="5"/>
      <c r="DF261" s="5"/>
      <c r="DG261" s="5"/>
      <c r="DH261" s="5"/>
      <c r="DI261" s="5"/>
      <c r="DJ261" s="5"/>
      <c r="DK261" s="5"/>
      <c r="DL261" s="5"/>
      <c r="DM261" s="5"/>
      <c r="DN261" s="5"/>
      <c r="DO261" s="5"/>
      <c r="DP261" s="5"/>
      <c r="DQ261" s="5"/>
      <c r="DR261" s="5"/>
      <c r="DS261" s="5"/>
      <c r="DT261" s="5"/>
      <c r="DU261" s="5"/>
      <c r="DV261" s="5"/>
      <c r="DW261" s="5"/>
      <c r="DX261" s="5"/>
      <c r="DY261" s="5"/>
      <c r="DZ261" s="5"/>
      <c r="EA261" s="5"/>
      <c r="EB261" s="5"/>
      <c r="EC261" s="5"/>
      <c r="ED261" s="5"/>
      <c r="EE261" s="5"/>
      <c r="EF261" s="5"/>
      <c r="EG261" s="5"/>
      <c r="EH261" s="5"/>
      <c r="EI261" s="5"/>
      <c r="EJ261" s="5"/>
      <c r="EK261" s="5"/>
      <c r="EL261" s="5"/>
      <c r="EM261" s="5"/>
      <c r="EN261" s="5"/>
      <c r="EO261" s="5"/>
      <c r="EP261" s="5"/>
      <c r="EQ261" s="5"/>
      <c r="ER261" s="5"/>
      <c r="ES261" s="5"/>
      <c r="ET261" s="5"/>
      <c r="EU261" s="5"/>
      <c r="EV261" s="5"/>
      <c r="EW261" s="5"/>
      <c r="EX261" s="5"/>
      <c r="EY261" s="5"/>
      <c r="EZ261" s="5"/>
      <c r="FA261" s="5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5"/>
      <c r="CT262" s="5"/>
      <c r="CU262" s="5"/>
      <c r="CV262" s="5"/>
      <c r="CW262" s="5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  <c r="DI262" s="5"/>
      <c r="DJ262" s="5"/>
      <c r="DK262" s="5"/>
      <c r="DL262" s="5"/>
      <c r="DM262" s="5"/>
      <c r="DN262" s="5"/>
      <c r="DO262" s="5"/>
      <c r="DP262" s="5"/>
      <c r="DQ262" s="5"/>
      <c r="DR262" s="5"/>
      <c r="DS262" s="5"/>
      <c r="DT262" s="5"/>
      <c r="DU262" s="5"/>
      <c r="DV262" s="5"/>
      <c r="DW262" s="5"/>
      <c r="DX262" s="5"/>
      <c r="DY262" s="5"/>
      <c r="DZ262" s="5"/>
      <c r="EA262" s="5"/>
      <c r="EB262" s="5"/>
      <c r="EC262" s="5"/>
      <c r="ED262" s="5"/>
      <c r="EE262" s="5"/>
      <c r="EF262" s="5"/>
      <c r="EG262" s="5"/>
      <c r="EH262" s="5"/>
      <c r="EI262" s="5"/>
      <c r="EJ262" s="5"/>
      <c r="EK262" s="5"/>
      <c r="EL262" s="5"/>
      <c r="EM262" s="5"/>
      <c r="EN262" s="5"/>
      <c r="EO262" s="5"/>
      <c r="EP262" s="5"/>
      <c r="EQ262" s="5"/>
      <c r="ER262" s="5"/>
      <c r="ES262" s="5"/>
      <c r="ET262" s="5"/>
      <c r="EU262" s="5"/>
      <c r="EV262" s="5"/>
      <c r="EW262" s="5"/>
      <c r="EX262" s="5"/>
      <c r="EY262" s="5"/>
      <c r="EZ262" s="5"/>
      <c r="FA262" s="5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5"/>
      <c r="CT263" s="5"/>
      <c r="CU263" s="5"/>
      <c r="CV263" s="5"/>
      <c r="CW263" s="5"/>
      <c r="CX263" s="5"/>
      <c r="CY263" s="5"/>
      <c r="CZ263" s="5"/>
      <c r="DA263" s="5"/>
      <c r="DB263" s="5"/>
      <c r="DC263" s="5"/>
      <c r="DD263" s="5"/>
      <c r="DE263" s="5"/>
      <c r="DF263" s="5"/>
      <c r="DG263" s="5"/>
      <c r="DH263" s="5"/>
      <c r="DI263" s="5"/>
      <c r="DJ263" s="5"/>
      <c r="DK263" s="5"/>
      <c r="DL263" s="5"/>
      <c r="DM263" s="5"/>
      <c r="DN263" s="5"/>
      <c r="DO263" s="5"/>
      <c r="DP263" s="5"/>
      <c r="DQ263" s="5"/>
      <c r="DR263" s="5"/>
      <c r="DS263" s="5"/>
      <c r="DT263" s="5"/>
      <c r="DU263" s="5"/>
      <c r="DV263" s="5"/>
      <c r="DW263" s="5"/>
      <c r="DX263" s="5"/>
      <c r="DY263" s="5"/>
      <c r="DZ263" s="5"/>
      <c r="EA263" s="5"/>
      <c r="EB263" s="5"/>
      <c r="EC263" s="5"/>
      <c r="ED263" s="5"/>
      <c r="EE263" s="5"/>
      <c r="EF263" s="5"/>
      <c r="EG263" s="5"/>
      <c r="EH263" s="5"/>
      <c r="EI263" s="5"/>
      <c r="EJ263" s="5"/>
      <c r="EK263" s="5"/>
      <c r="EL263" s="5"/>
      <c r="EM263" s="5"/>
      <c r="EN263" s="5"/>
      <c r="EO263" s="5"/>
      <c r="EP263" s="5"/>
      <c r="EQ263" s="5"/>
      <c r="ER263" s="5"/>
      <c r="ES263" s="5"/>
      <c r="ET263" s="5"/>
      <c r="EU263" s="5"/>
      <c r="EV263" s="5"/>
      <c r="EW263" s="5"/>
      <c r="EX263" s="5"/>
      <c r="EY263" s="5"/>
      <c r="EZ263" s="5"/>
      <c r="FA263" s="5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5"/>
      <c r="CT264" s="5"/>
      <c r="CU264" s="5"/>
      <c r="CV264" s="5"/>
      <c r="CW264" s="5"/>
      <c r="CX264" s="5"/>
      <c r="CY264" s="5"/>
      <c r="CZ264" s="5"/>
      <c r="DA264" s="5"/>
      <c r="DB264" s="5"/>
      <c r="DC264" s="5"/>
      <c r="DD264" s="5"/>
      <c r="DE264" s="5"/>
      <c r="DF264" s="5"/>
      <c r="DG264" s="5"/>
      <c r="DH264" s="5"/>
      <c r="DI264" s="5"/>
      <c r="DJ264" s="5"/>
      <c r="DK264" s="5"/>
      <c r="DL264" s="5"/>
      <c r="DM264" s="5"/>
      <c r="DN264" s="5"/>
      <c r="DO264" s="5"/>
      <c r="DP264" s="5"/>
      <c r="DQ264" s="5"/>
      <c r="DR264" s="5"/>
      <c r="DS264" s="5"/>
      <c r="DT264" s="5"/>
      <c r="DU264" s="5"/>
      <c r="DV264" s="5"/>
      <c r="DW264" s="5"/>
      <c r="DX264" s="5"/>
      <c r="DY264" s="5"/>
      <c r="DZ264" s="5"/>
      <c r="EA264" s="5"/>
      <c r="EB264" s="5"/>
      <c r="EC264" s="5"/>
      <c r="ED264" s="5"/>
      <c r="EE264" s="5"/>
      <c r="EF264" s="5"/>
      <c r="EG264" s="5"/>
      <c r="EH264" s="5"/>
      <c r="EI264" s="5"/>
      <c r="EJ264" s="5"/>
      <c r="EK264" s="5"/>
      <c r="EL264" s="5"/>
      <c r="EM264" s="5"/>
      <c r="EN264" s="5"/>
      <c r="EO264" s="5"/>
      <c r="EP264" s="5"/>
      <c r="EQ264" s="5"/>
      <c r="ER264" s="5"/>
      <c r="ES264" s="5"/>
      <c r="ET264" s="5"/>
      <c r="EU264" s="5"/>
      <c r="EV264" s="5"/>
      <c r="EW264" s="5"/>
      <c r="EX264" s="5"/>
      <c r="EY264" s="5"/>
      <c r="EZ264" s="5"/>
      <c r="FA264" s="5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5"/>
      <c r="CT265" s="5"/>
      <c r="CU265" s="5"/>
      <c r="CV265" s="5"/>
      <c r="CW265" s="5"/>
      <c r="CX265" s="5"/>
      <c r="CY265" s="5"/>
      <c r="CZ265" s="5"/>
      <c r="DA265" s="5"/>
      <c r="DB265" s="5"/>
      <c r="DC265" s="5"/>
      <c r="DD265" s="5"/>
      <c r="DE265" s="5"/>
      <c r="DF265" s="5"/>
      <c r="DG265" s="5"/>
      <c r="DH265" s="5"/>
      <c r="DI265" s="5"/>
      <c r="DJ265" s="5"/>
      <c r="DK265" s="5"/>
      <c r="DL265" s="5"/>
      <c r="DM265" s="5"/>
      <c r="DN265" s="5"/>
      <c r="DO265" s="5"/>
      <c r="DP265" s="5"/>
      <c r="DQ265" s="5"/>
      <c r="DR265" s="5"/>
      <c r="DS265" s="5"/>
      <c r="DT265" s="5"/>
      <c r="DU265" s="5"/>
      <c r="DV265" s="5"/>
      <c r="DW265" s="5"/>
      <c r="DX265" s="5"/>
      <c r="DY265" s="5"/>
      <c r="DZ265" s="5"/>
      <c r="EA265" s="5"/>
      <c r="EB265" s="5"/>
      <c r="EC265" s="5"/>
      <c r="ED265" s="5"/>
      <c r="EE265" s="5"/>
      <c r="EF265" s="5"/>
      <c r="EG265" s="5"/>
      <c r="EH265" s="5"/>
      <c r="EI265" s="5"/>
      <c r="EJ265" s="5"/>
      <c r="EK265" s="5"/>
      <c r="EL265" s="5"/>
      <c r="EM265" s="5"/>
      <c r="EN265" s="5"/>
      <c r="EO265" s="5"/>
      <c r="EP265" s="5"/>
      <c r="EQ265" s="5"/>
      <c r="ER265" s="5"/>
      <c r="ES265" s="5"/>
      <c r="ET265" s="5"/>
      <c r="EU265" s="5"/>
      <c r="EV265" s="5"/>
      <c r="EW265" s="5"/>
      <c r="EX265" s="5"/>
      <c r="EY265" s="5"/>
      <c r="EZ265" s="5"/>
      <c r="FA265" s="5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5"/>
      <c r="CT266" s="5"/>
      <c r="CU266" s="5"/>
      <c r="CV266" s="5"/>
      <c r="CW266" s="5"/>
      <c r="CX266" s="5"/>
      <c r="CY266" s="5"/>
      <c r="CZ266" s="5"/>
      <c r="DA266" s="5"/>
      <c r="DB266" s="5"/>
      <c r="DC266" s="5"/>
      <c r="DD266" s="5"/>
      <c r="DE266" s="5"/>
      <c r="DF266" s="5"/>
      <c r="DG266" s="5"/>
      <c r="DH266" s="5"/>
      <c r="DI266" s="5"/>
      <c r="DJ266" s="5"/>
      <c r="DK266" s="5"/>
      <c r="DL266" s="5"/>
      <c r="DM266" s="5"/>
      <c r="DN266" s="5"/>
      <c r="DO266" s="5"/>
      <c r="DP266" s="5"/>
      <c r="DQ266" s="5"/>
      <c r="DR266" s="5"/>
      <c r="DS266" s="5"/>
      <c r="DT266" s="5"/>
      <c r="DU266" s="5"/>
      <c r="DV266" s="5"/>
      <c r="DW266" s="5"/>
      <c r="DX266" s="5"/>
      <c r="DY266" s="5"/>
      <c r="DZ266" s="5"/>
      <c r="EA266" s="5"/>
      <c r="EB266" s="5"/>
      <c r="EC266" s="5"/>
      <c r="ED266" s="5"/>
      <c r="EE266" s="5"/>
      <c r="EF266" s="5"/>
      <c r="EG266" s="5"/>
      <c r="EH266" s="5"/>
      <c r="EI266" s="5"/>
      <c r="EJ266" s="5"/>
      <c r="EK266" s="5"/>
      <c r="EL266" s="5"/>
      <c r="EM266" s="5"/>
      <c r="EN266" s="5"/>
      <c r="EO266" s="5"/>
      <c r="EP266" s="5"/>
      <c r="EQ266" s="5"/>
      <c r="ER266" s="5"/>
      <c r="ES266" s="5"/>
      <c r="ET266" s="5"/>
      <c r="EU266" s="5"/>
      <c r="EV266" s="5"/>
      <c r="EW266" s="5"/>
      <c r="EX266" s="5"/>
      <c r="EY266" s="5"/>
      <c r="EZ266" s="5"/>
      <c r="FA266" s="5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5"/>
      <c r="CT267" s="5"/>
      <c r="CU267" s="5"/>
      <c r="CV267" s="5"/>
      <c r="CW267" s="5"/>
      <c r="CX267" s="5"/>
      <c r="CY267" s="5"/>
      <c r="CZ267" s="5"/>
      <c r="DA267" s="5"/>
      <c r="DB267" s="5"/>
      <c r="DC267" s="5"/>
      <c r="DD267" s="5"/>
      <c r="DE267" s="5"/>
      <c r="DF267" s="5"/>
      <c r="DG267" s="5"/>
      <c r="DH267" s="5"/>
      <c r="DI267" s="5"/>
      <c r="DJ267" s="5"/>
      <c r="DK267" s="5"/>
      <c r="DL267" s="5"/>
      <c r="DM267" s="5"/>
      <c r="DN267" s="5"/>
      <c r="DO267" s="5"/>
      <c r="DP267" s="5"/>
      <c r="DQ267" s="5"/>
      <c r="DR267" s="5"/>
      <c r="DS267" s="5"/>
      <c r="DT267" s="5"/>
      <c r="DU267" s="5"/>
      <c r="DV267" s="5"/>
      <c r="DW267" s="5"/>
      <c r="DX267" s="5"/>
      <c r="DY267" s="5"/>
      <c r="DZ267" s="5"/>
      <c r="EA267" s="5"/>
      <c r="EB267" s="5"/>
      <c r="EC267" s="5"/>
      <c r="ED267" s="5"/>
      <c r="EE267" s="5"/>
      <c r="EF267" s="5"/>
      <c r="EG267" s="5"/>
      <c r="EH267" s="5"/>
      <c r="EI267" s="5"/>
      <c r="EJ267" s="5"/>
      <c r="EK267" s="5"/>
      <c r="EL267" s="5"/>
      <c r="EM267" s="5"/>
      <c r="EN267" s="5"/>
      <c r="EO267" s="5"/>
      <c r="EP267" s="5"/>
      <c r="EQ267" s="5"/>
      <c r="ER267" s="5"/>
      <c r="ES267" s="5"/>
      <c r="ET267" s="5"/>
      <c r="EU267" s="5"/>
      <c r="EV267" s="5"/>
      <c r="EW267" s="5"/>
      <c r="EX267" s="5"/>
      <c r="EY267" s="5"/>
      <c r="EZ267" s="5"/>
      <c r="FA267" s="5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5"/>
      <c r="CT268" s="5"/>
      <c r="CU268" s="5"/>
      <c r="CV268" s="5"/>
      <c r="CW268" s="5"/>
      <c r="CX268" s="5"/>
      <c r="CY268" s="5"/>
      <c r="CZ268" s="5"/>
      <c r="DA268" s="5"/>
      <c r="DB268" s="5"/>
      <c r="DC268" s="5"/>
      <c r="DD268" s="5"/>
      <c r="DE268" s="5"/>
      <c r="DF268" s="5"/>
      <c r="DG268" s="5"/>
      <c r="DH268" s="5"/>
      <c r="DI268" s="5"/>
      <c r="DJ268" s="5"/>
      <c r="DK268" s="5"/>
      <c r="DL268" s="5"/>
      <c r="DM268" s="5"/>
      <c r="DN268" s="5"/>
      <c r="DO268" s="5"/>
      <c r="DP268" s="5"/>
      <c r="DQ268" s="5"/>
      <c r="DR268" s="5"/>
      <c r="DS268" s="5"/>
      <c r="DT268" s="5"/>
      <c r="DU268" s="5"/>
      <c r="DV268" s="5"/>
      <c r="DW268" s="5"/>
      <c r="DX268" s="5"/>
      <c r="DY268" s="5"/>
      <c r="DZ268" s="5"/>
      <c r="EA268" s="5"/>
      <c r="EB268" s="5"/>
      <c r="EC268" s="5"/>
      <c r="ED268" s="5"/>
      <c r="EE268" s="5"/>
      <c r="EF268" s="5"/>
      <c r="EG268" s="5"/>
      <c r="EH268" s="5"/>
      <c r="EI268" s="5"/>
      <c r="EJ268" s="5"/>
      <c r="EK268" s="5"/>
      <c r="EL268" s="5"/>
      <c r="EM268" s="5"/>
      <c r="EN268" s="5"/>
      <c r="EO268" s="5"/>
      <c r="EP268" s="5"/>
      <c r="EQ268" s="5"/>
      <c r="ER268" s="5"/>
      <c r="ES268" s="5"/>
      <c r="ET268" s="5"/>
      <c r="EU268" s="5"/>
      <c r="EV268" s="5"/>
      <c r="EW268" s="5"/>
      <c r="EX268" s="5"/>
      <c r="EY268" s="5"/>
      <c r="EZ268" s="5"/>
      <c r="FA268" s="5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5"/>
      <c r="CT269" s="5"/>
      <c r="CU269" s="5"/>
      <c r="CV269" s="5"/>
      <c r="CW269" s="5"/>
      <c r="CX269" s="5"/>
      <c r="CY269" s="5"/>
      <c r="CZ269" s="5"/>
      <c r="DA269" s="5"/>
      <c r="DB269" s="5"/>
      <c r="DC269" s="5"/>
      <c r="DD269" s="5"/>
      <c r="DE269" s="5"/>
      <c r="DF269" s="5"/>
      <c r="DG269" s="5"/>
      <c r="DH269" s="5"/>
      <c r="DI269" s="5"/>
      <c r="DJ269" s="5"/>
      <c r="DK269" s="5"/>
      <c r="DL269" s="5"/>
      <c r="DM269" s="5"/>
      <c r="DN269" s="5"/>
      <c r="DO269" s="5"/>
      <c r="DP269" s="5"/>
      <c r="DQ269" s="5"/>
      <c r="DR269" s="5"/>
      <c r="DS269" s="5"/>
      <c r="DT269" s="5"/>
      <c r="DU269" s="5"/>
      <c r="DV269" s="5"/>
      <c r="DW269" s="5"/>
      <c r="DX269" s="5"/>
      <c r="DY269" s="5"/>
      <c r="DZ269" s="5"/>
      <c r="EA269" s="5"/>
      <c r="EB269" s="5"/>
      <c r="EC269" s="5"/>
      <c r="ED269" s="5"/>
      <c r="EE269" s="5"/>
      <c r="EF269" s="5"/>
      <c r="EG269" s="5"/>
      <c r="EH269" s="5"/>
      <c r="EI269" s="5"/>
      <c r="EJ269" s="5"/>
      <c r="EK269" s="5"/>
      <c r="EL269" s="5"/>
      <c r="EM269" s="5"/>
      <c r="EN269" s="5"/>
      <c r="EO269" s="5"/>
      <c r="EP269" s="5"/>
      <c r="EQ269" s="5"/>
      <c r="ER269" s="5"/>
      <c r="ES269" s="5"/>
      <c r="ET269" s="5"/>
      <c r="EU269" s="5"/>
      <c r="EV269" s="5"/>
      <c r="EW269" s="5"/>
      <c r="EX269" s="5"/>
      <c r="EY269" s="5"/>
      <c r="EZ269" s="5"/>
      <c r="FA269" s="5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5"/>
      <c r="CT270" s="5"/>
      <c r="CU270" s="5"/>
      <c r="CV270" s="5"/>
      <c r="CW270" s="5"/>
      <c r="CX270" s="5"/>
      <c r="CY270" s="5"/>
      <c r="CZ270" s="5"/>
      <c r="DA270" s="5"/>
      <c r="DB270" s="5"/>
      <c r="DC270" s="5"/>
      <c r="DD270" s="5"/>
      <c r="DE270" s="5"/>
      <c r="DF270" s="5"/>
      <c r="DG270" s="5"/>
      <c r="DH270" s="5"/>
      <c r="DI270" s="5"/>
      <c r="DJ270" s="5"/>
      <c r="DK270" s="5"/>
      <c r="DL270" s="5"/>
      <c r="DM270" s="5"/>
      <c r="DN270" s="5"/>
      <c r="DO270" s="5"/>
      <c r="DP270" s="5"/>
      <c r="DQ270" s="5"/>
      <c r="DR270" s="5"/>
      <c r="DS270" s="5"/>
      <c r="DT270" s="5"/>
      <c r="DU270" s="5"/>
      <c r="DV270" s="5"/>
      <c r="DW270" s="5"/>
      <c r="DX270" s="5"/>
      <c r="DY270" s="5"/>
      <c r="DZ270" s="5"/>
      <c r="EA270" s="5"/>
      <c r="EB270" s="5"/>
      <c r="EC270" s="5"/>
      <c r="ED270" s="5"/>
      <c r="EE270" s="5"/>
      <c r="EF270" s="5"/>
      <c r="EG270" s="5"/>
      <c r="EH270" s="5"/>
      <c r="EI270" s="5"/>
      <c r="EJ270" s="5"/>
      <c r="EK270" s="5"/>
      <c r="EL270" s="5"/>
      <c r="EM270" s="5"/>
      <c r="EN270" s="5"/>
      <c r="EO270" s="5"/>
      <c r="EP270" s="5"/>
      <c r="EQ270" s="5"/>
      <c r="ER270" s="5"/>
      <c r="ES270" s="5"/>
      <c r="ET270" s="5"/>
      <c r="EU270" s="5"/>
      <c r="EV270" s="5"/>
      <c r="EW270" s="5"/>
      <c r="EX270" s="5"/>
      <c r="EY270" s="5"/>
      <c r="EZ270" s="5"/>
      <c r="FA270" s="5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5"/>
      <c r="CT271" s="5"/>
      <c r="CU271" s="5"/>
      <c r="CV271" s="5"/>
      <c r="CW271" s="5"/>
      <c r="CX271" s="5"/>
      <c r="CY271" s="5"/>
      <c r="CZ271" s="5"/>
      <c r="DA271" s="5"/>
      <c r="DB271" s="5"/>
      <c r="DC271" s="5"/>
      <c r="DD271" s="5"/>
      <c r="DE271" s="5"/>
      <c r="DF271" s="5"/>
      <c r="DG271" s="5"/>
      <c r="DH271" s="5"/>
      <c r="DI271" s="5"/>
      <c r="DJ271" s="5"/>
      <c r="DK271" s="5"/>
      <c r="DL271" s="5"/>
      <c r="DM271" s="5"/>
      <c r="DN271" s="5"/>
      <c r="DO271" s="5"/>
      <c r="DP271" s="5"/>
      <c r="DQ271" s="5"/>
      <c r="DR271" s="5"/>
      <c r="DS271" s="5"/>
      <c r="DT271" s="5"/>
      <c r="DU271" s="5"/>
      <c r="DV271" s="5"/>
      <c r="DW271" s="5"/>
      <c r="DX271" s="5"/>
      <c r="DY271" s="5"/>
      <c r="DZ271" s="5"/>
      <c r="EA271" s="5"/>
      <c r="EB271" s="5"/>
      <c r="EC271" s="5"/>
      <c r="ED271" s="5"/>
      <c r="EE271" s="5"/>
      <c r="EF271" s="5"/>
      <c r="EG271" s="5"/>
      <c r="EH271" s="5"/>
      <c r="EI271" s="5"/>
      <c r="EJ271" s="5"/>
      <c r="EK271" s="5"/>
      <c r="EL271" s="5"/>
      <c r="EM271" s="5"/>
      <c r="EN271" s="5"/>
      <c r="EO271" s="5"/>
      <c r="EP271" s="5"/>
      <c r="EQ271" s="5"/>
      <c r="ER271" s="5"/>
      <c r="ES271" s="5"/>
      <c r="ET271" s="5"/>
      <c r="EU271" s="5"/>
      <c r="EV271" s="5"/>
      <c r="EW271" s="5"/>
      <c r="EX271" s="5"/>
      <c r="EY271" s="5"/>
      <c r="EZ271" s="5"/>
      <c r="FA271" s="5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5"/>
      <c r="CT272" s="5"/>
      <c r="CU272" s="5"/>
      <c r="CV272" s="5"/>
      <c r="CW272" s="5"/>
      <c r="CX272" s="5"/>
      <c r="CY272" s="5"/>
      <c r="CZ272" s="5"/>
      <c r="DA272" s="5"/>
      <c r="DB272" s="5"/>
      <c r="DC272" s="5"/>
      <c r="DD272" s="5"/>
      <c r="DE272" s="5"/>
      <c r="DF272" s="5"/>
      <c r="DG272" s="5"/>
      <c r="DH272" s="5"/>
      <c r="DI272" s="5"/>
      <c r="DJ272" s="5"/>
      <c r="DK272" s="5"/>
      <c r="DL272" s="5"/>
      <c r="DM272" s="5"/>
      <c r="DN272" s="5"/>
      <c r="DO272" s="5"/>
      <c r="DP272" s="5"/>
      <c r="DQ272" s="5"/>
      <c r="DR272" s="5"/>
      <c r="DS272" s="5"/>
      <c r="DT272" s="5"/>
      <c r="DU272" s="5"/>
      <c r="DV272" s="5"/>
      <c r="DW272" s="5"/>
      <c r="DX272" s="5"/>
      <c r="DY272" s="5"/>
      <c r="DZ272" s="5"/>
      <c r="EA272" s="5"/>
      <c r="EB272" s="5"/>
      <c r="EC272" s="5"/>
      <c r="ED272" s="5"/>
      <c r="EE272" s="5"/>
      <c r="EF272" s="5"/>
      <c r="EG272" s="5"/>
      <c r="EH272" s="5"/>
      <c r="EI272" s="5"/>
      <c r="EJ272" s="5"/>
      <c r="EK272" s="5"/>
      <c r="EL272" s="5"/>
      <c r="EM272" s="5"/>
      <c r="EN272" s="5"/>
      <c r="EO272" s="5"/>
      <c r="EP272" s="5"/>
      <c r="EQ272" s="5"/>
      <c r="ER272" s="5"/>
      <c r="ES272" s="5"/>
      <c r="ET272" s="5"/>
      <c r="EU272" s="5"/>
      <c r="EV272" s="5"/>
      <c r="EW272" s="5"/>
      <c r="EX272" s="5"/>
      <c r="EY272" s="5"/>
      <c r="EZ272" s="5"/>
      <c r="FA272" s="5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5"/>
      <c r="CT273" s="5"/>
      <c r="CU273" s="5"/>
      <c r="CV273" s="5"/>
      <c r="CW273" s="5"/>
      <c r="CX273" s="5"/>
      <c r="CY273" s="5"/>
      <c r="CZ273" s="5"/>
      <c r="DA273" s="5"/>
      <c r="DB273" s="5"/>
      <c r="DC273" s="5"/>
      <c r="DD273" s="5"/>
      <c r="DE273" s="5"/>
      <c r="DF273" s="5"/>
      <c r="DG273" s="5"/>
      <c r="DH273" s="5"/>
      <c r="DI273" s="5"/>
      <c r="DJ273" s="5"/>
      <c r="DK273" s="5"/>
      <c r="DL273" s="5"/>
      <c r="DM273" s="5"/>
      <c r="DN273" s="5"/>
      <c r="DO273" s="5"/>
      <c r="DP273" s="5"/>
      <c r="DQ273" s="5"/>
      <c r="DR273" s="5"/>
      <c r="DS273" s="5"/>
      <c r="DT273" s="5"/>
      <c r="DU273" s="5"/>
      <c r="DV273" s="5"/>
      <c r="DW273" s="5"/>
      <c r="DX273" s="5"/>
      <c r="DY273" s="5"/>
      <c r="DZ273" s="5"/>
      <c r="EA273" s="5"/>
      <c r="EB273" s="5"/>
      <c r="EC273" s="5"/>
      <c r="ED273" s="5"/>
      <c r="EE273" s="5"/>
      <c r="EF273" s="5"/>
      <c r="EG273" s="5"/>
      <c r="EH273" s="5"/>
      <c r="EI273" s="5"/>
      <c r="EJ273" s="5"/>
      <c r="EK273" s="5"/>
      <c r="EL273" s="5"/>
      <c r="EM273" s="5"/>
      <c r="EN273" s="5"/>
      <c r="EO273" s="5"/>
      <c r="EP273" s="5"/>
      <c r="EQ273" s="5"/>
      <c r="ER273" s="5"/>
      <c r="ES273" s="5"/>
      <c r="ET273" s="5"/>
      <c r="EU273" s="5"/>
      <c r="EV273" s="5"/>
      <c r="EW273" s="5"/>
      <c r="EX273" s="5"/>
      <c r="EY273" s="5"/>
      <c r="EZ273" s="5"/>
      <c r="FA273" s="5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5"/>
      <c r="CT274" s="5"/>
      <c r="CU274" s="5"/>
      <c r="CV274" s="5"/>
      <c r="CW274" s="5"/>
      <c r="CX274" s="5"/>
      <c r="CY274" s="5"/>
      <c r="CZ274" s="5"/>
      <c r="DA274" s="5"/>
      <c r="DB274" s="5"/>
      <c r="DC274" s="5"/>
      <c r="DD274" s="5"/>
      <c r="DE274" s="5"/>
      <c r="DF274" s="5"/>
      <c r="DG274" s="5"/>
      <c r="DH274" s="5"/>
      <c r="DI274" s="5"/>
      <c r="DJ274" s="5"/>
      <c r="DK274" s="5"/>
      <c r="DL274" s="5"/>
      <c r="DM274" s="5"/>
      <c r="DN274" s="5"/>
      <c r="DO274" s="5"/>
      <c r="DP274" s="5"/>
      <c r="DQ274" s="5"/>
      <c r="DR274" s="5"/>
      <c r="DS274" s="5"/>
      <c r="DT274" s="5"/>
      <c r="DU274" s="5"/>
      <c r="DV274" s="5"/>
      <c r="DW274" s="5"/>
      <c r="DX274" s="5"/>
      <c r="DY274" s="5"/>
      <c r="DZ274" s="5"/>
      <c r="EA274" s="5"/>
      <c r="EB274" s="5"/>
      <c r="EC274" s="5"/>
      <c r="ED274" s="5"/>
      <c r="EE274" s="5"/>
      <c r="EF274" s="5"/>
      <c r="EG274" s="5"/>
      <c r="EH274" s="5"/>
      <c r="EI274" s="5"/>
      <c r="EJ274" s="5"/>
      <c r="EK274" s="5"/>
      <c r="EL274" s="5"/>
      <c r="EM274" s="5"/>
      <c r="EN274" s="5"/>
      <c r="EO274" s="5"/>
      <c r="EP274" s="5"/>
      <c r="EQ274" s="5"/>
      <c r="ER274" s="5"/>
      <c r="ES274" s="5"/>
      <c r="ET274" s="5"/>
      <c r="EU274" s="5"/>
      <c r="EV274" s="5"/>
      <c r="EW274" s="5"/>
      <c r="EX274" s="5"/>
      <c r="EY274" s="5"/>
      <c r="EZ274" s="5"/>
      <c r="FA274" s="5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5"/>
      <c r="CT275" s="5"/>
      <c r="CU275" s="5"/>
      <c r="CV275" s="5"/>
      <c r="CW275" s="5"/>
      <c r="CX275" s="5"/>
      <c r="CY275" s="5"/>
      <c r="CZ275" s="5"/>
      <c r="DA275" s="5"/>
      <c r="DB275" s="5"/>
      <c r="DC275" s="5"/>
      <c r="DD275" s="5"/>
      <c r="DE275" s="5"/>
      <c r="DF275" s="5"/>
      <c r="DG275" s="5"/>
      <c r="DH275" s="5"/>
      <c r="DI275" s="5"/>
      <c r="DJ275" s="5"/>
      <c r="DK275" s="5"/>
      <c r="DL275" s="5"/>
      <c r="DM275" s="5"/>
      <c r="DN275" s="5"/>
      <c r="DO275" s="5"/>
      <c r="DP275" s="5"/>
      <c r="DQ275" s="5"/>
      <c r="DR275" s="5"/>
      <c r="DS275" s="5"/>
      <c r="DT275" s="5"/>
      <c r="DU275" s="5"/>
      <c r="DV275" s="5"/>
      <c r="DW275" s="5"/>
      <c r="DX275" s="5"/>
      <c r="DY275" s="5"/>
      <c r="DZ275" s="5"/>
      <c r="EA275" s="5"/>
      <c r="EB275" s="5"/>
      <c r="EC275" s="5"/>
      <c r="ED275" s="5"/>
      <c r="EE275" s="5"/>
      <c r="EF275" s="5"/>
      <c r="EG275" s="5"/>
      <c r="EH275" s="5"/>
      <c r="EI275" s="5"/>
      <c r="EJ275" s="5"/>
      <c r="EK275" s="5"/>
      <c r="EL275" s="5"/>
      <c r="EM275" s="5"/>
      <c r="EN275" s="5"/>
      <c r="EO275" s="5"/>
      <c r="EP275" s="5"/>
      <c r="EQ275" s="5"/>
      <c r="ER275" s="5"/>
      <c r="ES275" s="5"/>
      <c r="ET275" s="5"/>
      <c r="EU275" s="5"/>
      <c r="EV275" s="5"/>
      <c r="EW275" s="5"/>
      <c r="EX275" s="5"/>
      <c r="EY275" s="5"/>
      <c r="EZ275" s="5"/>
      <c r="FA275" s="5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5"/>
      <c r="CT276" s="5"/>
      <c r="CU276" s="5"/>
      <c r="CV276" s="5"/>
      <c r="CW276" s="5"/>
      <c r="CX276" s="5"/>
      <c r="CY276" s="5"/>
      <c r="CZ276" s="5"/>
      <c r="DA276" s="5"/>
      <c r="DB276" s="5"/>
      <c r="DC276" s="5"/>
      <c r="DD276" s="5"/>
      <c r="DE276" s="5"/>
      <c r="DF276" s="5"/>
      <c r="DG276" s="5"/>
      <c r="DH276" s="5"/>
      <c r="DI276" s="5"/>
      <c r="DJ276" s="5"/>
      <c r="DK276" s="5"/>
      <c r="DL276" s="5"/>
      <c r="DM276" s="5"/>
      <c r="DN276" s="5"/>
      <c r="DO276" s="5"/>
      <c r="DP276" s="5"/>
      <c r="DQ276" s="5"/>
      <c r="DR276" s="5"/>
      <c r="DS276" s="5"/>
      <c r="DT276" s="5"/>
      <c r="DU276" s="5"/>
      <c r="DV276" s="5"/>
      <c r="DW276" s="5"/>
      <c r="DX276" s="5"/>
      <c r="DY276" s="5"/>
      <c r="DZ276" s="5"/>
      <c r="EA276" s="5"/>
      <c r="EB276" s="5"/>
      <c r="EC276" s="5"/>
      <c r="ED276" s="5"/>
      <c r="EE276" s="5"/>
      <c r="EF276" s="5"/>
      <c r="EG276" s="5"/>
      <c r="EH276" s="5"/>
      <c r="EI276" s="5"/>
      <c r="EJ276" s="5"/>
      <c r="EK276" s="5"/>
      <c r="EL276" s="5"/>
      <c r="EM276" s="5"/>
      <c r="EN276" s="5"/>
      <c r="EO276" s="5"/>
      <c r="EP276" s="5"/>
      <c r="EQ276" s="5"/>
      <c r="ER276" s="5"/>
      <c r="ES276" s="5"/>
      <c r="ET276" s="5"/>
      <c r="EU276" s="5"/>
      <c r="EV276" s="5"/>
      <c r="EW276" s="5"/>
      <c r="EX276" s="5"/>
      <c r="EY276" s="5"/>
      <c r="EZ276" s="5"/>
      <c r="FA276" s="5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5"/>
      <c r="CT277" s="5"/>
      <c r="CU277" s="5"/>
      <c r="CV277" s="5"/>
      <c r="CW277" s="5"/>
      <c r="CX277" s="5"/>
      <c r="CY277" s="5"/>
      <c r="CZ277" s="5"/>
      <c r="DA277" s="5"/>
      <c r="DB277" s="5"/>
      <c r="DC277" s="5"/>
      <c r="DD277" s="5"/>
      <c r="DE277" s="5"/>
      <c r="DF277" s="5"/>
      <c r="DG277" s="5"/>
      <c r="DH277" s="5"/>
      <c r="DI277" s="5"/>
      <c r="DJ277" s="5"/>
      <c r="DK277" s="5"/>
      <c r="DL277" s="5"/>
      <c r="DM277" s="5"/>
      <c r="DN277" s="5"/>
      <c r="DO277" s="5"/>
      <c r="DP277" s="5"/>
      <c r="DQ277" s="5"/>
      <c r="DR277" s="5"/>
      <c r="DS277" s="5"/>
      <c r="DT277" s="5"/>
      <c r="DU277" s="5"/>
      <c r="DV277" s="5"/>
      <c r="DW277" s="5"/>
      <c r="DX277" s="5"/>
      <c r="DY277" s="5"/>
      <c r="DZ277" s="5"/>
      <c r="EA277" s="5"/>
      <c r="EB277" s="5"/>
      <c r="EC277" s="5"/>
      <c r="ED277" s="5"/>
      <c r="EE277" s="5"/>
      <c r="EF277" s="5"/>
      <c r="EG277" s="5"/>
      <c r="EH277" s="5"/>
      <c r="EI277" s="5"/>
      <c r="EJ277" s="5"/>
      <c r="EK277" s="5"/>
      <c r="EL277" s="5"/>
      <c r="EM277" s="5"/>
      <c r="EN277" s="5"/>
      <c r="EO277" s="5"/>
      <c r="EP277" s="5"/>
      <c r="EQ277" s="5"/>
      <c r="ER277" s="5"/>
      <c r="ES277" s="5"/>
      <c r="ET277" s="5"/>
      <c r="EU277" s="5"/>
      <c r="EV277" s="5"/>
      <c r="EW277" s="5"/>
      <c r="EX277" s="5"/>
      <c r="EY277" s="5"/>
      <c r="EZ277" s="5"/>
      <c r="FA277" s="5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5"/>
      <c r="CT278" s="5"/>
      <c r="CU278" s="5"/>
      <c r="CV278" s="5"/>
      <c r="CW278" s="5"/>
      <c r="CX278" s="5"/>
      <c r="CY278" s="5"/>
      <c r="CZ278" s="5"/>
      <c r="DA278" s="5"/>
      <c r="DB278" s="5"/>
      <c r="DC278" s="5"/>
      <c r="DD278" s="5"/>
      <c r="DE278" s="5"/>
      <c r="DF278" s="5"/>
      <c r="DG278" s="5"/>
      <c r="DH278" s="5"/>
      <c r="DI278" s="5"/>
      <c r="DJ278" s="5"/>
      <c r="DK278" s="5"/>
      <c r="DL278" s="5"/>
      <c r="DM278" s="5"/>
      <c r="DN278" s="5"/>
      <c r="DO278" s="5"/>
      <c r="DP278" s="5"/>
      <c r="DQ278" s="5"/>
      <c r="DR278" s="5"/>
      <c r="DS278" s="5"/>
      <c r="DT278" s="5"/>
      <c r="DU278" s="5"/>
      <c r="DV278" s="5"/>
      <c r="DW278" s="5"/>
      <c r="DX278" s="5"/>
      <c r="DY278" s="5"/>
      <c r="DZ278" s="5"/>
      <c r="EA278" s="5"/>
      <c r="EB278" s="5"/>
      <c r="EC278" s="5"/>
      <c r="ED278" s="5"/>
      <c r="EE278" s="5"/>
      <c r="EF278" s="5"/>
      <c r="EG278" s="5"/>
      <c r="EH278" s="5"/>
      <c r="EI278" s="5"/>
      <c r="EJ278" s="5"/>
      <c r="EK278" s="5"/>
      <c r="EL278" s="5"/>
      <c r="EM278" s="5"/>
      <c r="EN278" s="5"/>
      <c r="EO278" s="5"/>
      <c r="EP278" s="5"/>
      <c r="EQ278" s="5"/>
      <c r="ER278" s="5"/>
      <c r="ES278" s="5"/>
      <c r="ET278" s="5"/>
      <c r="EU278" s="5"/>
      <c r="EV278" s="5"/>
      <c r="EW278" s="5"/>
      <c r="EX278" s="5"/>
      <c r="EY278" s="5"/>
      <c r="EZ278" s="5"/>
      <c r="FA278" s="5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5"/>
      <c r="CT279" s="5"/>
      <c r="CU279" s="5"/>
      <c r="CV279" s="5"/>
      <c r="CW279" s="5"/>
      <c r="CX279" s="5"/>
      <c r="CY279" s="5"/>
      <c r="CZ279" s="5"/>
      <c r="DA279" s="5"/>
      <c r="DB279" s="5"/>
      <c r="DC279" s="5"/>
      <c r="DD279" s="5"/>
      <c r="DE279" s="5"/>
      <c r="DF279" s="5"/>
      <c r="DG279" s="5"/>
      <c r="DH279" s="5"/>
      <c r="DI279" s="5"/>
      <c r="DJ279" s="5"/>
      <c r="DK279" s="5"/>
      <c r="DL279" s="5"/>
      <c r="DM279" s="5"/>
      <c r="DN279" s="5"/>
      <c r="DO279" s="5"/>
      <c r="DP279" s="5"/>
      <c r="DQ279" s="5"/>
      <c r="DR279" s="5"/>
      <c r="DS279" s="5"/>
      <c r="DT279" s="5"/>
      <c r="DU279" s="5"/>
      <c r="DV279" s="5"/>
      <c r="DW279" s="5"/>
      <c r="DX279" s="5"/>
      <c r="DY279" s="5"/>
      <c r="DZ279" s="5"/>
      <c r="EA279" s="5"/>
      <c r="EB279" s="5"/>
      <c r="EC279" s="5"/>
      <c r="ED279" s="5"/>
      <c r="EE279" s="5"/>
      <c r="EF279" s="5"/>
      <c r="EG279" s="5"/>
      <c r="EH279" s="5"/>
      <c r="EI279" s="5"/>
      <c r="EJ279" s="5"/>
      <c r="EK279" s="5"/>
      <c r="EL279" s="5"/>
      <c r="EM279" s="5"/>
      <c r="EN279" s="5"/>
      <c r="EO279" s="5"/>
      <c r="EP279" s="5"/>
      <c r="EQ279" s="5"/>
      <c r="ER279" s="5"/>
      <c r="ES279" s="5"/>
      <c r="ET279" s="5"/>
      <c r="EU279" s="5"/>
      <c r="EV279" s="5"/>
      <c r="EW279" s="5"/>
      <c r="EX279" s="5"/>
      <c r="EY279" s="5"/>
      <c r="EZ279" s="5"/>
      <c r="FA279" s="5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5"/>
      <c r="CT280" s="5"/>
      <c r="CU280" s="5"/>
      <c r="CV280" s="5"/>
      <c r="CW280" s="5"/>
      <c r="CX280" s="5"/>
      <c r="CY280" s="5"/>
      <c r="CZ280" s="5"/>
      <c r="DA280" s="5"/>
      <c r="DB280" s="5"/>
      <c r="DC280" s="5"/>
      <c r="DD280" s="5"/>
      <c r="DE280" s="5"/>
      <c r="DF280" s="5"/>
      <c r="DG280" s="5"/>
      <c r="DH280" s="5"/>
      <c r="DI280" s="5"/>
      <c r="DJ280" s="5"/>
      <c r="DK280" s="5"/>
      <c r="DL280" s="5"/>
      <c r="DM280" s="5"/>
      <c r="DN280" s="5"/>
      <c r="DO280" s="5"/>
      <c r="DP280" s="5"/>
      <c r="DQ280" s="5"/>
      <c r="DR280" s="5"/>
      <c r="DS280" s="5"/>
      <c r="DT280" s="5"/>
      <c r="DU280" s="5"/>
      <c r="DV280" s="5"/>
      <c r="DW280" s="5"/>
      <c r="DX280" s="5"/>
      <c r="DY280" s="5"/>
      <c r="DZ280" s="5"/>
      <c r="EA280" s="5"/>
      <c r="EB280" s="5"/>
      <c r="EC280" s="5"/>
      <c r="ED280" s="5"/>
      <c r="EE280" s="5"/>
      <c r="EF280" s="5"/>
      <c r="EG280" s="5"/>
      <c r="EH280" s="5"/>
      <c r="EI280" s="5"/>
      <c r="EJ280" s="5"/>
      <c r="EK280" s="5"/>
      <c r="EL280" s="5"/>
      <c r="EM280" s="5"/>
      <c r="EN280" s="5"/>
      <c r="EO280" s="5"/>
      <c r="EP280" s="5"/>
      <c r="EQ280" s="5"/>
      <c r="ER280" s="5"/>
      <c r="ES280" s="5"/>
      <c r="ET280" s="5"/>
      <c r="EU280" s="5"/>
      <c r="EV280" s="5"/>
      <c r="EW280" s="5"/>
      <c r="EX280" s="5"/>
      <c r="EY280" s="5"/>
      <c r="EZ280" s="5"/>
      <c r="FA280" s="5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5"/>
      <c r="CT281" s="5"/>
      <c r="CU281" s="5"/>
      <c r="CV281" s="5"/>
      <c r="CW281" s="5"/>
      <c r="CX281" s="5"/>
      <c r="CY281" s="5"/>
      <c r="CZ281" s="5"/>
      <c r="DA281" s="5"/>
      <c r="DB281" s="5"/>
      <c r="DC281" s="5"/>
      <c r="DD281" s="5"/>
      <c r="DE281" s="5"/>
      <c r="DF281" s="5"/>
      <c r="DG281" s="5"/>
      <c r="DH281" s="5"/>
      <c r="DI281" s="5"/>
      <c r="DJ281" s="5"/>
      <c r="DK281" s="5"/>
      <c r="DL281" s="5"/>
      <c r="DM281" s="5"/>
      <c r="DN281" s="5"/>
      <c r="DO281" s="5"/>
      <c r="DP281" s="5"/>
      <c r="DQ281" s="5"/>
      <c r="DR281" s="5"/>
      <c r="DS281" s="5"/>
      <c r="DT281" s="5"/>
      <c r="DU281" s="5"/>
      <c r="DV281" s="5"/>
      <c r="DW281" s="5"/>
      <c r="DX281" s="5"/>
      <c r="DY281" s="5"/>
      <c r="DZ281" s="5"/>
      <c r="EA281" s="5"/>
      <c r="EB281" s="5"/>
      <c r="EC281" s="5"/>
      <c r="ED281" s="5"/>
      <c r="EE281" s="5"/>
      <c r="EF281" s="5"/>
      <c r="EG281" s="5"/>
      <c r="EH281" s="5"/>
      <c r="EI281" s="5"/>
      <c r="EJ281" s="5"/>
      <c r="EK281" s="5"/>
      <c r="EL281" s="5"/>
      <c r="EM281" s="5"/>
      <c r="EN281" s="5"/>
      <c r="EO281" s="5"/>
      <c r="EP281" s="5"/>
      <c r="EQ281" s="5"/>
      <c r="ER281" s="5"/>
      <c r="ES281" s="5"/>
      <c r="ET281" s="5"/>
      <c r="EU281" s="5"/>
      <c r="EV281" s="5"/>
      <c r="EW281" s="5"/>
      <c r="EX281" s="5"/>
      <c r="EY281" s="5"/>
      <c r="EZ281" s="5"/>
      <c r="FA281" s="5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5"/>
      <c r="CT282" s="5"/>
      <c r="CU282" s="5"/>
      <c r="CV282" s="5"/>
      <c r="CW282" s="5"/>
      <c r="CX282" s="5"/>
      <c r="CY282" s="5"/>
      <c r="CZ282" s="5"/>
      <c r="DA282" s="5"/>
      <c r="DB282" s="5"/>
      <c r="DC282" s="5"/>
      <c r="DD282" s="5"/>
      <c r="DE282" s="5"/>
      <c r="DF282" s="5"/>
      <c r="DG282" s="5"/>
      <c r="DH282" s="5"/>
      <c r="DI282" s="5"/>
      <c r="DJ282" s="5"/>
      <c r="DK282" s="5"/>
      <c r="DL282" s="5"/>
      <c r="DM282" s="5"/>
      <c r="DN282" s="5"/>
      <c r="DO282" s="5"/>
      <c r="DP282" s="5"/>
      <c r="DQ282" s="5"/>
      <c r="DR282" s="5"/>
      <c r="DS282" s="5"/>
      <c r="DT282" s="5"/>
      <c r="DU282" s="5"/>
      <c r="DV282" s="5"/>
      <c r="DW282" s="5"/>
      <c r="DX282" s="5"/>
      <c r="DY282" s="5"/>
      <c r="DZ282" s="5"/>
      <c r="EA282" s="5"/>
      <c r="EB282" s="5"/>
      <c r="EC282" s="5"/>
      <c r="ED282" s="5"/>
      <c r="EE282" s="5"/>
      <c r="EF282" s="5"/>
      <c r="EG282" s="5"/>
      <c r="EH282" s="5"/>
      <c r="EI282" s="5"/>
      <c r="EJ282" s="5"/>
      <c r="EK282" s="5"/>
      <c r="EL282" s="5"/>
      <c r="EM282" s="5"/>
      <c r="EN282" s="5"/>
      <c r="EO282" s="5"/>
      <c r="EP282" s="5"/>
      <c r="EQ282" s="5"/>
      <c r="ER282" s="5"/>
      <c r="ES282" s="5"/>
      <c r="ET282" s="5"/>
      <c r="EU282" s="5"/>
      <c r="EV282" s="5"/>
      <c r="EW282" s="5"/>
      <c r="EX282" s="5"/>
      <c r="EY282" s="5"/>
      <c r="EZ282" s="5"/>
      <c r="FA282" s="5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5"/>
      <c r="CT283" s="5"/>
      <c r="CU283" s="5"/>
      <c r="CV283" s="5"/>
      <c r="CW283" s="5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L283" s="5"/>
      <c r="DM283" s="5"/>
      <c r="DN283" s="5"/>
      <c r="DO283" s="5"/>
      <c r="DP283" s="5"/>
      <c r="DQ283" s="5"/>
      <c r="DR283" s="5"/>
      <c r="DS283" s="5"/>
      <c r="DT283" s="5"/>
      <c r="DU283" s="5"/>
      <c r="DV283" s="5"/>
      <c r="DW283" s="5"/>
      <c r="DX283" s="5"/>
      <c r="DY283" s="5"/>
      <c r="DZ283" s="5"/>
      <c r="EA283" s="5"/>
      <c r="EB283" s="5"/>
      <c r="EC283" s="5"/>
      <c r="ED283" s="5"/>
      <c r="EE283" s="5"/>
      <c r="EF283" s="5"/>
      <c r="EG283" s="5"/>
      <c r="EH283" s="5"/>
      <c r="EI283" s="5"/>
      <c r="EJ283" s="5"/>
      <c r="EK283" s="5"/>
      <c r="EL283" s="5"/>
      <c r="EM283" s="5"/>
      <c r="EN283" s="5"/>
      <c r="EO283" s="5"/>
      <c r="EP283" s="5"/>
      <c r="EQ283" s="5"/>
      <c r="ER283" s="5"/>
      <c r="ES283" s="5"/>
      <c r="ET283" s="5"/>
      <c r="EU283" s="5"/>
      <c r="EV283" s="5"/>
      <c r="EW283" s="5"/>
      <c r="EX283" s="5"/>
      <c r="EY283" s="5"/>
      <c r="EZ283" s="5"/>
      <c r="FA283" s="5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5"/>
      <c r="CT284" s="5"/>
      <c r="CU284" s="5"/>
      <c r="CV284" s="5"/>
      <c r="CW284" s="5"/>
      <c r="CX284" s="5"/>
      <c r="CY284" s="5"/>
      <c r="CZ284" s="5"/>
      <c r="DA284" s="5"/>
      <c r="DB284" s="5"/>
      <c r="DC284" s="5"/>
      <c r="DD284" s="5"/>
      <c r="DE284" s="5"/>
      <c r="DF284" s="5"/>
      <c r="DG284" s="5"/>
      <c r="DH284" s="5"/>
      <c r="DI284" s="5"/>
      <c r="DJ284" s="5"/>
      <c r="DK284" s="5"/>
      <c r="DL284" s="5"/>
      <c r="DM284" s="5"/>
      <c r="DN284" s="5"/>
      <c r="DO284" s="5"/>
      <c r="DP284" s="5"/>
      <c r="DQ284" s="5"/>
      <c r="DR284" s="5"/>
      <c r="DS284" s="5"/>
      <c r="DT284" s="5"/>
      <c r="DU284" s="5"/>
      <c r="DV284" s="5"/>
      <c r="DW284" s="5"/>
      <c r="DX284" s="5"/>
      <c r="DY284" s="5"/>
      <c r="DZ284" s="5"/>
      <c r="EA284" s="5"/>
      <c r="EB284" s="5"/>
      <c r="EC284" s="5"/>
      <c r="ED284" s="5"/>
      <c r="EE284" s="5"/>
      <c r="EF284" s="5"/>
      <c r="EG284" s="5"/>
      <c r="EH284" s="5"/>
      <c r="EI284" s="5"/>
      <c r="EJ284" s="5"/>
      <c r="EK284" s="5"/>
      <c r="EL284" s="5"/>
      <c r="EM284" s="5"/>
      <c r="EN284" s="5"/>
      <c r="EO284" s="5"/>
      <c r="EP284" s="5"/>
      <c r="EQ284" s="5"/>
      <c r="ER284" s="5"/>
      <c r="ES284" s="5"/>
      <c r="ET284" s="5"/>
      <c r="EU284" s="5"/>
      <c r="EV284" s="5"/>
      <c r="EW284" s="5"/>
      <c r="EX284" s="5"/>
      <c r="EY284" s="5"/>
      <c r="EZ284" s="5"/>
      <c r="FA284" s="5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5"/>
      <c r="CT285" s="5"/>
      <c r="CU285" s="5"/>
      <c r="CV285" s="5"/>
      <c r="CW285" s="5"/>
      <c r="CX285" s="5"/>
      <c r="CY285" s="5"/>
      <c r="CZ285" s="5"/>
      <c r="DA285" s="5"/>
      <c r="DB285" s="5"/>
      <c r="DC285" s="5"/>
      <c r="DD285" s="5"/>
      <c r="DE285" s="5"/>
      <c r="DF285" s="5"/>
      <c r="DG285" s="5"/>
      <c r="DH285" s="5"/>
      <c r="DI285" s="5"/>
      <c r="DJ285" s="5"/>
      <c r="DK285" s="5"/>
      <c r="DL285" s="5"/>
      <c r="DM285" s="5"/>
      <c r="DN285" s="5"/>
      <c r="DO285" s="5"/>
      <c r="DP285" s="5"/>
      <c r="DQ285" s="5"/>
      <c r="DR285" s="5"/>
      <c r="DS285" s="5"/>
      <c r="DT285" s="5"/>
      <c r="DU285" s="5"/>
      <c r="DV285" s="5"/>
      <c r="DW285" s="5"/>
      <c r="DX285" s="5"/>
      <c r="DY285" s="5"/>
      <c r="DZ285" s="5"/>
      <c r="EA285" s="5"/>
      <c r="EB285" s="5"/>
      <c r="EC285" s="5"/>
      <c r="ED285" s="5"/>
      <c r="EE285" s="5"/>
      <c r="EF285" s="5"/>
      <c r="EG285" s="5"/>
      <c r="EH285" s="5"/>
      <c r="EI285" s="5"/>
      <c r="EJ285" s="5"/>
      <c r="EK285" s="5"/>
      <c r="EL285" s="5"/>
      <c r="EM285" s="5"/>
      <c r="EN285" s="5"/>
      <c r="EO285" s="5"/>
      <c r="EP285" s="5"/>
      <c r="EQ285" s="5"/>
      <c r="ER285" s="5"/>
      <c r="ES285" s="5"/>
      <c r="ET285" s="5"/>
      <c r="EU285" s="5"/>
      <c r="EV285" s="5"/>
      <c r="EW285" s="5"/>
      <c r="EX285" s="5"/>
      <c r="EY285" s="5"/>
      <c r="EZ285" s="5"/>
      <c r="FA285" s="5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5"/>
      <c r="CT286" s="5"/>
      <c r="CU286" s="5"/>
      <c r="CV286" s="5"/>
      <c r="CW286" s="5"/>
      <c r="CX286" s="5"/>
      <c r="CY286" s="5"/>
      <c r="CZ286" s="5"/>
      <c r="DA286" s="5"/>
      <c r="DB286" s="5"/>
      <c r="DC286" s="5"/>
      <c r="DD286" s="5"/>
      <c r="DE286" s="5"/>
      <c r="DF286" s="5"/>
      <c r="DG286" s="5"/>
      <c r="DH286" s="5"/>
      <c r="DI286" s="5"/>
      <c r="DJ286" s="5"/>
      <c r="DK286" s="5"/>
      <c r="DL286" s="5"/>
      <c r="DM286" s="5"/>
      <c r="DN286" s="5"/>
      <c r="DO286" s="5"/>
      <c r="DP286" s="5"/>
      <c r="DQ286" s="5"/>
      <c r="DR286" s="5"/>
      <c r="DS286" s="5"/>
      <c r="DT286" s="5"/>
      <c r="DU286" s="5"/>
      <c r="DV286" s="5"/>
      <c r="DW286" s="5"/>
      <c r="DX286" s="5"/>
      <c r="DY286" s="5"/>
      <c r="DZ286" s="5"/>
      <c r="EA286" s="5"/>
      <c r="EB286" s="5"/>
      <c r="EC286" s="5"/>
      <c r="ED286" s="5"/>
      <c r="EE286" s="5"/>
      <c r="EF286" s="5"/>
      <c r="EG286" s="5"/>
      <c r="EH286" s="5"/>
      <c r="EI286" s="5"/>
      <c r="EJ286" s="5"/>
      <c r="EK286" s="5"/>
      <c r="EL286" s="5"/>
      <c r="EM286" s="5"/>
      <c r="EN286" s="5"/>
      <c r="EO286" s="5"/>
      <c r="EP286" s="5"/>
      <c r="EQ286" s="5"/>
      <c r="ER286" s="5"/>
      <c r="ES286" s="5"/>
      <c r="ET286" s="5"/>
      <c r="EU286" s="5"/>
      <c r="EV286" s="5"/>
      <c r="EW286" s="5"/>
      <c r="EX286" s="5"/>
      <c r="EY286" s="5"/>
      <c r="EZ286" s="5"/>
      <c r="FA286" s="5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5"/>
      <c r="CT287" s="5"/>
      <c r="CU287" s="5"/>
      <c r="CV287" s="5"/>
      <c r="CW287" s="5"/>
      <c r="CX287" s="5"/>
      <c r="CY287" s="5"/>
      <c r="CZ287" s="5"/>
      <c r="DA287" s="5"/>
      <c r="DB287" s="5"/>
      <c r="DC287" s="5"/>
      <c r="DD287" s="5"/>
      <c r="DE287" s="5"/>
      <c r="DF287" s="5"/>
      <c r="DG287" s="5"/>
      <c r="DH287" s="5"/>
      <c r="DI287" s="5"/>
      <c r="DJ287" s="5"/>
      <c r="DK287" s="5"/>
      <c r="DL287" s="5"/>
      <c r="DM287" s="5"/>
      <c r="DN287" s="5"/>
      <c r="DO287" s="5"/>
      <c r="DP287" s="5"/>
      <c r="DQ287" s="5"/>
      <c r="DR287" s="5"/>
      <c r="DS287" s="5"/>
      <c r="DT287" s="5"/>
      <c r="DU287" s="5"/>
      <c r="DV287" s="5"/>
      <c r="DW287" s="5"/>
      <c r="DX287" s="5"/>
      <c r="DY287" s="5"/>
      <c r="DZ287" s="5"/>
      <c r="EA287" s="5"/>
      <c r="EB287" s="5"/>
      <c r="EC287" s="5"/>
      <c r="ED287" s="5"/>
      <c r="EE287" s="5"/>
      <c r="EF287" s="5"/>
      <c r="EG287" s="5"/>
      <c r="EH287" s="5"/>
      <c r="EI287" s="5"/>
      <c r="EJ287" s="5"/>
      <c r="EK287" s="5"/>
      <c r="EL287" s="5"/>
      <c r="EM287" s="5"/>
      <c r="EN287" s="5"/>
      <c r="EO287" s="5"/>
      <c r="EP287" s="5"/>
      <c r="EQ287" s="5"/>
      <c r="ER287" s="5"/>
      <c r="ES287" s="5"/>
      <c r="ET287" s="5"/>
      <c r="EU287" s="5"/>
      <c r="EV287" s="5"/>
      <c r="EW287" s="5"/>
      <c r="EX287" s="5"/>
      <c r="EY287" s="5"/>
      <c r="EZ287" s="5"/>
      <c r="FA287" s="5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5"/>
      <c r="CT288" s="5"/>
      <c r="CU288" s="5"/>
      <c r="CV288" s="5"/>
      <c r="CW288" s="5"/>
      <c r="CX288" s="5"/>
      <c r="CY288" s="5"/>
      <c r="CZ288" s="5"/>
      <c r="DA288" s="5"/>
      <c r="DB288" s="5"/>
      <c r="DC288" s="5"/>
      <c r="DD288" s="5"/>
      <c r="DE288" s="5"/>
      <c r="DF288" s="5"/>
      <c r="DG288" s="5"/>
      <c r="DH288" s="5"/>
      <c r="DI288" s="5"/>
      <c r="DJ288" s="5"/>
      <c r="DK288" s="5"/>
      <c r="DL288" s="5"/>
      <c r="DM288" s="5"/>
      <c r="DN288" s="5"/>
      <c r="DO288" s="5"/>
      <c r="DP288" s="5"/>
      <c r="DQ288" s="5"/>
      <c r="DR288" s="5"/>
      <c r="DS288" s="5"/>
      <c r="DT288" s="5"/>
      <c r="DU288" s="5"/>
      <c r="DV288" s="5"/>
      <c r="DW288" s="5"/>
      <c r="DX288" s="5"/>
      <c r="DY288" s="5"/>
      <c r="DZ288" s="5"/>
      <c r="EA288" s="5"/>
      <c r="EB288" s="5"/>
      <c r="EC288" s="5"/>
      <c r="ED288" s="5"/>
      <c r="EE288" s="5"/>
      <c r="EF288" s="5"/>
      <c r="EG288" s="5"/>
      <c r="EH288" s="5"/>
      <c r="EI288" s="5"/>
      <c r="EJ288" s="5"/>
      <c r="EK288" s="5"/>
      <c r="EL288" s="5"/>
      <c r="EM288" s="5"/>
      <c r="EN288" s="5"/>
      <c r="EO288" s="5"/>
      <c r="EP288" s="5"/>
      <c r="EQ288" s="5"/>
      <c r="ER288" s="5"/>
      <c r="ES288" s="5"/>
      <c r="ET288" s="5"/>
      <c r="EU288" s="5"/>
      <c r="EV288" s="5"/>
      <c r="EW288" s="5"/>
      <c r="EX288" s="5"/>
      <c r="EY288" s="5"/>
      <c r="EZ288" s="5"/>
      <c r="FA288" s="5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5"/>
      <c r="CT289" s="5"/>
      <c r="CU289" s="5"/>
      <c r="CV289" s="5"/>
      <c r="CW289" s="5"/>
      <c r="CX289" s="5"/>
      <c r="CY289" s="5"/>
      <c r="CZ289" s="5"/>
      <c r="DA289" s="5"/>
      <c r="DB289" s="5"/>
      <c r="DC289" s="5"/>
      <c r="DD289" s="5"/>
      <c r="DE289" s="5"/>
      <c r="DF289" s="5"/>
      <c r="DG289" s="5"/>
      <c r="DH289" s="5"/>
      <c r="DI289" s="5"/>
      <c r="DJ289" s="5"/>
      <c r="DK289" s="5"/>
      <c r="DL289" s="5"/>
      <c r="DM289" s="5"/>
      <c r="DN289" s="5"/>
      <c r="DO289" s="5"/>
      <c r="DP289" s="5"/>
      <c r="DQ289" s="5"/>
      <c r="DR289" s="5"/>
      <c r="DS289" s="5"/>
      <c r="DT289" s="5"/>
      <c r="DU289" s="5"/>
      <c r="DV289" s="5"/>
      <c r="DW289" s="5"/>
      <c r="DX289" s="5"/>
      <c r="DY289" s="5"/>
      <c r="DZ289" s="5"/>
      <c r="EA289" s="5"/>
      <c r="EB289" s="5"/>
      <c r="EC289" s="5"/>
      <c r="ED289" s="5"/>
      <c r="EE289" s="5"/>
      <c r="EF289" s="5"/>
      <c r="EG289" s="5"/>
      <c r="EH289" s="5"/>
      <c r="EI289" s="5"/>
      <c r="EJ289" s="5"/>
      <c r="EK289" s="5"/>
      <c r="EL289" s="5"/>
      <c r="EM289" s="5"/>
      <c r="EN289" s="5"/>
      <c r="EO289" s="5"/>
      <c r="EP289" s="5"/>
      <c r="EQ289" s="5"/>
      <c r="ER289" s="5"/>
      <c r="ES289" s="5"/>
      <c r="ET289" s="5"/>
      <c r="EU289" s="5"/>
      <c r="EV289" s="5"/>
      <c r="EW289" s="5"/>
      <c r="EX289" s="5"/>
      <c r="EY289" s="5"/>
      <c r="EZ289" s="5"/>
      <c r="FA289" s="5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5"/>
      <c r="CT290" s="5"/>
      <c r="CU290" s="5"/>
      <c r="CV290" s="5"/>
      <c r="CW290" s="5"/>
      <c r="CX290" s="5"/>
      <c r="CY290" s="5"/>
      <c r="CZ290" s="5"/>
      <c r="DA290" s="5"/>
      <c r="DB290" s="5"/>
      <c r="DC290" s="5"/>
      <c r="DD290" s="5"/>
      <c r="DE290" s="5"/>
      <c r="DF290" s="5"/>
      <c r="DG290" s="5"/>
      <c r="DH290" s="5"/>
      <c r="DI290" s="5"/>
      <c r="DJ290" s="5"/>
      <c r="DK290" s="5"/>
      <c r="DL290" s="5"/>
      <c r="DM290" s="5"/>
      <c r="DN290" s="5"/>
      <c r="DO290" s="5"/>
      <c r="DP290" s="5"/>
      <c r="DQ290" s="5"/>
      <c r="DR290" s="5"/>
      <c r="DS290" s="5"/>
      <c r="DT290" s="5"/>
      <c r="DU290" s="5"/>
      <c r="DV290" s="5"/>
      <c r="DW290" s="5"/>
      <c r="DX290" s="5"/>
      <c r="DY290" s="5"/>
      <c r="DZ290" s="5"/>
      <c r="EA290" s="5"/>
      <c r="EB290" s="5"/>
      <c r="EC290" s="5"/>
      <c r="ED290" s="5"/>
      <c r="EE290" s="5"/>
      <c r="EF290" s="5"/>
      <c r="EG290" s="5"/>
      <c r="EH290" s="5"/>
      <c r="EI290" s="5"/>
      <c r="EJ290" s="5"/>
      <c r="EK290" s="5"/>
      <c r="EL290" s="5"/>
      <c r="EM290" s="5"/>
      <c r="EN290" s="5"/>
      <c r="EO290" s="5"/>
      <c r="EP290" s="5"/>
      <c r="EQ290" s="5"/>
      <c r="ER290" s="5"/>
      <c r="ES290" s="5"/>
      <c r="ET290" s="5"/>
      <c r="EU290" s="5"/>
      <c r="EV290" s="5"/>
      <c r="EW290" s="5"/>
      <c r="EX290" s="5"/>
      <c r="EY290" s="5"/>
      <c r="EZ290" s="5"/>
      <c r="FA290" s="5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5"/>
      <c r="CT291" s="5"/>
      <c r="CU291" s="5"/>
      <c r="CV291" s="5"/>
      <c r="CW291" s="5"/>
      <c r="CX291" s="5"/>
      <c r="CY291" s="5"/>
      <c r="CZ291" s="5"/>
      <c r="DA291" s="5"/>
      <c r="DB291" s="5"/>
      <c r="DC291" s="5"/>
      <c r="DD291" s="5"/>
      <c r="DE291" s="5"/>
      <c r="DF291" s="5"/>
      <c r="DG291" s="5"/>
      <c r="DH291" s="5"/>
      <c r="DI291" s="5"/>
      <c r="DJ291" s="5"/>
      <c r="DK291" s="5"/>
      <c r="DL291" s="5"/>
      <c r="DM291" s="5"/>
      <c r="DN291" s="5"/>
      <c r="DO291" s="5"/>
      <c r="DP291" s="5"/>
      <c r="DQ291" s="5"/>
      <c r="DR291" s="5"/>
      <c r="DS291" s="5"/>
      <c r="DT291" s="5"/>
      <c r="DU291" s="5"/>
      <c r="DV291" s="5"/>
      <c r="DW291" s="5"/>
      <c r="DX291" s="5"/>
      <c r="DY291" s="5"/>
      <c r="DZ291" s="5"/>
      <c r="EA291" s="5"/>
      <c r="EB291" s="5"/>
      <c r="EC291" s="5"/>
      <c r="ED291" s="5"/>
      <c r="EE291" s="5"/>
      <c r="EF291" s="5"/>
      <c r="EG291" s="5"/>
      <c r="EH291" s="5"/>
      <c r="EI291" s="5"/>
      <c r="EJ291" s="5"/>
      <c r="EK291" s="5"/>
      <c r="EL291" s="5"/>
      <c r="EM291" s="5"/>
      <c r="EN291" s="5"/>
      <c r="EO291" s="5"/>
      <c r="EP291" s="5"/>
      <c r="EQ291" s="5"/>
      <c r="ER291" s="5"/>
      <c r="ES291" s="5"/>
      <c r="ET291" s="5"/>
      <c r="EU291" s="5"/>
      <c r="EV291" s="5"/>
      <c r="EW291" s="5"/>
      <c r="EX291" s="5"/>
      <c r="EY291" s="5"/>
      <c r="EZ291" s="5"/>
      <c r="FA291" s="5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5"/>
      <c r="CT292" s="5"/>
      <c r="CU292" s="5"/>
      <c r="CV292" s="5"/>
      <c r="CW292" s="5"/>
      <c r="CX292" s="5"/>
      <c r="CY292" s="5"/>
      <c r="CZ292" s="5"/>
      <c r="DA292" s="5"/>
      <c r="DB292" s="5"/>
      <c r="DC292" s="5"/>
      <c r="DD292" s="5"/>
      <c r="DE292" s="5"/>
      <c r="DF292" s="5"/>
      <c r="DG292" s="5"/>
      <c r="DH292" s="5"/>
      <c r="DI292" s="5"/>
      <c r="DJ292" s="5"/>
      <c r="DK292" s="5"/>
      <c r="DL292" s="5"/>
      <c r="DM292" s="5"/>
      <c r="DN292" s="5"/>
      <c r="DO292" s="5"/>
      <c r="DP292" s="5"/>
      <c r="DQ292" s="5"/>
      <c r="DR292" s="5"/>
      <c r="DS292" s="5"/>
      <c r="DT292" s="5"/>
      <c r="DU292" s="5"/>
      <c r="DV292" s="5"/>
      <c r="DW292" s="5"/>
      <c r="DX292" s="5"/>
      <c r="DY292" s="5"/>
      <c r="DZ292" s="5"/>
      <c r="EA292" s="5"/>
      <c r="EB292" s="5"/>
      <c r="EC292" s="5"/>
      <c r="ED292" s="5"/>
      <c r="EE292" s="5"/>
      <c r="EF292" s="5"/>
      <c r="EG292" s="5"/>
      <c r="EH292" s="5"/>
      <c r="EI292" s="5"/>
      <c r="EJ292" s="5"/>
      <c r="EK292" s="5"/>
      <c r="EL292" s="5"/>
      <c r="EM292" s="5"/>
      <c r="EN292" s="5"/>
      <c r="EO292" s="5"/>
      <c r="EP292" s="5"/>
      <c r="EQ292" s="5"/>
      <c r="ER292" s="5"/>
      <c r="ES292" s="5"/>
      <c r="ET292" s="5"/>
      <c r="EU292" s="5"/>
      <c r="EV292" s="5"/>
      <c r="EW292" s="5"/>
      <c r="EX292" s="5"/>
      <c r="EY292" s="5"/>
      <c r="EZ292" s="5"/>
      <c r="FA292" s="5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5"/>
      <c r="CT293" s="5"/>
      <c r="CU293" s="5"/>
      <c r="CV293" s="5"/>
      <c r="CW293" s="5"/>
      <c r="CX293" s="5"/>
      <c r="CY293" s="5"/>
      <c r="CZ293" s="5"/>
      <c r="DA293" s="5"/>
      <c r="DB293" s="5"/>
      <c r="DC293" s="5"/>
      <c r="DD293" s="5"/>
      <c r="DE293" s="5"/>
      <c r="DF293" s="5"/>
      <c r="DG293" s="5"/>
      <c r="DH293" s="5"/>
      <c r="DI293" s="5"/>
      <c r="DJ293" s="5"/>
      <c r="DK293" s="5"/>
      <c r="DL293" s="5"/>
      <c r="DM293" s="5"/>
      <c r="DN293" s="5"/>
      <c r="DO293" s="5"/>
      <c r="DP293" s="5"/>
      <c r="DQ293" s="5"/>
      <c r="DR293" s="5"/>
      <c r="DS293" s="5"/>
      <c r="DT293" s="5"/>
      <c r="DU293" s="5"/>
      <c r="DV293" s="5"/>
      <c r="DW293" s="5"/>
      <c r="DX293" s="5"/>
      <c r="DY293" s="5"/>
      <c r="DZ293" s="5"/>
      <c r="EA293" s="5"/>
      <c r="EB293" s="5"/>
      <c r="EC293" s="5"/>
      <c r="ED293" s="5"/>
      <c r="EE293" s="5"/>
      <c r="EF293" s="5"/>
      <c r="EG293" s="5"/>
      <c r="EH293" s="5"/>
      <c r="EI293" s="5"/>
      <c r="EJ293" s="5"/>
      <c r="EK293" s="5"/>
      <c r="EL293" s="5"/>
      <c r="EM293" s="5"/>
      <c r="EN293" s="5"/>
      <c r="EO293" s="5"/>
      <c r="EP293" s="5"/>
      <c r="EQ293" s="5"/>
      <c r="ER293" s="5"/>
      <c r="ES293" s="5"/>
      <c r="ET293" s="5"/>
      <c r="EU293" s="5"/>
      <c r="EV293" s="5"/>
      <c r="EW293" s="5"/>
      <c r="EX293" s="5"/>
      <c r="EY293" s="5"/>
      <c r="EZ293" s="5"/>
      <c r="FA293" s="5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5"/>
      <c r="CT294" s="5"/>
      <c r="CU294" s="5"/>
      <c r="CV294" s="5"/>
      <c r="CW294" s="5"/>
      <c r="CX294" s="5"/>
      <c r="CY294" s="5"/>
      <c r="CZ294" s="5"/>
      <c r="DA294" s="5"/>
      <c r="DB294" s="5"/>
      <c r="DC294" s="5"/>
      <c r="DD294" s="5"/>
      <c r="DE294" s="5"/>
      <c r="DF294" s="5"/>
      <c r="DG294" s="5"/>
      <c r="DH294" s="5"/>
      <c r="DI294" s="5"/>
      <c r="DJ294" s="5"/>
      <c r="DK294" s="5"/>
      <c r="DL294" s="5"/>
      <c r="DM294" s="5"/>
      <c r="DN294" s="5"/>
      <c r="DO294" s="5"/>
      <c r="DP294" s="5"/>
      <c r="DQ294" s="5"/>
      <c r="DR294" s="5"/>
      <c r="DS294" s="5"/>
      <c r="DT294" s="5"/>
      <c r="DU294" s="5"/>
      <c r="DV294" s="5"/>
      <c r="DW294" s="5"/>
      <c r="DX294" s="5"/>
      <c r="DY294" s="5"/>
      <c r="DZ294" s="5"/>
      <c r="EA294" s="5"/>
      <c r="EB294" s="5"/>
      <c r="EC294" s="5"/>
      <c r="ED294" s="5"/>
      <c r="EE294" s="5"/>
      <c r="EF294" s="5"/>
      <c r="EG294" s="5"/>
      <c r="EH294" s="5"/>
      <c r="EI294" s="5"/>
      <c r="EJ294" s="5"/>
      <c r="EK294" s="5"/>
      <c r="EL294" s="5"/>
      <c r="EM294" s="5"/>
      <c r="EN294" s="5"/>
      <c r="EO294" s="5"/>
      <c r="EP294" s="5"/>
      <c r="EQ294" s="5"/>
      <c r="ER294" s="5"/>
      <c r="ES294" s="5"/>
      <c r="ET294" s="5"/>
      <c r="EU294" s="5"/>
      <c r="EV294" s="5"/>
      <c r="EW294" s="5"/>
      <c r="EX294" s="5"/>
      <c r="EY294" s="5"/>
      <c r="EZ294" s="5"/>
      <c r="FA294" s="5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5"/>
      <c r="CT295" s="5"/>
      <c r="CU295" s="5"/>
      <c r="CV295" s="5"/>
      <c r="CW295" s="5"/>
      <c r="CX295" s="5"/>
      <c r="CY295" s="5"/>
      <c r="CZ295" s="5"/>
      <c r="DA295" s="5"/>
      <c r="DB295" s="5"/>
      <c r="DC295" s="5"/>
      <c r="DD295" s="5"/>
      <c r="DE295" s="5"/>
      <c r="DF295" s="5"/>
      <c r="DG295" s="5"/>
      <c r="DH295" s="5"/>
      <c r="DI295" s="5"/>
      <c r="DJ295" s="5"/>
      <c r="DK295" s="5"/>
      <c r="DL295" s="5"/>
      <c r="DM295" s="5"/>
      <c r="DN295" s="5"/>
      <c r="DO295" s="5"/>
      <c r="DP295" s="5"/>
      <c r="DQ295" s="5"/>
      <c r="DR295" s="5"/>
      <c r="DS295" s="5"/>
      <c r="DT295" s="5"/>
      <c r="DU295" s="5"/>
      <c r="DV295" s="5"/>
      <c r="DW295" s="5"/>
      <c r="DX295" s="5"/>
      <c r="DY295" s="5"/>
      <c r="DZ295" s="5"/>
      <c r="EA295" s="5"/>
      <c r="EB295" s="5"/>
      <c r="EC295" s="5"/>
      <c r="ED295" s="5"/>
      <c r="EE295" s="5"/>
      <c r="EF295" s="5"/>
      <c r="EG295" s="5"/>
      <c r="EH295" s="5"/>
      <c r="EI295" s="5"/>
      <c r="EJ295" s="5"/>
      <c r="EK295" s="5"/>
      <c r="EL295" s="5"/>
      <c r="EM295" s="5"/>
      <c r="EN295" s="5"/>
      <c r="EO295" s="5"/>
      <c r="EP295" s="5"/>
      <c r="EQ295" s="5"/>
      <c r="ER295" s="5"/>
      <c r="ES295" s="5"/>
      <c r="ET295" s="5"/>
      <c r="EU295" s="5"/>
      <c r="EV295" s="5"/>
      <c r="EW295" s="5"/>
      <c r="EX295" s="5"/>
      <c r="EY295" s="5"/>
      <c r="EZ295" s="5"/>
      <c r="FA295" s="5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5"/>
      <c r="CT296" s="5"/>
      <c r="CU296" s="5"/>
      <c r="CV296" s="5"/>
      <c r="CW296" s="5"/>
      <c r="CX296" s="5"/>
      <c r="CY296" s="5"/>
      <c r="CZ296" s="5"/>
      <c r="DA296" s="5"/>
      <c r="DB296" s="5"/>
      <c r="DC296" s="5"/>
      <c r="DD296" s="5"/>
      <c r="DE296" s="5"/>
      <c r="DF296" s="5"/>
      <c r="DG296" s="5"/>
      <c r="DH296" s="5"/>
      <c r="DI296" s="5"/>
      <c r="DJ296" s="5"/>
      <c r="DK296" s="5"/>
      <c r="DL296" s="5"/>
      <c r="DM296" s="5"/>
      <c r="DN296" s="5"/>
      <c r="DO296" s="5"/>
      <c r="DP296" s="5"/>
      <c r="DQ296" s="5"/>
      <c r="DR296" s="5"/>
      <c r="DS296" s="5"/>
      <c r="DT296" s="5"/>
      <c r="DU296" s="5"/>
      <c r="DV296" s="5"/>
      <c r="DW296" s="5"/>
      <c r="DX296" s="5"/>
      <c r="DY296" s="5"/>
      <c r="DZ296" s="5"/>
      <c r="EA296" s="5"/>
      <c r="EB296" s="5"/>
      <c r="EC296" s="5"/>
      <c r="ED296" s="5"/>
      <c r="EE296" s="5"/>
      <c r="EF296" s="5"/>
      <c r="EG296" s="5"/>
      <c r="EH296" s="5"/>
      <c r="EI296" s="5"/>
      <c r="EJ296" s="5"/>
      <c r="EK296" s="5"/>
      <c r="EL296" s="5"/>
      <c r="EM296" s="5"/>
      <c r="EN296" s="5"/>
      <c r="EO296" s="5"/>
      <c r="EP296" s="5"/>
      <c r="EQ296" s="5"/>
      <c r="ER296" s="5"/>
      <c r="ES296" s="5"/>
      <c r="ET296" s="5"/>
      <c r="EU296" s="5"/>
      <c r="EV296" s="5"/>
      <c r="EW296" s="5"/>
      <c r="EX296" s="5"/>
      <c r="EY296" s="5"/>
      <c r="EZ296" s="5"/>
      <c r="FA296" s="5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5"/>
      <c r="CT297" s="5"/>
      <c r="CU297" s="5"/>
      <c r="CV297" s="5"/>
      <c r="CW297" s="5"/>
      <c r="CX297" s="5"/>
      <c r="CY297" s="5"/>
      <c r="CZ297" s="5"/>
      <c r="DA297" s="5"/>
      <c r="DB297" s="5"/>
      <c r="DC297" s="5"/>
      <c r="DD297" s="5"/>
      <c r="DE297" s="5"/>
      <c r="DF297" s="5"/>
      <c r="DG297" s="5"/>
      <c r="DH297" s="5"/>
      <c r="DI297" s="5"/>
      <c r="DJ297" s="5"/>
      <c r="DK297" s="5"/>
      <c r="DL297" s="5"/>
      <c r="DM297" s="5"/>
      <c r="DN297" s="5"/>
      <c r="DO297" s="5"/>
      <c r="DP297" s="5"/>
      <c r="DQ297" s="5"/>
      <c r="DR297" s="5"/>
      <c r="DS297" s="5"/>
      <c r="DT297" s="5"/>
      <c r="DU297" s="5"/>
      <c r="DV297" s="5"/>
      <c r="DW297" s="5"/>
      <c r="DX297" s="5"/>
      <c r="DY297" s="5"/>
      <c r="DZ297" s="5"/>
      <c r="EA297" s="5"/>
      <c r="EB297" s="5"/>
      <c r="EC297" s="5"/>
      <c r="ED297" s="5"/>
      <c r="EE297" s="5"/>
      <c r="EF297" s="5"/>
      <c r="EG297" s="5"/>
      <c r="EH297" s="5"/>
      <c r="EI297" s="5"/>
      <c r="EJ297" s="5"/>
      <c r="EK297" s="5"/>
      <c r="EL297" s="5"/>
      <c r="EM297" s="5"/>
      <c r="EN297" s="5"/>
      <c r="EO297" s="5"/>
      <c r="EP297" s="5"/>
      <c r="EQ297" s="5"/>
      <c r="ER297" s="5"/>
      <c r="ES297" s="5"/>
      <c r="ET297" s="5"/>
      <c r="EU297" s="5"/>
      <c r="EV297" s="5"/>
      <c r="EW297" s="5"/>
      <c r="EX297" s="5"/>
      <c r="EY297" s="5"/>
      <c r="EZ297" s="5"/>
      <c r="FA297" s="5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5"/>
      <c r="CT298" s="5"/>
      <c r="CU298" s="5"/>
      <c r="CV298" s="5"/>
      <c r="CW298" s="5"/>
      <c r="CX298" s="5"/>
      <c r="CY298" s="5"/>
      <c r="CZ298" s="5"/>
      <c r="DA298" s="5"/>
      <c r="DB298" s="5"/>
      <c r="DC298" s="5"/>
      <c r="DD298" s="5"/>
      <c r="DE298" s="5"/>
      <c r="DF298" s="5"/>
      <c r="DG298" s="5"/>
      <c r="DH298" s="5"/>
      <c r="DI298" s="5"/>
      <c r="DJ298" s="5"/>
      <c r="DK298" s="5"/>
      <c r="DL298" s="5"/>
      <c r="DM298" s="5"/>
      <c r="DN298" s="5"/>
      <c r="DO298" s="5"/>
      <c r="DP298" s="5"/>
      <c r="DQ298" s="5"/>
      <c r="DR298" s="5"/>
      <c r="DS298" s="5"/>
      <c r="DT298" s="5"/>
      <c r="DU298" s="5"/>
      <c r="DV298" s="5"/>
      <c r="DW298" s="5"/>
      <c r="DX298" s="5"/>
      <c r="DY298" s="5"/>
      <c r="DZ298" s="5"/>
      <c r="EA298" s="5"/>
      <c r="EB298" s="5"/>
      <c r="EC298" s="5"/>
      <c r="ED298" s="5"/>
      <c r="EE298" s="5"/>
      <c r="EF298" s="5"/>
      <c r="EG298" s="5"/>
      <c r="EH298" s="5"/>
      <c r="EI298" s="5"/>
      <c r="EJ298" s="5"/>
      <c r="EK298" s="5"/>
      <c r="EL298" s="5"/>
      <c r="EM298" s="5"/>
      <c r="EN298" s="5"/>
      <c r="EO298" s="5"/>
      <c r="EP298" s="5"/>
      <c r="EQ298" s="5"/>
      <c r="ER298" s="5"/>
      <c r="ES298" s="5"/>
      <c r="ET298" s="5"/>
      <c r="EU298" s="5"/>
      <c r="EV298" s="5"/>
      <c r="EW298" s="5"/>
      <c r="EX298" s="5"/>
      <c r="EY298" s="5"/>
      <c r="EZ298" s="5"/>
      <c r="FA298" s="5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5"/>
      <c r="CT299" s="5"/>
      <c r="CU299" s="5"/>
      <c r="CV299" s="5"/>
      <c r="CW299" s="5"/>
      <c r="CX299" s="5"/>
      <c r="CY299" s="5"/>
      <c r="CZ299" s="5"/>
      <c r="DA299" s="5"/>
      <c r="DB299" s="5"/>
      <c r="DC299" s="5"/>
      <c r="DD299" s="5"/>
      <c r="DE299" s="5"/>
      <c r="DF299" s="5"/>
      <c r="DG299" s="5"/>
      <c r="DH299" s="5"/>
      <c r="DI299" s="5"/>
      <c r="DJ299" s="5"/>
      <c r="DK299" s="5"/>
      <c r="DL299" s="5"/>
      <c r="DM299" s="5"/>
      <c r="DN299" s="5"/>
      <c r="DO299" s="5"/>
      <c r="DP299" s="5"/>
      <c r="DQ299" s="5"/>
      <c r="DR299" s="5"/>
      <c r="DS299" s="5"/>
      <c r="DT299" s="5"/>
      <c r="DU299" s="5"/>
      <c r="DV299" s="5"/>
      <c r="DW299" s="5"/>
      <c r="DX299" s="5"/>
      <c r="DY299" s="5"/>
      <c r="DZ299" s="5"/>
      <c r="EA299" s="5"/>
      <c r="EB299" s="5"/>
      <c r="EC299" s="5"/>
      <c r="ED299" s="5"/>
      <c r="EE299" s="5"/>
      <c r="EF299" s="5"/>
      <c r="EG299" s="5"/>
      <c r="EH299" s="5"/>
      <c r="EI299" s="5"/>
      <c r="EJ299" s="5"/>
      <c r="EK299" s="5"/>
      <c r="EL299" s="5"/>
      <c r="EM299" s="5"/>
      <c r="EN299" s="5"/>
      <c r="EO299" s="5"/>
      <c r="EP299" s="5"/>
      <c r="EQ299" s="5"/>
      <c r="ER299" s="5"/>
      <c r="ES299" s="5"/>
      <c r="ET299" s="5"/>
      <c r="EU299" s="5"/>
      <c r="EV299" s="5"/>
      <c r="EW299" s="5"/>
      <c r="EX299" s="5"/>
      <c r="EY299" s="5"/>
      <c r="EZ299" s="5"/>
      <c r="FA299" s="5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5"/>
      <c r="CT300" s="5"/>
      <c r="CU300" s="5"/>
      <c r="CV300" s="5"/>
      <c r="CW300" s="5"/>
      <c r="CX300" s="5"/>
      <c r="CY300" s="5"/>
      <c r="CZ300" s="5"/>
      <c r="DA300" s="5"/>
      <c r="DB300" s="5"/>
      <c r="DC300" s="5"/>
      <c r="DD300" s="5"/>
      <c r="DE300" s="5"/>
      <c r="DF300" s="5"/>
      <c r="DG300" s="5"/>
      <c r="DH300" s="5"/>
      <c r="DI300" s="5"/>
      <c r="DJ300" s="5"/>
      <c r="DK300" s="5"/>
      <c r="DL300" s="5"/>
      <c r="DM300" s="5"/>
      <c r="DN300" s="5"/>
      <c r="DO300" s="5"/>
      <c r="DP300" s="5"/>
      <c r="DQ300" s="5"/>
      <c r="DR300" s="5"/>
      <c r="DS300" s="5"/>
      <c r="DT300" s="5"/>
      <c r="DU300" s="5"/>
      <c r="DV300" s="5"/>
      <c r="DW300" s="5"/>
      <c r="DX300" s="5"/>
      <c r="DY300" s="5"/>
      <c r="DZ300" s="5"/>
      <c r="EA300" s="5"/>
      <c r="EB300" s="5"/>
      <c r="EC300" s="5"/>
      <c r="ED300" s="5"/>
      <c r="EE300" s="5"/>
      <c r="EF300" s="5"/>
      <c r="EG300" s="5"/>
      <c r="EH300" s="5"/>
      <c r="EI300" s="5"/>
      <c r="EJ300" s="5"/>
      <c r="EK300" s="5"/>
      <c r="EL300" s="5"/>
      <c r="EM300" s="5"/>
      <c r="EN300" s="5"/>
      <c r="EO300" s="5"/>
      <c r="EP300" s="5"/>
      <c r="EQ300" s="5"/>
      <c r="ER300" s="5"/>
      <c r="ES300" s="5"/>
      <c r="ET300" s="5"/>
      <c r="EU300" s="5"/>
      <c r="EV300" s="5"/>
      <c r="EW300" s="5"/>
      <c r="EX300" s="5"/>
      <c r="EY300" s="5"/>
      <c r="EZ300" s="5"/>
      <c r="FA300" s="5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5"/>
      <c r="CT301" s="5"/>
      <c r="CU301" s="5"/>
      <c r="CV301" s="5"/>
      <c r="CW301" s="5"/>
      <c r="CX301" s="5"/>
      <c r="CY301" s="5"/>
      <c r="CZ301" s="5"/>
      <c r="DA301" s="5"/>
      <c r="DB301" s="5"/>
      <c r="DC301" s="5"/>
      <c r="DD301" s="5"/>
      <c r="DE301" s="5"/>
      <c r="DF301" s="5"/>
      <c r="DG301" s="5"/>
      <c r="DH301" s="5"/>
      <c r="DI301" s="5"/>
      <c r="DJ301" s="5"/>
      <c r="DK301" s="5"/>
      <c r="DL301" s="5"/>
      <c r="DM301" s="5"/>
      <c r="DN301" s="5"/>
      <c r="DO301" s="5"/>
      <c r="DP301" s="5"/>
      <c r="DQ301" s="5"/>
      <c r="DR301" s="5"/>
      <c r="DS301" s="5"/>
      <c r="DT301" s="5"/>
      <c r="DU301" s="5"/>
      <c r="DV301" s="5"/>
      <c r="DW301" s="5"/>
      <c r="DX301" s="5"/>
      <c r="DY301" s="5"/>
      <c r="DZ301" s="5"/>
      <c r="EA301" s="5"/>
      <c r="EB301" s="5"/>
      <c r="EC301" s="5"/>
      <c r="ED301" s="5"/>
      <c r="EE301" s="5"/>
      <c r="EF301" s="5"/>
      <c r="EG301" s="5"/>
      <c r="EH301" s="5"/>
      <c r="EI301" s="5"/>
      <c r="EJ301" s="5"/>
      <c r="EK301" s="5"/>
      <c r="EL301" s="5"/>
      <c r="EM301" s="5"/>
      <c r="EN301" s="5"/>
      <c r="EO301" s="5"/>
      <c r="EP301" s="5"/>
      <c r="EQ301" s="5"/>
      <c r="ER301" s="5"/>
      <c r="ES301" s="5"/>
      <c r="ET301" s="5"/>
      <c r="EU301" s="5"/>
      <c r="EV301" s="5"/>
      <c r="EW301" s="5"/>
      <c r="EX301" s="5"/>
      <c r="EY301" s="5"/>
      <c r="EZ301" s="5"/>
      <c r="FA301" s="5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5"/>
      <c r="CT302" s="5"/>
      <c r="CU302" s="5"/>
      <c r="CV302" s="5"/>
      <c r="CW302" s="5"/>
      <c r="CX302" s="5"/>
      <c r="CY302" s="5"/>
      <c r="CZ302" s="5"/>
      <c r="DA302" s="5"/>
      <c r="DB302" s="5"/>
      <c r="DC302" s="5"/>
      <c r="DD302" s="5"/>
      <c r="DE302" s="5"/>
      <c r="DF302" s="5"/>
      <c r="DG302" s="5"/>
      <c r="DH302" s="5"/>
      <c r="DI302" s="5"/>
      <c r="DJ302" s="5"/>
      <c r="DK302" s="5"/>
      <c r="DL302" s="5"/>
      <c r="DM302" s="5"/>
      <c r="DN302" s="5"/>
      <c r="DO302" s="5"/>
      <c r="DP302" s="5"/>
      <c r="DQ302" s="5"/>
      <c r="DR302" s="5"/>
      <c r="DS302" s="5"/>
      <c r="DT302" s="5"/>
      <c r="DU302" s="5"/>
      <c r="DV302" s="5"/>
      <c r="DW302" s="5"/>
      <c r="DX302" s="5"/>
      <c r="DY302" s="5"/>
      <c r="DZ302" s="5"/>
      <c r="EA302" s="5"/>
      <c r="EB302" s="5"/>
      <c r="EC302" s="5"/>
      <c r="ED302" s="5"/>
      <c r="EE302" s="5"/>
      <c r="EF302" s="5"/>
      <c r="EG302" s="5"/>
      <c r="EH302" s="5"/>
      <c r="EI302" s="5"/>
      <c r="EJ302" s="5"/>
      <c r="EK302" s="5"/>
      <c r="EL302" s="5"/>
      <c r="EM302" s="5"/>
      <c r="EN302" s="5"/>
      <c r="EO302" s="5"/>
      <c r="EP302" s="5"/>
      <c r="EQ302" s="5"/>
      <c r="ER302" s="5"/>
      <c r="ES302" s="5"/>
      <c r="ET302" s="5"/>
      <c r="EU302" s="5"/>
      <c r="EV302" s="5"/>
      <c r="EW302" s="5"/>
      <c r="EX302" s="5"/>
      <c r="EY302" s="5"/>
      <c r="EZ302" s="5"/>
      <c r="FA302" s="5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5"/>
      <c r="CT303" s="5"/>
      <c r="CU303" s="5"/>
      <c r="CV303" s="5"/>
      <c r="CW303" s="5"/>
      <c r="CX303" s="5"/>
      <c r="CY303" s="5"/>
      <c r="CZ303" s="5"/>
      <c r="DA303" s="5"/>
      <c r="DB303" s="5"/>
      <c r="DC303" s="5"/>
      <c r="DD303" s="5"/>
      <c r="DE303" s="5"/>
      <c r="DF303" s="5"/>
      <c r="DG303" s="5"/>
      <c r="DH303" s="5"/>
      <c r="DI303" s="5"/>
      <c r="DJ303" s="5"/>
      <c r="DK303" s="5"/>
      <c r="DL303" s="5"/>
      <c r="DM303" s="5"/>
      <c r="DN303" s="5"/>
      <c r="DO303" s="5"/>
      <c r="DP303" s="5"/>
      <c r="DQ303" s="5"/>
      <c r="DR303" s="5"/>
      <c r="DS303" s="5"/>
      <c r="DT303" s="5"/>
      <c r="DU303" s="5"/>
      <c r="DV303" s="5"/>
      <c r="DW303" s="5"/>
      <c r="DX303" s="5"/>
      <c r="DY303" s="5"/>
      <c r="DZ303" s="5"/>
      <c r="EA303" s="5"/>
      <c r="EB303" s="5"/>
      <c r="EC303" s="5"/>
      <c r="ED303" s="5"/>
      <c r="EE303" s="5"/>
      <c r="EF303" s="5"/>
      <c r="EG303" s="5"/>
      <c r="EH303" s="5"/>
      <c r="EI303" s="5"/>
      <c r="EJ303" s="5"/>
      <c r="EK303" s="5"/>
      <c r="EL303" s="5"/>
      <c r="EM303" s="5"/>
      <c r="EN303" s="5"/>
      <c r="EO303" s="5"/>
      <c r="EP303" s="5"/>
      <c r="EQ303" s="5"/>
      <c r="ER303" s="5"/>
      <c r="ES303" s="5"/>
      <c r="ET303" s="5"/>
      <c r="EU303" s="5"/>
      <c r="EV303" s="5"/>
      <c r="EW303" s="5"/>
      <c r="EX303" s="5"/>
      <c r="EY303" s="5"/>
      <c r="EZ303" s="5"/>
      <c r="FA303" s="5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5"/>
      <c r="CT304" s="5"/>
      <c r="CU304" s="5"/>
      <c r="CV304" s="5"/>
      <c r="CW304" s="5"/>
      <c r="CX304" s="5"/>
      <c r="CY304" s="5"/>
      <c r="CZ304" s="5"/>
      <c r="DA304" s="5"/>
      <c r="DB304" s="5"/>
      <c r="DC304" s="5"/>
      <c r="DD304" s="5"/>
      <c r="DE304" s="5"/>
      <c r="DF304" s="5"/>
      <c r="DG304" s="5"/>
      <c r="DH304" s="5"/>
      <c r="DI304" s="5"/>
      <c r="DJ304" s="5"/>
      <c r="DK304" s="5"/>
      <c r="DL304" s="5"/>
      <c r="DM304" s="5"/>
      <c r="DN304" s="5"/>
      <c r="DO304" s="5"/>
      <c r="DP304" s="5"/>
      <c r="DQ304" s="5"/>
      <c r="DR304" s="5"/>
      <c r="DS304" s="5"/>
      <c r="DT304" s="5"/>
      <c r="DU304" s="5"/>
      <c r="DV304" s="5"/>
      <c r="DW304" s="5"/>
      <c r="DX304" s="5"/>
      <c r="DY304" s="5"/>
      <c r="DZ304" s="5"/>
      <c r="EA304" s="5"/>
      <c r="EB304" s="5"/>
      <c r="EC304" s="5"/>
      <c r="ED304" s="5"/>
      <c r="EE304" s="5"/>
      <c r="EF304" s="5"/>
      <c r="EG304" s="5"/>
      <c r="EH304" s="5"/>
      <c r="EI304" s="5"/>
      <c r="EJ304" s="5"/>
      <c r="EK304" s="5"/>
      <c r="EL304" s="5"/>
      <c r="EM304" s="5"/>
      <c r="EN304" s="5"/>
      <c r="EO304" s="5"/>
      <c r="EP304" s="5"/>
      <c r="EQ304" s="5"/>
      <c r="ER304" s="5"/>
      <c r="ES304" s="5"/>
      <c r="ET304" s="5"/>
      <c r="EU304" s="5"/>
      <c r="EV304" s="5"/>
      <c r="EW304" s="5"/>
      <c r="EX304" s="5"/>
      <c r="EY304" s="5"/>
      <c r="EZ304" s="5"/>
      <c r="FA304" s="5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5"/>
      <c r="CT305" s="5"/>
      <c r="CU305" s="5"/>
      <c r="CV305" s="5"/>
      <c r="CW305" s="5"/>
      <c r="CX305" s="5"/>
      <c r="CY305" s="5"/>
      <c r="CZ305" s="5"/>
      <c r="DA305" s="5"/>
      <c r="DB305" s="5"/>
      <c r="DC305" s="5"/>
      <c r="DD305" s="5"/>
      <c r="DE305" s="5"/>
      <c r="DF305" s="5"/>
      <c r="DG305" s="5"/>
      <c r="DH305" s="5"/>
      <c r="DI305" s="5"/>
      <c r="DJ305" s="5"/>
      <c r="DK305" s="5"/>
      <c r="DL305" s="5"/>
      <c r="DM305" s="5"/>
      <c r="DN305" s="5"/>
      <c r="DO305" s="5"/>
      <c r="DP305" s="5"/>
      <c r="DQ305" s="5"/>
      <c r="DR305" s="5"/>
      <c r="DS305" s="5"/>
      <c r="DT305" s="5"/>
      <c r="DU305" s="5"/>
      <c r="DV305" s="5"/>
      <c r="DW305" s="5"/>
      <c r="DX305" s="5"/>
      <c r="DY305" s="5"/>
      <c r="DZ305" s="5"/>
      <c r="EA305" s="5"/>
      <c r="EB305" s="5"/>
      <c r="EC305" s="5"/>
      <c r="ED305" s="5"/>
      <c r="EE305" s="5"/>
      <c r="EF305" s="5"/>
      <c r="EG305" s="5"/>
      <c r="EH305" s="5"/>
      <c r="EI305" s="5"/>
      <c r="EJ305" s="5"/>
      <c r="EK305" s="5"/>
      <c r="EL305" s="5"/>
      <c r="EM305" s="5"/>
      <c r="EN305" s="5"/>
      <c r="EO305" s="5"/>
      <c r="EP305" s="5"/>
      <c r="EQ305" s="5"/>
      <c r="ER305" s="5"/>
      <c r="ES305" s="5"/>
      <c r="ET305" s="5"/>
      <c r="EU305" s="5"/>
      <c r="EV305" s="5"/>
      <c r="EW305" s="5"/>
      <c r="EX305" s="5"/>
      <c r="EY305" s="5"/>
      <c r="EZ305" s="5"/>
      <c r="FA305" s="5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5"/>
      <c r="CT306" s="5"/>
      <c r="CU306" s="5"/>
      <c r="CV306" s="5"/>
      <c r="CW306" s="5"/>
      <c r="CX306" s="5"/>
      <c r="CY306" s="5"/>
      <c r="CZ306" s="5"/>
      <c r="DA306" s="5"/>
      <c r="DB306" s="5"/>
      <c r="DC306" s="5"/>
      <c r="DD306" s="5"/>
      <c r="DE306" s="5"/>
      <c r="DF306" s="5"/>
      <c r="DG306" s="5"/>
      <c r="DH306" s="5"/>
      <c r="DI306" s="5"/>
      <c r="DJ306" s="5"/>
      <c r="DK306" s="5"/>
      <c r="DL306" s="5"/>
      <c r="DM306" s="5"/>
      <c r="DN306" s="5"/>
      <c r="DO306" s="5"/>
      <c r="DP306" s="5"/>
      <c r="DQ306" s="5"/>
      <c r="DR306" s="5"/>
      <c r="DS306" s="5"/>
      <c r="DT306" s="5"/>
      <c r="DU306" s="5"/>
      <c r="DV306" s="5"/>
      <c r="DW306" s="5"/>
      <c r="DX306" s="5"/>
      <c r="DY306" s="5"/>
      <c r="DZ306" s="5"/>
      <c r="EA306" s="5"/>
      <c r="EB306" s="5"/>
      <c r="EC306" s="5"/>
      <c r="ED306" s="5"/>
      <c r="EE306" s="5"/>
      <c r="EF306" s="5"/>
      <c r="EG306" s="5"/>
      <c r="EH306" s="5"/>
      <c r="EI306" s="5"/>
      <c r="EJ306" s="5"/>
      <c r="EK306" s="5"/>
      <c r="EL306" s="5"/>
      <c r="EM306" s="5"/>
      <c r="EN306" s="5"/>
      <c r="EO306" s="5"/>
      <c r="EP306" s="5"/>
      <c r="EQ306" s="5"/>
      <c r="ER306" s="5"/>
      <c r="ES306" s="5"/>
      <c r="ET306" s="5"/>
      <c r="EU306" s="5"/>
      <c r="EV306" s="5"/>
      <c r="EW306" s="5"/>
      <c r="EX306" s="5"/>
      <c r="EY306" s="5"/>
      <c r="EZ306" s="5"/>
      <c r="FA306" s="5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5"/>
      <c r="CT307" s="5"/>
      <c r="CU307" s="5"/>
      <c r="CV307" s="5"/>
      <c r="CW307" s="5"/>
      <c r="CX307" s="5"/>
      <c r="CY307" s="5"/>
      <c r="CZ307" s="5"/>
      <c r="DA307" s="5"/>
      <c r="DB307" s="5"/>
      <c r="DC307" s="5"/>
      <c r="DD307" s="5"/>
      <c r="DE307" s="5"/>
      <c r="DF307" s="5"/>
      <c r="DG307" s="5"/>
      <c r="DH307" s="5"/>
      <c r="DI307" s="5"/>
      <c r="DJ307" s="5"/>
      <c r="DK307" s="5"/>
      <c r="DL307" s="5"/>
      <c r="DM307" s="5"/>
      <c r="DN307" s="5"/>
      <c r="DO307" s="5"/>
      <c r="DP307" s="5"/>
      <c r="DQ307" s="5"/>
      <c r="DR307" s="5"/>
      <c r="DS307" s="5"/>
      <c r="DT307" s="5"/>
      <c r="DU307" s="5"/>
      <c r="DV307" s="5"/>
      <c r="DW307" s="5"/>
      <c r="DX307" s="5"/>
      <c r="DY307" s="5"/>
      <c r="DZ307" s="5"/>
      <c r="EA307" s="5"/>
      <c r="EB307" s="5"/>
      <c r="EC307" s="5"/>
      <c r="ED307" s="5"/>
      <c r="EE307" s="5"/>
      <c r="EF307" s="5"/>
      <c r="EG307" s="5"/>
      <c r="EH307" s="5"/>
      <c r="EI307" s="5"/>
      <c r="EJ307" s="5"/>
      <c r="EK307" s="5"/>
      <c r="EL307" s="5"/>
      <c r="EM307" s="5"/>
      <c r="EN307" s="5"/>
      <c r="EO307" s="5"/>
      <c r="EP307" s="5"/>
      <c r="EQ307" s="5"/>
      <c r="ER307" s="5"/>
      <c r="ES307" s="5"/>
      <c r="ET307" s="5"/>
      <c r="EU307" s="5"/>
      <c r="EV307" s="5"/>
      <c r="EW307" s="5"/>
      <c r="EX307" s="5"/>
      <c r="EY307" s="5"/>
      <c r="EZ307" s="5"/>
      <c r="FA307" s="5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5"/>
      <c r="CT308" s="5"/>
      <c r="CU308" s="5"/>
      <c r="CV308" s="5"/>
      <c r="CW308" s="5"/>
      <c r="CX308" s="5"/>
      <c r="CY308" s="5"/>
      <c r="CZ308" s="5"/>
      <c r="DA308" s="5"/>
      <c r="DB308" s="5"/>
      <c r="DC308" s="5"/>
      <c r="DD308" s="5"/>
      <c r="DE308" s="5"/>
      <c r="DF308" s="5"/>
      <c r="DG308" s="5"/>
      <c r="DH308" s="5"/>
      <c r="DI308" s="5"/>
      <c r="DJ308" s="5"/>
      <c r="DK308" s="5"/>
      <c r="DL308" s="5"/>
      <c r="DM308" s="5"/>
      <c r="DN308" s="5"/>
      <c r="DO308" s="5"/>
      <c r="DP308" s="5"/>
      <c r="DQ308" s="5"/>
      <c r="DR308" s="5"/>
      <c r="DS308" s="5"/>
      <c r="DT308" s="5"/>
      <c r="DU308" s="5"/>
      <c r="DV308" s="5"/>
      <c r="DW308" s="5"/>
      <c r="DX308" s="5"/>
      <c r="DY308" s="5"/>
      <c r="DZ308" s="5"/>
      <c r="EA308" s="5"/>
      <c r="EB308" s="5"/>
      <c r="EC308" s="5"/>
      <c r="ED308" s="5"/>
      <c r="EE308" s="5"/>
      <c r="EF308" s="5"/>
      <c r="EG308" s="5"/>
      <c r="EH308" s="5"/>
      <c r="EI308" s="5"/>
      <c r="EJ308" s="5"/>
      <c r="EK308" s="5"/>
      <c r="EL308" s="5"/>
      <c r="EM308" s="5"/>
      <c r="EN308" s="5"/>
      <c r="EO308" s="5"/>
      <c r="EP308" s="5"/>
      <c r="EQ308" s="5"/>
      <c r="ER308" s="5"/>
      <c r="ES308" s="5"/>
      <c r="ET308" s="5"/>
      <c r="EU308" s="5"/>
      <c r="EV308" s="5"/>
      <c r="EW308" s="5"/>
      <c r="EX308" s="5"/>
      <c r="EY308" s="5"/>
      <c r="EZ308" s="5"/>
      <c r="FA308" s="5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5"/>
      <c r="CT309" s="5"/>
      <c r="CU309" s="5"/>
      <c r="CV309" s="5"/>
      <c r="CW309" s="5"/>
      <c r="CX309" s="5"/>
      <c r="CY309" s="5"/>
      <c r="CZ309" s="5"/>
      <c r="DA309" s="5"/>
      <c r="DB309" s="5"/>
      <c r="DC309" s="5"/>
      <c r="DD309" s="5"/>
      <c r="DE309" s="5"/>
      <c r="DF309" s="5"/>
      <c r="DG309" s="5"/>
      <c r="DH309" s="5"/>
      <c r="DI309" s="5"/>
      <c r="DJ309" s="5"/>
      <c r="DK309" s="5"/>
      <c r="DL309" s="5"/>
      <c r="DM309" s="5"/>
      <c r="DN309" s="5"/>
      <c r="DO309" s="5"/>
      <c r="DP309" s="5"/>
      <c r="DQ309" s="5"/>
      <c r="DR309" s="5"/>
      <c r="DS309" s="5"/>
      <c r="DT309" s="5"/>
      <c r="DU309" s="5"/>
      <c r="DV309" s="5"/>
      <c r="DW309" s="5"/>
      <c r="DX309" s="5"/>
      <c r="DY309" s="5"/>
      <c r="DZ309" s="5"/>
      <c r="EA309" s="5"/>
      <c r="EB309" s="5"/>
      <c r="EC309" s="5"/>
      <c r="ED309" s="5"/>
      <c r="EE309" s="5"/>
      <c r="EF309" s="5"/>
      <c r="EG309" s="5"/>
      <c r="EH309" s="5"/>
      <c r="EI309" s="5"/>
      <c r="EJ309" s="5"/>
      <c r="EK309" s="5"/>
      <c r="EL309" s="5"/>
      <c r="EM309" s="5"/>
      <c r="EN309" s="5"/>
      <c r="EO309" s="5"/>
      <c r="EP309" s="5"/>
      <c r="EQ309" s="5"/>
      <c r="ER309" s="5"/>
      <c r="ES309" s="5"/>
      <c r="ET309" s="5"/>
      <c r="EU309" s="5"/>
      <c r="EV309" s="5"/>
      <c r="EW309" s="5"/>
      <c r="EX309" s="5"/>
      <c r="EY309" s="5"/>
      <c r="EZ309" s="5"/>
      <c r="FA309" s="5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5"/>
      <c r="CT310" s="5"/>
      <c r="CU310" s="5"/>
      <c r="CV310" s="5"/>
      <c r="CW310" s="5"/>
      <c r="CX310" s="5"/>
      <c r="CY310" s="5"/>
      <c r="CZ310" s="5"/>
      <c r="DA310" s="5"/>
      <c r="DB310" s="5"/>
      <c r="DC310" s="5"/>
      <c r="DD310" s="5"/>
      <c r="DE310" s="5"/>
      <c r="DF310" s="5"/>
      <c r="DG310" s="5"/>
      <c r="DH310" s="5"/>
      <c r="DI310" s="5"/>
      <c r="DJ310" s="5"/>
      <c r="DK310" s="5"/>
      <c r="DL310" s="5"/>
      <c r="DM310" s="5"/>
      <c r="DN310" s="5"/>
      <c r="DO310" s="5"/>
      <c r="DP310" s="5"/>
      <c r="DQ310" s="5"/>
      <c r="DR310" s="5"/>
      <c r="DS310" s="5"/>
      <c r="DT310" s="5"/>
      <c r="DU310" s="5"/>
      <c r="DV310" s="5"/>
      <c r="DW310" s="5"/>
      <c r="DX310" s="5"/>
      <c r="DY310" s="5"/>
      <c r="DZ310" s="5"/>
      <c r="EA310" s="5"/>
      <c r="EB310" s="5"/>
      <c r="EC310" s="5"/>
      <c r="ED310" s="5"/>
      <c r="EE310" s="5"/>
      <c r="EF310" s="5"/>
      <c r="EG310" s="5"/>
      <c r="EH310" s="5"/>
      <c r="EI310" s="5"/>
      <c r="EJ310" s="5"/>
      <c r="EK310" s="5"/>
      <c r="EL310" s="5"/>
      <c r="EM310" s="5"/>
      <c r="EN310" s="5"/>
      <c r="EO310" s="5"/>
      <c r="EP310" s="5"/>
      <c r="EQ310" s="5"/>
      <c r="ER310" s="5"/>
      <c r="ES310" s="5"/>
      <c r="ET310" s="5"/>
      <c r="EU310" s="5"/>
      <c r="EV310" s="5"/>
      <c r="EW310" s="5"/>
      <c r="EX310" s="5"/>
      <c r="EY310" s="5"/>
      <c r="EZ310" s="5"/>
      <c r="FA310" s="5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5"/>
      <c r="CT311" s="5"/>
      <c r="CU311" s="5"/>
      <c r="CV311" s="5"/>
      <c r="CW311" s="5"/>
      <c r="CX311" s="5"/>
      <c r="CY311" s="5"/>
      <c r="CZ311" s="5"/>
      <c r="DA311" s="5"/>
      <c r="DB311" s="5"/>
      <c r="DC311" s="5"/>
      <c r="DD311" s="5"/>
      <c r="DE311" s="5"/>
      <c r="DF311" s="5"/>
      <c r="DG311" s="5"/>
      <c r="DH311" s="5"/>
      <c r="DI311" s="5"/>
      <c r="DJ311" s="5"/>
      <c r="DK311" s="5"/>
      <c r="DL311" s="5"/>
      <c r="DM311" s="5"/>
      <c r="DN311" s="5"/>
      <c r="DO311" s="5"/>
      <c r="DP311" s="5"/>
      <c r="DQ311" s="5"/>
      <c r="DR311" s="5"/>
      <c r="DS311" s="5"/>
      <c r="DT311" s="5"/>
      <c r="DU311" s="5"/>
      <c r="DV311" s="5"/>
      <c r="DW311" s="5"/>
      <c r="DX311" s="5"/>
      <c r="DY311" s="5"/>
      <c r="DZ311" s="5"/>
      <c r="EA311" s="5"/>
      <c r="EB311" s="5"/>
      <c r="EC311" s="5"/>
      <c r="ED311" s="5"/>
      <c r="EE311" s="5"/>
      <c r="EF311" s="5"/>
      <c r="EG311" s="5"/>
      <c r="EH311" s="5"/>
      <c r="EI311" s="5"/>
      <c r="EJ311" s="5"/>
      <c r="EK311" s="5"/>
      <c r="EL311" s="5"/>
      <c r="EM311" s="5"/>
      <c r="EN311" s="5"/>
      <c r="EO311" s="5"/>
      <c r="EP311" s="5"/>
      <c r="EQ311" s="5"/>
      <c r="ER311" s="5"/>
      <c r="ES311" s="5"/>
      <c r="ET311" s="5"/>
      <c r="EU311" s="5"/>
      <c r="EV311" s="5"/>
      <c r="EW311" s="5"/>
      <c r="EX311" s="5"/>
      <c r="EY311" s="5"/>
      <c r="EZ311" s="5"/>
      <c r="FA311" s="5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5"/>
      <c r="CT312" s="5"/>
      <c r="CU312" s="5"/>
      <c r="CV312" s="5"/>
      <c r="CW312" s="5"/>
      <c r="CX312" s="5"/>
      <c r="CY312" s="5"/>
      <c r="CZ312" s="5"/>
      <c r="DA312" s="5"/>
      <c r="DB312" s="5"/>
      <c r="DC312" s="5"/>
      <c r="DD312" s="5"/>
      <c r="DE312" s="5"/>
      <c r="DF312" s="5"/>
      <c r="DG312" s="5"/>
      <c r="DH312" s="5"/>
      <c r="DI312" s="5"/>
      <c r="DJ312" s="5"/>
      <c r="DK312" s="5"/>
      <c r="DL312" s="5"/>
      <c r="DM312" s="5"/>
      <c r="DN312" s="5"/>
      <c r="DO312" s="5"/>
      <c r="DP312" s="5"/>
      <c r="DQ312" s="5"/>
      <c r="DR312" s="5"/>
      <c r="DS312" s="5"/>
      <c r="DT312" s="5"/>
      <c r="DU312" s="5"/>
      <c r="DV312" s="5"/>
      <c r="DW312" s="5"/>
      <c r="DX312" s="5"/>
      <c r="DY312" s="5"/>
      <c r="DZ312" s="5"/>
      <c r="EA312" s="5"/>
      <c r="EB312" s="5"/>
      <c r="EC312" s="5"/>
      <c r="ED312" s="5"/>
      <c r="EE312" s="5"/>
      <c r="EF312" s="5"/>
      <c r="EG312" s="5"/>
      <c r="EH312" s="5"/>
      <c r="EI312" s="5"/>
      <c r="EJ312" s="5"/>
      <c r="EK312" s="5"/>
      <c r="EL312" s="5"/>
      <c r="EM312" s="5"/>
      <c r="EN312" s="5"/>
      <c r="EO312" s="5"/>
      <c r="EP312" s="5"/>
      <c r="EQ312" s="5"/>
      <c r="ER312" s="5"/>
      <c r="ES312" s="5"/>
      <c r="ET312" s="5"/>
      <c r="EU312" s="5"/>
      <c r="EV312" s="5"/>
      <c r="EW312" s="5"/>
      <c r="EX312" s="5"/>
      <c r="EY312" s="5"/>
      <c r="EZ312" s="5"/>
      <c r="FA312" s="5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5"/>
      <c r="CT313" s="5"/>
      <c r="CU313" s="5"/>
      <c r="CV313" s="5"/>
      <c r="CW313" s="5"/>
      <c r="CX313" s="5"/>
      <c r="CY313" s="5"/>
      <c r="CZ313" s="5"/>
      <c r="DA313" s="5"/>
      <c r="DB313" s="5"/>
      <c r="DC313" s="5"/>
      <c r="DD313" s="5"/>
      <c r="DE313" s="5"/>
      <c r="DF313" s="5"/>
      <c r="DG313" s="5"/>
      <c r="DH313" s="5"/>
      <c r="DI313" s="5"/>
      <c r="DJ313" s="5"/>
      <c r="DK313" s="5"/>
      <c r="DL313" s="5"/>
      <c r="DM313" s="5"/>
      <c r="DN313" s="5"/>
      <c r="DO313" s="5"/>
      <c r="DP313" s="5"/>
      <c r="DQ313" s="5"/>
      <c r="DR313" s="5"/>
      <c r="DS313" s="5"/>
      <c r="DT313" s="5"/>
      <c r="DU313" s="5"/>
      <c r="DV313" s="5"/>
      <c r="DW313" s="5"/>
      <c r="DX313" s="5"/>
      <c r="DY313" s="5"/>
      <c r="DZ313" s="5"/>
      <c r="EA313" s="5"/>
      <c r="EB313" s="5"/>
      <c r="EC313" s="5"/>
      <c r="ED313" s="5"/>
      <c r="EE313" s="5"/>
      <c r="EF313" s="5"/>
      <c r="EG313" s="5"/>
      <c r="EH313" s="5"/>
      <c r="EI313" s="5"/>
      <c r="EJ313" s="5"/>
      <c r="EK313" s="5"/>
      <c r="EL313" s="5"/>
      <c r="EM313" s="5"/>
      <c r="EN313" s="5"/>
      <c r="EO313" s="5"/>
      <c r="EP313" s="5"/>
      <c r="EQ313" s="5"/>
      <c r="ER313" s="5"/>
      <c r="ES313" s="5"/>
      <c r="ET313" s="5"/>
      <c r="EU313" s="5"/>
      <c r="EV313" s="5"/>
      <c r="EW313" s="5"/>
      <c r="EX313" s="5"/>
      <c r="EY313" s="5"/>
      <c r="EZ313" s="5"/>
      <c r="FA313" s="5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5"/>
      <c r="CT314" s="5"/>
      <c r="CU314" s="5"/>
      <c r="CV314" s="5"/>
      <c r="CW314" s="5"/>
      <c r="CX314" s="5"/>
      <c r="CY314" s="5"/>
      <c r="CZ314" s="5"/>
      <c r="DA314" s="5"/>
      <c r="DB314" s="5"/>
      <c r="DC314" s="5"/>
      <c r="DD314" s="5"/>
      <c r="DE314" s="5"/>
      <c r="DF314" s="5"/>
      <c r="DG314" s="5"/>
      <c r="DH314" s="5"/>
      <c r="DI314" s="5"/>
      <c r="DJ314" s="5"/>
      <c r="DK314" s="5"/>
      <c r="DL314" s="5"/>
      <c r="DM314" s="5"/>
      <c r="DN314" s="5"/>
      <c r="DO314" s="5"/>
      <c r="DP314" s="5"/>
      <c r="DQ314" s="5"/>
      <c r="DR314" s="5"/>
      <c r="DS314" s="5"/>
      <c r="DT314" s="5"/>
      <c r="DU314" s="5"/>
      <c r="DV314" s="5"/>
      <c r="DW314" s="5"/>
      <c r="DX314" s="5"/>
      <c r="DY314" s="5"/>
      <c r="DZ314" s="5"/>
      <c r="EA314" s="5"/>
      <c r="EB314" s="5"/>
      <c r="EC314" s="5"/>
      <c r="ED314" s="5"/>
      <c r="EE314" s="5"/>
      <c r="EF314" s="5"/>
      <c r="EG314" s="5"/>
      <c r="EH314" s="5"/>
      <c r="EI314" s="5"/>
      <c r="EJ314" s="5"/>
      <c r="EK314" s="5"/>
      <c r="EL314" s="5"/>
      <c r="EM314" s="5"/>
      <c r="EN314" s="5"/>
      <c r="EO314" s="5"/>
      <c r="EP314" s="5"/>
      <c r="EQ314" s="5"/>
      <c r="ER314" s="5"/>
      <c r="ES314" s="5"/>
      <c r="ET314" s="5"/>
      <c r="EU314" s="5"/>
      <c r="EV314" s="5"/>
      <c r="EW314" s="5"/>
      <c r="EX314" s="5"/>
      <c r="EY314" s="5"/>
      <c r="EZ314" s="5"/>
      <c r="FA314" s="5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5"/>
      <c r="CT315" s="5"/>
      <c r="CU315" s="5"/>
      <c r="CV315" s="5"/>
      <c r="CW315" s="5"/>
      <c r="CX315" s="5"/>
      <c r="CY315" s="5"/>
      <c r="CZ315" s="5"/>
      <c r="DA315" s="5"/>
      <c r="DB315" s="5"/>
      <c r="DC315" s="5"/>
      <c r="DD315" s="5"/>
      <c r="DE315" s="5"/>
      <c r="DF315" s="5"/>
      <c r="DG315" s="5"/>
      <c r="DH315" s="5"/>
      <c r="DI315" s="5"/>
      <c r="DJ315" s="5"/>
      <c r="DK315" s="5"/>
      <c r="DL315" s="5"/>
      <c r="DM315" s="5"/>
      <c r="DN315" s="5"/>
      <c r="DO315" s="5"/>
      <c r="DP315" s="5"/>
      <c r="DQ315" s="5"/>
      <c r="DR315" s="5"/>
      <c r="DS315" s="5"/>
      <c r="DT315" s="5"/>
      <c r="DU315" s="5"/>
      <c r="DV315" s="5"/>
      <c r="DW315" s="5"/>
      <c r="DX315" s="5"/>
      <c r="DY315" s="5"/>
      <c r="DZ315" s="5"/>
      <c r="EA315" s="5"/>
      <c r="EB315" s="5"/>
      <c r="EC315" s="5"/>
      <c r="ED315" s="5"/>
      <c r="EE315" s="5"/>
      <c r="EF315" s="5"/>
      <c r="EG315" s="5"/>
      <c r="EH315" s="5"/>
      <c r="EI315" s="5"/>
      <c r="EJ315" s="5"/>
      <c r="EK315" s="5"/>
      <c r="EL315" s="5"/>
      <c r="EM315" s="5"/>
      <c r="EN315" s="5"/>
      <c r="EO315" s="5"/>
      <c r="EP315" s="5"/>
      <c r="EQ315" s="5"/>
      <c r="ER315" s="5"/>
      <c r="ES315" s="5"/>
      <c r="ET315" s="5"/>
      <c r="EU315" s="5"/>
      <c r="EV315" s="5"/>
      <c r="EW315" s="5"/>
      <c r="EX315" s="5"/>
      <c r="EY315" s="5"/>
      <c r="EZ315" s="5"/>
      <c r="FA315" s="5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5"/>
      <c r="CT316" s="5"/>
      <c r="CU316" s="5"/>
      <c r="CV316" s="5"/>
      <c r="CW316" s="5"/>
      <c r="CX316" s="5"/>
      <c r="CY316" s="5"/>
      <c r="CZ316" s="5"/>
      <c r="DA316" s="5"/>
      <c r="DB316" s="5"/>
      <c r="DC316" s="5"/>
      <c r="DD316" s="5"/>
      <c r="DE316" s="5"/>
      <c r="DF316" s="5"/>
      <c r="DG316" s="5"/>
      <c r="DH316" s="5"/>
      <c r="DI316" s="5"/>
      <c r="DJ316" s="5"/>
      <c r="DK316" s="5"/>
      <c r="DL316" s="5"/>
      <c r="DM316" s="5"/>
      <c r="DN316" s="5"/>
      <c r="DO316" s="5"/>
      <c r="DP316" s="5"/>
      <c r="DQ316" s="5"/>
      <c r="DR316" s="5"/>
      <c r="DS316" s="5"/>
      <c r="DT316" s="5"/>
      <c r="DU316" s="5"/>
      <c r="DV316" s="5"/>
      <c r="DW316" s="5"/>
      <c r="DX316" s="5"/>
      <c r="DY316" s="5"/>
      <c r="DZ316" s="5"/>
      <c r="EA316" s="5"/>
      <c r="EB316" s="5"/>
      <c r="EC316" s="5"/>
      <c r="ED316" s="5"/>
      <c r="EE316" s="5"/>
      <c r="EF316" s="5"/>
      <c r="EG316" s="5"/>
      <c r="EH316" s="5"/>
      <c r="EI316" s="5"/>
      <c r="EJ316" s="5"/>
      <c r="EK316" s="5"/>
      <c r="EL316" s="5"/>
      <c r="EM316" s="5"/>
      <c r="EN316" s="5"/>
      <c r="EO316" s="5"/>
      <c r="EP316" s="5"/>
      <c r="EQ316" s="5"/>
      <c r="ER316" s="5"/>
      <c r="ES316" s="5"/>
      <c r="ET316" s="5"/>
      <c r="EU316" s="5"/>
      <c r="EV316" s="5"/>
      <c r="EW316" s="5"/>
      <c r="EX316" s="5"/>
      <c r="EY316" s="5"/>
      <c r="EZ316" s="5"/>
      <c r="FA316" s="5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5"/>
      <c r="CT317" s="5"/>
      <c r="CU317" s="5"/>
      <c r="CV317" s="5"/>
      <c r="CW317" s="5"/>
      <c r="CX317" s="5"/>
      <c r="CY317" s="5"/>
      <c r="CZ317" s="5"/>
      <c r="DA317" s="5"/>
      <c r="DB317" s="5"/>
      <c r="DC317" s="5"/>
      <c r="DD317" s="5"/>
      <c r="DE317" s="5"/>
      <c r="DF317" s="5"/>
      <c r="DG317" s="5"/>
      <c r="DH317" s="5"/>
      <c r="DI317" s="5"/>
      <c r="DJ317" s="5"/>
      <c r="DK317" s="5"/>
      <c r="DL317" s="5"/>
      <c r="DM317" s="5"/>
      <c r="DN317" s="5"/>
      <c r="DO317" s="5"/>
      <c r="DP317" s="5"/>
      <c r="DQ317" s="5"/>
      <c r="DR317" s="5"/>
      <c r="DS317" s="5"/>
      <c r="DT317" s="5"/>
      <c r="DU317" s="5"/>
      <c r="DV317" s="5"/>
      <c r="DW317" s="5"/>
      <c r="DX317" s="5"/>
      <c r="DY317" s="5"/>
      <c r="DZ317" s="5"/>
      <c r="EA317" s="5"/>
      <c r="EB317" s="5"/>
      <c r="EC317" s="5"/>
      <c r="ED317" s="5"/>
      <c r="EE317" s="5"/>
      <c r="EF317" s="5"/>
      <c r="EG317" s="5"/>
      <c r="EH317" s="5"/>
      <c r="EI317" s="5"/>
      <c r="EJ317" s="5"/>
      <c r="EK317" s="5"/>
      <c r="EL317" s="5"/>
      <c r="EM317" s="5"/>
      <c r="EN317" s="5"/>
      <c r="EO317" s="5"/>
      <c r="EP317" s="5"/>
      <c r="EQ317" s="5"/>
      <c r="ER317" s="5"/>
      <c r="ES317" s="5"/>
      <c r="ET317" s="5"/>
      <c r="EU317" s="5"/>
      <c r="EV317" s="5"/>
      <c r="EW317" s="5"/>
      <c r="EX317" s="5"/>
      <c r="EY317" s="5"/>
      <c r="EZ317" s="5"/>
      <c r="FA317" s="5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5"/>
      <c r="CT318" s="5"/>
      <c r="CU318" s="5"/>
      <c r="CV318" s="5"/>
      <c r="CW318" s="5"/>
      <c r="CX318" s="5"/>
      <c r="CY318" s="5"/>
      <c r="CZ318" s="5"/>
      <c r="DA318" s="5"/>
      <c r="DB318" s="5"/>
      <c r="DC318" s="5"/>
      <c r="DD318" s="5"/>
      <c r="DE318" s="5"/>
      <c r="DF318" s="5"/>
      <c r="DG318" s="5"/>
      <c r="DH318" s="5"/>
      <c r="DI318" s="5"/>
      <c r="DJ318" s="5"/>
      <c r="DK318" s="5"/>
      <c r="DL318" s="5"/>
      <c r="DM318" s="5"/>
      <c r="DN318" s="5"/>
      <c r="DO318" s="5"/>
      <c r="DP318" s="5"/>
      <c r="DQ318" s="5"/>
      <c r="DR318" s="5"/>
      <c r="DS318" s="5"/>
      <c r="DT318" s="5"/>
      <c r="DU318" s="5"/>
      <c r="DV318" s="5"/>
      <c r="DW318" s="5"/>
      <c r="DX318" s="5"/>
      <c r="DY318" s="5"/>
      <c r="DZ318" s="5"/>
      <c r="EA318" s="5"/>
      <c r="EB318" s="5"/>
      <c r="EC318" s="5"/>
      <c r="ED318" s="5"/>
      <c r="EE318" s="5"/>
      <c r="EF318" s="5"/>
      <c r="EG318" s="5"/>
      <c r="EH318" s="5"/>
      <c r="EI318" s="5"/>
      <c r="EJ318" s="5"/>
      <c r="EK318" s="5"/>
      <c r="EL318" s="5"/>
      <c r="EM318" s="5"/>
      <c r="EN318" s="5"/>
      <c r="EO318" s="5"/>
      <c r="EP318" s="5"/>
      <c r="EQ318" s="5"/>
      <c r="ER318" s="5"/>
      <c r="ES318" s="5"/>
      <c r="ET318" s="5"/>
      <c r="EU318" s="5"/>
      <c r="EV318" s="5"/>
      <c r="EW318" s="5"/>
      <c r="EX318" s="5"/>
      <c r="EY318" s="5"/>
      <c r="EZ318" s="5"/>
      <c r="FA318" s="5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5"/>
      <c r="CT319" s="5"/>
      <c r="CU319" s="5"/>
      <c r="CV319" s="5"/>
      <c r="CW319" s="5"/>
      <c r="CX319" s="5"/>
      <c r="CY319" s="5"/>
      <c r="CZ319" s="5"/>
      <c r="DA319" s="5"/>
      <c r="DB319" s="5"/>
      <c r="DC319" s="5"/>
      <c r="DD319" s="5"/>
      <c r="DE319" s="5"/>
      <c r="DF319" s="5"/>
      <c r="DG319" s="5"/>
      <c r="DH319" s="5"/>
      <c r="DI319" s="5"/>
      <c r="DJ319" s="5"/>
      <c r="DK319" s="5"/>
      <c r="DL319" s="5"/>
      <c r="DM319" s="5"/>
      <c r="DN319" s="5"/>
      <c r="DO319" s="5"/>
      <c r="DP319" s="5"/>
      <c r="DQ319" s="5"/>
      <c r="DR319" s="5"/>
      <c r="DS319" s="5"/>
      <c r="DT319" s="5"/>
      <c r="DU319" s="5"/>
      <c r="DV319" s="5"/>
      <c r="DW319" s="5"/>
      <c r="DX319" s="5"/>
      <c r="DY319" s="5"/>
      <c r="DZ319" s="5"/>
      <c r="EA319" s="5"/>
      <c r="EB319" s="5"/>
      <c r="EC319" s="5"/>
      <c r="ED319" s="5"/>
      <c r="EE319" s="5"/>
      <c r="EF319" s="5"/>
      <c r="EG319" s="5"/>
      <c r="EH319" s="5"/>
      <c r="EI319" s="5"/>
      <c r="EJ319" s="5"/>
      <c r="EK319" s="5"/>
      <c r="EL319" s="5"/>
      <c r="EM319" s="5"/>
      <c r="EN319" s="5"/>
      <c r="EO319" s="5"/>
      <c r="EP319" s="5"/>
      <c r="EQ319" s="5"/>
      <c r="ER319" s="5"/>
      <c r="ES319" s="5"/>
      <c r="ET319" s="5"/>
      <c r="EU319" s="5"/>
      <c r="EV319" s="5"/>
      <c r="EW319" s="5"/>
      <c r="EX319" s="5"/>
      <c r="EY319" s="5"/>
      <c r="EZ319" s="5"/>
      <c r="FA319" s="5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5"/>
      <c r="CT320" s="5"/>
      <c r="CU320" s="5"/>
      <c r="CV320" s="5"/>
      <c r="CW320" s="5"/>
      <c r="CX320" s="5"/>
      <c r="CY320" s="5"/>
      <c r="CZ320" s="5"/>
      <c r="DA320" s="5"/>
      <c r="DB320" s="5"/>
      <c r="DC320" s="5"/>
      <c r="DD320" s="5"/>
      <c r="DE320" s="5"/>
      <c r="DF320" s="5"/>
      <c r="DG320" s="5"/>
      <c r="DH320" s="5"/>
      <c r="DI320" s="5"/>
      <c r="DJ320" s="5"/>
      <c r="DK320" s="5"/>
      <c r="DL320" s="5"/>
      <c r="DM320" s="5"/>
      <c r="DN320" s="5"/>
      <c r="DO320" s="5"/>
      <c r="DP320" s="5"/>
      <c r="DQ320" s="5"/>
      <c r="DR320" s="5"/>
      <c r="DS320" s="5"/>
      <c r="DT320" s="5"/>
      <c r="DU320" s="5"/>
      <c r="DV320" s="5"/>
      <c r="DW320" s="5"/>
      <c r="DX320" s="5"/>
      <c r="DY320" s="5"/>
      <c r="DZ320" s="5"/>
      <c r="EA320" s="5"/>
      <c r="EB320" s="5"/>
      <c r="EC320" s="5"/>
      <c r="ED320" s="5"/>
      <c r="EE320" s="5"/>
      <c r="EF320" s="5"/>
      <c r="EG320" s="5"/>
      <c r="EH320" s="5"/>
      <c r="EI320" s="5"/>
      <c r="EJ320" s="5"/>
      <c r="EK320" s="5"/>
      <c r="EL320" s="5"/>
      <c r="EM320" s="5"/>
      <c r="EN320" s="5"/>
      <c r="EO320" s="5"/>
      <c r="EP320" s="5"/>
      <c r="EQ320" s="5"/>
      <c r="ER320" s="5"/>
      <c r="ES320" s="5"/>
      <c r="ET320" s="5"/>
      <c r="EU320" s="5"/>
      <c r="EV320" s="5"/>
      <c r="EW320" s="5"/>
      <c r="EX320" s="5"/>
      <c r="EY320" s="5"/>
      <c r="EZ320" s="5"/>
      <c r="FA320" s="5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5"/>
      <c r="CT321" s="5"/>
      <c r="CU321" s="5"/>
      <c r="CV321" s="5"/>
      <c r="CW321" s="5"/>
      <c r="CX321" s="5"/>
      <c r="CY321" s="5"/>
      <c r="CZ321" s="5"/>
      <c r="DA321" s="5"/>
      <c r="DB321" s="5"/>
      <c r="DC321" s="5"/>
      <c r="DD321" s="5"/>
      <c r="DE321" s="5"/>
      <c r="DF321" s="5"/>
      <c r="DG321" s="5"/>
      <c r="DH321" s="5"/>
      <c r="DI321" s="5"/>
      <c r="DJ321" s="5"/>
      <c r="DK321" s="5"/>
      <c r="DL321" s="5"/>
      <c r="DM321" s="5"/>
      <c r="DN321" s="5"/>
      <c r="DO321" s="5"/>
      <c r="DP321" s="5"/>
      <c r="DQ321" s="5"/>
      <c r="DR321" s="5"/>
      <c r="DS321" s="5"/>
      <c r="DT321" s="5"/>
      <c r="DU321" s="5"/>
      <c r="DV321" s="5"/>
      <c r="DW321" s="5"/>
      <c r="DX321" s="5"/>
      <c r="DY321" s="5"/>
      <c r="DZ321" s="5"/>
      <c r="EA321" s="5"/>
      <c r="EB321" s="5"/>
      <c r="EC321" s="5"/>
      <c r="ED321" s="5"/>
      <c r="EE321" s="5"/>
      <c r="EF321" s="5"/>
      <c r="EG321" s="5"/>
      <c r="EH321" s="5"/>
      <c r="EI321" s="5"/>
      <c r="EJ321" s="5"/>
      <c r="EK321" s="5"/>
      <c r="EL321" s="5"/>
      <c r="EM321" s="5"/>
      <c r="EN321" s="5"/>
      <c r="EO321" s="5"/>
      <c r="EP321" s="5"/>
      <c r="EQ321" s="5"/>
      <c r="ER321" s="5"/>
      <c r="ES321" s="5"/>
      <c r="ET321" s="5"/>
      <c r="EU321" s="5"/>
      <c r="EV321" s="5"/>
      <c r="EW321" s="5"/>
      <c r="EX321" s="5"/>
      <c r="EY321" s="5"/>
      <c r="EZ321" s="5"/>
      <c r="FA321" s="5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5"/>
      <c r="CT322" s="5"/>
      <c r="CU322" s="5"/>
      <c r="CV322" s="5"/>
      <c r="CW322" s="5"/>
      <c r="CX322" s="5"/>
      <c r="CY322" s="5"/>
      <c r="CZ322" s="5"/>
      <c r="DA322" s="5"/>
      <c r="DB322" s="5"/>
      <c r="DC322" s="5"/>
      <c r="DD322" s="5"/>
      <c r="DE322" s="5"/>
      <c r="DF322" s="5"/>
      <c r="DG322" s="5"/>
      <c r="DH322" s="5"/>
      <c r="DI322" s="5"/>
      <c r="DJ322" s="5"/>
      <c r="DK322" s="5"/>
      <c r="DL322" s="5"/>
      <c r="DM322" s="5"/>
      <c r="DN322" s="5"/>
      <c r="DO322" s="5"/>
      <c r="DP322" s="5"/>
      <c r="DQ322" s="5"/>
      <c r="DR322" s="5"/>
      <c r="DS322" s="5"/>
      <c r="DT322" s="5"/>
      <c r="DU322" s="5"/>
      <c r="DV322" s="5"/>
      <c r="DW322" s="5"/>
      <c r="DX322" s="5"/>
      <c r="DY322" s="5"/>
      <c r="DZ322" s="5"/>
      <c r="EA322" s="5"/>
      <c r="EB322" s="5"/>
      <c r="EC322" s="5"/>
      <c r="ED322" s="5"/>
      <c r="EE322" s="5"/>
      <c r="EF322" s="5"/>
      <c r="EG322" s="5"/>
      <c r="EH322" s="5"/>
      <c r="EI322" s="5"/>
      <c r="EJ322" s="5"/>
      <c r="EK322" s="5"/>
      <c r="EL322" s="5"/>
      <c r="EM322" s="5"/>
      <c r="EN322" s="5"/>
      <c r="EO322" s="5"/>
      <c r="EP322" s="5"/>
      <c r="EQ322" s="5"/>
      <c r="ER322" s="5"/>
      <c r="ES322" s="5"/>
      <c r="ET322" s="5"/>
      <c r="EU322" s="5"/>
      <c r="EV322" s="5"/>
      <c r="EW322" s="5"/>
      <c r="EX322" s="5"/>
      <c r="EY322" s="5"/>
      <c r="EZ322" s="5"/>
      <c r="FA322" s="5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5"/>
      <c r="CT323" s="5"/>
      <c r="CU323" s="5"/>
      <c r="CV323" s="5"/>
      <c r="CW323" s="5"/>
      <c r="CX323" s="5"/>
      <c r="CY323" s="5"/>
      <c r="CZ323" s="5"/>
      <c r="DA323" s="5"/>
      <c r="DB323" s="5"/>
      <c r="DC323" s="5"/>
      <c r="DD323" s="5"/>
      <c r="DE323" s="5"/>
      <c r="DF323" s="5"/>
      <c r="DG323" s="5"/>
      <c r="DH323" s="5"/>
      <c r="DI323" s="5"/>
      <c r="DJ323" s="5"/>
      <c r="DK323" s="5"/>
      <c r="DL323" s="5"/>
      <c r="DM323" s="5"/>
      <c r="DN323" s="5"/>
      <c r="DO323" s="5"/>
      <c r="DP323" s="5"/>
      <c r="DQ323" s="5"/>
      <c r="DR323" s="5"/>
      <c r="DS323" s="5"/>
      <c r="DT323" s="5"/>
      <c r="DU323" s="5"/>
      <c r="DV323" s="5"/>
      <c r="DW323" s="5"/>
      <c r="DX323" s="5"/>
      <c r="DY323" s="5"/>
      <c r="DZ323" s="5"/>
      <c r="EA323" s="5"/>
      <c r="EB323" s="5"/>
      <c r="EC323" s="5"/>
      <c r="ED323" s="5"/>
      <c r="EE323" s="5"/>
      <c r="EF323" s="5"/>
      <c r="EG323" s="5"/>
      <c r="EH323" s="5"/>
      <c r="EI323" s="5"/>
      <c r="EJ323" s="5"/>
      <c r="EK323" s="5"/>
      <c r="EL323" s="5"/>
      <c r="EM323" s="5"/>
      <c r="EN323" s="5"/>
      <c r="EO323" s="5"/>
      <c r="EP323" s="5"/>
      <c r="EQ323" s="5"/>
      <c r="ER323" s="5"/>
      <c r="ES323" s="5"/>
      <c r="ET323" s="5"/>
      <c r="EU323" s="5"/>
      <c r="EV323" s="5"/>
      <c r="EW323" s="5"/>
      <c r="EX323" s="5"/>
      <c r="EY323" s="5"/>
      <c r="EZ323" s="5"/>
      <c r="FA323" s="5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5"/>
      <c r="CT324" s="5"/>
      <c r="CU324" s="5"/>
      <c r="CV324" s="5"/>
      <c r="CW324" s="5"/>
      <c r="CX324" s="5"/>
      <c r="CY324" s="5"/>
      <c r="CZ324" s="5"/>
      <c r="DA324" s="5"/>
      <c r="DB324" s="5"/>
      <c r="DC324" s="5"/>
      <c r="DD324" s="5"/>
      <c r="DE324" s="5"/>
      <c r="DF324" s="5"/>
      <c r="DG324" s="5"/>
      <c r="DH324" s="5"/>
      <c r="DI324" s="5"/>
      <c r="DJ324" s="5"/>
      <c r="DK324" s="5"/>
      <c r="DL324" s="5"/>
      <c r="DM324" s="5"/>
      <c r="DN324" s="5"/>
      <c r="DO324" s="5"/>
      <c r="DP324" s="5"/>
      <c r="DQ324" s="5"/>
      <c r="DR324" s="5"/>
      <c r="DS324" s="5"/>
      <c r="DT324" s="5"/>
      <c r="DU324" s="5"/>
      <c r="DV324" s="5"/>
      <c r="DW324" s="5"/>
      <c r="DX324" s="5"/>
      <c r="DY324" s="5"/>
      <c r="DZ324" s="5"/>
      <c r="EA324" s="5"/>
      <c r="EB324" s="5"/>
      <c r="EC324" s="5"/>
      <c r="ED324" s="5"/>
      <c r="EE324" s="5"/>
      <c r="EF324" s="5"/>
      <c r="EG324" s="5"/>
      <c r="EH324" s="5"/>
      <c r="EI324" s="5"/>
      <c r="EJ324" s="5"/>
      <c r="EK324" s="5"/>
      <c r="EL324" s="5"/>
      <c r="EM324" s="5"/>
      <c r="EN324" s="5"/>
      <c r="EO324" s="5"/>
      <c r="EP324" s="5"/>
      <c r="EQ324" s="5"/>
      <c r="ER324" s="5"/>
      <c r="ES324" s="5"/>
      <c r="ET324" s="5"/>
      <c r="EU324" s="5"/>
      <c r="EV324" s="5"/>
      <c r="EW324" s="5"/>
      <c r="EX324" s="5"/>
      <c r="EY324" s="5"/>
      <c r="EZ324" s="5"/>
      <c r="FA324" s="5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5"/>
      <c r="CT325" s="5"/>
      <c r="CU325" s="5"/>
      <c r="CV325" s="5"/>
      <c r="CW325" s="5"/>
      <c r="CX325" s="5"/>
      <c r="CY325" s="5"/>
      <c r="CZ325" s="5"/>
      <c r="DA325" s="5"/>
      <c r="DB325" s="5"/>
      <c r="DC325" s="5"/>
      <c r="DD325" s="5"/>
      <c r="DE325" s="5"/>
      <c r="DF325" s="5"/>
      <c r="DG325" s="5"/>
      <c r="DH325" s="5"/>
      <c r="DI325" s="5"/>
      <c r="DJ325" s="5"/>
      <c r="DK325" s="5"/>
      <c r="DL325" s="5"/>
      <c r="DM325" s="5"/>
      <c r="DN325" s="5"/>
      <c r="DO325" s="5"/>
      <c r="DP325" s="5"/>
      <c r="DQ325" s="5"/>
      <c r="DR325" s="5"/>
      <c r="DS325" s="5"/>
      <c r="DT325" s="5"/>
      <c r="DU325" s="5"/>
      <c r="DV325" s="5"/>
      <c r="DW325" s="5"/>
      <c r="DX325" s="5"/>
      <c r="DY325" s="5"/>
      <c r="DZ325" s="5"/>
      <c r="EA325" s="5"/>
      <c r="EB325" s="5"/>
      <c r="EC325" s="5"/>
      <c r="ED325" s="5"/>
      <c r="EE325" s="5"/>
      <c r="EF325" s="5"/>
      <c r="EG325" s="5"/>
      <c r="EH325" s="5"/>
      <c r="EI325" s="5"/>
      <c r="EJ325" s="5"/>
      <c r="EK325" s="5"/>
      <c r="EL325" s="5"/>
      <c r="EM325" s="5"/>
      <c r="EN325" s="5"/>
      <c r="EO325" s="5"/>
      <c r="EP325" s="5"/>
      <c r="EQ325" s="5"/>
      <c r="ER325" s="5"/>
      <c r="ES325" s="5"/>
      <c r="ET325" s="5"/>
      <c r="EU325" s="5"/>
      <c r="EV325" s="5"/>
      <c r="EW325" s="5"/>
      <c r="EX325" s="5"/>
      <c r="EY325" s="5"/>
      <c r="EZ325" s="5"/>
      <c r="FA325" s="5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5"/>
      <c r="CT326" s="5"/>
      <c r="CU326" s="5"/>
      <c r="CV326" s="5"/>
      <c r="CW326" s="5"/>
      <c r="CX326" s="5"/>
      <c r="CY326" s="5"/>
      <c r="CZ326" s="5"/>
      <c r="DA326" s="5"/>
      <c r="DB326" s="5"/>
      <c r="DC326" s="5"/>
      <c r="DD326" s="5"/>
      <c r="DE326" s="5"/>
      <c r="DF326" s="5"/>
      <c r="DG326" s="5"/>
      <c r="DH326" s="5"/>
      <c r="DI326" s="5"/>
      <c r="DJ326" s="5"/>
      <c r="DK326" s="5"/>
      <c r="DL326" s="5"/>
      <c r="DM326" s="5"/>
      <c r="DN326" s="5"/>
      <c r="DO326" s="5"/>
      <c r="DP326" s="5"/>
      <c r="DQ326" s="5"/>
      <c r="DR326" s="5"/>
      <c r="DS326" s="5"/>
      <c r="DT326" s="5"/>
      <c r="DU326" s="5"/>
      <c r="DV326" s="5"/>
      <c r="DW326" s="5"/>
      <c r="DX326" s="5"/>
      <c r="DY326" s="5"/>
      <c r="DZ326" s="5"/>
      <c r="EA326" s="5"/>
      <c r="EB326" s="5"/>
      <c r="EC326" s="5"/>
      <c r="ED326" s="5"/>
      <c r="EE326" s="5"/>
      <c r="EF326" s="5"/>
      <c r="EG326" s="5"/>
      <c r="EH326" s="5"/>
      <c r="EI326" s="5"/>
      <c r="EJ326" s="5"/>
      <c r="EK326" s="5"/>
      <c r="EL326" s="5"/>
      <c r="EM326" s="5"/>
      <c r="EN326" s="5"/>
      <c r="EO326" s="5"/>
      <c r="EP326" s="5"/>
      <c r="EQ326" s="5"/>
      <c r="ER326" s="5"/>
      <c r="ES326" s="5"/>
      <c r="ET326" s="5"/>
      <c r="EU326" s="5"/>
      <c r="EV326" s="5"/>
      <c r="EW326" s="5"/>
      <c r="EX326" s="5"/>
      <c r="EY326" s="5"/>
      <c r="EZ326" s="5"/>
      <c r="FA326" s="5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5"/>
      <c r="CT327" s="5"/>
      <c r="CU327" s="5"/>
      <c r="CV327" s="5"/>
      <c r="CW327" s="5"/>
      <c r="CX327" s="5"/>
      <c r="CY327" s="5"/>
      <c r="CZ327" s="5"/>
      <c r="DA327" s="5"/>
      <c r="DB327" s="5"/>
      <c r="DC327" s="5"/>
      <c r="DD327" s="5"/>
      <c r="DE327" s="5"/>
      <c r="DF327" s="5"/>
      <c r="DG327" s="5"/>
      <c r="DH327" s="5"/>
      <c r="DI327" s="5"/>
      <c r="DJ327" s="5"/>
      <c r="DK327" s="5"/>
      <c r="DL327" s="5"/>
      <c r="DM327" s="5"/>
      <c r="DN327" s="5"/>
      <c r="DO327" s="5"/>
      <c r="DP327" s="5"/>
      <c r="DQ327" s="5"/>
      <c r="DR327" s="5"/>
      <c r="DS327" s="5"/>
      <c r="DT327" s="5"/>
      <c r="DU327" s="5"/>
      <c r="DV327" s="5"/>
      <c r="DW327" s="5"/>
      <c r="DX327" s="5"/>
      <c r="DY327" s="5"/>
      <c r="DZ327" s="5"/>
      <c r="EA327" s="5"/>
      <c r="EB327" s="5"/>
      <c r="EC327" s="5"/>
      <c r="ED327" s="5"/>
      <c r="EE327" s="5"/>
      <c r="EF327" s="5"/>
      <c r="EG327" s="5"/>
      <c r="EH327" s="5"/>
      <c r="EI327" s="5"/>
      <c r="EJ327" s="5"/>
      <c r="EK327" s="5"/>
      <c r="EL327" s="5"/>
      <c r="EM327" s="5"/>
      <c r="EN327" s="5"/>
      <c r="EO327" s="5"/>
      <c r="EP327" s="5"/>
      <c r="EQ327" s="5"/>
      <c r="ER327" s="5"/>
      <c r="ES327" s="5"/>
      <c r="ET327" s="5"/>
      <c r="EU327" s="5"/>
      <c r="EV327" s="5"/>
      <c r="EW327" s="5"/>
      <c r="EX327" s="5"/>
      <c r="EY327" s="5"/>
      <c r="EZ327" s="5"/>
      <c r="FA327" s="5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5"/>
      <c r="CT328" s="5"/>
      <c r="CU328" s="5"/>
      <c r="CV328" s="5"/>
      <c r="CW328" s="5"/>
      <c r="CX328" s="5"/>
      <c r="CY328" s="5"/>
      <c r="CZ328" s="5"/>
      <c r="DA328" s="5"/>
      <c r="DB328" s="5"/>
      <c r="DC328" s="5"/>
      <c r="DD328" s="5"/>
      <c r="DE328" s="5"/>
      <c r="DF328" s="5"/>
      <c r="DG328" s="5"/>
      <c r="DH328" s="5"/>
      <c r="DI328" s="5"/>
      <c r="DJ328" s="5"/>
      <c r="DK328" s="5"/>
      <c r="DL328" s="5"/>
      <c r="DM328" s="5"/>
      <c r="DN328" s="5"/>
      <c r="DO328" s="5"/>
      <c r="DP328" s="5"/>
      <c r="DQ328" s="5"/>
      <c r="DR328" s="5"/>
      <c r="DS328" s="5"/>
      <c r="DT328" s="5"/>
      <c r="DU328" s="5"/>
      <c r="DV328" s="5"/>
      <c r="DW328" s="5"/>
      <c r="DX328" s="5"/>
      <c r="DY328" s="5"/>
      <c r="DZ328" s="5"/>
      <c r="EA328" s="5"/>
      <c r="EB328" s="5"/>
      <c r="EC328" s="5"/>
      <c r="ED328" s="5"/>
      <c r="EE328" s="5"/>
      <c r="EF328" s="5"/>
      <c r="EG328" s="5"/>
      <c r="EH328" s="5"/>
      <c r="EI328" s="5"/>
      <c r="EJ328" s="5"/>
      <c r="EK328" s="5"/>
      <c r="EL328" s="5"/>
      <c r="EM328" s="5"/>
      <c r="EN328" s="5"/>
      <c r="EO328" s="5"/>
      <c r="EP328" s="5"/>
      <c r="EQ328" s="5"/>
      <c r="ER328" s="5"/>
      <c r="ES328" s="5"/>
      <c r="ET328" s="5"/>
      <c r="EU328" s="5"/>
      <c r="EV328" s="5"/>
      <c r="EW328" s="5"/>
      <c r="EX328" s="5"/>
      <c r="EY328" s="5"/>
      <c r="EZ328" s="5"/>
      <c r="FA328" s="5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5"/>
      <c r="CT329" s="5"/>
      <c r="CU329" s="5"/>
      <c r="CV329" s="5"/>
      <c r="CW329" s="5"/>
      <c r="CX329" s="5"/>
      <c r="CY329" s="5"/>
      <c r="CZ329" s="5"/>
      <c r="DA329" s="5"/>
      <c r="DB329" s="5"/>
      <c r="DC329" s="5"/>
      <c r="DD329" s="5"/>
      <c r="DE329" s="5"/>
      <c r="DF329" s="5"/>
      <c r="DG329" s="5"/>
      <c r="DH329" s="5"/>
      <c r="DI329" s="5"/>
      <c r="DJ329" s="5"/>
      <c r="DK329" s="5"/>
      <c r="DL329" s="5"/>
      <c r="DM329" s="5"/>
      <c r="DN329" s="5"/>
      <c r="DO329" s="5"/>
      <c r="DP329" s="5"/>
      <c r="DQ329" s="5"/>
      <c r="DR329" s="5"/>
      <c r="DS329" s="5"/>
      <c r="DT329" s="5"/>
      <c r="DU329" s="5"/>
      <c r="DV329" s="5"/>
      <c r="DW329" s="5"/>
      <c r="DX329" s="5"/>
      <c r="DY329" s="5"/>
      <c r="DZ329" s="5"/>
      <c r="EA329" s="5"/>
      <c r="EB329" s="5"/>
      <c r="EC329" s="5"/>
      <c r="ED329" s="5"/>
      <c r="EE329" s="5"/>
      <c r="EF329" s="5"/>
      <c r="EG329" s="5"/>
      <c r="EH329" s="5"/>
      <c r="EI329" s="5"/>
      <c r="EJ329" s="5"/>
      <c r="EK329" s="5"/>
      <c r="EL329" s="5"/>
      <c r="EM329" s="5"/>
      <c r="EN329" s="5"/>
      <c r="EO329" s="5"/>
      <c r="EP329" s="5"/>
      <c r="EQ329" s="5"/>
      <c r="ER329" s="5"/>
      <c r="ES329" s="5"/>
      <c r="ET329" s="5"/>
      <c r="EU329" s="5"/>
      <c r="EV329" s="5"/>
      <c r="EW329" s="5"/>
      <c r="EX329" s="5"/>
      <c r="EY329" s="5"/>
      <c r="EZ329" s="5"/>
      <c r="FA329" s="5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5"/>
      <c r="CT330" s="5"/>
      <c r="CU330" s="5"/>
      <c r="CV330" s="5"/>
      <c r="CW330" s="5"/>
      <c r="CX330" s="5"/>
      <c r="CY330" s="5"/>
      <c r="CZ330" s="5"/>
      <c r="DA330" s="5"/>
      <c r="DB330" s="5"/>
      <c r="DC330" s="5"/>
      <c r="DD330" s="5"/>
      <c r="DE330" s="5"/>
      <c r="DF330" s="5"/>
      <c r="DG330" s="5"/>
      <c r="DH330" s="5"/>
      <c r="DI330" s="5"/>
      <c r="DJ330" s="5"/>
      <c r="DK330" s="5"/>
      <c r="DL330" s="5"/>
      <c r="DM330" s="5"/>
      <c r="DN330" s="5"/>
      <c r="DO330" s="5"/>
      <c r="DP330" s="5"/>
      <c r="DQ330" s="5"/>
      <c r="DR330" s="5"/>
      <c r="DS330" s="5"/>
      <c r="DT330" s="5"/>
      <c r="DU330" s="5"/>
      <c r="DV330" s="5"/>
      <c r="DW330" s="5"/>
      <c r="DX330" s="5"/>
      <c r="DY330" s="5"/>
      <c r="DZ330" s="5"/>
      <c r="EA330" s="5"/>
      <c r="EB330" s="5"/>
      <c r="EC330" s="5"/>
      <c r="ED330" s="5"/>
      <c r="EE330" s="5"/>
      <c r="EF330" s="5"/>
      <c r="EG330" s="5"/>
      <c r="EH330" s="5"/>
      <c r="EI330" s="5"/>
      <c r="EJ330" s="5"/>
      <c r="EK330" s="5"/>
      <c r="EL330" s="5"/>
      <c r="EM330" s="5"/>
      <c r="EN330" s="5"/>
      <c r="EO330" s="5"/>
      <c r="EP330" s="5"/>
      <c r="EQ330" s="5"/>
      <c r="ER330" s="5"/>
      <c r="ES330" s="5"/>
      <c r="ET330" s="5"/>
      <c r="EU330" s="5"/>
      <c r="EV330" s="5"/>
      <c r="EW330" s="5"/>
      <c r="EX330" s="5"/>
      <c r="EY330" s="5"/>
      <c r="EZ330" s="5"/>
      <c r="FA330" s="5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5"/>
      <c r="CT331" s="5"/>
      <c r="CU331" s="5"/>
      <c r="CV331" s="5"/>
      <c r="CW331" s="5"/>
      <c r="CX331" s="5"/>
      <c r="CY331" s="5"/>
      <c r="CZ331" s="5"/>
      <c r="DA331" s="5"/>
      <c r="DB331" s="5"/>
      <c r="DC331" s="5"/>
      <c r="DD331" s="5"/>
      <c r="DE331" s="5"/>
      <c r="DF331" s="5"/>
      <c r="DG331" s="5"/>
      <c r="DH331" s="5"/>
      <c r="DI331" s="5"/>
      <c r="DJ331" s="5"/>
      <c r="DK331" s="5"/>
      <c r="DL331" s="5"/>
      <c r="DM331" s="5"/>
      <c r="DN331" s="5"/>
      <c r="DO331" s="5"/>
      <c r="DP331" s="5"/>
      <c r="DQ331" s="5"/>
      <c r="DR331" s="5"/>
      <c r="DS331" s="5"/>
      <c r="DT331" s="5"/>
      <c r="DU331" s="5"/>
      <c r="DV331" s="5"/>
      <c r="DW331" s="5"/>
      <c r="DX331" s="5"/>
      <c r="DY331" s="5"/>
      <c r="DZ331" s="5"/>
      <c r="EA331" s="5"/>
      <c r="EB331" s="5"/>
      <c r="EC331" s="5"/>
      <c r="ED331" s="5"/>
      <c r="EE331" s="5"/>
      <c r="EF331" s="5"/>
      <c r="EG331" s="5"/>
      <c r="EH331" s="5"/>
      <c r="EI331" s="5"/>
      <c r="EJ331" s="5"/>
      <c r="EK331" s="5"/>
      <c r="EL331" s="5"/>
      <c r="EM331" s="5"/>
      <c r="EN331" s="5"/>
      <c r="EO331" s="5"/>
      <c r="EP331" s="5"/>
      <c r="EQ331" s="5"/>
      <c r="ER331" s="5"/>
      <c r="ES331" s="5"/>
      <c r="ET331" s="5"/>
      <c r="EU331" s="5"/>
      <c r="EV331" s="5"/>
      <c r="EW331" s="5"/>
      <c r="EX331" s="5"/>
      <c r="EY331" s="5"/>
      <c r="EZ331" s="5"/>
      <c r="FA331" s="5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5"/>
      <c r="CT332" s="5"/>
      <c r="CU332" s="5"/>
      <c r="CV332" s="5"/>
      <c r="CW332" s="5"/>
      <c r="CX332" s="5"/>
      <c r="CY332" s="5"/>
      <c r="CZ332" s="5"/>
      <c r="DA332" s="5"/>
      <c r="DB332" s="5"/>
      <c r="DC332" s="5"/>
      <c r="DD332" s="5"/>
      <c r="DE332" s="5"/>
      <c r="DF332" s="5"/>
      <c r="DG332" s="5"/>
      <c r="DH332" s="5"/>
      <c r="DI332" s="5"/>
      <c r="DJ332" s="5"/>
      <c r="DK332" s="5"/>
      <c r="DL332" s="5"/>
      <c r="DM332" s="5"/>
      <c r="DN332" s="5"/>
      <c r="DO332" s="5"/>
      <c r="DP332" s="5"/>
      <c r="DQ332" s="5"/>
      <c r="DR332" s="5"/>
      <c r="DS332" s="5"/>
      <c r="DT332" s="5"/>
      <c r="DU332" s="5"/>
      <c r="DV332" s="5"/>
      <c r="DW332" s="5"/>
      <c r="DX332" s="5"/>
      <c r="DY332" s="5"/>
      <c r="DZ332" s="5"/>
      <c r="EA332" s="5"/>
      <c r="EB332" s="5"/>
      <c r="EC332" s="5"/>
      <c r="ED332" s="5"/>
      <c r="EE332" s="5"/>
      <c r="EF332" s="5"/>
      <c r="EG332" s="5"/>
      <c r="EH332" s="5"/>
      <c r="EI332" s="5"/>
      <c r="EJ332" s="5"/>
      <c r="EK332" s="5"/>
      <c r="EL332" s="5"/>
      <c r="EM332" s="5"/>
      <c r="EN332" s="5"/>
      <c r="EO332" s="5"/>
      <c r="EP332" s="5"/>
      <c r="EQ332" s="5"/>
      <c r="ER332" s="5"/>
      <c r="ES332" s="5"/>
      <c r="ET332" s="5"/>
      <c r="EU332" s="5"/>
      <c r="EV332" s="5"/>
      <c r="EW332" s="5"/>
      <c r="EX332" s="5"/>
      <c r="EY332" s="5"/>
      <c r="EZ332" s="5"/>
      <c r="FA332" s="5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5"/>
      <c r="CT333" s="5"/>
      <c r="CU333" s="5"/>
      <c r="CV333" s="5"/>
      <c r="CW333" s="5"/>
      <c r="CX333" s="5"/>
      <c r="CY333" s="5"/>
      <c r="CZ333" s="5"/>
      <c r="DA333" s="5"/>
      <c r="DB333" s="5"/>
      <c r="DC333" s="5"/>
      <c r="DD333" s="5"/>
      <c r="DE333" s="5"/>
      <c r="DF333" s="5"/>
      <c r="DG333" s="5"/>
      <c r="DH333" s="5"/>
      <c r="DI333" s="5"/>
      <c r="DJ333" s="5"/>
      <c r="DK333" s="5"/>
      <c r="DL333" s="5"/>
      <c r="DM333" s="5"/>
      <c r="DN333" s="5"/>
      <c r="DO333" s="5"/>
      <c r="DP333" s="5"/>
      <c r="DQ333" s="5"/>
      <c r="DR333" s="5"/>
      <c r="DS333" s="5"/>
      <c r="DT333" s="5"/>
      <c r="DU333" s="5"/>
      <c r="DV333" s="5"/>
      <c r="DW333" s="5"/>
      <c r="DX333" s="5"/>
      <c r="DY333" s="5"/>
      <c r="DZ333" s="5"/>
      <c r="EA333" s="5"/>
      <c r="EB333" s="5"/>
      <c r="EC333" s="5"/>
      <c r="ED333" s="5"/>
      <c r="EE333" s="5"/>
      <c r="EF333" s="5"/>
      <c r="EG333" s="5"/>
      <c r="EH333" s="5"/>
      <c r="EI333" s="5"/>
      <c r="EJ333" s="5"/>
      <c r="EK333" s="5"/>
      <c r="EL333" s="5"/>
      <c r="EM333" s="5"/>
      <c r="EN333" s="5"/>
      <c r="EO333" s="5"/>
      <c r="EP333" s="5"/>
      <c r="EQ333" s="5"/>
      <c r="ER333" s="5"/>
      <c r="ES333" s="5"/>
      <c r="ET333" s="5"/>
      <c r="EU333" s="5"/>
      <c r="EV333" s="5"/>
      <c r="EW333" s="5"/>
      <c r="EX333" s="5"/>
      <c r="EY333" s="5"/>
      <c r="EZ333" s="5"/>
      <c r="FA333" s="5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5"/>
      <c r="CT334" s="5"/>
      <c r="CU334" s="5"/>
      <c r="CV334" s="5"/>
      <c r="CW334" s="5"/>
      <c r="CX334" s="5"/>
      <c r="CY334" s="5"/>
      <c r="CZ334" s="5"/>
      <c r="DA334" s="5"/>
      <c r="DB334" s="5"/>
      <c r="DC334" s="5"/>
      <c r="DD334" s="5"/>
      <c r="DE334" s="5"/>
      <c r="DF334" s="5"/>
      <c r="DG334" s="5"/>
      <c r="DH334" s="5"/>
      <c r="DI334" s="5"/>
      <c r="DJ334" s="5"/>
      <c r="DK334" s="5"/>
      <c r="DL334" s="5"/>
      <c r="DM334" s="5"/>
      <c r="DN334" s="5"/>
      <c r="DO334" s="5"/>
      <c r="DP334" s="5"/>
      <c r="DQ334" s="5"/>
      <c r="DR334" s="5"/>
      <c r="DS334" s="5"/>
      <c r="DT334" s="5"/>
      <c r="DU334" s="5"/>
      <c r="DV334" s="5"/>
      <c r="DW334" s="5"/>
      <c r="DX334" s="5"/>
      <c r="DY334" s="5"/>
      <c r="DZ334" s="5"/>
      <c r="EA334" s="5"/>
      <c r="EB334" s="5"/>
      <c r="EC334" s="5"/>
      <c r="ED334" s="5"/>
      <c r="EE334" s="5"/>
      <c r="EF334" s="5"/>
      <c r="EG334" s="5"/>
      <c r="EH334" s="5"/>
      <c r="EI334" s="5"/>
      <c r="EJ334" s="5"/>
      <c r="EK334" s="5"/>
      <c r="EL334" s="5"/>
      <c r="EM334" s="5"/>
      <c r="EN334" s="5"/>
      <c r="EO334" s="5"/>
      <c r="EP334" s="5"/>
      <c r="EQ334" s="5"/>
      <c r="ER334" s="5"/>
      <c r="ES334" s="5"/>
      <c r="ET334" s="5"/>
      <c r="EU334" s="5"/>
      <c r="EV334" s="5"/>
      <c r="EW334" s="5"/>
      <c r="EX334" s="5"/>
      <c r="EY334" s="5"/>
      <c r="EZ334" s="5"/>
      <c r="FA334" s="5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5"/>
      <c r="CT335" s="5"/>
      <c r="CU335" s="5"/>
      <c r="CV335" s="5"/>
      <c r="CW335" s="5"/>
      <c r="CX335" s="5"/>
      <c r="CY335" s="5"/>
      <c r="CZ335" s="5"/>
      <c r="DA335" s="5"/>
      <c r="DB335" s="5"/>
      <c r="DC335" s="5"/>
      <c r="DD335" s="5"/>
      <c r="DE335" s="5"/>
      <c r="DF335" s="5"/>
      <c r="DG335" s="5"/>
      <c r="DH335" s="5"/>
      <c r="DI335" s="5"/>
      <c r="DJ335" s="5"/>
      <c r="DK335" s="5"/>
      <c r="DL335" s="5"/>
      <c r="DM335" s="5"/>
      <c r="DN335" s="5"/>
      <c r="DO335" s="5"/>
      <c r="DP335" s="5"/>
      <c r="DQ335" s="5"/>
      <c r="DR335" s="5"/>
      <c r="DS335" s="5"/>
      <c r="DT335" s="5"/>
      <c r="DU335" s="5"/>
      <c r="DV335" s="5"/>
      <c r="DW335" s="5"/>
      <c r="DX335" s="5"/>
      <c r="DY335" s="5"/>
      <c r="DZ335" s="5"/>
      <c r="EA335" s="5"/>
      <c r="EB335" s="5"/>
      <c r="EC335" s="5"/>
      <c r="ED335" s="5"/>
      <c r="EE335" s="5"/>
      <c r="EF335" s="5"/>
      <c r="EG335" s="5"/>
      <c r="EH335" s="5"/>
      <c r="EI335" s="5"/>
      <c r="EJ335" s="5"/>
      <c r="EK335" s="5"/>
      <c r="EL335" s="5"/>
      <c r="EM335" s="5"/>
      <c r="EN335" s="5"/>
      <c r="EO335" s="5"/>
      <c r="EP335" s="5"/>
      <c r="EQ335" s="5"/>
      <c r="ER335" s="5"/>
      <c r="ES335" s="5"/>
      <c r="ET335" s="5"/>
      <c r="EU335" s="5"/>
      <c r="EV335" s="5"/>
      <c r="EW335" s="5"/>
      <c r="EX335" s="5"/>
      <c r="EY335" s="5"/>
      <c r="EZ335" s="5"/>
      <c r="FA335" s="5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5"/>
      <c r="CT336" s="5"/>
      <c r="CU336" s="5"/>
      <c r="CV336" s="5"/>
      <c r="CW336" s="5"/>
      <c r="CX336" s="5"/>
      <c r="CY336" s="5"/>
      <c r="CZ336" s="5"/>
      <c r="DA336" s="5"/>
      <c r="DB336" s="5"/>
      <c r="DC336" s="5"/>
      <c r="DD336" s="5"/>
      <c r="DE336" s="5"/>
      <c r="DF336" s="5"/>
      <c r="DG336" s="5"/>
      <c r="DH336" s="5"/>
      <c r="DI336" s="5"/>
      <c r="DJ336" s="5"/>
      <c r="DK336" s="5"/>
      <c r="DL336" s="5"/>
      <c r="DM336" s="5"/>
      <c r="DN336" s="5"/>
      <c r="DO336" s="5"/>
      <c r="DP336" s="5"/>
      <c r="DQ336" s="5"/>
      <c r="DR336" s="5"/>
      <c r="DS336" s="5"/>
      <c r="DT336" s="5"/>
      <c r="DU336" s="5"/>
      <c r="DV336" s="5"/>
      <c r="DW336" s="5"/>
      <c r="DX336" s="5"/>
      <c r="DY336" s="5"/>
      <c r="DZ336" s="5"/>
      <c r="EA336" s="5"/>
      <c r="EB336" s="5"/>
      <c r="EC336" s="5"/>
      <c r="ED336" s="5"/>
      <c r="EE336" s="5"/>
      <c r="EF336" s="5"/>
      <c r="EG336" s="5"/>
      <c r="EH336" s="5"/>
      <c r="EI336" s="5"/>
      <c r="EJ336" s="5"/>
      <c r="EK336" s="5"/>
      <c r="EL336" s="5"/>
      <c r="EM336" s="5"/>
      <c r="EN336" s="5"/>
      <c r="EO336" s="5"/>
      <c r="EP336" s="5"/>
      <c r="EQ336" s="5"/>
      <c r="ER336" s="5"/>
      <c r="ES336" s="5"/>
      <c r="ET336" s="5"/>
      <c r="EU336" s="5"/>
      <c r="EV336" s="5"/>
      <c r="EW336" s="5"/>
      <c r="EX336" s="5"/>
      <c r="EY336" s="5"/>
      <c r="EZ336" s="5"/>
      <c r="FA336" s="5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5"/>
      <c r="CT337" s="5"/>
      <c r="CU337" s="5"/>
      <c r="CV337" s="5"/>
      <c r="CW337" s="5"/>
      <c r="CX337" s="5"/>
      <c r="CY337" s="5"/>
      <c r="CZ337" s="5"/>
      <c r="DA337" s="5"/>
      <c r="DB337" s="5"/>
      <c r="DC337" s="5"/>
      <c r="DD337" s="5"/>
      <c r="DE337" s="5"/>
      <c r="DF337" s="5"/>
      <c r="DG337" s="5"/>
      <c r="DH337" s="5"/>
      <c r="DI337" s="5"/>
      <c r="DJ337" s="5"/>
      <c r="DK337" s="5"/>
      <c r="DL337" s="5"/>
      <c r="DM337" s="5"/>
      <c r="DN337" s="5"/>
      <c r="DO337" s="5"/>
      <c r="DP337" s="5"/>
      <c r="DQ337" s="5"/>
      <c r="DR337" s="5"/>
      <c r="DS337" s="5"/>
      <c r="DT337" s="5"/>
      <c r="DU337" s="5"/>
      <c r="DV337" s="5"/>
      <c r="DW337" s="5"/>
      <c r="DX337" s="5"/>
      <c r="DY337" s="5"/>
      <c r="DZ337" s="5"/>
      <c r="EA337" s="5"/>
      <c r="EB337" s="5"/>
      <c r="EC337" s="5"/>
      <c r="ED337" s="5"/>
      <c r="EE337" s="5"/>
      <c r="EF337" s="5"/>
      <c r="EG337" s="5"/>
      <c r="EH337" s="5"/>
      <c r="EI337" s="5"/>
      <c r="EJ337" s="5"/>
      <c r="EK337" s="5"/>
      <c r="EL337" s="5"/>
      <c r="EM337" s="5"/>
      <c r="EN337" s="5"/>
      <c r="EO337" s="5"/>
      <c r="EP337" s="5"/>
      <c r="EQ337" s="5"/>
      <c r="ER337" s="5"/>
      <c r="ES337" s="5"/>
      <c r="ET337" s="5"/>
      <c r="EU337" s="5"/>
      <c r="EV337" s="5"/>
      <c r="EW337" s="5"/>
      <c r="EX337" s="5"/>
      <c r="EY337" s="5"/>
      <c r="EZ337" s="5"/>
      <c r="FA337" s="5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5"/>
      <c r="CT338" s="5"/>
      <c r="CU338" s="5"/>
      <c r="CV338" s="5"/>
      <c r="CW338" s="5"/>
      <c r="CX338" s="5"/>
      <c r="CY338" s="5"/>
      <c r="CZ338" s="5"/>
      <c r="DA338" s="5"/>
      <c r="DB338" s="5"/>
      <c r="DC338" s="5"/>
      <c r="DD338" s="5"/>
      <c r="DE338" s="5"/>
      <c r="DF338" s="5"/>
      <c r="DG338" s="5"/>
      <c r="DH338" s="5"/>
      <c r="DI338" s="5"/>
      <c r="DJ338" s="5"/>
      <c r="DK338" s="5"/>
      <c r="DL338" s="5"/>
      <c r="DM338" s="5"/>
      <c r="DN338" s="5"/>
      <c r="DO338" s="5"/>
      <c r="DP338" s="5"/>
      <c r="DQ338" s="5"/>
      <c r="DR338" s="5"/>
      <c r="DS338" s="5"/>
      <c r="DT338" s="5"/>
      <c r="DU338" s="5"/>
      <c r="DV338" s="5"/>
      <c r="DW338" s="5"/>
      <c r="DX338" s="5"/>
      <c r="DY338" s="5"/>
      <c r="DZ338" s="5"/>
      <c r="EA338" s="5"/>
      <c r="EB338" s="5"/>
      <c r="EC338" s="5"/>
      <c r="ED338" s="5"/>
      <c r="EE338" s="5"/>
      <c r="EF338" s="5"/>
      <c r="EG338" s="5"/>
      <c r="EH338" s="5"/>
      <c r="EI338" s="5"/>
      <c r="EJ338" s="5"/>
      <c r="EK338" s="5"/>
      <c r="EL338" s="5"/>
      <c r="EM338" s="5"/>
      <c r="EN338" s="5"/>
      <c r="EO338" s="5"/>
      <c r="EP338" s="5"/>
      <c r="EQ338" s="5"/>
      <c r="ER338" s="5"/>
      <c r="ES338" s="5"/>
      <c r="ET338" s="5"/>
      <c r="EU338" s="5"/>
      <c r="EV338" s="5"/>
      <c r="EW338" s="5"/>
      <c r="EX338" s="5"/>
      <c r="EY338" s="5"/>
      <c r="EZ338" s="5"/>
      <c r="FA338" s="5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5"/>
      <c r="CT339" s="5"/>
      <c r="CU339" s="5"/>
      <c r="CV339" s="5"/>
      <c r="CW339" s="5"/>
      <c r="CX339" s="5"/>
      <c r="CY339" s="5"/>
      <c r="CZ339" s="5"/>
      <c r="DA339" s="5"/>
      <c r="DB339" s="5"/>
      <c r="DC339" s="5"/>
      <c r="DD339" s="5"/>
      <c r="DE339" s="5"/>
      <c r="DF339" s="5"/>
      <c r="DG339" s="5"/>
      <c r="DH339" s="5"/>
      <c r="DI339" s="5"/>
      <c r="DJ339" s="5"/>
      <c r="DK339" s="5"/>
      <c r="DL339" s="5"/>
      <c r="DM339" s="5"/>
      <c r="DN339" s="5"/>
      <c r="DO339" s="5"/>
      <c r="DP339" s="5"/>
      <c r="DQ339" s="5"/>
      <c r="DR339" s="5"/>
      <c r="DS339" s="5"/>
      <c r="DT339" s="5"/>
      <c r="DU339" s="5"/>
      <c r="DV339" s="5"/>
      <c r="DW339" s="5"/>
      <c r="DX339" s="5"/>
      <c r="DY339" s="5"/>
      <c r="DZ339" s="5"/>
      <c r="EA339" s="5"/>
      <c r="EB339" s="5"/>
      <c r="EC339" s="5"/>
      <c r="ED339" s="5"/>
      <c r="EE339" s="5"/>
      <c r="EF339" s="5"/>
      <c r="EG339" s="5"/>
      <c r="EH339" s="5"/>
      <c r="EI339" s="5"/>
      <c r="EJ339" s="5"/>
      <c r="EK339" s="5"/>
      <c r="EL339" s="5"/>
      <c r="EM339" s="5"/>
      <c r="EN339" s="5"/>
      <c r="EO339" s="5"/>
      <c r="EP339" s="5"/>
      <c r="EQ339" s="5"/>
      <c r="ER339" s="5"/>
      <c r="ES339" s="5"/>
      <c r="ET339" s="5"/>
      <c r="EU339" s="5"/>
      <c r="EV339" s="5"/>
      <c r="EW339" s="5"/>
      <c r="EX339" s="5"/>
      <c r="EY339" s="5"/>
      <c r="EZ339" s="5"/>
      <c r="FA339" s="5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5"/>
      <c r="CT340" s="5"/>
      <c r="CU340" s="5"/>
      <c r="CV340" s="5"/>
      <c r="CW340" s="5"/>
      <c r="CX340" s="5"/>
      <c r="CY340" s="5"/>
      <c r="CZ340" s="5"/>
      <c r="DA340" s="5"/>
      <c r="DB340" s="5"/>
      <c r="DC340" s="5"/>
      <c r="DD340" s="5"/>
      <c r="DE340" s="5"/>
      <c r="DF340" s="5"/>
      <c r="DG340" s="5"/>
      <c r="DH340" s="5"/>
      <c r="DI340" s="5"/>
      <c r="DJ340" s="5"/>
      <c r="DK340" s="5"/>
      <c r="DL340" s="5"/>
      <c r="DM340" s="5"/>
      <c r="DN340" s="5"/>
      <c r="DO340" s="5"/>
      <c r="DP340" s="5"/>
      <c r="DQ340" s="5"/>
      <c r="DR340" s="5"/>
      <c r="DS340" s="5"/>
      <c r="DT340" s="5"/>
      <c r="DU340" s="5"/>
      <c r="DV340" s="5"/>
      <c r="DW340" s="5"/>
      <c r="DX340" s="5"/>
      <c r="DY340" s="5"/>
      <c r="DZ340" s="5"/>
      <c r="EA340" s="5"/>
      <c r="EB340" s="5"/>
      <c r="EC340" s="5"/>
      <c r="ED340" s="5"/>
      <c r="EE340" s="5"/>
      <c r="EF340" s="5"/>
      <c r="EG340" s="5"/>
      <c r="EH340" s="5"/>
      <c r="EI340" s="5"/>
      <c r="EJ340" s="5"/>
      <c r="EK340" s="5"/>
      <c r="EL340" s="5"/>
      <c r="EM340" s="5"/>
      <c r="EN340" s="5"/>
      <c r="EO340" s="5"/>
      <c r="EP340" s="5"/>
      <c r="EQ340" s="5"/>
      <c r="ER340" s="5"/>
      <c r="ES340" s="5"/>
      <c r="ET340" s="5"/>
      <c r="EU340" s="5"/>
      <c r="EV340" s="5"/>
      <c r="EW340" s="5"/>
      <c r="EX340" s="5"/>
      <c r="EY340" s="5"/>
      <c r="EZ340" s="5"/>
      <c r="FA340" s="5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5"/>
      <c r="CT341" s="5"/>
      <c r="CU341" s="5"/>
      <c r="CV341" s="5"/>
      <c r="CW341" s="5"/>
      <c r="CX341" s="5"/>
      <c r="CY341" s="5"/>
      <c r="CZ341" s="5"/>
      <c r="DA341" s="5"/>
      <c r="DB341" s="5"/>
      <c r="DC341" s="5"/>
      <c r="DD341" s="5"/>
      <c r="DE341" s="5"/>
      <c r="DF341" s="5"/>
      <c r="DG341" s="5"/>
      <c r="DH341" s="5"/>
      <c r="DI341" s="5"/>
      <c r="DJ341" s="5"/>
      <c r="DK341" s="5"/>
      <c r="DL341" s="5"/>
      <c r="DM341" s="5"/>
      <c r="DN341" s="5"/>
      <c r="DO341" s="5"/>
      <c r="DP341" s="5"/>
      <c r="DQ341" s="5"/>
      <c r="DR341" s="5"/>
      <c r="DS341" s="5"/>
      <c r="DT341" s="5"/>
      <c r="DU341" s="5"/>
      <c r="DV341" s="5"/>
      <c r="DW341" s="5"/>
      <c r="DX341" s="5"/>
      <c r="DY341" s="5"/>
      <c r="DZ341" s="5"/>
      <c r="EA341" s="5"/>
      <c r="EB341" s="5"/>
      <c r="EC341" s="5"/>
      <c r="ED341" s="5"/>
      <c r="EE341" s="5"/>
      <c r="EF341" s="5"/>
      <c r="EG341" s="5"/>
      <c r="EH341" s="5"/>
      <c r="EI341" s="5"/>
      <c r="EJ341" s="5"/>
      <c r="EK341" s="5"/>
      <c r="EL341" s="5"/>
      <c r="EM341" s="5"/>
      <c r="EN341" s="5"/>
      <c r="EO341" s="5"/>
      <c r="EP341" s="5"/>
      <c r="EQ341" s="5"/>
      <c r="ER341" s="5"/>
      <c r="ES341" s="5"/>
      <c r="ET341" s="5"/>
      <c r="EU341" s="5"/>
      <c r="EV341" s="5"/>
      <c r="EW341" s="5"/>
      <c r="EX341" s="5"/>
      <c r="EY341" s="5"/>
      <c r="EZ341" s="5"/>
      <c r="FA341" s="5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5"/>
      <c r="CT342" s="5"/>
      <c r="CU342" s="5"/>
      <c r="CV342" s="5"/>
      <c r="CW342" s="5"/>
      <c r="CX342" s="5"/>
      <c r="CY342" s="5"/>
      <c r="CZ342" s="5"/>
      <c r="DA342" s="5"/>
      <c r="DB342" s="5"/>
      <c r="DC342" s="5"/>
      <c r="DD342" s="5"/>
      <c r="DE342" s="5"/>
      <c r="DF342" s="5"/>
      <c r="DG342" s="5"/>
      <c r="DH342" s="5"/>
      <c r="DI342" s="5"/>
      <c r="DJ342" s="5"/>
      <c r="DK342" s="5"/>
      <c r="DL342" s="5"/>
      <c r="DM342" s="5"/>
      <c r="DN342" s="5"/>
      <c r="DO342" s="5"/>
      <c r="DP342" s="5"/>
      <c r="DQ342" s="5"/>
      <c r="DR342" s="5"/>
      <c r="DS342" s="5"/>
      <c r="DT342" s="5"/>
      <c r="DU342" s="5"/>
      <c r="DV342" s="5"/>
      <c r="DW342" s="5"/>
      <c r="DX342" s="5"/>
      <c r="DY342" s="5"/>
      <c r="DZ342" s="5"/>
      <c r="EA342" s="5"/>
      <c r="EB342" s="5"/>
      <c r="EC342" s="5"/>
      <c r="ED342" s="5"/>
      <c r="EE342" s="5"/>
      <c r="EF342" s="5"/>
      <c r="EG342" s="5"/>
      <c r="EH342" s="5"/>
      <c r="EI342" s="5"/>
      <c r="EJ342" s="5"/>
      <c r="EK342" s="5"/>
      <c r="EL342" s="5"/>
      <c r="EM342" s="5"/>
      <c r="EN342" s="5"/>
      <c r="EO342" s="5"/>
      <c r="EP342" s="5"/>
      <c r="EQ342" s="5"/>
      <c r="ER342" s="5"/>
      <c r="ES342" s="5"/>
      <c r="ET342" s="5"/>
      <c r="EU342" s="5"/>
      <c r="EV342" s="5"/>
      <c r="EW342" s="5"/>
      <c r="EX342" s="5"/>
      <c r="EY342" s="5"/>
      <c r="EZ342" s="5"/>
      <c r="FA342" s="5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5"/>
      <c r="CT343" s="5"/>
      <c r="CU343" s="5"/>
      <c r="CV343" s="5"/>
      <c r="CW343" s="5"/>
      <c r="CX343" s="5"/>
      <c r="CY343" s="5"/>
      <c r="CZ343" s="5"/>
      <c r="DA343" s="5"/>
      <c r="DB343" s="5"/>
      <c r="DC343" s="5"/>
      <c r="DD343" s="5"/>
      <c r="DE343" s="5"/>
      <c r="DF343" s="5"/>
      <c r="DG343" s="5"/>
      <c r="DH343" s="5"/>
      <c r="DI343" s="5"/>
      <c r="DJ343" s="5"/>
      <c r="DK343" s="5"/>
      <c r="DL343" s="5"/>
      <c r="DM343" s="5"/>
      <c r="DN343" s="5"/>
      <c r="DO343" s="5"/>
      <c r="DP343" s="5"/>
      <c r="DQ343" s="5"/>
      <c r="DR343" s="5"/>
      <c r="DS343" s="5"/>
      <c r="DT343" s="5"/>
      <c r="DU343" s="5"/>
      <c r="DV343" s="5"/>
      <c r="DW343" s="5"/>
      <c r="DX343" s="5"/>
      <c r="DY343" s="5"/>
      <c r="DZ343" s="5"/>
      <c r="EA343" s="5"/>
      <c r="EB343" s="5"/>
      <c r="EC343" s="5"/>
      <c r="ED343" s="5"/>
      <c r="EE343" s="5"/>
      <c r="EF343" s="5"/>
      <c r="EG343" s="5"/>
      <c r="EH343" s="5"/>
      <c r="EI343" s="5"/>
      <c r="EJ343" s="5"/>
      <c r="EK343" s="5"/>
      <c r="EL343" s="5"/>
      <c r="EM343" s="5"/>
      <c r="EN343" s="5"/>
      <c r="EO343" s="5"/>
      <c r="EP343" s="5"/>
      <c r="EQ343" s="5"/>
      <c r="ER343" s="5"/>
      <c r="ES343" s="5"/>
      <c r="ET343" s="5"/>
      <c r="EU343" s="5"/>
      <c r="EV343" s="5"/>
      <c r="EW343" s="5"/>
      <c r="EX343" s="5"/>
      <c r="EY343" s="5"/>
      <c r="EZ343" s="5"/>
      <c r="FA343" s="5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5"/>
      <c r="CT344" s="5"/>
      <c r="CU344" s="5"/>
      <c r="CV344" s="5"/>
      <c r="CW344" s="5"/>
      <c r="CX344" s="5"/>
      <c r="CY344" s="5"/>
      <c r="CZ344" s="5"/>
      <c r="DA344" s="5"/>
      <c r="DB344" s="5"/>
      <c r="DC344" s="5"/>
      <c r="DD344" s="5"/>
      <c r="DE344" s="5"/>
      <c r="DF344" s="5"/>
      <c r="DG344" s="5"/>
      <c r="DH344" s="5"/>
      <c r="DI344" s="5"/>
      <c r="DJ344" s="5"/>
      <c r="DK344" s="5"/>
      <c r="DL344" s="5"/>
      <c r="DM344" s="5"/>
      <c r="DN344" s="5"/>
      <c r="DO344" s="5"/>
      <c r="DP344" s="5"/>
      <c r="DQ344" s="5"/>
      <c r="DR344" s="5"/>
      <c r="DS344" s="5"/>
      <c r="DT344" s="5"/>
      <c r="DU344" s="5"/>
      <c r="DV344" s="5"/>
      <c r="DW344" s="5"/>
      <c r="DX344" s="5"/>
      <c r="DY344" s="5"/>
      <c r="DZ344" s="5"/>
      <c r="EA344" s="5"/>
      <c r="EB344" s="5"/>
      <c r="EC344" s="5"/>
      <c r="ED344" s="5"/>
      <c r="EE344" s="5"/>
      <c r="EF344" s="5"/>
      <c r="EG344" s="5"/>
      <c r="EH344" s="5"/>
      <c r="EI344" s="5"/>
      <c r="EJ344" s="5"/>
      <c r="EK344" s="5"/>
      <c r="EL344" s="5"/>
      <c r="EM344" s="5"/>
      <c r="EN344" s="5"/>
      <c r="EO344" s="5"/>
      <c r="EP344" s="5"/>
      <c r="EQ344" s="5"/>
      <c r="ER344" s="5"/>
      <c r="ES344" s="5"/>
      <c r="ET344" s="5"/>
      <c r="EU344" s="5"/>
      <c r="EV344" s="5"/>
      <c r="EW344" s="5"/>
      <c r="EX344" s="5"/>
      <c r="EY344" s="5"/>
      <c r="EZ344" s="5"/>
      <c r="FA344" s="5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5"/>
      <c r="CT345" s="5"/>
      <c r="CU345" s="5"/>
      <c r="CV345" s="5"/>
      <c r="CW345" s="5"/>
      <c r="CX345" s="5"/>
      <c r="CY345" s="5"/>
      <c r="CZ345" s="5"/>
      <c r="DA345" s="5"/>
      <c r="DB345" s="5"/>
      <c r="DC345" s="5"/>
      <c r="DD345" s="5"/>
      <c r="DE345" s="5"/>
      <c r="DF345" s="5"/>
      <c r="DG345" s="5"/>
      <c r="DH345" s="5"/>
      <c r="DI345" s="5"/>
      <c r="DJ345" s="5"/>
      <c r="DK345" s="5"/>
      <c r="DL345" s="5"/>
      <c r="DM345" s="5"/>
      <c r="DN345" s="5"/>
      <c r="DO345" s="5"/>
      <c r="DP345" s="5"/>
      <c r="DQ345" s="5"/>
      <c r="DR345" s="5"/>
      <c r="DS345" s="5"/>
      <c r="DT345" s="5"/>
      <c r="DU345" s="5"/>
      <c r="DV345" s="5"/>
      <c r="DW345" s="5"/>
      <c r="DX345" s="5"/>
      <c r="DY345" s="5"/>
      <c r="DZ345" s="5"/>
      <c r="EA345" s="5"/>
      <c r="EB345" s="5"/>
      <c r="EC345" s="5"/>
      <c r="ED345" s="5"/>
      <c r="EE345" s="5"/>
      <c r="EF345" s="5"/>
      <c r="EG345" s="5"/>
      <c r="EH345" s="5"/>
      <c r="EI345" s="5"/>
      <c r="EJ345" s="5"/>
      <c r="EK345" s="5"/>
      <c r="EL345" s="5"/>
      <c r="EM345" s="5"/>
      <c r="EN345" s="5"/>
      <c r="EO345" s="5"/>
      <c r="EP345" s="5"/>
      <c r="EQ345" s="5"/>
      <c r="ER345" s="5"/>
      <c r="ES345" s="5"/>
      <c r="ET345" s="5"/>
      <c r="EU345" s="5"/>
      <c r="EV345" s="5"/>
      <c r="EW345" s="5"/>
      <c r="EX345" s="5"/>
      <c r="EY345" s="5"/>
      <c r="EZ345" s="5"/>
      <c r="FA345" s="5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5"/>
      <c r="CT346" s="5"/>
      <c r="CU346" s="5"/>
      <c r="CV346" s="5"/>
      <c r="CW346" s="5"/>
      <c r="CX346" s="5"/>
      <c r="CY346" s="5"/>
      <c r="CZ346" s="5"/>
      <c r="DA346" s="5"/>
      <c r="DB346" s="5"/>
      <c r="DC346" s="5"/>
      <c r="DD346" s="5"/>
      <c r="DE346" s="5"/>
      <c r="DF346" s="5"/>
      <c r="DG346" s="5"/>
      <c r="DH346" s="5"/>
      <c r="DI346" s="5"/>
      <c r="DJ346" s="5"/>
      <c r="DK346" s="5"/>
      <c r="DL346" s="5"/>
      <c r="DM346" s="5"/>
      <c r="DN346" s="5"/>
      <c r="DO346" s="5"/>
      <c r="DP346" s="5"/>
      <c r="DQ346" s="5"/>
      <c r="DR346" s="5"/>
      <c r="DS346" s="5"/>
      <c r="DT346" s="5"/>
      <c r="DU346" s="5"/>
      <c r="DV346" s="5"/>
      <c r="DW346" s="5"/>
      <c r="DX346" s="5"/>
      <c r="DY346" s="5"/>
      <c r="DZ346" s="5"/>
      <c r="EA346" s="5"/>
      <c r="EB346" s="5"/>
      <c r="EC346" s="5"/>
      <c r="ED346" s="5"/>
      <c r="EE346" s="5"/>
      <c r="EF346" s="5"/>
      <c r="EG346" s="5"/>
      <c r="EH346" s="5"/>
      <c r="EI346" s="5"/>
      <c r="EJ346" s="5"/>
      <c r="EK346" s="5"/>
      <c r="EL346" s="5"/>
      <c r="EM346" s="5"/>
      <c r="EN346" s="5"/>
      <c r="EO346" s="5"/>
      <c r="EP346" s="5"/>
      <c r="EQ346" s="5"/>
      <c r="ER346" s="5"/>
      <c r="ES346" s="5"/>
      <c r="ET346" s="5"/>
      <c r="EU346" s="5"/>
      <c r="EV346" s="5"/>
      <c r="EW346" s="5"/>
      <c r="EX346" s="5"/>
      <c r="EY346" s="5"/>
      <c r="EZ346" s="5"/>
      <c r="FA346" s="5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5"/>
      <c r="CT347" s="5"/>
      <c r="CU347" s="5"/>
      <c r="CV347" s="5"/>
      <c r="CW347" s="5"/>
      <c r="CX347" s="5"/>
      <c r="CY347" s="5"/>
      <c r="CZ347" s="5"/>
      <c r="DA347" s="5"/>
      <c r="DB347" s="5"/>
      <c r="DC347" s="5"/>
      <c r="DD347" s="5"/>
      <c r="DE347" s="5"/>
      <c r="DF347" s="5"/>
      <c r="DG347" s="5"/>
      <c r="DH347" s="5"/>
      <c r="DI347" s="5"/>
      <c r="DJ347" s="5"/>
      <c r="DK347" s="5"/>
      <c r="DL347" s="5"/>
      <c r="DM347" s="5"/>
      <c r="DN347" s="5"/>
      <c r="DO347" s="5"/>
      <c r="DP347" s="5"/>
      <c r="DQ347" s="5"/>
      <c r="DR347" s="5"/>
      <c r="DS347" s="5"/>
      <c r="DT347" s="5"/>
      <c r="DU347" s="5"/>
      <c r="DV347" s="5"/>
      <c r="DW347" s="5"/>
      <c r="DX347" s="5"/>
      <c r="DY347" s="5"/>
      <c r="DZ347" s="5"/>
      <c r="EA347" s="5"/>
      <c r="EB347" s="5"/>
      <c r="EC347" s="5"/>
      <c r="ED347" s="5"/>
      <c r="EE347" s="5"/>
      <c r="EF347" s="5"/>
      <c r="EG347" s="5"/>
      <c r="EH347" s="5"/>
      <c r="EI347" s="5"/>
      <c r="EJ347" s="5"/>
      <c r="EK347" s="5"/>
      <c r="EL347" s="5"/>
      <c r="EM347" s="5"/>
      <c r="EN347" s="5"/>
      <c r="EO347" s="5"/>
      <c r="EP347" s="5"/>
      <c r="EQ347" s="5"/>
      <c r="ER347" s="5"/>
      <c r="ES347" s="5"/>
      <c r="ET347" s="5"/>
      <c r="EU347" s="5"/>
      <c r="EV347" s="5"/>
      <c r="EW347" s="5"/>
      <c r="EX347" s="5"/>
      <c r="EY347" s="5"/>
      <c r="EZ347" s="5"/>
      <c r="FA347" s="5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5"/>
      <c r="CT348" s="5"/>
      <c r="CU348" s="5"/>
      <c r="CV348" s="5"/>
      <c r="CW348" s="5"/>
      <c r="CX348" s="5"/>
      <c r="CY348" s="5"/>
      <c r="CZ348" s="5"/>
      <c r="DA348" s="5"/>
      <c r="DB348" s="5"/>
      <c r="DC348" s="5"/>
      <c r="DD348" s="5"/>
      <c r="DE348" s="5"/>
      <c r="DF348" s="5"/>
      <c r="DG348" s="5"/>
      <c r="DH348" s="5"/>
      <c r="DI348" s="5"/>
      <c r="DJ348" s="5"/>
      <c r="DK348" s="5"/>
      <c r="DL348" s="5"/>
      <c r="DM348" s="5"/>
      <c r="DN348" s="5"/>
      <c r="DO348" s="5"/>
      <c r="DP348" s="5"/>
      <c r="DQ348" s="5"/>
      <c r="DR348" s="5"/>
      <c r="DS348" s="5"/>
      <c r="DT348" s="5"/>
      <c r="DU348" s="5"/>
      <c r="DV348" s="5"/>
      <c r="DW348" s="5"/>
      <c r="DX348" s="5"/>
      <c r="DY348" s="5"/>
      <c r="DZ348" s="5"/>
      <c r="EA348" s="5"/>
      <c r="EB348" s="5"/>
      <c r="EC348" s="5"/>
      <c r="ED348" s="5"/>
      <c r="EE348" s="5"/>
      <c r="EF348" s="5"/>
      <c r="EG348" s="5"/>
      <c r="EH348" s="5"/>
      <c r="EI348" s="5"/>
      <c r="EJ348" s="5"/>
      <c r="EK348" s="5"/>
      <c r="EL348" s="5"/>
      <c r="EM348" s="5"/>
      <c r="EN348" s="5"/>
      <c r="EO348" s="5"/>
      <c r="EP348" s="5"/>
      <c r="EQ348" s="5"/>
      <c r="ER348" s="5"/>
      <c r="ES348" s="5"/>
      <c r="ET348" s="5"/>
      <c r="EU348" s="5"/>
      <c r="EV348" s="5"/>
      <c r="EW348" s="5"/>
      <c r="EX348" s="5"/>
      <c r="EY348" s="5"/>
      <c r="EZ348" s="5"/>
      <c r="FA348" s="5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5"/>
      <c r="CT349" s="5"/>
      <c r="CU349" s="5"/>
      <c r="CV349" s="5"/>
      <c r="CW349" s="5"/>
      <c r="CX349" s="5"/>
      <c r="CY349" s="5"/>
      <c r="CZ349" s="5"/>
      <c r="DA349" s="5"/>
      <c r="DB349" s="5"/>
      <c r="DC349" s="5"/>
      <c r="DD349" s="5"/>
      <c r="DE349" s="5"/>
      <c r="DF349" s="5"/>
      <c r="DG349" s="5"/>
      <c r="DH349" s="5"/>
      <c r="DI349" s="5"/>
      <c r="DJ349" s="5"/>
      <c r="DK349" s="5"/>
      <c r="DL349" s="5"/>
      <c r="DM349" s="5"/>
      <c r="DN349" s="5"/>
      <c r="DO349" s="5"/>
      <c r="DP349" s="5"/>
      <c r="DQ349" s="5"/>
      <c r="DR349" s="5"/>
      <c r="DS349" s="5"/>
      <c r="DT349" s="5"/>
      <c r="DU349" s="5"/>
      <c r="DV349" s="5"/>
      <c r="DW349" s="5"/>
      <c r="DX349" s="5"/>
      <c r="DY349" s="5"/>
      <c r="DZ349" s="5"/>
      <c r="EA349" s="5"/>
      <c r="EB349" s="5"/>
      <c r="EC349" s="5"/>
      <c r="ED349" s="5"/>
      <c r="EE349" s="5"/>
      <c r="EF349" s="5"/>
      <c r="EG349" s="5"/>
      <c r="EH349" s="5"/>
      <c r="EI349" s="5"/>
      <c r="EJ349" s="5"/>
      <c r="EK349" s="5"/>
      <c r="EL349" s="5"/>
      <c r="EM349" s="5"/>
      <c r="EN349" s="5"/>
      <c r="EO349" s="5"/>
      <c r="EP349" s="5"/>
      <c r="EQ349" s="5"/>
      <c r="ER349" s="5"/>
      <c r="ES349" s="5"/>
      <c r="ET349" s="5"/>
      <c r="EU349" s="5"/>
      <c r="EV349" s="5"/>
      <c r="EW349" s="5"/>
      <c r="EX349" s="5"/>
      <c r="EY349" s="5"/>
      <c r="EZ349" s="5"/>
      <c r="FA349" s="5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5"/>
      <c r="CT350" s="5"/>
      <c r="CU350" s="5"/>
      <c r="CV350" s="5"/>
      <c r="CW350" s="5"/>
      <c r="CX350" s="5"/>
      <c r="CY350" s="5"/>
      <c r="CZ350" s="5"/>
      <c r="DA350" s="5"/>
      <c r="DB350" s="5"/>
      <c r="DC350" s="5"/>
      <c r="DD350" s="5"/>
      <c r="DE350" s="5"/>
      <c r="DF350" s="5"/>
      <c r="DG350" s="5"/>
      <c r="DH350" s="5"/>
      <c r="DI350" s="5"/>
      <c r="DJ350" s="5"/>
      <c r="DK350" s="5"/>
      <c r="DL350" s="5"/>
      <c r="DM350" s="5"/>
      <c r="DN350" s="5"/>
      <c r="DO350" s="5"/>
      <c r="DP350" s="5"/>
      <c r="DQ350" s="5"/>
      <c r="DR350" s="5"/>
      <c r="DS350" s="5"/>
      <c r="DT350" s="5"/>
      <c r="DU350" s="5"/>
      <c r="DV350" s="5"/>
      <c r="DW350" s="5"/>
      <c r="DX350" s="5"/>
      <c r="DY350" s="5"/>
      <c r="DZ350" s="5"/>
      <c r="EA350" s="5"/>
      <c r="EB350" s="5"/>
      <c r="EC350" s="5"/>
      <c r="ED350" s="5"/>
      <c r="EE350" s="5"/>
      <c r="EF350" s="5"/>
      <c r="EG350" s="5"/>
      <c r="EH350" s="5"/>
      <c r="EI350" s="5"/>
      <c r="EJ350" s="5"/>
      <c r="EK350" s="5"/>
      <c r="EL350" s="5"/>
      <c r="EM350" s="5"/>
      <c r="EN350" s="5"/>
      <c r="EO350" s="5"/>
      <c r="EP350" s="5"/>
      <c r="EQ350" s="5"/>
      <c r="ER350" s="5"/>
      <c r="ES350" s="5"/>
      <c r="ET350" s="5"/>
      <c r="EU350" s="5"/>
      <c r="EV350" s="5"/>
      <c r="EW350" s="5"/>
      <c r="EX350" s="5"/>
      <c r="EY350" s="5"/>
      <c r="EZ350" s="5"/>
      <c r="FA350" s="5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5"/>
      <c r="CT351" s="5"/>
      <c r="CU351" s="5"/>
      <c r="CV351" s="5"/>
      <c r="CW351" s="5"/>
      <c r="CX351" s="5"/>
      <c r="CY351" s="5"/>
      <c r="CZ351" s="5"/>
      <c r="DA351" s="5"/>
      <c r="DB351" s="5"/>
      <c r="DC351" s="5"/>
      <c r="DD351" s="5"/>
      <c r="DE351" s="5"/>
      <c r="DF351" s="5"/>
      <c r="DG351" s="5"/>
      <c r="DH351" s="5"/>
      <c r="DI351" s="5"/>
      <c r="DJ351" s="5"/>
      <c r="DK351" s="5"/>
      <c r="DL351" s="5"/>
      <c r="DM351" s="5"/>
      <c r="DN351" s="5"/>
      <c r="DO351" s="5"/>
      <c r="DP351" s="5"/>
      <c r="DQ351" s="5"/>
      <c r="DR351" s="5"/>
      <c r="DS351" s="5"/>
      <c r="DT351" s="5"/>
      <c r="DU351" s="5"/>
      <c r="DV351" s="5"/>
      <c r="DW351" s="5"/>
      <c r="DX351" s="5"/>
      <c r="DY351" s="5"/>
      <c r="DZ351" s="5"/>
      <c r="EA351" s="5"/>
      <c r="EB351" s="5"/>
      <c r="EC351" s="5"/>
      <c r="ED351" s="5"/>
      <c r="EE351" s="5"/>
      <c r="EF351" s="5"/>
      <c r="EG351" s="5"/>
      <c r="EH351" s="5"/>
      <c r="EI351" s="5"/>
      <c r="EJ351" s="5"/>
      <c r="EK351" s="5"/>
      <c r="EL351" s="5"/>
      <c r="EM351" s="5"/>
      <c r="EN351" s="5"/>
      <c r="EO351" s="5"/>
      <c r="EP351" s="5"/>
      <c r="EQ351" s="5"/>
      <c r="ER351" s="5"/>
      <c r="ES351" s="5"/>
      <c r="ET351" s="5"/>
      <c r="EU351" s="5"/>
      <c r="EV351" s="5"/>
      <c r="EW351" s="5"/>
      <c r="EX351" s="5"/>
      <c r="EY351" s="5"/>
      <c r="EZ351" s="5"/>
      <c r="FA351" s="5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5"/>
      <c r="CT352" s="5"/>
      <c r="CU352" s="5"/>
      <c r="CV352" s="5"/>
      <c r="CW352" s="5"/>
      <c r="CX352" s="5"/>
      <c r="CY352" s="5"/>
      <c r="CZ352" s="5"/>
      <c r="DA352" s="5"/>
      <c r="DB352" s="5"/>
      <c r="DC352" s="5"/>
      <c r="DD352" s="5"/>
      <c r="DE352" s="5"/>
      <c r="DF352" s="5"/>
      <c r="DG352" s="5"/>
      <c r="DH352" s="5"/>
      <c r="DI352" s="5"/>
      <c r="DJ352" s="5"/>
      <c r="DK352" s="5"/>
      <c r="DL352" s="5"/>
      <c r="DM352" s="5"/>
      <c r="DN352" s="5"/>
      <c r="DO352" s="5"/>
      <c r="DP352" s="5"/>
      <c r="DQ352" s="5"/>
      <c r="DR352" s="5"/>
      <c r="DS352" s="5"/>
      <c r="DT352" s="5"/>
      <c r="DU352" s="5"/>
      <c r="DV352" s="5"/>
      <c r="DW352" s="5"/>
      <c r="DX352" s="5"/>
      <c r="DY352" s="5"/>
      <c r="DZ352" s="5"/>
      <c r="EA352" s="5"/>
      <c r="EB352" s="5"/>
      <c r="EC352" s="5"/>
      <c r="ED352" s="5"/>
      <c r="EE352" s="5"/>
      <c r="EF352" s="5"/>
      <c r="EG352" s="5"/>
      <c r="EH352" s="5"/>
      <c r="EI352" s="5"/>
      <c r="EJ352" s="5"/>
      <c r="EK352" s="5"/>
      <c r="EL352" s="5"/>
      <c r="EM352" s="5"/>
      <c r="EN352" s="5"/>
      <c r="EO352" s="5"/>
      <c r="EP352" s="5"/>
      <c r="EQ352" s="5"/>
      <c r="ER352" s="5"/>
      <c r="ES352" s="5"/>
      <c r="ET352" s="5"/>
      <c r="EU352" s="5"/>
      <c r="EV352" s="5"/>
      <c r="EW352" s="5"/>
      <c r="EX352" s="5"/>
      <c r="EY352" s="5"/>
      <c r="EZ352" s="5"/>
      <c r="FA352" s="5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5"/>
      <c r="CT353" s="5"/>
      <c r="CU353" s="5"/>
      <c r="CV353" s="5"/>
      <c r="CW353" s="5"/>
      <c r="CX353" s="5"/>
      <c r="CY353" s="5"/>
      <c r="CZ353" s="5"/>
      <c r="DA353" s="5"/>
      <c r="DB353" s="5"/>
      <c r="DC353" s="5"/>
      <c r="DD353" s="5"/>
      <c r="DE353" s="5"/>
      <c r="DF353" s="5"/>
      <c r="DG353" s="5"/>
      <c r="DH353" s="5"/>
      <c r="DI353" s="5"/>
      <c r="DJ353" s="5"/>
      <c r="DK353" s="5"/>
      <c r="DL353" s="5"/>
      <c r="DM353" s="5"/>
      <c r="DN353" s="5"/>
      <c r="DO353" s="5"/>
      <c r="DP353" s="5"/>
      <c r="DQ353" s="5"/>
      <c r="DR353" s="5"/>
      <c r="DS353" s="5"/>
      <c r="DT353" s="5"/>
      <c r="DU353" s="5"/>
      <c r="DV353" s="5"/>
      <c r="DW353" s="5"/>
      <c r="DX353" s="5"/>
      <c r="DY353" s="5"/>
      <c r="DZ353" s="5"/>
      <c r="EA353" s="5"/>
      <c r="EB353" s="5"/>
      <c r="EC353" s="5"/>
      <c r="ED353" s="5"/>
      <c r="EE353" s="5"/>
      <c r="EF353" s="5"/>
      <c r="EG353" s="5"/>
      <c r="EH353" s="5"/>
      <c r="EI353" s="5"/>
      <c r="EJ353" s="5"/>
      <c r="EK353" s="5"/>
      <c r="EL353" s="5"/>
      <c r="EM353" s="5"/>
      <c r="EN353" s="5"/>
      <c r="EO353" s="5"/>
      <c r="EP353" s="5"/>
      <c r="EQ353" s="5"/>
      <c r="ER353" s="5"/>
      <c r="ES353" s="5"/>
      <c r="ET353" s="5"/>
      <c r="EU353" s="5"/>
      <c r="EV353" s="5"/>
      <c r="EW353" s="5"/>
      <c r="EX353" s="5"/>
      <c r="EY353" s="5"/>
      <c r="EZ353" s="5"/>
      <c r="FA353" s="5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5"/>
      <c r="CT354" s="5"/>
      <c r="CU354" s="5"/>
      <c r="CV354" s="5"/>
      <c r="CW354" s="5"/>
      <c r="CX354" s="5"/>
      <c r="CY354" s="5"/>
      <c r="CZ354" s="5"/>
      <c r="DA354" s="5"/>
      <c r="DB354" s="5"/>
      <c r="DC354" s="5"/>
      <c r="DD354" s="5"/>
      <c r="DE354" s="5"/>
      <c r="DF354" s="5"/>
      <c r="DG354" s="5"/>
      <c r="DH354" s="5"/>
      <c r="DI354" s="5"/>
      <c r="DJ354" s="5"/>
      <c r="DK354" s="5"/>
      <c r="DL354" s="5"/>
      <c r="DM354" s="5"/>
      <c r="DN354" s="5"/>
      <c r="DO354" s="5"/>
      <c r="DP354" s="5"/>
      <c r="DQ354" s="5"/>
      <c r="DR354" s="5"/>
      <c r="DS354" s="5"/>
      <c r="DT354" s="5"/>
      <c r="DU354" s="5"/>
      <c r="DV354" s="5"/>
      <c r="DW354" s="5"/>
      <c r="DX354" s="5"/>
      <c r="DY354" s="5"/>
      <c r="DZ354" s="5"/>
      <c r="EA354" s="5"/>
      <c r="EB354" s="5"/>
      <c r="EC354" s="5"/>
      <c r="ED354" s="5"/>
      <c r="EE354" s="5"/>
      <c r="EF354" s="5"/>
      <c r="EG354" s="5"/>
      <c r="EH354" s="5"/>
      <c r="EI354" s="5"/>
      <c r="EJ354" s="5"/>
      <c r="EK354" s="5"/>
      <c r="EL354" s="5"/>
      <c r="EM354" s="5"/>
      <c r="EN354" s="5"/>
      <c r="EO354" s="5"/>
      <c r="EP354" s="5"/>
      <c r="EQ354" s="5"/>
      <c r="ER354" s="5"/>
      <c r="ES354" s="5"/>
      <c r="ET354" s="5"/>
      <c r="EU354" s="5"/>
      <c r="EV354" s="5"/>
      <c r="EW354" s="5"/>
      <c r="EX354" s="5"/>
      <c r="EY354" s="5"/>
      <c r="EZ354" s="5"/>
      <c r="FA354" s="5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5"/>
      <c r="CT355" s="5"/>
      <c r="CU355" s="5"/>
      <c r="CV355" s="5"/>
      <c r="CW355" s="5"/>
      <c r="CX355" s="5"/>
      <c r="CY355" s="5"/>
      <c r="CZ355" s="5"/>
      <c r="DA355" s="5"/>
      <c r="DB355" s="5"/>
      <c r="DC355" s="5"/>
      <c r="DD355" s="5"/>
      <c r="DE355" s="5"/>
      <c r="DF355" s="5"/>
      <c r="DG355" s="5"/>
      <c r="DH355" s="5"/>
      <c r="DI355" s="5"/>
      <c r="DJ355" s="5"/>
      <c r="DK355" s="5"/>
      <c r="DL355" s="5"/>
      <c r="DM355" s="5"/>
      <c r="DN355" s="5"/>
      <c r="DO355" s="5"/>
      <c r="DP355" s="5"/>
      <c r="DQ355" s="5"/>
      <c r="DR355" s="5"/>
      <c r="DS355" s="5"/>
      <c r="DT355" s="5"/>
      <c r="DU355" s="5"/>
      <c r="DV355" s="5"/>
      <c r="DW355" s="5"/>
      <c r="DX355" s="5"/>
      <c r="DY355" s="5"/>
      <c r="DZ355" s="5"/>
      <c r="EA355" s="5"/>
      <c r="EB355" s="5"/>
      <c r="EC355" s="5"/>
      <c r="ED355" s="5"/>
      <c r="EE355" s="5"/>
      <c r="EF355" s="5"/>
      <c r="EG355" s="5"/>
      <c r="EH355" s="5"/>
      <c r="EI355" s="5"/>
      <c r="EJ355" s="5"/>
      <c r="EK355" s="5"/>
      <c r="EL355" s="5"/>
      <c r="EM355" s="5"/>
      <c r="EN355" s="5"/>
      <c r="EO355" s="5"/>
      <c r="EP355" s="5"/>
      <c r="EQ355" s="5"/>
      <c r="ER355" s="5"/>
      <c r="ES355" s="5"/>
      <c r="ET355" s="5"/>
      <c r="EU355" s="5"/>
      <c r="EV355" s="5"/>
      <c r="EW355" s="5"/>
      <c r="EX355" s="5"/>
      <c r="EY355" s="5"/>
      <c r="EZ355" s="5"/>
      <c r="FA355" s="5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5"/>
      <c r="CT356" s="5"/>
      <c r="CU356" s="5"/>
      <c r="CV356" s="5"/>
      <c r="CW356" s="5"/>
      <c r="CX356" s="5"/>
      <c r="CY356" s="5"/>
      <c r="CZ356" s="5"/>
      <c r="DA356" s="5"/>
      <c r="DB356" s="5"/>
      <c r="DC356" s="5"/>
      <c r="DD356" s="5"/>
      <c r="DE356" s="5"/>
      <c r="DF356" s="5"/>
      <c r="DG356" s="5"/>
      <c r="DH356" s="5"/>
      <c r="DI356" s="5"/>
      <c r="DJ356" s="5"/>
      <c r="DK356" s="5"/>
      <c r="DL356" s="5"/>
      <c r="DM356" s="5"/>
      <c r="DN356" s="5"/>
      <c r="DO356" s="5"/>
      <c r="DP356" s="5"/>
      <c r="DQ356" s="5"/>
      <c r="DR356" s="5"/>
      <c r="DS356" s="5"/>
      <c r="DT356" s="5"/>
      <c r="DU356" s="5"/>
      <c r="DV356" s="5"/>
      <c r="DW356" s="5"/>
      <c r="DX356" s="5"/>
      <c r="DY356" s="5"/>
      <c r="DZ356" s="5"/>
      <c r="EA356" s="5"/>
      <c r="EB356" s="5"/>
      <c r="EC356" s="5"/>
      <c r="ED356" s="5"/>
      <c r="EE356" s="5"/>
      <c r="EF356" s="5"/>
      <c r="EG356" s="5"/>
      <c r="EH356" s="5"/>
      <c r="EI356" s="5"/>
      <c r="EJ356" s="5"/>
      <c r="EK356" s="5"/>
      <c r="EL356" s="5"/>
      <c r="EM356" s="5"/>
      <c r="EN356" s="5"/>
      <c r="EO356" s="5"/>
      <c r="EP356" s="5"/>
      <c r="EQ356" s="5"/>
      <c r="ER356" s="5"/>
      <c r="ES356" s="5"/>
      <c r="ET356" s="5"/>
      <c r="EU356" s="5"/>
      <c r="EV356" s="5"/>
      <c r="EW356" s="5"/>
      <c r="EX356" s="5"/>
      <c r="EY356" s="5"/>
      <c r="EZ356" s="5"/>
      <c r="FA356" s="5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5"/>
      <c r="CT357" s="5"/>
      <c r="CU357" s="5"/>
      <c r="CV357" s="5"/>
      <c r="CW357" s="5"/>
      <c r="CX357" s="5"/>
      <c r="CY357" s="5"/>
      <c r="CZ357" s="5"/>
      <c r="DA357" s="5"/>
      <c r="DB357" s="5"/>
      <c r="DC357" s="5"/>
      <c r="DD357" s="5"/>
      <c r="DE357" s="5"/>
      <c r="DF357" s="5"/>
      <c r="DG357" s="5"/>
      <c r="DH357" s="5"/>
      <c r="DI357" s="5"/>
      <c r="DJ357" s="5"/>
      <c r="DK357" s="5"/>
      <c r="DL357" s="5"/>
      <c r="DM357" s="5"/>
      <c r="DN357" s="5"/>
      <c r="DO357" s="5"/>
      <c r="DP357" s="5"/>
      <c r="DQ357" s="5"/>
      <c r="DR357" s="5"/>
      <c r="DS357" s="5"/>
      <c r="DT357" s="5"/>
      <c r="DU357" s="5"/>
      <c r="DV357" s="5"/>
      <c r="DW357" s="5"/>
      <c r="DX357" s="5"/>
      <c r="DY357" s="5"/>
      <c r="DZ357" s="5"/>
      <c r="EA357" s="5"/>
      <c r="EB357" s="5"/>
      <c r="EC357" s="5"/>
      <c r="ED357" s="5"/>
      <c r="EE357" s="5"/>
      <c r="EF357" s="5"/>
      <c r="EG357" s="5"/>
      <c r="EH357" s="5"/>
      <c r="EI357" s="5"/>
      <c r="EJ357" s="5"/>
      <c r="EK357" s="5"/>
      <c r="EL357" s="5"/>
      <c r="EM357" s="5"/>
      <c r="EN357" s="5"/>
      <c r="EO357" s="5"/>
      <c r="EP357" s="5"/>
      <c r="EQ357" s="5"/>
      <c r="ER357" s="5"/>
      <c r="ES357" s="5"/>
      <c r="ET357" s="5"/>
      <c r="EU357" s="5"/>
      <c r="EV357" s="5"/>
      <c r="EW357" s="5"/>
      <c r="EX357" s="5"/>
      <c r="EY357" s="5"/>
      <c r="EZ357" s="5"/>
      <c r="FA357" s="5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5"/>
      <c r="CT358" s="5"/>
      <c r="CU358" s="5"/>
      <c r="CV358" s="5"/>
      <c r="CW358" s="5"/>
      <c r="CX358" s="5"/>
      <c r="CY358" s="5"/>
      <c r="CZ358" s="5"/>
      <c r="DA358" s="5"/>
      <c r="DB358" s="5"/>
      <c r="DC358" s="5"/>
      <c r="DD358" s="5"/>
      <c r="DE358" s="5"/>
      <c r="DF358" s="5"/>
      <c r="DG358" s="5"/>
      <c r="DH358" s="5"/>
      <c r="DI358" s="5"/>
      <c r="DJ358" s="5"/>
      <c r="DK358" s="5"/>
      <c r="DL358" s="5"/>
      <c r="DM358" s="5"/>
      <c r="DN358" s="5"/>
      <c r="DO358" s="5"/>
      <c r="DP358" s="5"/>
      <c r="DQ358" s="5"/>
      <c r="DR358" s="5"/>
      <c r="DS358" s="5"/>
      <c r="DT358" s="5"/>
      <c r="DU358" s="5"/>
      <c r="DV358" s="5"/>
      <c r="DW358" s="5"/>
      <c r="DX358" s="5"/>
      <c r="DY358" s="5"/>
      <c r="DZ358" s="5"/>
      <c r="EA358" s="5"/>
      <c r="EB358" s="5"/>
      <c r="EC358" s="5"/>
      <c r="ED358" s="5"/>
      <c r="EE358" s="5"/>
      <c r="EF358" s="5"/>
      <c r="EG358" s="5"/>
      <c r="EH358" s="5"/>
      <c r="EI358" s="5"/>
      <c r="EJ358" s="5"/>
      <c r="EK358" s="5"/>
      <c r="EL358" s="5"/>
      <c r="EM358" s="5"/>
      <c r="EN358" s="5"/>
      <c r="EO358" s="5"/>
      <c r="EP358" s="5"/>
      <c r="EQ358" s="5"/>
      <c r="ER358" s="5"/>
      <c r="ES358" s="5"/>
      <c r="ET358" s="5"/>
      <c r="EU358" s="5"/>
      <c r="EV358" s="5"/>
      <c r="EW358" s="5"/>
      <c r="EX358" s="5"/>
      <c r="EY358" s="5"/>
      <c r="EZ358" s="5"/>
      <c r="FA358" s="5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5"/>
      <c r="CT359" s="5"/>
      <c r="CU359" s="5"/>
      <c r="CV359" s="5"/>
      <c r="CW359" s="5"/>
      <c r="CX359" s="5"/>
      <c r="CY359" s="5"/>
      <c r="CZ359" s="5"/>
      <c r="DA359" s="5"/>
      <c r="DB359" s="5"/>
      <c r="DC359" s="5"/>
      <c r="DD359" s="5"/>
      <c r="DE359" s="5"/>
      <c r="DF359" s="5"/>
      <c r="DG359" s="5"/>
      <c r="DH359" s="5"/>
      <c r="DI359" s="5"/>
      <c r="DJ359" s="5"/>
      <c r="DK359" s="5"/>
      <c r="DL359" s="5"/>
      <c r="DM359" s="5"/>
      <c r="DN359" s="5"/>
      <c r="DO359" s="5"/>
      <c r="DP359" s="5"/>
      <c r="DQ359" s="5"/>
      <c r="DR359" s="5"/>
      <c r="DS359" s="5"/>
      <c r="DT359" s="5"/>
      <c r="DU359" s="5"/>
      <c r="DV359" s="5"/>
      <c r="DW359" s="5"/>
      <c r="DX359" s="5"/>
      <c r="DY359" s="5"/>
      <c r="DZ359" s="5"/>
      <c r="EA359" s="5"/>
      <c r="EB359" s="5"/>
      <c r="EC359" s="5"/>
      <c r="ED359" s="5"/>
      <c r="EE359" s="5"/>
      <c r="EF359" s="5"/>
      <c r="EG359" s="5"/>
      <c r="EH359" s="5"/>
      <c r="EI359" s="5"/>
      <c r="EJ359" s="5"/>
      <c r="EK359" s="5"/>
      <c r="EL359" s="5"/>
      <c r="EM359" s="5"/>
      <c r="EN359" s="5"/>
      <c r="EO359" s="5"/>
      <c r="EP359" s="5"/>
      <c r="EQ359" s="5"/>
      <c r="ER359" s="5"/>
      <c r="ES359" s="5"/>
      <c r="ET359" s="5"/>
      <c r="EU359" s="5"/>
      <c r="EV359" s="5"/>
      <c r="EW359" s="5"/>
      <c r="EX359" s="5"/>
      <c r="EY359" s="5"/>
      <c r="EZ359" s="5"/>
      <c r="FA359" s="5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5"/>
      <c r="CT360" s="5"/>
      <c r="CU360" s="5"/>
      <c r="CV360" s="5"/>
      <c r="CW360" s="5"/>
      <c r="CX360" s="5"/>
      <c r="CY360" s="5"/>
      <c r="CZ360" s="5"/>
      <c r="DA360" s="5"/>
      <c r="DB360" s="5"/>
      <c r="DC360" s="5"/>
      <c r="DD360" s="5"/>
      <c r="DE360" s="5"/>
      <c r="DF360" s="5"/>
      <c r="DG360" s="5"/>
      <c r="DH360" s="5"/>
      <c r="DI360" s="5"/>
      <c r="DJ360" s="5"/>
      <c r="DK360" s="5"/>
      <c r="DL360" s="5"/>
      <c r="DM360" s="5"/>
      <c r="DN360" s="5"/>
      <c r="DO360" s="5"/>
      <c r="DP360" s="5"/>
      <c r="DQ360" s="5"/>
      <c r="DR360" s="5"/>
      <c r="DS360" s="5"/>
      <c r="DT360" s="5"/>
      <c r="DU360" s="5"/>
      <c r="DV360" s="5"/>
      <c r="DW360" s="5"/>
      <c r="DX360" s="5"/>
      <c r="DY360" s="5"/>
      <c r="DZ360" s="5"/>
      <c r="EA360" s="5"/>
      <c r="EB360" s="5"/>
      <c r="EC360" s="5"/>
      <c r="ED360" s="5"/>
      <c r="EE360" s="5"/>
      <c r="EF360" s="5"/>
      <c r="EG360" s="5"/>
      <c r="EH360" s="5"/>
      <c r="EI360" s="5"/>
      <c r="EJ360" s="5"/>
      <c r="EK360" s="5"/>
      <c r="EL360" s="5"/>
      <c r="EM360" s="5"/>
      <c r="EN360" s="5"/>
      <c r="EO360" s="5"/>
      <c r="EP360" s="5"/>
      <c r="EQ360" s="5"/>
      <c r="ER360" s="5"/>
      <c r="ES360" s="5"/>
      <c r="ET360" s="5"/>
      <c r="EU360" s="5"/>
      <c r="EV360" s="5"/>
      <c r="EW360" s="5"/>
      <c r="EX360" s="5"/>
      <c r="EY360" s="5"/>
      <c r="EZ360" s="5"/>
      <c r="FA360" s="5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5"/>
      <c r="CT361" s="5"/>
      <c r="CU361" s="5"/>
      <c r="CV361" s="5"/>
      <c r="CW361" s="5"/>
      <c r="CX361" s="5"/>
      <c r="CY361" s="5"/>
      <c r="CZ361" s="5"/>
      <c r="DA361" s="5"/>
      <c r="DB361" s="5"/>
      <c r="DC361" s="5"/>
      <c r="DD361" s="5"/>
      <c r="DE361" s="5"/>
      <c r="DF361" s="5"/>
      <c r="DG361" s="5"/>
      <c r="DH361" s="5"/>
      <c r="DI361" s="5"/>
      <c r="DJ361" s="5"/>
      <c r="DK361" s="5"/>
      <c r="DL361" s="5"/>
      <c r="DM361" s="5"/>
      <c r="DN361" s="5"/>
      <c r="DO361" s="5"/>
      <c r="DP361" s="5"/>
      <c r="DQ361" s="5"/>
      <c r="DR361" s="5"/>
      <c r="DS361" s="5"/>
      <c r="DT361" s="5"/>
      <c r="DU361" s="5"/>
      <c r="DV361" s="5"/>
      <c r="DW361" s="5"/>
      <c r="DX361" s="5"/>
      <c r="DY361" s="5"/>
      <c r="DZ361" s="5"/>
      <c r="EA361" s="5"/>
      <c r="EB361" s="5"/>
      <c r="EC361" s="5"/>
      <c r="ED361" s="5"/>
      <c r="EE361" s="5"/>
      <c r="EF361" s="5"/>
      <c r="EG361" s="5"/>
      <c r="EH361" s="5"/>
      <c r="EI361" s="5"/>
      <c r="EJ361" s="5"/>
      <c r="EK361" s="5"/>
      <c r="EL361" s="5"/>
      <c r="EM361" s="5"/>
      <c r="EN361" s="5"/>
      <c r="EO361" s="5"/>
      <c r="EP361" s="5"/>
      <c r="EQ361" s="5"/>
      <c r="ER361" s="5"/>
      <c r="ES361" s="5"/>
      <c r="ET361" s="5"/>
      <c r="EU361" s="5"/>
      <c r="EV361" s="5"/>
      <c r="EW361" s="5"/>
      <c r="EX361" s="5"/>
      <c r="EY361" s="5"/>
      <c r="EZ361" s="5"/>
      <c r="FA361" s="5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5"/>
      <c r="CT362" s="5"/>
      <c r="CU362" s="5"/>
      <c r="CV362" s="5"/>
      <c r="CW362" s="5"/>
      <c r="CX362" s="5"/>
      <c r="CY362" s="5"/>
      <c r="CZ362" s="5"/>
      <c r="DA362" s="5"/>
      <c r="DB362" s="5"/>
      <c r="DC362" s="5"/>
      <c r="DD362" s="5"/>
      <c r="DE362" s="5"/>
      <c r="DF362" s="5"/>
      <c r="DG362" s="5"/>
      <c r="DH362" s="5"/>
      <c r="DI362" s="5"/>
      <c r="DJ362" s="5"/>
      <c r="DK362" s="5"/>
      <c r="DL362" s="5"/>
      <c r="DM362" s="5"/>
      <c r="DN362" s="5"/>
      <c r="DO362" s="5"/>
      <c r="DP362" s="5"/>
      <c r="DQ362" s="5"/>
      <c r="DR362" s="5"/>
      <c r="DS362" s="5"/>
      <c r="DT362" s="5"/>
      <c r="DU362" s="5"/>
      <c r="DV362" s="5"/>
      <c r="DW362" s="5"/>
      <c r="DX362" s="5"/>
      <c r="DY362" s="5"/>
      <c r="DZ362" s="5"/>
      <c r="EA362" s="5"/>
      <c r="EB362" s="5"/>
      <c r="EC362" s="5"/>
      <c r="ED362" s="5"/>
      <c r="EE362" s="5"/>
      <c r="EF362" s="5"/>
      <c r="EG362" s="5"/>
      <c r="EH362" s="5"/>
      <c r="EI362" s="5"/>
      <c r="EJ362" s="5"/>
      <c r="EK362" s="5"/>
      <c r="EL362" s="5"/>
      <c r="EM362" s="5"/>
      <c r="EN362" s="5"/>
      <c r="EO362" s="5"/>
      <c r="EP362" s="5"/>
      <c r="EQ362" s="5"/>
      <c r="ER362" s="5"/>
      <c r="ES362" s="5"/>
      <c r="ET362" s="5"/>
      <c r="EU362" s="5"/>
      <c r="EV362" s="5"/>
      <c r="EW362" s="5"/>
      <c r="EX362" s="5"/>
      <c r="EY362" s="5"/>
      <c r="EZ362" s="5"/>
      <c r="FA362" s="5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5"/>
      <c r="CT363" s="5"/>
      <c r="CU363" s="5"/>
      <c r="CV363" s="5"/>
      <c r="CW363" s="5"/>
      <c r="CX363" s="5"/>
      <c r="CY363" s="5"/>
      <c r="CZ363" s="5"/>
      <c r="DA363" s="5"/>
      <c r="DB363" s="5"/>
      <c r="DC363" s="5"/>
      <c r="DD363" s="5"/>
      <c r="DE363" s="5"/>
      <c r="DF363" s="5"/>
      <c r="DG363" s="5"/>
      <c r="DH363" s="5"/>
      <c r="DI363" s="5"/>
      <c r="DJ363" s="5"/>
      <c r="DK363" s="5"/>
      <c r="DL363" s="5"/>
      <c r="DM363" s="5"/>
      <c r="DN363" s="5"/>
      <c r="DO363" s="5"/>
      <c r="DP363" s="5"/>
      <c r="DQ363" s="5"/>
      <c r="DR363" s="5"/>
      <c r="DS363" s="5"/>
      <c r="DT363" s="5"/>
      <c r="DU363" s="5"/>
      <c r="DV363" s="5"/>
      <c r="DW363" s="5"/>
      <c r="DX363" s="5"/>
      <c r="DY363" s="5"/>
      <c r="DZ363" s="5"/>
      <c r="EA363" s="5"/>
      <c r="EB363" s="5"/>
      <c r="EC363" s="5"/>
      <c r="ED363" s="5"/>
      <c r="EE363" s="5"/>
      <c r="EF363" s="5"/>
      <c r="EG363" s="5"/>
      <c r="EH363" s="5"/>
      <c r="EI363" s="5"/>
      <c r="EJ363" s="5"/>
      <c r="EK363" s="5"/>
      <c r="EL363" s="5"/>
      <c r="EM363" s="5"/>
      <c r="EN363" s="5"/>
      <c r="EO363" s="5"/>
      <c r="EP363" s="5"/>
      <c r="EQ363" s="5"/>
      <c r="ER363" s="5"/>
      <c r="ES363" s="5"/>
      <c r="ET363" s="5"/>
      <c r="EU363" s="5"/>
      <c r="EV363" s="5"/>
      <c r="EW363" s="5"/>
      <c r="EX363" s="5"/>
      <c r="EY363" s="5"/>
      <c r="EZ363" s="5"/>
      <c r="FA363" s="5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5"/>
      <c r="CT364" s="5"/>
      <c r="CU364" s="5"/>
      <c r="CV364" s="5"/>
      <c r="CW364" s="5"/>
      <c r="CX364" s="5"/>
      <c r="CY364" s="5"/>
      <c r="CZ364" s="5"/>
      <c r="DA364" s="5"/>
      <c r="DB364" s="5"/>
      <c r="DC364" s="5"/>
      <c r="DD364" s="5"/>
      <c r="DE364" s="5"/>
      <c r="DF364" s="5"/>
      <c r="DG364" s="5"/>
      <c r="DH364" s="5"/>
      <c r="DI364" s="5"/>
      <c r="DJ364" s="5"/>
      <c r="DK364" s="5"/>
      <c r="DL364" s="5"/>
      <c r="DM364" s="5"/>
      <c r="DN364" s="5"/>
      <c r="DO364" s="5"/>
      <c r="DP364" s="5"/>
      <c r="DQ364" s="5"/>
      <c r="DR364" s="5"/>
      <c r="DS364" s="5"/>
      <c r="DT364" s="5"/>
      <c r="DU364" s="5"/>
      <c r="DV364" s="5"/>
      <c r="DW364" s="5"/>
      <c r="DX364" s="5"/>
      <c r="DY364" s="5"/>
      <c r="DZ364" s="5"/>
      <c r="EA364" s="5"/>
      <c r="EB364" s="5"/>
      <c r="EC364" s="5"/>
      <c r="ED364" s="5"/>
      <c r="EE364" s="5"/>
      <c r="EF364" s="5"/>
      <c r="EG364" s="5"/>
      <c r="EH364" s="5"/>
      <c r="EI364" s="5"/>
      <c r="EJ364" s="5"/>
      <c r="EK364" s="5"/>
      <c r="EL364" s="5"/>
      <c r="EM364" s="5"/>
      <c r="EN364" s="5"/>
      <c r="EO364" s="5"/>
      <c r="EP364" s="5"/>
      <c r="EQ364" s="5"/>
      <c r="ER364" s="5"/>
      <c r="ES364" s="5"/>
      <c r="ET364" s="5"/>
      <c r="EU364" s="5"/>
      <c r="EV364" s="5"/>
      <c r="EW364" s="5"/>
      <c r="EX364" s="5"/>
      <c r="EY364" s="5"/>
      <c r="EZ364" s="5"/>
      <c r="FA364" s="5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5"/>
      <c r="CT365" s="5"/>
      <c r="CU365" s="5"/>
      <c r="CV365" s="5"/>
      <c r="CW365" s="5"/>
      <c r="CX365" s="5"/>
      <c r="CY365" s="5"/>
      <c r="CZ365" s="5"/>
      <c r="DA365" s="5"/>
      <c r="DB365" s="5"/>
      <c r="DC365" s="5"/>
      <c r="DD365" s="5"/>
      <c r="DE365" s="5"/>
      <c r="DF365" s="5"/>
      <c r="DG365" s="5"/>
      <c r="DH365" s="5"/>
      <c r="DI365" s="5"/>
      <c r="DJ365" s="5"/>
      <c r="DK365" s="5"/>
      <c r="DL365" s="5"/>
      <c r="DM365" s="5"/>
      <c r="DN365" s="5"/>
      <c r="DO365" s="5"/>
      <c r="DP365" s="5"/>
      <c r="DQ365" s="5"/>
      <c r="DR365" s="5"/>
      <c r="DS365" s="5"/>
      <c r="DT365" s="5"/>
      <c r="DU365" s="5"/>
      <c r="DV365" s="5"/>
      <c r="DW365" s="5"/>
      <c r="DX365" s="5"/>
      <c r="DY365" s="5"/>
      <c r="DZ365" s="5"/>
      <c r="EA365" s="5"/>
      <c r="EB365" s="5"/>
      <c r="EC365" s="5"/>
      <c r="ED365" s="5"/>
      <c r="EE365" s="5"/>
      <c r="EF365" s="5"/>
      <c r="EG365" s="5"/>
      <c r="EH365" s="5"/>
      <c r="EI365" s="5"/>
      <c r="EJ365" s="5"/>
      <c r="EK365" s="5"/>
      <c r="EL365" s="5"/>
      <c r="EM365" s="5"/>
      <c r="EN365" s="5"/>
      <c r="EO365" s="5"/>
      <c r="EP365" s="5"/>
      <c r="EQ365" s="5"/>
      <c r="ER365" s="5"/>
      <c r="ES365" s="5"/>
      <c r="ET365" s="5"/>
      <c r="EU365" s="5"/>
      <c r="EV365" s="5"/>
      <c r="EW365" s="5"/>
      <c r="EX365" s="5"/>
      <c r="EY365" s="5"/>
      <c r="EZ365" s="5"/>
      <c r="FA365" s="5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5"/>
      <c r="CT366" s="5"/>
      <c r="CU366" s="5"/>
      <c r="CV366" s="5"/>
      <c r="CW366" s="5"/>
      <c r="CX366" s="5"/>
      <c r="CY366" s="5"/>
      <c r="CZ366" s="5"/>
      <c r="DA366" s="5"/>
      <c r="DB366" s="5"/>
      <c r="DC366" s="5"/>
      <c r="DD366" s="5"/>
      <c r="DE366" s="5"/>
      <c r="DF366" s="5"/>
      <c r="DG366" s="5"/>
      <c r="DH366" s="5"/>
      <c r="DI366" s="5"/>
      <c r="DJ366" s="5"/>
      <c r="DK366" s="5"/>
      <c r="DL366" s="5"/>
      <c r="DM366" s="5"/>
      <c r="DN366" s="5"/>
      <c r="DO366" s="5"/>
      <c r="DP366" s="5"/>
      <c r="DQ366" s="5"/>
      <c r="DR366" s="5"/>
      <c r="DS366" s="5"/>
      <c r="DT366" s="5"/>
      <c r="DU366" s="5"/>
      <c r="DV366" s="5"/>
      <c r="DW366" s="5"/>
      <c r="DX366" s="5"/>
      <c r="DY366" s="5"/>
      <c r="DZ366" s="5"/>
      <c r="EA366" s="5"/>
      <c r="EB366" s="5"/>
      <c r="EC366" s="5"/>
      <c r="ED366" s="5"/>
      <c r="EE366" s="5"/>
      <c r="EF366" s="5"/>
      <c r="EG366" s="5"/>
      <c r="EH366" s="5"/>
      <c r="EI366" s="5"/>
      <c r="EJ366" s="5"/>
      <c r="EK366" s="5"/>
      <c r="EL366" s="5"/>
      <c r="EM366" s="5"/>
      <c r="EN366" s="5"/>
      <c r="EO366" s="5"/>
      <c r="EP366" s="5"/>
      <c r="EQ366" s="5"/>
      <c r="ER366" s="5"/>
      <c r="ES366" s="5"/>
      <c r="ET366" s="5"/>
      <c r="EU366" s="5"/>
      <c r="EV366" s="5"/>
      <c r="EW366" s="5"/>
      <c r="EX366" s="5"/>
      <c r="EY366" s="5"/>
      <c r="EZ366" s="5"/>
      <c r="FA366" s="5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5"/>
      <c r="CT367" s="5"/>
      <c r="CU367" s="5"/>
      <c r="CV367" s="5"/>
      <c r="CW367" s="5"/>
      <c r="CX367" s="5"/>
      <c r="CY367" s="5"/>
      <c r="CZ367" s="5"/>
      <c r="DA367" s="5"/>
      <c r="DB367" s="5"/>
      <c r="DC367" s="5"/>
      <c r="DD367" s="5"/>
      <c r="DE367" s="5"/>
      <c r="DF367" s="5"/>
      <c r="DG367" s="5"/>
      <c r="DH367" s="5"/>
      <c r="DI367" s="5"/>
      <c r="DJ367" s="5"/>
      <c r="DK367" s="5"/>
      <c r="DL367" s="5"/>
      <c r="DM367" s="5"/>
      <c r="DN367" s="5"/>
      <c r="DO367" s="5"/>
      <c r="DP367" s="5"/>
      <c r="DQ367" s="5"/>
      <c r="DR367" s="5"/>
      <c r="DS367" s="5"/>
      <c r="DT367" s="5"/>
      <c r="DU367" s="5"/>
      <c r="DV367" s="5"/>
      <c r="DW367" s="5"/>
      <c r="DX367" s="5"/>
      <c r="DY367" s="5"/>
      <c r="DZ367" s="5"/>
      <c r="EA367" s="5"/>
      <c r="EB367" s="5"/>
      <c r="EC367" s="5"/>
      <c r="ED367" s="5"/>
      <c r="EE367" s="5"/>
      <c r="EF367" s="5"/>
      <c r="EG367" s="5"/>
      <c r="EH367" s="5"/>
      <c r="EI367" s="5"/>
      <c r="EJ367" s="5"/>
      <c r="EK367" s="5"/>
      <c r="EL367" s="5"/>
      <c r="EM367" s="5"/>
      <c r="EN367" s="5"/>
      <c r="EO367" s="5"/>
      <c r="EP367" s="5"/>
      <c r="EQ367" s="5"/>
      <c r="ER367" s="5"/>
      <c r="ES367" s="5"/>
      <c r="ET367" s="5"/>
      <c r="EU367" s="5"/>
      <c r="EV367" s="5"/>
      <c r="EW367" s="5"/>
      <c r="EX367" s="5"/>
      <c r="EY367" s="5"/>
      <c r="EZ367" s="5"/>
      <c r="FA367" s="5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5"/>
      <c r="CT368" s="5"/>
      <c r="CU368" s="5"/>
      <c r="CV368" s="5"/>
      <c r="CW368" s="5"/>
      <c r="CX368" s="5"/>
      <c r="CY368" s="5"/>
      <c r="CZ368" s="5"/>
      <c r="DA368" s="5"/>
      <c r="DB368" s="5"/>
      <c r="DC368" s="5"/>
      <c r="DD368" s="5"/>
      <c r="DE368" s="5"/>
      <c r="DF368" s="5"/>
      <c r="DG368" s="5"/>
      <c r="DH368" s="5"/>
      <c r="DI368" s="5"/>
      <c r="DJ368" s="5"/>
      <c r="DK368" s="5"/>
      <c r="DL368" s="5"/>
      <c r="DM368" s="5"/>
      <c r="DN368" s="5"/>
      <c r="DO368" s="5"/>
      <c r="DP368" s="5"/>
      <c r="DQ368" s="5"/>
      <c r="DR368" s="5"/>
      <c r="DS368" s="5"/>
      <c r="DT368" s="5"/>
      <c r="DU368" s="5"/>
      <c r="DV368" s="5"/>
      <c r="DW368" s="5"/>
      <c r="DX368" s="5"/>
      <c r="DY368" s="5"/>
      <c r="DZ368" s="5"/>
      <c r="EA368" s="5"/>
      <c r="EB368" s="5"/>
      <c r="EC368" s="5"/>
      <c r="ED368" s="5"/>
      <c r="EE368" s="5"/>
      <c r="EF368" s="5"/>
      <c r="EG368" s="5"/>
      <c r="EH368" s="5"/>
      <c r="EI368" s="5"/>
      <c r="EJ368" s="5"/>
      <c r="EK368" s="5"/>
      <c r="EL368" s="5"/>
      <c r="EM368" s="5"/>
      <c r="EN368" s="5"/>
      <c r="EO368" s="5"/>
      <c r="EP368" s="5"/>
      <c r="EQ368" s="5"/>
      <c r="ER368" s="5"/>
      <c r="ES368" s="5"/>
      <c r="ET368" s="5"/>
      <c r="EU368" s="5"/>
      <c r="EV368" s="5"/>
      <c r="EW368" s="5"/>
      <c r="EX368" s="5"/>
      <c r="EY368" s="5"/>
      <c r="EZ368" s="5"/>
      <c r="FA368" s="5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5"/>
      <c r="CT369" s="5"/>
      <c r="CU369" s="5"/>
      <c r="CV369" s="5"/>
      <c r="CW369" s="5"/>
      <c r="CX369" s="5"/>
      <c r="CY369" s="5"/>
      <c r="CZ369" s="5"/>
      <c r="DA369" s="5"/>
      <c r="DB369" s="5"/>
      <c r="DC369" s="5"/>
      <c r="DD369" s="5"/>
      <c r="DE369" s="5"/>
      <c r="DF369" s="5"/>
      <c r="DG369" s="5"/>
      <c r="DH369" s="5"/>
      <c r="DI369" s="5"/>
      <c r="DJ369" s="5"/>
      <c r="DK369" s="5"/>
      <c r="DL369" s="5"/>
      <c r="DM369" s="5"/>
      <c r="DN369" s="5"/>
      <c r="DO369" s="5"/>
      <c r="DP369" s="5"/>
      <c r="DQ369" s="5"/>
      <c r="DR369" s="5"/>
      <c r="DS369" s="5"/>
      <c r="DT369" s="5"/>
      <c r="DU369" s="5"/>
      <c r="DV369" s="5"/>
      <c r="DW369" s="5"/>
      <c r="DX369" s="5"/>
      <c r="DY369" s="5"/>
      <c r="DZ369" s="5"/>
      <c r="EA369" s="5"/>
      <c r="EB369" s="5"/>
      <c r="EC369" s="5"/>
      <c r="ED369" s="5"/>
      <c r="EE369" s="5"/>
      <c r="EF369" s="5"/>
      <c r="EG369" s="5"/>
      <c r="EH369" s="5"/>
      <c r="EI369" s="5"/>
      <c r="EJ369" s="5"/>
      <c r="EK369" s="5"/>
      <c r="EL369" s="5"/>
      <c r="EM369" s="5"/>
      <c r="EN369" s="5"/>
      <c r="EO369" s="5"/>
      <c r="EP369" s="5"/>
      <c r="EQ369" s="5"/>
      <c r="ER369" s="5"/>
      <c r="ES369" s="5"/>
      <c r="ET369" s="5"/>
      <c r="EU369" s="5"/>
      <c r="EV369" s="5"/>
      <c r="EW369" s="5"/>
      <c r="EX369" s="5"/>
      <c r="EY369" s="5"/>
      <c r="EZ369" s="5"/>
      <c r="FA369" s="5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5"/>
      <c r="CT370" s="5"/>
      <c r="CU370" s="5"/>
      <c r="CV370" s="5"/>
      <c r="CW370" s="5"/>
      <c r="CX370" s="5"/>
      <c r="CY370" s="5"/>
      <c r="CZ370" s="5"/>
      <c r="DA370" s="5"/>
      <c r="DB370" s="5"/>
      <c r="DC370" s="5"/>
      <c r="DD370" s="5"/>
      <c r="DE370" s="5"/>
      <c r="DF370" s="5"/>
      <c r="DG370" s="5"/>
      <c r="DH370" s="5"/>
      <c r="DI370" s="5"/>
      <c r="DJ370" s="5"/>
      <c r="DK370" s="5"/>
      <c r="DL370" s="5"/>
      <c r="DM370" s="5"/>
      <c r="DN370" s="5"/>
      <c r="DO370" s="5"/>
      <c r="DP370" s="5"/>
      <c r="DQ370" s="5"/>
      <c r="DR370" s="5"/>
      <c r="DS370" s="5"/>
      <c r="DT370" s="5"/>
      <c r="DU370" s="5"/>
      <c r="DV370" s="5"/>
      <c r="DW370" s="5"/>
      <c r="DX370" s="5"/>
      <c r="DY370" s="5"/>
      <c r="DZ370" s="5"/>
      <c r="EA370" s="5"/>
      <c r="EB370" s="5"/>
      <c r="EC370" s="5"/>
      <c r="ED370" s="5"/>
      <c r="EE370" s="5"/>
      <c r="EF370" s="5"/>
      <c r="EG370" s="5"/>
      <c r="EH370" s="5"/>
      <c r="EI370" s="5"/>
      <c r="EJ370" s="5"/>
      <c r="EK370" s="5"/>
      <c r="EL370" s="5"/>
      <c r="EM370" s="5"/>
      <c r="EN370" s="5"/>
      <c r="EO370" s="5"/>
      <c r="EP370" s="5"/>
      <c r="EQ370" s="5"/>
      <c r="ER370" s="5"/>
      <c r="ES370" s="5"/>
      <c r="ET370" s="5"/>
      <c r="EU370" s="5"/>
      <c r="EV370" s="5"/>
      <c r="EW370" s="5"/>
      <c r="EX370" s="5"/>
      <c r="EY370" s="5"/>
      <c r="EZ370" s="5"/>
      <c r="FA370" s="5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5"/>
      <c r="CT371" s="5"/>
      <c r="CU371" s="5"/>
      <c r="CV371" s="5"/>
      <c r="CW371" s="5"/>
      <c r="CX371" s="5"/>
      <c r="CY371" s="5"/>
      <c r="CZ371" s="5"/>
      <c r="DA371" s="5"/>
      <c r="DB371" s="5"/>
      <c r="DC371" s="5"/>
      <c r="DD371" s="5"/>
      <c r="DE371" s="5"/>
      <c r="DF371" s="5"/>
      <c r="DG371" s="5"/>
      <c r="DH371" s="5"/>
      <c r="DI371" s="5"/>
      <c r="DJ371" s="5"/>
      <c r="DK371" s="5"/>
      <c r="DL371" s="5"/>
      <c r="DM371" s="5"/>
      <c r="DN371" s="5"/>
      <c r="DO371" s="5"/>
      <c r="DP371" s="5"/>
      <c r="DQ371" s="5"/>
      <c r="DR371" s="5"/>
      <c r="DS371" s="5"/>
      <c r="DT371" s="5"/>
      <c r="DU371" s="5"/>
      <c r="DV371" s="5"/>
      <c r="DW371" s="5"/>
      <c r="DX371" s="5"/>
      <c r="DY371" s="5"/>
      <c r="DZ371" s="5"/>
      <c r="EA371" s="5"/>
      <c r="EB371" s="5"/>
      <c r="EC371" s="5"/>
      <c r="ED371" s="5"/>
      <c r="EE371" s="5"/>
      <c r="EF371" s="5"/>
      <c r="EG371" s="5"/>
      <c r="EH371" s="5"/>
      <c r="EI371" s="5"/>
      <c r="EJ371" s="5"/>
      <c r="EK371" s="5"/>
      <c r="EL371" s="5"/>
      <c r="EM371" s="5"/>
      <c r="EN371" s="5"/>
      <c r="EO371" s="5"/>
      <c r="EP371" s="5"/>
      <c r="EQ371" s="5"/>
      <c r="ER371" s="5"/>
      <c r="ES371" s="5"/>
      <c r="ET371" s="5"/>
      <c r="EU371" s="5"/>
      <c r="EV371" s="5"/>
      <c r="EW371" s="5"/>
      <c r="EX371" s="5"/>
      <c r="EY371" s="5"/>
      <c r="EZ371" s="5"/>
      <c r="FA371" s="5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5"/>
      <c r="CT372" s="5"/>
      <c r="CU372" s="5"/>
      <c r="CV372" s="5"/>
      <c r="CW372" s="5"/>
      <c r="CX372" s="5"/>
      <c r="CY372" s="5"/>
      <c r="CZ372" s="5"/>
      <c r="DA372" s="5"/>
      <c r="DB372" s="5"/>
      <c r="DC372" s="5"/>
      <c r="DD372" s="5"/>
      <c r="DE372" s="5"/>
      <c r="DF372" s="5"/>
      <c r="DG372" s="5"/>
      <c r="DH372" s="5"/>
      <c r="DI372" s="5"/>
      <c r="DJ372" s="5"/>
      <c r="DK372" s="5"/>
      <c r="DL372" s="5"/>
      <c r="DM372" s="5"/>
      <c r="DN372" s="5"/>
      <c r="DO372" s="5"/>
      <c r="DP372" s="5"/>
      <c r="DQ372" s="5"/>
      <c r="DR372" s="5"/>
      <c r="DS372" s="5"/>
      <c r="DT372" s="5"/>
      <c r="DU372" s="5"/>
      <c r="DV372" s="5"/>
      <c r="DW372" s="5"/>
      <c r="DX372" s="5"/>
      <c r="DY372" s="5"/>
      <c r="DZ372" s="5"/>
      <c r="EA372" s="5"/>
      <c r="EB372" s="5"/>
      <c r="EC372" s="5"/>
      <c r="ED372" s="5"/>
      <c r="EE372" s="5"/>
      <c r="EF372" s="5"/>
      <c r="EG372" s="5"/>
      <c r="EH372" s="5"/>
      <c r="EI372" s="5"/>
      <c r="EJ372" s="5"/>
      <c r="EK372" s="5"/>
      <c r="EL372" s="5"/>
      <c r="EM372" s="5"/>
      <c r="EN372" s="5"/>
      <c r="EO372" s="5"/>
      <c r="EP372" s="5"/>
      <c r="EQ372" s="5"/>
      <c r="ER372" s="5"/>
      <c r="ES372" s="5"/>
      <c r="ET372" s="5"/>
      <c r="EU372" s="5"/>
      <c r="EV372" s="5"/>
      <c r="EW372" s="5"/>
      <c r="EX372" s="5"/>
      <c r="EY372" s="5"/>
      <c r="EZ372" s="5"/>
      <c r="FA372" s="5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5"/>
      <c r="CT373" s="5"/>
      <c r="CU373" s="5"/>
      <c r="CV373" s="5"/>
      <c r="CW373" s="5"/>
      <c r="CX373" s="5"/>
      <c r="CY373" s="5"/>
      <c r="CZ373" s="5"/>
      <c r="DA373" s="5"/>
      <c r="DB373" s="5"/>
      <c r="DC373" s="5"/>
      <c r="DD373" s="5"/>
      <c r="DE373" s="5"/>
      <c r="DF373" s="5"/>
      <c r="DG373" s="5"/>
      <c r="DH373" s="5"/>
      <c r="DI373" s="5"/>
      <c r="DJ373" s="5"/>
      <c r="DK373" s="5"/>
      <c r="DL373" s="5"/>
      <c r="DM373" s="5"/>
      <c r="DN373" s="5"/>
      <c r="DO373" s="5"/>
      <c r="DP373" s="5"/>
      <c r="DQ373" s="5"/>
      <c r="DR373" s="5"/>
      <c r="DS373" s="5"/>
      <c r="DT373" s="5"/>
      <c r="DU373" s="5"/>
      <c r="DV373" s="5"/>
      <c r="DW373" s="5"/>
      <c r="DX373" s="5"/>
      <c r="DY373" s="5"/>
      <c r="DZ373" s="5"/>
      <c r="EA373" s="5"/>
      <c r="EB373" s="5"/>
      <c r="EC373" s="5"/>
      <c r="ED373" s="5"/>
      <c r="EE373" s="5"/>
      <c r="EF373" s="5"/>
      <c r="EG373" s="5"/>
      <c r="EH373" s="5"/>
      <c r="EI373" s="5"/>
      <c r="EJ373" s="5"/>
      <c r="EK373" s="5"/>
      <c r="EL373" s="5"/>
      <c r="EM373" s="5"/>
      <c r="EN373" s="5"/>
      <c r="EO373" s="5"/>
      <c r="EP373" s="5"/>
      <c r="EQ373" s="5"/>
      <c r="ER373" s="5"/>
      <c r="ES373" s="5"/>
      <c r="ET373" s="5"/>
      <c r="EU373" s="5"/>
      <c r="EV373" s="5"/>
      <c r="EW373" s="5"/>
      <c r="EX373" s="5"/>
      <c r="EY373" s="5"/>
      <c r="EZ373" s="5"/>
      <c r="FA373" s="5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5"/>
      <c r="CT374" s="5"/>
      <c r="CU374" s="5"/>
      <c r="CV374" s="5"/>
      <c r="CW374" s="5"/>
      <c r="CX374" s="5"/>
      <c r="CY374" s="5"/>
      <c r="CZ374" s="5"/>
      <c r="DA374" s="5"/>
      <c r="DB374" s="5"/>
      <c r="DC374" s="5"/>
      <c r="DD374" s="5"/>
      <c r="DE374" s="5"/>
      <c r="DF374" s="5"/>
      <c r="DG374" s="5"/>
      <c r="DH374" s="5"/>
      <c r="DI374" s="5"/>
      <c r="DJ374" s="5"/>
      <c r="DK374" s="5"/>
      <c r="DL374" s="5"/>
      <c r="DM374" s="5"/>
      <c r="DN374" s="5"/>
      <c r="DO374" s="5"/>
      <c r="DP374" s="5"/>
      <c r="DQ374" s="5"/>
      <c r="DR374" s="5"/>
      <c r="DS374" s="5"/>
      <c r="DT374" s="5"/>
      <c r="DU374" s="5"/>
      <c r="DV374" s="5"/>
      <c r="DW374" s="5"/>
      <c r="DX374" s="5"/>
      <c r="DY374" s="5"/>
      <c r="DZ374" s="5"/>
      <c r="EA374" s="5"/>
      <c r="EB374" s="5"/>
      <c r="EC374" s="5"/>
      <c r="ED374" s="5"/>
      <c r="EE374" s="5"/>
      <c r="EF374" s="5"/>
      <c r="EG374" s="5"/>
      <c r="EH374" s="5"/>
      <c r="EI374" s="5"/>
      <c r="EJ374" s="5"/>
      <c r="EK374" s="5"/>
      <c r="EL374" s="5"/>
      <c r="EM374" s="5"/>
      <c r="EN374" s="5"/>
      <c r="EO374" s="5"/>
      <c r="EP374" s="5"/>
      <c r="EQ374" s="5"/>
      <c r="ER374" s="5"/>
      <c r="ES374" s="5"/>
      <c r="ET374" s="5"/>
      <c r="EU374" s="5"/>
      <c r="EV374" s="5"/>
      <c r="EW374" s="5"/>
      <c r="EX374" s="5"/>
      <c r="EY374" s="5"/>
      <c r="EZ374" s="5"/>
      <c r="FA374" s="5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5"/>
      <c r="CT375" s="5"/>
      <c r="CU375" s="5"/>
      <c r="CV375" s="5"/>
      <c r="CW375" s="5"/>
      <c r="CX375" s="5"/>
      <c r="CY375" s="5"/>
      <c r="CZ375" s="5"/>
      <c r="DA375" s="5"/>
      <c r="DB375" s="5"/>
      <c r="DC375" s="5"/>
      <c r="DD375" s="5"/>
      <c r="DE375" s="5"/>
      <c r="DF375" s="5"/>
      <c r="DG375" s="5"/>
      <c r="DH375" s="5"/>
      <c r="DI375" s="5"/>
      <c r="DJ375" s="5"/>
      <c r="DK375" s="5"/>
      <c r="DL375" s="5"/>
      <c r="DM375" s="5"/>
      <c r="DN375" s="5"/>
      <c r="DO375" s="5"/>
      <c r="DP375" s="5"/>
      <c r="DQ375" s="5"/>
      <c r="DR375" s="5"/>
      <c r="DS375" s="5"/>
      <c r="DT375" s="5"/>
      <c r="DU375" s="5"/>
      <c r="DV375" s="5"/>
      <c r="DW375" s="5"/>
      <c r="DX375" s="5"/>
      <c r="DY375" s="5"/>
      <c r="DZ375" s="5"/>
      <c r="EA375" s="5"/>
      <c r="EB375" s="5"/>
      <c r="EC375" s="5"/>
      <c r="ED375" s="5"/>
      <c r="EE375" s="5"/>
      <c r="EF375" s="5"/>
      <c r="EG375" s="5"/>
      <c r="EH375" s="5"/>
      <c r="EI375" s="5"/>
      <c r="EJ375" s="5"/>
      <c r="EK375" s="5"/>
      <c r="EL375" s="5"/>
      <c r="EM375" s="5"/>
      <c r="EN375" s="5"/>
      <c r="EO375" s="5"/>
      <c r="EP375" s="5"/>
      <c r="EQ375" s="5"/>
      <c r="ER375" s="5"/>
      <c r="ES375" s="5"/>
      <c r="ET375" s="5"/>
      <c r="EU375" s="5"/>
      <c r="EV375" s="5"/>
      <c r="EW375" s="5"/>
      <c r="EX375" s="5"/>
      <c r="EY375" s="5"/>
      <c r="EZ375" s="5"/>
      <c r="FA375" s="5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5"/>
      <c r="CT376" s="5"/>
      <c r="CU376" s="5"/>
      <c r="CV376" s="5"/>
      <c r="CW376" s="5"/>
      <c r="CX376" s="5"/>
      <c r="CY376" s="5"/>
      <c r="CZ376" s="5"/>
      <c r="DA376" s="5"/>
      <c r="DB376" s="5"/>
      <c r="DC376" s="5"/>
      <c r="DD376" s="5"/>
      <c r="DE376" s="5"/>
      <c r="DF376" s="5"/>
      <c r="DG376" s="5"/>
      <c r="DH376" s="5"/>
      <c r="DI376" s="5"/>
      <c r="DJ376" s="5"/>
      <c r="DK376" s="5"/>
      <c r="DL376" s="5"/>
      <c r="DM376" s="5"/>
      <c r="DN376" s="5"/>
      <c r="DO376" s="5"/>
      <c r="DP376" s="5"/>
      <c r="DQ376" s="5"/>
      <c r="DR376" s="5"/>
      <c r="DS376" s="5"/>
      <c r="DT376" s="5"/>
      <c r="DU376" s="5"/>
      <c r="DV376" s="5"/>
      <c r="DW376" s="5"/>
      <c r="DX376" s="5"/>
      <c r="DY376" s="5"/>
      <c r="DZ376" s="5"/>
      <c r="EA376" s="5"/>
      <c r="EB376" s="5"/>
      <c r="EC376" s="5"/>
      <c r="ED376" s="5"/>
      <c r="EE376" s="5"/>
      <c r="EF376" s="5"/>
      <c r="EG376" s="5"/>
      <c r="EH376" s="5"/>
      <c r="EI376" s="5"/>
      <c r="EJ376" s="5"/>
      <c r="EK376" s="5"/>
      <c r="EL376" s="5"/>
      <c r="EM376" s="5"/>
      <c r="EN376" s="5"/>
      <c r="EO376" s="5"/>
      <c r="EP376" s="5"/>
      <c r="EQ376" s="5"/>
      <c r="ER376" s="5"/>
      <c r="ES376" s="5"/>
      <c r="ET376" s="5"/>
      <c r="EU376" s="5"/>
      <c r="EV376" s="5"/>
      <c r="EW376" s="5"/>
      <c r="EX376" s="5"/>
      <c r="EY376" s="5"/>
      <c r="EZ376" s="5"/>
      <c r="FA376" s="5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5"/>
      <c r="CT377" s="5"/>
      <c r="CU377" s="5"/>
      <c r="CV377" s="5"/>
      <c r="CW377" s="5"/>
      <c r="CX377" s="5"/>
      <c r="CY377" s="5"/>
      <c r="CZ377" s="5"/>
      <c r="DA377" s="5"/>
      <c r="DB377" s="5"/>
      <c r="DC377" s="5"/>
      <c r="DD377" s="5"/>
      <c r="DE377" s="5"/>
      <c r="DF377" s="5"/>
      <c r="DG377" s="5"/>
      <c r="DH377" s="5"/>
      <c r="DI377" s="5"/>
      <c r="DJ377" s="5"/>
      <c r="DK377" s="5"/>
      <c r="DL377" s="5"/>
      <c r="DM377" s="5"/>
      <c r="DN377" s="5"/>
      <c r="DO377" s="5"/>
      <c r="DP377" s="5"/>
      <c r="DQ377" s="5"/>
      <c r="DR377" s="5"/>
      <c r="DS377" s="5"/>
      <c r="DT377" s="5"/>
      <c r="DU377" s="5"/>
      <c r="DV377" s="5"/>
      <c r="DW377" s="5"/>
      <c r="DX377" s="5"/>
      <c r="DY377" s="5"/>
      <c r="DZ377" s="5"/>
      <c r="EA377" s="5"/>
      <c r="EB377" s="5"/>
      <c r="EC377" s="5"/>
      <c r="ED377" s="5"/>
      <c r="EE377" s="5"/>
      <c r="EF377" s="5"/>
      <c r="EG377" s="5"/>
      <c r="EH377" s="5"/>
      <c r="EI377" s="5"/>
      <c r="EJ377" s="5"/>
      <c r="EK377" s="5"/>
      <c r="EL377" s="5"/>
      <c r="EM377" s="5"/>
      <c r="EN377" s="5"/>
      <c r="EO377" s="5"/>
      <c r="EP377" s="5"/>
      <c r="EQ377" s="5"/>
      <c r="ER377" s="5"/>
      <c r="ES377" s="5"/>
      <c r="ET377" s="5"/>
      <c r="EU377" s="5"/>
      <c r="EV377" s="5"/>
      <c r="EW377" s="5"/>
      <c r="EX377" s="5"/>
      <c r="EY377" s="5"/>
      <c r="EZ377" s="5"/>
      <c r="FA377" s="5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5"/>
      <c r="CT378" s="5"/>
      <c r="CU378" s="5"/>
      <c r="CV378" s="5"/>
      <c r="CW378" s="5"/>
      <c r="CX378" s="5"/>
      <c r="CY378" s="5"/>
      <c r="CZ378" s="5"/>
      <c r="DA378" s="5"/>
      <c r="DB378" s="5"/>
      <c r="DC378" s="5"/>
      <c r="DD378" s="5"/>
      <c r="DE378" s="5"/>
      <c r="DF378" s="5"/>
      <c r="DG378" s="5"/>
      <c r="DH378" s="5"/>
      <c r="DI378" s="5"/>
      <c r="DJ378" s="5"/>
      <c r="DK378" s="5"/>
      <c r="DL378" s="5"/>
      <c r="DM378" s="5"/>
      <c r="DN378" s="5"/>
      <c r="DO378" s="5"/>
      <c r="DP378" s="5"/>
      <c r="DQ378" s="5"/>
      <c r="DR378" s="5"/>
      <c r="DS378" s="5"/>
      <c r="DT378" s="5"/>
      <c r="DU378" s="5"/>
      <c r="DV378" s="5"/>
      <c r="DW378" s="5"/>
      <c r="DX378" s="5"/>
      <c r="DY378" s="5"/>
      <c r="DZ378" s="5"/>
      <c r="EA378" s="5"/>
      <c r="EB378" s="5"/>
      <c r="EC378" s="5"/>
      <c r="ED378" s="5"/>
      <c r="EE378" s="5"/>
      <c r="EF378" s="5"/>
      <c r="EG378" s="5"/>
      <c r="EH378" s="5"/>
      <c r="EI378" s="5"/>
      <c r="EJ378" s="5"/>
      <c r="EK378" s="5"/>
      <c r="EL378" s="5"/>
      <c r="EM378" s="5"/>
      <c r="EN378" s="5"/>
      <c r="EO378" s="5"/>
      <c r="EP378" s="5"/>
      <c r="EQ378" s="5"/>
      <c r="ER378" s="5"/>
      <c r="ES378" s="5"/>
      <c r="ET378" s="5"/>
      <c r="EU378" s="5"/>
      <c r="EV378" s="5"/>
      <c r="EW378" s="5"/>
      <c r="EX378" s="5"/>
      <c r="EY378" s="5"/>
      <c r="EZ378" s="5"/>
      <c r="FA378" s="5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5"/>
      <c r="CT379" s="5"/>
      <c r="CU379" s="5"/>
      <c r="CV379" s="5"/>
      <c r="CW379" s="5"/>
      <c r="CX379" s="5"/>
      <c r="CY379" s="5"/>
      <c r="CZ379" s="5"/>
      <c r="DA379" s="5"/>
      <c r="DB379" s="5"/>
      <c r="DC379" s="5"/>
      <c r="DD379" s="5"/>
      <c r="DE379" s="5"/>
      <c r="DF379" s="5"/>
      <c r="DG379" s="5"/>
      <c r="DH379" s="5"/>
      <c r="DI379" s="5"/>
      <c r="DJ379" s="5"/>
      <c r="DK379" s="5"/>
      <c r="DL379" s="5"/>
      <c r="DM379" s="5"/>
      <c r="DN379" s="5"/>
      <c r="DO379" s="5"/>
      <c r="DP379" s="5"/>
      <c r="DQ379" s="5"/>
      <c r="DR379" s="5"/>
      <c r="DS379" s="5"/>
      <c r="DT379" s="5"/>
      <c r="DU379" s="5"/>
      <c r="DV379" s="5"/>
      <c r="DW379" s="5"/>
      <c r="DX379" s="5"/>
      <c r="DY379" s="5"/>
      <c r="DZ379" s="5"/>
      <c r="EA379" s="5"/>
      <c r="EB379" s="5"/>
      <c r="EC379" s="5"/>
      <c r="ED379" s="5"/>
      <c r="EE379" s="5"/>
      <c r="EF379" s="5"/>
      <c r="EG379" s="5"/>
      <c r="EH379" s="5"/>
      <c r="EI379" s="5"/>
      <c r="EJ379" s="5"/>
      <c r="EK379" s="5"/>
      <c r="EL379" s="5"/>
      <c r="EM379" s="5"/>
      <c r="EN379" s="5"/>
      <c r="EO379" s="5"/>
      <c r="EP379" s="5"/>
      <c r="EQ379" s="5"/>
      <c r="ER379" s="5"/>
      <c r="ES379" s="5"/>
      <c r="ET379" s="5"/>
      <c r="EU379" s="5"/>
      <c r="EV379" s="5"/>
      <c r="EW379" s="5"/>
      <c r="EX379" s="5"/>
      <c r="EY379" s="5"/>
      <c r="EZ379" s="5"/>
      <c r="FA379" s="5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5"/>
      <c r="CT380" s="5"/>
      <c r="CU380" s="5"/>
      <c r="CV380" s="5"/>
      <c r="CW380" s="5"/>
      <c r="CX380" s="5"/>
      <c r="CY380" s="5"/>
      <c r="CZ380" s="5"/>
      <c r="DA380" s="5"/>
      <c r="DB380" s="5"/>
      <c r="DC380" s="5"/>
      <c r="DD380" s="5"/>
      <c r="DE380" s="5"/>
      <c r="DF380" s="5"/>
      <c r="DG380" s="5"/>
      <c r="DH380" s="5"/>
      <c r="DI380" s="5"/>
      <c r="DJ380" s="5"/>
      <c r="DK380" s="5"/>
      <c r="DL380" s="5"/>
      <c r="DM380" s="5"/>
      <c r="DN380" s="5"/>
      <c r="DO380" s="5"/>
      <c r="DP380" s="5"/>
      <c r="DQ380" s="5"/>
      <c r="DR380" s="5"/>
      <c r="DS380" s="5"/>
      <c r="DT380" s="5"/>
      <c r="DU380" s="5"/>
      <c r="DV380" s="5"/>
      <c r="DW380" s="5"/>
      <c r="DX380" s="5"/>
      <c r="DY380" s="5"/>
      <c r="DZ380" s="5"/>
      <c r="EA380" s="5"/>
      <c r="EB380" s="5"/>
      <c r="EC380" s="5"/>
      <c r="ED380" s="5"/>
      <c r="EE380" s="5"/>
      <c r="EF380" s="5"/>
      <c r="EG380" s="5"/>
      <c r="EH380" s="5"/>
      <c r="EI380" s="5"/>
      <c r="EJ380" s="5"/>
      <c r="EK380" s="5"/>
      <c r="EL380" s="5"/>
      <c r="EM380" s="5"/>
      <c r="EN380" s="5"/>
      <c r="EO380" s="5"/>
      <c r="EP380" s="5"/>
      <c r="EQ380" s="5"/>
      <c r="ER380" s="5"/>
      <c r="ES380" s="5"/>
      <c r="ET380" s="5"/>
      <c r="EU380" s="5"/>
      <c r="EV380" s="5"/>
      <c r="EW380" s="5"/>
      <c r="EX380" s="5"/>
      <c r="EY380" s="5"/>
      <c r="EZ380" s="5"/>
      <c r="FA380" s="5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5"/>
      <c r="CT381" s="5"/>
      <c r="CU381" s="5"/>
      <c r="CV381" s="5"/>
      <c r="CW381" s="5"/>
      <c r="CX381" s="5"/>
      <c r="CY381" s="5"/>
      <c r="CZ381" s="5"/>
      <c r="DA381" s="5"/>
      <c r="DB381" s="5"/>
      <c r="DC381" s="5"/>
      <c r="DD381" s="5"/>
      <c r="DE381" s="5"/>
      <c r="DF381" s="5"/>
      <c r="DG381" s="5"/>
      <c r="DH381" s="5"/>
      <c r="DI381" s="5"/>
      <c r="DJ381" s="5"/>
      <c r="DK381" s="5"/>
      <c r="DL381" s="5"/>
      <c r="DM381" s="5"/>
      <c r="DN381" s="5"/>
      <c r="DO381" s="5"/>
      <c r="DP381" s="5"/>
      <c r="DQ381" s="5"/>
      <c r="DR381" s="5"/>
      <c r="DS381" s="5"/>
      <c r="DT381" s="5"/>
      <c r="DU381" s="5"/>
      <c r="DV381" s="5"/>
      <c r="DW381" s="5"/>
      <c r="DX381" s="5"/>
      <c r="DY381" s="5"/>
      <c r="DZ381" s="5"/>
      <c r="EA381" s="5"/>
      <c r="EB381" s="5"/>
      <c r="EC381" s="5"/>
      <c r="ED381" s="5"/>
      <c r="EE381" s="5"/>
      <c r="EF381" s="5"/>
      <c r="EG381" s="5"/>
      <c r="EH381" s="5"/>
      <c r="EI381" s="5"/>
      <c r="EJ381" s="5"/>
      <c r="EK381" s="5"/>
      <c r="EL381" s="5"/>
      <c r="EM381" s="5"/>
      <c r="EN381" s="5"/>
      <c r="EO381" s="5"/>
      <c r="EP381" s="5"/>
      <c r="EQ381" s="5"/>
      <c r="ER381" s="5"/>
      <c r="ES381" s="5"/>
      <c r="ET381" s="5"/>
      <c r="EU381" s="5"/>
      <c r="EV381" s="5"/>
      <c r="EW381" s="5"/>
      <c r="EX381" s="5"/>
      <c r="EY381" s="5"/>
      <c r="EZ381" s="5"/>
      <c r="FA381" s="5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5"/>
      <c r="CT382" s="5"/>
      <c r="CU382" s="5"/>
      <c r="CV382" s="5"/>
      <c r="CW382" s="5"/>
      <c r="CX382" s="5"/>
      <c r="CY382" s="5"/>
      <c r="CZ382" s="5"/>
      <c r="DA382" s="5"/>
      <c r="DB382" s="5"/>
      <c r="DC382" s="5"/>
      <c r="DD382" s="5"/>
      <c r="DE382" s="5"/>
      <c r="DF382" s="5"/>
      <c r="DG382" s="5"/>
      <c r="DH382" s="5"/>
      <c r="DI382" s="5"/>
      <c r="DJ382" s="5"/>
      <c r="DK382" s="5"/>
      <c r="DL382" s="5"/>
      <c r="DM382" s="5"/>
      <c r="DN382" s="5"/>
      <c r="DO382" s="5"/>
      <c r="DP382" s="5"/>
      <c r="DQ382" s="5"/>
      <c r="DR382" s="5"/>
      <c r="DS382" s="5"/>
      <c r="DT382" s="5"/>
      <c r="DU382" s="5"/>
      <c r="DV382" s="5"/>
      <c r="DW382" s="5"/>
      <c r="DX382" s="5"/>
      <c r="DY382" s="5"/>
      <c r="DZ382" s="5"/>
      <c r="EA382" s="5"/>
      <c r="EB382" s="5"/>
      <c r="EC382" s="5"/>
      <c r="ED382" s="5"/>
      <c r="EE382" s="5"/>
      <c r="EF382" s="5"/>
      <c r="EG382" s="5"/>
      <c r="EH382" s="5"/>
      <c r="EI382" s="5"/>
      <c r="EJ382" s="5"/>
      <c r="EK382" s="5"/>
      <c r="EL382" s="5"/>
      <c r="EM382" s="5"/>
      <c r="EN382" s="5"/>
      <c r="EO382" s="5"/>
      <c r="EP382" s="5"/>
      <c r="EQ382" s="5"/>
      <c r="ER382" s="5"/>
      <c r="ES382" s="5"/>
      <c r="ET382" s="5"/>
      <c r="EU382" s="5"/>
      <c r="EV382" s="5"/>
      <c r="EW382" s="5"/>
      <c r="EX382" s="5"/>
      <c r="EY382" s="5"/>
      <c r="EZ382" s="5"/>
      <c r="FA382" s="5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5"/>
      <c r="CT383" s="5"/>
      <c r="CU383" s="5"/>
      <c r="CV383" s="5"/>
      <c r="CW383" s="5"/>
      <c r="CX383" s="5"/>
      <c r="CY383" s="5"/>
      <c r="CZ383" s="5"/>
      <c r="DA383" s="5"/>
      <c r="DB383" s="5"/>
      <c r="DC383" s="5"/>
      <c r="DD383" s="5"/>
      <c r="DE383" s="5"/>
      <c r="DF383" s="5"/>
      <c r="DG383" s="5"/>
      <c r="DH383" s="5"/>
      <c r="DI383" s="5"/>
      <c r="DJ383" s="5"/>
      <c r="DK383" s="5"/>
      <c r="DL383" s="5"/>
      <c r="DM383" s="5"/>
      <c r="DN383" s="5"/>
      <c r="DO383" s="5"/>
      <c r="DP383" s="5"/>
      <c r="DQ383" s="5"/>
      <c r="DR383" s="5"/>
      <c r="DS383" s="5"/>
      <c r="DT383" s="5"/>
      <c r="DU383" s="5"/>
      <c r="DV383" s="5"/>
      <c r="DW383" s="5"/>
      <c r="DX383" s="5"/>
      <c r="DY383" s="5"/>
      <c r="DZ383" s="5"/>
      <c r="EA383" s="5"/>
      <c r="EB383" s="5"/>
      <c r="EC383" s="5"/>
      <c r="ED383" s="5"/>
      <c r="EE383" s="5"/>
      <c r="EF383" s="5"/>
      <c r="EG383" s="5"/>
      <c r="EH383" s="5"/>
      <c r="EI383" s="5"/>
      <c r="EJ383" s="5"/>
      <c r="EK383" s="5"/>
      <c r="EL383" s="5"/>
      <c r="EM383" s="5"/>
      <c r="EN383" s="5"/>
      <c r="EO383" s="5"/>
      <c r="EP383" s="5"/>
      <c r="EQ383" s="5"/>
      <c r="ER383" s="5"/>
      <c r="ES383" s="5"/>
      <c r="ET383" s="5"/>
      <c r="EU383" s="5"/>
      <c r="EV383" s="5"/>
      <c r="EW383" s="5"/>
      <c r="EX383" s="5"/>
      <c r="EY383" s="5"/>
      <c r="EZ383" s="5"/>
      <c r="FA383" s="5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5"/>
      <c r="CT384" s="5"/>
      <c r="CU384" s="5"/>
      <c r="CV384" s="5"/>
      <c r="CW384" s="5"/>
      <c r="CX384" s="5"/>
      <c r="CY384" s="5"/>
      <c r="CZ384" s="5"/>
      <c r="DA384" s="5"/>
      <c r="DB384" s="5"/>
      <c r="DC384" s="5"/>
      <c r="DD384" s="5"/>
      <c r="DE384" s="5"/>
      <c r="DF384" s="5"/>
      <c r="DG384" s="5"/>
      <c r="DH384" s="5"/>
      <c r="DI384" s="5"/>
      <c r="DJ384" s="5"/>
      <c r="DK384" s="5"/>
      <c r="DL384" s="5"/>
      <c r="DM384" s="5"/>
      <c r="DN384" s="5"/>
      <c r="DO384" s="5"/>
      <c r="DP384" s="5"/>
      <c r="DQ384" s="5"/>
      <c r="DR384" s="5"/>
      <c r="DS384" s="5"/>
      <c r="DT384" s="5"/>
      <c r="DU384" s="5"/>
      <c r="DV384" s="5"/>
      <c r="DW384" s="5"/>
      <c r="DX384" s="5"/>
      <c r="DY384" s="5"/>
      <c r="DZ384" s="5"/>
      <c r="EA384" s="5"/>
      <c r="EB384" s="5"/>
      <c r="EC384" s="5"/>
      <c r="ED384" s="5"/>
      <c r="EE384" s="5"/>
      <c r="EF384" s="5"/>
      <c r="EG384" s="5"/>
      <c r="EH384" s="5"/>
      <c r="EI384" s="5"/>
      <c r="EJ384" s="5"/>
      <c r="EK384" s="5"/>
      <c r="EL384" s="5"/>
      <c r="EM384" s="5"/>
      <c r="EN384" s="5"/>
      <c r="EO384" s="5"/>
      <c r="EP384" s="5"/>
      <c r="EQ384" s="5"/>
      <c r="ER384" s="5"/>
      <c r="ES384" s="5"/>
      <c r="ET384" s="5"/>
      <c r="EU384" s="5"/>
      <c r="EV384" s="5"/>
      <c r="EW384" s="5"/>
      <c r="EX384" s="5"/>
      <c r="EY384" s="5"/>
      <c r="EZ384" s="5"/>
      <c r="FA384" s="5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5"/>
      <c r="CT385" s="5"/>
      <c r="CU385" s="5"/>
      <c r="CV385" s="5"/>
      <c r="CW385" s="5"/>
      <c r="CX385" s="5"/>
      <c r="CY385" s="5"/>
      <c r="CZ385" s="5"/>
      <c r="DA385" s="5"/>
      <c r="DB385" s="5"/>
      <c r="DC385" s="5"/>
      <c r="DD385" s="5"/>
      <c r="DE385" s="5"/>
      <c r="DF385" s="5"/>
      <c r="DG385" s="5"/>
      <c r="DH385" s="5"/>
      <c r="DI385" s="5"/>
      <c r="DJ385" s="5"/>
      <c r="DK385" s="5"/>
      <c r="DL385" s="5"/>
      <c r="DM385" s="5"/>
      <c r="DN385" s="5"/>
      <c r="DO385" s="5"/>
      <c r="DP385" s="5"/>
      <c r="DQ385" s="5"/>
      <c r="DR385" s="5"/>
      <c r="DS385" s="5"/>
      <c r="DT385" s="5"/>
      <c r="DU385" s="5"/>
      <c r="DV385" s="5"/>
      <c r="DW385" s="5"/>
      <c r="DX385" s="5"/>
      <c r="DY385" s="5"/>
      <c r="DZ385" s="5"/>
      <c r="EA385" s="5"/>
      <c r="EB385" s="5"/>
      <c r="EC385" s="5"/>
      <c r="ED385" s="5"/>
      <c r="EE385" s="5"/>
      <c r="EF385" s="5"/>
      <c r="EG385" s="5"/>
      <c r="EH385" s="5"/>
      <c r="EI385" s="5"/>
      <c r="EJ385" s="5"/>
      <c r="EK385" s="5"/>
      <c r="EL385" s="5"/>
      <c r="EM385" s="5"/>
      <c r="EN385" s="5"/>
      <c r="EO385" s="5"/>
      <c r="EP385" s="5"/>
      <c r="EQ385" s="5"/>
      <c r="ER385" s="5"/>
      <c r="ES385" s="5"/>
      <c r="ET385" s="5"/>
      <c r="EU385" s="5"/>
      <c r="EV385" s="5"/>
      <c r="EW385" s="5"/>
      <c r="EX385" s="5"/>
      <c r="EY385" s="5"/>
      <c r="EZ385" s="5"/>
      <c r="FA385" s="5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5"/>
      <c r="CT386" s="5"/>
      <c r="CU386" s="5"/>
      <c r="CV386" s="5"/>
      <c r="CW386" s="5"/>
      <c r="CX386" s="5"/>
      <c r="CY386" s="5"/>
      <c r="CZ386" s="5"/>
      <c r="DA386" s="5"/>
      <c r="DB386" s="5"/>
      <c r="DC386" s="5"/>
      <c r="DD386" s="5"/>
      <c r="DE386" s="5"/>
      <c r="DF386" s="5"/>
      <c r="DG386" s="5"/>
      <c r="DH386" s="5"/>
      <c r="DI386" s="5"/>
      <c r="DJ386" s="5"/>
      <c r="DK386" s="5"/>
      <c r="DL386" s="5"/>
      <c r="DM386" s="5"/>
      <c r="DN386" s="5"/>
      <c r="DO386" s="5"/>
      <c r="DP386" s="5"/>
      <c r="DQ386" s="5"/>
      <c r="DR386" s="5"/>
      <c r="DS386" s="5"/>
      <c r="DT386" s="5"/>
      <c r="DU386" s="5"/>
      <c r="DV386" s="5"/>
      <c r="DW386" s="5"/>
      <c r="DX386" s="5"/>
      <c r="DY386" s="5"/>
      <c r="DZ386" s="5"/>
      <c r="EA386" s="5"/>
      <c r="EB386" s="5"/>
      <c r="EC386" s="5"/>
      <c r="ED386" s="5"/>
      <c r="EE386" s="5"/>
      <c r="EF386" s="5"/>
      <c r="EG386" s="5"/>
      <c r="EH386" s="5"/>
      <c r="EI386" s="5"/>
      <c r="EJ386" s="5"/>
      <c r="EK386" s="5"/>
      <c r="EL386" s="5"/>
      <c r="EM386" s="5"/>
      <c r="EN386" s="5"/>
      <c r="EO386" s="5"/>
      <c r="EP386" s="5"/>
      <c r="EQ386" s="5"/>
      <c r="ER386" s="5"/>
      <c r="ES386" s="5"/>
      <c r="ET386" s="5"/>
      <c r="EU386" s="5"/>
      <c r="EV386" s="5"/>
      <c r="EW386" s="5"/>
      <c r="EX386" s="5"/>
      <c r="EY386" s="5"/>
      <c r="EZ386" s="5"/>
      <c r="FA386" s="5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5"/>
      <c r="CT387" s="5"/>
      <c r="CU387" s="5"/>
      <c r="CV387" s="5"/>
      <c r="CW387" s="5"/>
      <c r="CX387" s="5"/>
      <c r="CY387" s="5"/>
      <c r="CZ387" s="5"/>
      <c r="DA387" s="5"/>
      <c r="DB387" s="5"/>
      <c r="DC387" s="5"/>
      <c r="DD387" s="5"/>
      <c r="DE387" s="5"/>
      <c r="DF387" s="5"/>
      <c r="DG387" s="5"/>
      <c r="DH387" s="5"/>
      <c r="DI387" s="5"/>
      <c r="DJ387" s="5"/>
      <c r="DK387" s="5"/>
      <c r="DL387" s="5"/>
      <c r="DM387" s="5"/>
      <c r="DN387" s="5"/>
      <c r="DO387" s="5"/>
      <c r="DP387" s="5"/>
      <c r="DQ387" s="5"/>
      <c r="DR387" s="5"/>
      <c r="DS387" s="5"/>
      <c r="DT387" s="5"/>
      <c r="DU387" s="5"/>
      <c r="DV387" s="5"/>
      <c r="DW387" s="5"/>
      <c r="DX387" s="5"/>
      <c r="DY387" s="5"/>
      <c r="DZ387" s="5"/>
      <c r="EA387" s="5"/>
      <c r="EB387" s="5"/>
      <c r="EC387" s="5"/>
      <c r="ED387" s="5"/>
      <c r="EE387" s="5"/>
      <c r="EF387" s="5"/>
      <c r="EG387" s="5"/>
      <c r="EH387" s="5"/>
      <c r="EI387" s="5"/>
      <c r="EJ387" s="5"/>
      <c r="EK387" s="5"/>
      <c r="EL387" s="5"/>
      <c r="EM387" s="5"/>
      <c r="EN387" s="5"/>
      <c r="EO387" s="5"/>
      <c r="EP387" s="5"/>
      <c r="EQ387" s="5"/>
      <c r="ER387" s="5"/>
      <c r="ES387" s="5"/>
      <c r="ET387" s="5"/>
      <c r="EU387" s="5"/>
      <c r="EV387" s="5"/>
      <c r="EW387" s="5"/>
      <c r="EX387" s="5"/>
      <c r="EY387" s="5"/>
      <c r="EZ387" s="5"/>
      <c r="FA387" s="5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5"/>
      <c r="CT388" s="5"/>
      <c r="CU388" s="5"/>
      <c r="CV388" s="5"/>
      <c r="CW388" s="5"/>
      <c r="CX388" s="5"/>
      <c r="CY388" s="5"/>
      <c r="CZ388" s="5"/>
      <c r="DA388" s="5"/>
      <c r="DB388" s="5"/>
      <c r="DC388" s="5"/>
      <c r="DD388" s="5"/>
      <c r="DE388" s="5"/>
      <c r="DF388" s="5"/>
      <c r="DG388" s="5"/>
      <c r="DH388" s="5"/>
      <c r="DI388" s="5"/>
      <c r="DJ388" s="5"/>
      <c r="DK388" s="5"/>
      <c r="DL388" s="5"/>
      <c r="DM388" s="5"/>
      <c r="DN388" s="5"/>
      <c r="DO388" s="5"/>
      <c r="DP388" s="5"/>
      <c r="DQ388" s="5"/>
      <c r="DR388" s="5"/>
      <c r="DS388" s="5"/>
      <c r="DT388" s="5"/>
      <c r="DU388" s="5"/>
      <c r="DV388" s="5"/>
      <c r="DW388" s="5"/>
      <c r="DX388" s="5"/>
      <c r="DY388" s="5"/>
      <c r="DZ388" s="5"/>
      <c r="EA388" s="5"/>
      <c r="EB388" s="5"/>
      <c r="EC388" s="5"/>
      <c r="ED388" s="5"/>
      <c r="EE388" s="5"/>
      <c r="EF388" s="5"/>
      <c r="EG388" s="5"/>
      <c r="EH388" s="5"/>
      <c r="EI388" s="5"/>
      <c r="EJ388" s="5"/>
      <c r="EK388" s="5"/>
      <c r="EL388" s="5"/>
      <c r="EM388" s="5"/>
      <c r="EN388" s="5"/>
      <c r="EO388" s="5"/>
      <c r="EP388" s="5"/>
      <c r="EQ388" s="5"/>
      <c r="ER388" s="5"/>
      <c r="ES388" s="5"/>
      <c r="ET388" s="5"/>
      <c r="EU388" s="5"/>
      <c r="EV388" s="5"/>
      <c r="EW388" s="5"/>
      <c r="EX388" s="5"/>
      <c r="EY388" s="5"/>
      <c r="EZ388" s="5"/>
      <c r="FA388" s="5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5"/>
      <c r="CT389" s="5"/>
      <c r="CU389" s="5"/>
      <c r="CV389" s="5"/>
      <c r="CW389" s="5"/>
      <c r="CX389" s="5"/>
      <c r="CY389" s="5"/>
      <c r="CZ389" s="5"/>
      <c r="DA389" s="5"/>
      <c r="DB389" s="5"/>
      <c r="DC389" s="5"/>
      <c r="DD389" s="5"/>
      <c r="DE389" s="5"/>
      <c r="DF389" s="5"/>
      <c r="DG389" s="5"/>
      <c r="DH389" s="5"/>
      <c r="DI389" s="5"/>
      <c r="DJ389" s="5"/>
      <c r="DK389" s="5"/>
      <c r="DL389" s="5"/>
      <c r="DM389" s="5"/>
      <c r="DN389" s="5"/>
      <c r="DO389" s="5"/>
      <c r="DP389" s="5"/>
      <c r="DQ389" s="5"/>
      <c r="DR389" s="5"/>
      <c r="DS389" s="5"/>
      <c r="DT389" s="5"/>
      <c r="DU389" s="5"/>
      <c r="DV389" s="5"/>
      <c r="DW389" s="5"/>
      <c r="DX389" s="5"/>
      <c r="DY389" s="5"/>
      <c r="DZ389" s="5"/>
      <c r="EA389" s="5"/>
      <c r="EB389" s="5"/>
      <c r="EC389" s="5"/>
      <c r="ED389" s="5"/>
      <c r="EE389" s="5"/>
      <c r="EF389" s="5"/>
      <c r="EG389" s="5"/>
      <c r="EH389" s="5"/>
      <c r="EI389" s="5"/>
      <c r="EJ389" s="5"/>
      <c r="EK389" s="5"/>
      <c r="EL389" s="5"/>
      <c r="EM389" s="5"/>
      <c r="EN389" s="5"/>
      <c r="EO389" s="5"/>
      <c r="EP389" s="5"/>
      <c r="EQ389" s="5"/>
      <c r="ER389" s="5"/>
      <c r="ES389" s="5"/>
      <c r="ET389" s="5"/>
      <c r="EU389" s="5"/>
      <c r="EV389" s="5"/>
      <c r="EW389" s="5"/>
      <c r="EX389" s="5"/>
      <c r="EY389" s="5"/>
      <c r="EZ389" s="5"/>
      <c r="FA389" s="5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5"/>
      <c r="CT390" s="5"/>
      <c r="CU390" s="5"/>
      <c r="CV390" s="5"/>
      <c r="CW390" s="5"/>
      <c r="CX390" s="5"/>
      <c r="CY390" s="5"/>
      <c r="CZ390" s="5"/>
      <c r="DA390" s="5"/>
      <c r="DB390" s="5"/>
      <c r="DC390" s="5"/>
      <c r="DD390" s="5"/>
      <c r="DE390" s="5"/>
      <c r="DF390" s="5"/>
      <c r="DG390" s="5"/>
      <c r="DH390" s="5"/>
      <c r="DI390" s="5"/>
      <c r="DJ390" s="5"/>
      <c r="DK390" s="5"/>
      <c r="DL390" s="5"/>
      <c r="DM390" s="5"/>
      <c r="DN390" s="5"/>
      <c r="DO390" s="5"/>
      <c r="DP390" s="5"/>
      <c r="DQ390" s="5"/>
      <c r="DR390" s="5"/>
      <c r="DS390" s="5"/>
      <c r="DT390" s="5"/>
      <c r="DU390" s="5"/>
      <c r="DV390" s="5"/>
      <c r="DW390" s="5"/>
      <c r="DX390" s="5"/>
      <c r="DY390" s="5"/>
      <c r="DZ390" s="5"/>
      <c r="EA390" s="5"/>
      <c r="EB390" s="5"/>
      <c r="EC390" s="5"/>
      <c r="ED390" s="5"/>
      <c r="EE390" s="5"/>
      <c r="EF390" s="5"/>
      <c r="EG390" s="5"/>
      <c r="EH390" s="5"/>
      <c r="EI390" s="5"/>
      <c r="EJ390" s="5"/>
      <c r="EK390" s="5"/>
      <c r="EL390" s="5"/>
      <c r="EM390" s="5"/>
      <c r="EN390" s="5"/>
      <c r="EO390" s="5"/>
      <c r="EP390" s="5"/>
      <c r="EQ390" s="5"/>
      <c r="ER390" s="5"/>
      <c r="ES390" s="5"/>
      <c r="ET390" s="5"/>
      <c r="EU390" s="5"/>
      <c r="EV390" s="5"/>
      <c r="EW390" s="5"/>
      <c r="EX390" s="5"/>
      <c r="EY390" s="5"/>
      <c r="EZ390" s="5"/>
      <c r="FA390" s="5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5"/>
      <c r="CT391" s="5"/>
      <c r="CU391" s="5"/>
      <c r="CV391" s="5"/>
      <c r="CW391" s="5"/>
      <c r="CX391" s="5"/>
      <c r="CY391" s="5"/>
      <c r="CZ391" s="5"/>
      <c r="DA391" s="5"/>
      <c r="DB391" s="5"/>
      <c r="DC391" s="5"/>
      <c r="DD391" s="5"/>
      <c r="DE391" s="5"/>
      <c r="DF391" s="5"/>
      <c r="DG391" s="5"/>
      <c r="DH391" s="5"/>
      <c r="DI391" s="5"/>
      <c r="DJ391" s="5"/>
      <c r="DK391" s="5"/>
      <c r="DL391" s="5"/>
      <c r="DM391" s="5"/>
      <c r="DN391" s="5"/>
      <c r="DO391" s="5"/>
      <c r="DP391" s="5"/>
      <c r="DQ391" s="5"/>
      <c r="DR391" s="5"/>
      <c r="DS391" s="5"/>
      <c r="DT391" s="5"/>
      <c r="DU391" s="5"/>
      <c r="DV391" s="5"/>
      <c r="DW391" s="5"/>
      <c r="DX391" s="5"/>
      <c r="DY391" s="5"/>
      <c r="DZ391" s="5"/>
      <c r="EA391" s="5"/>
      <c r="EB391" s="5"/>
      <c r="EC391" s="5"/>
      <c r="ED391" s="5"/>
      <c r="EE391" s="5"/>
      <c r="EF391" s="5"/>
      <c r="EG391" s="5"/>
      <c r="EH391" s="5"/>
      <c r="EI391" s="5"/>
      <c r="EJ391" s="5"/>
      <c r="EK391" s="5"/>
      <c r="EL391" s="5"/>
      <c r="EM391" s="5"/>
      <c r="EN391" s="5"/>
      <c r="EO391" s="5"/>
      <c r="EP391" s="5"/>
      <c r="EQ391" s="5"/>
      <c r="ER391" s="5"/>
      <c r="ES391" s="5"/>
      <c r="ET391" s="5"/>
      <c r="EU391" s="5"/>
      <c r="EV391" s="5"/>
      <c r="EW391" s="5"/>
      <c r="EX391" s="5"/>
      <c r="EY391" s="5"/>
      <c r="EZ391" s="5"/>
      <c r="FA391" s="5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5"/>
      <c r="CT392" s="5"/>
      <c r="CU392" s="5"/>
      <c r="CV392" s="5"/>
      <c r="CW392" s="5"/>
      <c r="CX392" s="5"/>
      <c r="CY392" s="5"/>
      <c r="CZ392" s="5"/>
      <c r="DA392" s="5"/>
      <c r="DB392" s="5"/>
      <c r="DC392" s="5"/>
      <c r="DD392" s="5"/>
      <c r="DE392" s="5"/>
      <c r="DF392" s="5"/>
      <c r="DG392" s="5"/>
      <c r="DH392" s="5"/>
      <c r="DI392" s="5"/>
      <c r="DJ392" s="5"/>
      <c r="DK392" s="5"/>
      <c r="DL392" s="5"/>
      <c r="DM392" s="5"/>
      <c r="DN392" s="5"/>
      <c r="DO392" s="5"/>
      <c r="DP392" s="5"/>
      <c r="DQ392" s="5"/>
      <c r="DR392" s="5"/>
      <c r="DS392" s="5"/>
      <c r="DT392" s="5"/>
      <c r="DU392" s="5"/>
      <c r="DV392" s="5"/>
      <c r="DW392" s="5"/>
      <c r="DX392" s="5"/>
      <c r="DY392" s="5"/>
      <c r="DZ392" s="5"/>
      <c r="EA392" s="5"/>
      <c r="EB392" s="5"/>
      <c r="EC392" s="5"/>
      <c r="ED392" s="5"/>
      <c r="EE392" s="5"/>
      <c r="EF392" s="5"/>
      <c r="EG392" s="5"/>
      <c r="EH392" s="5"/>
      <c r="EI392" s="5"/>
      <c r="EJ392" s="5"/>
      <c r="EK392" s="5"/>
      <c r="EL392" s="5"/>
      <c r="EM392" s="5"/>
      <c r="EN392" s="5"/>
      <c r="EO392" s="5"/>
      <c r="EP392" s="5"/>
      <c r="EQ392" s="5"/>
      <c r="ER392" s="5"/>
      <c r="ES392" s="5"/>
      <c r="ET392" s="5"/>
      <c r="EU392" s="5"/>
      <c r="EV392" s="5"/>
      <c r="EW392" s="5"/>
      <c r="EX392" s="5"/>
      <c r="EY392" s="5"/>
      <c r="EZ392" s="5"/>
      <c r="FA392" s="5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5"/>
      <c r="CT393" s="5"/>
      <c r="CU393" s="5"/>
      <c r="CV393" s="5"/>
      <c r="CW393" s="5"/>
      <c r="CX393" s="5"/>
      <c r="CY393" s="5"/>
      <c r="CZ393" s="5"/>
      <c r="DA393" s="5"/>
      <c r="DB393" s="5"/>
      <c r="DC393" s="5"/>
      <c r="DD393" s="5"/>
      <c r="DE393" s="5"/>
      <c r="DF393" s="5"/>
      <c r="DG393" s="5"/>
      <c r="DH393" s="5"/>
      <c r="DI393" s="5"/>
      <c r="DJ393" s="5"/>
      <c r="DK393" s="5"/>
      <c r="DL393" s="5"/>
      <c r="DM393" s="5"/>
      <c r="DN393" s="5"/>
      <c r="DO393" s="5"/>
      <c r="DP393" s="5"/>
      <c r="DQ393" s="5"/>
      <c r="DR393" s="5"/>
      <c r="DS393" s="5"/>
      <c r="DT393" s="5"/>
      <c r="DU393" s="5"/>
      <c r="DV393" s="5"/>
      <c r="DW393" s="5"/>
      <c r="DX393" s="5"/>
      <c r="DY393" s="5"/>
      <c r="DZ393" s="5"/>
      <c r="EA393" s="5"/>
      <c r="EB393" s="5"/>
      <c r="EC393" s="5"/>
      <c r="ED393" s="5"/>
      <c r="EE393" s="5"/>
      <c r="EF393" s="5"/>
      <c r="EG393" s="5"/>
      <c r="EH393" s="5"/>
      <c r="EI393" s="5"/>
      <c r="EJ393" s="5"/>
      <c r="EK393" s="5"/>
      <c r="EL393" s="5"/>
      <c r="EM393" s="5"/>
      <c r="EN393" s="5"/>
      <c r="EO393" s="5"/>
      <c r="EP393" s="5"/>
      <c r="EQ393" s="5"/>
      <c r="ER393" s="5"/>
      <c r="ES393" s="5"/>
      <c r="ET393" s="5"/>
      <c r="EU393" s="5"/>
      <c r="EV393" s="5"/>
      <c r="EW393" s="5"/>
      <c r="EX393" s="5"/>
      <c r="EY393" s="5"/>
      <c r="EZ393" s="5"/>
      <c r="FA393" s="5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5"/>
      <c r="CT394" s="5"/>
      <c r="CU394" s="5"/>
      <c r="CV394" s="5"/>
      <c r="CW394" s="5"/>
      <c r="CX394" s="5"/>
      <c r="CY394" s="5"/>
      <c r="CZ394" s="5"/>
      <c r="DA394" s="5"/>
      <c r="DB394" s="5"/>
      <c r="DC394" s="5"/>
      <c r="DD394" s="5"/>
      <c r="DE394" s="5"/>
      <c r="DF394" s="5"/>
      <c r="DG394" s="5"/>
      <c r="DH394" s="5"/>
      <c r="DI394" s="5"/>
      <c r="DJ394" s="5"/>
      <c r="DK394" s="5"/>
      <c r="DL394" s="5"/>
      <c r="DM394" s="5"/>
      <c r="DN394" s="5"/>
      <c r="DO394" s="5"/>
      <c r="DP394" s="5"/>
      <c r="DQ394" s="5"/>
      <c r="DR394" s="5"/>
      <c r="DS394" s="5"/>
      <c r="DT394" s="5"/>
      <c r="DU394" s="5"/>
      <c r="DV394" s="5"/>
      <c r="DW394" s="5"/>
      <c r="DX394" s="5"/>
      <c r="DY394" s="5"/>
      <c r="DZ394" s="5"/>
      <c r="EA394" s="5"/>
      <c r="EB394" s="5"/>
      <c r="EC394" s="5"/>
      <c r="ED394" s="5"/>
      <c r="EE394" s="5"/>
      <c r="EF394" s="5"/>
      <c r="EG394" s="5"/>
      <c r="EH394" s="5"/>
      <c r="EI394" s="5"/>
      <c r="EJ394" s="5"/>
      <c r="EK394" s="5"/>
      <c r="EL394" s="5"/>
      <c r="EM394" s="5"/>
      <c r="EN394" s="5"/>
      <c r="EO394" s="5"/>
      <c r="EP394" s="5"/>
      <c r="EQ394" s="5"/>
      <c r="ER394" s="5"/>
      <c r="ES394" s="5"/>
      <c r="ET394" s="5"/>
      <c r="EU394" s="5"/>
      <c r="EV394" s="5"/>
      <c r="EW394" s="5"/>
      <c r="EX394" s="5"/>
      <c r="EY394" s="5"/>
      <c r="EZ394" s="5"/>
      <c r="FA394" s="5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5"/>
      <c r="CT395" s="5"/>
      <c r="CU395" s="5"/>
      <c r="CV395" s="5"/>
      <c r="CW395" s="5"/>
      <c r="CX395" s="5"/>
      <c r="CY395" s="5"/>
      <c r="CZ395" s="5"/>
      <c r="DA395" s="5"/>
      <c r="DB395" s="5"/>
      <c r="DC395" s="5"/>
      <c r="DD395" s="5"/>
      <c r="DE395" s="5"/>
      <c r="DF395" s="5"/>
      <c r="DG395" s="5"/>
      <c r="DH395" s="5"/>
      <c r="DI395" s="5"/>
      <c r="DJ395" s="5"/>
      <c r="DK395" s="5"/>
      <c r="DL395" s="5"/>
      <c r="DM395" s="5"/>
      <c r="DN395" s="5"/>
      <c r="DO395" s="5"/>
      <c r="DP395" s="5"/>
      <c r="DQ395" s="5"/>
      <c r="DR395" s="5"/>
      <c r="DS395" s="5"/>
      <c r="DT395" s="5"/>
      <c r="DU395" s="5"/>
      <c r="DV395" s="5"/>
      <c r="DW395" s="5"/>
      <c r="DX395" s="5"/>
      <c r="DY395" s="5"/>
      <c r="DZ395" s="5"/>
      <c r="EA395" s="5"/>
      <c r="EB395" s="5"/>
      <c r="EC395" s="5"/>
      <c r="ED395" s="5"/>
      <c r="EE395" s="5"/>
      <c r="EF395" s="5"/>
      <c r="EG395" s="5"/>
      <c r="EH395" s="5"/>
      <c r="EI395" s="5"/>
      <c r="EJ395" s="5"/>
      <c r="EK395" s="5"/>
      <c r="EL395" s="5"/>
      <c r="EM395" s="5"/>
      <c r="EN395" s="5"/>
      <c r="EO395" s="5"/>
      <c r="EP395" s="5"/>
      <c r="EQ395" s="5"/>
      <c r="ER395" s="5"/>
      <c r="ES395" s="5"/>
      <c r="ET395" s="5"/>
      <c r="EU395" s="5"/>
      <c r="EV395" s="5"/>
      <c r="EW395" s="5"/>
      <c r="EX395" s="5"/>
      <c r="EY395" s="5"/>
      <c r="EZ395" s="5"/>
      <c r="FA395" s="5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5"/>
      <c r="CT396" s="5"/>
      <c r="CU396" s="5"/>
      <c r="CV396" s="5"/>
      <c r="CW396" s="5"/>
      <c r="CX396" s="5"/>
      <c r="CY396" s="5"/>
      <c r="CZ396" s="5"/>
      <c r="DA396" s="5"/>
      <c r="DB396" s="5"/>
      <c r="DC396" s="5"/>
      <c r="DD396" s="5"/>
      <c r="DE396" s="5"/>
      <c r="DF396" s="5"/>
      <c r="DG396" s="5"/>
      <c r="DH396" s="5"/>
      <c r="DI396" s="5"/>
      <c r="DJ396" s="5"/>
      <c r="DK396" s="5"/>
      <c r="DL396" s="5"/>
      <c r="DM396" s="5"/>
      <c r="DN396" s="5"/>
      <c r="DO396" s="5"/>
      <c r="DP396" s="5"/>
      <c r="DQ396" s="5"/>
      <c r="DR396" s="5"/>
      <c r="DS396" s="5"/>
      <c r="DT396" s="5"/>
      <c r="DU396" s="5"/>
      <c r="DV396" s="5"/>
      <c r="DW396" s="5"/>
      <c r="DX396" s="5"/>
      <c r="DY396" s="5"/>
      <c r="DZ396" s="5"/>
      <c r="EA396" s="5"/>
      <c r="EB396" s="5"/>
      <c r="EC396" s="5"/>
      <c r="ED396" s="5"/>
      <c r="EE396" s="5"/>
      <c r="EF396" s="5"/>
      <c r="EG396" s="5"/>
      <c r="EH396" s="5"/>
      <c r="EI396" s="5"/>
      <c r="EJ396" s="5"/>
      <c r="EK396" s="5"/>
      <c r="EL396" s="5"/>
      <c r="EM396" s="5"/>
      <c r="EN396" s="5"/>
      <c r="EO396" s="5"/>
      <c r="EP396" s="5"/>
      <c r="EQ396" s="5"/>
      <c r="ER396" s="5"/>
      <c r="ES396" s="5"/>
      <c r="ET396" s="5"/>
      <c r="EU396" s="5"/>
      <c r="EV396" s="5"/>
      <c r="EW396" s="5"/>
      <c r="EX396" s="5"/>
      <c r="EY396" s="5"/>
      <c r="EZ396" s="5"/>
      <c r="FA396" s="5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5"/>
      <c r="CT397" s="5"/>
      <c r="CU397" s="5"/>
      <c r="CV397" s="5"/>
      <c r="CW397" s="5"/>
      <c r="CX397" s="5"/>
      <c r="CY397" s="5"/>
      <c r="CZ397" s="5"/>
      <c r="DA397" s="5"/>
      <c r="DB397" s="5"/>
      <c r="DC397" s="5"/>
      <c r="DD397" s="5"/>
      <c r="DE397" s="5"/>
      <c r="DF397" s="5"/>
      <c r="DG397" s="5"/>
      <c r="DH397" s="5"/>
      <c r="DI397" s="5"/>
      <c r="DJ397" s="5"/>
      <c r="DK397" s="5"/>
      <c r="DL397" s="5"/>
      <c r="DM397" s="5"/>
      <c r="DN397" s="5"/>
      <c r="DO397" s="5"/>
      <c r="DP397" s="5"/>
      <c r="DQ397" s="5"/>
      <c r="DR397" s="5"/>
      <c r="DS397" s="5"/>
      <c r="DT397" s="5"/>
      <c r="DU397" s="5"/>
      <c r="DV397" s="5"/>
      <c r="DW397" s="5"/>
      <c r="DX397" s="5"/>
      <c r="DY397" s="5"/>
      <c r="DZ397" s="5"/>
      <c r="EA397" s="5"/>
      <c r="EB397" s="5"/>
      <c r="EC397" s="5"/>
      <c r="ED397" s="5"/>
      <c r="EE397" s="5"/>
      <c r="EF397" s="5"/>
      <c r="EG397" s="5"/>
      <c r="EH397" s="5"/>
      <c r="EI397" s="5"/>
      <c r="EJ397" s="5"/>
      <c r="EK397" s="5"/>
      <c r="EL397" s="5"/>
      <c r="EM397" s="5"/>
      <c r="EN397" s="5"/>
      <c r="EO397" s="5"/>
      <c r="EP397" s="5"/>
      <c r="EQ397" s="5"/>
      <c r="ER397" s="5"/>
      <c r="ES397" s="5"/>
      <c r="ET397" s="5"/>
      <c r="EU397" s="5"/>
      <c r="EV397" s="5"/>
      <c r="EW397" s="5"/>
      <c r="EX397" s="5"/>
      <c r="EY397" s="5"/>
      <c r="EZ397" s="5"/>
      <c r="FA397" s="5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5"/>
      <c r="CT398" s="5"/>
      <c r="CU398" s="5"/>
      <c r="CV398" s="5"/>
      <c r="CW398" s="5"/>
      <c r="CX398" s="5"/>
      <c r="CY398" s="5"/>
      <c r="CZ398" s="5"/>
      <c r="DA398" s="5"/>
      <c r="DB398" s="5"/>
      <c r="DC398" s="5"/>
      <c r="DD398" s="5"/>
      <c r="DE398" s="5"/>
      <c r="DF398" s="5"/>
      <c r="DG398" s="5"/>
      <c r="DH398" s="5"/>
      <c r="DI398" s="5"/>
      <c r="DJ398" s="5"/>
      <c r="DK398" s="5"/>
      <c r="DL398" s="5"/>
      <c r="DM398" s="5"/>
      <c r="DN398" s="5"/>
      <c r="DO398" s="5"/>
      <c r="DP398" s="5"/>
      <c r="DQ398" s="5"/>
      <c r="DR398" s="5"/>
      <c r="DS398" s="5"/>
      <c r="DT398" s="5"/>
      <c r="DU398" s="5"/>
      <c r="DV398" s="5"/>
      <c r="DW398" s="5"/>
      <c r="DX398" s="5"/>
      <c r="DY398" s="5"/>
      <c r="DZ398" s="5"/>
      <c r="EA398" s="5"/>
      <c r="EB398" s="5"/>
      <c r="EC398" s="5"/>
      <c r="ED398" s="5"/>
      <c r="EE398" s="5"/>
      <c r="EF398" s="5"/>
      <c r="EG398" s="5"/>
      <c r="EH398" s="5"/>
      <c r="EI398" s="5"/>
      <c r="EJ398" s="5"/>
      <c r="EK398" s="5"/>
      <c r="EL398" s="5"/>
      <c r="EM398" s="5"/>
      <c r="EN398" s="5"/>
      <c r="EO398" s="5"/>
      <c r="EP398" s="5"/>
      <c r="EQ398" s="5"/>
      <c r="ER398" s="5"/>
      <c r="ES398" s="5"/>
      <c r="ET398" s="5"/>
      <c r="EU398" s="5"/>
      <c r="EV398" s="5"/>
      <c r="EW398" s="5"/>
      <c r="EX398" s="5"/>
      <c r="EY398" s="5"/>
      <c r="EZ398" s="5"/>
      <c r="FA398" s="5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5"/>
      <c r="CT399" s="5"/>
      <c r="CU399" s="5"/>
      <c r="CV399" s="5"/>
      <c r="CW399" s="5"/>
      <c r="CX399" s="5"/>
      <c r="CY399" s="5"/>
      <c r="CZ399" s="5"/>
      <c r="DA399" s="5"/>
      <c r="DB399" s="5"/>
      <c r="DC399" s="5"/>
      <c r="DD399" s="5"/>
      <c r="DE399" s="5"/>
      <c r="DF399" s="5"/>
      <c r="DG399" s="5"/>
      <c r="DH399" s="5"/>
      <c r="DI399" s="5"/>
      <c r="DJ399" s="5"/>
      <c r="DK399" s="5"/>
      <c r="DL399" s="5"/>
      <c r="DM399" s="5"/>
      <c r="DN399" s="5"/>
      <c r="DO399" s="5"/>
      <c r="DP399" s="5"/>
      <c r="DQ399" s="5"/>
      <c r="DR399" s="5"/>
      <c r="DS399" s="5"/>
      <c r="DT399" s="5"/>
      <c r="DU399" s="5"/>
      <c r="DV399" s="5"/>
      <c r="DW399" s="5"/>
      <c r="DX399" s="5"/>
      <c r="DY399" s="5"/>
      <c r="DZ399" s="5"/>
      <c r="EA399" s="5"/>
      <c r="EB399" s="5"/>
      <c r="EC399" s="5"/>
      <c r="ED399" s="5"/>
      <c r="EE399" s="5"/>
      <c r="EF399" s="5"/>
      <c r="EG399" s="5"/>
      <c r="EH399" s="5"/>
      <c r="EI399" s="5"/>
      <c r="EJ399" s="5"/>
      <c r="EK399" s="5"/>
      <c r="EL399" s="5"/>
      <c r="EM399" s="5"/>
      <c r="EN399" s="5"/>
      <c r="EO399" s="5"/>
      <c r="EP399" s="5"/>
      <c r="EQ399" s="5"/>
      <c r="ER399" s="5"/>
      <c r="ES399" s="5"/>
      <c r="ET399" s="5"/>
      <c r="EU399" s="5"/>
      <c r="EV399" s="5"/>
      <c r="EW399" s="5"/>
      <c r="EX399" s="5"/>
      <c r="EY399" s="5"/>
      <c r="EZ399" s="5"/>
      <c r="FA399" s="5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5"/>
      <c r="CT400" s="5"/>
      <c r="CU400" s="5"/>
      <c r="CV400" s="5"/>
      <c r="CW400" s="5"/>
      <c r="CX400" s="5"/>
      <c r="CY400" s="5"/>
      <c r="CZ400" s="5"/>
      <c r="DA400" s="5"/>
      <c r="DB400" s="5"/>
      <c r="DC400" s="5"/>
      <c r="DD400" s="5"/>
      <c r="DE400" s="5"/>
      <c r="DF400" s="5"/>
      <c r="DG400" s="5"/>
      <c r="DH400" s="5"/>
      <c r="DI400" s="5"/>
      <c r="DJ400" s="5"/>
      <c r="DK400" s="5"/>
      <c r="DL400" s="5"/>
      <c r="DM400" s="5"/>
      <c r="DN400" s="5"/>
      <c r="DO400" s="5"/>
      <c r="DP400" s="5"/>
      <c r="DQ400" s="5"/>
      <c r="DR400" s="5"/>
      <c r="DS400" s="5"/>
      <c r="DT400" s="5"/>
      <c r="DU400" s="5"/>
      <c r="DV400" s="5"/>
      <c r="DW400" s="5"/>
      <c r="DX400" s="5"/>
      <c r="DY400" s="5"/>
      <c r="DZ400" s="5"/>
      <c r="EA400" s="5"/>
      <c r="EB400" s="5"/>
      <c r="EC400" s="5"/>
      <c r="ED400" s="5"/>
      <c r="EE400" s="5"/>
      <c r="EF400" s="5"/>
      <c r="EG400" s="5"/>
      <c r="EH400" s="5"/>
      <c r="EI400" s="5"/>
      <c r="EJ400" s="5"/>
      <c r="EK400" s="5"/>
      <c r="EL400" s="5"/>
      <c r="EM400" s="5"/>
      <c r="EN400" s="5"/>
      <c r="EO400" s="5"/>
      <c r="EP400" s="5"/>
      <c r="EQ400" s="5"/>
      <c r="ER400" s="5"/>
      <c r="ES400" s="5"/>
      <c r="ET400" s="5"/>
      <c r="EU400" s="5"/>
      <c r="EV400" s="5"/>
      <c r="EW400" s="5"/>
      <c r="EX400" s="5"/>
      <c r="EY400" s="5"/>
      <c r="EZ400" s="5"/>
      <c r="FA400" s="5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5"/>
      <c r="CT401" s="5"/>
      <c r="CU401" s="5"/>
      <c r="CV401" s="5"/>
      <c r="CW401" s="5"/>
      <c r="CX401" s="5"/>
      <c r="CY401" s="5"/>
      <c r="CZ401" s="5"/>
      <c r="DA401" s="5"/>
      <c r="DB401" s="5"/>
      <c r="DC401" s="5"/>
      <c r="DD401" s="5"/>
      <c r="DE401" s="5"/>
      <c r="DF401" s="5"/>
      <c r="DG401" s="5"/>
      <c r="DH401" s="5"/>
      <c r="DI401" s="5"/>
      <c r="DJ401" s="5"/>
      <c r="DK401" s="5"/>
      <c r="DL401" s="5"/>
      <c r="DM401" s="5"/>
      <c r="DN401" s="5"/>
      <c r="DO401" s="5"/>
      <c r="DP401" s="5"/>
      <c r="DQ401" s="5"/>
      <c r="DR401" s="5"/>
      <c r="DS401" s="5"/>
      <c r="DT401" s="5"/>
      <c r="DU401" s="5"/>
      <c r="DV401" s="5"/>
      <c r="DW401" s="5"/>
      <c r="DX401" s="5"/>
      <c r="DY401" s="5"/>
      <c r="DZ401" s="5"/>
      <c r="EA401" s="5"/>
      <c r="EB401" s="5"/>
      <c r="EC401" s="5"/>
      <c r="ED401" s="5"/>
      <c r="EE401" s="5"/>
      <c r="EF401" s="5"/>
      <c r="EG401" s="5"/>
      <c r="EH401" s="5"/>
      <c r="EI401" s="5"/>
      <c r="EJ401" s="5"/>
      <c r="EK401" s="5"/>
      <c r="EL401" s="5"/>
      <c r="EM401" s="5"/>
      <c r="EN401" s="5"/>
      <c r="EO401" s="5"/>
      <c r="EP401" s="5"/>
      <c r="EQ401" s="5"/>
      <c r="ER401" s="5"/>
      <c r="ES401" s="5"/>
      <c r="ET401" s="5"/>
      <c r="EU401" s="5"/>
      <c r="EV401" s="5"/>
      <c r="EW401" s="5"/>
      <c r="EX401" s="5"/>
      <c r="EY401" s="5"/>
      <c r="EZ401" s="5"/>
      <c r="FA401" s="5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5"/>
      <c r="CT402" s="5"/>
      <c r="CU402" s="5"/>
      <c r="CV402" s="5"/>
      <c r="CW402" s="5"/>
      <c r="CX402" s="5"/>
      <c r="CY402" s="5"/>
      <c r="CZ402" s="5"/>
      <c r="DA402" s="5"/>
      <c r="DB402" s="5"/>
      <c r="DC402" s="5"/>
      <c r="DD402" s="5"/>
      <c r="DE402" s="5"/>
      <c r="DF402" s="5"/>
      <c r="DG402" s="5"/>
      <c r="DH402" s="5"/>
      <c r="DI402" s="5"/>
      <c r="DJ402" s="5"/>
      <c r="DK402" s="5"/>
      <c r="DL402" s="5"/>
      <c r="DM402" s="5"/>
      <c r="DN402" s="5"/>
      <c r="DO402" s="5"/>
      <c r="DP402" s="5"/>
      <c r="DQ402" s="5"/>
      <c r="DR402" s="5"/>
      <c r="DS402" s="5"/>
      <c r="DT402" s="5"/>
      <c r="DU402" s="5"/>
      <c r="DV402" s="5"/>
      <c r="DW402" s="5"/>
      <c r="DX402" s="5"/>
      <c r="DY402" s="5"/>
      <c r="DZ402" s="5"/>
      <c r="EA402" s="5"/>
      <c r="EB402" s="5"/>
      <c r="EC402" s="5"/>
      <c r="ED402" s="5"/>
      <c r="EE402" s="5"/>
      <c r="EF402" s="5"/>
      <c r="EG402" s="5"/>
      <c r="EH402" s="5"/>
      <c r="EI402" s="5"/>
      <c r="EJ402" s="5"/>
      <c r="EK402" s="5"/>
      <c r="EL402" s="5"/>
      <c r="EM402" s="5"/>
      <c r="EN402" s="5"/>
      <c r="EO402" s="5"/>
      <c r="EP402" s="5"/>
      <c r="EQ402" s="5"/>
      <c r="ER402" s="5"/>
      <c r="ES402" s="5"/>
      <c r="ET402" s="5"/>
      <c r="EU402" s="5"/>
      <c r="EV402" s="5"/>
      <c r="EW402" s="5"/>
      <c r="EX402" s="5"/>
      <c r="EY402" s="5"/>
      <c r="EZ402" s="5"/>
      <c r="FA402" s="5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5"/>
      <c r="CT403" s="5"/>
      <c r="CU403" s="5"/>
      <c r="CV403" s="5"/>
      <c r="CW403" s="5"/>
      <c r="CX403" s="5"/>
      <c r="CY403" s="5"/>
      <c r="CZ403" s="5"/>
      <c r="DA403" s="5"/>
      <c r="DB403" s="5"/>
      <c r="DC403" s="5"/>
      <c r="DD403" s="5"/>
      <c r="DE403" s="5"/>
      <c r="DF403" s="5"/>
      <c r="DG403" s="5"/>
      <c r="DH403" s="5"/>
      <c r="DI403" s="5"/>
      <c r="DJ403" s="5"/>
      <c r="DK403" s="5"/>
      <c r="DL403" s="5"/>
      <c r="DM403" s="5"/>
      <c r="DN403" s="5"/>
      <c r="DO403" s="5"/>
      <c r="DP403" s="5"/>
      <c r="DQ403" s="5"/>
      <c r="DR403" s="5"/>
      <c r="DS403" s="5"/>
      <c r="DT403" s="5"/>
      <c r="DU403" s="5"/>
      <c r="DV403" s="5"/>
      <c r="DW403" s="5"/>
      <c r="DX403" s="5"/>
      <c r="DY403" s="5"/>
      <c r="DZ403" s="5"/>
      <c r="EA403" s="5"/>
      <c r="EB403" s="5"/>
      <c r="EC403" s="5"/>
      <c r="ED403" s="5"/>
      <c r="EE403" s="5"/>
      <c r="EF403" s="5"/>
      <c r="EG403" s="5"/>
      <c r="EH403" s="5"/>
      <c r="EI403" s="5"/>
      <c r="EJ403" s="5"/>
      <c r="EK403" s="5"/>
      <c r="EL403" s="5"/>
      <c r="EM403" s="5"/>
      <c r="EN403" s="5"/>
      <c r="EO403" s="5"/>
      <c r="EP403" s="5"/>
      <c r="EQ403" s="5"/>
      <c r="ER403" s="5"/>
      <c r="ES403" s="5"/>
      <c r="ET403" s="5"/>
      <c r="EU403" s="5"/>
      <c r="EV403" s="5"/>
      <c r="EW403" s="5"/>
      <c r="EX403" s="5"/>
      <c r="EY403" s="5"/>
      <c r="EZ403" s="5"/>
      <c r="FA403" s="5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5"/>
      <c r="CT404" s="5"/>
      <c r="CU404" s="5"/>
      <c r="CV404" s="5"/>
      <c r="CW404" s="5"/>
      <c r="CX404" s="5"/>
      <c r="CY404" s="5"/>
      <c r="CZ404" s="5"/>
      <c r="DA404" s="5"/>
      <c r="DB404" s="5"/>
      <c r="DC404" s="5"/>
      <c r="DD404" s="5"/>
      <c r="DE404" s="5"/>
      <c r="DF404" s="5"/>
      <c r="DG404" s="5"/>
      <c r="DH404" s="5"/>
      <c r="DI404" s="5"/>
      <c r="DJ404" s="5"/>
      <c r="DK404" s="5"/>
      <c r="DL404" s="5"/>
      <c r="DM404" s="5"/>
      <c r="DN404" s="5"/>
      <c r="DO404" s="5"/>
      <c r="DP404" s="5"/>
      <c r="DQ404" s="5"/>
      <c r="DR404" s="5"/>
      <c r="DS404" s="5"/>
      <c r="DT404" s="5"/>
      <c r="DU404" s="5"/>
      <c r="DV404" s="5"/>
      <c r="DW404" s="5"/>
      <c r="DX404" s="5"/>
      <c r="DY404" s="5"/>
      <c r="DZ404" s="5"/>
      <c r="EA404" s="5"/>
      <c r="EB404" s="5"/>
      <c r="EC404" s="5"/>
      <c r="ED404" s="5"/>
      <c r="EE404" s="5"/>
      <c r="EF404" s="5"/>
      <c r="EG404" s="5"/>
      <c r="EH404" s="5"/>
      <c r="EI404" s="5"/>
      <c r="EJ404" s="5"/>
      <c r="EK404" s="5"/>
      <c r="EL404" s="5"/>
      <c r="EM404" s="5"/>
      <c r="EN404" s="5"/>
      <c r="EO404" s="5"/>
      <c r="EP404" s="5"/>
      <c r="EQ404" s="5"/>
      <c r="ER404" s="5"/>
      <c r="ES404" s="5"/>
      <c r="ET404" s="5"/>
      <c r="EU404" s="5"/>
      <c r="EV404" s="5"/>
      <c r="EW404" s="5"/>
      <c r="EX404" s="5"/>
      <c r="EY404" s="5"/>
      <c r="EZ404" s="5"/>
      <c r="FA404" s="5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5"/>
      <c r="CT405" s="5"/>
      <c r="CU405" s="5"/>
      <c r="CV405" s="5"/>
      <c r="CW405" s="5"/>
      <c r="CX405" s="5"/>
      <c r="CY405" s="5"/>
      <c r="CZ405" s="5"/>
      <c r="DA405" s="5"/>
      <c r="DB405" s="5"/>
      <c r="DC405" s="5"/>
      <c r="DD405" s="5"/>
      <c r="DE405" s="5"/>
      <c r="DF405" s="5"/>
      <c r="DG405" s="5"/>
      <c r="DH405" s="5"/>
      <c r="DI405" s="5"/>
      <c r="DJ405" s="5"/>
      <c r="DK405" s="5"/>
      <c r="DL405" s="5"/>
      <c r="DM405" s="5"/>
      <c r="DN405" s="5"/>
      <c r="DO405" s="5"/>
      <c r="DP405" s="5"/>
      <c r="DQ405" s="5"/>
      <c r="DR405" s="5"/>
      <c r="DS405" s="5"/>
      <c r="DT405" s="5"/>
      <c r="DU405" s="5"/>
      <c r="DV405" s="5"/>
      <c r="DW405" s="5"/>
      <c r="DX405" s="5"/>
      <c r="DY405" s="5"/>
      <c r="DZ405" s="5"/>
      <c r="EA405" s="5"/>
      <c r="EB405" s="5"/>
      <c r="EC405" s="5"/>
      <c r="ED405" s="5"/>
      <c r="EE405" s="5"/>
      <c r="EF405" s="5"/>
      <c r="EG405" s="5"/>
      <c r="EH405" s="5"/>
      <c r="EI405" s="5"/>
      <c r="EJ405" s="5"/>
      <c r="EK405" s="5"/>
      <c r="EL405" s="5"/>
      <c r="EM405" s="5"/>
      <c r="EN405" s="5"/>
      <c r="EO405" s="5"/>
      <c r="EP405" s="5"/>
      <c r="EQ405" s="5"/>
      <c r="ER405" s="5"/>
      <c r="ES405" s="5"/>
      <c r="ET405" s="5"/>
      <c r="EU405" s="5"/>
      <c r="EV405" s="5"/>
      <c r="EW405" s="5"/>
      <c r="EX405" s="5"/>
      <c r="EY405" s="5"/>
      <c r="EZ405" s="5"/>
      <c r="FA405" s="5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5"/>
      <c r="CT406" s="5"/>
      <c r="CU406" s="5"/>
      <c r="CV406" s="5"/>
      <c r="CW406" s="5"/>
      <c r="CX406" s="5"/>
      <c r="CY406" s="5"/>
      <c r="CZ406" s="5"/>
      <c r="DA406" s="5"/>
      <c r="DB406" s="5"/>
      <c r="DC406" s="5"/>
      <c r="DD406" s="5"/>
      <c r="DE406" s="5"/>
      <c r="DF406" s="5"/>
      <c r="DG406" s="5"/>
      <c r="DH406" s="5"/>
      <c r="DI406" s="5"/>
      <c r="DJ406" s="5"/>
      <c r="DK406" s="5"/>
      <c r="DL406" s="5"/>
      <c r="DM406" s="5"/>
      <c r="DN406" s="5"/>
      <c r="DO406" s="5"/>
      <c r="DP406" s="5"/>
      <c r="DQ406" s="5"/>
      <c r="DR406" s="5"/>
      <c r="DS406" s="5"/>
      <c r="DT406" s="5"/>
      <c r="DU406" s="5"/>
      <c r="DV406" s="5"/>
      <c r="DW406" s="5"/>
      <c r="DX406" s="5"/>
      <c r="DY406" s="5"/>
      <c r="DZ406" s="5"/>
      <c r="EA406" s="5"/>
      <c r="EB406" s="5"/>
      <c r="EC406" s="5"/>
      <c r="ED406" s="5"/>
      <c r="EE406" s="5"/>
      <c r="EF406" s="5"/>
      <c r="EG406" s="5"/>
      <c r="EH406" s="5"/>
      <c r="EI406" s="5"/>
      <c r="EJ406" s="5"/>
      <c r="EK406" s="5"/>
      <c r="EL406" s="5"/>
      <c r="EM406" s="5"/>
      <c r="EN406" s="5"/>
      <c r="EO406" s="5"/>
      <c r="EP406" s="5"/>
      <c r="EQ406" s="5"/>
      <c r="ER406" s="5"/>
      <c r="ES406" s="5"/>
      <c r="ET406" s="5"/>
      <c r="EU406" s="5"/>
      <c r="EV406" s="5"/>
      <c r="EW406" s="5"/>
      <c r="EX406" s="5"/>
      <c r="EY406" s="5"/>
      <c r="EZ406" s="5"/>
      <c r="FA406" s="5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5"/>
      <c r="CT407" s="5"/>
      <c r="CU407" s="5"/>
      <c r="CV407" s="5"/>
      <c r="CW407" s="5"/>
      <c r="CX407" s="5"/>
      <c r="CY407" s="5"/>
      <c r="CZ407" s="5"/>
      <c r="DA407" s="5"/>
      <c r="DB407" s="5"/>
      <c r="DC407" s="5"/>
      <c r="DD407" s="5"/>
      <c r="DE407" s="5"/>
      <c r="DF407" s="5"/>
      <c r="DG407" s="5"/>
      <c r="DH407" s="5"/>
      <c r="DI407" s="5"/>
      <c r="DJ407" s="5"/>
      <c r="DK407" s="5"/>
      <c r="DL407" s="5"/>
      <c r="DM407" s="5"/>
      <c r="DN407" s="5"/>
      <c r="DO407" s="5"/>
      <c r="DP407" s="5"/>
      <c r="DQ407" s="5"/>
      <c r="DR407" s="5"/>
      <c r="DS407" s="5"/>
      <c r="DT407" s="5"/>
      <c r="DU407" s="5"/>
      <c r="DV407" s="5"/>
      <c r="DW407" s="5"/>
      <c r="DX407" s="5"/>
      <c r="DY407" s="5"/>
      <c r="DZ407" s="5"/>
      <c r="EA407" s="5"/>
      <c r="EB407" s="5"/>
      <c r="EC407" s="5"/>
      <c r="ED407" s="5"/>
      <c r="EE407" s="5"/>
      <c r="EF407" s="5"/>
      <c r="EG407" s="5"/>
      <c r="EH407" s="5"/>
      <c r="EI407" s="5"/>
      <c r="EJ407" s="5"/>
      <c r="EK407" s="5"/>
      <c r="EL407" s="5"/>
      <c r="EM407" s="5"/>
      <c r="EN407" s="5"/>
      <c r="EO407" s="5"/>
      <c r="EP407" s="5"/>
      <c r="EQ407" s="5"/>
      <c r="ER407" s="5"/>
      <c r="ES407" s="5"/>
      <c r="ET407" s="5"/>
      <c r="EU407" s="5"/>
      <c r="EV407" s="5"/>
      <c r="EW407" s="5"/>
      <c r="EX407" s="5"/>
      <c r="EY407" s="5"/>
      <c r="EZ407" s="5"/>
      <c r="FA407" s="5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5"/>
      <c r="CT408" s="5"/>
      <c r="CU408" s="5"/>
      <c r="CV408" s="5"/>
      <c r="CW408" s="5"/>
      <c r="CX408" s="5"/>
      <c r="CY408" s="5"/>
      <c r="CZ408" s="5"/>
      <c r="DA408" s="5"/>
      <c r="DB408" s="5"/>
      <c r="DC408" s="5"/>
      <c r="DD408" s="5"/>
      <c r="DE408" s="5"/>
      <c r="DF408" s="5"/>
      <c r="DG408" s="5"/>
      <c r="DH408" s="5"/>
      <c r="DI408" s="5"/>
      <c r="DJ408" s="5"/>
      <c r="DK408" s="5"/>
      <c r="DL408" s="5"/>
      <c r="DM408" s="5"/>
      <c r="DN408" s="5"/>
      <c r="DO408" s="5"/>
      <c r="DP408" s="5"/>
      <c r="DQ408" s="5"/>
      <c r="DR408" s="5"/>
      <c r="DS408" s="5"/>
      <c r="DT408" s="5"/>
      <c r="DU408" s="5"/>
      <c r="DV408" s="5"/>
      <c r="DW408" s="5"/>
      <c r="DX408" s="5"/>
      <c r="DY408" s="5"/>
      <c r="DZ408" s="5"/>
      <c r="EA408" s="5"/>
      <c r="EB408" s="5"/>
      <c r="EC408" s="5"/>
      <c r="ED408" s="5"/>
      <c r="EE408" s="5"/>
      <c r="EF408" s="5"/>
      <c r="EG408" s="5"/>
      <c r="EH408" s="5"/>
      <c r="EI408" s="5"/>
      <c r="EJ408" s="5"/>
      <c r="EK408" s="5"/>
      <c r="EL408" s="5"/>
      <c r="EM408" s="5"/>
      <c r="EN408" s="5"/>
      <c r="EO408" s="5"/>
      <c r="EP408" s="5"/>
      <c r="EQ408" s="5"/>
      <c r="ER408" s="5"/>
      <c r="ES408" s="5"/>
      <c r="ET408" s="5"/>
      <c r="EU408" s="5"/>
      <c r="EV408" s="5"/>
      <c r="EW408" s="5"/>
      <c r="EX408" s="5"/>
      <c r="EY408" s="5"/>
      <c r="EZ408" s="5"/>
      <c r="FA408" s="5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5"/>
      <c r="CT409" s="5"/>
      <c r="CU409" s="5"/>
      <c r="CV409" s="5"/>
      <c r="CW409" s="5"/>
      <c r="CX409" s="5"/>
      <c r="CY409" s="5"/>
      <c r="CZ409" s="5"/>
      <c r="DA409" s="5"/>
      <c r="DB409" s="5"/>
      <c r="DC409" s="5"/>
      <c r="DD409" s="5"/>
      <c r="DE409" s="5"/>
      <c r="DF409" s="5"/>
      <c r="DG409" s="5"/>
      <c r="DH409" s="5"/>
      <c r="DI409" s="5"/>
      <c r="DJ409" s="5"/>
      <c r="DK409" s="5"/>
      <c r="DL409" s="5"/>
      <c r="DM409" s="5"/>
      <c r="DN409" s="5"/>
      <c r="DO409" s="5"/>
      <c r="DP409" s="5"/>
      <c r="DQ409" s="5"/>
      <c r="DR409" s="5"/>
      <c r="DS409" s="5"/>
      <c r="DT409" s="5"/>
      <c r="DU409" s="5"/>
      <c r="DV409" s="5"/>
      <c r="DW409" s="5"/>
      <c r="DX409" s="5"/>
      <c r="DY409" s="5"/>
      <c r="DZ409" s="5"/>
      <c r="EA409" s="5"/>
      <c r="EB409" s="5"/>
      <c r="EC409" s="5"/>
      <c r="ED409" s="5"/>
      <c r="EE409" s="5"/>
      <c r="EF409" s="5"/>
      <c r="EG409" s="5"/>
      <c r="EH409" s="5"/>
      <c r="EI409" s="5"/>
      <c r="EJ409" s="5"/>
      <c r="EK409" s="5"/>
      <c r="EL409" s="5"/>
      <c r="EM409" s="5"/>
      <c r="EN409" s="5"/>
      <c r="EO409" s="5"/>
      <c r="EP409" s="5"/>
      <c r="EQ409" s="5"/>
      <c r="ER409" s="5"/>
      <c r="ES409" s="5"/>
      <c r="ET409" s="5"/>
      <c r="EU409" s="5"/>
      <c r="EV409" s="5"/>
      <c r="EW409" s="5"/>
      <c r="EX409" s="5"/>
      <c r="EY409" s="5"/>
      <c r="EZ409" s="5"/>
      <c r="FA409" s="5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5"/>
      <c r="CT410" s="5"/>
      <c r="CU410" s="5"/>
      <c r="CV410" s="5"/>
      <c r="CW410" s="5"/>
      <c r="CX410" s="5"/>
      <c r="CY410" s="5"/>
      <c r="CZ410" s="5"/>
      <c r="DA410" s="5"/>
      <c r="DB410" s="5"/>
      <c r="DC410" s="5"/>
      <c r="DD410" s="5"/>
      <c r="DE410" s="5"/>
      <c r="DF410" s="5"/>
      <c r="DG410" s="5"/>
      <c r="DH410" s="5"/>
      <c r="DI410" s="5"/>
      <c r="DJ410" s="5"/>
      <c r="DK410" s="5"/>
      <c r="DL410" s="5"/>
      <c r="DM410" s="5"/>
      <c r="DN410" s="5"/>
      <c r="DO410" s="5"/>
      <c r="DP410" s="5"/>
      <c r="DQ410" s="5"/>
      <c r="DR410" s="5"/>
      <c r="DS410" s="5"/>
      <c r="DT410" s="5"/>
      <c r="DU410" s="5"/>
      <c r="DV410" s="5"/>
      <c r="DW410" s="5"/>
      <c r="DX410" s="5"/>
      <c r="DY410" s="5"/>
      <c r="DZ410" s="5"/>
      <c r="EA410" s="5"/>
      <c r="EB410" s="5"/>
      <c r="EC410" s="5"/>
      <c r="ED410" s="5"/>
      <c r="EE410" s="5"/>
      <c r="EF410" s="5"/>
      <c r="EG410" s="5"/>
      <c r="EH410" s="5"/>
      <c r="EI410" s="5"/>
      <c r="EJ410" s="5"/>
      <c r="EK410" s="5"/>
      <c r="EL410" s="5"/>
      <c r="EM410" s="5"/>
      <c r="EN410" s="5"/>
      <c r="EO410" s="5"/>
      <c r="EP410" s="5"/>
      <c r="EQ410" s="5"/>
      <c r="ER410" s="5"/>
      <c r="ES410" s="5"/>
      <c r="ET410" s="5"/>
      <c r="EU410" s="5"/>
      <c r="EV410" s="5"/>
      <c r="EW410" s="5"/>
      <c r="EX410" s="5"/>
      <c r="EY410" s="5"/>
      <c r="EZ410" s="5"/>
      <c r="FA410" s="5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5"/>
      <c r="CT411" s="5"/>
      <c r="CU411" s="5"/>
      <c r="CV411" s="5"/>
      <c r="CW411" s="5"/>
      <c r="CX411" s="5"/>
      <c r="CY411" s="5"/>
      <c r="CZ411" s="5"/>
      <c r="DA411" s="5"/>
      <c r="DB411" s="5"/>
      <c r="DC411" s="5"/>
      <c r="DD411" s="5"/>
      <c r="DE411" s="5"/>
      <c r="DF411" s="5"/>
      <c r="DG411" s="5"/>
      <c r="DH411" s="5"/>
      <c r="DI411" s="5"/>
      <c r="DJ411" s="5"/>
      <c r="DK411" s="5"/>
      <c r="DL411" s="5"/>
      <c r="DM411" s="5"/>
      <c r="DN411" s="5"/>
      <c r="DO411" s="5"/>
      <c r="DP411" s="5"/>
      <c r="DQ411" s="5"/>
      <c r="DR411" s="5"/>
      <c r="DS411" s="5"/>
      <c r="DT411" s="5"/>
      <c r="DU411" s="5"/>
      <c r="DV411" s="5"/>
      <c r="DW411" s="5"/>
      <c r="DX411" s="5"/>
      <c r="DY411" s="5"/>
      <c r="DZ411" s="5"/>
      <c r="EA411" s="5"/>
      <c r="EB411" s="5"/>
      <c r="EC411" s="5"/>
      <c r="ED411" s="5"/>
      <c r="EE411" s="5"/>
      <c r="EF411" s="5"/>
      <c r="EG411" s="5"/>
      <c r="EH411" s="5"/>
      <c r="EI411" s="5"/>
      <c r="EJ411" s="5"/>
      <c r="EK411" s="5"/>
      <c r="EL411" s="5"/>
      <c r="EM411" s="5"/>
      <c r="EN411" s="5"/>
      <c r="EO411" s="5"/>
      <c r="EP411" s="5"/>
      <c r="EQ411" s="5"/>
      <c r="ER411" s="5"/>
      <c r="ES411" s="5"/>
      <c r="ET411" s="5"/>
      <c r="EU411" s="5"/>
      <c r="EV411" s="5"/>
      <c r="EW411" s="5"/>
      <c r="EX411" s="5"/>
      <c r="EY411" s="5"/>
      <c r="EZ411" s="5"/>
      <c r="FA411" s="5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5"/>
      <c r="CT412" s="5"/>
      <c r="CU412" s="5"/>
      <c r="CV412" s="5"/>
      <c r="CW412" s="5"/>
      <c r="CX412" s="5"/>
      <c r="CY412" s="5"/>
      <c r="CZ412" s="5"/>
      <c r="DA412" s="5"/>
      <c r="DB412" s="5"/>
      <c r="DC412" s="5"/>
      <c r="DD412" s="5"/>
      <c r="DE412" s="5"/>
      <c r="DF412" s="5"/>
      <c r="DG412" s="5"/>
      <c r="DH412" s="5"/>
      <c r="DI412" s="5"/>
      <c r="DJ412" s="5"/>
      <c r="DK412" s="5"/>
      <c r="DL412" s="5"/>
      <c r="DM412" s="5"/>
      <c r="DN412" s="5"/>
      <c r="DO412" s="5"/>
      <c r="DP412" s="5"/>
      <c r="DQ412" s="5"/>
      <c r="DR412" s="5"/>
      <c r="DS412" s="5"/>
      <c r="DT412" s="5"/>
      <c r="DU412" s="5"/>
      <c r="DV412" s="5"/>
      <c r="DW412" s="5"/>
      <c r="DX412" s="5"/>
      <c r="DY412" s="5"/>
      <c r="DZ412" s="5"/>
      <c r="EA412" s="5"/>
      <c r="EB412" s="5"/>
      <c r="EC412" s="5"/>
      <c r="ED412" s="5"/>
      <c r="EE412" s="5"/>
      <c r="EF412" s="5"/>
      <c r="EG412" s="5"/>
      <c r="EH412" s="5"/>
      <c r="EI412" s="5"/>
      <c r="EJ412" s="5"/>
      <c r="EK412" s="5"/>
      <c r="EL412" s="5"/>
      <c r="EM412" s="5"/>
      <c r="EN412" s="5"/>
      <c r="EO412" s="5"/>
      <c r="EP412" s="5"/>
      <c r="EQ412" s="5"/>
      <c r="ER412" s="5"/>
      <c r="ES412" s="5"/>
      <c r="ET412" s="5"/>
      <c r="EU412" s="5"/>
      <c r="EV412" s="5"/>
      <c r="EW412" s="5"/>
      <c r="EX412" s="5"/>
      <c r="EY412" s="5"/>
      <c r="EZ412" s="5"/>
      <c r="FA412" s="5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5"/>
      <c r="CT413" s="5"/>
      <c r="CU413" s="5"/>
      <c r="CV413" s="5"/>
      <c r="CW413" s="5"/>
      <c r="CX413" s="5"/>
      <c r="CY413" s="5"/>
      <c r="CZ413" s="5"/>
      <c r="DA413" s="5"/>
      <c r="DB413" s="5"/>
      <c r="DC413" s="5"/>
      <c r="DD413" s="5"/>
      <c r="DE413" s="5"/>
      <c r="DF413" s="5"/>
      <c r="DG413" s="5"/>
      <c r="DH413" s="5"/>
      <c r="DI413" s="5"/>
      <c r="DJ413" s="5"/>
      <c r="DK413" s="5"/>
      <c r="DL413" s="5"/>
      <c r="DM413" s="5"/>
      <c r="DN413" s="5"/>
      <c r="DO413" s="5"/>
      <c r="DP413" s="5"/>
      <c r="DQ413" s="5"/>
      <c r="DR413" s="5"/>
      <c r="DS413" s="5"/>
      <c r="DT413" s="5"/>
      <c r="DU413" s="5"/>
      <c r="DV413" s="5"/>
      <c r="DW413" s="5"/>
      <c r="DX413" s="5"/>
      <c r="DY413" s="5"/>
      <c r="DZ413" s="5"/>
      <c r="EA413" s="5"/>
      <c r="EB413" s="5"/>
      <c r="EC413" s="5"/>
      <c r="ED413" s="5"/>
      <c r="EE413" s="5"/>
      <c r="EF413" s="5"/>
      <c r="EG413" s="5"/>
      <c r="EH413" s="5"/>
      <c r="EI413" s="5"/>
      <c r="EJ413" s="5"/>
      <c r="EK413" s="5"/>
      <c r="EL413" s="5"/>
      <c r="EM413" s="5"/>
      <c r="EN413" s="5"/>
      <c r="EO413" s="5"/>
      <c r="EP413" s="5"/>
      <c r="EQ413" s="5"/>
      <c r="ER413" s="5"/>
      <c r="ES413" s="5"/>
      <c r="ET413" s="5"/>
      <c r="EU413" s="5"/>
      <c r="EV413" s="5"/>
      <c r="EW413" s="5"/>
      <c r="EX413" s="5"/>
      <c r="EY413" s="5"/>
      <c r="EZ413" s="5"/>
      <c r="FA413" s="5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5"/>
      <c r="CT414" s="5"/>
      <c r="CU414" s="5"/>
      <c r="CV414" s="5"/>
      <c r="CW414" s="5"/>
      <c r="CX414" s="5"/>
      <c r="CY414" s="5"/>
      <c r="CZ414" s="5"/>
      <c r="DA414" s="5"/>
      <c r="DB414" s="5"/>
      <c r="DC414" s="5"/>
      <c r="DD414" s="5"/>
      <c r="DE414" s="5"/>
      <c r="DF414" s="5"/>
      <c r="DG414" s="5"/>
      <c r="DH414" s="5"/>
      <c r="DI414" s="5"/>
      <c r="DJ414" s="5"/>
      <c r="DK414" s="5"/>
      <c r="DL414" s="5"/>
      <c r="DM414" s="5"/>
      <c r="DN414" s="5"/>
      <c r="DO414" s="5"/>
      <c r="DP414" s="5"/>
      <c r="DQ414" s="5"/>
      <c r="DR414" s="5"/>
      <c r="DS414" s="5"/>
      <c r="DT414" s="5"/>
      <c r="DU414" s="5"/>
      <c r="DV414" s="5"/>
      <c r="DW414" s="5"/>
      <c r="DX414" s="5"/>
      <c r="DY414" s="5"/>
      <c r="DZ414" s="5"/>
      <c r="EA414" s="5"/>
      <c r="EB414" s="5"/>
      <c r="EC414" s="5"/>
      <c r="ED414" s="5"/>
      <c r="EE414" s="5"/>
      <c r="EF414" s="5"/>
      <c r="EG414" s="5"/>
      <c r="EH414" s="5"/>
      <c r="EI414" s="5"/>
      <c r="EJ414" s="5"/>
      <c r="EK414" s="5"/>
      <c r="EL414" s="5"/>
      <c r="EM414" s="5"/>
      <c r="EN414" s="5"/>
      <c r="EO414" s="5"/>
      <c r="EP414" s="5"/>
      <c r="EQ414" s="5"/>
      <c r="ER414" s="5"/>
      <c r="ES414" s="5"/>
      <c r="ET414" s="5"/>
      <c r="EU414" s="5"/>
      <c r="EV414" s="5"/>
      <c r="EW414" s="5"/>
      <c r="EX414" s="5"/>
      <c r="EY414" s="5"/>
      <c r="EZ414" s="5"/>
      <c r="FA414" s="5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5"/>
      <c r="CT415" s="5"/>
      <c r="CU415" s="5"/>
      <c r="CV415" s="5"/>
      <c r="CW415" s="5"/>
      <c r="CX415" s="5"/>
      <c r="CY415" s="5"/>
      <c r="CZ415" s="5"/>
      <c r="DA415" s="5"/>
      <c r="DB415" s="5"/>
      <c r="DC415" s="5"/>
      <c r="DD415" s="5"/>
      <c r="DE415" s="5"/>
      <c r="DF415" s="5"/>
      <c r="DG415" s="5"/>
      <c r="DH415" s="5"/>
      <c r="DI415" s="5"/>
      <c r="DJ415" s="5"/>
      <c r="DK415" s="5"/>
      <c r="DL415" s="5"/>
      <c r="DM415" s="5"/>
      <c r="DN415" s="5"/>
      <c r="DO415" s="5"/>
      <c r="DP415" s="5"/>
      <c r="DQ415" s="5"/>
      <c r="DR415" s="5"/>
      <c r="DS415" s="5"/>
      <c r="DT415" s="5"/>
      <c r="DU415" s="5"/>
      <c r="DV415" s="5"/>
      <c r="DW415" s="5"/>
      <c r="DX415" s="5"/>
      <c r="DY415" s="5"/>
      <c r="DZ415" s="5"/>
      <c r="EA415" s="5"/>
      <c r="EB415" s="5"/>
      <c r="EC415" s="5"/>
      <c r="ED415" s="5"/>
      <c r="EE415" s="5"/>
      <c r="EF415" s="5"/>
      <c r="EG415" s="5"/>
      <c r="EH415" s="5"/>
      <c r="EI415" s="5"/>
      <c r="EJ415" s="5"/>
      <c r="EK415" s="5"/>
      <c r="EL415" s="5"/>
      <c r="EM415" s="5"/>
      <c r="EN415" s="5"/>
      <c r="EO415" s="5"/>
      <c r="EP415" s="5"/>
      <c r="EQ415" s="5"/>
      <c r="ER415" s="5"/>
      <c r="ES415" s="5"/>
      <c r="ET415" s="5"/>
      <c r="EU415" s="5"/>
      <c r="EV415" s="5"/>
      <c r="EW415" s="5"/>
      <c r="EX415" s="5"/>
      <c r="EY415" s="5"/>
      <c r="EZ415" s="5"/>
      <c r="FA415" s="5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5"/>
      <c r="CT416" s="5"/>
      <c r="CU416" s="5"/>
      <c r="CV416" s="5"/>
      <c r="CW416" s="5"/>
      <c r="CX416" s="5"/>
      <c r="CY416" s="5"/>
      <c r="CZ416" s="5"/>
      <c r="DA416" s="5"/>
      <c r="DB416" s="5"/>
      <c r="DC416" s="5"/>
      <c r="DD416" s="5"/>
      <c r="DE416" s="5"/>
      <c r="DF416" s="5"/>
      <c r="DG416" s="5"/>
      <c r="DH416" s="5"/>
      <c r="DI416" s="5"/>
      <c r="DJ416" s="5"/>
      <c r="DK416" s="5"/>
      <c r="DL416" s="5"/>
      <c r="DM416" s="5"/>
      <c r="DN416" s="5"/>
      <c r="DO416" s="5"/>
      <c r="DP416" s="5"/>
      <c r="DQ416" s="5"/>
      <c r="DR416" s="5"/>
      <c r="DS416" s="5"/>
      <c r="DT416" s="5"/>
      <c r="DU416" s="5"/>
      <c r="DV416" s="5"/>
      <c r="DW416" s="5"/>
      <c r="DX416" s="5"/>
      <c r="DY416" s="5"/>
      <c r="DZ416" s="5"/>
      <c r="EA416" s="5"/>
      <c r="EB416" s="5"/>
      <c r="EC416" s="5"/>
      <c r="ED416" s="5"/>
      <c r="EE416" s="5"/>
      <c r="EF416" s="5"/>
      <c r="EG416" s="5"/>
      <c r="EH416" s="5"/>
      <c r="EI416" s="5"/>
      <c r="EJ416" s="5"/>
      <c r="EK416" s="5"/>
      <c r="EL416" s="5"/>
      <c r="EM416" s="5"/>
      <c r="EN416" s="5"/>
      <c r="EO416" s="5"/>
      <c r="EP416" s="5"/>
      <c r="EQ416" s="5"/>
      <c r="ER416" s="5"/>
      <c r="ES416" s="5"/>
      <c r="ET416" s="5"/>
      <c r="EU416" s="5"/>
      <c r="EV416" s="5"/>
      <c r="EW416" s="5"/>
      <c r="EX416" s="5"/>
      <c r="EY416" s="5"/>
      <c r="EZ416" s="5"/>
      <c r="FA416" s="5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5"/>
      <c r="CT417" s="5"/>
      <c r="CU417" s="5"/>
      <c r="CV417" s="5"/>
      <c r="CW417" s="5"/>
      <c r="CX417" s="5"/>
      <c r="CY417" s="5"/>
      <c r="CZ417" s="5"/>
      <c r="DA417" s="5"/>
      <c r="DB417" s="5"/>
      <c r="DC417" s="5"/>
      <c r="DD417" s="5"/>
      <c r="DE417" s="5"/>
      <c r="DF417" s="5"/>
      <c r="DG417" s="5"/>
      <c r="DH417" s="5"/>
      <c r="DI417" s="5"/>
      <c r="DJ417" s="5"/>
      <c r="DK417" s="5"/>
      <c r="DL417" s="5"/>
      <c r="DM417" s="5"/>
      <c r="DN417" s="5"/>
      <c r="DO417" s="5"/>
      <c r="DP417" s="5"/>
      <c r="DQ417" s="5"/>
      <c r="DR417" s="5"/>
      <c r="DS417" s="5"/>
      <c r="DT417" s="5"/>
      <c r="DU417" s="5"/>
      <c r="DV417" s="5"/>
      <c r="DW417" s="5"/>
      <c r="DX417" s="5"/>
      <c r="DY417" s="5"/>
      <c r="DZ417" s="5"/>
      <c r="EA417" s="5"/>
      <c r="EB417" s="5"/>
      <c r="EC417" s="5"/>
      <c r="ED417" s="5"/>
      <c r="EE417" s="5"/>
      <c r="EF417" s="5"/>
      <c r="EG417" s="5"/>
      <c r="EH417" s="5"/>
      <c r="EI417" s="5"/>
      <c r="EJ417" s="5"/>
      <c r="EK417" s="5"/>
      <c r="EL417" s="5"/>
      <c r="EM417" s="5"/>
      <c r="EN417" s="5"/>
      <c r="EO417" s="5"/>
      <c r="EP417" s="5"/>
      <c r="EQ417" s="5"/>
      <c r="ER417" s="5"/>
      <c r="ES417" s="5"/>
      <c r="ET417" s="5"/>
      <c r="EU417" s="5"/>
      <c r="EV417" s="5"/>
      <c r="EW417" s="5"/>
      <c r="EX417" s="5"/>
      <c r="EY417" s="5"/>
      <c r="EZ417" s="5"/>
      <c r="FA417" s="5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5"/>
      <c r="CT418" s="5"/>
      <c r="CU418" s="5"/>
      <c r="CV418" s="5"/>
      <c r="CW418" s="5"/>
      <c r="CX418" s="5"/>
      <c r="CY418" s="5"/>
      <c r="CZ418" s="5"/>
      <c r="DA418" s="5"/>
      <c r="DB418" s="5"/>
      <c r="DC418" s="5"/>
      <c r="DD418" s="5"/>
      <c r="DE418" s="5"/>
      <c r="DF418" s="5"/>
      <c r="DG418" s="5"/>
      <c r="DH418" s="5"/>
      <c r="DI418" s="5"/>
      <c r="DJ418" s="5"/>
      <c r="DK418" s="5"/>
      <c r="DL418" s="5"/>
      <c r="DM418" s="5"/>
      <c r="DN418" s="5"/>
      <c r="DO418" s="5"/>
      <c r="DP418" s="5"/>
      <c r="DQ418" s="5"/>
      <c r="DR418" s="5"/>
      <c r="DS418" s="5"/>
      <c r="DT418" s="5"/>
      <c r="DU418" s="5"/>
      <c r="DV418" s="5"/>
      <c r="DW418" s="5"/>
      <c r="DX418" s="5"/>
      <c r="DY418" s="5"/>
      <c r="DZ418" s="5"/>
      <c r="EA418" s="5"/>
      <c r="EB418" s="5"/>
      <c r="EC418" s="5"/>
      <c r="ED418" s="5"/>
      <c r="EE418" s="5"/>
      <c r="EF418" s="5"/>
      <c r="EG418" s="5"/>
      <c r="EH418" s="5"/>
      <c r="EI418" s="5"/>
      <c r="EJ418" s="5"/>
      <c r="EK418" s="5"/>
      <c r="EL418" s="5"/>
      <c r="EM418" s="5"/>
      <c r="EN418" s="5"/>
      <c r="EO418" s="5"/>
      <c r="EP418" s="5"/>
      <c r="EQ418" s="5"/>
      <c r="ER418" s="5"/>
      <c r="ES418" s="5"/>
      <c r="ET418" s="5"/>
      <c r="EU418" s="5"/>
      <c r="EV418" s="5"/>
      <c r="EW418" s="5"/>
      <c r="EX418" s="5"/>
      <c r="EY418" s="5"/>
      <c r="EZ418" s="5"/>
      <c r="FA418" s="5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5"/>
      <c r="CT419" s="5"/>
      <c r="CU419" s="5"/>
      <c r="CV419" s="5"/>
      <c r="CW419" s="5"/>
      <c r="CX419" s="5"/>
      <c r="CY419" s="5"/>
      <c r="CZ419" s="5"/>
      <c r="DA419" s="5"/>
      <c r="DB419" s="5"/>
      <c r="DC419" s="5"/>
      <c r="DD419" s="5"/>
      <c r="DE419" s="5"/>
      <c r="DF419" s="5"/>
      <c r="DG419" s="5"/>
      <c r="DH419" s="5"/>
      <c r="DI419" s="5"/>
      <c r="DJ419" s="5"/>
      <c r="DK419" s="5"/>
      <c r="DL419" s="5"/>
      <c r="DM419" s="5"/>
      <c r="DN419" s="5"/>
      <c r="DO419" s="5"/>
      <c r="DP419" s="5"/>
      <c r="DQ419" s="5"/>
      <c r="DR419" s="5"/>
      <c r="DS419" s="5"/>
      <c r="DT419" s="5"/>
      <c r="DU419" s="5"/>
      <c r="DV419" s="5"/>
      <c r="DW419" s="5"/>
      <c r="DX419" s="5"/>
      <c r="DY419" s="5"/>
      <c r="DZ419" s="5"/>
      <c r="EA419" s="5"/>
      <c r="EB419" s="5"/>
      <c r="EC419" s="5"/>
      <c r="ED419" s="5"/>
      <c r="EE419" s="5"/>
      <c r="EF419" s="5"/>
      <c r="EG419" s="5"/>
      <c r="EH419" s="5"/>
      <c r="EI419" s="5"/>
      <c r="EJ419" s="5"/>
      <c r="EK419" s="5"/>
      <c r="EL419" s="5"/>
      <c r="EM419" s="5"/>
      <c r="EN419" s="5"/>
      <c r="EO419" s="5"/>
      <c r="EP419" s="5"/>
      <c r="EQ419" s="5"/>
      <c r="ER419" s="5"/>
      <c r="ES419" s="5"/>
      <c r="ET419" s="5"/>
      <c r="EU419" s="5"/>
      <c r="EV419" s="5"/>
      <c r="EW419" s="5"/>
      <c r="EX419" s="5"/>
      <c r="EY419" s="5"/>
      <c r="EZ419" s="5"/>
      <c r="FA419" s="5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5"/>
      <c r="CT420" s="5"/>
      <c r="CU420" s="5"/>
      <c r="CV420" s="5"/>
      <c r="CW420" s="5"/>
      <c r="CX420" s="5"/>
      <c r="CY420" s="5"/>
      <c r="CZ420" s="5"/>
      <c r="DA420" s="5"/>
      <c r="DB420" s="5"/>
      <c r="DC420" s="5"/>
      <c r="DD420" s="5"/>
      <c r="DE420" s="5"/>
      <c r="DF420" s="5"/>
      <c r="DG420" s="5"/>
      <c r="DH420" s="5"/>
      <c r="DI420" s="5"/>
      <c r="DJ420" s="5"/>
      <c r="DK420" s="5"/>
      <c r="DL420" s="5"/>
      <c r="DM420" s="5"/>
      <c r="DN420" s="5"/>
      <c r="DO420" s="5"/>
      <c r="DP420" s="5"/>
      <c r="DQ420" s="5"/>
      <c r="DR420" s="5"/>
      <c r="DS420" s="5"/>
      <c r="DT420" s="5"/>
      <c r="DU420" s="5"/>
      <c r="DV420" s="5"/>
      <c r="DW420" s="5"/>
      <c r="DX420" s="5"/>
      <c r="DY420" s="5"/>
      <c r="DZ420" s="5"/>
      <c r="EA420" s="5"/>
      <c r="EB420" s="5"/>
      <c r="EC420" s="5"/>
      <c r="ED420" s="5"/>
      <c r="EE420" s="5"/>
      <c r="EF420" s="5"/>
      <c r="EG420" s="5"/>
      <c r="EH420" s="5"/>
      <c r="EI420" s="5"/>
      <c r="EJ420" s="5"/>
      <c r="EK420" s="5"/>
      <c r="EL420" s="5"/>
      <c r="EM420" s="5"/>
      <c r="EN420" s="5"/>
      <c r="EO420" s="5"/>
      <c r="EP420" s="5"/>
      <c r="EQ420" s="5"/>
      <c r="ER420" s="5"/>
      <c r="ES420" s="5"/>
      <c r="ET420" s="5"/>
      <c r="EU420" s="5"/>
      <c r="EV420" s="5"/>
      <c r="EW420" s="5"/>
      <c r="EX420" s="5"/>
      <c r="EY420" s="5"/>
      <c r="EZ420" s="5"/>
      <c r="FA420" s="5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5"/>
      <c r="CT421" s="5"/>
      <c r="CU421" s="5"/>
      <c r="CV421" s="5"/>
      <c r="CW421" s="5"/>
      <c r="CX421" s="5"/>
      <c r="CY421" s="5"/>
      <c r="CZ421" s="5"/>
      <c r="DA421" s="5"/>
      <c r="DB421" s="5"/>
      <c r="DC421" s="5"/>
      <c r="DD421" s="5"/>
      <c r="DE421" s="5"/>
      <c r="DF421" s="5"/>
      <c r="DG421" s="5"/>
      <c r="DH421" s="5"/>
      <c r="DI421" s="5"/>
      <c r="DJ421" s="5"/>
      <c r="DK421" s="5"/>
      <c r="DL421" s="5"/>
      <c r="DM421" s="5"/>
      <c r="DN421" s="5"/>
      <c r="DO421" s="5"/>
      <c r="DP421" s="5"/>
      <c r="DQ421" s="5"/>
      <c r="DR421" s="5"/>
      <c r="DS421" s="5"/>
      <c r="DT421" s="5"/>
      <c r="DU421" s="5"/>
      <c r="DV421" s="5"/>
      <c r="DW421" s="5"/>
      <c r="DX421" s="5"/>
      <c r="DY421" s="5"/>
      <c r="DZ421" s="5"/>
      <c r="EA421" s="5"/>
      <c r="EB421" s="5"/>
      <c r="EC421" s="5"/>
      <c r="ED421" s="5"/>
      <c r="EE421" s="5"/>
      <c r="EF421" s="5"/>
      <c r="EG421" s="5"/>
      <c r="EH421" s="5"/>
      <c r="EI421" s="5"/>
      <c r="EJ421" s="5"/>
      <c r="EK421" s="5"/>
      <c r="EL421" s="5"/>
      <c r="EM421" s="5"/>
      <c r="EN421" s="5"/>
      <c r="EO421" s="5"/>
      <c r="EP421" s="5"/>
      <c r="EQ421" s="5"/>
      <c r="ER421" s="5"/>
      <c r="ES421" s="5"/>
      <c r="ET421" s="5"/>
      <c r="EU421" s="5"/>
      <c r="EV421" s="5"/>
      <c r="EW421" s="5"/>
      <c r="EX421" s="5"/>
      <c r="EY421" s="5"/>
      <c r="EZ421" s="5"/>
      <c r="FA421" s="5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5"/>
      <c r="CT422" s="5"/>
      <c r="CU422" s="5"/>
      <c r="CV422" s="5"/>
      <c r="CW422" s="5"/>
      <c r="CX422" s="5"/>
      <c r="CY422" s="5"/>
      <c r="CZ422" s="5"/>
      <c r="DA422" s="5"/>
      <c r="DB422" s="5"/>
      <c r="DC422" s="5"/>
      <c r="DD422" s="5"/>
      <c r="DE422" s="5"/>
      <c r="DF422" s="5"/>
      <c r="DG422" s="5"/>
      <c r="DH422" s="5"/>
      <c r="DI422" s="5"/>
      <c r="DJ422" s="5"/>
      <c r="DK422" s="5"/>
      <c r="DL422" s="5"/>
      <c r="DM422" s="5"/>
      <c r="DN422" s="5"/>
      <c r="DO422" s="5"/>
      <c r="DP422" s="5"/>
      <c r="DQ422" s="5"/>
      <c r="DR422" s="5"/>
      <c r="DS422" s="5"/>
      <c r="DT422" s="5"/>
      <c r="DU422" s="5"/>
      <c r="DV422" s="5"/>
      <c r="DW422" s="5"/>
      <c r="DX422" s="5"/>
      <c r="DY422" s="5"/>
      <c r="DZ422" s="5"/>
      <c r="EA422" s="5"/>
      <c r="EB422" s="5"/>
      <c r="EC422" s="5"/>
      <c r="ED422" s="5"/>
      <c r="EE422" s="5"/>
      <c r="EF422" s="5"/>
      <c r="EG422" s="5"/>
      <c r="EH422" s="5"/>
      <c r="EI422" s="5"/>
      <c r="EJ422" s="5"/>
      <c r="EK422" s="5"/>
      <c r="EL422" s="5"/>
      <c r="EM422" s="5"/>
      <c r="EN422" s="5"/>
      <c r="EO422" s="5"/>
      <c r="EP422" s="5"/>
      <c r="EQ422" s="5"/>
      <c r="ER422" s="5"/>
      <c r="ES422" s="5"/>
      <c r="ET422" s="5"/>
      <c r="EU422" s="5"/>
      <c r="EV422" s="5"/>
      <c r="EW422" s="5"/>
      <c r="EX422" s="5"/>
      <c r="EY422" s="5"/>
      <c r="EZ422" s="5"/>
      <c r="FA422" s="5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5"/>
      <c r="CT423" s="5"/>
      <c r="CU423" s="5"/>
      <c r="CV423" s="5"/>
      <c r="CW423" s="5"/>
      <c r="CX423" s="5"/>
      <c r="CY423" s="5"/>
      <c r="CZ423" s="5"/>
      <c r="DA423" s="5"/>
      <c r="DB423" s="5"/>
      <c r="DC423" s="5"/>
      <c r="DD423" s="5"/>
      <c r="DE423" s="5"/>
      <c r="DF423" s="5"/>
      <c r="DG423" s="5"/>
      <c r="DH423" s="5"/>
      <c r="DI423" s="5"/>
      <c r="DJ423" s="5"/>
      <c r="DK423" s="5"/>
      <c r="DL423" s="5"/>
      <c r="DM423" s="5"/>
      <c r="DN423" s="5"/>
      <c r="DO423" s="5"/>
      <c r="DP423" s="5"/>
      <c r="DQ423" s="5"/>
      <c r="DR423" s="5"/>
      <c r="DS423" s="5"/>
      <c r="DT423" s="5"/>
      <c r="DU423" s="5"/>
      <c r="DV423" s="5"/>
      <c r="DW423" s="5"/>
      <c r="DX423" s="5"/>
      <c r="DY423" s="5"/>
      <c r="DZ423" s="5"/>
      <c r="EA423" s="5"/>
      <c r="EB423" s="5"/>
      <c r="EC423" s="5"/>
      <c r="ED423" s="5"/>
      <c r="EE423" s="5"/>
      <c r="EF423" s="5"/>
      <c r="EG423" s="5"/>
      <c r="EH423" s="5"/>
      <c r="EI423" s="5"/>
      <c r="EJ423" s="5"/>
      <c r="EK423" s="5"/>
      <c r="EL423" s="5"/>
      <c r="EM423" s="5"/>
      <c r="EN423" s="5"/>
      <c r="EO423" s="5"/>
      <c r="EP423" s="5"/>
      <c r="EQ423" s="5"/>
      <c r="ER423" s="5"/>
      <c r="ES423" s="5"/>
      <c r="ET423" s="5"/>
      <c r="EU423" s="5"/>
      <c r="EV423" s="5"/>
      <c r="EW423" s="5"/>
      <c r="EX423" s="5"/>
      <c r="EY423" s="5"/>
      <c r="EZ423" s="5"/>
      <c r="FA423" s="5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5"/>
      <c r="CT424" s="5"/>
      <c r="CU424" s="5"/>
      <c r="CV424" s="5"/>
      <c r="CW424" s="5"/>
      <c r="CX424" s="5"/>
      <c r="CY424" s="5"/>
      <c r="CZ424" s="5"/>
      <c r="DA424" s="5"/>
      <c r="DB424" s="5"/>
      <c r="DC424" s="5"/>
      <c r="DD424" s="5"/>
      <c r="DE424" s="5"/>
      <c r="DF424" s="5"/>
      <c r="DG424" s="5"/>
      <c r="DH424" s="5"/>
      <c r="DI424" s="5"/>
      <c r="DJ424" s="5"/>
      <c r="DK424" s="5"/>
      <c r="DL424" s="5"/>
      <c r="DM424" s="5"/>
      <c r="DN424" s="5"/>
      <c r="DO424" s="5"/>
      <c r="DP424" s="5"/>
      <c r="DQ424" s="5"/>
      <c r="DR424" s="5"/>
      <c r="DS424" s="5"/>
      <c r="DT424" s="5"/>
      <c r="DU424" s="5"/>
      <c r="DV424" s="5"/>
      <c r="DW424" s="5"/>
      <c r="DX424" s="5"/>
      <c r="DY424" s="5"/>
      <c r="DZ424" s="5"/>
      <c r="EA424" s="5"/>
      <c r="EB424" s="5"/>
      <c r="EC424" s="5"/>
      <c r="ED424" s="5"/>
      <c r="EE424" s="5"/>
      <c r="EF424" s="5"/>
      <c r="EG424" s="5"/>
      <c r="EH424" s="5"/>
      <c r="EI424" s="5"/>
      <c r="EJ424" s="5"/>
      <c r="EK424" s="5"/>
      <c r="EL424" s="5"/>
      <c r="EM424" s="5"/>
      <c r="EN424" s="5"/>
      <c r="EO424" s="5"/>
      <c r="EP424" s="5"/>
      <c r="EQ424" s="5"/>
      <c r="ER424" s="5"/>
      <c r="ES424" s="5"/>
      <c r="ET424" s="5"/>
      <c r="EU424" s="5"/>
      <c r="EV424" s="5"/>
      <c r="EW424" s="5"/>
      <c r="EX424" s="5"/>
      <c r="EY424" s="5"/>
      <c r="EZ424" s="5"/>
      <c r="FA424" s="5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5"/>
      <c r="CT425" s="5"/>
      <c r="CU425" s="5"/>
      <c r="CV425" s="5"/>
      <c r="CW425" s="5"/>
      <c r="CX425" s="5"/>
      <c r="CY425" s="5"/>
      <c r="CZ425" s="5"/>
      <c r="DA425" s="5"/>
      <c r="DB425" s="5"/>
      <c r="DC425" s="5"/>
      <c r="DD425" s="5"/>
      <c r="DE425" s="5"/>
      <c r="DF425" s="5"/>
      <c r="DG425" s="5"/>
      <c r="DH425" s="5"/>
      <c r="DI425" s="5"/>
      <c r="DJ425" s="5"/>
      <c r="DK425" s="5"/>
      <c r="DL425" s="5"/>
      <c r="DM425" s="5"/>
      <c r="DN425" s="5"/>
      <c r="DO425" s="5"/>
      <c r="DP425" s="5"/>
      <c r="DQ425" s="5"/>
      <c r="DR425" s="5"/>
      <c r="DS425" s="5"/>
      <c r="DT425" s="5"/>
      <c r="DU425" s="5"/>
      <c r="DV425" s="5"/>
      <c r="DW425" s="5"/>
      <c r="DX425" s="5"/>
      <c r="DY425" s="5"/>
      <c r="DZ425" s="5"/>
      <c r="EA425" s="5"/>
      <c r="EB425" s="5"/>
      <c r="EC425" s="5"/>
      <c r="ED425" s="5"/>
      <c r="EE425" s="5"/>
      <c r="EF425" s="5"/>
      <c r="EG425" s="5"/>
      <c r="EH425" s="5"/>
      <c r="EI425" s="5"/>
      <c r="EJ425" s="5"/>
      <c r="EK425" s="5"/>
      <c r="EL425" s="5"/>
      <c r="EM425" s="5"/>
      <c r="EN425" s="5"/>
      <c r="EO425" s="5"/>
      <c r="EP425" s="5"/>
      <c r="EQ425" s="5"/>
      <c r="ER425" s="5"/>
      <c r="ES425" s="5"/>
      <c r="ET425" s="5"/>
      <c r="EU425" s="5"/>
      <c r="EV425" s="5"/>
      <c r="EW425" s="5"/>
      <c r="EX425" s="5"/>
      <c r="EY425" s="5"/>
      <c r="EZ425" s="5"/>
      <c r="FA425" s="5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5"/>
      <c r="CT426" s="5"/>
      <c r="CU426" s="5"/>
      <c r="CV426" s="5"/>
      <c r="CW426" s="5"/>
      <c r="CX426" s="5"/>
      <c r="CY426" s="5"/>
      <c r="CZ426" s="5"/>
      <c r="DA426" s="5"/>
      <c r="DB426" s="5"/>
      <c r="DC426" s="5"/>
      <c r="DD426" s="5"/>
      <c r="DE426" s="5"/>
      <c r="DF426" s="5"/>
      <c r="DG426" s="5"/>
      <c r="DH426" s="5"/>
      <c r="DI426" s="5"/>
      <c r="DJ426" s="5"/>
      <c r="DK426" s="5"/>
      <c r="DL426" s="5"/>
      <c r="DM426" s="5"/>
      <c r="DN426" s="5"/>
      <c r="DO426" s="5"/>
      <c r="DP426" s="5"/>
      <c r="DQ426" s="5"/>
      <c r="DR426" s="5"/>
      <c r="DS426" s="5"/>
      <c r="DT426" s="5"/>
      <c r="DU426" s="5"/>
      <c r="DV426" s="5"/>
      <c r="DW426" s="5"/>
      <c r="DX426" s="5"/>
      <c r="DY426" s="5"/>
      <c r="DZ426" s="5"/>
      <c r="EA426" s="5"/>
      <c r="EB426" s="5"/>
      <c r="EC426" s="5"/>
      <c r="ED426" s="5"/>
      <c r="EE426" s="5"/>
      <c r="EF426" s="5"/>
      <c r="EG426" s="5"/>
      <c r="EH426" s="5"/>
      <c r="EI426" s="5"/>
      <c r="EJ426" s="5"/>
      <c r="EK426" s="5"/>
      <c r="EL426" s="5"/>
      <c r="EM426" s="5"/>
      <c r="EN426" s="5"/>
      <c r="EO426" s="5"/>
      <c r="EP426" s="5"/>
      <c r="EQ426" s="5"/>
      <c r="ER426" s="5"/>
      <c r="ES426" s="5"/>
      <c r="ET426" s="5"/>
      <c r="EU426" s="5"/>
      <c r="EV426" s="5"/>
      <c r="EW426" s="5"/>
      <c r="EX426" s="5"/>
      <c r="EY426" s="5"/>
      <c r="EZ426" s="5"/>
      <c r="FA426" s="5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5"/>
      <c r="CT427" s="5"/>
      <c r="CU427" s="5"/>
      <c r="CV427" s="5"/>
      <c r="CW427" s="5"/>
      <c r="CX427" s="5"/>
      <c r="CY427" s="5"/>
      <c r="CZ427" s="5"/>
      <c r="DA427" s="5"/>
      <c r="DB427" s="5"/>
      <c r="DC427" s="5"/>
      <c r="DD427" s="5"/>
      <c r="DE427" s="5"/>
      <c r="DF427" s="5"/>
      <c r="DG427" s="5"/>
      <c r="DH427" s="5"/>
      <c r="DI427" s="5"/>
      <c r="DJ427" s="5"/>
      <c r="DK427" s="5"/>
      <c r="DL427" s="5"/>
      <c r="DM427" s="5"/>
      <c r="DN427" s="5"/>
      <c r="DO427" s="5"/>
      <c r="DP427" s="5"/>
      <c r="DQ427" s="5"/>
      <c r="DR427" s="5"/>
      <c r="DS427" s="5"/>
      <c r="DT427" s="5"/>
      <c r="DU427" s="5"/>
      <c r="DV427" s="5"/>
      <c r="DW427" s="5"/>
      <c r="DX427" s="5"/>
      <c r="DY427" s="5"/>
      <c r="DZ427" s="5"/>
      <c r="EA427" s="5"/>
      <c r="EB427" s="5"/>
      <c r="EC427" s="5"/>
      <c r="ED427" s="5"/>
      <c r="EE427" s="5"/>
      <c r="EF427" s="5"/>
      <c r="EG427" s="5"/>
      <c r="EH427" s="5"/>
      <c r="EI427" s="5"/>
      <c r="EJ427" s="5"/>
      <c r="EK427" s="5"/>
      <c r="EL427" s="5"/>
      <c r="EM427" s="5"/>
      <c r="EN427" s="5"/>
      <c r="EO427" s="5"/>
      <c r="EP427" s="5"/>
      <c r="EQ427" s="5"/>
      <c r="ER427" s="5"/>
      <c r="ES427" s="5"/>
      <c r="ET427" s="5"/>
      <c r="EU427" s="5"/>
      <c r="EV427" s="5"/>
      <c r="EW427" s="5"/>
      <c r="EX427" s="5"/>
      <c r="EY427" s="5"/>
      <c r="EZ427" s="5"/>
      <c r="FA427" s="5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5"/>
      <c r="CT428" s="5"/>
      <c r="CU428" s="5"/>
      <c r="CV428" s="5"/>
      <c r="CW428" s="5"/>
      <c r="CX428" s="5"/>
      <c r="CY428" s="5"/>
      <c r="CZ428" s="5"/>
      <c r="DA428" s="5"/>
      <c r="DB428" s="5"/>
      <c r="DC428" s="5"/>
      <c r="DD428" s="5"/>
      <c r="DE428" s="5"/>
      <c r="DF428" s="5"/>
      <c r="DG428" s="5"/>
      <c r="DH428" s="5"/>
      <c r="DI428" s="5"/>
      <c r="DJ428" s="5"/>
      <c r="DK428" s="5"/>
      <c r="DL428" s="5"/>
      <c r="DM428" s="5"/>
      <c r="DN428" s="5"/>
      <c r="DO428" s="5"/>
      <c r="DP428" s="5"/>
      <c r="DQ428" s="5"/>
      <c r="DR428" s="5"/>
      <c r="DS428" s="5"/>
      <c r="DT428" s="5"/>
      <c r="DU428" s="5"/>
      <c r="DV428" s="5"/>
      <c r="DW428" s="5"/>
      <c r="DX428" s="5"/>
      <c r="DY428" s="5"/>
      <c r="DZ428" s="5"/>
      <c r="EA428" s="5"/>
      <c r="EB428" s="5"/>
      <c r="EC428" s="5"/>
      <c r="ED428" s="5"/>
      <c r="EE428" s="5"/>
      <c r="EF428" s="5"/>
      <c r="EG428" s="5"/>
      <c r="EH428" s="5"/>
      <c r="EI428" s="5"/>
      <c r="EJ428" s="5"/>
      <c r="EK428" s="5"/>
      <c r="EL428" s="5"/>
      <c r="EM428" s="5"/>
      <c r="EN428" s="5"/>
      <c r="EO428" s="5"/>
      <c r="EP428" s="5"/>
      <c r="EQ428" s="5"/>
      <c r="ER428" s="5"/>
      <c r="ES428" s="5"/>
      <c r="ET428" s="5"/>
      <c r="EU428" s="5"/>
      <c r="EV428" s="5"/>
      <c r="EW428" s="5"/>
      <c r="EX428" s="5"/>
      <c r="EY428" s="5"/>
      <c r="EZ428" s="5"/>
      <c r="FA428" s="5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5"/>
      <c r="CT429" s="5"/>
      <c r="CU429" s="5"/>
      <c r="CV429" s="5"/>
      <c r="CW429" s="5"/>
      <c r="CX429" s="5"/>
      <c r="CY429" s="5"/>
      <c r="CZ429" s="5"/>
      <c r="DA429" s="5"/>
      <c r="DB429" s="5"/>
      <c r="DC429" s="5"/>
      <c r="DD429" s="5"/>
      <c r="DE429" s="5"/>
      <c r="DF429" s="5"/>
      <c r="DG429" s="5"/>
      <c r="DH429" s="5"/>
      <c r="DI429" s="5"/>
      <c r="DJ429" s="5"/>
      <c r="DK429" s="5"/>
      <c r="DL429" s="5"/>
      <c r="DM429" s="5"/>
      <c r="DN429" s="5"/>
      <c r="DO429" s="5"/>
      <c r="DP429" s="5"/>
      <c r="DQ429" s="5"/>
      <c r="DR429" s="5"/>
      <c r="DS429" s="5"/>
      <c r="DT429" s="5"/>
      <c r="DU429" s="5"/>
      <c r="DV429" s="5"/>
      <c r="DW429" s="5"/>
      <c r="DX429" s="5"/>
      <c r="DY429" s="5"/>
      <c r="DZ429" s="5"/>
      <c r="EA429" s="5"/>
      <c r="EB429" s="5"/>
      <c r="EC429" s="5"/>
      <c r="ED429" s="5"/>
      <c r="EE429" s="5"/>
      <c r="EF429" s="5"/>
      <c r="EG429" s="5"/>
      <c r="EH429" s="5"/>
      <c r="EI429" s="5"/>
      <c r="EJ429" s="5"/>
      <c r="EK429" s="5"/>
      <c r="EL429" s="5"/>
      <c r="EM429" s="5"/>
      <c r="EN429" s="5"/>
      <c r="EO429" s="5"/>
      <c r="EP429" s="5"/>
      <c r="EQ429" s="5"/>
      <c r="ER429" s="5"/>
      <c r="ES429" s="5"/>
      <c r="ET429" s="5"/>
      <c r="EU429" s="5"/>
      <c r="EV429" s="5"/>
      <c r="EW429" s="5"/>
      <c r="EX429" s="5"/>
      <c r="EY429" s="5"/>
      <c r="EZ429" s="5"/>
      <c r="FA429" s="5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5"/>
      <c r="CT430" s="5"/>
      <c r="CU430" s="5"/>
      <c r="CV430" s="5"/>
      <c r="CW430" s="5"/>
      <c r="CX430" s="5"/>
      <c r="CY430" s="5"/>
      <c r="CZ430" s="5"/>
      <c r="DA430" s="5"/>
      <c r="DB430" s="5"/>
      <c r="DC430" s="5"/>
      <c r="DD430" s="5"/>
      <c r="DE430" s="5"/>
      <c r="DF430" s="5"/>
      <c r="DG430" s="5"/>
      <c r="DH430" s="5"/>
      <c r="DI430" s="5"/>
      <c r="DJ430" s="5"/>
      <c r="DK430" s="5"/>
      <c r="DL430" s="5"/>
      <c r="DM430" s="5"/>
      <c r="DN430" s="5"/>
      <c r="DO430" s="5"/>
      <c r="DP430" s="5"/>
      <c r="DQ430" s="5"/>
      <c r="DR430" s="5"/>
      <c r="DS430" s="5"/>
      <c r="DT430" s="5"/>
      <c r="DU430" s="5"/>
      <c r="DV430" s="5"/>
      <c r="DW430" s="5"/>
      <c r="DX430" s="5"/>
      <c r="DY430" s="5"/>
      <c r="DZ430" s="5"/>
      <c r="EA430" s="5"/>
      <c r="EB430" s="5"/>
      <c r="EC430" s="5"/>
      <c r="ED430" s="5"/>
      <c r="EE430" s="5"/>
      <c r="EF430" s="5"/>
      <c r="EG430" s="5"/>
      <c r="EH430" s="5"/>
      <c r="EI430" s="5"/>
      <c r="EJ430" s="5"/>
      <c r="EK430" s="5"/>
      <c r="EL430" s="5"/>
      <c r="EM430" s="5"/>
      <c r="EN430" s="5"/>
      <c r="EO430" s="5"/>
      <c r="EP430" s="5"/>
      <c r="EQ430" s="5"/>
      <c r="ER430" s="5"/>
      <c r="ES430" s="5"/>
      <c r="ET430" s="5"/>
      <c r="EU430" s="5"/>
      <c r="EV430" s="5"/>
      <c r="EW430" s="5"/>
      <c r="EX430" s="5"/>
      <c r="EY430" s="5"/>
      <c r="EZ430" s="5"/>
      <c r="FA430" s="5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5"/>
      <c r="CT431" s="5"/>
      <c r="CU431" s="5"/>
      <c r="CV431" s="5"/>
      <c r="CW431" s="5"/>
      <c r="CX431" s="5"/>
      <c r="CY431" s="5"/>
      <c r="CZ431" s="5"/>
      <c r="DA431" s="5"/>
      <c r="DB431" s="5"/>
      <c r="DC431" s="5"/>
      <c r="DD431" s="5"/>
      <c r="DE431" s="5"/>
      <c r="DF431" s="5"/>
      <c r="DG431" s="5"/>
      <c r="DH431" s="5"/>
      <c r="DI431" s="5"/>
      <c r="DJ431" s="5"/>
      <c r="DK431" s="5"/>
      <c r="DL431" s="5"/>
      <c r="DM431" s="5"/>
      <c r="DN431" s="5"/>
      <c r="DO431" s="5"/>
      <c r="DP431" s="5"/>
      <c r="DQ431" s="5"/>
      <c r="DR431" s="5"/>
      <c r="DS431" s="5"/>
      <c r="DT431" s="5"/>
      <c r="DU431" s="5"/>
      <c r="DV431" s="5"/>
      <c r="DW431" s="5"/>
      <c r="DX431" s="5"/>
      <c r="DY431" s="5"/>
      <c r="DZ431" s="5"/>
      <c r="EA431" s="5"/>
      <c r="EB431" s="5"/>
      <c r="EC431" s="5"/>
      <c r="ED431" s="5"/>
      <c r="EE431" s="5"/>
      <c r="EF431" s="5"/>
      <c r="EG431" s="5"/>
      <c r="EH431" s="5"/>
      <c r="EI431" s="5"/>
      <c r="EJ431" s="5"/>
      <c r="EK431" s="5"/>
      <c r="EL431" s="5"/>
      <c r="EM431" s="5"/>
      <c r="EN431" s="5"/>
      <c r="EO431" s="5"/>
      <c r="EP431" s="5"/>
      <c r="EQ431" s="5"/>
      <c r="ER431" s="5"/>
      <c r="ES431" s="5"/>
      <c r="ET431" s="5"/>
      <c r="EU431" s="5"/>
      <c r="EV431" s="5"/>
      <c r="EW431" s="5"/>
      <c r="EX431" s="5"/>
      <c r="EY431" s="5"/>
      <c r="EZ431" s="5"/>
      <c r="FA431" s="5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5"/>
      <c r="CT432" s="5"/>
      <c r="CU432" s="5"/>
      <c r="CV432" s="5"/>
      <c r="CW432" s="5"/>
      <c r="CX432" s="5"/>
      <c r="CY432" s="5"/>
      <c r="CZ432" s="5"/>
      <c r="DA432" s="5"/>
      <c r="DB432" s="5"/>
      <c r="DC432" s="5"/>
      <c r="DD432" s="5"/>
      <c r="DE432" s="5"/>
      <c r="DF432" s="5"/>
      <c r="DG432" s="5"/>
      <c r="DH432" s="5"/>
      <c r="DI432" s="5"/>
      <c r="DJ432" s="5"/>
      <c r="DK432" s="5"/>
      <c r="DL432" s="5"/>
      <c r="DM432" s="5"/>
      <c r="DN432" s="5"/>
      <c r="DO432" s="5"/>
      <c r="DP432" s="5"/>
      <c r="DQ432" s="5"/>
      <c r="DR432" s="5"/>
      <c r="DS432" s="5"/>
      <c r="DT432" s="5"/>
      <c r="DU432" s="5"/>
      <c r="DV432" s="5"/>
      <c r="DW432" s="5"/>
      <c r="DX432" s="5"/>
      <c r="DY432" s="5"/>
      <c r="DZ432" s="5"/>
      <c r="EA432" s="5"/>
      <c r="EB432" s="5"/>
      <c r="EC432" s="5"/>
      <c r="ED432" s="5"/>
      <c r="EE432" s="5"/>
      <c r="EF432" s="5"/>
      <c r="EG432" s="5"/>
      <c r="EH432" s="5"/>
      <c r="EI432" s="5"/>
      <c r="EJ432" s="5"/>
      <c r="EK432" s="5"/>
      <c r="EL432" s="5"/>
      <c r="EM432" s="5"/>
      <c r="EN432" s="5"/>
      <c r="EO432" s="5"/>
      <c r="EP432" s="5"/>
      <c r="EQ432" s="5"/>
      <c r="ER432" s="5"/>
      <c r="ES432" s="5"/>
      <c r="ET432" s="5"/>
      <c r="EU432" s="5"/>
      <c r="EV432" s="5"/>
      <c r="EW432" s="5"/>
      <c r="EX432" s="5"/>
      <c r="EY432" s="5"/>
      <c r="EZ432" s="5"/>
      <c r="FA432" s="5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5"/>
      <c r="CT433" s="5"/>
      <c r="CU433" s="5"/>
      <c r="CV433" s="5"/>
      <c r="CW433" s="5"/>
      <c r="CX433" s="5"/>
      <c r="CY433" s="5"/>
      <c r="CZ433" s="5"/>
      <c r="DA433" s="5"/>
      <c r="DB433" s="5"/>
      <c r="DC433" s="5"/>
      <c r="DD433" s="5"/>
      <c r="DE433" s="5"/>
      <c r="DF433" s="5"/>
      <c r="DG433" s="5"/>
      <c r="DH433" s="5"/>
      <c r="DI433" s="5"/>
      <c r="DJ433" s="5"/>
      <c r="DK433" s="5"/>
      <c r="DL433" s="5"/>
      <c r="DM433" s="5"/>
      <c r="DN433" s="5"/>
      <c r="DO433" s="5"/>
      <c r="DP433" s="5"/>
      <c r="DQ433" s="5"/>
      <c r="DR433" s="5"/>
      <c r="DS433" s="5"/>
      <c r="DT433" s="5"/>
      <c r="DU433" s="5"/>
      <c r="DV433" s="5"/>
      <c r="DW433" s="5"/>
      <c r="DX433" s="5"/>
      <c r="DY433" s="5"/>
      <c r="DZ433" s="5"/>
      <c r="EA433" s="5"/>
      <c r="EB433" s="5"/>
      <c r="EC433" s="5"/>
      <c r="ED433" s="5"/>
      <c r="EE433" s="5"/>
      <c r="EF433" s="5"/>
      <c r="EG433" s="5"/>
      <c r="EH433" s="5"/>
      <c r="EI433" s="5"/>
      <c r="EJ433" s="5"/>
      <c r="EK433" s="5"/>
      <c r="EL433" s="5"/>
      <c r="EM433" s="5"/>
      <c r="EN433" s="5"/>
      <c r="EO433" s="5"/>
      <c r="EP433" s="5"/>
      <c r="EQ433" s="5"/>
      <c r="ER433" s="5"/>
      <c r="ES433" s="5"/>
      <c r="ET433" s="5"/>
      <c r="EU433" s="5"/>
      <c r="EV433" s="5"/>
      <c r="EW433" s="5"/>
      <c r="EX433" s="5"/>
      <c r="EY433" s="5"/>
      <c r="EZ433" s="5"/>
      <c r="FA433" s="5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5"/>
      <c r="CT434" s="5"/>
      <c r="CU434" s="5"/>
      <c r="CV434" s="5"/>
      <c r="CW434" s="5"/>
      <c r="CX434" s="5"/>
      <c r="CY434" s="5"/>
      <c r="CZ434" s="5"/>
      <c r="DA434" s="5"/>
      <c r="DB434" s="5"/>
      <c r="DC434" s="5"/>
      <c r="DD434" s="5"/>
      <c r="DE434" s="5"/>
      <c r="DF434" s="5"/>
      <c r="DG434" s="5"/>
      <c r="DH434" s="5"/>
      <c r="DI434" s="5"/>
      <c r="DJ434" s="5"/>
      <c r="DK434" s="5"/>
      <c r="DL434" s="5"/>
      <c r="DM434" s="5"/>
      <c r="DN434" s="5"/>
      <c r="DO434" s="5"/>
      <c r="DP434" s="5"/>
      <c r="DQ434" s="5"/>
      <c r="DR434" s="5"/>
      <c r="DS434" s="5"/>
      <c r="DT434" s="5"/>
      <c r="DU434" s="5"/>
      <c r="DV434" s="5"/>
      <c r="DW434" s="5"/>
      <c r="DX434" s="5"/>
      <c r="DY434" s="5"/>
      <c r="DZ434" s="5"/>
      <c r="EA434" s="5"/>
      <c r="EB434" s="5"/>
      <c r="EC434" s="5"/>
      <c r="ED434" s="5"/>
      <c r="EE434" s="5"/>
      <c r="EF434" s="5"/>
      <c r="EG434" s="5"/>
      <c r="EH434" s="5"/>
      <c r="EI434" s="5"/>
      <c r="EJ434" s="5"/>
      <c r="EK434" s="5"/>
      <c r="EL434" s="5"/>
      <c r="EM434" s="5"/>
      <c r="EN434" s="5"/>
      <c r="EO434" s="5"/>
      <c r="EP434" s="5"/>
      <c r="EQ434" s="5"/>
      <c r="ER434" s="5"/>
      <c r="ES434" s="5"/>
      <c r="ET434" s="5"/>
      <c r="EU434" s="5"/>
      <c r="EV434" s="5"/>
      <c r="EW434" s="5"/>
      <c r="EX434" s="5"/>
      <c r="EY434" s="5"/>
      <c r="EZ434" s="5"/>
      <c r="FA434" s="5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5"/>
      <c r="CT435" s="5"/>
      <c r="CU435" s="5"/>
      <c r="CV435" s="5"/>
      <c r="CW435" s="5"/>
      <c r="CX435" s="5"/>
      <c r="CY435" s="5"/>
      <c r="CZ435" s="5"/>
      <c r="DA435" s="5"/>
      <c r="DB435" s="5"/>
      <c r="DC435" s="5"/>
      <c r="DD435" s="5"/>
      <c r="DE435" s="5"/>
      <c r="DF435" s="5"/>
      <c r="DG435" s="5"/>
      <c r="DH435" s="5"/>
      <c r="DI435" s="5"/>
      <c r="DJ435" s="5"/>
      <c r="DK435" s="5"/>
      <c r="DL435" s="5"/>
      <c r="DM435" s="5"/>
      <c r="DN435" s="5"/>
      <c r="DO435" s="5"/>
      <c r="DP435" s="5"/>
      <c r="DQ435" s="5"/>
      <c r="DR435" s="5"/>
      <c r="DS435" s="5"/>
      <c r="DT435" s="5"/>
      <c r="DU435" s="5"/>
      <c r="DV435" s="5"/>
      <c r="DW435" s="5"/>
      <c r="DX435" s="5"/>
      <c r="DY435" s="5"/>
      <c r="DZ435" s="5"/>
      <c r="EA435" s="5"/>
      <c r="EB435" s="5"/>
      <c r="EC435" s="5"/>
      <c r="ED435" s="5"/>
      <c r="EE435" s="5"/>
      <c r="EF435" s="5"/>
      <c r="EG435" s="5"/>
      <c r="EH435" s="5"/>
      <c r="EI435" s="5"/>
      <c r="EJ435" s="5"/>
      <c r="EK435" s="5"/>
      <c r="EL435" s="5"/>
      <c r="EM435" s="5"/>
      <c r="EN435" s="5"/>
      <c r="EO435" s="5"/>
      <c r="EP435" s="5"/>
      <c r="EQ435" s="5"/>
      <c r="ER435" s="5"/>
      <c r="ES435" s="5"/>
      <c r="ET435" s="5"/>
      <c r="EU435" s="5"/>
      <c r="EV435" s="5"/>
      <c r="EW435" s="5"/>
      <c r="EX435" s="5"/>
      <c r="EY435" s="5"/>
      <c r="EZ435" s="5"/>
      <c r="FA435" s="5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5"/>
      <c r="CT436" s="5"/>
      <c r="CU436" s="5"/>
      <c r="CV436" s="5"/>
      <c r="CW436" s="5"/>
      <c r="CX436" s="5"/>
      <c r="CY436" s="5"/>
      <c r="CZ436" s="5"/>
      <c r="DA436" s="5"/>
      <c r="DB436" s="5"/>
      <c r="DC436" s="5"/>
      <c r="DD436" s="5"/>
      <c r="DE436" s="5"/>
      <c r="DF436" s="5"/>
      <c r="DG436" s="5"/>
      <c r="DH436" s="5"/>
      <c r="DI436" s="5"/>
      <c r="DJ436" s="5"/>
      <c r="DK436" s="5"/>
      <c r="DL436" s="5"/>
      <c r="DM436" s="5"/>
      <c r="DN436" s="5"/>
      <c r="DO436" s="5"/>
      <c r="DP436" s="5"/>
      <c r="DQ436" s="5"/>
      <c r="DR436" s="5"/>
      <c r="DS436" s="5"/>
      <c r="DT436" s="5"/>
      <c r="DU436" s="5"/>
      <c r="DV436" s="5"/>
      <c r="DW436" s="5"/>
      <c r="DX436" s="5"/>
      <c r="DY436" s="5"/>
      <c r="DZ436" s="5"/>
      <c r="EA436" s="5"/>
      <c r="EB436" s="5"/>
      <c r="EC436" s="5"/>
      <c r="ED436" s="5"/>
      <c r="EE436" s="5"/>
      <c r="EF436" s="5"/>
      <c r="EG436" s="5"/>
      <c r="EH436" s="5"/>
      <c r="EI436" s="5"/>
      <c r="EJ436" s="5"/>
      <c r="EK436" s="5"/>
      <c r="EL436" s="5"/>
      <c r="EM436" s="5"/>
      <c r="EN436" s="5"/>
      <c r="EO436" s="5"/>
      <c r="EP436" s="5"/>
      <c r="EQ436" s="5"/>
      <c r="ER436" s="5"/>
      <c r="ES436" s="5"/>
      <c r="ET436" s="5"/>
      <c r="EU436" s="5"/>
      <c r="EV436" s="5"/>
      <c r="EW436" s="5"/>
      <c r="EX436" s="5"/>
      <c r="EY436" s="5"/>
      <c r="EZ436" s="5"/>
      <c r="FA436" s="5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5"/>
      <c r="CT437" s="5"/>
      <c r="CU437" s="5"/>
      <c r="CV437" s="5"/>
      <c r="CW437" s="5"/>
      <c r="CX437" s="5"/>
      <c r="CY437" s="5"/>
      <c r="CZ437" s="5"/>
      <c r="DA437" s="5"/>
      <c r="DB437" s="5"/>
      <c r="DC437" s="5"/>
      <c r="DD437" s="5"/>
      <c r="DE437" s="5"/>
      <c r="DF437" s="5"/>
      <c r="DG437" s="5"/>
      <c r="DH437" s="5"/>
      <c r="DI437" s="5"/>
      <c r="DJ437" s="5"/>
      <c r="DK437" s="5"/>
      <c r="DL437" s="5"/>
      <c r="DM437" s="5"/>
      <c r="DN437" s="5"/>
      <c r="DO437" s="5"/>
      <c r="DP437" s="5"/>
      <c r="DQ437" s="5"/>
      <c r="DR437" s="5"/>
      <c r="DS437" s="5"/>
      <c r="DT437" s="5"/>
      <c r="DU437" s="5"/>
      <c r="DV437" s="5"/>
      <c r="DW437" s="5"/>
      <c r="DX437" s="5"/>
      <c r="DY437" s="5"/>
      <c r="DZ437" s="5"/>
      <c r="EA437" s="5"/>
      <c r="EB437" s="5"/>
      <c r="EC437" s="5"/>
      <c r="ED437" s="5"/>
      <c r="EE437" s="5"/>
      <c r="EF437" s="5"/>
      <c r="EG437" s="5"/>
      <c r="EH437" s="5"/>
      <c r="EI437" s="5"/>
      <c r="EJ437" s="5"/>
      <c r="EK437" s="5"/>
      <c r="EL437" s="5"/>
      <c r="EM437" s="5"/>
      <c r="EN437" s="5"/>
      <c r="EO437" s="5"/>
      <c r="EP437" s="5"/>
      <c r="EQ437" s="5"/>
      <c r="ER437" s="5"/>
      <c r="ES437" s="5"/>
      <c r="ET437" s="5"/>
      <c r="EU437" s="5"/>
      <c r="EV437" s="5"/>
      <c r="EW437" s="5"/>
      <c r="EX437" s="5"/>
      <c r="EY437" s="5"/>
      <c r="EZ437" s="5"/>
      <c r="FA437" s="5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5"/>
      <c r="CT438" s="5"/>
      <c r="CU438" s="5"/>
      <c r="CV438" s="5"/>
      <c r="CW438" s="5"/>
      <c r="CX438" s="5"/>
      <c r="CY438" s="5"/>
      <c r="CZ438" s="5"/>
      <c r="DA438" s="5"/>
      <c r="DB438" s="5"/>
      <c r="DC438" s="5"/>
      <c r="DD438" s="5"/>
      <c r="DE438" s="5"/>
      <c r="DF438" s="5"/>
      <c r="DG438" s="5"/>
      <c r="DH438" s="5"/>
      <c r="DI438" s="5"/>
      <c r="DJ438" s="5"/>
      <c r="DK438" s="5"/>
      <c r="DL438" s="5"/>
      <c r="DM438" s="5"/>
      <c r="DN438" s="5"/>
      <c r="DO438" s="5"/>
      <c r="DP438" s="5"/>
      <c r="DQ438" s="5"/>
      <c r="DR438" s="5"/>
      <c r="DS438" s="5"/>
      <c r="DT438" s="5"/>
      <c r="DU438" s="5"/>
      <c r="DV438" s="5"/>
      <c r="DW438" s="5"/>
      <c r="DX438" s="5"/>
      <c r="DY438" s="5"/>
      <c r="DZ438" s="5"/>
      <c r="EA438" s="5"/>
      <c r="EB438" s="5"/>
      <c r="EC438" s="5"/>
      <c r="ED438" s="5"/>
      <c r="EE438" s="5"/>
      <c r="EF438" s="5"/>
      <c r="EG438" s="5"/>
      <c r="EH438" s="5"/>
      <c r="EI438" s="5"/>
      <c r="EJ438" s="5"/>
      <c r="EK438" s="5"/>
      <c r="EL438" s="5"/>
      <c r="EM438" s="5"/>
      <c r="EN438" s="5"/>
      <c r="EO438" s="5"/>
      <c r="EP438" s="5"/>
      <c r="EQ438" s="5"/>
      <c r="ER438" s="5"/>
      <c r="ES438" s="5"/>
      <c r="ET438" s="5"/>
      <c r="EU438" s="5"/>
      <c r="EV438" s="5"/>
      <c r="EW438" s="5"/>
      <c r="EX438" s="5"/>
      <c r="EY438" s="5"/>
      <c r="EZ438" s="5"/>
      <c r="FA438" s="5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5"/>
      <c r="CT439" s="5"/>
      <c r="CU439" s="5"/>
      <c r="CV439" s="5"/>
      <c r="CW439" s="5"/>
      <c r="CX439" s="5"/>
      <c r="CY439" s="5"/>
      <c r="CZ439" s="5"/>
      <c r="DA439" s="5"/>
      <c r="DB439" s="5"/>
      <c r="DC439" s="5"/>
      <c r="DD439" s="5"/>
      <c r="DE439" s="5"/>
      <c r="DF439" s="5"/>
      <c r="DG439" s="5"/>
      <c r="DH439" s="5"/>
      <c r="DI439" s="5"/>
      <c r="DJ439" s="5"/>
      <c r="DK439" s="5"/>
      <c r="DL439" s="5"/>
      <c r="DM439" s="5"/>
      <c r="DN439" s="5"/>
      <c r="DO439" s="5"/>
      <c r="DP439" s="5"/>
      <c r="DQ439" s="5"/>
      <c r="DR439" s="5"/>
      <c r="DS439" s="5"/>
      <c r="DT439" s="5"/>
      <c r="DU439" s="5"/>
      <c r="DV439" s="5"/>
      <c r="DW439" s="5"/>
      <c r="DX439" s="5"/>
      <c r="DY439" s="5"/>
      <c r="DZ439" s="5"/>
      <c r="EA439" s="5"/>
      <c r="EB439" s="5"/>
      <c r="EC439" s="5"/>
      <c r="ED439" s="5"/>
      <c r="EE439" s="5"/>
      <c r="EF439" s="5"/>
      <c r="EG439" s="5"/>
      <c r="EH439" s="5"/>
      <c r="EI439" s="5"/>
      <c r="EJ439" s="5"/>
      <c r="EK439" s="5"/>
      <c r="EL439" s="5"/>
      <c r="EM439" s="5"/>
      <c r="EN439" s="5"/>
      <c r="EO439" s="5"/>
      <c r="EP439" s="5"/>
      <c r="EQ439" s="5"/>
      <c r="ER439" s="5"/>
      <c r="ES439" s="5"/>
      <c r="ET439" s="5"/>
      <c r="EU439" s="5"/>
      <c r="EV439" s="5"/>
      <c r="EW439" s="5"/>
      <c r="EX439" s="5"/>
      <c r="EY439" s="5"/>
      <c r="EZ439" s="5"/>
      <c r="FA439" s="5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5"/>
      <c r="CT440" s="5"/>
      <c r="CU440" s="5"/>
      <c r="CV440" s="5"/>
      <c r="CW440" s="5"/>
      <c r="CX440" s="5"/>
      <c r="CY440" s="5"/>
      <c r="CZ440" s="5"/>
      <c r="DA440" s="5"/>
      <c r="DB440" s="5"/>
      <c r="DC440" s="5"/>
      <c r="DD440" s="5"/>
      <c r="DE440" s="5"/>
      <c r="DF440" s="5"/>
      <c r="DG440" s="5"/>
      <c r="DH440" s="5"/>
      <c r="DI440" s="5"/>
      <c r="DJ440" s="5"/>
      <c r="DK440" s="5"/>
      <c r="DL440" s="5"/>
      <c r="DM440" s="5"/>
      <c r="DN440" s="5"/>
      <c r="DO440" s="5"/>
      <c r="DP440" s="5"/>
      <c r="DQ440" s="5"/>
      <c r="DR440" s="5"/>
      <c r="DS440" s="5"/>
      <c r="DT440" s="5"/>
      <c r="DU440" s="5"/>
      <c r="DV440" s="5"/>
      <c r="DW440" s="5"/>
      <c r="DX440" s="5"/>
      <c r="DY440" s="5"/>
      <c r="DZ440" s="5"/>
      <c r="EA440" s="5"/>
      <c r="EB440" s="5"/>
      <c r="EC440" s="5"/>
      <c r="ED440" s="5"/>
      <c r="EE440" s="5"/>
      <c r="EF440" s="5"/>
      <c r="EG440" s="5"/>
      <c r="EH440" s="5"/>
      <c r="EI440" s="5"/>
      <c r="EJ440" s="5"/>
      <c r="EK440" s="5"/>
      <c r="EL440" s="5"/>
      <c r="EM440" s="5"/>
      <c r="EN440" s="5"/>
      <c r="EO440" s="5"/>
      <c r="EP440" s="5"/>
      <c r="EQ440" s="5"/>
      <c r="ER440" s="5"/>
      <c r="ES440" s="5"/>
      <c r="ET440" s="5"/>
      <c r="EU440" s="5"/>
      <c r="EV440" s="5"/>
      <c r="EW440" s="5"/>
      <c r="EX440" s="5"/>
      <c r="EY440" s="5"/>
      <c r="EZ440" s="5"/>
      <c r="FA440" s="5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5"/>
      <c r="CT441" s="5"/>
      <c r="CU441" s="5"/>
      <c r="CV441" s="5"/>
      <c r="CW441" s="5"/>
      <c r="CX441" s="5"/>
      <c r="CY441" s="5"/>
      <c r="CZ441" s="5"/>
      <c r="DA441" s="5"/>
      <c r="DB441" s="5"/>
      <c r="DC441" s="5"/>
      <c r="DD441" s="5"/>
      <c r="DE441" s="5"/>
      <c r="DF441" s="5"/>
      <c r="DG441" s="5"/>
      <c r="DH441" s="5"/>
      <c r="DI441" s="5"/>
      <c r="DJ441" s="5"/>
      <c r="DK441" s="5"/>
      <c r="DL441" s="5"/>
      <c r="DM441" s="5"/>
      <c r="DN441" s="5"/>
      <c r="DO441" s="5"/>
      <c r="DP441" s="5"/>
      <c r="DQ441" s="5"/>
      <c r="DR441" s="5"/>
      <c r="DS441" s="5"/>
      <c r="DT441" s="5"/>
      <c r="DU441" s="5"/>
      <c r="DV441" s="5"/>
      <c r="DW441" s="5"/>
      <c r="DX441" s="5"/>
      <c r="DY441" s="5"/>
      <c r="DZ441" s="5"/>
      <c r="EA441" s="5"/>
      <c r="EB441" s="5"/>
      <c r="EC441" s="5"/>
      <c r="ED441" s="5"/>
      <c r="EE441" s="5"/>
      <c r="EF441" s="5"/>
      <c r="EG441" s="5"/>
      <c r="EH441" s="5"/>
      <c r="EI441" s="5"/>
      <c r="EJ441" s="5"/>
      <c r="EK441" s="5"/>
      <c r="EL441" s="5"/>
      <c r="EM441" s="5"/>
      <c r="EN441" s="5"/>
      <c r="EO441" s="5"/>
      <c r="EP441" s="5"/>
      <c r="EQ441" s="5"/>
      <c r="ER441" s="5"/>
      <c r="ES441" s="5"/>
      <c r="ET441" s="5"/>
      <c r="EU441" s="5"/>
      <c r="EV441" s="5"/>
      <c r="EW441" s="5"/>
      <c r="EX441" s="5"/>
      <c r="EY441" s="5"/>
      <c r="EZ441" s="5"/>
      <c r="FA441" s="5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5"/>
      <c r="CT442" s="5"/>
      <c r="CU442" s="5"/>
      <c r="CV442" s="5"/>
      <c r="CW442" s="5"/>
      <c r="CX442" s="5"/>
      <c r="CY442" s="5"/>
      <c r="CZ442" s="5"/>
      <c r="DA442" s="5"/>
      <c r="DB442" s="5"/>
      <c r="DC442" s="5"/>
      <c r="DD442" s="5"/>
      <c r="DE442" s="5"/>
      <c r="DF442" s="5"/>
      <c r="DG442" s="5"/>
      <c r="DH442" s="5"/>
      <c r="DI442" s="5"/>
      <c r="DJ442" s="5"/>
      <c r="DK442" s="5"/>
      <c r="DL442" s="5"/>
      <c r="DM442" s="5"/>
      <c r="DN442" s="5"/>
      <c r="DO442" s="5"/>
      <c r="DP442" s="5"/>
      <c r="DQ442" s="5"/>
      <c r="DR442" s="5"/>
      <c r="DS442" s="5"/>
      <c r="DT442" s="5"/>
      <c r="DU442" s="5"/>
      <c r="DV442" s="5"/>
      <c r="DW442" s="5"/>
      <c r="DX442" s="5"/>
      <c r="DY442" s="5"/>
      <c r="DZ442" s="5"/>
      <c r="EA442" s="5"/>
      <c r="EB442" s="5"/>
      <c r="EC442" s="5"/>
      <c r="ED442" s="5"/>
      <c r="EE442" s="5"/>
      <c r="EF442" s="5"/>
      <c r="EG442" s="5"/>
      <c r="EH442" s="5"/>
      <c r="EI442" s="5"/>
      <c r="EJ442" s="5"/>
      <c r="EK442" s="5"/>
      <c r="EL442" s="5"/>
      <c r="EM442" s="5"/>
      <c r="EN442" s="5"/>
      <c r="EO442" s="5"/>
      <c r="EP442" s="5"/>
      <c r="EQ442" s="5"/>
      <c r="ER442" s="5"/>
      <c r="ES442" s="5"/>
      <c r="ET442" s="5"/>
      <c r="EU442" s="5"/>
      <c r="EV442" s="5"/>
      <c r="EW442" s="5"/>
      <c r="EX442" s="5"/>
      <c r="EY442" s="5"/>
      <c r="EZ442" s="5"/>
      <c r="FA442" s="5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5"/>
      <c r="CT443" s="5"/>
      <c r="CU443" s="5"/>
      <c r="CV443" s="5"/>
      <c r="CW443" s="5"/>
      <c r="CX443" s="5"/>
      <c r="CY443" s="5"/>
      <c r="CZ443" s="5"/>
      <c r="DA443" s="5"/>
      <c r="DB443" s="5"/>
      <c r="DC443" s="5"/>
      <c r="DD443" s="5"/>
      <c r="DE443" s="5"/>
      <c r="DF443" s="5"/>
      <c r="DG443" s="5"/>
      <c r="DH443" s="5"/>
      <c r="DI443" s="5"/>
      <c r="DJ443" s="5"/>
      <c r="DK443" s="5"/>
      <c r="DL443" s="5"/>
      <c r="DM443" s="5"/>
      <c r="DN443" s="5"/>
      <c r="DO443" s="5"/>
      <c r="DP443" s="5"/>
      <c r="DQ443" s="5"/>
      <c r="DR443" s="5"/>
      <c r="DS443" s="5"/>
      <c r="DT443" s="5"/>
      <c r="DU443" s="5"/>
      <c r="DV443" s="5"/>
      <c r="DW443" s="5"/>
      <c r="DX443" s="5"/>
      <c r="DY443" s="5"/>
      <c r="DZ443" s="5"/>
      <c r="EA443" s="5"/>
      <c r="EB443" s="5"/>
      <c r="EC443" s="5"/>
      <c r="ED443" s="5"/>
      <c r="EE443" s="5"/>
      <c r="EF443" s="5"/>
      <c r="EG443" s="5"/>
      <c r="EH443" s="5"/>
      <c r="EI443" s="5"/>
      <c r="EJ443" s="5"/>
      <c r="EK443" s="5"/>
      <c r="EL443" s="5"/>
      <c r="EM443" s="5"/>
      <c r="EN443" s="5"/>
      <c r="EO443" s="5"/>
      <c r="EP443" s="5"/>
      <c r="EQ443" s="5"/>
      <c r="ER443" s="5"/>
      <c r="ES443" s="5"/>
      <c r="ET443" s="5"/>
      <c r="EU443" s="5"/>
      <c r="EV443" s="5"/>
      <c r="EW443" s="5"/>
      <c r="EX443" s="5"/>
      <c r="EY443" s="5"/>
      <c r="EZ443" s="5"/>
      <c r="FA443" s="5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5"/>
      <c r="CT444" s="5"/>
      <c r="CU444" s="5"/>
      <c r="CV444" s="5"/>
      <c r="CW444" s="5"/>
      <c r="CX444" s="5"/>
      <c r="CY444" s="5"/>
      <c r="CZ444" s="5"/>
      <c r="DA444" s="5"/>
      <c r="DB444" s="5"/>
      <c r="DC444" s="5"/>
      <c r="DD444" s="5"/>
      <c r="DE444" s="5"/>
      <c r="DF444" s="5"/>
      <c r="DG444" s="5"/>
      <c r="DH444" s="5"/>
      <c r="DI444" s="5"/>
      <c r="DJ444" s="5"/>
      <c r="DK444" s="5"/>
      <c r="DL444" s="5"/>
      <c r="DM444" s="5"/>
      <c r="DN444" s="5"/>
      <c r="DO444" s="5"/>
      <c r="DP444" s="5"/>
      <c r="DQ444" s="5"/>
      <c r="DR444" s="5"/>
      <c r="DS444" s="5"/>
      <c r="DT444" s="5"/>
      <c r="DU444" s="5"/>
      <c r="DV444" s="5"/>
      <c r="DW444" s="5"/>
      <c r="DX444" s="5"/>
      <c r="DY444" s="5"/>
      <c r="DZ444" s="5"/>
      <c r="EA444" s="5"/>
      <c r="EB444" s="5"/>
      <c r="EC444" s="5"/>
      <c r="ED444" s="5"/>
      <c r="EE444" s="5"/>
      <c r="EF444" s="5"/>
      <c r="EG444" s="5"/>
      <c r="EH444" s="5"/>
      <c r="EI444" s="5"/>
      <c r="EJ444" s="5"/>
      <c r="EK444" s="5"/>
      <c r="EL444" s="5"/>
      <c r="EM444" s="5"/>
      <c r="EN444" s="5"/>
      <c r="EO444" s="5"/>
      <c r="EP444" s="5"/>
      <c r="EQ444" s="5"/>
      <c r="ER444" s="5"/>
      <c r="ES444" s="5"/>
      <c r="ET444" s="5"/>
      <c r="EU444" s="5"/>
      <c r="EV444" s="5"/>
      <c r="EW444" s="5"/>
      <c r="EX444" s="5"/>
      <c r="EY444" s="5"/>
      <c r="EZ444" s="5"/>
      <c r="FA444" s="5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5"/>
      <c r="CT445" s="5"/>
      <c r="CU445" s="5"/>
      <c r="CV445" s="5"/>
      <c r="CW445" s="5"/>
      <c r="CX445" s="5"/>
      <c r="CY445" s="5"/>
      <c r="CZ445" s="5"/>
      <c r="DA445" s="5"/>
      <c r="DB445" s="5"/>
      <c r="DC445" s="5"/>
      <c r="DD445" s="5"/>
      <c r="DE445" s="5"/>
      <c r="DF445" s="5"/>
      <c r="DG445" s="5"/>
      <c r="DH445" s="5"/>
      <c r="DI445" s="5"/>
      <c r="DJ445" s="5"/>
      <c r="DK445" s="5"/>
      <c r="DL445" s="5"/>
      <c r="DM445" s="5"/>
      <c r="DN445" s="5"/>
      <c r="DO445" s="5"/>
      <c r="DP445" s="5"/>
      <c r="DQ445" s="5"/>
      <c r="DR445" s="5"/>
      <c r="DS445" s="5"/>
      <c r="DT445" s="5"/>
      <c r="DU445" s="5"/>
      <c r="DV445" s="5"/>
      <c r="DW445" s="5"/>
      <c r="DX445" s="5"/>
      <c r="DY445" s="5"/>
      <c r="DZ445" s="5"/>
      <c r="EA445" s="5"/>
      <c r="EB445" s="5"/>
      <c r="EC445" s="5"/>
      <c r="ED445" s="5"/>
      <c r="EE445" s="5"/>
      <c r="EF445" s="5"/>
      <c r="EG445" s="5"/>
      <c r="EH445" s="5"/>
      <c r="EI445" s="5"/>
      <c r="EJ445" s="5"/>
      <c r="EK445" s="5"/>
      <c r="EL445" s="5"/>
      <c r="EM445" s="5"/>
      <c r="EN445" s="5"/>
      <c r="EO445" s="5"/>
      <c r="EP445" s="5"/>
      <c r="EQ445" s="5"/>
      <c r="ER445" s="5"/>
      <c r="ES445" s="5"/>
      <c r="ET445" s="5"/>
      <c r="EU445" s="5"/>
      <c r="EV445" s="5"/>
      <c r="EW445" s="5"/>
      <c r="EX445" s="5"/>
      <c r="EY445" s="5"/>
      <c r="EZ445" s="5"/>
      <c r="FA445" s="5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5"/>
      <c r="CT446" s="5"/>
      <c r="CU446" s="5"/>
      <c r="CV446" s="5"/>
      <c r="CW446" s="5"/>
      <c r="CX446" s="5"/>
      <c r="CY446" s="5"/>
      <c r="CZ446" s="5"/>
      <c r="DA446" s="5"/>
      <c r="DB446" s="5"/>
      <c r="DC446" s="5"/>
      <c r="DD446" s="5"/>
      <c r="DE446" s="5"/>
      <c r="DF446" s="5"/>
      <c r="DG446" s="5"/>
      <c r="DH446" s="5"/>
      <c r="DI446" s="5"/>
      <c r="DJ446" s="5"/>
      <c r="DK446" s="5"/>
      <c r="DL446" s="5"/>
      <c r="DM446" s="5"/>
      <c r="DN446" s="5"/>
      <c r="DO446" s="5"/>
      <c r="DP446" s="5"/>
      <c r="DQ446" s="5"/>
      <c r="DR446" s="5"/>
      <c r="DS446" s="5"/>
      <c r="DT446" s="5"/>
      <c r="DU446" s="5"/>
      <c r="DV446" s="5"/>
      <c r="DW446" s="5"/>
      <c r="DX446" s="5"/>
      <c r="DY446" s="5"/>
      <c r="DZ446" s="5"/>
      <c r="EA446" s="5"/>
      <c r="EB446" s="5"/>
      <c r="EC446" s="5"/>
      <c r="ED446" s="5"/>
      <c r="EE446" s="5"/>
      <c r="EF446" s="5"/>
      <c r="EG446" s="5"/>
      <c r="EH446" s="5"/>
      <c r="EI446" s="5"/>
      <c r="EJ446" s="5"/>
      <c r="EK446" s="5"/>
      <c r="EL446" s="5"/>
      <c r="EM446" s="5"/>
      <c r="EN446" s="5"/>
      <c r="EO446" s="5"/>
      <c r="EP446" s="5"/>
      <c r="EQ446" s="5"/>
      <c r="ER446" s="5"/>
      <c r="ES446" s="5"/>
      <c r="ET446" s="5"/>
      <c r="EU446" s="5"/>
      <c r="EV446" s="5"/>
      <c r="EW446" s="5"/>
      <c r="EX446" s="5"/>
      <c r="EY446" s="5"/>
      <c r="EZ446" s="5"/>
      <c r="FA446" s="5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5"/>
      <c r="CT447" s="5"/>
      <c r="CU447" s="5"/>
      <c r="CV447" s="5"/>
      <c r="CW447" s="5"/>
      <c r="CX447" s="5"/>
      <c r="CY447" s="5"/>
      <c r="CZ447" s="5"/>
      <c r="DA447" s="5"/>
      <c r="DB447" s="5"/>
      <c r="DC447" s="5"/>
      <c r="DD447" s="5"/>
      <c r="DE447" s="5"/>
      <c r="DF447" s="5"/>
      <c r="DG447" s="5"/>
      <c r="DH447" s="5"/>
      <c r="DI447" s="5"/>
      <c r="DJ447" s="5"/>
      <c r="DK447" s="5"/>
      <c r="DL447" s="5"/>
      <c r="DM447" s="5"/>
      <c r="DN447" s="5"/>
      <c r="DO447" s="5"/>
      <c r="DP447" s="5"/>
      <c r="DQ447" s="5"/>
      <c r="DR447" s="5"/>
      <c r="DS447" s="5"/>
      <c r="DT447" s="5"/>
      <c r="DU447" s="5"/>
      <c r="DV447" s="5"/>
      <c r="DW447" s="5"/>
      <c r="DX447" s="5"/>
      <c r="DY447" s="5"/>
      <c r="DZ447" s="5"/>
      <c r="EA447" s="5"/>
      <c r="EB447" s="5"/>
      <c r="EC447" s="5"/>
      <c r="ED447" s="5"/>
      <c r="EE447" s="5"/>
      <c r="EF447" s="5"/>
      <c r="EG447" s="5"/>
      <c r="EH447" s="5"/>
      <c r="EI447" s="5"/>
      <c r="EJ447" s="5"/>
      <c r="EK447" s="5"/>
      <c r="EL447" s="5"/>
      <c r="EM447" s="5"/>
      <c r="EN447" s="5"/>
      <c r="EO447" s="5"/>
      <c r="EP447" s="5"/>
      <c r="EQ447" s="5"/>
      <c r="ER447" s="5"/>
      <c r="ES447" s="5"/>
      <c r="ET447" s="5"/>
      <c r="EU447" s="5"/>
      <c r="EV447" s="5"/>
      <c r="EW447" s="5"/>
      <c r="EX447" s="5"/>
      <c r="EY447" s="5"/>
      <c r="EZ447" s="5"/>
      <c r="FA447" s="5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5"/>
      <c r="CT448" s="5"/>
      <c r="CU448" s="5"/>
      <c r="CV448" s="5"/>
      <c r="CW448" s="5"/>
      <c r="CX448" s="5"/>
      <c r="CY448" s="5"/>
      <c r="CZ448" s="5"/>
      <c r="DA448" s="5"/>
      <c r="DB448" s="5"/>
      <c r="DC448" s="5"/>
      <c r="DD448" s="5"/>
      <c r="DE448" s="5"/>
      <c r="DF448" s="5"/>
      <c r="DG448" s="5"/>
      <c r="DH448" s="5"/>
      <c r="DI448" s="5"/>
      <c r="DJ448" s="5"/>
      <c r="DK448" s="5"/>
      <c r="DL448" s="5"/>
      <c r="DM448" s="5"/>
      <c r="DN448" s="5"/>
      <c r="DO448" s="5"/>
      <c r="DP448" s="5"/>
      <c r="DQ448" s="5"/>
      <c r="DR448" s="5"/>
      <c r="DS448" s="5"/>
      <c r="DT448" s="5"/>
      <c r="DU448" s="5"/>
      <c r="DV448" s="5"/>
      <c r="DW448" s="5"/>
      <c r="DX448" s="5"/>
      <c r="DY448" s="5"/>
      <c r="DZ448" s="5"/>
      <c r="EA448" s="5"/>
      <c r="EB448" s="5"/>
      <c r="EC448" s="5"/>
      <c r="ED448" s="5"/>
      <c r="EE448" s="5"/>
      <c r="EF448" s="5"/>
      <c r="EG448" s="5"/>
      <c r="EH448" s="5"/>
      <c r="EI448" s="5"/>
      <c r="EJ448" s="5"/>
      <c r="EK448" s="5"/>
      <c r="EL448" s="5"/>
      <c r="EM448" s="5"/>
      <c r="EN448" s="5"/>
      <c r="EO448" s="5"/>
      <c r="EP448" s="5"/>
      <c r="EQ448" s="5"/>
      <c r="ER448" s="5"/>
      <c r="ES448" s="5"/>
      <c r="ET448" s="5"/>
      <c r="EU448" s="5"/>
      <c r="EV448" s="5"/>
      <c r="EW448" s="5"/>
      <c r="EX448" s="5"/>
      <c r="EY448" s="5"/>
      <c r="EZ448" s="5"/>
      <c r="FA448" s="5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5"/>
      <c r="CT449" s="5"/>
      <c r="CU449" s="5"/>
      <c r="CV449" s="5"/>
      <c r="CW449" s="5"/>
      <c r="CX449" s="5"/>
      <c r="CY449" s="5"/>
      <c r="CZ449" s="5"/>
      <c r="DA449" s="5"/>
      <c r="DB449" s="5"/>
      <c r="DC449" s="5"/>
      <c r="DD449" s="5"/>
      <c r="DE449" s="5"/>
      <c r="DF449" s="5"/>
      <c r="DG449" s="5"/>
      <c r="DH449" s="5"/>
      <c r="DI449" s="5"/>
      <c r="DJ449" s="5"/>
      <c r="DK449" s="5"/>
      <c r="DL449" s="5"/>
      <c r="DM449" s="5"/>
      <c r="DN449" s="5"/>
      <c r="DO449" s="5"/>
      <c r="DP449" s="5"/>
      <c r="DQ449" s="5"/>
      <c r="DR449" s="5"/>
      <c r="DS449" s="5"/>
      <c r="DT449" s="5"/>
      <c r="DU449" s="5"/>
      <c r="DV449" s="5"/>
      <c r="DW449" s="5"/>
      <c r="DX449" s="5"/>
      <c r="DY449" s="5"/>
      <c r="DZ449" s="5"/>
      <c r="EA449" s="5"/>
      <c r="EB449" s="5"/>
      <c r="EC449" s="5"/>
      <c r="ED449" s="5"/>
      <c r="EE449" s="5"/>
      <c r="EF449" s="5"/>
      <c r="EG449" s="5"/>
      <c r="EH449" s="5"/>
      <c r="EI449" s="5"/>
      <c r="EJ449" s="5"/>
      <c r="EK449" s="5"/>
      <c r="EL449" s="5"/>
      <c r="EM449" s="5"/>
      <c r="EN449" s="5"/>
      <c r="EO449" s="5"/>
      <c r="EP449" s="5"/>
      <c r="EQ449" s="5"/>
      <c r="ER449" s="5"/>
      <c r="ES449" s="5"/>
      <c r="ET449" s="5"/>
      <c r="EU449" s="5"/>
      <c r="EV449" s="5"/>
      <c r="EW449" s="5"/>
      <c r="EX449" s="5"/>
      <c r="EY449" s="5"/>
      <c r="EZ449" s="5"/>
      <c r="FA449" s="5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5"/>
      <c r="CT450" s="5"/>
      <c r="CU450" s="5"/>
      <c r="CV450" s="5"/>
      <c r="CW450" s="5"/>
      <c r="CX450" s="5"/>
      <c r="CY450" s="5"/>
      <c r="CZ450" s="5"/>
      <c r="DA450" s="5"/>
      <c r="DB450" s="5"/>
      <c r="DC450" s="5"/>
      <c r="DD450" s="5"/>
      <c r="DE450" s="5"/>
      <c r="DF450" s="5"/>
      <c r="DG450" s="5"/>
      <c r="DH450" s="5"/>
      <c r="DI450" s="5"/>
      <c r="DJ450" s="5"/>
      <c r="DK450" s="5"/>
      <c r="DL450" s="5"/>
      <c r="DM450" s="5"/>
      <c r="DN450" s="5"/>
      <c r="DO450" s="5"/>
      <c r="DP450" s="5"/>
      <c r="DQ450" s="5"/>
      <c r="DR450" s="5"/>
      <c r="DS450" s="5"/>
      <c r="DT450" s="5"/>
      <c r="DU450" s="5"/>
      <c r="DV450" s="5"/>
      <c r="DW450" s="5"/>
      <c r="DX450" s="5"/>
      <c r="DY450" s="5"/>
      <c r="DZ450" s="5"/>
      <c r="EA450" s="5"/>
      <c r="EB450" s="5"/>
      <c r="EC450" s="5"/>
      <c r="ED450" s="5"/>
      <c r="EE450" s="5"/>
      <c r="EF450" s="5"/>
      <c r="EG450" s="5"/>
      <c r="EH450" s="5"/>
      <c r="EI450" s="5"/>
      <c r="EJ450" s="5"/>
      <c r="EK450" s="5"/>
      <c r="EL450" s="5"/>
      <c r="EM450" s="5"/>
      <c r="EN450" s="5"/>
      <c r="EO450" s="5"/>
      <c r="EP450" s="5"/>
      <c r="EQ450" s="5"/>
      <c r="ER450" s="5"/>
      <c r="ES450" s="5"/>
      <c r="ET450" s="5"/>
      <c r="EU450" s="5"/>
      <c r="EV450" s="5"/>
      <c r="EW450" s="5"/>
      <c r="EX450" s="5"/>
      <c r="EY450" s="5"/>
      <c r="EZ450" s="5"/>
      <c r="FA450" s="5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5"/>
      <c r="CT451" s="5"/>
      <c r="CU451" s="5"/>
      <c r="CV451" s="5"/>
      <c r="CW451" s="5"/>
      <c r="CX451" s="5"/>
      <c r="CY451" s="5"/>
      <c r="CZ451" s="5"/>
      <c r="DA451" s="5"/>
      <c r="DB451" s="5"/>
      <c r="DC451" s="5"/>
      <c r="DD451" s="5"/>
      <c r="DE451" s="5"/>
      <c r="DF451" s="5"/>
      <c r="DG451" s="5"/>
      <c r="DH451" s="5"/>
      <c r="DI451" s="5"/>
      <c r="DJ451" s="5"/>
      <c r="DK451" s="5"/>
      <c r="DL451" s="5"/>
      <c r="DM451" s="5"/>
      <c r="DN451" s="5"/>
      <c r="DO451" s="5"/>
      <c r="DP451" s="5"/>
      <c r="DQ451" s="5"/>
      <c r="DR451" s="5"/>
      <c r="DS451" s="5"/>
      <c r="DT451" s="5"/>
      <c r="DU451" s="5"/>
      <c r="DV451" s="5"/>
      <c r="DW451" s="5"/>
      <c r="DX451" s="5"/>
      <c r="DY451" s="5"/>
      <c r="DZ451" s="5"/>
      <c r="EA451" s="5"/>
      <c r="EB451" s="5"/>
      <c r="EC451" s="5"/>
      <c r="ED451" s="5"/>
      <c r="EE451" s="5"/>
      <c r="EF451" s="5"/>
      <c r="EG451" s="5"/>
      <c r="EH451" s="5"/>
      <c r="EI451" s="5"/>
      <c r="EJ451" s="5"/>
      <c r="EK451" s="5"/>
      <c r="EL451" s="5"/>
      <c r="EM451" s="5"/>
      <c r="EN451" s="5"/>
      <c r="EO451" s="5"/>
      <c r="EP451" s="5"/>
      <c r="EQ451" s="5"/>
      <c r="ER451" s="5"/>
      <c r="ES451" s="5"/>
      <c r="ET451" s="5"/>
      <c r="EU451" s="5"/>
      <c r="EV451" s="5"/>
      <c r="EW451" s="5"/>
      <c r="EX451" s="5"/>
      <c r="EY451" s="5"/>
      <c r="EZ451" s="5"/>
      <c r="FA451" s="5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5"/>
      <c r="CT452" s="5"/>
      <c r="CU452" s="5"/>
      <c r="CV452" s="5"/>
      <c r="CW452" s="5"/>
      <c r="CX452" s="5"/>
      <c r="CY452" s="5"/>
      <c r="CZ452" s="5"/>
      <c r="DA452" s="5"/>
      <c r="DB452" s="5"/>
      <c r="DC452" s="5"/>
      <c r="DD452" s="5"/>
      <c r="DE452" s="5"/>
      <c r="DF452" s="5"/>
      <c r="DG452" s="5"/>
      <c r="DH452" s="5"/>
      <c r="DI452" s="5"/>
      <c r="DJ452" s="5"/>
      <c r="DK452" s="5"/>
      <c r="DL452" s="5"/>
      <c r="DM452" s="5"/>
      <c r="DN452" s="5"/>
      <c r="DO452" s="5"/>
      <c r="DP452" s="5"/>
      <c r="DQ452" s="5"/>
      <c r="DR452" s="5"/>
      <c r="DS452" s="5"/>
      <c r="DT452" s="5"/>
      <c r="DU452" s="5"/>
      <c r="DV452" s="5"/>
      <c r="DW452" s="5"/>
      <c r="DX452" s="5"/>
      <c r="DY452" s="5"/>
      <c r="DZ452" s="5"/>
      <c r="EA452" s="5"/>
      <c r="EB452" s="5"/>
      <c r="EC452" s="5"/>
      <c r="ED452" s="5"/>
      <c r="EE452" s="5"/>
      <c r="EF452" s="5"/>
      <c r="EG452" s="5"/>
      <c r="EH452" s="5"/>
      <c r="EI452" s="5"/>
      <c r="EJ452" s="5"/>
      <c r="EK452" s="5"/>
      <c r="EL452" s="5"/>
      <c r="EM452" s="5"/>
      <c r="EN452" s="5"/>
      <c r="EO452" s="5"/>
      <c r="EP452" s="5"/>
      <c r="EQ452" s="5"/>
      <c r="ER452" s="5"/>
      <c r="ES452" s="5"/>
      <c r="ET452" s="5"/>
      <c r="EU452" s="5"/>
      <c r="EV452" s="5"/>
      <c r="EW452" s="5"/>
      <c r="EX452" s="5"/>
      <c r="EY452" s="5"/>
      <c r="EZ452" s="5"/>
      <c r="FA452" s="5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5"/>
      <c r="CT453" s="5"/>
      <c r="CU453" s="5"/>
      <c r="CV453" s="5"/>
      <c r="CW453" s="5"/>
      <c r="CX453" s="5"/>
      <c r="CY453" s="5"/>
      <c r="CZ453" s="5"/>
      <c r="DA453" s="5"/>
      <c r="DB453" s="5"/>
      <c r="DC453" s="5"/>
      <c r="DD453" s="5"/>
      <c r="DE453" s="5"/>
      <c r="DF453" s="5"/>
      <c r="DG453" s="5"/>
      <c r="DH453" s="5"/>
      <c r="DI453" s="5"/>
      <c r="DJ453" s="5"/>
      <c r="DK453" s="5"/>
      <c r="DL453" s="5"/>
      <c r="DM453" s="5"/>
      <c r="DN453" s="5"/>
      <c r="DO453" s="5"/>
      <c r="DP453" s="5"/>
      <c r="DQ453" s="5"/>
      <c r="DR453" s="5"/>
      <c r="DS453" s="5"/>
      <c r="DT453" s="5"/>
      <c r="DU453" s="5"/>
      <c r="DV453" s="5"/>
      <c r="DW453" s="5"/>
      <c r="DX453" s="5"/>
      <c r="DY453" s="5"/>
      <c r="DZ453" s="5"/>
      <c r="EA453" s="5"/>
      <c r="EB453" s="5"/>
      <c r="EC453" s="5"/>
      <c r="ED453" s="5"/>
      <c r="EE453" s="5"/>
      <c r="EF453" s="5"/>
      <c r="EG453" s="5"/>
      <c r="EH453" s="5"/>
      <c r="EI453" s="5"/>
      <c r="EJ453" s="5"/>
      <c r="EK453" s="5"/>
      <c r="EL453" s="5"/>
      <c r="EM453" s="5"/>
      <c r="EN453" s="5"/>
      <c r="EO453" s="5"/>
      <c r="EP453" s="5"/>
      <c r="EQ453" s="5"/>
      <c r="ER453" s="5"/>
      <c r="ES453" s="5"/>
      <c r="ET453" s="5"/>
      <c r="EU453" s="5"/>
      <c r="EV453" s="5"/>
      <c r="EW453" s="5"/>
      <c r="EX453" s="5"/>
      <c r="EY453" s="5"/>
      <c r="EZ453" s="5"/>
      <c r="FA453" s="5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5"/>
      <c r="CT454" s="5"/>
      <c r="CU454" s="5"/>
      <c r="CV454" s="5"/>
      <c r="CW454" s="5"/>
      <c r="CX454" s="5"/>
      <c r="CY454" s="5"/>
      <c r="CZ454" s="5"/>
      <c r="DA454" s="5"/>
      <c r="DB454" s="5"/>
      <c r="DC454" s="5"/>
      <c r="DD454" s="5"/>
      <c r="DE454" s="5"/>
      <c r="DF454" s="5"/>
      <c r="DG454" s="5"/>
      <c r="DH454" s="5"/>
      <c r="DI454" s="5"/>
      <c r="DJ454" s="5"/>
      <c r="DK454" s="5"/>
      <c r="DL454" s="5"/>
      <c r="DM454" s="5"/>
      <c r="DN454" s="5"/>
      <c r="DO454" s="5"/>
      <c r="DP454" s="5"/>
      <c r="DQ454" s="5"/>
      <c r="DR454" s="5"/>
      <c r="DS454" s="5"/>
      <c r="DT454" s="5"/>
      <c r="DU454" s="5"/>
      <c r="DV454" s="5"/>
      <c r="DW454" s="5"/>
      <c r="DX454" s="5"/>
      <c r="DY454" s="5"/>
      <c r="DZ454" s="5"/>
      <c r="EA454" s="5"/>
      <c r="EB454" s="5"/>
      <c r="EC454" s="5"/>
      <c r="ED454" s="5"/>
      <c r="EE454" s="5"/>
      <c r="EF454" s="5"/>
      <c r="EG454" s="5"/>
      <c r="EH454" s="5"/>
      <c r="EI454" s="5"/>
      <c r="EJ454" s="5"/>
      <c r="EK454" s="5"/>
      <c r="EL454" s="5"/>
      <c r="EM454" s="5"/>
      <c r="EN454" s="5"/>
      <c r="EO454" s="5"/>
      <c r="EP454" s="5"/>
      <c r="EQ454" s="5"/>
      <c r="ER454" s="5"/>
      <c r="ES454" s="5"/>
      <c r="ET454" s="5"/>
      <c r="EU454" s="5"/>
      <c r="EV454" s="5"/>
      <c r="EW454" s="5"/>
      <c r="EX454" s="5"/>
      <c r="EY454" s="5"/>
      <c r="EZ454" s="5"/>
      <c r="FA454" s="5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5"/>
      <c r="CT455" s="5"/>
      <c r="CU455" s="5"/>
      <c r="CV455" s="5"/>
      <c r="CW455" s="5"/>
      <c r="CX455" s="5"/>
      <c r="CY455" s="5"/>
      <c r="CZ455" s="5"/>
      <c r="DA455" s="5"/>
      <c r="DB455" s="5"/>
      <c r="DC455" s="5"/>
      <c r="DD455" s="5"/>
      <c r="DE455" s="5"/>
      <c r="DF455" s="5"/>
      <c r="DG455" s="5"/>
      <c r="DH455" s="5"/>
      <c r="DI455" s="5"/>
      <c r="DJ455" s="5"/>
      <c r="DK455" s="5"/>
      <c r="DL455" s="5"/>
      <c r="DM455" s="5"/>
      <c r="DN455" s="5"/>
      <c r="DO455" s="5"/>
      <c r="DP455" s="5"/>
      <c r="DQ455" s="5"/>
      <c r="DR455" s="5"/>
      <c r="DS455" s="5"/>
      <c r="DT455" s="5"/>
      <c r="DU455" s="5"/>
      <c r="DV455" s="5"/>
      <c r="DW455" s="5"/>
      <c r="DX455" s="5"/>
      <c r="DY455" s="5"/>
      <c r="DZ455" s="5"/>
      <c r="EA455" s="5"/>
      <c r="EB455" s="5"/>
      <c r="EC455" s="5"/>
      <c r="ED455" s="5"/>
      <c r="EE455" s="5"/>
      <c r="EF455" s="5"/>
      <c r="EG455" s="5"/>
      <c r="EH455" s="5"/>
      <c r="EI455" s="5"/>
      <c r="EJ455" s="5"/>
      <c r="EK455" s="5"/>
      <c r="EL455" s="5"/>
      <c r="EM455" s="5"/>
      <c r="EN455" s="5"/>
      <c r="EO455" s="5"/>
      <c r="EP455" s="5"/>
      <c r="EQ455" s="5"/>
      <c r="ER455" s="5"/>
      <c r="ES455" s="5"/>
      <c r="ET455" s="5"/>
      <c r="EU455" s="5"/>
      <c r="EV455" s="5"/>
      <c r="EW455" s="5"/>
      <c r="EX455" s="5"/>
      <c r="EY455" s="5"/>
      <c r="EZ455" s="5"/>
      <c r="FA455" s="5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5"/>
      <c r="CT456" s="5"/>
      <c r="CU456" s="5"/>
      <c r="CV456" s="5"/>
      <c r="CW456" s="5"/>
      <c r="CX456" s="5"/>
      <c r="CY456" s="5"/>
      <c r="CZ456" s="5"/>
      <c r="DA456" s="5"/>
      <c r="DB456" s="5"/>
      <c r="DC456" s="5"/>
      <c r="DD456" s="5"/>
      <c r="DE456" s="5"/>
      <c r="DF456" s="5"/>
      <c r="DG456" s="5"/>
      <c r="DH456" s="5"/>
      <c r="DI456" s="5"/>
      <c r="DJ456" s="5"/>
      <c r="DK456" s="5"/>
      <c r="DL456" s="5"/>
      <c r="DM456" s="5"/>
      <c r="DN456" s="5"/>
      <c r="DO456" s="5"/>
      <c r="DP456" s="5"/>
      <c r="DQ456" s="5"/>
      <c r="DR456" s="5"/>
      <c r="DS456" s="5"/>
      <c r="DT456" s="5"/>
      <c r="DU456" s="5"/>
      <c r="DV456" s="5"/>
      <c r="DW456" s="5"/>
      <c r="DX456" s="5"/>
      <c r="DY456" s="5"/>
      <c r="DZ456" s="5"/>
      <c r="EA456" s="5"/>
      <c r="EB456" s="5"/>
      <c r="EC456" s="5"/>
      <c r="ED456" s="5"/>
      <c r="EE456" s="5"/>
      <c r="EF456" s="5"/>
      <c r="EG456" s="5"/>
      <c r="EH456" s="5"/>
      <c r="EI456" s="5"/>
      <c r="EJ456" s="5"/>
      <c r="EK456" s="5"/>
      <c r="EL456" s="5"/>
      <c r="EM456" s="5"/>
      <c r="EN456" s="5"/>
      <c r="EO456" s="5"/>
      <c r="EP456" s="5"/>
      <c r="EQ456" s="5"/>
      <c r="ER456" s="5"/>
      <c r="ES456" s="5"/>
      <c r="ET456" s="5"/>
      <c r="EU456" s="5"/>
      <c r="EV456" s="5"/>
      <c r="EW456" s="5"/>
      <c r="EX456" s="5"/>
      <c r="EY456" s="5"/>
      <c r="EZ456" s="5"/>
      <c r="FA456" s="5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5"/>
      <c r="CT457" s="5"/>
      <c r="CU457" s="5"/>
      <c r="CV457" s="5"/>
      <c r="CW457" s="5"/>
      <c r="CX457" s="5"/>
      <c r="CY457" s="5"/>
      <c r="CZ457" s="5"/>
      <c r="DA457" s="5"/>
      <c r="DB457" s="5"/>
      <c r="DC457" s="5"/>
      <c r="DD457" s="5"/>
      <c r="DE457" s="5"/>
      <c r="DF457" s="5"/>
      <c r="DG457" s="5"/>
      <c r="DH457" s="5"/>
      <c r="DI457" s="5"/>
      <c r="DJ457" s="5"/>
      <c r="DK457" s="5"/>
      <c r="DL457" s="5"/>
      <c r="DM457" s="5"/>
      <c r="DN457" s="5"/>
      <c r="DO457" s="5"/>
      <c r="DP457" s="5"/>
      <c r="DQ457" s="5"/>
      <c r="DR457" s="5"/>
      <c r="DS457" s="5"/>
      <c r="DT457" s="5"/>
      <c r="DU457" s="5"/>
      <c r="DV457" s="5"/>
      <c r="DW457" s="5"/>
      <c r="DX457" s="5"/>
      <c r="DY457" s="5"/>
      <c r="DZ457" s="5"/>
      <c r="EA457" s="5"/>
      <c r="EB457" s="5"/>
      <c r="EC457" s="5"/>
      <c r="ED457" s="5"/>
      <c r="EE457" s="5"/>
      <c r="EF457" s="5"/>
      <c r="EG457" s="5"/>
      <c r="EH457" s="5"/>
      <c r="EI457" s="5"/>
      <c r="EJ457" s="5"/>
      <c r="EK457" s="5"/>
      <c r="EL457" s="5"/>
      <c r="EM457" s="5"/>
      <c r="EN457" s="5"/>
      <c r="EO457" s="5"/>
      <c r="EP457" s="5"/>
      <c r="EQ457" s="5"/>
      <c r="ER457" s="5"/>
      <c r="ES457" s="5"/>
      <c r="ET457" s="5"/>
      <c r="EU457" s="5"/>
      <c r="EV457" s="5"/>
      <c r="EW457" s="5"/>
      <c r="EX457" s="5"/>
      <c r="EY457" s="5"/>
      <c r="EZ457" s="5"/>
      <c r="FA457" s="5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5"/>
      <c r="CT458" s="5"/>
      <c r="CU458" s="5"/>
      <c r="CV458" s="5"/>
      <c r="CW458" s="5"/>
      <c r="CX458" s="5"/>
      <c r="CY458" s="5"/>
      <c r="CZ458" s="5"/>
      <c r="DA458" s="5"/>
      <c r="DB458" s="5"/>
      <c r="DC458" s="5"/>
      <c r="DD458" s="5"/>
      <c r="DE458" s="5"/>
      <c r="DF458" s="5"/>
      <c r="DG458" s="5"/>
      <c r="DH458" s="5"/>
      <c r="DI458" s="5"/>
      <c r="DJ458" s="5"/>
      <c r="DK458" s="5"/>
      <c r="DL458" s="5"/>
      <c r="DM458" s="5"/>
      <c r="DN458" s="5"/>
      <c r="DO458" s="5"/>
      <c r="DP458" s="5"/>
      <c r="DQ458" s="5"/>
      <c r="DR458" s="5"/>
      <c r="DS458" s="5"/>
      <c r="DT458" s="5"/>
      <c r="DU458" s="5"/>
      <c r="DV458" s="5"/>
      <c r="DW458" s="5"/>
      <c r="DX458" s="5"/>
      <c r="DY458" s="5"/>
      <c r="DZ458" s="5"/>
      <c r="EA458" s="5"/>
      <c r="EB458" s="5"/>
      <c r="EC458" s="5"/>
      <c r="ED458" s="5"/>
      <c r="EE458" s="5"/>
      <c r="EF458" s="5"/>
      <c r="EG458" s="5"/>
      <c r="EH458" s="5"/>
      <c r="EI458" s="5"/>
      <c r="EJ458" s="5"/>
      <c r="EK458" s="5"/>
      <c r="EL458" s="5"/>
      <c r="EM458" s="5"/>
      <c r="EN458" s="5"/>
      <c r="EO458" s="5"/>
      <c r="EP458" s="5"/>
      <c r="EQ458" s="5"/>
      <c r="ER458" s="5"/>
      <c r="ES458" s="5"/>
      <c r="ET458" s="5"/>
      <c r="EU458" s="5"/>
      <c r="EV458" s="5"/>
      <c r="EW458" s="5"/>
      <c r="EX458" s="5"/>
      <c r="EY458" s="5"/>
      <c r="EZ458" s="5"/>
      <c r="FA458" s="5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5"/>
      <c r="CT459" s="5"/>
      <c r="CU459" s="5"/>
      <c r="CV459" s="5"/>
      <c r="CW459" s="5"/>
      <c r="CX459" s="5"/>
      <c r="CY459" s="5"/>
      <c r="CZ459" s="5"/>
      <c r="DA459" s="5"/>
      <c r="DB459" s="5"/>
      <c r="DC459" s="5"/>
      <c r="DD459" s="5"/>
      <c r="DE459" s="5"/>
      <c r="DF459" s="5"/>
      <c r="DG459" s="5"/>
      <c r="DH459" s="5"/>
      <c r="DI459" s="5"/>
      <c r="DJ459" s="5"/>
      <c r="DK459" s="5"/>
      <c r="DL459" s="5"/>
      <c r="DM459" s="5"/>
      <c r="DN459" s="5"/>
      <c r="DO459" s="5"/>
      <c r="DP459" s="5"/>
      <c r="DQ459" s="5"/>
      <c r="DR459" s="5"/>
      <c r="DS459" s="5"/>
      <c r="DT459" s="5"/>
      <c r="DU459" s="5"/>
      <c r="DV459" s="5"/>
      <c r="DW459" s="5"/>
      <c r="DX459" s="5"/>
      <c r="DY459" s="5"/>
      <c r="DZ459" s="5"/>
      <c r="EA459" s="5"/>
      <c r="EB459" s="5"/>
      <c r="EC459" s="5"/>
      <c r="ED459" s="5"/>
      <c r="EE459" s="5"/>
      <c r="EF459" s="5"/>
      <c r="EG459" s="5"/>
      <c r="EH459" s="5"/>
      <c r="EI459" s="5"/>
      <c r="EJ459" s="5"/>
      <c r="EK459" s="5"/>
      <c r="EL459" s="5"/>
      <c r="EM459" s="5"/>
      <c r="EN459" s="5"/>
      <c r="EO459" s="5"/>
      <c r="EP459" s="5"/>
      <c r="EQ459" s="5"/>
      <c r="ER459" s="5"/>
      <c r="ES459" s="5"/>
      <c r="ET459" s="5"/>
      <c r="EU459" s="5"/>
      <c r="EV459" s="5"/>
      <c r="EW459" s="5"/>
      <c r="EX459" s="5"/>
      <c r="EY459" s="5"/>
      <c r="EZ459" s="5"/>
      <c r="FA459" s="5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5"/>
      <c r="CT460" s="5"/>
      <c r="CU460" s="5"/>
      <c r="CV460" s="5"/>
      <c r="CW460" s="5"/>
      <c r="CX460" s="5"/>
      <c r="CY460" s="5"/>
      <c r="CZ460" s="5"/>
      <c r="DA460" s="5"/>
      <c r="DB460" s="5"/>
      <c r="DC460" s="5"/>
      <c r="DD460" s="5"/>
      <c r="DE460" s="5"/>
      <c r="DF460" s="5"/>
      <c r="DG460" s="5"/>
      <c r="DH460" s="5"/>
      <c r="DI460" s="5"/>
      <c r="DJ460" s="5"/>
      <c r="DK460" s="5"/>
      <c r="DL460" s="5"/>
      <c r="DM460" s="5"/>
      <c r="DN460" s="5"/>
      <c r="DO460" s="5"/>
      <c r="DP460" s="5"/>
      <c r="DQ460" s="5"/>
      <c r="DR460" s="5"/>
      <c r="DS460" s="5"/>
      <c r="DT460" s="5"/>
      <c r="DU460" s="5"/>
      <c r="DV460" s="5"/>
      <c r="DW460" s="5"/>
      <c r="DX460" s="5"/>
      <c r="DY460" s="5"/>
      <c r="DZ460" s="5"/>
      <c r="EA460" s="5"/>
      <c r="EB460" s="5"/>
      <c r="EC460" s="5"/>
      <c r="ED460" s="5"/>
      <c r="EE460" s="5"/>
      <c r="EF460" s="5"/>
      <c r="EG460" s="5"/>
      <c r="EH460" s="5"/>
      <c r="EI460" s="5"/>
      <c r="EJ460" s="5"/>
      <c r="EK460" s="5"/>
      <c r="EL460" s="5"/>
      <c r="EM460" s="5"/>
      <c r="EN460" s="5"/>
      <c r="EO460" s="5"/>
      <c r="EP460" s="5"/>
      <c r="EQ460" s="5"/>
      <c r="ER460" s="5"/>
      <c r="ES460" s="5"/>
      <c r="ET460" s="5"/>
      <c r="EU460" s="5"/>
      <c r="EV460" s="5"/>
      <c r="EW460" s="5"/>
      <c r="EX460" s="5"/>
      <c r="EY460" s="5"/>
      <c r="EZ460" s="5"/>
      <c r="FA460" s="5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5"/>
      <c r="CT462" s="5"/>
      <c r="CU462" s="5"/>
      <c r="CV462" s="5"/>
      <c r="CW462" s="5"/>
      <c r="CX462" s="5"/>
      <c r="CY462" s="5"/>
      <c r="CZ462" s="5"/>
      <c r="DA462" s="5"/>
      <c r="DB462" s="5"/>
      <c r="DC462" s="5"/>
      <c r="DD462" s="5"/>
      <c r="DE462" s="5"/>
      <c r="DF462" s="5"/>
      <c r="DG462" s="5"/>
      <c r="DH462" s="5"/>
      <c r="DI462" s="5"/>
      <c r="DJ462" s="5"/>
      <c r="DK462" s="5"/>
      <c r="DL462" s="5"/>
      <c r="DM462" s="5"/>
      <c r="DN462" s="5"/>
      <c r="DO462" s="5"/>
      <c r="DP462" s="5"/>
      <c r="DQ462" s="5"/>
      <c r="DR462" s="5"/>
      <c r="DS462" s="5"/>
      <c r="DT462" s="5"/>
      <c r="DU462" s="5"/>
      <c r="DV462" s="5"/>
      <c r="DW462" s="5"/>
      <c r="DX462" s="5"/>
      <c r="DY462" s="5"/>
      <c r="DZ462" s="5"/>
      <c r="EA462" s="5"/>
      <c r="EB462" s="5"/>
      <c r="EC462" s="5"/>
      <c r="ED462" s="5"/>
      <c r="EE462" s="5"/>
      <c r="EF462" s="5"/>
      <c r="EG462" s="5"/>
      <c r="EH462" s="5"/>
      <c r="EI462" s="5"/>
      <c r="EJ462" s="5"/>
      <c r="EK462" s="5"/>
      <c r="EL462" s="5"/>
      <c r="EM462" s="5"/>
      <c r="EN462" s="5"/>
      <c r="EO462" s="5"/>
      <c r="EP462" s="5"/>
      <c r="EQ462" s="5"/>
      <c r="ER462" s="5"/>
      <c r="ES462" s="5"/>
      <c r="ET462" s="5"/>
      <c r="EU462" s="5"/>
      <c r="EV462" s="5"/>
      <c r="EW462" s="5"/>
      <c r="EX462" s="5"/>
      <c r="EY462" s="5"/>
      <c r="EZ462" s="5"/>
      <c r="FA462" s="5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5"/>
      <c r="CT463" s="5"/>
      <c r="CU463" s="5"/>
      <c r="CV463" s="5"/>
      <c r="CW463" s="5"/>
      <c r="CX463" s="5"/>
      <c r="CY463" s="5"/>
      <c r="CZ463" s="5"/>
      <c r="DA463" s="5"/>
      <c r="DB463" s="5"/>
      <c r="DC463" s="5"/>
      <c r="DD463" s="5"/>
      <c r="DE463" s="5"/>
      <c r="DF463" s="5"/>
      <c r="DG463" s="5"/>
      <c r="DH463" s="5"/>
      <c r="DI463" s="5"/>
      <c r="DJ463" s="5"/>
      <c r="DK463" s="5"/>
      <c r="DL463" s="5"/>
      <c r="DM463" s="5"/>
      <c r="DN463" s="5"/>
      <c r="DO463" s="5"/>
      <c r="DP463" s="5"/>
      <c r="DQ463" s="5"/>
      <c r="DR463" s="5"/>
      <c r="DS463" s="5"/>
      <c r="DT463" s="5"/>
      <c r="DU463" s="5"/>
      <c r="DV463" s="5"/>
      <c r="DW463" s="5"/>
      <c r="DX463" s="5"/>
      <c r="DY463" s="5"/>
      <c r="DZ463" s="5"/>
      <c r="EA463" s="5"/>
      <c r="EB463" s="5"/>
      <c r="EC463" s="5"/>
      <c r="ED463" s="5"/>
      <c r="EE463" s="5"/>
      <c r="EF463" s="5"/>
      <c r="EG463" s="5"/>
      <c r="EH463" s="5"/>
      <c r="EI463" s="5"/>
      <c r="EJ463" s="5"/>
      <c r="EK463" s="5"/>
      <c r="EL463" s="5"/>
      <c r="EM463" s="5"/>
      <c r="EN463" s="5"/>
      <c r="EO463" s="5"/>
      <c r="EP463" s="5"/>
      <c r="EQ463" s="5"/>
      <c r="ER463" s="5"/>
      <c r="ES463" s="5"/>
      <c r="ET463" s="5"/>
      <c r="EU463" s="5"/>
      <c r="EV463" s="5"/>
      <c r="EW463" s="5"/>
      <c r="EX463" s="5"/>
      <c r="EY463" s="5"/>
      <c r="EZ463" s="5"/>
      <c r="FA463" s="5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5"/>
      <c r="CT464" s="5"/>
      <c r="CU464" s="5"/>
      <c r="CV464" s="5"/>
      <c r="CW464" s="5"/>
      <c r="CX464" s="5"/>
      <c r="CY464" s="5"/>
      <c r="CZ464" s="5"/>
      <c r="DA464" s="5"/>
      <c r="DB464" s="5"/>
      <c r="DC464" s="5"/>
      <c r="DD464" s="5"/>
      <c r="DE464" s="5"/>
      <c r="DF464" s="5"/>
      <c r="DG464" s="5"/>
      <c r="DH464" s="5"/>
      <c r="DI464" s="5"/>
      <c r="DJ464" s="5"/>
      <c r="DK464" s="5"/>
      <c r="DL464" s="5"/>
      <c r="DM464" s="5"/>
      <c r="DN464" s="5"/>
      <c r="DO464" s="5"/>
      <c r="DP464" s="5"/>
      <c r="DQ464" s="5"/>
      <c r="DR464" s="5"/>
      <c r="DS464" s="5"/>
      <c r="DT464" s="5"/>
      <c r="DU464" s="5"/>
      <c r="DV464" s="5"/>
      <c r="DW464" s="5"/>
      <c r="DX464" s="5"/>
      <c r="DY464" s="5"/>
      <c r="DZ464" s="5"/>
      <c r="EA464" s="5"/>
      <c r="EB464" s="5"/>
      <c r="EC464" s="5"/>
      <c r="ED464" s="5"/>
      <c r="EE464" s="5"/>
      <c r="EF464" s="5"/>
      <c r="EG464" s="5"/>
      <c r="EH464" s="5"/>
      <c r="EI464" s="5"/>
      <c r="EJ464" s="5"/>
      <c r="EK464" s="5"/>
      <c r="EL464" s="5"/>
      <c r="EM464" s="5"/>
      <c r="EN464" s="5"/>
      <c r="EO464" s="5"/>
      <c r="EP464" s="5"/>
      <c r="EQ464" s="5"/>
      <c r="ER464" s="5"/>
      <c r="ES464" s="5"/>
      <c r="ET464" s="5"/>
      <c r="EU464" s="5"/>
      <c r="EV464" s="5"/>
      <c r="EW464" s="5"/>
      <c r="EX464" s="5"/>
      <c r="EY464" s="5"/>
      <c r="EZ464" s="5"/>
      <c r="FA464" s="5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5"/>
      <c r="CT465" s="5"/>
      <c r="CU465" s="5"/>
      <c r="CV465" s="5"/>
      <c r="CW465" s="5"/>
      <c r="CX465" s="5"/>
      <c r="CY465" s="5"/>
      <c r="CZ465" s="5"/>
      <c r="DA465" s="5"/>
      <c r="DB465" s="5"/>
      <c r="DC465" s="5"/>
      <c r="DD465" s="5"/>
      <c r="DE465" s="5"/>
      <c r="DF465" s="5"/>
      <c r="DG465" s="5"/>
      <c r="DH465" s="5"/>
      <c r="DI465" s="5"/>
      <c r="DJ465" s="5"/>
      <c r="DK465" s="5"/>
      <c r="DL465" s="5"/>
      <c r="DM465" s="5"/>
      <c r="DN465" s="5"/>
      <c r="DO465" s="5"/>
      <c r="DP465" s="5"/>
      <c r="DQ465" s="5"/>
      <c r="DR465" s="5"/>
      <c r="DS465" s="5"/>
      <c r="DT465" s="5"/>
      <c r="DU465" s="5"/>
      <c r="DV465" s="5"/>
      <c r="DW465" s="5"/>
      <c r="DX465" s="5"/>
      <c r="DY465" s="5"/>
      <c r="DZ465" s="5"/>
      <c r="EA465" s="5"/>
      <c r="EB465" s="5"/>
      <c r="EC465" s="5"/>
      <c r="ED465" s="5"/>
      <c r="EE465" s="5"/>
      <c r="EF465" s="5"/>
      <c r="EG465" s="5"/>
      <c r="EH465" s="5"/>
      <c r="EI465" s="5"/>
      <c r="EJ465" s="5"/>
      <c r="EK465" s="5"/>
      <c r="EL465" s="5"/>
      <c r="EM465" s="5"/>
      <c r="EN465" s="5"/>
      <c r="EO465" s="5"/>
      <c r="EP465" s="5"/>
      <c r="EQ465" s="5"/>
      <c r="ER465" s="5"/>
      <c r="ES465" s="5"/>
      <c r="ET465" s="5"/>
      <c r="EU465" s="5"/>
      <c r="EV465" s="5"/>
      <c r="EW465" s="5"/>
      <c r="EX465" s="5"/>
      <c r="EY465" s="5"/>
      <c r="EZ465" s="5"/>
      <c r="FA465" s="5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5"/>
      <c r="CT466" s="5"/>
      <c r="CU466" s="5"/>
      <c r="CV466" s="5"/>
      <c r="CW466" s="5"/>
      <c r="CX466" s="5"/>
      <c r="CY466" s="5"/>
      <c r="CZ466" s="5"/>
      <c r="DA466" s="5"/>
      <c r="DB466" s="5"/>
      <c r="DC466" s="5"/>
      <c r="DD466" s="5"/>
      <c r="DE466" s="5"/>
      <c r="DF466" s="5"/>
      <c r="DG466" s="5"/>
      <c r="DH466" s="5"/>
      <c r="DI466" s="5"/>
      <c r="DJ466" s="5"/>
      <c r="DK466" s="5"/>
      <c r="DL466" s="5"/>
      <c r="DM466" s="5"/>
      <c r="DN466" s="5"/>
      <c r="DO466" s="5"/>
      <c r="DP466" s="5"/>
      <c r="DQ466" s="5"/>
      <c r="DR466" s="5"/>
      <c r="DS466" s="5"/>
      <c r="DT466" s="5"/>
      <c r="DU466" s="5"/>
      <c r="DV466" s="5"/>
      <c r="DW466" s="5"/>
      <c r="DX466" s="5"/>
      <c r="DY466" s="5"/>
      <c r="DZ466" s="5"/>
      <c r="EA466" s="5"/>
      <c r="EB466" s="5"/>
      <c r="EC466" s="5"/>
      <c r="ED466" s="5"/>
      <c r="EE466" s="5"/>
      <c r="EF466" s="5"/>
      <c r="EG466" s="5"/>
      <c r="EH466" s="5"/>
      <c r="EI466" s="5"/>
      <c r="EJ466" s="5"/>
      <c r="EK466" s="5"/>
      <c r="EL466" s="5"/>
      <c r="EM466" s="5"/>
      <c r="EN466" s="5"/>
      <c r="EO466" s="5"/>
      <c r="EP466" s="5"/>
      <c r="EQ466" s="5"/>
      <c r="ER466" s="5"/>
      <c r="ES466" s="5"/>
      <c r="ET466" s="5"/>
      <c r="EU466" s="5"/>
      <c r="EV466" s="5"/>
      <c r="EW466" s="5"/>
      <c r="EX466" s="5"/>
      <c r="EY466" s="5"/>
      <c r="EZ466" s="5"/>
      <c r="FA466" s="5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5"/>
      <c r="CT467" s="5"/>
      <c r="CU467" s="5"/>
      <c r="CV467" s="5"/>
      <c r="CW467" s="5"/>
      <c r="CX467" s="5"/>
      <c r="CY467" s="5"/>
      <c r="CZ467" s="5"/>
      <c r="DA467" s="5"/>
      <c r="DB467" s="5"/>
      <c r="DC467" s="5"/>
      <c r="DD467" s="5"/>
      <c r="DE467" s="5"/>
      <c r="DF467" s="5"/>
      <c r="DG467" s="5"/>
      <c r="DH467" s="5"/>
      <c r="DI467" s="5"/>
      <c r="DJ467" s="5"/>
      <c r="DK467" s="5"/>
      <c r="DL467" s="5"/>
      <c r="DM467" s="5"/>
      <c r="DN467" s="5"/>
      <c r="DO467" s="5"/>
      <c r="DP467" s="5"/>
      <c r="DQ467" s="5"/>
      <c r="DR467" s="5"/>
      <c r="DS467" s="5"/>
      <c r="DT467" s="5"/>
      <c r="DU467" s="5"/>
      <c r="DV467" s="5"/>
      <c r="DW467" s="5"/>
      <c r="DX467" s="5"/>
      <c r="DY467" s="5"/>
      <c r="DZ467" s="5"/>
      <c r="EA467" s="5"/>
      <c r="EB467" s="5"/>
      <c r="EC467" s="5"/>
      <c r="ED467" s="5"/>
      <c r="EE467" s="5"/>
      <c r="EF467" s="5"/>
      <c r="EG467" s="5"/>
      <c r="EH467" s="5"/>
      <c r="EI467" s="5"/>
      <c r="EJ467" s="5"/>
      <c r="EK467" s="5"/>
      <c r="EL467" s="5"/>
      <c r="EM467" s="5"/>
      <c r="EN467" s="5"/>
      <c r="EO467" s="5"/>
      <c r="EP467" s="5"/>
      <c r="EQ467" s="5"/>
      <c r="ER467" s="5"/>
      <c r="ES467" s="5"/>
      <c r="ET467" s="5"/>
      <c r="EU467" s="5"/>
      <c r="EV467" s="5"/>
      <c r="EW467" s="5"/>
      <c r="EX467" s="5"/>
      <c r="EY467" s="5"/>
      <c r="EZ467" s="5"/>
      <c r="FA467" s="5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5"/>
      <c r="CT468" s="5"/>
      <c r="CU468" s="5"/>
      <c r="CV468" s="5"/>
      <c r="CW468" s="5"/>
      <c r="CX468" s="5"/>
      <c r="CY468" s="5"/>
      <c r="CZ468" s="5"/>
      <c r="DA468" s="5"/>
      <c r="DB468" s="5"/>
      <c r="DC468" s="5"/>
      <c r="DD468" s="5"/>
      <c r="DE468" s="5"/>
      <c r="DF468" s="5"/>
      <c r="DG468" s="5"/>
      <c r="DH468" s="5"/>
      <c r="DI468" s="5"/>
      <c r="DJ468" s="5"/>
      <c r="DK468" s="5"/>
      <c r="DL468" s="5"/>
      <c r="DM468" s="5"/>
      <c r="DN468" s="5"/>
      <c r="DO468" s="5"/>
      <c r="DP468" s="5"/>
      <c r="DQ468" s="5"/>
      <c r="DR468" s="5"/>
      <c r="DS468" s="5"/>
      <c r="DT468" s="5"/>
      <c r="DU468" s="5"/>
      <c r="DV468" s="5"/>
      <c r="DW468" s="5"/>
      <c r="DX468" s="5"/>
      <c r="DY468" s="5"/>
      <c r="DZ468" s="5"/>
      <c r="EA468" s="5"/>
      <c r="EB468" s="5"/>
      <c r="EC468" s="5"/>
      <c r="ED468" s="5"/>
      <c r="EE468" s="5"/>
      <c r="EF468" s="5"/>
      <c r="EG468" s="5"/>
      <c r="EH468" s="5"/>
      <c r="EI468" s="5"/>
      <c r="EJ468" s="5"/>
      <c r="EK468" s="5"/>
      <c r="EL468" s="5"/>
      <c r="EM468" s="5"/>
      <c r="EN468" s="5"/>
      <c r="EO468" s="5"/>
      <c r="EP468" s="5"/>
      <c r="EQ468" s="5"/>
      <c r="ER468" s="5"/>
      <c r="ES468" s="5"/>
      <c r="ET468" s="5"/>
      <c r="EU468" s="5"/>
      <c r="EV468" s="5"/>
      <c r="EW468" s="5"/>
      <c r="EX468" s="5"/>
      <c r="EY468" s="5"/>
      <c r="EZ468" s="5"/>
      <c r="FA468" s="5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5"/>
      <c r="CT470" s="5"/>
      <c r="CU470" s="5"/>
      <c r="CV470" s="5"/>
      <c r="CW470" s="5"/>
      <c r="CX470" s="5"/>
      <c r="CY470" s="5"/>
      <c r="CZ470" s="5"/>
      <c r="DA470" s="5"/>
      <c r="DB470" s="5"/>
      <c r="DC470" s="5"/>
      <c r="DD470" s="5"/>
      <c r="DE470" s="5"/>
      <c r="DF470" s="5"/>
      <c r="DG470" s="5"/>
      <c r="DH470" s="5"/>
      <c r="DI470" s="5"/>
      <c r="DJ470" s="5"/>
      <c r="DK470" s="5"/>
      <c r="DL470" s="5"/>
      <c r="DM470" s="5"/>
      <c r="DN470" s="5"/>
      <c r="DO470" s="5"/>
      <c r="DP470" s="5"/>
      <c r="DQ470" s="5"/>
      <c r="DR470" s="5"/>
      <c r="DS470" s="5"/>
      <c r="DT470" s="5"/>
      <c r="DU470" s="5"/>
      <c r="DV470" s="5"/>
      <c r="DW470" s="5"/>
      <c r="DX470" s="5"/>
      <c r="DY470" s="5"/>
      <c r="DZ470" s="5"/>
      <c r="EA470" s="5"/>
      <c r="EB470" s="5"/>
      <c r="EC470" s="5"/>
      <c r="ED470" s="5"/>
      <c r="EE470" s="5"/>
      <c r="EF470" s="5"/>
      <c r="EG470" s="5"/>
      <c r="EH470" s="5"/>
      <c r="EI470" s="5"/>
      <c r="EJ470" s="5"/>
      <c r="EK470" s="5"/>
      <c r="EL470" s="5"/>
      <c r="EM470" s="5"/>
      <c r="EN470" s="5"/>
      <c r="EO470" s="5"/>
      <c r="EP470" s="5"/>
      <c r="EQ470" s="5"/>
      <c r="ER470" s="5"/>
      <c r="ES470" s="5"/>
      <c r="ET470" s="5"/>
      <c r="EU470" s="5"/>
      <c r="EV470" s="5"/>
      <c r="EW470" s="5"/>
      <c r="EX470" s="5"/>
      <c r="EY470" s="5"/>
      <c r="EZ470" s="5"/>
      <c r="FA470" s="5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5"/>
      <c r="CT471" s="5"/>
      <c r="CU471" s="5"/>
      <c r="CV471" s="5"/>
      <c r="CW471" s="5"/>
      <c r="CX471" s="5"/>
      <c r="CY471" s="5"/>
      <c r="CZ471" s="5"/>
      <c r="DA471" s="5"/>
      <c r="DB471" s="5"/>
      <c r="DC471" s="5"/>
      <c r="DD471" s="5"/>
      <c r="DE471" s="5"/>
      <c r="DF471" s="5"/>
      <c r="DG471" s="5"/>
      <c r="DH471" s="5"/>
      <c r="DI471" s="5"/>
      <c r="DJ471" s="5"/>
      <c r="DK471" s="5"/>
      <c r="DL471" s="5"/>
      <c r="DM471" s="5"/>
      <c r="DN471" s="5"/>
      <c r="DO471" s="5"/>
      <c r="DP471" s="5"/>
      <c r="DQ471" s="5"/>
      <c r="DR471" s="5"/>
      <c r="DS471" s="5"/>
      <c r="DT471" s="5"/>
      <c r="DU471" s="5"/>
      <c r="DV471" s="5"/>
      <c r="DW471" s="5"/>
      <c r="DX471" s="5"/>
      <c r="DY471" s="5"/>
      <c r="DZ471" s="5"/>
      <c r="EA471" s="5"/>
      <c r="EB471" s="5"/>
      <c r="EC471" s="5"/>
      <c r="ED471" s="5"/>
      <c r="EE471" s="5"/>
      <c r="EF471" s="5"/>
      <c r="EG471" s="5"/>
      <c r="EH471" s="5"/>
      <c r="EI471" s="5"/>
      <c r="EJ471" s="5"/>
      <c r="EK471" s="5"/>
      <c r="EL471" s="5"/>
      <c r="EM471" s="5"/>
      <c r="EN471" s="5"/>
      <c r="EO471" s="5"/>
      <c r="EP471" s="5"/>
      <c r="EQ471" s="5"/>
      <c r="ER471" s="5"/>
      <c r="ES471" s="5"/>
      <c r="ET471" s="5"/>
      <c r="EU471" s="5"/>
      <c r="EV471" s="5"/>
      <c r="EW471" s="5"/>
      <c r="EX471" s="5"/>
      <c r="EY471" s="5"/>
      <c r="EZ471" s="5"/>
      <c r="FA471" s="5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5"/>
      <c r="CT472" s="5"/>
      <c r="CU472" s="5"/>
      <c r="CV472" s="5"/>
      <c r="CW472" s="5"/>
      <c r="CX472" s="5"/>
      <c r="CY472" s="5"/>
      <c r="CZ472" s="5"/>
      <c r="DA472" s="5"/>
      <c r="DB472" s="5"/>
      <c r="DC472" s="5"/>
      <c r="DD472" s="5"/>
      <c r="DE472" s="5"/>
      <c r="DF472" s="5"/>
      <c r="DG472" s="5"/>
      <c r="DH472" s="5"/>
      <c r="DI472" s="5"/>
      <c r="DJ472" s="5"/>
      <c r="DK472" s="5"/>
      <c r="DL472" s="5"/>
      <c r="DM472" s="5"/>
      <c r="DN472" s="5"/>
      <c r="DO472" s="5"/>
      <c r="DP472" s="5"/>
      <c r="DQ472" s="5"/>
      <c r="DR472" s="5"/>
      <c r="DS472" s="5"/>
      <c r="DT472" s="5"/>
      <c r="DU472" s="5"/>
      <c r="DV472" s="5"/>
      <c r="DW472" s="5"/>
      <c r="DX472" s="5"/>
      <c r="DY472" s="5"/>
      <c r="DZ472" s="5"/>
      <c r="EA472" s="5"/>
      <c r="EB472" s="5"/>
      <c r="EC472" s="5"/>
      <c r="ED472" s="5"/>
      <c r="EE472" s="5"/>
      <c r="EF472" s="5"/>
      <c r="EG472" s="5"/>
      <c r="EH472" s="5"/>
      <c r="EI472" s="5"/>
      <c r="EJ472" s="5"/>
      <c r="EK472" s="5"/>
      <c r="EL472" s="5"/>
      <c r="EM472" s="5"/>
      <c r="EN472" s="5"/>
      <c r="EO472" s="5"/>
      <c r="EP472" s="5"/>
      <c r="EQ472" s="5"/>
      <c r="ER472" s="5"/>
      <c r="ES472" s="5"/>
      <c r="ET472" s="5"/>
      <c r="EU472" s="5"/>
      <c r="EV472" s="5"/>
      <c r="EW472" s="5"/>
      <c r="EX472" s="5"/>
      <c r="EY472" s="5"/>
      <c r="EZ472" s="5"/>
      <c r="FA472" s="5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5"/>
      <c r="CT474" s="5"/>
      <c r="CU474" s="5"/>
      <c r="CV474" s="5"/>
      <c r="CW474" s="5"/>
      <c r="CX474" s="5"/>
      <c r="CY474" s="5"/>
      <c r="CZ474" s="5"/>
      <c r="DA474" s="5"/>
      <c r="DB474" s="5"/>
      <c r="DC474" s="5"/>
      <c r="DD474" s="5"/>
      <c r="DE474" s="5"/>
      <c r="DF474" s="5"/>
      <c r="DG474" s="5"/>
      <c r="DH474" s="5"/>
      <c r="DI474" s="5"/>
      <c r="DJ474" s="5"/>
      <c r="DK474" s="5"/>
      <c r="DL474" s="5"/>
      <c r="DM474" s="5"/>
      <c r="DN474" s="5"/>
      <c r="DO474" s="5"/>
      <c r="DP474" s="5"/>
      <c r="DQ474" s="5"/>
      <c r="DR474" s="5"/>
      <c r="DS474" s="5"/>
      <c r="DT474" s="5"/>
      <c r="DU474" s="5"/>
      <c r="DV474" s="5"/>
      <c r="DW474" s="5"/>
      <c r="DX474" s="5"/>
      <c r="DY474" s="5"/>
      <c r="DZ474" s="5"/>
      <c r="EA474" s="5"/>
      <c r="EB474" s="5"/>
      <c r="EC474" s="5"/>
      <c r="ED474" s="5"/>
      <c r="EE474" s="5"/>
      <c r="EF474" s="5"/>
      <c r="EG474" s="5"/>
      <c r="EH474" s="5"/>
      <c r="EI474" s="5"/>
      <c r="EJ474" s="5"/>
      <c r="EK474" s="5"/>
      <c r="EL474" s="5"/>
      <c r="EM474" s="5"/>
      <c r="EN474" s="5"/>
      <c r="EO474" s="5"/>
      <c r="EP474" s="5"/>
      <c r="EQ474" s="5"/>
      <c r="ER474" s="5"/>
      <c r="ES474" s="5"/>
      <c r="ET474" s="5"/>
      <c r="EU474" s="5"/>
      <c r="EV474" s="5"/>
      <c r="EW474" s="5"/>
      <c r="EX474" s="5"/>
      <c r="EY474" s="5"/>
      <c r="EZ474" s="5"/>
      <c r="FA474" s="5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5"/>
      <c r="CT475" s="5"/>
      <c r="CU475" s="5"/>
      <c r="CV475" s="5"/>
      <c r="CW475" s="5"/>
      <c r="CX475" s="5"/>
      <c r="CY475" s="5"/>
      <c r="CZ475" s="5"/>
      <c r="DA475" s="5"/>
      <c r="DB475" s="5"/>
      <c r="DC475" s="5"/>
      <c r="DD475" s="5"/>
      <c r="DE475" s="5"/>
      <c r="DF475" s="5"/>
      <c r="DG475" s="5"/>
      <c r="DH475" s="5"/>
      <c r="DI475" s="5"/>
      <c r="DJ475" s="5"/>
      <c r="DK475" s="5"/>
      <c r="DL475" s="5"/>
      <c r="DM475" s="5"/>
      <c r="DN475" s="5"/>
      <c r="DO475" s="5"/>
      <c r="DP475" s="5"/>
      <c r="DQ475" s="5"/>
      <c r="DR475" s="5"/>
      <c r="DS475" s="5"/>
      <c r="DT475" s="5"/>
      <c r="DU475" s="5"/>
      <c r="DV475" s="5"/>
      <c r="DW475" s="5"/>
      <c r="DX475" s="5"/>
      <c r="DY475" s="5"/>
      <c r="DZ475" s="5"/>
      <c r="EA475" s="5"/>
      <c r="EB475" s="5"/>
      <c r="EC475" s="5"/>
      <c r="ED475" s="5"/>
      <c r="EE475" s="5"/>
      <c r="EF475" s="5"/>
      <c r="EG475" s="5"/>
      <c r="EH475" s="5"/>
      <c r="EI475" s="5"/>
      <c r="EJ475" s="5"/>
      <c r="EK475" s="5"/>
      <c r="EL475" s="5"/>
      <c r="EM475" s="5"/>
      <c r="EN475" s="5"/>
      <c r="EO475" s="5"/>
      <c r="EP475" s="5"/>
      <c r="EQ475" s="5"/>
      <c r="ER475" s="5"/>
      <c r="ES475" s="5"/>
      <c r="ET475" s="5"/>
      <c r="EU475" s="5"/>
      <c r="EV475" s="5"/>
      <c r="EW475" s="5"/>
      <c r="EX475" s="5"/>
      <c r="EY475" s="5"/>
      <c r="EZ475" s="5"/>
      <c r="FA475" s="5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5"/>
      <c r="CT476" s="5"/>
      <c r="CU476" s="5"/>
      <c r="CV476" s="5"/>
      <c r="CW476" s="5"/>
      <c r="CX476" s="5"/>
      <c r="CY476" s="5"/>
      <c r="CZ476" s="5"/>
      <c r="DA476" s="5"/>
      <c r="DB476" s="5"/>
      <c r="DC476" s="5"/>
      <c r="DD476" s="5"/>
      <c r="DE476" s="5"/>
      <c r="DF476" s="5"/>
      <c r="DG476" s="5"/>
      <c r="DH476" s="5"/>
      <c r="DI476" s="5"/>
      <c r="DJ476" s="5"/>
      <c r="DK476" s="5"/>
      <c r="DL476" s="5"/>
      <c r="DM476" s="5"/>
      <c r="DN476" s="5"/>
      <c r="DO476" s="5"/>
      <c r="DP476" s="5"/>
      <c r="DQ476" s="5"/>
      <c r="DR476" s="5"/>
      <c r="DS476" s="5"/>
      <c r="DT476" s="5"/>
      <c r="DU476" s="5"/>
      <c r="DV476" s="5"/>
      <c r="DW476" s="5"/>
      <c r="DX476" s="5"/>
      <c r="DY476" s="5"/>
      <c r="DZ476" s="5"/>
      <c r="EA476" s="5"/>
      <c r="EB476" s="5"/>
      <c r="EC476" s="5"/>
      <c r="ED476" s="5"/>
      <c r="EE476" s="5"/>
      <c r="EF476" s="5"/>
      <c r="EG476" s="5"/>
      <c r="EH476" s="5"/>
      <c r="EI476" s="5"/>
      <c r="EJ476" s="5"/>
      <c r="EK476" s="5"/>
      <c r="EL476" s="5"/>
      <c r="EM476" s="5"/>
      <c r="EN476" s="5"/>
      <c r="EO476" s="5"/>
      <c r="EP476" s="5"/>
      <c r="EQ476" s="5"/>
      <c r="ER476" s="5"/>
      <c r="ES476" s="5"/>
      <c r="ET476" s="5"/>
      <c r="EU476" s="5"/>
      <c r="EV476" s="5"/>
      <c r="EW476" s="5"/>
      <c r="EX476" s="5"/>
      <c r="EY476" s="5"/>
      <c r="EZ476" s="5"/>
      <c r="FA476" s="5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5"/>
      <c r="CT477" s="5"/>
      <c r="CU477" s="5"/>
      <c r="CV477" s="5"/>
      <c r="CW477" s="5"/>
      <c r="CX477" s="5"/>
      <c r="CY477" s="5"/>
      <c r="CZ477" s="5"/>
      <c r="DA477" s="5"/>
      <c r="DB477" s="5"/>
      <c r="DC477" s="5"/>
      <c r="DD477" s="5"/>
      <c r="DE477" s="5"/>
      <c r="DF477" s="5"/>
      <c r="DG477" s="5"/>
      <c r="DH477" s="5"/>
      <c r="DI477" s="5"/>
      <c r="DJ477" s="5"/>
      <c r="DK477" s="5"/>
      <c r="DL477" s="5"/>
      <c r="DM477" s="5"/>
      <c r="DN477" s="5"/>
      <c r="DO477" s="5"/>
      <c r="DP477" s="5"/>
      <c r="DQ477" s="5"/>
      <c r="DR477" s="5"/>
      <c r="DS477" s="5"/>
      <c r="DT477" s="5"/>
      <c r="DU477" s="5"/>
      <c r="DV477" s="5"/>
      <c r="DW477" s="5"/>
      <c r="DX477" s="5"/>
      <c r="DY477" s="5"/>
      <c r="DZ477" s="5"/>
      <c r="EA477" s="5"/>
      <c r="EB477" s="5"/>
      <c r="EC477" s="5"/>
      <c r="ED477" s="5"/>
      <c r="EE477" s="5"/>
      <c r="EF477" s="5"/>
      <c r="EG477" s="5"/>
      <c r="EH477" s="5"/>
      <c r="EI477" s="5"/>
      <c r="EJ477" s="5"/>
      <c r="EK477" s="5"/>
      <c r="EL477" s="5"/>
      <c r="EM477" s="5"/>
      <c r="EN477" s="5"/>
      <c r="EO477" s="5"/>
      <c r="EP477" s="5"/>
      <c r="EQ477" s="5"/>
      <c r="ER477" s="5"/>
      <c r="ES477" s="5"/>
      <c r="ET477" s="5"/>
      <c r="EU477" s="5"/>
      <c r="EV477" s="5"/>
      <c r="EW477" s="5"/>
      <c r="EX477" s="5"/>
      <c r="EY477" s="5"/>
      <c r="EZ477" s="5"/>
      <c r="FA477" s="5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5"/>
      <c r="CT478" s="5"/>
      <c r="CU478" s="5"/>
      <c r="CV478" s="5"/>
      <c r="CW478" s="5"/>
      <c r="CX478" s="5"/>
      <c r="CY478" s="5"/>
      <c r="CZ478" s="5"/>
      <c r="DA478" s="5"/>
      <c r="DB478" s="5"/>
      <c r="DC478" s="5"/>
      <c r="DD478" s="5"/>
      <c r="DE478" s="5"/>
      <c r="DF478" s="5"/>
      <c r="DG478" s="5"/>
      <c r="DH478" s="5"/>
      <c r="DI478" s="5"/>
      <c r="DJ478" s="5"/>
      <c r="DK478" s="5"/>
      <c r="DL478" s="5"/>
      <c r="DM478" s="5"/>
      <c r="DN478" s="5"/>
      <c r="DO478" s="5"/>
      <c r="DP478" s="5"/>
      <c r="DQ478" s="5"/>
      <c r="DR478" s="5"/>
      <c r="DS478" s="5"/>
      <c r="DT478" s="5"/>
      <c r="DU478" s="5"/>
      <c r="DV478" s="5"/>
      <c r="DW478" s="5"/>
      <c r="DX478" s="5"/>
      <c r="DY478" s="5"/>
      <c r="DZ478" s="5"/>
      <c r="EA478" s="5"/>
      <c r="EB478" s="5"/>
      <c r="EC478" s="5"/>
      <c r="ED478" s="5"/>
      <c r="EE478" s="5"/>
      <c r="EF478" s="5"/>
      <c r="EG478" s="5"/>
      <c r="EH478" s="5"/>
      <c r="EI478" s="5"/>
      <c r="EJ478" s="5"/>
      <c r="EK478" s="5"/>
      <c r="EL478" s="5"/>
      <c r="EM478" s="5"/>
      <c r="EN478" s="5"/>
      <c r="EO478" s="5"/>
      <c r="EP478" s="5"/>
      <c r="EQ478" s="5"/>
      <c r="ER478" s="5"/>
      <c r="ES478" s="5"/>
      <c r="ET478" s="5"/>
      <c r="EU478" s="5"/>
      <c r="EV478" s="5"/>
      <c r="EW478" s="5"/>
      <c r="EX478" s="5"/>
      <c r="EY478" s="5"/>
      <c r="EZ478" s="5"/>
      <c r="FA478" s="5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5"/>
      <c r="CT479" s="5"/>
      <c r="CU479" s="5"/>
      <c r="CV479" s="5"/>
      <c r="CW479" s="5"/>
      <c r="CX479" s="5"/>
      <c r="CY479" s="5"/>
      <c r="CZ479" s="5"/>
      <c r="DA479" s="5"/>
      <c r="DB479" s="5"/>
      <c r="DC479" s="5"/>
      <c r="DD479" s="5"/>
      <c r="DE479" s="5"/>
      <c r="DF479" s="5"/>
      <c r="DG479" s="5"/>
      <c r="DH479" s="5"/>
      <c r="DI479" s="5"/>
      <c r="DJ479" s="5"/>
      <c r="DK479" s="5"/>
      <c r="DL479" s="5"/>
      <c r="DM479" s="5"/>
      <c r="DN479" s="5"/>
      <c r="DO479" s="5"/>
      <c r="DP479" s="5"/>
      <c r="DQ479" s="5"/>
      <c r="DR479" s="5"/>
      <c r="DS479" s="5"/>
      <c r="DT479" s="5"/>
      <c r="DU479" s="5"/>
      <c r="DV479" s="5"/>
      <c r="DW479" s="5"/>
      <c r="DX479" s="5"/>
      <c r="DY479" s="5"/>
      <c r="DZ479" s="5"/>
      <c r="EA479" s="5"/>
      <c r="EB479" s="5"/>
      <c r="EC479" s="5"/>
      <c r="ED479" s="5"/>
      <c r="EE479" s="5"/>
      <c r="EF479" s="5"/>
      <c r="EG479" s="5"/>
      <c r="EH479" s="5"/>
      <c r="EI479" s="5"/>
      <c r="EJ479" s="5"/>
      <c r="EK479" s="5"/>
      <c r="EL479" s="5"/>
      <c r="EM479" s="5"/>
      <c r="EN479" s="5"/>
      <c r="EO479" s="5"/>
      <c r="EP479" s="5"/>
      <c r="EQ479" s="5"/>
      <c r="ER479" s="5"/>
      <c r="ES479" s="5"/>
      <c r="ET479" s="5"/>
      <c r="EU479" s="5"/>
      <c r="EV479" s="5"/>
      <c r="EW479" s="5"/>
      <c r="EX479" s="5"/>
      <c r="EY479" s="5"/>
      <c r="EZ479" s="5"/>
      <c r="FA479" s="5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5"/>
      <c r="CT480" s="5"/>
      <c r="CU480" s="5"/>
      <c r="CV480" s="5"/>
      <c r="CW480" s="5"/>
      <c r="CX480" s="5"/>
      <c r="CY480" s="5"/>
      <c r="CZ480" s="5"/>
      <c r="DA480" s="5"/>
      <c r="DB480" s="5"/>
      <c r="DC480" s="5"/>
      <c r="DD480" s="5"/>
      <c r="DE480" s="5"/>
      <c r="DF480" s="5"/>
      <c r="DG480" s="5"/>
      <c r="DH480" s="5"/>
      <c r="DI480" s="5"/>
      <c r="DJ480" s="5"/>
      <c r="DK480" s="5"/>
      <c r="DL480" s="5"/>
      <c r="DM480" s="5"/>
      <c r="DN480" s="5"/>
      <c r="DO480" s="5"/>
      <c r="DP480" s="5"/>
      <c r="DQ480" s="5"/>
      <c r="DR480" s="5"/>
      <c r="DS480" s="5"/>
      <c r="DT480" s="5"/>
      <c r="DU480" s="5"/>
      <c r="DV480" s="5"/>
      <c r="DW480" s="5"/>
      <c r="DX480" s="5"/>
      <c r="DY480" s="5"/>
      <c r="DZ480" s="5"/>
      <c r="EA480" s="5"/>
      <c r="EB480" s="5"/>
      <c r="EC480" s="5"/>
      <c r="ED480" s="5"/>
      <c r="EE480" s="5"/>
      <c r="EF480" s="5"/>
      <c r="EG480" s="5"/>
      <c r="EH480" s="5"/>
      <c r="EI480" s="5"/>
      <c r="EJ480" s="5"/>
      <c r="EK480" s="5"/>
      <c r="EL480" s="5"/>
      <c r="EM480" s="5"/>
      <c r="EN480" s="5"/>
      <c r="EO480" s="5"/>
      <c r="EP480" s="5"/>
      <c r="EQ480" s="5"/>
      <c r="ER480" s="5"/>
      <c r="ES480" s="5"/>
      <c r="ET480" s="5"/>
      <c r="EU480" s="5"/>
      <c r="EV480" s="5"/>
      <c r="EW480" s="5"/>
      <c r="EX480" s="5"/>
      <c r="EY480" s="5"/>
      <c r="EZ480" s="5"/>
      <c r="FA480" s="5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5"/>
      <c r="CT481" s="5"/>
      <c r="CU481" s="5"/>
      <c r="CV481" s="5"/>
      <c r="CW481" s="5"/>
      <c r="CX481" s="5"/>
      <c r="CY481" s="5"/>
      <c r="CZ481" s="5"/>
      <c r="DA481" s="5"/>
      <c r="DB481" s="5"/>
      <c r="DC481" s="5"/>
      <c r="DD481" s="5"/>
      <c r="DE481" s="5"/>
      <c r="DF481" s="5"/>
      <c r="DG481" s="5"/>
      <c r="DH481" s="5"/>
      <c r="DI481" s="5"/>
      <c r="DJ481" s="5"/>
      <c r="DK481" s="5"/>
      <c r="DL481" s="5"/>
      <c r="DM481" s="5"/>
      <c r="DN481" s="5"/>
      <c r="DO481" s="5"/>
      <c r="DP481" s="5"/>
      <c r="DQ481" s="5"/>
      <c r="DR481" s="5"/>
      <c r="DS481" s="5"/>
      <c r="DT481" s="5"/>
      <c r="DU481" s="5"/>
      <c r="DV481" s="5"/>
      <c r="DW481" s="5"/>
      <c r="DX481" s="5"/>
      <c r="DY481" s="5"/>
      <c r="DZ481" s="5"/>
      <c r="EA481" s="5"/>
      <c r="EB481" s="5"/>
      <c r="EC481" s="5"/>
      <c r="ED481" s="5"/>
      <c r="EE481" s="5"/>
      <c r="EF481" s="5"/>
      <c r="EG481" s="5"/>
      <c r="EH481" s="5"/>
      <c r="EI481" s="5"/>
      <c r="EJ481" s="5"/>
      <c r="EK481" s="5"/>
      <c r="EL481" s="5"/>
      <c r="EM481" s="5"/>
      <c r="EN481" s="5"/>
      <c r="EO481" s="5"/>
      <c r="EP481" s="5"/>
      <c r="EQ481" s="5"/>
      <c r="ER481" s="5"/>
      <c r="ES481" s="5"/>
      <c r="ET481" s="5"/>
      <c r="EU481" s="5"/>
      <c r="EV481" s="5"/>
      <c r="EW481" s="5"/>
      <c r="EX481" s="5"/>
      <c r="EY481" s="5"/>
      <c r="EZ481" s="5"/>
      <c r="FA481" s="5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5"/>
      <c r="CT482" s="5"/>
      <c r="CU482" s="5"/>
      <c r="CV482" s="5"/>
      <c r="CW482" s="5"/>
      <c r="CX482" s="5"/>
      <c r="CY482" s="5"/>
      <c r="CZ482" s="5"/>
      <c r="DA482" s="5"/>
      <c r="DB482" s="5"/>
      <c r="DC482" s="5"/>
      <c r="DD482" s="5"/>
      <c r="DE482" s="5"/>
      <c r="DF482" s="5"/>
      <c r="DG482" s="5"/>
      <c r="DH482" s="5"/>
      <c r="DI482" s="5"/>
      <c r="DJ482" s="5"/>
      <c r="DK482" s="5"/>
      <c r="DL482" s="5"/>
      <c r="DM482" s="5"/>
      <c r="DN482" s="5"/>
      <c r="DO482" s="5"/>
      <c r="DP482" s="5"/>
      <c r="DQ482" s="5"/>
      <c r="DR482" s="5"/>
      <c r="DS482" s="5"/>
      <c r="DT482" s="5"/>
      <c r="DU482" s="5"/>
      <c r="DV482" s="5"/>
      <c r="DW482" s="5"/>
      <c r="DX482" s="5"/>
      <c r="DY482" s="5"/>
      <c r="DZ482" s="5"/>
      <c r="EA482" s="5"/>
      <c r="EB482" s="5"/>
      <c r="EC482" s="5"/>
      <c r="ED482" s="5"/>
      <c r="EE482" s="5"/>
      <c r="EF482" s="5"/>
      <c r="EG482" s="5"/>
      <c r="EH482" s="5"/>
      <c r="EI482" s="5"/>
      <c r="EJ482" s="5"/>
      <c r="EK482" s="5"/>
      <c r="EL482" s="5"/>
      <c r="EM482" s="5"/>
      <c r="EN482" s="5"/>
      <c r="EO482" s="5"/>
      <c r="EP482" s="5"/>
      <c r="EQ482" s="5"/>
      <c r="ER482" s="5"/>
      <c r="ES482" s="5"/>
      <c r="ET482" s="5"/>
      <c r="EU482" s="5"/>
      <c r="EV482" s="5"/>
      <c r="EW482" s="5"/>
      <c r="EX482" s="5"/>
      <c r="EY482" s="5"/>
      <c r="EZ482" s="5"/>
      <c r="FA482" s="5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5"/>
      <c r="CT483" s="5"/>
      <c r="CU483" s="5"/>
      <c r="CV483" s="5"/>
      <c r="CW483" s="5"/>
      <c r="CX483" s="5"/>
      <c r="CY483" s="5"/>
      <c r="CZ483" s="5"/>
      <c r="DA483" s="5"/>
      <c r="DB483" s="5"/>
      <c r="DC483" s="5"/>
      <c r="DD483" s="5"/>
      <c r="DE483" s="5"/>
      <c r="DF483" s="5"/>
      <c r="DG483" s="5"/>
      <c r="DH483" s="5"/>
      <c r="DI483" s="5"/>
      <c r="DJ483" s="5"/>
      <c r="DK483" s="5"/>
      <c r="DL483" s="5"/>
      <c r="DM483" s="5"/>
      <c r="DN483" s="5"/>
      <c r="DO483" s="5"/>
      <c r="DP483" s="5"/>
      <c r="DQ483" s="5"/>
      <c r="DR483" s="5"/>
      <c r="DS483" s="5"/>
      <c r="DT483" s="5"/>
      <c r="DU483" s="5"/>
      <c r="DV483" s="5"/>
      <c r="DW483" s="5"/>
      <c r="DX483" s="5"/>
      <c r="DY483" s="5"/>
      <c r="DZ483" s="5"/>
      <c r="EA483" s="5"/>
      <c r="EB483" s="5"/>
      <c r="EC483" s="5"/>
      <c r="ED483" s="5"/>
      <c r="EE483" s="5"/>
      <c r="EF483" s="5"/>
      <c r="EG483" s="5"/>
      <c r="EH483" s="5"/>
      <c r="EI483" s="5"/>
      <c r="EJ483" s="5"/>
      <c r="EK483" s="5"/>
      <c r="EL483" s="5"/>
      <c r="EM483" s="5"/>
      <c r="EN483" s="5"/>
      <c r="EO483" s="5"/>
      <c r="EP483" s="5"/>
      <c r="EQ483" s="5"/>
      <c r="ER483" s="5"/>
      <c r="ES483" s="5"/>
      <c r="ET483" s="5"/>
      <c r="EU483" s="5"/>
      <c r="EV483" s="5"/>
      <c r="EW483" s="5"/>
      <c r="EX483" s="5"/>
      <c r="EY483" s="5"/>
      <c r="EZ483" s="5"/>
      <c r="FA483" s="5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5"/>
      <c r="CT484" s="5"/>
      <c r="CU484" s="5"/>
      <c r="CV484" s="5"/>
      <c r="CW484" s="5"/>
      <c r="CX484" s="5"/>
      <c r="CY484" s="5"/>
      <c r="CZ484" s="5"/>
      <c r="DA484" s="5"/>
      <c r="DB484" s="5"/>
      <c r="DC484" s="5"/>
      <c r="DD484" s="5"/>
      <c r="DE484" s="5"/>
      <c r="DF484" s="5"/>
      <c r="DG484" s="5"/>
      <c r="DH484" s="5"/>
      <c r="DI484" s="5"/>
      <c r="DJ484" s="5"/>
      <c r="DK484" s="5"/>
      <c r="DL484" s="5"/>
      <c r="DM484" s="5"/>
      <c r="DN484" s="5"/>
      <c r="DO484" s="5"/>
      <c r="DP484" s="5"/>
      <c r="DQ484" s="5"/>
      <c r="DR484" s="5"/>
      <c r="DS484" s="5"/>
      <c r="DT484" s="5"/>
      <c r="DU484" s="5"/>
      <c r="DV484" s="5"/>
      <c r="DW484" s="5"/>
      <c r="DX484" s="5"/>
      <c r="DY484" s="5"/>
      <c r="DZ484" s="5"/>
      <c r="EA484" s="5"/>
      <c r="EB484" s="5"/>
      <c r="EC484" s="5"/>
      <c r="ED484" s="5"/>
      <c r="EE484" s="5"/>
      <c r="EF484" s="5"/>
      <c r="EG484" s="5"/>
      <c r="EH484" s="5"/>
      <c r="EI484" s="5"/>
      <c r="EJ484" s="5"/>
      <c r="EK484" s="5"/>
      <c r="EL484" s="5"/>
      <c r="EM484" s="5"/>
      <c r="EN484" s="5"/>
      <c r="EO484" s="5"/>
      <c r="EP484" s="5"/>
      <c r="EQ484" s="5"/>
      <c r="ER484" s="5"/>
      <c r="ES484" s="5"/>
      <c r="ET484" s="5"/>
      <c r="EU484" s="5"/>
      <c r="EV484" s="5"/>
      <c r="EW484" s="5"/>
      <c r="EX484" s="5"/>
      <c r="EY484" s="5"/>
      <c r="EZ484" s="5"/>
      <c r="FA484" s="5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5"/>
      <c r="CT485" s="5"/>
      <c r="CU485" s="5"/>
      <c r="CV485" s="5"/>
      <c r="CW485" s="5"/>
      <c r="CX485" s="5"/>
      <c r="CY485" s="5"/>
      <c r="CZ485" s="5"/>
      <c r="DA485" s="5"/>
      <c r="DB485" s="5"/>
      <c r="DC485" s="5"/>
      <c r="DD485" s="5"/>
      <c r="DE485" s="5"/>
      <c r="DF485" s="5"/>
      <c r="DG485" s="5"/>
      <c r="DH485" s="5"/>
      <c r="DI485" s="5"/>
      <c r="DJ485" s="5"/>
      <c r="DK485" s="5"/>
      <c r="DL485" s="5"/>
      <c r="DM485" s="5"/>
      <c r="DN485" s="5"/>
      <c r="DO485" s="5"/>
      <c r="DP485" s="5"/>
      <c r="DQ485" s="5"/>
      <c r="DR485" s="5"/>
      <c r="DS485" s="5"/>
      <c r="DT485" s="5"/>
      <c r="DU485" s="5"/>
      <c r="DV485" s="5"/>
      <c r="DW485" s="5"/>
      <c r="DX485" s="5"/>
      <c r="DY485" s="5"/>
      <c r="DZ485" s="5"/>
      <c r="EA485" s="5"/>
      <c r="EB485" s="5"/>
      <c r="EC485" s="5"/>
      <c r="ED485" s="5"/>
      <c r="EE485" s="5"/>
      <c r="EF485" s="5"/>
      <c r="EG485" s="5"/>
      <c r="EH485" s="5"/>
      <c r="EI485" s="5"/>
      <c r="EJ485" s="5"/>
      <c r="EK485" s="5"/>
      <c r="EL485" s="5"/>
      <c r="EM485" s="5"/>
      <c r="EN485" s="5"/>
      <c r="EO485" s="5"/>
      <c r="EP485" s="5"/>
      <c r="EQ485" s="5"/>
      <c r="ER485" s="5"/>
      <c r="ES485" s="5"/>
      <c r="ET485" s="5"/>
      <c r="EU485" s="5"/>
      <c r="EV485" s="5"/>
      <c r="EW485" s="5"/>
      <c r="EX485" s="5"/>
      <c r="EY485" s="5"/>
      <c r="EZ485" s="5"/>
      <c r="FA485" s="5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5"/>
      <c r="CT486" s="5"/>
      <c r="CU486" s="5"/>
      <c r="CV486" s="5"/>
      <c r="CW486" s="5"/>
      <c r="CX486" s="5"/>
      <c r="CY486" s="5"/>
      <c r="CZ486" s="5"/>
      <c r="DA486" s="5"/>
      <c r="DB486" s="5"/>
      <c r="DC486" s="5"/>
      <c r="DD486" s="5"/>
      <c r="DE486" s="5"/>
      <c r="DF486" s="5"/>
      <c r="DG486" s="5"/>
      <c r="DH486" s="5"/>
      <c r="DI486" s="5"/>
      <c r="DJ486" s="5"/>
      <c r="DK486" s="5"/>
      <c r="DL486" s="5"/>
      <c r="DM486" s="5"/>
      <c r="DN486" s="5"/>
      <c r="DO486" s="5"/>
      <c r="DP486" s="5"/>
      <c r="DQ486" s="5"/>
      <c r="DR486" s="5"/>
      <c r="DS486" s="5"/>
      <c r="DT486" s="5"/>
      <c r="DU486" s="5"/>
      <c r="DV486" s="5"/>
      <c r="DW486" s="5"/>
      <c r="DX486" s="5"/>
      <c r="DY486" s="5"/>
      <c r="DZ486" s="5"/>
      <c r="EA486" s="5"/>
      <c r="EB486" s="5"/>
      <c r="EC486" s="5"/>
      <c r="ED486" s="5"/>
      <c r="EE486" s="5"/>
      <c r="EF486" s="5"/>
      <c r="EG486" s="5"/>
      <c r="EH486" s="5"/>
      <c r="EI486" s="5"/>
      <c r="EJ486" s="5"/>
      <c r="EK486" s="5"/>
      <c r="EL486" s="5"/>
      <c r="EM486" s="5"/>
      <c r="EN486" s="5"/>
      <c r="EO486" s="5"/>
      <c r="EP486" s="5"/>
      <c r="EQ486" s="5"/>
      <c r="ER486" s="5"/>
      <c r="ES486" s="5"/>
      <c r="ET486" s="5"/>
      <c r="EU486" s="5"/>
      <c r="EV486" s="5"/>
      <c r="EW486" s="5"/>
      <c r="EX486" s="5"/>
      <c r="EY486" s="5"/>
      <c r="EZ486" s="5"/>
      <c r="FA486" s="5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5"/>
      <c r="CT487" s="5"/>
      <c r="CU487" s="5"/>
      <c r="CV487" s="5"/>
      <c r="CW487" s="5"/>
      <c r="CX487" s="5"/>
      <c r="CY487" s="5"/>
      <c r="CZ487" s="5"/>
      <c r="DA487" s="5"/>
      <c r="DB487" s="5"/>
      <c r="DC487" s="5"/>
      <c r="DD487" s="5"/>
      <c r="DE487" s="5"/>
      <c r="DF487" s="5"/>
      <c r="DG487" s="5"/>
      <c r="DH487" s="5"/>
      <c r="DI487" s="5"/>
      <c r="DJ487" s="5"/>
      <c r="DK487" s="5"/>
      <c r="DL487" s="5"/>
      <c r="DM487" s="5"/>
      <c r="DN487" s="5"/>
      <c r="DO487" s="5"/>
      <c r="DP487" s="5"/>
      <c r="DQ487" s="5"/>
      <c r="DR487" s="5"/>
      <c r="DS487" s="5"/>
      <c r="DT487" s="5"/>
      <c r="DU487" s="5"/>
      <c r="DV487" s="5"/>
      <c r="DW487" s="5"/>
      <c r="DX487" s="5"/>
      <c r="DY487" s="5"/>
      <c r="DZ487" s="5"/>
      <c r="EA487" s="5"/>
      <c r="EB487" s="5"/>
      <c r="EC487" s="5"/>
      <c r="ED487" s="5"/>
      <c r="EE487" s="5"/>
      <c r="EF487" s="5"/>
      <c r="EG487" s="5"/>
      <c r="EH487" s="5"/>
      <c r="EI487" s="5"/>
      <c r="EJ487" s="5"/>
      <c r="EK487" s="5"/>
      <c r="EL487" s="5"/>
      <c r="EM487" s="5"/>
      <c r="EN487" s="5"/>
      <c r="EO487" s="5"/>
      <c r="EP487" s="5"/>
      <c r="EQ487" s="5"/>
      <c r="ER487" s="5"/>
      <c r="ES487" s="5"/>
      <c r="ET487" s="5"/>
      <c r="EU487" s="5"/>
      <c r="EV487" s="5"/>
      <c r="EW487" s="5"/>
      <c r="EX487" s="5"/>
      <c r="EY487" s="5"/>
      <c r="EZ487" s="5"/>
      <c r="FA487" s="5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5"/>
      <c r="CT488" s="5"/>
      <c r="CU488" s="5"/>
      <c r="CV488" s="5"/>
      <c r="CW488" s="5"/>
      <c r="CX488" s="5"/>
      <c r="CY488" s="5"/>
      <c r="CZ488" s="5"/>
      <c r="DA488" s="5"/>
      <c r="DB488" s="5"/>
      <c r="DC488" s="5"/>
      <c r="DD488" s="5"/>
      <c r="DE488" s="5"/>
      <c r="DF488" s="5"/>
      <c r="DG488" s="5"/>
      <c r="DH488" s="5"/>
      <c r="DI488" s="5"/>
      <c r="DJ488" s="5"/>
      <c r="DK488" s="5"/>
      <c r="DL488" s="5"/>
      <c r="DM488" s="5"/>
      <c r="DN488" s="5"/>
      <c r="DO488" s="5"/>
      <c r="DP488" s="5"/>
      <c r="DQ488" s="5"/>
      <c r="DR488" s="5"/>
      <c r="DS488" s="5"/>
      <c r="DT488" s="5"/>
      <c r="DU488" s="5"/>
      <c r="DV488" s="5"/>
      <c r="DW488" s="5"/>
      <c r="DX488" s="5"/>
      <c r="DY488" s="5"/>
      <c r="DZ488" s="5"/>
      <c r="EA488" s="5"/>
      <c r="EB488" s="5"/>
      <c r="EC488" s="5"/>
      <c r="ED488" s="5"/>
      <c r="EE488" s="5"/>
      <c r="EF488" s="5"/>
      <c r="EG488" s="5"/>
      <c r="EH488" s="5"/>
      <c r="EI488" s="5"/>
      <c r="EJ488" s="5"/>
      <c r="EK488" s="5"/>
      <c r="EL488" s="5"/>
      <c r="EM488" s="5"/>
      <c r="EN488" s="5"/>
      <c r="EO488" s="5"/>
      <c r="EP488" s="5"/>
      <c r="EQ488" s="5"/>
      <c r="ER488" s="5"/>
      <c r="ES488" s="5"/>
      <c r="ET488" s="5"/>
      <c r="EU488" s="5"/>
      <c r="EV488" s="5"/>
      <c r="EW488" s="5"/>
      <c r="EX488" s="5"/>
      <c r="EY488" s="5"/>
      <c r="EZ488" s="5"/>
      <c r="FA488" s="5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5"/>
      <c r="CT489" s="5"/>
      <c r="CU489" s="5"/>
      <c r="CV489" s="5"/>
      <c r="CW489" s="5"/>
      <c r="CX489" s="5"/>
      <c r="CY489" s="5"/>
      <c r="CZ489" s="5"/>
      <c r="DA489" s="5"/>
      <c r="DB489" s="5"/>
      <c r="DC489" s="5"/>
      <c r="DD489" s="5"/>
      <c r="DE489" s="5"/>
      <c r="DF489" s="5"/>
      <c r="DG489" s="5"/>
      <c r="DH489" s="5"/>
      <c r="DI489" s="5"/>
      <c r="DJ489" s="5"/>
      <c r="DK489" s="5"/>
      <c r="DL489" s="5"/>
      <c r="DM489" s="5"/>
      <c r="DN489" s="5"/>
      <c r="DO489" s="5"/>
      <c r="DP489" s="5"/>
      <c r="DQ489" s="5"/>
      <c r="DR489" s="5"/>
      <c r="DS489" s="5"/>
      <c r="DT489" s="5"/>
      <c r="DU489" s="5"/>
      <c r="DV489" s="5"/>
      <c r="DW489" s="5"/>
      <c r="DX489" s="5"/>
      <c r="DY489" s="5"/>
      <c r="DZ489" s="5"/>
      <c r="EA489" s="5"/>
      <c r="EB489" s="5"/>
      <c r="EC489" s="5"/>
      <c r="ED489" s="5"/>
      <c r="EE489" s="5"/>
      <c r="EF489" s="5"/>
      <c r="EG489" s="5"/>
      <c r="EH489" s="5"/>
      <c r="EI489" s="5"/>
      <c r="EJ489" s="5"/>
      <c r="EK489" s="5"/>
      <c r="EL489" s="5"/>
      <c r="EM489" s="5"/>
      <c r="EN489" s="5"/>
      <c r="EO489" s="5"/>
      <c r="EP489" s="5"/>
      <c r="EQ489" s="5"/>
      <c r="ER489" s="5"/>
      <c r="ES489" s="5"/>
      <c r="ET489" s="5"/>
      <c r="EU489" s="5"/>
      <c r="EV489" s="5"/>
      <c r="EW489" s="5"/>
      <c r="EX489" s="5"/>
      <c r="EY489" s="5"/>
      <c r="EZ489" s="5"/>
      <c r="FA489" s="5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5"/>
      <c r="CT490" s="5"/>
      <c r="CU490" s="5"/>
      <c r="CV490" s="5"/>
      <c r="CW490" s="5"/>
      <c r="CX490" s="5"/>
      <c r="CY490" s="5"/>
      <c r="CZ490" s="5"/>
      <c r="DA490" s="5"/>
      <c r="DB490" s="5"/>
      <c r="DC490" s="5"/>
      <c r="DD490" s="5"/>
      <c r="DE490" s="5"/>
      <c r="DF490" s="5"/>
      <c r="DG490" s="5"/>
      <c r="DH490" s="5"/>
      <c r="DI490" s="5"/>
      <c r="DJ490" s="5"/>
      <c r="DK490" s="5"/>
      <c r="DL490" s="5"/>
      <c r="DM490" s="5"/>
      <c r="DN490" s="5"/>
      <c r="DO490" s="5"/>
      <c r="DP490" s="5"/>
      <c r="DQ490" s="5"/>
      <c r="DR490" s="5"/>
      <c r="DS490" s="5"/>
      <c r="DT490" s="5"/>
      <c r="DU490" s="5"/>
      <c r="DV490" s="5"/>
      <c r="DW490" s="5"/>
      <c r="DX490" s="5"/>
      <c r="DY490" s="5"/>
      <c r="DZ490" s="5"/>
      <c r="EA490" s="5"/>
      <c r="EB490" s="5"/>
      <c r="EC490" s="5"/>
      <c r="ED490" s="5"/>
      <c r="EE490" s="5"/>
      <c r="EF490" s="5"/>
      <c r="EG490" s="5"/>
      <c r="EH490" s="5"/>
      <c r="EI490" s="5"/>
      <c r="EJ490" s="5"/>
      <c r="EK490" s="5"/>
      <c r="EL490" s="5"/>
      <c r="EM490" s="5"/>
      <c r="EN490" s="5"/>
      <c r="EO490" s="5"/>
      <c r="EP490" s="5"/>
      <c r="EQ490" s="5"/>
      <c r="ER490" s="5"/>
      <c r="ES490" s="5"/>
      <c r="ET490" s="5"/>
      <c r="EU490" s="5"/>
      <c r="EV490" s="5"/>
      <c r="EW490" s="5"/>
      <c r="EX490" s="5"/>
      <c r="EY490" s="5"/>
      <c r="EZ490" s="5"/>
      <c r="FA490" s="5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5"/>
      <c r="CT491" s="5"/>
      <c r="CU491" s="5"/>
      <c r="CV491" s="5"/>
      <c r="CW491" s="5"/>
      <c r="CX491" s="5"/>
      <c r="CY491" s="5"/>
      <c r="CZ491" s="5"/>
      <c r="DA491" s="5"/>
      <c r="DB491" s="5"/>
      <c r="DC491" s="5"/>
      <c r="DD491" s="5"/>
      <c r="DE491" s="5"/>
      <c r="DF491" s="5"/>
      <c r="DG491" s="5"/>
      <c r="DH491" s="5"/>
      <c r="DI491" s="5"/>
      <c r="DJ491" s="5"/>
      <c r="DK491" s="5"/>
      <c r="DL491" s="5"/>
      <c r="DM491" s="5"/>
      <c r="DN491" s="5"/>
      <c r="DO491" s="5"/>
      <c r="DP491" s="5"/>
      <c r="DQ491" s="5"/>
      <c r="DR491" s="5"/>
      <c r="DS491" s="5"/>
      <c r="DT491" s="5"/>
      <c r="DU491" s="5"/>
      <c r="DV491" s="5"/>
      <c r="DW491" s="5"/>
      <c r="DX491" s="5"/>
      <c r="DY491" s="5"/>
      <c r="DZ491" s="5"/>
      <c r="EA491" s="5"/>
      <c r="EB491" s="5"/>
      <c r="EC491" s="5"/>
      <c r="ED491" s="5"/>
      <c r="EE491" s="5"/>
      <c r="EF491" s="5"/>
      <c r="EG491" s="5"/>
      <c r="EH491" s="5"/>
      <c r="EI491" s="5"/>
      <c r="EJ491" s="5"/>
      <c r="EK491" s="5"/>
      <c r="EL491" s="5"/>
      <c r="EM491" s="5"/>
      <c r="EN491" s="5"/>
      <c r="EO491" s="5"/>
      <c r="EP491" s="5"/>
      <c r="EQ491" s="5"/>
      <c r="ER491" s="5"/>
      <c r="ES491" s="5"/>
      <c r="ET491" s="5"/>
      <c r="EU491" s="5"/>
      <c r="EV491" s="5"/>
      <c r="EW491" s="5"/>
      <c r="EX491" s="5"/>
      <c r="EY491" s="5"/>
      <c r="EZ491" s="5"/>
      <c r="FA491" s="5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5"/>
      <c r="CT492" s="5"/>
      <c r="CU492" s="5"/>
      <c r="CV492" s="5"/>
      <c r="CW492" s="5"/>
      <c r="CX492" s="5"/>
      <c r="CY492" s="5"/>
      <c r="CZ492" s="5"/>
      <c r="DA492" s="5"/>
      <c r="DB492" s="5"/>
      <c r="DC492" s="5"/>
      <c r="DD492" s="5"/>
      <c r="DE492" s="5"/>
      <c r="DF492" s="5"/>
      <c r="DG492" s="5"/>
      <c r="DH492" s="5"/>
      <c r="DI492" s="5"/>
      <c r="DJ492" s="5"/>
      <c r="DK492" s="5"/>
      <c r="DL492" s="5"/>
      <c r="DM492" s="5"/>
      <c r="DN492" s="5"/>
      <c r="DO492" s="5"/>
      <c r="DP492" s="5"/>
      <c r="DQ492" s="5"/>
      <c r="DR492" s="5"/>
      <c r="DS492" s="5"/>
      <c r="DT492" s="5"/>
      <c r="DU492" s="5"/>
      <c r="DV492" s="5"/>
      <c r="DW492" s="5"/>
      <c r="DX492" s="5"/>
      <c r="DY492" s="5"/>
      <c r="DZ492" s="5"/>
      <c r="EA492" s="5"/>
      <c r="EB492" s="5"/>
      <c r="EC492" s="5"/>
      <c r="ED492" s="5"/>
      <c r="EE492" s="5"/>
      <c r="EF492" s="5"/>
      <c r="EG492" s="5"/>
      <c r="EH492" s="5"/>
      <c r="EI492" s="5"/>
      <c r="EJ492" s="5"/>
      <c r="EK492" s="5"/>
      <c r="EL492" s="5"/>
      <c r="EM492" s="5"/>
      <c r="EN492" s="5"/>
      <c r="EO492" s="5"/>
      <c r="EP492" s="5"/>
      <c r="EQ492" s="5"/>
      <c r="ER492" s="5"/>
      <c r="ES492" s="5"/>
      <c r="ET492" s="5"/>
      <c r="EU492" s="5"/>
      <c r="EV492" s="5"/>
      <c r="EW492" s="5"/>
      <c r="EX492" s="5"/>
      <c r="EY492" s="5"/>
      <c r="EZ492" s="5"/>
      <c r="FA492" s="5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5"/>
      <c r="CT493" s="5"/>
      <c r="CU493" s="5"/>
      <c r="CV493" s="5"/>
      <c r="CW493" s="5"/>
      <c r="CX493" s="5"/>
      <c r="CY493" s="5"/>
      <c r="CZ493" s="5"/>
      <c r="DA493" s="5"/>
      <c r="DB493" s="5"/>
      <c r="DC493" s="5"/>
      <c r="DD493" s="5"/>
      <c r="DE493" s="5"/>
      <c r="DF493" s="5"/>
      <c r="DG493" s="5"/>
      <c r="DH493" s="5"/>
      <c r="DI493" s="5"/>
      <c r="DJ493" s="5"/>
      <c r="DK493" s="5"/>
      <c r="DL493" s="5"/>
      <c r="DM493" s="5"/>
      <c r="DN493" s="5"/>
      <c r="DO493" s="5"/>
      <c r="DP493" s="5"/>
      <c r="DQ493" s="5"/>
      <c r="DR493" s="5"/>
      <c r="DS493" s="5"/>
      <c r="DT493" s="5"/>
      <c r="DU493" s="5"/>
      <c r="DV493" s="5"/>
      <c r="DW493" s="5"/>
      <c r="DX493" s="5"/>
      <c r="DY493" s="5"/>
      <c r="DZ493" s="5"/>
      <c r="EA493" s="5"/>
      <c r="EB493" s="5"/>
      <c r="EC493" s="5"/>
      <c r="ED493" s="5"/>
      <c r="EE493" s="5"/>
      <c r="EF493" s="5"/>
      <c r="EG493" s="5"/>
      <c r="EH493" s="5"/>
      <c r="EI493" s="5"/>
      <c r="EJ493" s="5"/>
      <c r="EK493" s="5"/>
      <c r="EL493" s="5"/>
      <c r="EM493" s="5"/>
      <c r="EN493" s="5"/>
      <c r="EO493" s="5"/>
      <c r="EP493" s="5"/>
      <c r="EQ493" s="5"/>
      <c r="ER493" s="5"/>
      <c r="ES493" s="5"/>
      <c r="ET493" s="5"/>
      <c r="EU493" s="5"/>
      <c r="EV493" s="5"/>
      <c r="EW493" s="5"/>
      <c r="EX493" s="5"/>
      <c r="EY493" s="5"/>
      <c r="EZ493" s="5"/>
      <c r="FA493" s="5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5"/>
      <c r="CT494" s="5"/>
      <c r="CU494" s="5"/>
      <c r="CV494" s="5"/>
      <c r="CW494" s="5"/>
      <c r="CX494" s="5"/>
      <c r="CY494" s="5"/>
      <c r="CZ494" s="5"/>
      <c r="DA494" s="5"/>
      <c r="DB494" s="5"/>
      <c r="DC494" s="5"/>
      <c r="DD494" s="5"/>
      <c r="DE494" s="5"/>
      <c r="DF494" s="5"/>
      <c r="DG494" s="5"/>
      <c r="DH494" s="5"/>
      <c r="DI494" s="5"/>
      <c r="DJ494" s="5"/>
      <c r="DK494" s="5"/>
      <c r="DL494" s="5"/>
      <c r="DM494" s="5"/>
      <c r="DN494" s="5"/>
      <c r="DO494" s="5"/>
      <c r="DP494" s="5"/>
      <c r="DQ494" s="5"/>
      <c r="DR494" s="5"/>
      <c r="DS494" s="5"/>
      <c r="DT494" s="5"/>
      <c r="DU494" s="5"/>
      <c r="DV494" s="5"/>
      <c r="DW494" s="5"/>
      <c r="DX494" s="5"/>
      <c r="DY494" s="5"/>
      <c r="DZ494" s="5"/>
      <c r="EA494" s="5"/>
      <c r="EB494" s="5"/>
      <c r="EC494" s="5"/>
      <c r="ED494" s="5"/>
      <c r="EE494" s="5"/>
      <c r="EF494" s="5"/>
      <c r="EG494" s="5"/>
      <c r="EH494" s="5"/>
      <c r="EI494" s="5"/>
      <c r="EJ494" s="5"/>
      <c r="EK494" s="5"/>
      <c r="EL494" s="5"/>
      <c r="EM494" s="5"/>
      <c r="EN494" s="5"/>
      <c r="EO494" s="5"/>
      <c r="EP494" s="5"/>
      <c r="EQ494" s="5"/>
      <c r="ER494" s="5"/>
      <c r="ES494" s="5"/>
      <c r="ET494" s="5"/>
      <c r="EU494" s="5"/>
      <c r="EV494" s="5"/>
      <c r="EW494" s="5"/>
      <c r="EX494" s="5"/>
      <c r="EY494" s="5"/>
      <c r="EZ494" s="5"/>
      <c r="FA494" s="5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5"/>
      <c r="CT495" s="5"/>
      <c r="CU495" s="5"/>
      <c r="CV495" s="5"/>
      <c r="CW495" s="5"/>
      <c r="CX495" s="5"/>
      <c r="CY495" s="5"/>
      <c r="CZ495" s="5"/>
      <c r="DA495" s="5"/>
      <c r="DB495" s="5"/>
      <c r="DC495" s="5"/>
      <c r="DD495" s="5"/>
      <c r="DE495" s="5"/>
      <c r="DF495" s="5"/>
      <c r="DG495" s="5"/>
      <c r="DH495" s="5"/>
      <c r="DI495" s="5"/>
      <c r="DJ495" s="5"/>
      <c r="DK495" s="5"/>
      <c r="DL495" s="5"/>
      <c r="DM495" s="5"/>
      <c r="DN495" s="5"/>
      <c r="DO495" s="5"/>
      <c r="DP495" s="5"/>
      <c r="DQ495" s="5"/>
      <c r="DR495" s="5"/>
      <c r="DS495" s="5"/>
      <c r="DT495" s="5"/>
      <c r="DU495" s="5"/>
      <c r="DV495" s="5"/>
      <c r="DW495" s="5"/>
      <c r="DX495" s="5"/>
      <c r="DY495" s="5"/>
      <c r="DZ495" s="5"/>
      <c r="EA495" s="5"/>
      <c r="EB495" s="5"/>
      <c r="EC495" s="5"/>
      <c r="ED495" s="5"/>
      <c r="EE495" s="5"/>
      <c r="EF495" s="5"/>
      <c r="EG495" s="5"/>
      <c r="EH495" s="5"/>
      <c r="EI495" s="5"/>
      <c r="EJ495" s="5"/>
      <c r="EK495" s="5"/>
      <c r="EL495" s="5"/>
      <c r="EM495" s="5"/>
      <c r="EN495" s="5"/>
      <c r="EO495" s="5"/>
      <c r="EP495" s="5"/>
      <c r="EQ495" s="5"/>
      <c r="ER495" s="5"/>
      <c r="ES495" s="5"/>
      <c r="ET495" s="5"/>
      <c r="EU495" s="5"/>
      <c r="EV495" s="5"/>
      <c r="EW495" s="5"/>
      <c r="EX495" s="5"/>
      <c r="EY495" s="5"/>
      <c r="EZ495" s="5"/>
      <c r="FA495" s="5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5"/>
      <c r="CT496" s="5"/>
      <c r="CU496" s="5"/>
      <c r="CV496" s="5"/>
      <c r="CW496" s="5"/>
      <c r="CX496" s="5"/>
      <c r="CY496" s="5"/>
      <c r="CZ496" s="5"/>
      <c r="DA496" s="5"/>
      <c r="DB496" s="5"/>
      <c r="DC496" s="5"/>
      <c r="DD496" s="5"/>
      <c r="DE496" s="5"/>
      <c r="DF496" s="5"/>
      <c r="DG496" s="5"/>
      <c r="DH496" s="5"/>
      <c r="DI496" s="5"/>
      <c r="DJ496" s="5"/>
      <c r="DK496" s="5"/>
      <c r="DL496" s="5"/>
      <c r="DM496" s="5"/>
      <c r="DN496" s="5"/>
      <c r="DO496" s="5"/>
      <c r="DP496" s="5"/>
      <c r="DQ496" s="5"/>
      <c r="DR496" s="5"/>
      <c r="DS496" s="5"/>
      <c r="DT496" s="5"/>
      <c r="DU496" s="5"/>
      <c r="DV496" s="5"/>
      <c r="DW496" s="5"/>
      <c r="DX496" s="5"/>
      <c r="DY496" s="5"/>
      <c r="DZ496" s="5"/>
      <c r="EA496" s="5"/>
      <c r="EB496" s="5"/>
      <c r="EC496" s="5"/>
      <c r="ED496" s="5"/>
      <c r="EE496" s="5"/>
      <c r="EF496" s="5"/>
      <c r="EG496" s="5"/>
      <c r="EH496" s="5"/>
      <c r="EI496" s="5"/>
      <c r="EJ496" s="5"/>
      <c r="EK496" s="5"/>
      <c r="EL496" s="5"/>
      <c r="EM496" s="5"/>
      <c r="EN496" s="5"/>
      <c r="EO496" s="5"/>
      <c r="EP496" s="5"/>
      <c r="EQ496" s="5"/>
      <c r="ER496" s="5"/>
      <c r="ES496" s="5"/>
      <c r="ET496" s="5"/>
      <c r="EU496" s="5"/>
      <c r="EV496" s="5"/>
      <c r="EW496" s="5"/>
      <c r="EX496" s="5"/>
      <c r="EY496" s="5"/>
      <c r="EZ496" s="5"/>
      <c r="FA496" s="5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5"/>
      <c r="CT497" s="5"/>
      <c r="CU497" s="5"/>
      <c r="CV497" s="5"/>
      <c r="CW497" s="5"/>
      <c r="CX497" s="5"/>
      <c r="CY497" s="5"/>
      <c r="CZ497" s="5"/>
      <c r="DA497" s="5"/>
      <c r="DB497" s="5"/>
      <c r="DC497" s="5"/>
      <c r="DD497" s="5"/>
      <c r="DE497" s="5"/>
      <c r="DF497" s="5"/>
      <c r="DG497" s="5"/>
      <c r="DH497" s="5"/>
      <c r="DI497" s="5"/>
      <c r="DJ497" s="5"/>
      <c r="DK497" s="5"/>
      <c r="DL497" s="5"/>
      <c r="DM497" s="5"/>
      <c r="DN497" s="5"/>
      <c r="DO497" s="5"/>
      <c r="DP497" s="5"/>
      <c r="DQ497" s="5"/>
      <c r="DR497" s="5"/>
      <c r="DS497" s="5"/>
      <c r="DT497" s="5"/>
      <c r="DU497" s="5"/>
      <c r="DV497" s="5"/>
      <c r="DW497" s="5"/>
      <c r="DX497" s="5"/>
      <c r="DY497" s="5"/>
      <c r="DZ497" s="5"/>
      <c r="EA497" s="5"/>
      <c r="EB497" s="5"/>
      <c r="EC497" s="5"/>
      <c r="ED497" s="5"/>
      <c r="EE497" s="5"/>
      <c r="EF497" s="5"/>
      <c r="EG497" s="5"/>
      <c r="EH497" s="5"/>
      <c r="EI497" s="5"/>
      <c r="EJ497" s="5"/>
      <c r="EK497" s="5"/>
      <c r="EL497" s="5"/>
      <c r="EM497" s="5"/>
      <c r="EN497" s="5"/>
      <c r="EO497" s="5"/>
      <c r="EP497" s="5"/>
      <c r="EQ497" s="5"/>
      <c r="ER497" s="5"/>
      <c r="ES497" s="5"/>
      <c r="ET497" s="5"/>
      <c r="EU497" s="5"/>
      <c r="EV497" s="5"/>
      <c r="EW497" s="5"/>
      <c r="EX497" s="5"/>
      <c r="EY497" s="5"/>
      <c r="EZ497" s="5"/>
      <c r="FA497" s="5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5"/>
      <c r="CT498" s="5"/>
      <c r="CU498" s="5"/>
      <c r="CV498" s="5"/>
      <c r="CW498" s="5"/>
      <c r="CX498" s="5"/>
      <c r="CY498" s="5"/>
      <c r="CZ498" s="5"/>
      <c r="DA498" s="5"/>
      <c r="DB498" s="5"/>
      <c r="DC498" s="5"/>
      <c r="DD498" s="5"/>
      <c r="DE498" s="5"/>
      <c r="DF498" s="5"/>
      <c r="DG498" s="5"/>
      <c r="DH498" s="5"/>
      <c r="DI498" s="5"/>
      <c r="DJ498" s="5"/>
      <c r="DK498" s="5"/>
      <c r="DL498" s="5"/>
      <c r="DM498" s="5"/>
      <c r="DN498" s="5"/>
      <c r="DO498" s="5"/>
      <c r="DP498" s="5"/>
      <c r="DQ498" s="5"/>
      <c r="DR498" s="5"/>
      <c r="DS498" s="5"/>
      <c r="DT498" s="5"/>
      <c r="DU498" s="5"/>
      <c r="DV498" s="5"/>
      <c r="DW498" s="5"/>
      <c r="DX498" s="5"/>
      <c r="DY498" s="5"/>
      <c r="DZ498" s="5"/>
      <c r="EA498" s="5"/>
      <c r="EB498" s="5"/>
      <c r="EC498" s="5"/>
      <c r="ED498" s="5"/>
      <c r="EE498" s="5"/>
      <c r="EF498" s="5"/>
      <c r="EG498" s="5"/>
      <c r="EH498" s="5"/>
      <c r="EI498" s="5"/>
      <c r="EJ498" s="5"/>
      <c r="EK498" s="5"/>
      <c r="EL498" s="5"/>
      <c r="EM498" s="5"/>
      <c r="EN498" s="5"/>
      <c r="EO498" s="5"/>
      <c r="EP498" s="5"/>
      <c r="EQ498" s="5"/>
      <c r="ER498" s="5"/>
      <c r="ES498" s="5"/>
      <c r="ET498" s="5"/>
      <c r="EU498" s="5"/>
      <c r="EV498" s="5"/>
      <c r="EW498" s="5"/>
      <c r="EX498" s="5"/>
      <c r="EY498" s="5"/>
      <c r="EZ498" s="5"/>
      <c r="FA498" s="5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5"/>
      <c r="CT499" s="5"/>
      <c r="CU499" s="5"/>
      <c r="CV499" s="5"/>
      <c r="CW499" s="5"/>
      <c r="CX499" s="5"/>
      <c r="CY499" s="5"/>
      <c r="CZ499" s="5"/>
      <c r="DA499" s="5"/>
      <c r="DB499" s="5"/>
      <c r="DC499" s="5"/>
      <c r="DD499" s="5"/>
      <c r="DE499" s="5"/>
      <c r="DF499" s="5"/>
      <c r="DG499" s="5"/>
      <c r="DH499" s="5"/>
      <c r="DI499" s="5"/>
      <c r="DJ499" s="5"/>
      <c r="DK499" s="5"/>
      <c r="DL499" s="5"/>
      <c r="DM499" s="5"/>
      <c r="DN499" s="5"/>
      <c r="DO499" s="5"/>
      <c r="DP499" s="5"/>
      <c r="DQ499" s="5"/>
      <c r="DR499" s="5"/>
      <c r="DS499" s="5"/>
      <c r="DT499" s="5"/>
      <c r="DU499" s="5"/>
      <c r="DV499" s="5"/>
      <c r="DW499" s="5"/>
      <c r="DX499" s="5"/>
      <c r="DY499" s="5"/>
      <c r="DZ499" s="5"/>
      <c r="EA499" s="5"/>
      <c r="EB499" s="5"/>
      <c r="EC499" s="5"/>
      <c r="ED499" s="5"/>
      <c r="EE499" s="5"/>
      <c r="EF499" s="5"/>
      <c r="EG499" s="5"/>
      <c r="EH499" s="5"/>
      <c r="EI499" s="5"/>
      <c r="EJ499" s="5"/>
      <c r="EK499" s="5"/>
      <c r="EL499" s="5"/>
      <c r="EM499" s="5"/>
      <c r="EN499" s="5"/>
      <c r="EO499" s="5"/>
      <c r="EP499" s="5"/>
      <c r="EQ499" s="5"/>
      <c r="ER499" s="5"/>
      <c r="ES499" s="5"/>
      <c r="ET499" s="5"/>
      <c r="EU499" s="5"/>
      <c r="EV499" s="5"/>
      <c r="EW499" s="5"/>
      <c r="EX499" s="5"/>
      <c r="EY499" s="5"/>
      <c r="EZ499" s="5"/>
      <c r="FA499" s="5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5"/>
      <c r="CT500" s="5"/>
      <c r="CU500" s="5"/>
      <c r="CV500" s="5"/>
      <c r="CW500" s="5"/>
      <c r="CX500" s="5"/>
      <c r="CY500" s="5"/>
      <c r="CZ500" s="5"/>
      <c r="DA500" s="5"/>
      <c r="DB500" s="5"/>
      <c r="DC500" s="5"/>
      <c r="DD500" s="5"/>
      <c r="DE500" s="5"/>
      <c r="DF500" s="5"/>
      <c r="DG500" s="5"/>
      <c r="DH500" s="5"/>
      <c r="DI500" s="5"/>
      <c r="DJ500" s="5"/>
      <c r="DK500" s="5"/>
      <c r="DL500" s="5"/>
      <c r="DM500" s="5"/>
      <c r="DN500" s="5"/>
      <c r="DO500" s="5"/>
      <c r="DP500" s="5"/>
      <c r="DQ500" s="5"/>
      <c r="DR500" s="5"/>
      <c r="DS500" s="5"/>
      <c r="DT500" s="5"/>
      <c r="DU500" s="5"/>
      <c r="DV500" s="5"/>
      <c r="DW500" s="5"/>
      <c r="DX500" s="5"/>
      <c r="DY500" s="5"/>
      <c r="DZ500" s="5"/>
      <c r="EA500" s="5"/>
      <c r="EB500" s="5"/>
      <c r="EC500" s="5"/>
      <c r="ED500" s="5"/>
      <c r="EE500" s="5"/>
      <c r="EF500" s="5"/>
      <c r="EG500" s="5"/>
      <c r="EH500" s="5"/>
      <c r="EI500" s="5"/>
      <c r="EJ500" s="5"/>
      <c r="EK500" s="5"/>
      <c r="EL500" s="5"/>
      <c r="EM500" s="5"/>
      <c r="EN500" s="5"/>
      <c r="EO500" s="5"/>
      <c r="EP500" s="5"/>
      <c r="EQ500" s="5"/>
      <c r="ER500" s="5"/>
      <c r="ES500" s="5"/>
      <c r="ET500" s="5"/>
      <c r="EU500" s="5"/>
      <c r="EV500" s="5"/>
      <c r="EW500" s="5"/>
      <c r="EX500" s="5"/>
      <c r="EY500" s="5"/>
      <c r="EZ500" s="5"/>
      <c r="FA500" s="5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5"/>
      <c r="CT501" s="5"/>
      <c r="CU501" s="5"/>
      <c r="CV501" s="5"/>
      <c r="CW501" s="5"/>
      <c r="CX501" s="5"/>
      <c r="CY501" s="5"/>
      <c r="CZ501" s="5"/>
      <c r="DA501" s="5"/>
      <c r="DB501" s="5"/>
      <c r="DC501" s="5"/>
      <c r="DD501" s="5"/>
      <c r="DE501" s="5"/>
      <c r="DF501" s="5"/>
      <c r="DG501" s="5"/>
      <c r="DH501" s="5"/>
      <c r="DI501" s="5"/>
      <c r="DJ501" s="5"/>
      <c r="DK501" s="5"/>
      <c r="DL501" s="5"/>
      <c r="DM501" s="5"/>
      <c r="DN501" s="5"/>
      <c r="DO501" s="5"/>
      <c r="DP501" s="5"/>
      <c r="DQ501" s="5"/>
      <c r="DR501" s="5"/>
      <c r="DS501" s="5"/>
      <c r="DT501" s="5"/>
      <c r="DU501" s="5"/>
      <c r="DV501" s="5"/>
      <c r="DW501" s="5"/>
      <c r="DX501" s="5"/>
      <c r="DY501" s="5"/>
      <c r="DZ501" s="5"/>
      <c r="EA501" s="5"/>
      <c r="EB501" s="5"/>
      <c r="EC501" s="5"/>
      <c r="ED501" s="5"/>
      <c r="EE501" s="5"/>
      <c r="EF501" s="5"/>
      <c r="EG501" s="5"/>
      <c r="EH501" s="5"/>
      <c r="EI501" s="5"/>
      <c r="EJ501" s="5"/>
      <c r="EK501" s="5"/>
      <c r="EL501" s="5"/>
      <c r="EM501" s="5"/>
      <c r="EN501" s="5"/>
      <c r="EO501" s="5"/>
      <c r="EP501" s="5"/>
      <c r="EQ501" s="5"/>
      <c r="ER501" s="5"/>
      <c r="ES501" s="5"/>
      <c r="ET501" s="5"/>
      <c r="EU501" s="5"/>
      <c r="EV501" s="5"/>
      <c r="EW501" s="5"/>
      <c r="EX501" s="5"/>
      <c r="EY501" s="5"/>
      <c r="EZ501" s="5"/>
      <c r="FA501" s="5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5"/>
      <c r="CT502" s="5"/>
      <c r="CU502" s="5"/>
      <c r="CV502" s="5"/>
      <c r="CW502" s="5"/>
      <c r="CX502" s="5"/>
      <c r="CY502" s="5"/>
      <c r="CZ502" s="5"/>
      <c r="DA502" s="5"/>
      <c r="DB502" s="5"/>
      <c r="DC502" s="5"/>
      <c r="DD502" s="5"/>
      <c r="DE502" s="5"/>
      <c r="DF502" s="5"/>
      <c r="DG502" s="5"/>
      <c r="DH502" s="5"/>
      <c r="DI502" s="5"/>
      <c r="DJ502" s="5"/>
      <c r="DK502" s="5"/>
      <c r="DL502" s="5"/>
      <c r="DM502" s="5"/>
      <c r="DN502" s="5"/>
      <c r="DO502" s="5"/>
      <c r="DP502" s="5"/>
      <c r="DQ502" s="5"/>
      <c r="DR502" s="5"/>
      <c r="DS502" s="5"/>
      <c r="DT502" s="5"/>
      <c r="DU502" s="5"/>
      <c r="DV502" s="5"/>
      <c r="DW502" s="5"/>
      <c r="DX502" s="5"/>
      <c r="DY502" s="5"/>
      <c r="DZ502" s="5"/>
      <c r="EA502" s="5"/>
      <c r="EB502" s="5"/>
      <c r="EC502" s="5"/>
      <c r="ED502" s="5"/>
      <c r="EE502" s="5"/>
      <c r="EF502" s="5"/>
      <c r="EG502" s="5"/>
      <c r="EH502" s="5"/>
      <c r="EI502" s="5"/>
      <c r="EJ502" s="5"/>
      <c r="EK502" s="5"/>
      <c r="EL502" s="5"/>
      <c r="EM502" s="5"/>
      <c r="EN502" s="5"/>
      <c r="EO502" s="5"/>
      <c r="EP502" s="5"/>
      <c r="EQ502" s="5"/>
      <c r="ER502" s="5"/>
      <c r="ES502" s="5"/>
      <c r="ET502" s="5"/>
      <c r="EU502" s="5"/>
      <c r="EV502" s="5"/>
      <c r="EW502" s="5"/>
      <c r="EX502" s="5"/>
      <c r="EY502" s="5"/>
      <c r="EZ502" s="5"/>
      <c r="FA502" s="5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5"/>
      <c r="CT503" s="5"/>
      <c r="CU503" s="5"/>
      <c r="CV503" s="5"/>
      <c r="CW503" s="5"/>
      <c r="CX503" s="5"/>
      <c r="CY503" s="5"/>
      <c r="CZ503" s="5"/>
      <c r="DA503" s="5"/>
      <c r="DB503" s="5"/>
      <c r="DC503" s="5"/>
      <c r="DD503" s="5"/>
      <c r="DE503" s="5"/>
      <c r="DF503" s="5"/>
      <c r="DG503" s="5"/>
      <c r="DH503" s="5"/>
      <c r="DI503" s="5"/>
      <c r="DJ503" s="5"/>
      <c r="DK503" s="5"/>
      <c r="DL503" s="5"/>
      <c r="DM503" s="5"/>
      <c r="DN503" s="5"/>
      <c r="DO503" s="5"/>
      <c r="DP503" s="5"/>
      <c r="DQ503" s="5"/>
      <c r="DR503" s="5"/>
      <c r="DS503" s="5"/>
      <c r="DT503" s="5"/>
      <c r="DU503" s="5"/>
      <c r="DV503" s="5"/>
      <c r="DW503" s="5"/>
      <c r="DX503" s="5"/>
      <c r="DY503" s="5"/>
      <c r="DZ503" s="5"/>
      <c r="EA503" s="5"/>
      <c r="EB503" s="5"/>
      <c r="EC503" s="5"/>
      <c r="ED503" s="5"/>
      <c r="EE503" s="5"/>
      <c r="EF503" s="5"/>
      <c r="EG503" s="5"/>
      <c r="EH503" s="5"/>
      <c r="EI503" s="5"/>
      <c r="EJ503" s="5"/>
      <c r="EK503" s="5"/>
      <c r="EL503" s="5"/>
      <c r="EM503" s="5"/>
      <c r="EN503" s="5"/>
      <c r="EO503" s="5"/>
      <c r="EP503" s="5"/>
      <c r="EQ503" s="5"/>
      <c r="ER503" s="5"/>
      <c r="ES503" s="5"/>
      <c r="ET503" s="5"/>
      <c r="EU503" s="5"/>
      <c r="EV503" s="5"/>
      <c r="EW503" s="5"/>
      <c r="EX503" s="5"/>
      <c r="EY503" s="5"/>
      <c r="EZ503" s="5"/>
      <c r="FA503" s="5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5"/>
      <c r="CT504" s="5"/>
      <c r="CU504" s="5"/>
      <c r="CV504" s="5"/>
      <c r="CW504" s="5"/>
      <c r="CX504" s="5"/>
      <c r="CY504" s="5"/>
      <c r="CZ504" s="5"/>
      <c r="DA504" s="5"/>
      <c r="DB504" s="5"/>
      <c r="DC504" s="5"/>
      <c r="DD504" s="5"/>
      <c r="DE504" s="5"/>
      <c r="DF504" s="5"/>
      <c r="DG504" s="5"/>
      <c r="DH504" s="5"/>
      <c r="DI504" s="5"/>
      <c r="DJ504" s="5"/>
      <c r="DK504" s="5"/>
      <c r="DL504" s="5"/>
      <c r="DM504" s="5"/>
      <c r="DN504" s="5"/>
      <c r="DO504" s="5"/>
      <c r="DP504" s="5"/>
      <c r="DQ504" s="5"/>
      <c r="DR504" s="5"/>
      <c r="DS504" s="5"/>
      <c r="DT504" s="5"/>
      <c r="DU504" s="5"/>
      <c r="DV504" s="5"/>
      <c r="DW504" s="5"/>
      <c r="DX504" s="5"/>
      <c r="DY504" s="5"/>
      <c r="DZ504" s="5"/>
      <c r="EA504" s="5"/>
      <c r="EB504" s="5"/>
      <c r="EC504" s="5"/>
      <c r="ED504" s="5"/>
      <c r="EE504" s="5"/>
      <c r="EF504" s="5"/>
      <c r="EG504" s="5"/>
      <c r="EH504" s="5"/>
      <c r="EI504" s="5"/>
      <c r="EJ504" s="5"/>
      <c r="EK504" s="5"/>
      <c r="EL504" s="5"/>
      <c r="EM504" s="5"/>
      <c r="EN504" s="5"/>
      <c r="EO504" s="5"/>
      <c r="EP504" s="5"/>
      <c r="EQ504" s="5"/>
      <c r="ER504" s="5"/>
      <c r="ES504" s="5"/>
      <c r="ET504" s="5"/>
      <c r="EU504" s="5"/>
      <c r="EV504" s="5"/>
      <c r="EW504" s="5"/>
      <c r="EX504" s="5"/>
      <c r="EY504" s="5"/>
      <c r="EZ504" s="5"/>
      <c r="FA504" s="5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5"/>
      <c r="CT505" s="5"/>
      <c r="CU505" s="5"/>
      <c r="CV505" s="5"/>
      <c r="CW505" s="5"/>
      <c r="CX505" s="5"/>
      <c r="CY505" s="5"/>
      <c r="CZ505" s="5"/>
      <c r="DA505" s="5"/>
      <c r="DB505" s="5"/>
      <c r="DC505" s="5"/>
      <c r="DD505" s="5"/>
      <c r="DE505" s="5"/>
      <c r="DF505" s="5"/>
      <c r="DG505" s="5"/>
      <c r="DH505" s="5"/>
      <c r="DI505" s="5"/>
      <c r="DJ505" s="5"/>
      <c r="DK505" s="5"/>
      <c r="DL505" s="5"/>
      <c r="DM505" s="5"/>
      <c r="DN505" s="5"/>
      <c r="DO505" s="5"/>
      <c r="DP505" s="5"/>
      <c r="DQ505" s="5"/>
      <c r="DR505" s="5"/>
      <c r="DS505" s="5"/>
      <c r="DT505" s="5"/>
      <c r="DU505" s="5"/>
      <c r="DV505" s="5"/>
      <c r="DW505" s="5"/>
      <c r="DX505" s="5"/>
      <c r="DY505" s="5"/>
      <c r="DZ505" s="5"/>
      <c r="EA505" s="5"/>
      <c r="EB505" s="5"/>
      <c r="EC505" s="5"/>
      <c r="ED505" s="5"/>
      <c r="EE505" s="5"/>
      <c r="EF505" s="5"/>
      <c r="EG505" s="5"/>
      <c r="EH505" s="5"/>
      <c r="EI505" s="5"/>
      <c r="EJ505" s="5"/>
      <c r="EK505" s="5"/>
      <c r="EL505" s="5"/>
      <c r="EM505" s="5"/>
      <c r="EN505" s="5"/>
      <c r="EO505" s="5"/>
      <c r="EP505" s="5"/>
      <c r="EQ505" s="5"/>
      <c r="ER505" s="5"/>
      <c r="ES505" s="5"/>
      <c r="ET505" s="5"/>
      <c r="EU505" s="5"/>
      <c r="EV505" s="5"/>
      <c r="EW505" s="5"/>
      <c r="EX505" s="5"/>
      <c r="EY505" s="5"/>
      <c r="EZ505" s="5"/>
      <c r="FA505" s="5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5"/>
      <c r="CT506" s="5"/>
      <c r="CU506" s="5"/>
      <c r="CV506" s="5"/>
      <c r="CW506" s="5"/>
      <c r="CX506" s="5"/>
      <c r="CY506" s="5"/>
      <c r="CZ506" s="5"/>
      <c r="DA506" s="5"/>
      <c r="DB506" s="5"/>
      <c r="DC506" s="5"/>
      <c r="DD506" s="5"/>
      <c r="DE506" s="5"/>
      <c r="DF506" s="5"/>
      <c r="DG506" s="5"/>
      <c r="DH506" s="5"/>
      <c r="DI506" s="5"/>
      <c r="DJ506" s="5"/>
      <c r="DK506" s="5"/>
      <c r="DL506" s="5"/>
      <c r="DM506" s="5"/>
      <c r="DN506" s="5"/>
      <c r="DO506" s="5"/>
      <c r="DP506" s="5"/>
      <c r="DQ506" s="5"/>
      <c r="DR506" s="5"/>
      <c r="DS506" s="5"/>
      <c r="DT506" s="5"/>
      <c r="DU506" s="5"/>
      <c r="DV506" s="5"/>
      <c r="DW506" s="5"/>
      <c r="DX506" s="5"/>
      <c r="DY506" s="5"/>
      <c r="DZ506" s="5"/>
      <c r="EA506" s="5"/>
      <c r="EB506" s="5"/>
      <c r="EC506" s="5"/>
      <c r="ED506" s="5"/>
      <c r="EE506" s="5"/>
      <c r="EF506" s="5"/>
      <c r="EG506" s="5"/>
      <c r="EH506" s="5"/>
      <c r="EI506" s="5"/>
      <c r="EJ506" s="5"/>
      <c r="EK506" s="5"/>
      <c r="EL506" s="5"/>
      <c r="EM506" s="5"/>
      <c r="EN506" s="5"/>
      <c r="EO506" s="5"/>
      <c r="EP506" s="5"/>
      <c r="EQ506" s="5"/>
      <c r="ER506" s="5"/>
      <c r="ES506" s="5"/>
      <c r="ET506" s="5"/>
      <c r="EU506" s="5"/>
      <c r="EV506" s="5"/>
      <c r="EW506" s="5"/>
      <c r="EX506" s="5"/>
      <c r="EY506" s="5"/>
      <c r="EZ506" s="5"/>
      <c r="FA506" s="5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5"/>
      <c r="CT507" s="5"/>
      <c r="CU507" s="5"/>
      <c r="CV507" s="5"/>
      <c r="CW507" s="5"/>
      <c r="CX507" s="5"/>
      <c r="CY507" s="5"/>
      <c r="CZ507" s="5"/>
      <c r="DA507" s="5"/>
      <c r="DB507" s="5"/>
      <c r="DC507" s="5"/>
      <c r="DD507" s="5"/>
      <c r="DE507" s="5"/>
      <c r="DF507" s="5"/>
      <c r="DG507" s="5"/>
      <c r="DH507" s="5"/>
      <c r="DI507" s="5"/>
      <c r="DJ507" s="5"/>
      <c r="DK507" s="5"/>
      <c r="DL507" s="5"/>
      <c r="DM507" s="5"/>
      <c r="DN507" s="5"/>
      <c r="DO507" s="5"/>
      <c r="DP507" s="5"/>
      <c r="DQ507" s="5"/>
      <c r="DR507" s="5"/>
      <c r="DS507" s="5"/>
      <c r="DT507" s="5"/>
      <c r="DU507" s="5"/>
      <c r="DV507" s="5"/>
      <c r="DW507" s="5"/>
      <c r="DX507" s="5"/>
      <c r="DY507" s="5"/>
      <c r="DZ507" s="5"/>
      <c r="EA507" s="5"/>
      <c r="EB507" s="5"/>
      <c r="EC507" s="5"/>
      <c r="ED507" s="5"/>
      <c r="EE507" s="5"/>
      <c r="EF507" s="5"/>
      <c r="EG507" s="5"/>
      <c r="EH507" s="5"/>
      <c r="EI507" s="5"/>
      <c r="EJ507" s="5"/>
      <c r="EK507" s="5"/>
      <c r="EL507" s="5"/>
      <c r="EM507" s="5"/>
      <c r="EN507" s="5"/>
      <c r="EO507" s="5"/>
      <c r="EP507" s="5"/>
      <c r="EQ507" s="5"/>
      <c r="ER507" s="5"/>
      <c r="ES507" s="5"/>
      <c r="ET507" s="5"/>
      <c r="EU507" s="5"/>
      <c r="EV507" s="5"/>
      <c r="EW507" s="5"/>
      <c r="EX507" s="5"/>
      <c r="EY507" s="5"/>
      <c r="EZ507" s="5"/>
      <c r="FA507" s="5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5"/>
      <c r="CT508" s="5"/>
      <c r="CU508" s="5"/>
      <c r="CV508" s="5"/>
      <c r="CW508" s="5"/>
      <c r="CX508" s="5"/>
      <c r="CY508" s="5"/>
      <c r="CZ508" s="5"/>
      <c r="DA508" s="5"/>
      <c r="DB508" s="5"/>
      <c r="DC508" s="5"/>
      <c r="DD508" s="5"/>
      <c r="DE508" s="5"/>
      <c r="DF508" s="5"/>
      <c r="DG508" s="5"/>
      <c r="DH508" s="5"/>
      <c r="DI508" s="5"/>
      <c r="DJ508" s="5"/>
      <c r="DK508" s="5"/>
      <c r="DL508" s="5"/>
      <c r="DM508" s="5"/>
      <c r="DN508" s="5"/>
      <c r="DO508" s="5"/>
      <c r="DP508" s="5"/>
      <c r="DQ508" s="5"/>
      <c r="DR508" s="5"/>
      <c r="DS508" s="5"/>
      <c r="DT508" s="5"/>
      <c r="DU508" s="5"/>
      <c r="DV508" s="5"/>
      <c r="DW508" s="5"/>
      <c r="DX508" s="5"/>
      <c r="DY508" s="5"/>
      <c r="DZ508" s="5"/>
      <c r="EA508" s="5"/>
      <c r="EB508" s="5"/>
      <c r="EC508" s="5"/>
      <c r="ED508" s="5"/>
      <c r="EE508" s="5"/>
      <c r="EF508" s="5"/>
      <c r="EG508" s="5"/>
      <c r="EH508" s="5"/>
      <c r="EI508" s="5"/>
      <c r="EJ508" s="5"/>
      <c r="EK508" s="5"/>
      <c r="EL508" s="5"/>
      <c r="EM508" s="5"/>
      <c r="EN508" s="5"/>
      <c r="EO508" s="5"/>
      <c r="EP508" s="5"/>
      <c r="EQ508" s="5"/>
      <c r="ER508" s="5"/>
      <c r="ES508" s="5"/>
      <c r="ET508" s="5"/>
      <c r="EU508" s="5"/>
      <c r="EV508" s="5"/>
      <c r="EW508" s="5"/>
      <c r="EX508" s="5"/>
      <c r="EY508" s="5"/>
      <c r="EZ508" s="5"/>
      <c r="FA508" s="5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5"/>
      <c r="CT509" s="5"/>
      <c r="CU509" s="5"/>
      <c r="CV509" s="5"/>
      <c r="CW509" s="5"/>
      <c r="CX509" s="5"/>
      <c r="CY509" s="5"/>
      <c r="CZ509" s="5"/>
      <c r="DA509" s="5"/>
      <c r="DB509" s="5"/>
      <c r="DC509" s="5"/>
      <c r="DD509" s="5"/>
      <c r="DE509" s="5"/>
      <c r="DF509" s="5"/>
      <c r="DG509" s="5"/>
      <c r="DH509" s="5"/>
      <c r="DI509" s="5"/>
      <c r="DJ509" s="5"/>
      <c r="DK509" s="5"/>
      <c r="DL509" s="5"/>
      <c r="DM509" s="5"/>
      <c r="DN509" s="5"/>
      <c r="DO509" s="5"/>
      <c r="DP509" s="5"/>
      <c r="DQ509" s="5"/>
      <c r="DR509" s="5"/>
      <c r="DS509" s="5"/>
      <c r="DT509" s="5"/>
      <c r="DU509" s="5"/>
      <c r="DV509" s="5"/>
      <c r="DW509" s="5"/>
      <c r="DX509" s="5"/>
      <c r="DY509" s="5"/>
      <c r="DZ509" s="5"/>
      <c r="EA509" s="5"/>
      <c r="EB509" s="5"/>
      <c r="EC509" s="5"/>
      <c r="ED509" s="5"/>
      <c r="EE509" s="5"/>
      <c r="EF509" s="5"/>
      <c r="EG509" s="5"/>
      <c r="EH509" s="5"/>
      <c r="EI509" s="5"/>
      <c r="EJ509" s="5"/>
      <c r="EK509" s="5"/>
      <c r="EL509" s="5"/>
      <c r="EM509" s="5"/>
      <c r="EN509" s="5"/>
      <c r="EO509" s="5"/>
      <c r="EP509" s="5"/>
      <c r="EQ509" s="5"/>
      <c r="ER509" s="5"/>
      <c r="ES509" s="5"/>
      <c r="ET509" s="5"/>
      <c r="EU509" s="5"/>
      <c r="EV509" s="5"/>
      <c r="EW509" s="5"/>
      <c r="EX509" s="5"/>
      <c r="EY509" s="5"/>
      <c r="EZ509" s="5"/>
      <c r="FA509" s="5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5"/>
      <c r="CT510" s="5"/>
      <c r="CU510" s="5"/>
      <c r="CV510" s="5"/>
      <c r="CW510" s="5"/>
      <c r="CX510" s="5"/>
      <c r="CY510" s="5"/>
      <c r="CZ510" s="5"/>
      <c r="DA510" s="5"/>
      <c r="DB510" s="5"/>
      <c r="DC510" s="5"/>
      <c r="DD510" s="5"/>
      <c r="DE510" s="5"/>
      <c r="DF510" s="5"/>
      <c r="DG510" s="5"/>
      <c r="DH510" s="5"/>
      <c r="DI510" s="5"/>
      <c r="DJ510" s="5"/>
      <c r="DK510" s="5"/>
      <c r="DL510" s="5"/>
      <c r="DM510" s="5"/>
      <c r="DN510" s="5"/>
      <c r="DO510" s="5"/>
      <c r="DP510" s="5"/>
      <c r="DQ510" s="5"/>
      <c r="DR510" s="5"/>
      <c r="DS510" s="5"/>
      <c r="DT510" s="5"/>
      <c r="DU510" s="5"/>
      <c r="DV510" s="5"/>
      <c r="DW510" s="5"/>
      <c r="DX510" s="5"/>
      <c r="DY510" s="5"/>
      <c r="DZ510" s="5"/>
      <c r="EA510" s="5"/>
      <c r="EB510" s="5"/>
      <c r="EC510" s="5"/>
      <c r="ED510" s="5"/>
      <c r="EE510" s="5"/>
      <c r="EF510" s="5"/>
      <c r="EG510" s="5"/>
      <c r="EH510" s="5"/>
      <c r="EI510" s="5"/>
      <c r="EJ510" s="5"/>
      <c r="EK510" s="5"/>
      <c r="EL510" s="5"/>
      <c r="EM510" s="5"/>
      <c r="EN510" s="5"/>
      <c r="EO510" s="5"/>
      <c r="EP510" s="5"/>
      <c r="EQ510" s="5"/>
      <c r="ER510" s="5"/>
      <c r="ES510" s="5"/>
      <c r="ET510" s="5"/>
      <c r="EU510" s="5"/>
      <c r="EV510" s="5"/>
      <c r="EW510" s="5"/>
      <c r="EX510" s="5"/>
      <c r="EY510" s="5"/>
      <c r="EZ510" s="5"/>
      <c r="FA510" s="5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5"/>
      <c r="CT511" s="5"/>
      <c r="CU511" s="5"/>
      <c r="CV511" s="5"/>
      <c r="CW511" s="5"/>
      <c r="CX511" s="5"/>
      <c r="CY511" s="5"/>
      <c r="CZ511" s="5"/>
      <c r="DA511" s="5"/>
      <c r="DB511" s="5"/>
      <c r="DC511" s="5"/>
      <c r="DD511" s="5"/>
      <c r="DE511" s="5"/>
      <c r="DF511" s="5"/>
      <c r="DG511" s="5"/>
      <c r="DH511" s="5"/>
      <c r="DI511" s="5"/>
      <c r="DJ511" s="5"/>
      <c r="DK511" s="5"/>
      <c r="DL511" s="5"/>
      <c r="DM511" s="5"/>
      <c r="DN511" s="5"/>
      <c r="DO511" s="5"/>
      <c r="DP511" s="5"/>
      <c r="DQ511" s="5"/>
      <c r="DR511" s="5"/>
      <c r="DS511" s="5"/>
      <c r="DT511" s="5"/>
      <c r="DU511" s="5"/>
      <c r="DV511" s="5"/>
      <c r="DW511" s="5"/>
      <c r="DX511" s="5"/>
      <c r="DY511" s="5"/>
      <c r="DZ511" s="5"/>
      <c r="EA511" s="5"/>
      <c r="EB511" s="5"/>
      <c r="EC511" s="5"/>
      <c r="ED511" s="5"/>
      <c r="EE511" s="5"/>
      <c r="EF511" s="5"/>
      <c r="EG511" s="5"/>
      <c r="EH511" s="5"/>
      <c r="EI511" s="5"/>
      <c r="EJ511" s="5"/>
      <c r="EK511" s="5"/>
      <c r="EL511" s="5"/>
      <c r="EM511" s="5"/>
      <c r="EN511" s="5"/>
      <c r="EO511" s="5"/>
      <c r="EP511" s="5"/>
      <c r="EQ511" s="5"/>
      <c r="ER511" s="5"/>
      <c r="ES511" s="5"/>
      <c r="ET511" s="5"/>
      <c r="EU511" s="5"/>
      <c r="EV511" s="5"/>
      <c r="EW511" s="5"/>
      <c r="EX511" s="5"/>
      <c r="EY511" s="5"/>
      <c r="EZ511" s="5"/>
      <c r="FA511" s="5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5"/>
      <c r="CT512" s="5"/>
      <c r="CU512" s="5"/>
      <c r="CV512" s="5"/>
      <c r="CW512" s="5"/>
      <c r="CX512" s="5"/>
      <c r="CY512" s="5"/>
      <c r="CZ512" s="5"/>
      <c r="DA512" s="5"/>
      <c r="DB512" s="5"/>
      <c r="DC512" s="5"/>
      <c r="DD512" s="5"/>
      <c r="DE512" s="5"/>
      <c r="DF512" s="5"/>
      <c r="DG512" s="5"/>
      <c r="DH512" s="5"/>
      <c r="DI512" s="5"/>
      <c r="DJ512" s="5"/>
      <c r="DK512" s="5"/>
      <c r="DL512" s="5"/>
      <c r="DM512" s="5"/>
      <c r="DN512" s="5"/>
      <c r="DO512" s="5"/>
      <c r="DP512" s="5"/>
      <c r="DQ512" s="5"/>
      <c r="DR512" s="5"/>
      <c r="DS512" s="5"/>
      <c r="DT512" s="5"/>
      <c r="DU512" s="5"/>
      <c r="DV512" s="5"/>
      <c r="DW512" s="5"/>
      <c r="DX512" s="5"/>
      <c r="DY512" s="5"/>
      <c r="DZ512" s="5"/>
      <c r="EA512" s="5"/>
      <c r="EB512" s="5"/>
      <c r="EC512" s="5"/>
      <c r="ED512" s="5"/>
      <c r="EE512" s="5"/>
      <c r="EF512" s="5"/>
      <c r="EG512" s="5"/>
      <c r="EH512" s="5"/>
      <c r="EI512" s="5"/>
      <c r="EJ512" s="5"/>
      <c r="EK512" s="5"/>
      <c r="EL512" s="5"/>
      <c r="EM512" s="5"/>
      <c r="EN512" s="5"/>
      <c r="EO512" s="5"/>
      <c r="EP512" s="5"/>
      <c r="EQ512" s="5"/>
      <c r="ER512" s="5"/>
      <c r="ES512" s="5"/>
      <c r="ET512" s="5"/>
      <c r="EU512" s="5"/>
      <c r="EV512" s="5"/>
      <c r="EW512" s="5"/>
      <c r="EX512" s="5"/>
      <c r="EY512" s="5"/>
      <c r="EZ512" s="5"/>
      <c r="FA512" s="5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5"/>
      <c r="CT513" s="5"/>
      <c r="CU513" s="5"/>
      <c r="CV513" s="5"/>
      <c r="CW513" s="5"/>
      <c r="CX513" s="5"/>
      <c r="CY513" s="5"/>
      <c r="CZ513" s="5"/>
      <c r="DA513" s="5"/>
      <c r="DB513" s="5"/>
      <c r="DC513" s="5"/>
      <c r="DD513" s="5"/>
      <c r="DE513" s="5"/>
      <c r="DF513" s="5"/>
      <c r="DG513" s="5"/>
      <c r="DH513" s="5"/>
      <c r="DI513" s="5"/>
      <c r="DJ513" s="5"/>
      <c r="DK513" s="5"/>
      <c r="DL513" s="5"/>
      <c r="DM513" s="5"/>
      <c r="DN513" s="5"/>
      <c r="DO513" s="5"/>
      <c r="DP513" s="5"/>
      <c r="DQ513" s="5"/>
      <c r="DR513" s="5"/>
      <c r="DS513" s="5"/>
      <c r="DT513" s="5"/>
      <c r="DU513" s="5"/>
      <c r="DV513" s="5"/>
      <c r="DW513" s="5"/>
      <c r="DX513" s="5"/>
      <c r="DY513" s="5"/>
      <c r="DZ513" s="5"/>
      <c r="EA513" s="5"/>
      <c r="EB513" s="5"/>
      <c r="EC513" s="5"/>
      <c r="ED513" s="5"/>
      <c r="EE513" s="5"/>
      <c r="EF513" s="5"/>
      <c r="EG513" s="5"/>
      <c r="EH513" s="5"/>
      <c r="EI513" s="5"/>
      <c r="EJ513" s="5"/>
      <c r="EK513" s="5"/>
      <c r="EL513" s="5"/>
      <c r="EM513" s="5"/>
      <c r="EN513" s="5"/>
      <c r="EO513" s="5"/>
      <c r="EP513" s="5"/>
      <c r="EQ513" s="5"/>
      <c r="ER513" s="5"/>
      <c r="ES513" s="5"/>
      <c r="ET513" s="5"/>
      <c r="EU513" s="5"/>
      <c r="EV513" s="5"/>
      <c r="EW513" s="5"/>
      <c r="EX513" s="5"/>
      <c r="EY513" s="5"/>
      <c r="EZ513" s="5"/>
      <c r="FA513" s="5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5"/>
      <c r="CT514" s="5"/>
      <c r="CU514" s="5"/>
      <c r="CV514" s="5"/>
      <c r="CW514" s="5"/>
      <c r="CX514" s="5"/>
      <c r="CY514" s="5"/>
      <c r="CZ514" s="5"/>
      <c r="DA514" s="5"/>
      <c r="DB514" s="5"/>
      <c r="DC514" s="5"/>
      <c r="DD514" s="5"/>
      <c r="DE514" s="5"/>
      <c r="DF514" s="5"/>
      <c r="DG514" s="5"/>
      <c r="DH514" s="5"/>
      <c r="DI514" s="5"/>
      <c r="DJ514" s="5"/>
      <c r="DK514" s="5"/>
      <c r="DL514" s="5"/>
      <c r="DM514" s="5"/>
      <c r="DN514" s="5"/>
      <c r="DO514" s="5"/>
      <c r="DP514" s="5"/>
      <c r="DQ514" s="5"/>
      <c r="DR514" s="5"/>
      <c r="DS514" s="5"/>
      <c r="DT514" s="5"/>
      <c r="DU514" s="5"/>
      <c r="DV514" s="5"/>
      <c r="DW514" s="5"/>
      <c r="DX514" s="5"/>
      <c r="DY514" s="5"/>
      <c r="DZ514" s="5"/>
      <c r="EA514" s="5"/>
      <c r="EB514" s="5"/>
      <c r="EC514" s="5"/>
      <c r="ED514" s="5"/>
      <c r="EE514" s="5"/>
      <c r="EF514" s="5"/>
      <c r="EG514" s="5"/>
      <c r="EH514" s="5"/>
      <c r="EI514" s="5"/>
      <c r="EJ514" s="5"/>
      <c r="EK514" s="5"/>
      <c r="EL514" s="5"/>
      <c r="EM514" s="5"/>
      <c r="EN514" s="5"/>
      <c r="EO514" s="5"/>
      <c r="EP514" s="5"/>
      <c r="EQ514" s="5"/>
      <c r="ER514" s="5"/>
      <c r="ES514" s="5"/>
      <c r="ET514" s="5"/>
      <c r="EU514" s="5"/>
      <c r="EV514" s="5"/>
      <c r="EW514" s="5"/>
      <c r="EX514" s="5"/>
      <c r="EY514" s="5"/>
      <c r="EZ514" s="5"/>
      <c r="FA514" s="5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5"/>
      <c r="CT515" s="5"/>
      <c r="CU515" s="5"/>
      <c r="CV515" s="5"/>
      <c r="CW515" s="5"/>
      <c r="CX515" s="5"/>
      <c r="CY515" s="5"/>
      <c r="CZ515" s="5"/>
      <c r="DA515" s="5"/>
      <c r="DB515" s="5"/>
      <c r="DC515" s="5"/>
      <c r="DD515" s="5"/>
      <c r="DE515" s="5"/>
      <c r="DF515" s="5"/>
      <c r="DG515" s="5"/>
      <c r="DH515" s="5"/>
      <c r="DI515" s="5"/>
      <c r="DJ515" s="5"/>
      <c r="DK515" s="5"/>
      <c r="DL515" s="5"/>
      <c r="DM515" s="5"/>
      <c r="DN515" s="5"/>
      <c r="DO515" s="5"/>
      <c r="DP515" s="5"/>
      <c r="DQ515" s="5"/>
      <c r="DR515" s="5"/>
      <c r="DS515" s="5"/>
      <c r="DT515" s="5"/>
      <c r="DU515" s="5"/>
      <c r="DV515" s="5"/>
      <c r="DW515" s="5"/>
      <c r="DX515" s="5"/>
      <c r="DY515" s="5"/>
      <c r="DZ515" s="5"/>
      <c r="EA515" s="5"/>
      <c r="EB515" s="5"/>
      <c r="EC515" s="5"/>
      <c r="ED515" s="5"/>
      <c r="EE515" s="5"/>
      <c r="EF515" s="5"/>
      <c r="EG515" s="5"/>
      <c r="EH515" s="5"/>
      <c r="EI515" s="5"/>
      <c r="EJ515" s="5"/>
      <c r="EK515" s="5"/>
      <c r="EL515" s="5"/>
      <c r="EM515" s="5"/>
      <c r="EN515" s="5"/>
      <c r="EO515" s="5"/>
      <c r="EP515" s="5"/>
      <c r="EQ515" s="5"/>
      <c r="ER515" s="5"/>
      <c r="ES515" s="5"/>
      <c r="ET515" s="5"/>
      <c r="EU515" s="5"/>
      <c r="EV515" s="5"/>
      <c r="EW515" s="5"/>
      <c r="EX515" s="5"/>
      <c r="EY515" s="5"/>
      <c r="EZ515" s="5"/>
      <c r="FA515" s="5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5"/>
      <c r="CT516" s="5"/>
      <c r="CU516" s="5"/>
      <c r="CV516" s="5"/>
      <c r="CW516" s="5"/>
      <c r="CX516" s="5"/>
      <c r="CY516" s="5"/>
      <c r="CZ516" s="5"/>
      <c r="DA516" s="5"/>
      <c r="DB516" s="5"/>
      <c r="DC516" s="5"/>
      <c r="DD516" s="5"/>
      <c r="DE516" s="5"/>
      <c r="DF516" s="5"/>
      <c r="DG516" s="5"/>
      <c r="DH516" s="5"/>
      <c r="DI516" s="5"/>
      <c r="DJ516" s="5"/>
      <c r="DK516" s="5"/>
      <c r="DL516" s="5"/>
      <c r="DM516" s="5"/>
      <c r="DN516" s="5"/>
      <c r="DO516" s="5"/>
      <c r="DP516" s="5"/>
      <c r="DQ516" s="5"/>
      <c r="DR516" s="5"/>
      <c r="DS516" s="5"/>
      <c r="DT516" s="5"/>
      <c r="DU516" s="5"/>
      <c r="DV516" s="5"/>
      <c r="DW516" s="5"/>
      <c r="DX516" s="5"/>
      <c r="DY516" s="5"/>
      <c r="DZ516" s="5"/>
      <c r="EA516" s="5"/>
      <c r="EB516" s="5"/>
      <c r="EC516" s="5"/>
      <c r="ED516" s="5"/>
      <c r="EE516" s="5"/>
      <c r="EF516" s="5"/>
      <c r="EG516" s="5"/>
      <c r="EH516" s="5"/>
      <c r="EI516" s="5"/>
      <c r="EJ516" s="5"/>
      <c r="EK516" s="5"/>
      <c r="EL516" s="5"/>
      <c r="EM516" s="5"/>
      <c r="EN516" s="5"/>
      <c r="EO516" s="5"/>
      <c r="EP516" s="5"/>
      <c r="EQ516" s="5"/>
      <c r="ER516" s="5"/>
      <c r="ES516" s="5"/>
      <c r="ET516" s="5"/>
      <c r="EU516" s="5"/>
      <c r="EV516" s="5"/>
      <c r="EW516" s="5"/>
      <c r="EX516" s="5"/>
      <c r="EY516" s="5"/>
      <c r="EZ516" s="5"/>
      <c r="FA516" s="5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5"/>
      <c r="CT517" s="5"/>
      <c r="CU517" s="5"/>
      <c r="CV517" s="5"/>
      <c r="CW517" s="5"/>
      <c r="CX517" s="5"/>
      <c r="CY517" s="5"/>
      <c r="CZ517" s="5"/>
      <c r="DA517" s="5"/>
      <c r="DB517" s="5"/>
      <c r="DC517" s="5"/>
      <c r="DD517" s="5"/>
      <c r="DE517" s="5"/>
      <c r="DF517" s="5"/>
      <c r="DG517" s="5"/>
      <c r="DH517" s="5"/>
      <c r="DI517" s="5"/>
      <c r="DJ517" s="5"/>
      <c r="DK517" s="5"/>
      <c r="DL517" s="5"/>
      <c r="DM517" s="5"/>
      <c r="DN517" s="5"/>
      <c r="DO517" s="5"/>
      <c r="DP517" s="5"/>
      <c r="DQ517" s="5"/>
      <c r="DR517" s="5"/>
      <c r="DS517" s="5"/>
      <c r="DT517" s="5"/>
      <c r="DU517" s="5"/>
      <c r="DV517" s="5"/>
      <c r="DW517" s="5"/>
      <c r="DX517" s="5"/>
      <c r="DY517" s="5"/>
      <c r="DZ517" s="5"/>
      <c r="EA517" s="5"/>
      <c r="EB517" s="5"/>
      <c r="EC517" s="5"/>
      <c r="ED517" s="5"/>
      <c r="EE517" s="5"/>
      <c r="EF517" s="5"/>
      <c r="EG517" s="5"/>
      <c r="EH517" s="5"/>
      <c r="EI517" s="5"/>
      <c r="EJ517" s="5"/>
      <c r="EK517" s="5"/>
      <c r="EL517" s="5"/>
      <c r="EM517" s="5"/>
      <c r="EN517" s="5"/>
      <c r="EO517" s="5"/>
      <c r="EP517" s="5"/>
      <c r="EQ517" s="5"/>
      <c r="ER517" s="5"/>
      <c r="ES517" s="5"/>
      <c r="ET517" s="5"/>
      <c r="EU517" s="5"/>
      <c r="EV517" s="5"/>
      <c r="EW517" s="5"/>
      <c r="EX517" s="5"/>
      <c r="EY517" s="5"/>
      <c r="EZ517" s="5"/>
      <c r="FA517" s="5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5"/>
      <c r="CT518" s="5"/>
      <c r="CU518" s="5"/>
      <c r="CV518" s="5"/>
      <c r="CW518" s="5"/>
      <c r="CX518" s="5"/>
      <c r="CY518" s="5"/>
      <c r="CZ518" s="5"/>
      <c r="DA518" s="5"/>
      <c r="DB518" s="5"/>
      <c r="DC518" s="5"/>
      <c r="DD518" s="5"/>
      <c r="DE518" s="5"/>
      <c r="DF518" s="5"/>
      <c r="DG518" s="5"/>
      <c r="DH518" s="5"/>
      <c r="DI518" s="5"/>
      <c r="DJ518" s="5"/>
      <c r="DK518" s="5"/>
      <c r="DL518" s="5"/>
      <c r="DM518" s="5"/>
      <c r="DN518" s="5"/>
      <c r="DO518" s="5"/>
      <c r="DP518" s="5"/>
      <c r="DQ518" s="5"/>
      <c r="DR518" s="5"/>
      <c r="DS518" s="5"/>
      <c r="DT518" s="5"/>
      <c r="DU518" s="5"/>
      <c r="DV518" s="5"/>
      <c r="DW518" s="5"/>
      <c r="DX518" s="5"/>
      <c r="DY518" s="5"/>
      <c r="DZ518" s="5"/>
      <c r="EA518" s="5"/>
      <c r="EB518" s="5"/>
      <c r="EC518" s="5"/>
      <c r="ED518" s="5"/>
      <c r="EE518" s="5"/>
      <c r="EF518" s="5"/>
      <c r="EG518" s="5"/>
      <c r="EH518" s="5"/>
      <c r="EI518" s="5"/>
      <c r="EJ518" s="5"/>
      <c r="EK518" s="5"/>
      <c r="EL518" s="5"/>
      <c r="EM518" s="5"/>
      <c r="EN518" s="5"/>
      <c r="EO518" s="5"/>
      <c r="EP518" s="5"/>
      <c r="EQ518" s="5"/>
      <c r="ER518" s="5"/>
      <c r="ES518" s="5"/>
      <c r="ET518" s="5"/>
      <c r="EU518" s="5"/>
      <c r="EV518" s="5"/>
      <c r="EW518" s="5"/>
      <c r="EX518" s="5"/>
      <c r="EY518" s="5"/>
      <c r="EZ518" s="5"/>
      <c r="FA518" s="5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5"/>
      <c r="CT519" s="5"/>
      <c r="CU519" s="5"/>
      <c r="CV519" s="5"/>
      <c r="CW519" s="5"/>
      <c r="CX519" s="5"/>
      <c r="CY519" s="5"/>
      <c r="CZ519" s="5"/>
      <c r="DA519" s="5"/>
      <c r="DB519" s="5"/>
      <c r="DC519" s="5"/>
      <c r="DD519" s="5"/>
      <c r="DE519" s="5"/>
      <c r="DF519" s="5"/>
      <c r="DG519" s="5"/>
      <c r="DH519" s="5"/>
      <c r="DI519" s="5"/>
      <c r="DJ519" s="5"/>
      <c r="DK519" s="5"/>
      <c r="DL519" s="5"/>
      <c r="DM519" s="5"/>
      <c r="DN519" s="5"/>
      <c r="DO519" s="5"/>
      <c r="DP519" s="5"/>
      <c r="DQ519" s="5"/>
      <c r="DR519" s="5"/>
      <c r="DS519" s="5"/>
      <c r="DT519" s="5"/>
      <c r="DU519" s="5"/>
      <c r="DV519" s="5"/>
      <c r="DW519" s="5"/>
      <c r="DX519" s="5"/>
      <c r="DY519" s="5"/>
      <c r="DZ519" s="5"/>
      <c r="EA519" s="5"/>
      <c r="EB519" s="5"/>
      <c r="EC519" s="5"/>
      <c r="ED519" s="5"/>
      <c r="EE519" s="5"/>
      <c r="EF519" s="5"/>
      <c r="EG519" s="5"/>
      <c r="EH519" s="5"/>
      <c r="EI519" s="5"/>
      <c r="EJ519" s="5"/>
      <c r="EK519" s="5"/>
      <c r="EL519" s="5"/>
      <c r="EM519" s="5"/>
      <c r="EN519" s="5"/>
      <c r="EO519" s="5"/>
      <c r="EP519" s="5"/>
      <c r="EQ519" s="5"/>
      <c r="ER519" s="5"/>
      <c r="ES519" s="5"/>
      <c r="ET519" s="5"/>
      <c r="EU519" s="5"/>
      <c r="EV519" s="5"/>
      <c r="EW519" s="5"/>
      <c r="EX519" s="5"/>
      <c r="EY519" s="5"/>
      <c r="EZ519" s="5"/>
      <c r="FA519" s="5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5"/>
      <c r="CT520" s="5"/>
      <c r="CU520" s="5"/>
      <c r="CV520" s="5"/>
      <c r="CW520" s="5"/>
      <c r="CX520" s="5"/>
      <c r="CY520" s="5"/>
      <c r="CZ520" s="5"/>
      <c r="DA520" s="5"/>
      <c r="DB520" s="5"/>
      <c r="DC520" s="5"/>
      <c r="DD520" s="5"/>
      <c r="DE520" s="5"/>
      <c r="DF520" s="5"/>
      <c r="DG520" s="5"/>
      <c r="DH520" s="5"/>
      <c r="DI520" s="5"/>
      <c r="DJ520" s="5"/>
      <c r="DK520" s="5"/>
      <c r="DL520" s="5"/>
      <c r="DM520" s="5"/>
      <c r="DN520" s="5"/>
      <c r="DO520" s="5"/>
      <c r="DP520" s="5"/>
      <c r="DQ520" s="5"/>
      <c r="DR520" s="5"/>
      <c r="DS520" s="5"/>
      <c r="DT520" s="5"/>
      <c r="DU520" s="5"/>
      <c r="DV520" s="5"/>
      <c r="DW520" s="5"/>
      <c r="DX520" s="5"/>
      <c r="DY520" s="5"/>
      <c r="DZ520" s="5"/>
      <c r="EA520" s="5"/>
      <c r="EB520" s="5"/>
      <c r="EC520" s="5"/>
      <c r="ED520" s="5"/>
      <c r="EE520" s="5"/>
      <c r="EF520" s="5"/>
      <c r="EG520" s="5"/>
      <c r="EH520" s="5"/>
      <c r="EI520" s="5"/>
      <c r="EJ520" s="5"/>
      <c r="EK520" s="5"/>
      <c r="EL520" s="5"/>
      <c r="EM520" s="5"/>
      <c r="EN520" s="5"/>
      <c r="EO520" s="5"/>
      <c r="EP520" s="5"/>
      <c r="EQ520" s="5"/>
      <c r="ER520" s="5"/>
      <c r="ES520" s="5"/>
      <c r="ET520" s="5"/>
      <c r="EU520" s="5"/>
      <c r="EV520" s="5"/>
      <c r="EW520" s="5"/>
      <c r="EX520" s="5"/>
      <c r="EY520" s="5"/>
      <c r="EZ520" s="5"/>
      <c r="FA520" s="5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5"/>
      <c r="CT521" s="5"/>
      <c r="CU521" s="5"/>
      <c r="CV521" s="5"/>
      <c r="CW521" s="5"/>
      <c r="CX521" s="5"/>
      <c r="CY521" s="5"/>
      <c r="CZ521" s="5"/>
      <c r="DA521" s="5"/>
      <c r="DB521" s="5"/>
      <c r="DC521" s="5"/>
      <c r="DD521" s="5"/>
      <c r="DE521" s="5"/>
      <c r="DF521" s="5"/>
      <c r="DG521" s="5"/>
      <c r="DH521" s="5"/>
      <c r="DI521" s="5"/>
      <c r="DJ521" s="5"/>
      <c r="DK521" s="5"/>
      <c r="DL521" s="5"/>
      <c r="DM521" s="5"/>
      <c r="DN521" s="5"/>
      <c r="DO521" s="5"/>
      <c r="DP521" s="5"/>
      <c r="DQ521" s="5"/>
      <c r="DR521" s="5"/>
      <c r="DS521" s="5"/>
      <c r="DT521" s="5"/>
      <c r="DU521" s="5"/>
      <c r="DV521" s="5"/>
      <c r="DW521" s="5"/>
      <c r="DX521" s="5"/>
      <c r="DY521" s="5"/>
      <c r="DZ521" s="5"/>
      <c r="EA521" s="5"/>
      <c r="EB521" s="5"/>
      <c r="EC521" s="5"/>
      <c r="ED521" s="5"/>
      <c r="EE521" s="5"/>
      <c r="EF521" s="5"/>
      <c r="EG521" s="5"/>
      <c r="EH521" s="5"/>
      <c r="EI521" s="5"/>
      <c r="EJ521" s="5"/>
      <c r="EK521" s="5"/>
      <c r="EL521" s="5"/>
      <c r="EM521" s="5"/>
      <c r="EN521" s="5"/>
      <c r="EO521" s="5"/>
      <c r="EP521" s="5"/>
      <c r="EQ521" s="5"/>
      <c r="ER521" s="5"/>
      <c r="ES521" s="5"/>
      <c r="ET521" s="5"/>
      <c r="EU521" s="5"/>
      <c r="EV521" s="5"/>
      <c r="EW521" s="5"/>
      <c r="EX521" s="5"/>
      <c r="EY521" s="5"/>
      <c r="EZ521" s="5"/>
      <c r="FA521" s="5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5"/>
      <c r="CT522" s="5"/>
      <c r="CU522" s="5"/>
      <c r="CV522" s="5"/>
      <c r="CW522" s="5"/>
      <c r="CX522" s="5"/>
      <c r="CY522" s="5"/>
      <c r="CZ522" s="5"/>
      <c r="DA522" s="5"/>
      <c r="DB522" s="5"/>
      <c r="DC522" s="5"/>
      <c r="DD522" s="5"/>
      <c r="DE522" s="5"/>
      <c r="DF522" s="5"/>
      <c r="DG522" s="5"/>
      <c r="DH522" s="5"/>
      <c r="DI522" s="5"/>
      <c r="DJ522" s="5"/>
      <c r="DK522" s="5"/>
      <c r="DL522" s="5"/>
      <c r="DM522" s="5"/>
      <c r="DN522" s="5"/>
      <c r="DO522" s="5"/>
      <c r="DP522" s="5"/>
      <c r="DQ522" s="5"/>
      <c r="DR522" s="5"/>
      <c r="DS522" s="5"/>
      <c r="DT522" s="5"/>
      <c r="DU522" s="5"/>
      <c r="DV522" s="5"/>
      <c r="DW522" s="5"/>
      <c r="DX522" s="5"/>
      <c r="DY522" s="5"/>
      <c r="DZ522" s="5"/>
      <c r="EA522" s="5"/>
      <c r="EB522" s="5"/>
      <c r="EC522" s="5"/>
      <c r="ED522" s="5"/>
      <c r="EE522" s="5"/>
      <c r="EF522" s="5"/>
      <c r="EG522" s="5"/>
      <c r="EH522" s="5"/>
      <c r="EI522" s="5"/>
      <c r="EJ522" s="5"/>
      <c r="EK522" s="5"/>
      <c r="EL522" s="5"/>
      <c r="EM522" s="5"/>
      <c r="EN522" s="5"/>
      <c r="EO522" s="5"/>
      <c r="EP522" s="5"/>
      <c r="EQ522" s="5"/>
      <c r="ER522" s="5"/>
      <c r="ES522" s="5"/>
      <c r="ET522" s="5"/>
      <c r="EU522" s="5"/>
      <c r="EV522" s="5"/>
      <c r="EW522" s="5"/>
      <c r="EX522" s="5"/>
      <c r="EY522" s="5"/>
      <c r="EZ522" s="5"/>
      <c r="FA522" s="5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5"/>
      <c r="CT523" s="5"/>
      <c r="CU523" s="5"/>
      <c r="CV523" s="5"/>
      <c r="CW523" s="5"/>
      <c r="CX523" s="5"/>
      <c r="CY523" s="5"/>
      <c r="CZ523" s="5"/>
      <c r="DA523" s="5"/>
      <c r="DB523" s="5"/>
      <c r="DC523" s="5"/>
      <c r="DD523" s="5"/>
      <c r="DE523" s="5"/>
      <c r="DF523" s="5"/>
      <c r="DG523" s="5"/>
      <c r="DH523" s="5"/>
      <c r="DI523" s="5"/>
      <c r="DJ523" s="5"/>
      <c r="DK523" s="5"/>
      <c r="DL523" s="5"/>
      <c r="DM523" s="5"/>
      <c r="DN523" s="5"/>
      <c r="DO523" s="5"/>
      <c r="DP523" s="5"/>
      <c r="DQ523" s="5"/>
      <c r="DR523" s="5"/>
      <c r="DS523" s="5"/>
      <c r="DT523" s="5"/>
      <c r="DU523" s="5"/>
      <c r="DV523" s="5"/>
      <c r="DW523" s="5"/>
      <c r="DX523" s="5"/>
      <c r="DY523" s="5"/>
      <c r="DZ523" s="5"/>
      <c r="EA523" s="5"/>
      <c r="EB523" s="5"/>
      <c r="EC523" s="5"/>
      <c r="ED523" s="5"/>
      <c r="EE523" s="5"/>
      <c r="EF523" s="5"/>
      <c r="EG523" s="5"/>
      <c r="EH523" s="5"/>
      <c r="EI523" s="5"/>
      <c r="EJ523" s="5"/>
      <c r="EK523" s="5"/>
      <c r="EL523" s="5"/>
      <c r="EM523" s="5"/>
      <c r="EN523" s="5"/>
      <c r="EO523" s="5"/>
      <c r="EP523" s="5"/>
      <c r="EQ523" s="5"/>
      <c r="ER523" s="5"/>
      <c r="ES523" s="5"/>
      <c r="ET523" s="5"/>
      <c r="EU523" s="5"/>
      <c r="EV523" s="5"/>
      <c r="EW523" s="5"/>
      <c r="EX523" s="5"/>
      <c r="EY523" s="5"/>
      <c r="EZ523" s="5"/>
      <c r="FA523" s="5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5"/>
      <c r="CT524" s="5"/>
      <c r="CU524" s="5"/>
      <c r="CV524" s="5"/>
      <c r="CW524" s="5"/>
      <c r="CX524" s="5"/>
      <c r="CY524" s="5"/>
      <c r="CZ524" s="5"/>
      <c r="DA524" s="5"/>
      <c r="DB524" s="5"/>
      <c r="DC524" s="5"/>
      <c r="DD524" s="5"/>
      <c r="DE524" s="5"/>
      <c r="DF524" s="5"/>
      <c r="DG524" s="5"/>
      <c r="DH524" s="5"/>
      <c r="DI524" s="5"/>
      <c r="DJ524" s="5"/>
      <c r="DK524" s="5"/>
      <c r="DL524" s="5"/>
      <c r="DM524" s="5"/>
      <c r="DN524" s="5"/>
      <c r="DO524" s="5"/>
      <c r="DP524" s="5"/>
      <c r="DQ524" s="5"/>
      <c r="DR524" s="5"/>
      <c r="DS524" s="5"/>
      <c r="DT524" s="5"/>
      <c r="DU524" s="5"/>
      <c r="DV524" s="5"/>
      <c r="DW524" s="5"/>
      <c r="DX524" s="5"/>
      <c r="DY524" s="5"/>
      <c r="DZ524" s="5"/>
      <c r="EA524" s="5"/>
      <c r="EB524" s="5"/>
      <c r="EC524" s="5"/>
      <c r="ED524" s="5"/>
      <c r="EE524" s="5"/>
      <c r="EF524" s="5"/>
      <c r="EG524" s="5"/>
      <c r="EH524" s="5"/>
      <c r="EI524" s="5"/>
      <c r="EJ524" s="5"/>
      <c r="EK524" s="5"/>
      <c r="EL524" s="5"/>
      <c r="EM524" s="5"/>
      <c r="EN524" s="5"/>
      <c r="EO524" s="5"/>
      <c r="EP524" s="5"/>
      <c r="EQ524" s="5"/>
      <c r="ER524" s="5"/>
      <c r="ES524" s="5"/>
      <c r="ET524" s="5"/>
      <c r="EU524" s="5"/>
      <c r="EV524" s="5"/>
      <c r="EW524" s="5"/>
      <c r="EX524" s="5"/>
      <c r="EY524" s="5"/>
      <c r="EZ524" s="5"/>
      <c r="FA524" s="5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5"/>
      <c r="CT525" s="5"/>
      <c r="CU525" s="5"/>
      <c r="CV525" s="5"/>
      <c r="CW525" s="5"/>
      <c r="CX525" s="5"/>
      <c r="CY525" s="5"/>
      <c r="CZ525" s="5"/>
      <c r="DA525" s="5"/>
      <c r="DB525" s="5"/>
      <c r="DC525" s="5"/>
      <c r="DD525" s="5"/>
      <c r="DE525" s="5"/>
      <c r="DF525" s="5"/>
      <c r="DG525" s="5"/>
      <c r="DH525" s="5"/>
      <c r="DI525" s="5"/>
      <c r="DJ525" s="5"/>
      <c r="DK525" s="5"/>
      <c r="DL525" s="5"/>
      <c r="DM525" s="5"/>
      <c r="DN525" s="5"/>
      <c r="DO525" s="5"/>
      <c r="DP525" s="5"/>
      <c r="DQ525" s="5"/>
      <c r="DR525" s="5"/>
      <c r="DS525" s="5"/>
      <c r="DT525" s="5"/>
      <c r="DU525" s="5"/>
      <c r="DV525" s="5"/>
      <c r="DW525" s="5"/>
      <c r="DX525" s="5"/>
      <c r="DY525" s="5"/>
      <c r="DZ525" s="5"/>
      <c r="EA525" s="5"/>
      <c r="EB525" s="5"/>
      <c r="EC525" s="5"/>
      <c r="ED525" s="5"/>
      <c r="EE525" s="5"/>
      <c r="EF525" s="5"/>
      <c r="EG525" s="5"/>
      <c r="EH525" s="5"/>
      <c r="EI525" s="5"/>
      <c r="EJ525" s="5"/>
      <c r="EK525" s="5"/>
      <c r="EL525" s="5"/>
      <c r="EM525" s="5"/>
      <c r="EN525" s="5"/>
      <c r="EO525" s="5"/>
      <c r="EP525" s="5"/>
      <c r="EQ525" s="5"/>
      <c r="ER525" s="5"/>
      <c r="ES525" s="5"/>
      <c r="ET525" s="5"/>
      <c r="EU525" s="5"/>
      <c r="EV525" s="5"/>
      <c r="EW525" s="5"/>
      <c r="EX525" s="5"/>
      <c r="EY525" s="5"/>
      <c r="EZ525" s="5"/>
      <c r="FA525" s="5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5"/>
      <c r="CT526" s="5"/>
      <c r="CU526" s="5"/>
      <c r="CV526" s="5"/>
      <c r="CW526" s="5"/>
      <c r="CX526" s="5"/>
      <c r="CY526" s="5"/>
      <c r="CZ526" s="5"/>
      <c r="DA526" s="5"/>
      <c r="DB526" s="5"/>
      <c r="DC526" s="5"/>
      <c r="DD526" s="5"/>
      <c r="DE526" s="5"/>
      <c r="DF526" s="5"/>
      <c r="DG526" s="5"/>
      <c r="DH526" s="5"/>
      <c r="DI526" s="5"/>
      <c r="DJ526" s="5"/>
      <c r="DK526" s="5"/>
      <c r="DL526" s="5"/>
      <c r="DM526" s="5"/>
      <c r="DN526" s="5"/>
      <c r="DO526" s="5"/>
      <c r="DP526" s="5"/>
      <c r="DQ526" s="5"/>
      <c r="DR526" s="5"/>
      <c r="DS526" s="5"/>
      <c r="DT526" s="5"/>
      <c r="DU526" s="5"/>
      <c r="DV526" s="5"/>
      <c r="DW526" s="5"/>
      <c r="DX526" s="5"/>
      <c r="DY526" s="5"/>
      <c r="DZ526" s="5"/>
      <c r="EA526" s="5"/>
      <c r="EB526" s="5"/>
      <c r="EC526" s="5"/>
      <c r="ED526" s="5"/>
      <c r="EE526" s="5"/>
      <c r="EF526" s="5"/>
      <c r="EG526" s="5"/>
      <c r="EH526" s="5"/>
      <c r="EI526" s="5"/>
      <c r="EJ526" s="5"/>
      <c r="EK526" s="5"/>
      <c r="EL526" s="5"/>
      <c r="EM526" s="5"/>
      <c r="EN526" s="5"/>
      <c r="EO526" s="5"/>
      <c r="EP526" s="5"/>
      <c r="EQ526" s="5"/>
      <c r="ER526" s="5"/>
      <c r="ES526" s="5"/>
      <c r="ET526" s="5"/>
      <c r="EU526" s="5"/>
      <c r="EV526" s="5"/>
      <c r="EW526" s="5"/>
      <c r="EX526" s="5"/>
      <c r="EY526" s="5"/>
      <c r="EZ526" s="5"/>
      <c r="FA526" s="5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5"/>
      <c r="CT527" s="5"/>
      <c r="CU527" s="5"/>
      <c r="CV527" s="5"/>
      <c r="CW527" s="5"/>
      <c r="CX527" s="5"/>
      <c r="CY527" s="5"/>
      <c r="CZ527" s="5"/>
      <c r="DA527" s="5"/>
      <c r="DB527" s="5"/>
      <c r="DC527" s="5"/>
      <c r="DD527" s="5"/>
      <c r="DE527" s="5"/>
      <c r="DF527" s="5"/>
      <c r="DG527" s="5"/>
      <c r="DH527" s="5"/>
      <c r="DI527" s="5"/>
      <c r="DJ527" s="5"/>
      <c r="DK527" s="5"/>
      <c r="DL527" s="5"/>
      <c r="DM527" s="5"/>
      <c r="DN527" s="5"/>
      <c r="DO527" s="5"/>
      <c r="DP527" s="5"/>
      <c r="DQ527" s="5"/>
      <c r="DR527" s="5"/>
      <c r="DS527" s="5"/>
      <c r="DT527" s="5"/>
      <c r="DU527" s="5"/>
      <c r="DV527" s="5"/>
      <c r="DW527" s="5"/>
      <c r="DX527" s="5"/>
      <c r="DY527" s="5"/>
      <c r="DZ527" s="5"/>
      <c r="EA527" s="5"/>
      <c r="EB527" s="5"/>
      <c r="EC527" s="5"/>
      <c r="ED527" s="5"/>
      <c r="EE527" s="5"/>
      <c r="EF527" s="5"/>
      <c r="EG527" s="5"/>
      <c r="EH527" s="5"/>
      <c r="EI527" s="5"/>
      <c r="EJ527" s="5"/>
      <c r="EK527" s="5"/>
      <c r="EL527" s="5"/>
      <c r="EM527" s="5"/>
      <c r="EN527" s="5"/>
      <c r="EO527" s="5"/>
      <c r="EP527" s="5"/>
      <c r="EQ527" s="5"/>
      <c r="ER527" s="5"/>
      <c r="ES527" s="5"/>
      <c r="ET527" s="5"/>
      <c r="EU527" s="5"/>
      <c r="EV527" s="5"/>
      <c r="EW527" s="5"/>
      <c r="EX527" s="5"/>
      <c r="EY527" s="5"/>
      <c r="EZ527" s="5"/>
      <c r="FA527" s="5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5"/>
      <c r="CT528" s="5"/>
      <c r="CU528" s="5"/>
      <c r="CV528" s="5"/>
      <c r="CW528" s="5"/>
      <c r="CX528" s="5"/>
      <c r="CY528" s="5"/>
      <c r="CZ528" s="5"/>
      <c r="DA528" s="5"/>
      <c r="DB528" s="5"/>
      <c r="DC528" s="5"/>
      <c r="DD528" s="5"/>
      <c r="DE528" s="5"/>
      <c r="DF528" s="5"/>
      <c r="DG528" s="5"/>
      <c r="DH528" s="5"/>
      <c r="DI528" s="5"/>
      <c r="DJ528" s="5"/>
      <c r="DK528" s="5"/>
      <c r="DL528" s="5"/>
      <c r="DM528" s="5"/>
      <c r="DN528" s="5"/>
      <c r="DO528" s="5"/>
      <c r="DP528" s="5"/>
      <c r="DQ528" s="5"/>
      <c r="DR528" s="5"/>
      <c r="DS528" s="5"/>
      <c r="DT528" s="5"/>
      <c r="DU528" s="5"/>
      <c r="DV528" s="5"/>
      <c r="DW528" s="5"/>
      <c r="DX528" s="5"/>
      <c r="DY528" s="5"/>
      <c r="DZ528" s="5"/>
      <c r="EA528" s="5"/>
      <c r="EB528" s="5"/>
      <c r="EC528" s="5"/>
      <c r="ED528" s="5"/>
      <c r="EE528" s="5"/>
      <c r="EF528" s="5"/>
      <c r="EG528" s="5"/>
      <c r="EH528" s="5"/>
      <c r="EI528" s="5"/>
      <c r="EJ528" s="5"/>
      <c r="EK528" s="5"/>
      <c r="EL528" s="5"/>
      <c r="EM528" s="5"/>
      <c r="EN528" s="5"/>
      <c r="EO528" s="5"/>
      <c r="EP528" s="5"/>
      <c r="EQ528" s="5"/>
      <c r="ER528" s="5"/>
      <c r="ES528" s="5"/>
      <c r="ET528" s="5"/>
      <c r="EU528" s="5"/>
      <c r="EV528" s="5"/>
      <c r="EW528" s="5"/>
      <c r="EX528" s="5"/>
      <c r="EY528" s="5"/>
      <c r="EZ528" s="5"/>
      <c r="FA528" s="5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5"/>
      <c r="CT529" s="5"/>
      <c r="CU529" s="5"/>
      <c r="CV529" s="5"/>
      <c r="CW529" s="5"/>
      <c r="CX529" s="5"/>
      <c r="CY529" s="5"/>
      <c r="CZ529" s="5"/>
      <c r="DA529" s="5"/>
      <c r="DB529" s="5"/>
      <c r="DC529" s="5"/>
      <c r="DD529" s="5"/>
      <c r="DE529" s="5"/>
      <c r="DF529" s="5"/>
      <c r="DG529" s="5"/>
      <c r="DH529" s="5"/>
      <c r="DI529" s="5"/>
      <c r="DJ529" s="5"/>
      <c r="DK529" s="5"/>
      <c r="DL529" s="5"/>
      <c r="DM529" s="5"/>
      <c r="DN529" s="5"/>
      <c r="DO529" s="5"/>
      <c r="DP529" s="5"/>
      <c r="DQ529" s="5"/>
      <c r="DR529" s="5"/>
      <c r="DS529" s="5"/>
      <c r="DT529" s="5"/>
      <c r="DU529" s="5"/>
      <c r="DV529" s="5"/>
      <c r="DW529" s="5"/>
      <c r="DX529" s="5"/>
      <c r="DY529" s="5"/>
      <c r="DZ529" s="5"/>
      <c r="EA529" s="5"/>
      <c r="EB529" s="5"/>
      <c r="EC529" s="5"/>
      <c r="ED529" s="5"/>
      <c r="EE529" s="5"/>
      <c r="EF529" s="5"/>
      <c r="EG529" s="5"/>
      <c r="EH529" s="5"/>
      <c r="EI529" s="5"/>
      <c r="EJ529" s="5"/>
      <c r="EK529" s="5"/>
      <c r="EL529" s="5"/>
      <c r="EM529" s="5"/>
      <c r="EN529" s="5"/>
      <c r="EO529" s="5"/>
      <c r="EP529" s="5"/>
      <c r="EQ529" s="5"/>
      <c r="ER529" s="5"/>
      <c r="ES529" s="5"/>
      <c r="ET529" s="5"/>
      <c r="EU529" s="5"/>
      <c r="EV529" s="5"/>
      <c r="EW529" s="5"/>
      <c r="EX529" s="5"/>
      <c r="EY529" s="5"/>
      <c r="EZ529" s="5"/>
      <c r="FA529" s="5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5"/>
      <c r="CT530" s="5"/>
      <c r="CU530" s="5"/>
      <c r="CV530" s="5"/>
      <c r="CW530" s="5"/>
      <c r="CX530" s="5"/>
      <c r="CY530" s="5"/>
      <c r="CZ530" s="5"/>
      <c r="DA530" s="5"/>
      <c r="DB530" s="5"/>
      <c r="DC530" s="5"/>
      <c r="DD530" s="5"/>
      <c r="DE530" s="5"/>
      <c r="DF530" s="5"/>
      <c r="DG530" s="5"/>
      <c r="DH530" s="5"/>
      <c r="DI530" s="5"/>
      <c r="DJ530" s="5"/>
      <c r="DK530" s="5"/>
      <c r="DL530" s="5"/>
      <c r="DM530" s="5"/>
      <c r="DN530" s="5"/>
      <c r="DO530" s="5"/>
      <c r="DP530" s="5"/>
      <c r="DQ530" s="5"/>
      <c r="DR530" s="5"/>
      <c r="DS530" s="5"/>
      <c r="DT530" s="5"/>
      <c r="DU530" s="5"/>
      <c r="DV530" s="5"/>
      <c r="DW530" s="5"/>
      <c r="DX530" s="5"/>
      <c r="DY530" s="5"/>
      <c r="DZ530" s="5"/>
      <c r="EA530" s="5"/>
      <c r="EB530" s="5"/>
      <c r="EC530" s="5"/>
      <c r="ED530" s="5"/>
      <c r="EE530" s="5"/>
      <c r="EF530" s="5"/>
      <c r="EG530" s="5"/>
      <c r="EH530" s="5"/>
      <c r="EI530" s="5"/>
      <c r="EJ530" s="5"/>
      <c r="EK530" s="5"/>
      <c r="EL530" s="5"/>
      <c r="EM530" s="5"/>
      <c r="EN530" s="5"/>
      <c r="EO530" s="5"/>
      <c r="EP530" s="5"/>
      <c r="EQ530" s="5"/>
      <c r="ER530" s="5"/>
      <c r="ES530" s="5"/>
      <c r="ET530" s="5"/>
      <c r="EU530" s="5"/>
      <c r="EV530" s="5"/>
      <c r="EW530" s="5"/>
      <c r="EX530" s="5"/>
      <c r="EY530" s="5"/>
      <c r="EZ530" s="5"/>
      <c r="FA530" s="5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5"/>
      <c r="CT531" s="5"/>
      <c r="CU531" s="5"/>
      <c r="CV531" s="5"/>
      <c r="CW531" s="5"/>
      <c r="CX531" s="5"/>
      <c r="CY531" s="5"/>
      <c r="CZ531" s="5"/>
      <c r="DA531" s="5"/>
      <c r="DB531" s="5"/>
      <c r="DC531" s="5"/>
      <c r="DD531" s="5"/>
      <c r="DE531" s="5"/>
      <c r="DF531" s="5"/>
      <c r="DG531" s="5"/>
      <c r="DH531" s="5"/>
      <c r="DI531" s="5"/>
      <c r="DJ531" s="5"/>
      <c r="DK531" s="5"/>
      <c r="DL531" s="5"/>
      <c r="DM531" s="5"/>
      <c r="DN531" s="5"/>
      <c r="DO531" s="5"/>
      <c r="DP531" s="5"/>
      <c r="DQ531" s="5"/>
      <c r="DR531" s="5"/>
      <c r="DS531" s="5"/>
      <c r="DT531" s="5"/>
      <c r="DU531" s="5"/>
      <c r="DV531" s="5"/>
      <c r="DW531" s="5"/>
      <c r="DX531" s="5"/>
      <c r="DY531" s="5"/>
      <c r="DZ531" s="5"/>
      <c r="EA531" s="5"/>
      <c r="EB531" s="5"/>
      <c r="EC531" s="5"/>
      <c r="ED531" s="5"/>
      <c r="EE531" s="5"/>
      <c r="EF531" s="5"/>
      <c r="EG531" s="5"/>
      <c r="EH531" s="5"/>
      <c r="EI531" s="5"/>
      <c r="EJ531" s="5"/>
      <c r="EK531" s="5"/>
      <c r="EL531" s="5"/>
      <c r="EM531" s="5"/>
      <c r="EN531" s="5"/>
      <c r="EO531" s="5"/>
      <c r="EP531" s="5"/>
      <c r="EQ531" s="5"/>
      <c r="ER531" s="5"/>
      <c r="ES531" s="5"/>
      <c r="ET531" s="5"/>
      <c r="EU531" s="5"/>
      <c r="EV531" s="5"/>
      <c r="EW531" s="5"/>
      <c r="EX531" s="5"/>
      <c r="EY531" s="5"/>
      <c r="EZ531" s="5"/>
      <c r="FA531" s="5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5"/>
      <c r="CT532" s="5"/>
      <c r="CU532" s="5"/>
      <c r="CV532" s="5"/>
      <c r="CW532" s="5"/>
      <c r="CX532" s="5"/>
      <c r="CY532" s="5"/>
      <c r="CZ532" s="5"/>
      <c r="DA532" s="5"/>
      <c r="DB532" s="5"/>
      <c r="DC532" s="5"/>
      <c r="DD532" s="5"/>
      <c r="DE532" s="5"/>
      <c r="DF532" s="5"/>
      <c r="DG532" s="5"/>
      <c r="DH532" s="5"/>
      <c r="DI532" s="5"/>
      <c r="DJ532" s="5"/>
      <c r="DK532" s="5"/>
      <c r="DL532" s="5"/>
      <c r="DM532" s="5"/>
      <c r="DN532" s="5"/>
      <c r="DO532" s="5"/>
      <c r="DP532" s="5"/>
      <c r="DQ532" s="5"/>
      <c r="DR532" s="5"/>
      <c r="DS532" s="5"/>
      <c r="DT532" s="5"/>
      <c r="DU532" s="5"/>
      <c r="DV532" s="5"/>
      <c r="DW532" s="5"/>
      <c r="DX532" s="5"/>
      <c r="DY532" s="5"/>
      <c r="DZ532" s="5"/>
      <c r="EA532" s="5"/>
      <c r="EB532" s="5"/>
      <c r="EC532" s="5"/>
      <c r="ED532" s="5"/>
      <c r="EE532" s="5"/>
      <c r="EF532" s="5"/>
      <c r="EG532" s="5"/>
      <c r="EH532" s="5"/>
      <c r="EI532" s="5"/>
      <c r="EJ532" s="5"/>
      <c r="EK532" s="5"/>
      <c r="EL532" s="5"/>
      <c r="EM532" s="5"/>
      <c r="EN532" s="5"/>
      <c r="EO532" s="5"/>
      <c r="EP532" s="5"/>
      <c r="EQ532" s="5"/>
      <c r="ER532" s="5"/>
      <c r="ES532" s="5"/>
      <c r="ET532" s="5"/>
      <c r="EU532" s="5"/>
      <c r="EV532" s="5"/>
      <c r="EW532" s="5"/>
      <c r="EX532" s="5"/>
      <c r="EY532" s="5"/>
      <c r="EZ532" s="5"/>
      <c r="FA532" s="5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5"/>
      <c r="CT533" s="5"/>
      <c r="CU533" s="5"/>
      <c r="CV533" s="5"/>
      <c r="CW533" s="5"/>
      <c r="CX533" s="5"/>
      <c r="CY533" s="5"/>
      <c r="CZ533" s="5"/>
      <c r="DA533" s="5"/>
      <c r="DB533" s="5"/>
      <c r="DC533" s="5"/>
      <c r="DD533" s="5"/>
      <c r="DE533" s="5"/>
      <c r="DF533" s="5"/>
      <c r="DG533" s="5"/>
      <c r="DH533" s="5"/>
      <c r="DI533" s="5"/>
      <c r="DJ533" s="5"/>
      <c r="DK533" s="5"/>
      <c r="DL533" s="5"/>
      <c r="DM533" s="5"/>
      <c r="DN533" s="5"/>
      <c r="DO533" s="5"/>
      <c r="DP533" s="5"/>
      <c r="DQ533" s="5"/>
      <c r="DR533" s="5"/>
      <c r="DS533" s="5"/>
      <c r="DT533" s="5"/>
      <c r="DU533" s="5"/>
      <c r="DV533" s="5"/>
      <c r="DW533" s="5"/>
      <c r="DX533" s="5"/>
      <c r="DY533" s="5"/>
      <c r="DZ533" s="5"/>
      <c r="EA533" s="5"/>
      <c r="EB533" s="5"/>
      <c r="EC533" s="5"/>
      <c r="ED533" s="5"/>
      <c r="EE533" s="5"/>
      <c r="EF533" s="5"/>
      <c r="EG533" s="5"/>
      <c r="EH533" s="5"/>
      <c r="EI533" s="5"/>
      <c r="EJ533" s="5"/>
      <c r="EK533" s="5"/>
      <c r="EL533" s="5"/>
      <c r="EM533" s="5"/>
      <c r="EN533" s="5"/>
      <c r="EO533" s="5"/>
      <c r="EP533" s="5"/>
      <c r="EQ533" s="5"/>
      <c r="ER533" s="5"/>
      <c r="ES533" s="5"/>
      <c r="ET533" s="5"/>
      <c r="EU533" s="5"/>
      <c r="EV533" s="5"/>
      <c r="EW533" s="5"/>
      <c r="EX533" s="5"/>
      <c r="EY533" s="5"/>
      <c r="EZ533" s="5"/>
      <c r="FA533" s="5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5"/>
      <c r="CT534" s="5"/>
      <c r="CU534" s="5"/>
      <c r="CV534" s="5"/>
      <c r="CW534" s="5"/>
      <c r="CX534" s="5"/>
      <c r="CY534" s="5"/>
      <c r="CZ534" s="5"/>
      <c r="DA534" s="5"/>
      <c r="DB534" s="5"/>
      <c r="DC534" s="5"/>
      <c r="DD534" s="5"/>
      <c r="DE534" s="5"/>
      <c r="DF534" s="5"/>
      <c r="DG534" s="5"/>
      <c r="DH534" s="5"/>
      <c r="DI534" s="5"/>
      <c r="DJ534" s="5"/>
      <c r="DK534" s="5"/>
      <c r="DL534" s="5"/>
      <c r="DM534" s="5"/>
      <c r="DN534" s="5"/>
      <c r="DO534" s="5"/>
      <c r="DP534" s="5"/>
      <c r="DQ534" s="5"/>
      <c r="DR534" s="5"/>
      <c r="DS534" s="5"/>
      <c r="DT534" s="5"/>
      <c r="DU534" s="5"/>
      <c r="DV534" s="5"/>
      <c r="DW534" s="5"/>
      <c r="DX534" s="5"/>
      <c r="DY534" s="5"/>
      <c r="DZ534" s="5"/>
      <c r="EA534" s="5"/>
      <c r="EB534" s="5"/>
      <c r="EC534" s="5"/>
      <c r="ED534" s="5"/>
      <c r="EE534" s="5"/>
      <c r="EF534" s="5"/>
      <c r="EG534" s="5"/>
      <c r="EH534" s="5"/>
      <c r="EI534" s="5"/>
      <c r="EJ534" s="5"/>
      <c r="EK534" s="5"/>
      <c r="EL534" s="5"/>
      <c r="EM534" s="5"/>
      <c r="EN534" s="5"/>
      <c r="EO534" s="5"/>
      <c r="EP534" s="5"/>
      <c r="EQ534" s="5"/>
      <c r="ER534" s="5"/>
      <c r="ES534" s="5"/>
      <c r="ET534" s="5"/>
      <c r="EU534" s="5"/>
      <c r="EV534" s="5"/>
      <c r="EW534" s="5"/>
      <c r="EX534" s="5"/>
      <c r="EY534" s="5"/>
      <c r="EZ534" s="5"/>
      <c r="FA534" s="5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5"/>
      <c r="CT535" s="5"/>
      <c r="CU535" s="5"/>
      <c r="CV535" s="5"/>
      <c r="CW535" s="5"/>
      <c r="CX535" s="5"/>
      <c r="CY535" s="5"/>
      <c r="CZ535" s="5"/>
      <c r="DA535" s="5"/>
      <c r="DB535" s="5"/>
      <c r="DC535" s="5"/>
      <c r="DD535" s="5"/>
      <c r="DE535" s="5"/>
      <c r="DF535" s="5"/>
      <c r="DG535" s="5"/>
      <c r="DH535" s="5"/>
      <c r="DI535" s="5"/>
      <c r="DJ535" s="5"/>
      <c r="DK535" s="5"/>
      <c r="DL535" s="5"/>
      <c r="DM535" s="5"/>
      <c r="DN535" s="5"/>
      <c r="DO535" s="5"/>
      <c r="DP535" s="5"/>
      <c r="DQ535" s="5"/>
      <c r="DR535" s="5"/>
      <c r="DS535" s="5"/>
      <c r="DT535" s="5"/>
      <c r="DU535" s="5"/>
      <c r="DV535" s="5"/>
      <c r="DW535" s="5"/>
      <c r="DX535" s="5"/>
      <c r="DY535" s="5"/>
      <c r="DZ535" s="5"/>
      <c r="EA535" s="5"/>
      <c r="EB535" s="5"/>
      <c r="EC535" s="5"/>
      <c r="ED535" s="5"/>
      <c r="EE535" s="5"/>
      <c r="EF535" s="5"/>
      <c r="EG535" s="5"/>
      <c r="EH535" s="5"/>
      <c r="EI535" s="5"/>
      <c r="EJ535" s="5"/>
      <c r="EK535" s="5"/>
      <c r="EL535" s="5"/>
      <c r="EM535" s="5"/>
      <c r="EN535" s="5"/>
      <c r="EO535" s="5"/>
      <c r="EP535" s="5"/>
      <c r="EQ535" s="5"/>
      <c r="ER535" s="5"/>
      <c r="ES535" s="5"/>
      <c r="ET535" s="5"/>
      <c r="EU535" s="5"/>
      <c r="EV535" s="5"/>
      <c r="EW535" s="5"/>
      <c r="EX535" s="5"/>
      <c r="EY535" s="5"/>
      <c r="EZ535" s="5"/>
      <c r="FA535" s="5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5"/>
      <c r="CT536" s="5"/>
      <c r="CU536" s="5"/>
      <c r="CV536" s="5"/>
      <c r="CW536" s="5"/>
      <c r="CX536" s="5"/>
      <c r="CY536" s="5"/>
      <c r="CZ536" s="5"/>
      <c r="DA536" s="5"/>
      <c r="DB536" s="5"/>
      <c r="DC536" s="5"/>
      <c r="DD536" s="5"/>
      <c r="DE536" s="5"/>
      <c r="DF536" s="5"/>
      <c r="DG536" s="5"/>
      <c r="DH536" s="5"/>
      <c r="DI536" s="5"/>
      <c r="DJ536" s="5"/>
      <c r="DK536" s="5"/>
      <c r="DL536" s="5"/>
      <c r="DM536" s="5"/>
      <c r="DN536" s="5"/>
      <c r="DO536" s="5"/>
      <c r="DP536" s="5"/>
      <c r="DQ536" s="5"/>
      <c r="DR536" s="5"/>
      <c r="DS536" s="5"/>
      <c r="DT536" s="5"/>
      <c r="DU536" s="5"/>
      <c r="DV536" s="5"/>
      <c r="DW536" s="5"/>
      <c r="DX536" s="5"/>
      <c r="DY536" s="5"/>
      <c r="DZ536" s="5"/>
      <c r="EA536" s="5"/>
      <c r="EB536" s="5"/>
      <c r="EC536" s="5"/>
      <c r="ED536" s="5"/>
      <c r="EE536" s="5"/>
      <c r="EF536" s="5"/>
      <c r="EG536" s="5"/>
      <c r="EH536" s="5"/>
      <c r="EI536" s="5"/>
      <c r="EJ536" s="5"/>
      <c r="EK536" s="5"/>
      <c r="EL536" s="5"/>
      <c r="EM536" s="5"/>
      <c r="EN536" s="5"/>
      <c r="EO536" s="5"/>
      <c r="EP536" s="5"/>
      <c r="EQ536" s="5"/>
      <c r="ER536" s="5"/>
      <c r="ES536" s="5"/>
      <c r="ET536" s="5"/>
      <c r="EU536" s="5"/>
      <c r="EV536" s="5"/>
      <c r="EW536" s="5"/>
      <c r="EX536" s="5"/>
      <c r="EY536" s="5"/>
      <c r="EZ536" s="5"/>
      <c r="FA536" s="5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5"/>
      <c r="CT537" s="5"/>
      <c r="CU537" s="5"/>
      <c r="CV537" s="5"/>
      <c r="CW537" s="5"/>
      <c r="CX537" s="5"/>
      <c r="CY537" s="5"/>
      <c r="CZ537" s="5"/>
      <c r="DA537" s="5"/>
      <c r="DB537" s="5"/>
      <c r="DC537" s="5"/>
      <c r="DD537" s="5"/>
      <c r="DE537" s="5"/>
      <c r="DF537" s="5"/>
      <c r="DG537" s="5"/>
      <c r="DH537" s="5"/>
      <c r="DI537" s="5"/>
      <c r="DJ537" s="5"/>
      <c r="DK537" s="5"/>
      <c r="DL537" s="5"/>
      <c r="DM537" s="5"/>
      <c r="DN537" s="5"/>
      <c r="DO537" s="5"/>
      <c r="DP537" s="5"/>
      <c r="DQ537" s="5"/>
      <c r="DR537" s="5"/>
      <c r="DS537" s="5"/>
      <c r="DT537" s="5"/>
      <c r="DU537" s="5"/>
      <c r="DV537" s="5"/>
      <c r="DW537" s="5"/>
      <c r="DX537" s="5"/>
      <c r="DY537" s="5"/>
      <c r="DZ537" s="5"/>
      <c r="EA537" s="5"/>
      <c r="EB537" s="5"/>
      <c r="EC537" s="5"/>
      <c r="ED537" s="5"/>
      <c r="EE537" s="5"/>
      <c r="EF537" s="5"/>
      <c r="EG537" s="5"/>
      <c r="EH537" s="5"/>
      <c r="EI537" s="5"/>
      <c r="EJ537" s="5"/>
      <c r="EK537" s="5"/>
      <c r="EL537" s="5"/>
      <c r="EM537" s="5"/>
      <c r="EN537" s="5"/>
      <c r="EO537" s="5"/>
      <c r="EP537" s="5"/>
      <c r="EQ537" s="5"/>
      <c r="ER537" s="5"/>
      <c r="ES537" s="5"/>
      <c r="ET537" s="5"/>
      <c r="EU537" s="5"/>
      <c r="EV537" s="5"/>
      <c r="EW537" s="5"/>
      <c r="EX537" s="5"/>
      <c r="EY537" s="5"/>
      <c r="EZ537" s="5"/>
      <c r="FA537" s="5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5"/>
      <c r="CT538" s="5"/>
      <c r="CU538" s="5"/>
      <c r="CV538" s="5"/>
      <c r="CW538" s="5"/>
      <c r="CX538" s="5"/>
      <c r="CY538" s="5"/>
      <c r="CZ538" s="5"/>
      <c r="DA538" s="5"/>
      <c r="DB538" s="5"/>
      <c r="DC538" s="5"/>
      <c r="DD538" s="5"/>
      <c r="DE538" s="5"/>
      <c r="DF538" s="5"/>
      <c r="DG538" s="5"/>
      <c r="DH538" s="5"/>
      <c r="DI538" s="5"/>
      <c r="DJ538" s="5"/>
      <c r="DK538" s="5"/>
      <c r="DL538" s="5"/>
      <c r="DM538" s="5"/>
      <c r="DN538" s="5"/>
      <c r="DO538" s="5"/>
      <c r="DP538" s="5"/>
      <c r="DQ538" s="5"/>
      <c r="DR538" s="5"/>
      <c r="DS538" s="5"/>
      <c r="DT538" s="5"/>
      <c r="DU538" s="5"/>
      <c r="DV538" s="5"/>
      <c r="DW538" s="5"/>
      <c r="DX538" s="5"/>
      <c r="DY538" s="5"/>
      <c r="DZ538" s="5"/>
      <c r="EA538" s="5"/>
      <c r="EB538" s="5"/>
      <c r="EC538" s="5"/>
      <c r="ED538" s="5"/>
      <c r="EE538" s="5"/>
      <c r="EF538" s="5"/>
      <c r="EG538" s="5"/>
      <c r="EH538" s="5"/>
      <c r="EI538" s="5"/>
      <c r="EJ538" s="5"/>
      <c r="EK538" s="5"/>
      <c r="EL538" s="5"/>
      <c r="EM538" s="5"/>
      <c r="EN538" s="5"/>
      <c r="EO538" s="5"/>
      <c r="EP538" s="5"/>
      <c r="EQ538" s="5"/>
      <c r="ER538" s="5"/>
      <c r="ES538" s="5"/>
      <c r="ET538" s="5"/>
      <c r="EU538" s="5"/>
      <c r="EV538" s="5"/>
      <c r="EW538" s="5"/>
      <c r="EX538" s="5"/>
      <c r="EY538" s="5"/>
      <c r="EZ538" s="5"/>
      <c r="FA538" s="5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5"/>
      <c r="CT539" s="5"/>
      <c r="CU539" s="5"/>
      <c r="CV539" s="5"/>
      <c r="CW539" s="5"/>
      <c r="CX539" s="5"/>
      <c r="CY539" s="5"/>
      <c r="CZ539" s="5"/>
      <c r="DA539" s="5"/>
      <c r="DB539" s="5"/>
      <c r="DC539" s="5"/>
      <c r="DD539" s="5"/>
      <c r="DE539" s="5"/>
      <c r="DF539" s="5"/>
      <c r="DG539" s="5"/>
      <c r="DH539" s="5"/>
      <c r="DI539" s="5"/>
      <c r="DJ539" s="5"/>
      <c r="DK539" s="5"/>
      <c r="DL539" s="5"/>
      <c r="DM539" s="5"/>
      <c r="DN539" s="5"/>
      <c r="DO539" s="5"/>
      <c r="DP539" s="5"/>
      <c r="DQ539" s="5"/>
      <c r="DR539" s="5"/>
      <c r="DS539" s="5"/>
      <c r="DT539" s="5"/>
      <c r="DU539" s="5"/>
      <c r="DV539" s="5"/>
      <c r="DW539" s="5"/>
      <c r="DX539" s="5"/>
      <c r="DY539" s="5"/>
      <c r="DZ539" s="5"/>
      <c r="EA539" s="5"/>
      <c r="EB539" s="5"/>
      <c r="EC539" s="5"/>
      <c r="ED539" s="5"/>
      <c r="EE539" s="5"/>
      <c r="EF539" s="5"/>
      <c r="EG539" s="5"/>
      <c r="EH539" s="5"/>
      <c r="EI539" s="5"/>
      <c r="EJ539" s="5"/>
      <c r="EK539" s="5"/>
      <c r="EL539" s="5"/>
      <c r="EM539" s="5"/>
      <c r="EN539" s="5"/>
      <c r="EO539" s="5"/>
      <c r="EP539" s="5"/>
      <c r="EQ539" s="5"/>
      <c r="ER539" s="5"/>
      <c r="ES539" s="5"/>
      <c r="ET539" s="5"/>
      <c r="EU539" s="5"/>
      <c r="EV539" s="5"/>
      <c r="EW539" s="5"/>
      <c r="EX539" s="5"/>
      <c r="EY539" s="5"/>
      <c r="EZ539" s="5"/>
      <c r="FA539" s="5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5"/>
      <c r="CT540" s="5"/>
      <c r="CU540" s="5"/>
      <c r="CV540" s="5"/>
      <c r="CW540" s="5"/>
      <c r="CX540" s="5"/>
      <c r="CY540" s="5"/>
      <c r="CZ540" s="5"/>
      <c r="DA540" s="5"/>
      <c r="DB540" s="5"/>
      <c r="DC540" s="5"/>
      <c r="DD540" s="5"/>
      <c r="DE540" s="5"/>
      <c r="DF540" s="5"/>
      <c r="DG540" s="5"/>
      <c r="DH540" s="5"/>
      <c r="DI540" s="5"/>
      <c r="DJ540" s="5"/>
      <c r="DK540" s="5"/>
      <c r="DL540" s="5"/>
      <c r="DM540" s="5"/>
      <c r="DN540" s="5"/>
      <c r="DO540" s="5"/>
      <c r="DP540" s="5"/>
      <c r="DQ540" s="5"/>
      <c r="DR540" s="5"/>
      <c r="DS540" s="5"/>
      <c r="DT540" s="5"/>
      <c r="DU540" s="5"/>
      <c r="DV540" s="5"/>
      <c r="DW540" s="5"/>
      <c r="DX540" s="5"/>
      <c r="DY540" s="5"/>
      <c r="DZ540" s="5"/>
      <c r="EA540" s="5"/>
      <c r="EB540" s="5"/>
      <c r="EC540" s="5"/>
      <c r="ED540" s="5"/>
      <c r="EE540" s="5"/>
      <c r="EF540" s="5"/>
      <c r="EG540" s="5"/>
      <c r="EH540" s="5"/>
      <c r="EI540" s="5"/>
      <c r="EJ540" s="5"/>
      <c r="EK540" s="5"/>
      <c r="EL540" s="5"/>
      <c r="EM540" s="5"/>
      <c r="EN540" s="5"/>
      <c r="EO540" s="5"/>
      <c r="EP540" s="5"/>
      <c r="EQ540" s="5"/>
      <c r="ER540" s="5"/>
      <c r="ES540" s="5"/>
      <c r="ET540" s="5"/>
      <c r="EU540" s="5"/>
      <c r="EV540" s="5"/>
      <c r="EW540" s="5"/>
      <c r="EX540" s="5"/>
      <c r="EY540" s="5"/>
      <c r="EZ540" s="5"/>
      <c r="FA540" s="5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5"/>
      <c r="CT541" s="5"/>
      <c r="CU541" s="5"/>
      <c r="CV541" s="5"/>
      <c r="CW541" s="5"/>
      <c r="CX541" s="5"/>
      <c r="CY541" s="5"/>
      <c r="CZ541" s="5"/>
      <c r="DA541" s="5"/>
      <c r="DB541" s="5"/>
      <c r="DC541" s="5"/>
      <c r="DD541" s="5"/>
      <c r="DE541" s="5"/>
      <c r="DF541" s="5"/>
      <c r="DG541" s="5"/>
      <c r="DH541" s="5"/>
      <c r="DI541" s="5"/>
      <c r="DJ541" s="5"/>
      <c r="DK541" s="5"/>
      <c r="DL541" s="5"/>
      <c r="DM541" s="5"/>
      <c r="DN541" s="5"/>
      <c r="DO541" s="5"/>
      <c r="DP541" s="5"/>
      <c r="DQ541" s="5"/>
      <c r="DR541" s="5"/>
      <c r="DS541" s="5"/>
      <c r="DT541" s="5"/>
      <c r="DU541" s="5"/>
      <c r="DV541" s="5"/>
      <c r="DW541" s="5"/>
      <c r="DX541" s="5"/>
      <c r="DY541" s="5"/>
      <c r="DZ541" s="5"/>
      <c r="EA541" s="5"/>
      <c r="EB541" s="5"/>
      <c r="EC541" s="5"/>
      <c r="ED541" s="5"/>
      <c r="EE541" s="5"/>
      <c r="EF541" s="5"/>
      <c r="EG541" s="5"/>
      <c r="EH541" s="5"/>
      <c r="EI541" s="5"/>
      <c r="EJ541" s="5"/>
      <c r="EK541" s="5"/>
      <c r="EL541" s="5"/>
      <c r="EM541" s="5"/>
      <c r="EN541" s="5"/>
      <c r="EO541" s="5"/>
      <c r="EP541" s="5"/>
      <c r="EQ541" s="5"/>
      <c r="ER541" s="5"/>
      <c r="ES541" s="5"/>
      <c r="ET541" s="5"/>
      <c r="EU541" s="5"/>
      <c r="EV541" s="5"/>
      <c r="EW541" s="5"/>
      <c r="EX541" s="5"/>
      <c r="EY541" s="5"/>
      <c r="EZ541" s="5"/>
      <c r="FA541" s="5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5"/>
      <c r="CT542" s="5"/>
      <c r="CU542" s="5"/>
      <c r="CV542" s="5"/>
      <c r="CW542" s="5"/>
      <c r="CX542" s="5"/>
      <c r="CY542" s="5"/>
      <c r="CZ542" s="5"/>
      <c r="DA542" s="5"/>
      <c r="DB542" s="5"/>
      <c r="DC542" s="5"/>
      <c r="DD542" s="5"/>
      <c r="DE542" s="5"/>
      <c r="DF542" s="5"/>
      <c r="DG542" s="5"/>
      <c r="DH542" s="5"/>
      <c r="DI542" s="5"/>
      <c r="DJ542" s="5"/>
      <c r="DK542" s="5"/>
      <c r="DL542" s="5"/>
      <c r="DM542" s="5"/>
      <c r="DN542" s="5"/>
      <c r="DO542" s="5"/>
      <c r="DP542" s="5"/>
      <c r="DQ542" s="5"/>
      <c r="DR542" s="5"/>
      <c r="DS542" s="5"/>
      <c r="DT542" s="5"/>
      <c r="DU542" s="5"/>
      <c r="DV542" s="5"/>
      <c r="DW542" s="5"/>
      <c r="DX542" s="5"/>
      <c r="DY542" s="5"/>
      <c r="DZ542" s="5"/>
      <c r="EA542" s="5"/>
      <c r="EB542" s="5"/>
      <c r="EC542" s="5"/>
      <c r="ED542" s="5"/>
      <c r="EE542" s="5"/>
      <c r="EF542" s="5"/>
      <c r="EG542" s="5"/>
      <c r="EH542" s="5"/>
      <c r="EI542" s="5"/>
      <c r="EJ542" s="5"/>
      <c r="EK542" s="5"/>
      <c r="EL542" s="5"/>
      <c r="EM542" s="5"/>
      <c r="EN542" s="5"/>
      <c r="EO542" s="5"/>
      <c r="EP542" s="5"/>
      <c r="EQ542" s="5"/>
      <c r="ER542" s="5"/>
      <c r="ES542" s="5"/>
      <c r="ET542" s="5"/>
      <c r="EU542" s="5"/>
      <c r="EV542" s="5"/>
      <c r="EW542" s="5"/>
      <c r="EX542" s="5"/>
      <c r="EY542" s="5"/>
      <c r="EZ542" s="5"/>
      <c r="FA542" s="5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5"/>
      <c r="CT543" s="5"/>
      <c r="CU543" s="5"/>
      <c r="CV543" s="5"/>
      <c r="CW543" s="5"/>
      <c r="CX543" s="5"/>
      <c r="CY543" s="5"/>
      <c r="CZ543" s="5"/>
      <c r="DA543" s="5"/>
      <c r="DB543" s="5"/>
      <c r="DC543" s="5"/>
      <c r="DD543" s="5"/>
      <c r="DE543" s="5"/>
      <c r="DF543" s="5"/>
      <c r="DG543" s="5"/>
      <c r="DH543" s="5"/>
      <c r="DI543" s="5"/>
      <c r="DJ543" s="5"/>
      <c r="DK543" s="5"/>
      <c r="DL543" s="5"/>
      <c r="DM543" s="5"/>
      <c r="DN543" s="5"/>
      <c r="DO543" s="5"/>
      <c r="DP543" s="5"/>
      <c r="DQ543" s="5"/>
      <c r="DR543" s="5"/>
      <c r="DS543" s="5"/>
      <c r="DT543" s="5"/>
      <c r="DU543" s="5"/>
      <c r="DV543" s="5"/>
      <c r="DW543" s="5"/>
      <c r="DX543" s="5"/>
      <c r="DY543" s="5"/>
      <c r="DZ543" s="5"/>
      <c r="EA543" s="5"/>
      <c r="EB543" s="5"/>
      <c r="EC543" s="5"/>
      <c r="ED543" s="5"/>
      <c r="EE543" s="5"/>
      <c r="EF543" s="5"/>
      <c r="EG543" s="5"/>
      <c r="EH543" s="5"/>
      <c r="EI543" s="5"/>
      <c r="EJ543" s="5"/>
      <c r="EK543" s="5"/>
      <c r="EL543" s="5"/>
      <c r="EM543" s="5"/>
      <c r="EN543" s="5"/>
      <c r="EO543" s="5"/>
      <c r="EP543" s="5"/>
      <c r="EQ543" s="5"/>
      <c r="ER543" s="5"/>
      <c r="ES543" s="5"/>
      <c r="ET543" s="5"/>
      <c r="EU543" s="5"/>
      <c r="EV543" s="5"/>
      <c r="EW543" s="5"/>
      <c r="EX543" s="5"/>
      <c r="EY543" s="5"/>
      <c r="EZ543" s="5"/>
      <c r="FA543" s="5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5"/>
      <c r="CT544" s="5"/>
      <c r="CU544" s="5"/>
      <c r="CV544" s="5"/>
      <c r="CW544" s="5"/>
      <c r="CX544" s="5"/>
      <c r="CY544" s="5"/>
      <c r="CZ544" s="5"/>
      <c r="DA544" s="5"/>
      <c r="DB544" s="5"/>
      <c r="DC544" s="5"/>
      <c r="DD544" s="5"/>
      <c r="DE544" s="5"/>
      <c r="DF544" s="5"/>
      <c r="DG544" s="5"/>
      <c r="DH544" s="5"/>
      <c r="DI544" s="5"/>
      <c r="DJ544" s="5"/>
      <c r="DK544" s="5"/>
      <c r="DL544" s="5"/>
      <c r="DM544" s="5"/>
      <c r="DN544" s="5"/>
      <c r="DO544" s="5"/>
      <c r="DP544" s="5"/>
      <c r="DQ544" s="5"/>
      <c r="DR544" s="5"/>
      <c r="DS544" s="5"/>
      <c r="DT544" s="5"/>
      <c r="DU544" s="5"/>
      <c r="DV544" s="5"/>
      <c r="DW544" s="5"/>
      <c r="DX544" s="5"/>
      <c r="DY544" s="5"/>
      <c r="DZ544" s="5"/>
      <c r="EA544" s="5"/>
      <c r="EB544" s="5"/>
      <c r="EC544" s="5"/>
      <c r="ED544" s="5"/>
      <c r="EE544" s="5"/>
      <c r="EF544" s="5"/>
      <c r="EG544" s="5"/>
      <c r="EH544" s="5"/>
      <c r="EI544" s="5"/>
      <c r="EJ544" s="5"/>
      <c r="EK544" s="5"/>
      <c r="EL544" s="5"/>
      <c r="EM544" s="5"/>
      <c r="EN544" s="5"/>
      <c r="EO544" s="5"/>
      <c r="EP544" s="5"/>
      <c r="EQ544" s="5"/>
      <c r="ER544" s="5"/>
      <c r="ES544" s="5"/>
      <c r="ET544" s="5"/>
      <c r="EU544" s="5"/>
      <c r="EV544" s="5"/>
      <c r="EW544" s="5"/>
      <c r="EX544" s="5"/>
      <c r="EY544" s="5"/>
      <c r="EZ544" s="5"/>
      <c r="FA544" s="5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5"/>
      <c r="CT545" s="5"/>
      <c r="CU545" s="5"/>
      <c r="CV545" s="5"/>
      <c r="CW545" s="5"/>
      <c r="CX545" s="5"/>
      <c r="CY545" s="5"/>
      <c r="CZ545" s="5"/>
      <c r="DA545" s="5"/>
      <c r="DB545" s="5"/>
      <c r="DC545" s="5"/>
      <c r="DD545" s="5"/>
      <c r="DE545" s="5"/>
      <c r="DF545" s="5"/>
      <c r="DG545" s="5"/>
      <c r="DH545" s="5"/>
      <c r="DI545" s="5"/>
      <c r="DJ545" s="5"/>
      <c r="DK545" s="5"/>
      <c r="DL545" s="5"/>
      <c r="DM545" s="5"/>
      <c r="DN545" s="5"/>
      <c r="DO545" s="5"/>
      <c r="DP545" s="5"/>
      <c r="DQ545" s="5"/>
      <c r="DR545" s="5"/>
      <c r="DS545" s="5"/>
      <c r="DT545" s="5"/>
      <c r="DU545" s="5"/>
      <c r="DV545" s="5"/>
      <c r="DW545" s="5"/>
      <c r="DX545" s="5"/>
      <c r="DY545" s="5"/>
      <c r="DZ545" s="5"/>
      <c r="EA545" s="5"/>
      <c r="EB545" s="5"/>
      <c r="EC545" s="5"/>
      <c r="ED545" s="5"/>
      <c r="EE545" s="5"/>
      <c r="EF545" s="5"/>
      <c r="EG545" s="5"/>
      <c r="EH545" s="5"/>
      <c r="EI545" s="5"/>
      <c r="EJ545" s="5"/>
      <c r="EK545" s="5"/>
      <c r="EL545" s="5"/>
      <c r="EM545" s="5"/>
      <c r="EN545" s="5"/>
      <c r="EO545" s="5"/>
      <c r="EP545" s="5"/>
      <c r="EQ545" s="5"/>
      <c r="ER545" s="5"/>
      <c r="ES545" s="5"/>
      <c r="ET545" s="5"/>
      <c r="EU545" s="5"/>
      <c r="EV545" s="5"/>
      <c r="EW545" s="5"/>
      <c r="EX545" s="5"/>
      <c r="EY545" s="5"/>
      <c r="EZ545" s="5"/>
      <c r="FA545" s="5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5"/>
      <c r="CT546" s="5"/>
      <c r="CU546" s="5"/>
      <c r="CV546" s="5"/>
      <c r="CW546" s="5"/>
      <c r="CX546" s="5"/>
      <c r="CY546" s="5"/>
      <c r="CZ546" s="5"/>
      <c r="DA546" s="5"/>
      <c r="DB546" s="5"/>
      <c r="DC546" s="5"/>
      <c r="DD546" s="5"/>
      <c r="DE546" s="5"/>
      <c r="DF546" s="5"/>
      <c r="DG546" s="5"/>
      <c r="DH546" s="5"/>
      <c r="DI546" s="5"/>
      <c r="DJ546" s="5"/>
      <c r="DK546" s="5"/>
      <c r="DL546" s="5"/>
      <c r="DM546" s="5"/>
      <c r="DN546" s="5"/>
      <c r="DO546" s="5"/>
      <c r="DP546" s="5"/>
      <c r="DQ546" s="5"/>
      <c r="DR546" s="5"/>
      <c r="DS546" s="5"/>
      <c r="DT546" s="5"/>
      <c r="DU546" s="5"/>
      <c r="DV546" s="5"/>
      <c r="DW546" s="5"/>
      <c r="DX546" s="5"/>
      <c r="DY546" s="5"/>
      <c r="DZ546" s="5"/>
      <c r="EA546" s="5"/>
      <c r="EB546" s="5"/>
      <c r="EC546" s="5"/>
      <c r="ED546" s="5"/>
      <c r="EE546" s="5"/>
      <c r="EF546" s="5"/>
      <c r="EG546" s="5"/>
      <c r="EH546" s="5"/>
      <c r="EI546" s="5"/>
      <c r="EJ546" s="5"/>
      <c r="EK546" s="5"/>
      <c r="EL546" s="5"/>
      <c r="EM546" s="5"/>
      <c r="EN546" s="5"/>
      <c r="EO546" s="5"/>
      <c r="EP546" s="5"/>
      <c r="EQ546" s="5"/>
      <c r="ER546" s="5"/>
      <c r="ES546" s="5"/>
      <c r="ET546" s="5"/>
      <c r="EU546" s="5"/>
      <c r="EV546" s="5"/>
      <c r="EW546" s="5"/>
      <c r="EX546" s="5"/>
      <c r="EY546" s="5"/>
      <c r="EZ546" s="5"/>
      <c r="FA546" s="5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5"/>
      <c r="CT547" s="5"/>
      <c r="CU547" s="5"/>
      <c r="CV547" s="5"/>
      <c r="CW547" s="5"/>
      <c r="CX547" s="5"/>
      <c r="CY547" s="5"/>
      <c r="CZ547" s="5"/>
      <c r="DA547" s="5"/>
      <c r="DB547" s="5"/>
      <c r="DC547" s="5"/>
      <c r="DD547" s="5"/>
      <c r="DE547" s="5"/>
      <c r="DF547" s="5"/>
      <c r="DG547" s="5"/>
      <c r="DH547" s="5"/>
      <c r="DI547" s="5"/>
      <c r="DJ547" s="5"/>
      <c r="DK547" s="5"/>
      <c r="DL547" s="5"/>
      <c r="DM547" s="5"/>
      <c r="DN547" s="5"/>
      <c r="DO547" s="5"/>
      <c r="DP547" s="5"/>
      <c r="DQ547" s="5"/>
      <c r="DR547" s="5"/>
      <c r="DS547" s="5"/>
      <c r="DT547" s="5"/>
      <c r="DU547" s="5"/>
      <c r="DV547" s="5"/>
      <c r="DW547" s="5"/>
      <c r="DX547" s="5"/>
      <c r="DY547" s="5"/>
      <c r="DZ547" s="5"/>
      <c r="EA547" s="5"/>
      <c r="EB547" s="5"/>
      <c r="EC547" s="5"/>
      <c r="ED547" s="5"/>
      <c r="EE547" s="5"/>
      <c r="EF547" s="5"/>
      <c r="EG547" s="5"/>
      <c r="EH547" s="5"/>
      <c r="EI547" s="5"/>
      <c r="EJ547" s="5"/>
      <c r="EK547" s="5"/>
      <c r="EL547" s="5"/>
      <c r="EM547" s="5"/>
      <c r="EN547" s="5"/>
      <c r="EO547" s="5"/>
      <c r="EP547" s="5"/>
      <c r="EQ547" s="5"/>
      <c r="ER547" s="5"/>
      <c r="ES547" s="5"/>
      <c r="ET547" s="5"/>
      <c r="EU547" s="5"/>
      <c r="EV547" s="5"/>
      <c r="EW547" s="5"/>
      <c r="EX547" s="5"/>
      <c r="EY547" s="5"/>
      <c r="EZ547" s="5"/>
      <c r="FA547" s="5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5"/>
      <c r="CT548" s="5"/>
      <c r="CU548" s="5"/>
      <c r="CV548" s="5"/>
      <c r="CW548" s="5"/>
      <c r="CX548" s="5"/>
      <c r="CY548" s="5"/>
      <c r="CZ548" s="5"/>
      <c r="DA548" s="5"/>
      <c r="DB548" s="5"/>
      <c r="DC548" s="5"/>
      <c r="DD548" s="5"/>
      <c r="DE548" s="5"/>
      <c r="DF548" s="5"/>
      <c r="DG548" s="5"/>
      <c r="DH548" s="5"/>
      <c r="DI548" s="5"/>
      <c r="DJ548" s="5"/>
      <c r="DK548" s="5"/>
      <c r="DL548" s="5"/>
      <c r="DM548" s="5"/>
      <c r="DN548" s="5"/>
      <c r="DO548" s="5"/>
      <c r="DP548" s="5"/>
      <c r="DQ548" s="5"/>
      <c r="DR548" s="5"/>
      <c r="DS548" s="5"/>
      <c r="DT548" s="5"/>
      <c r="DU548" s="5"/>
      <c r="DV548" s="5"/>
      <c r="DW548" s="5"/>
      <c r="DX548" s="5"/>
      <c r="DY548" s="5"/>
      <c r="DZ548" s="5"/>
      <c r="EA548" s="5"/>
      <c r="EB548" s="5"/>
      <c r="EC548" s="5"/>
      <c r="ED548" s="5"/>
      <c r="EE548" s="5"/>
      <c r="EF548" s="5"/>
      <c r="EG548" s="5"/>
      <c r="EH548" s="5"/>
      <c r="EI548" s="5"/>
      <c r="EJ548" s="5"/>
      <c r="EK548" s="5"/>
      <c r="EL548" s="5"/>
      <c r="EM548" s="5"/>
      <c r="EN548" s="5"/>
      <c r="EO548" s="5"/>
      <c r="EP548" s="5"/>
      <c r="EQ548" s="5"/>
      <c r="ER548" s="5"/>
      <c r="ES548" s="5"/>
      <c r="ET548" s="5"/>
      <c r="EU548" s="5"/>
      <c r="EV548" s="5"/>
      <c r="EW548" s="5"/>
      <c r="EX548" s="5"/>
      <c r="EY548" s="5"/>
      <c r="EZ548" s="5"/>
      <c r="FA548" s="5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5"/>
      <c r="CT549" s="5"/>
      <c r="CU549" s="5"/>
      <c r="CV549" s="5"/>
      <c r="CW549" s="5"/>
      <c r="CX549" s="5"/>
      <c r="CY549" s="5"/>
      <c r="CZ549" s="5"/>
      <c r="DA549" s="5"/>
      <c r="DB549" s="5"/>
      <c r="DC549" s="5"/>
      <c r="DD549" s="5"/>
      <c r="DE549" s="5"/>
      <c r="DF549" s="5"/>
      <c r="DG549" s="5"/>
      <c r="DH549" s="5"/>
      <c r="DI549" s="5"/>
      <c r="DJ549" s="5"/>
      <c r="DK549" s="5"/>
      <c r="DL549" s="5"/>
      <c r="DM549" s="5"/>
      <c r="DN549" s="5"/>
      <c r="DO549" s="5"/>
      <c r="DP549" s="5"/>
      <c r="DQ549" s="5"/>
      <c r="DR549" s="5"/>
      <c r="DS549" s="5"/>
      <c r="DT549" s="5"/>
      <c r="DU549" s="5"/>
      <c r="DV549" s="5"/>
      <c r="DW549" s="5"/>
      <c r="DX549" s="5"/>
      <c r="DY549" s="5"/>
      <c r="DZ549" s="5"/>
      <c r="EA549" s="5"/>
      <c r="EB549" s="5"/>
      <c r="EC549" s="5"/>
      <c r="ED549" s="5"/>
      <c r="EE549" s="5"/>
      <c r="EF549" s="5"/>
      <c r="EG549" s="5"/>
      <c r="EH549" s="5"/>
      <c r="EI549" s="5"/>
      <c r="EJ549" s="5"/>
      <c r="EK549" s="5"/>
      <c r="EL549" s="5"/>
      <c r="EM549" s="5"/>
      <c r="EN549" s="5"/>
      <c r="EO549" s="5"/>
      <c r="EP549" s="5"/>
      <c r="EQ549" s="5"/>
      <c r="ER549" s="5"/>
      <c r="ES549" s="5"/>
      <c r="ET549" s="5"/>
      <c r="EU549" s="5"/>
      <c r="EV549" s="5"/>
      <c r="EW549" s="5"/>
      <c r="EX549" s="5"/>
      <c r="EY549" s="5"/>
      <c r="EZ549" s="5"/>
      <c r="FA549" s="5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5"/>
      <c r="CT550" s="5"/>
      <c r="CU550" s="5"/>
      <c r="CV550" s="5"/>
      <c r="CW550" s="5"/>
      <c r="CX550" s="5"/>
      <c r="CY550" s="5"/>
      <c r="CZ550" s="5"/>
      <c r="DA550" s="5"/>
      <c r="DB550" s="5"/>
      <c r="DC550" s="5"/>
      <c r="DD550" s="5"/>
      <c r="DE550" s="5"/>
      <c r="DF550" s="5"/>
      <c r="DG550" s="5"/>
      <c r="DH550" s="5"/>
      <c r="DI550" s="5"/>
      <c r="DJ550" s="5"/>
      <c r="DK550" s="5"/>
      <c r="DL550" s="5"/>
      <c r="DM550" s="5"/>
      <c r="DN550" s="5"/>
      <c r="DO550" s="5"/>
      <c r="DP550" s="5"/>
      <c r="DQ550" s="5"/>
      <c r="DR550" s="5"/>
      <c r="DS550" s="5"/>
      <c r="DT550" s="5"/>
      <c r="DU550" s="5"/>
      <c r="DV550" s="5"/>
      <c r="DW550" s="5"/>
      <c r="DX550" s="5"/>
      <c r="DY550" s="5"/>
      <c r="DZ550" s="5"/>
      <c r="EA550" s="5"/>
      <c r="EB550" s="5"/>
      <c r="EC550" s="5"/>
      <c r="ED550" s="5"/>
      <c r="EE550" s="5"/>
      <c r="EF550" s="5"/>
      <c r="EG550" s="5"/>
      <c r="EH550" s="5"/>
      <c r="EI550" s="5"/>
      <c r="EJ550" s="5"/>
      <c r="EK550" s="5"/>
      <c r="EL550" s="5"/>
      <c r="EM550" s="5"/>
      <c r="EN550" s="5"/>
      <c r="EO550" s="5"/>
      <c r="EP550" s="5"/>
      <c r="EQ550" s="5"/>
      <c r="ER550" s="5"/>
      <c r="ES550" s="5"/>
      <c r="ET550" s="5"/>
      <c r="EU550" s="5"/>
      <c r="EV550" s="5"/>
      <c r="EW550" s="5"/>
      <c r="EX550" s="5"/>
      <c r="EY550" s="5"/>
      <c r="EZ550" s="5"/>
      <c r="FA550" s="5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5"/>
      <c r="CT551" s="5"/>
      <c r="CU551" s="5"/>
      <c r="CV551" s="5"/>
      <c r="CW551" s="5"/>
      <c r="CX551" s="5"/>
      <c r="CY551" s="5"/>
      <c r="CZ551" s="5"/>
      <c r="DA551" s="5"/>
      <c r="DB551" s="5"/>
      <c r="DC551" s="5"/>
      <c r="DD551" s="5"/>
      <c r="DE551" s="5"/>
      <c r="DF551" s="5"/>
      <c r="DG551" s="5"/>
      <c r="DH551" s="5"/>
      <c r="DI551" s="5"/>
      <c r="DJ551" s="5"/>
      <c r="DK551" s="5"/>
      <c r="DL551" s="5"/>
      <c r="DM551" s="5"/>
      <c r="DN551" s="5"/>
      <c r="DO551" s="5"/>
      <c r="DP551" s="5"/>
      <c r="DQ551" s="5"/>
      <c r="DR551" s="5"/>
      <c r="DS551" s="5"/>
      <c r="DT551" s="5"/>
      <c r="DU551" s="5"/>
      <c r="DV551" s="5"/>
      <c r="DW551" s="5"/>
      <c r="DX551" s="5"/>
      <c r="DY551" s="5"/>
      <c r="DZ551" s="5"/>
      <c r="EA551" s="5"/>
      <c r="EB551" s="5"/>
      <c r="EC551" s="5"/>
      <c r="ED551" s="5"/>
      <c r="EE551" s="5"/>
      <c r="EF551" s="5"/>
      <c r="EG551" s="5"/>
      <c r="EH551" s="5"/>
      <c r="EI551" s="5"/>
      <c r="EJ551" s="5"/>
      <c r="EK551" s="5"/>
      <c r="EL551" s="5"/>
      <c r="EM551" s="5"/>
      <c r="EN551" s="5"/>
      <c r="EO551" s="5"/>
      <c r="EP551" s="5"/>
      <c r="EQ551" s="5"/>
      <c r="ER551" s="5"/>
      <c r="ES551" s="5"/>
      <c r="ET551" s="5"/>
      <c r="EU551" s="5"/>
      <c r="EV551" s="5"/>
      <c r="EW551" s="5"/>
      <c r="EX551" s="5"/>
      <c r="EY551" s="5"/>
      <c r="EZ551" s="5"/>
      <c r="FA551" s="5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5"/>
      <c r="CT552" s="5"/>
      <c r="CU552" s="5"/>
      <c r="CV552" s="5"/>
      <c r="CW552" s="5"/>
      <c r="CX552" s="5"/>
      <c r="CY552" s="5"/>
      <c r="CZ552" s="5"/>
      <c r="DA552" s="5"/>
      <c r="DB552" s="5"/>
      <c r="DC552" s="5"/>
      <c r="DD552" s="5"/>
      <c r="DE552" s="5"/>
      <c r="DF552" s="5"/>
      <c r="DG552" s="5"/>
      <c r="DH552" s="5"/>
      <c r="DI552" s="5"/>
      <c r="DJ552" s="5"/>
      <c r="DK552" s="5"/>
      <c r="DL552" s="5"/>
      <c r="DM552" s="5"/>
      <c r="DN552" s="5"/>
      <c r="DO552" s="5"/>
      <c r="DP552" s="5"/>
      <c r="DQ552" s="5"/>
      <c r="DR552" s="5"/>
      <c r="DS552" s="5"/>
      <c r="DT552" s="5"/>
      <c r="DU552" s="5"/>
      <c r="DV552" s="5"/>
      <c r="DW552" s="5"/>
      <c r="DX552" s="5"/>
      <c r="DY552" s="5"/>
      <c r="DZ552" s="5"/>
      <c r="EA552" s="5"/>
      <c r="EB552" s="5"/>
      <c r="EC552" s="5"/>
      <c r="ED552" s="5"/>
      <c r="EE552" s="5"/>
      <c r="EF552" s="5"/>
      <c r="EG552" s="5"/>
      <c r="EH552" s="5"/>
      <c r="EI552" s="5"/>
      <c r="EJ552" s="5"/>
      <c r="EK552" s="5"/>
      <c r="EL552" s="5"/>
      <c r="EM552" s="5"/>
      <c r="EN552" s="5"/>
      <c r="EO552" s="5"/>
      <c r="EP552" s="5"/>
      <c r="EQ552" s="5"/>
      <c r="ER552" s="5"/>
      <c r="ES552" s="5"/>
      <c r="ET552" s="5"/>
      <c r="EU552" s="5"/>
      <c r="EV552" s="5"/>
      <c r="EW552" s="5"/>
      <c r="EX552" s="5"/>
      <c r="EY552" s="5"/>
      <c r="EZ552" s="5"/>
      <c r="FA552" s="5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5"/>
      <c r="CT554" s="5"/>
      <c r="CU554" s="5"/>
      <c r="CV554" s="5"/>
      <c r="CW554" s="5"/>
      <c r="CX554" s="5"/>
      <c r="CY554" s="5"/>
      <c r="CZ554" s="5"/>
      <c r="DA554" s="5"/>
      <c r="DB554" s="5"/>
      <c r="DC554" s="5"/>
      <c r="DD554" s="5"/>
      <c r="DE554" s="5"/>
      <c r="DF554" s="5"/>
      <c r="DG554" s="5"/>
      <c r="DH554" s="5"/>
      <c r="DI554" s="5"/>
      <c r="DJ554" s="5"/>
      <c r="DK554" s="5"/>
      <c r="DL554" s="5"/>
      <c r="DM554" s="5"/>
      <c r="DN554" s="5"/>
      <c r="DO554" s="5"/>
      <c r="DP554" s="5"/>
      <c r="DQ554" s="5"/>
      <c r="DR554" s="5"/>
      <c r="DS554" s="5"/>
      <c r="DT554" s="5"/>
      <c r="DU554" s="5"/>
      <c r="DV554" s="5"/>
      <c r="DW554" s="5"/>
      <c r="DX554" s="5"/>
      <c r="DY554" s="5"/>
      <c r="DZ554" s="5"/>
      <c r="EA554" s="5"/>
      <c r="EB554" s="5"/>
      <c r="EC554" s="5"/>
      <c r="ED554" s="5"/>
      <c r="EE554" s="5"/>
      <c r="EF554" s="5"/>
      <c r="EG554" s="5"/>
      <c r="EH554" s="5"/>
      <c r="EI554" s="5"/>
      <c r="EJ554" s="5"/>
      <c r="EK554" s="5"/>
      <c r="EL554" s="5"/>
      <c r="EM554" s="5"/>
      <c r="EN554" s="5"/>
      <c r="EO554" s="5"/>
      <c r="EP554" s="5"/>
      <c r="EQ554" s="5"/>
      <c r="ER554" s="5"/>
      <c r="ES554" s="5"/>
      <c r="ET554" s="5"/>
      <c r="EU554" s="5"/>
      <c r="EV554" s="5"/>
      <c r="EW554" s="5"/>
      <c r="EX554" s="5"/>
      <c r="EY554" s="5"/>
      <c r="EZ554" s="5"/>
      <c r="FA554" s="5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5"/>
      <c r="CT555" s="5"/>
      <c r="CU555" s="5"/>
      <c r="CV555" s="5"/>
      <c r="CW555" s="5"/>
      <c r="CX555" s="5"/>
      <c r="CY555" s="5"/>
      <c r="CZ555" s="5"/>
      <c r="DA555" s="5"/>
      <c r="DB555" s="5"/>
      <c r="DC555" s="5"/>
      <c r="DD555" s="5"/>
      <c r="DE555" s="5"/>
      <c r="DF555" s="5"/>
      <c r="DG555" s="5"/>
      <c r="DH555" s="5"/>
      <c r="DI555" s="5"/>
      <c r="DJ555" s="5"/>
      <c r="DK555" s="5"/>
      <c r="DL555" s="5"/>
      <c r="DM555" s="5"/>
      <c r="DN555" s="5"/>
      <c r="DO555" s="5"/>
      <c r="DP555" s="5"/>
      <c r="DQ555" s="5"/>
      <c r="DR555" s="5"/>
      <c r="DS555" s="5"/>
      <c r="DT555" s="5"/>
      <c r="DU555" s="5"/>
      <c r="DV555" s="5"/>
      <c r="DW555" s="5"/>
      <c r="DX555" s="5"/>
      <c r="DY555" s="5"/>
      <c r="DZ555" s="5"/>
      <c r="EA555" s="5"/>
      <c r="EB555" s="5"/>
      <c r="EC555" s="5"/>
      <c r="ED555" s="5"/>
      <c r="EE555" s="5"/>
      <c r="EF555" s="5"/>
      <c r="EG555" s="5"/>
      <c r="EH555" s="5"/>
      <c r="EI555" s="5"/>
      <c r="EJ555" s="5"/>
      <c r="EK555" s="5"/>
      <c r="EL555" s="5"/>
      <c r="EM555" s="5"/>
      <c r="EN555" s="5"/>
      <c r="EO555" s="5"/>
      <c r="EP555" s="5"/>
      <c r="EQ555" s="5"/>
      <c r="ER555" s="5"/>
      <c r="ES555" s="5"/>
      <c r="ET555" s="5"/>
      <c r="EU555" s="5"/>
      <c r="EV555" s="5"/>
      <c r="EW555" s="5"/>
      <c r="EX555" s="5"/>
      <c r="EY555" s="5"/>
      <c r="EZ555" s="5"/>
      <c r="FA555" s="5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5"/>
      <c r="CT556" s="5"/>
      <c r="CU556" s="5"/>
      <c r="CV556" s="5"/>
      <c r="CW556" s="5"/>
      <c r="CX556" s="5"/>
      <c r="CY556" s="5"/>
      <c r="CZ556" s="5"/>
      <c r="DA556" s="5"/>
      <c r="DB556" s="5"/>
      <c r="DC556" s="5"/>
      <c r="DD556" s="5"/>
      <c r="DE556" s="5"/>
      <c r="DF556" s="5"/>
      <c r="DG556" s="5"/>
      <c r="DH556" s="5"/>
      <c r="DI556" s="5"/>
      <c r="DJ556" s="5"/>
      <c r="DK556" s="5"/>
      <c r="DL556" s="5"/>
      <c r="DM556" s="5"/>
      <c r="DN556" s="5"/>
      <c r="DO556" s="5"/>
      <c r="DP556" s="5"/>
      <c r="DQ556" s="5"/>
      <c r="DR556" s="5"/>
      <c r="DS556" s="5"/>
      <c r="DT556" s="5"/>
      <c r="DU556" s="5"/>
      <c r="DV556" s="5"/>
      <c r="DW556" s="5"/>
      <c r="DX556" s="5"/>
      <c r="DY556" s="5"/>
      <c r="DZ556" s="5"/>
      <c r="EA556" s="5"/>
      <c r="EB556" s="5"/>
      <c r="EC556" s="5"/>
      <c r="ED556" s="5"/>
      <c r="EE556" s="5"/>
      <c r="EF556" s="5"/>
      <c r="EG556" s="5"/>
      <c r="EH556" s="5"/>
      <c r="EI556" s="5"/>
      <c r="EJ556" s="5"/>
      <c r="EK556" s="5"/>
      <c r="EL556" s="5"/>
      <c r="EM556" s="5"/>
      <c r="EN556" s="5"/>
      <c r="EO556" s="5"/>
      <c r="EP556" s="5"/>
      <c r="EQ556" s="5"/>
      <c r="ER556" s="5"/>
      <c r="ES556" s="5"/>
      <c r="ET556" s="5"/>
      <c r="EU556" s="5"/>
      <c r="EV556" s="5"/>
      <c r="EW556" s="5"/>
      <c r="EX556" s="5"/>
      <c r="EY556" s="5"/>
      <c r="EZ556" s="5"/>
      <c r="FA556" s="5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5"/>
      <c r="CT557" s="5"/>
      <c r="CU557" s="5"/>
      <c r="CV557" s="5"/>
      <c r="CW557" s="5"/>
      <c r="CX557" s="5"/>
      <c r="CY557" s="5"/>
      <c r="CZ557" s="5"/>
      <c r="DA557" s="5"/>
      <c r="DB557" s="5"/>
      <c r="DC557" s="5"/>
      <c r="DD557" s="5"/>
      <c r="DE557" s="5"/>
      <c r="DF557" s="5"/>
      <c r="DG557" s="5"/>
      <c r="DH557" s="5"/>
      <c r="DI557" s="5"/>
      <c r="DJ557" s="5"/>
      <c r="DK557" s="5"/>
      <c r="DL557" s="5"/>
      <c r="DM557" s="5"/>
      <c r="DN557" s="5"/>
      <c r="DO557" s="5"/>
      <c r="DP557" s="5"/>
      <c r="DQ557" s="5"/>
      <c r="DR557" s="5"/>
      <c r="DS557" s="5"/>
      <c r="DT557" s="5"/>
      <c r="DU557" s="5"/>
      <c r="DV557" s="5"/>
      <c r="DW557" s="5"/>
      <c r="DX557" s="5"/>
      <c r="DY557" s="5"/>
      <c r="DZ557" s="5"/>
      <c r="EA557" s="5"/>
      <c r="EB557" s="5"/>
      <c r="EC557" s="5"/>
      <c r="ED557" s="5"/>
      <c r="EE557" s="5"/>
      <c r="EF557" s="5"/>
      <c r="EG557" s="5"/>
      <c r="EH557" s="5"/>
      <c r="EI557" s="5"/>
      <c r="EJ557" s="5"/>
      <c r="EK557" s="5"/>
      <c r="EL557" s="5"/>
      <c r="EM557" s="5"/>
      <c r="EN557" s="5"/>
      <c r="EO557" s="5"/>
      <c r="EP557" s="5"/>
      <c r="EQ557" s="5"/>
      <c r="ER557" s="5"/>
      <c r="ES557" s="5"/>
      <c r="ET557" s="5"/>
      <c r="EU557" s="5"/>
      <c r="EV557" s="5"/>
      <c r="EW557" s="5"/>
      <c r="EX557" s="5"/>
      <c r="EY557" s="5"/>
      <c r="EZ557" s="5"/>
      <c r="FA557" s="5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5"/>
      <c r="CT558" s="5"/>
      <c r="CU558" s="5"/>
      <c r="CV558" s="5"/>
      <c r="CW558" s="5"/>
      <c r="CX558" s="5"/>
      <c r="CY558" s="5"/>
      <c r="CZ558" s="5"/>
      <c r="DA558" s="5"/>
      <c r="DB558" s="5"/>
      <c r="DC558" s="5"/>
      <c r="DD558" s="5"/>
      <c r="DE558" s="5"/>
      <c r="DF558" s="5"/>
      <c r="DG558" s="5"/>
      <c r="DH558" s="5"/>
      <c r="DI558" s="5"/>
      <c r="DJ558" s="5"/>
      <c r="DK558" s="5"/>
      <c r="DL558" s="5"/>
      <c r="DM558" s="5"/>
      <c r="DN558" s="5"/>
      <c r="DO558" s="5"/>
      <c r="DP558" s="5"/>
      <c r="DQ558" s="5"/>
      <c r="DR558" s="5"/>
      <c r="DS558" s="5"/>
      <c r="DT558" s="5"/>
      <c r="DU558" s="5"/>
      <c r="DV558" s="5"/>
      <c r="DW558" s="5"/>
      <c r="DX558" s="5"/>
      <c r="DY558" s="5"/>
      <c r="DZ558" s="5"/>
      <c r="EA558" s="5"/>
      <c r="EB558" s="5"/>
      <c r="EC558" s="5"/>
      <c r="ED558" s="5"/>
      <c r="EE558" s="5"/>
      <c r="EF558" s="5"/>
      <c r="EG558" s="5"/>
      <c r="EH558" s="5"/>
      <c r="EI558" s="5"/>
      <c r="EJ558" s="5"/>
      <c r="EK558" s="5"/>
      <c r="EL558" s="5"/>
      <c r="EM558" s="5"/>
      <c r="EN558" s="5"/>
      <c r="EO558" s="5"/>
      <c r="EP558" s="5"/>
      <c r="EQ558" s="5"/>
      <c r="ER558" s="5"/>
      <c r="ES558" s="5"/>
      <c r="ET558" s="5"/>
      <c r="EU558" s="5"/>
      <c r="EV558" s="5"/>
      <c r="EW558" s="5"/>
      <c r="EX558" s="5"/>
      <c r="EY558" s="5"/>
      <c r="EZ558" s="5"/>
      <c r="FA558" s="5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5"/>
      <c r="CT559" s="5"/>
      <c r="CU559" s="5"/>
      <c r="CV559" s="5"/>
      <c r="CW559" s="5"/>
      <c r="CX559" s="5"/>
      <c r="CY559" s="5"/>
      <c r="CZ559" s="5"/>
      <c r="DA559" s="5"/>
      <c r="DB559" s="5"/>
      <c r="DC559" s="5"/>
      <c r="DD559" s="5"/>
      <c r="DE559" s="5"/>
      <c r="DF559" s="5"/>
      <c r="DG559" s="5"/>
      <c r="DH559" s="5"/>
      <c r="DI559" s="5"/>
      <c r="DJ559" s="5"/>
      <c r="DK559" s="5"/>
      <c r="DL559" s="5"/>
      <c r="DM559" s="5"/>
      <c r="DN559" s="5"/>
      <c r="DO559" s="5"/>
      <c r="DP559" s="5"/>
      <c r="DQ559" s="5"/>
      <c r="DR559" s="5"/>
      <c r="DS559" s="5"/>
      <c r="DT559" s="5"/>
      <c r="DU559" s="5"/>
      <c r="DV559" s="5"/>
      <c r="DW559" s="5"/>
      <c r="DX559" s="5"/>
      <c r="DY559" s="5"/>
      <c r="DZ559" s="5"/>
      <c r="EA559" s="5"/>
      <c r="EB559" s="5"/>
      <c r="EC559" s="5"/>
      <c r="ED559" s="5"/>
      <c r="EE559" s="5"/>
      <c r="EF559" s="5"/>
      <c r="EG559" s="5"/>
      <c r="EH559" s="5"/>
      <c r="EI559" s="5"/>
      <c r="EJ559" s="5"/>
      <c r="EK559" s="5"/>
      <c r="EL559" s="5"/>
      <c r="EM559" s="5"/>
      <c r="EN559" s="5"/>
      <c r="EO559" s="5"/>
      <c r="EP559" s="5"/>
      <c r="EQ559" s="5"/>
      <c r="ER559" s="5"/>
      <c r="ES559" s="5"/>
      <c r="ET559" s="5"/>
      <c r="EU559" s="5"/>
      <c r="EV559" s="5"/>
      <c r="EW559" s="5"/>
      <c r="EX559" s="5"/>
      <c r="EY559" s="5"/>
      <c r="EZ559" s="5"/>
      <c r="FA559" s="5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5"/>
      <c r="CT560" s="5"/>
      <c r="CU560" s="5"/>
      <c r="CV560" s="5"/>
      <c r="CW560" s="5"/>
      <c r="CX560" s="5"/>
      <c r="CY560" s="5"/>
      <c r="CZ560" s="5"/>
      <c r="DA560" s="5"/>
      <c r="DB560" s="5"/>
      <c r="DC560" s="5"/>
      <c r="DD560" s="5"/>
      <c r="DE560" s="5"/>
      <c r="DF560" s="5"/>
      <c r="DG560" s="5"/>
      <c r="DH560" s="5"/>
      <c r="DI560" s="5"/>
      <c r="DJ560" s="5"/>
      <c r="DK560" s="5"/>
      <c r="DL560" s="5"/>
      <c r="DM560" s="5"/>
      <c r="DN560" s="5"/>
      <c r="DO560" s="5"/>
      <c r="DP560" s="5"/>
      <c r="DQ560" s="5"/>
      <c r="DR560" s="5"/>
      <c r="DS560" s="5"/>
      <c r="DT560" s="5"/>
      <c r="DU560" s="5"/>
      <c r="DV560" s="5"/>
      <c r="DW560" s="5"/>
      <c r="DX560" s="5"/>
      <c r="DY560" s="5"/>
      <c r="DZ560" s="5"/>
      <c r="EA560" s="5"/>
      <c r="EB560" s="5"/>
      <c r="EC560" s="5"/>
      <c r="ED560" s="5"/>
      <c r="EE560" s="5"/>
      <c r="EF560" s="5"/>
      <c r="EG560" s="5"/>
      <c r="EH560" s="5"/>
      <c r="EI560" s="5"/>
      <c r="EJ560" s="5"/>
      <c r="EK560" s="5"/>
      <c r="EL560" s="5"/>
      <c r="EM560" s="5"/>
      <c r="EN560" s="5"/>
      <c r="EO560" s="5"/>
      <c r="EP560" s="5"/>
      <c r="EQ560" s="5"/>
      <c r="ER560" s="5"/>
      <c r="ES560" s="5"/>
      <c r="ET560" s="5"/>
      <c r="EU560" s="5"/>
      <c r="EV560" s="5"/>
      <c r="EW560" s="5"/>
      <c r="EX560" s="5"/>
      <c r="EY560" s="5"/>
      <c r="EZ560" s="5"/>
      <c r="FA560" s="5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5"/>
      <c r="CT561" s="5"/>
      <c r="CU561" s="5"/>
      <c r="CV561" s="5"/>
      <c r="CW561" s="5"/>
      <c r="CX561" s="5"/>
      <c r="CY561" s="5"/>
      <c r="CZ561" s="5"/>
      <c r="DA561" s="5"/>
      <c r="DB561" s="5"/>
      <c r="DC561" s="5"/>
      <c r="DD561" s="5"/>
      <c r="DE561" s="5"/>
      <c r="DF561" s="5"/>
      <c r="DG561" s="5"/>
      <c r="DH561" s="5"/>
      <c r="DI561" s="5"/>
      <c r="DJ561" s="5"/>
      <c r="DK561" s="5"/>
      <c r="DL561" s="5"/>
      <c r="DM561" s="5"/>
      <c r="DN561" s="5"/>
      <c r="DO561" s="5"/>
      <c r="DP561" s="5"/>
      <c r="DQ561" s="5"/>
      <c r="DR561" s="5"/>
      <c r="DS561" s="5"/>
      <c r="DT561" s="5"/>
      <c r="DU561" s="5"/>
      <c r="DV561" s="5"/>
      <c r="DW561" s="5"/>
      <c r="DX561" s="5"/>
      <c r="DY561" s="5"/>
      <c r="DZ561" s="5"/>
      <c r="EA561" s="5"/>
      <c r="EB561" s="5"/>
      <c r="EC561" s="5"/>
      <c r="ED561" s="5"/>
      <c r="EE561" s="5"/>
      <c r="EF561" s="5"/>
      <c r="EG561" s="5"/>
      <c r="EH561" s="5"/>
      <c r="EI561" s="5"/>
      <c r="EJ561" s="5"/>
      <c r="EK561" s="5"/>
      <c r="EL561" s="5"/>
      <c r="EM561" s="5"/>
      <c r="EN561" s="5"/>
      <c r="EO561" s="5"/>
      <c r="EP561" s="5"/>
      <c r="EQ561" s="5"/>
      <c r="ER561" s="5"/>
      <c r="ES561" s="5"/>
      <c r="ET561" s="5"/>
      <c r="EU561" s="5"/>
      <c r="EV561" s="5"/>
      <c r="EW561" s="5"/>
      <c r="EX561" s="5"/>
      <c r="EY561" s="5"/>
      <c r="EZ561" s="5"/>
      <c r="FA561" s="5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5"/>
      <c r="CT562" s="5"/>
      <c r="CU562" s="5"/>
      <c r="CV562" s="5"/>
      <c r="CW562" s="5"/>
      <c r="CX562" s="5"/>
      <c r="CY562" s="5"/>
      <c r="CZ562" s="5"/>
      <c r="DA562" s="5"/>
      <c r="DB562" s="5"/>
      <c r="DC562" s="5"/>
      <c r="DD562" s="5"/>
      <c r="DE562" s="5"/>
      <c r="DF562" s="5"/>
      <c r="DG562" s="5"/>
      <c r="DH562" s="5"/>
      <c r="DI562" s="5"/>
      <c r="DJ562" s="5"/>
      <c r="DK562" s="5"/>
      <c r="DL562" s="5"/>
      <c r="DM562" s="5"/>
      <c r="DN562" s="5"/>
      <c r="DO562" s="5"/>
      <c r="DP562" s="5"/>
      <c r="DQ562" s="5"/>
      <c r="DR562" s="5"/>
      <c r="DS562" s="5"/>
      <c r="DT562" s="5"/>
      <c r="DU562" s="5"/>
      <c r="DV562" s="5"/>
      <c r="DW562" s="5"/>
      <c r="DX562" s="5"/>
      <c r="DY562" s="5"/>
      <c r="DZ562" s="5"/>
      <c r="EA562" s="5"/>
      <c r="EB562" s="5"/>
      <c r="EC562" s="5"/>
      <c r="ED562" s="5"/>
      <c r="EE562" s="5"/>
      <c r="EF562" s="5"/>
      <c r="EG562" s="5"/>
      <c r="EH562" s="5"/>
      <c r="EI562" s="5"/>
      <c r="EJ562" s="5"/>
      <c r="EK562" s="5"/>
      <c r="EL562" s="5"/>
      <c r="EM562" s="5"/>
      <c r="EN562" s="5"/>
      <c r="EO562" s="5"/>
      <c r="EP562" s="5"/>
      <c r="EQ562" s="5"/>
      <c r="ER562" s="5"/>
      <c r="ES562" s="5"/>
      <c r="ET562" s="5"/>
      <c r="EU562" s="5"/>
      <c r="EV562" s="5"/>
      <c r="EW562" s="5"/>
      <c r="EX562" s="5"/>
      <c r="EY562" s="5"/>
      <c r="EZ562" s="5"/>
      <c r="FA562" s="5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5"/>
      <c r="CT563" s="5"/>
      <c r="CU563" s="5"/>
      <c r="CV563" s="5"/>
      <c r="CW563" s="5"/>
      <c r="CX563" s="5"/>
      <c r="CY563" s="5"/>
      <c r="CZ563" s="5"/>
      <c r="DA563" s="5"/>
      <c r="DB563" s="5"/>
      <c r="DC563" s="5"/>
      <c r="DD563" s="5"/>
      <c r="DE563" s="5"/>
      <c r="DF563" s="5"/>
      <c r="DG563" s="5"/>
      <c r="DH563" s="5"/>
      <c r="DI563" s="5"/>
      <c r="DJ563" s="5"/>
      <c r="DK563" s="5"/>
      <c r="DL563" s="5"/>
      <c r="DM563" s="5"/>
      <c r="DN563" s="5"/>
      <c r="DO563" s="5"/>
      <c r="DP563" s="5"/>
      <c r="DQ563" s="5"/>
      <c r="DR563" s="5"/>
      <c r="DS563" s="5"/>
      <c r="DT563" s="5"/>
      <c r="DU563" s="5"/>
      <c r="DV563" s="5"/>
      <c r="DW563" s="5"/>
      <c r="DX563" s="5"/>
      <c r="DY563" s="5"/>
      <c r="DZ563" s="5"/>
      <c r="EA563" s="5"/>
      <c r="EB563" s="5"/>
      <c r="EC563" s="5"/>
      <c r="ED563" s="5"/>
      <c r="EE563" s="5"/>
      <c r="EF563" s="5"/>
      <c r="EG563" s="5"/>
      <c r="EH563" s="5"/>
      <c r="EI563" s="5"/>
      <c r="EJ563" s="5"/>
      <c r="EK563" s="5"/>
      <c r="EL563" s="5"/>
      <c r="EM563" s="5"/>
      <c r="EN563" s="5"/>
      <c r="EO563" s="5"/>
      <c r="EP563" s="5"/>
      <c r="EQ563" s="5"/>
      <c r="ER563" s="5"/>
      <c r="ES563" s="5"/>
      <c r="ET563" s="5"/>
      <c r="EU563" s="5"/>
      <c r="EV563" s="5"/>
      <c r="EW563" s="5"/>
      <c r="EX563" s="5"/>
      <c r="EY563" s="5"/>
      <c r="EZ563" s="5"/>
      <c r="FA563" s="5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5"/>
      <c r="CT564" s="5"/>
      <c r="CU564" s="5"/>
      <c r="CV564" s="5"/>
      <c r="CW564" s="5"/>
      <c r="CX564" s="5"/>
      <c r="CY564" s="5"/>
      <c r="CZ564" s="5"/>
      <c r="DA564" s="5"/>
      <c r="DB564" s="5"/>
      <c r="DC564" s="5"/>
      <c r="DD564" s="5"/>
      <c r="DE564" s="5"/>
      <c r="DF564" s="5"/>
      <c r="DG564" s="5"/>
      <c r="DH564" s="5"/>
      <c r="DI564" s="5"/>
      <c r="DJ564" s="5"/>
      <c r="DK564" s="5"/>
      <c r="DL564" s="5"/>
      <c r="DM564" s="5"/>
      <c r="DN564" s="5"/>
      <c r="DO564" s="5"/>
      <c r="DP564" s="5"/>
      <c r="DQ564" s="5"/>
      <c r="DR564" s="5"/>
      <c r="DS564" s="5"/>
      <c r="DT564" s="5"/>
      <c r="DU564" s="5"/>
      <c r="DV564" s="5"/>
      <c r="DW564" s="5"/>
      <c r="DX564" s="5"/>
      <c r="DY564" s="5"/>
      <c r="DZ564" s="5"/>
      <c r="EA564" s="5"/>
      <c r="EB564" s="5"/>
      <c r="EC564" s="5"/>
      <c r="ED564" s="5"/>
      <c r="EE564" s="5"/>
      <c r="EF564" s="5"/>
      <c r="EG564" s="5"/>
      <c r="EH564" s="5"/>
      <c r="EI564" s="5"/>
      <c r="EJ564" s="5"/>
      <c r="EK564" s="5"/>
      <c r="EL564" s="5"/>
      <c r="EM564" s="5"/>
      <c r="EN564" s="5"/>
      <c r="EO564" s="5"/>
      <c r="EP564" s="5"/>
      <c r="EQ564" s="5"/>
      <c r="ER564" s="5"/>
      <c r="ES564" s="5"/>
      <c r="ET564" s="5"/>
      <c r="EU564" s="5"/>
      <c r="EV564" s="5"/>
      <c r="EW564" s="5"/>
      <c r="EX564" s="5"/>
      <c r="EY564" s="5"/>
      <c r="EZ564" s="5"/>
      <c r="FA564" s="5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5"/>
      <c r="CT565" s="5"/>
      <c r="CU565" s="5"/>
      <c r="CV565" s="5"/>
      <c r="CW565" s="5"/>
      <c r="CX565" s="5"/>
      <c r="CY565" s="5"/>
      <c r="CZ565" s="5"/>
      <c r="DA565" s="5"/>
      <c r="DB565" s="5"/>
      <c r="DC565" s="5"/>
      <c r="DD565" s="5"/>
      <c r="DE565" s="5"/>
      <c r="DF565" s="5"/>
      <c r="DG565" s="5"/>
      <c r="DH565" s="5"/>
      <c r="DI565" s="5"/>
      <c r="DJ565" s="5"/>
      <c r="DK565" s="5"/>
      <c r="DL565" s="5"/>
      <c r="DM565" s="5"/>
      <c r="DN565" s="5"/>
      <c r="DO565" s="5"/>
      <c r="DP565" s="5"/>
      <c r="DQ565" s="5"/>
      <c r="DR565" s="5"/>
      <c r="DS565" s="5"/>
      <c r="DT565" s="5"/>
      <c r="DU565" s="5"/>
      <c r="DV565" s="5"/>
      <c r="DW565" s="5"/>
      <c r="DX565" s="5"/>
      <c r="DY565" s="5"/>
      <c r="DZ565" s="5"/>
      <c r="EA565" s="5"/>
      <c r="EB565" s="5"/>
      <c r="EC565" s="5"/>
      <c r="ED565" s="5"/>
      <c r="EE565" s="5"/>
      <c r="EF565" s="5"/>
      <c r="EG565" s="5"/>
      <c r="EH565" s="5"/>
      <c r="EI565" s="5"/>
      <c r="EJ565" s="5"/>
      <c r="EK565" s="5"/>
      <c r="EL565" s="5"/>
      <c r="EM565" s="5"/>
      <c r="EN565" s="5"/>
      <c r="EO565" s="5"/>
      <c r="EP565" s="5"/>
      <c r="EQ565" s="5"/>
      <c r="ER565" s="5"/>
      <c r="ES565" s="5"/>
      <c r="ET565" s="5"/>
      <c r="EU565" s="5"/>
      <c r="EV565" s="5"/>
      <c r="EW565" s="5"/>
      <c r="EX565" s="5"/>
      <c r="EY565" s="5"/>
      <c r="EZ565" s="5"/>
      <c r="FA565" s="5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5"/>
      <c r="CT566" s="5"/>
      <c r="CU566" s="5"/>
      <c r="CV566" s="5"/>
      <c r="CW566" s="5"/>
      <c r="CX566" s="5"/>
      <c r="CY566" s="5"/>
      <c r="CZ566" s="5"/>
      <c r="DA566" s="5"/>
      <c r="DB566" s="5"/>
      <c r="DC566" s="5"/>
      <c r="DD566" s="5"/>
      <c r="DE566" s="5"/>
      <c r="DF566" s="5"/>
      <c r="DG566" s="5"/>
      <c r="DH566" s="5"/>
      <c r="DI566" s="5"/>
      <c r="DJ566" s="5"/>
      <c r="DK566" s="5"/>
      <c r="DL566" s="5"/>
      <c r="DM566" s="5"/>
      <c r="DN566" s="5"/>
      <c r="DO566" s="5"/>
      <c r="DP566" s="5"/>
      <c r="DQ566" s="5"/>
      <c r="DR566" s="5"/>
      <c r="DS566" s="5"/>
      <c r="DT566" s="5"/>
      <c r="DU566" s="5"/>
      <c r="DV566" s="5"/>
      <c r="DW566" s="5"/>
      <c r="DX566" s="5"/>
      <c r="DY566" s="5"/>
      <c r="DZ566" s="5"/>
      <c r="EA566" s="5"/>
      <c r="EB566" s="5"/>
      <c r="EC566" s="5"/>
      <c r="ED566" s="5"/>
      <c r="EE566" s="5"/>
      <c r="EF566" s="5"/>
      <c r="EG566" s="5"/>
      <c r="EH566" s="5"/>
      <c r="EI566" s="5"/>
      <c r="EJ566" s="5"/>
      <c r="EK566" s="5"/>
      <c r="EL566" s="5"/>
      <c r="EM566" s="5"/>
      <c r="EN566" s="5"/>
      <c r="EO566" s="5"/>
      <c r="EP566" s="5"/>
      <c r="EQ566" s="5"/>
      <c r="ER566" s="5"/>
      <c r="ES566" s="5"/>
      <c r="ET566" s="5"/>
      <c r="EU566" s="5"/>
      <c r="EV566" s="5"/>
      <c r="EW566" s="5"/>
      <c r="EX566" s="5"/>
      <c r="EY566" s="5"/>
      <c r="EZ566" s="5"/>
      <c r="FA566" s="5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5"/>
      <c r="CT567" s="5"/>
      <c r="CU567" s="5"/>
      <c r="CV567" s="5"/>
      <c r="CW567" s="5"/>
      <c r="CX567" s="5"/>
      <c r="CY567" s="5"/>
      <c r="CZ567" s="5"/>
      <c r="DA567" s="5"/>
      <c r="DB567" s="5"/>
      <c r="DC567" s="5"/>
      <c r="DD567" s="5"/>
      <c r="DE567" s="5"/>
      <c r="DF567" s="5"/>
      <c r="DG567" s="5"/>
      <c r="DH567" s="5"/>
      <c r="DI567" s="5"/>
      <c r="DJ567" s="5"/>
      <c r="DK567" s="5"/>
      <c r="DL567" s="5"/>
      <c r="DM567" s="5"/>
      <c r="DN567" s="5"/>
      <c r="DO567" s="5"/>
      <c r="DP567" s="5"/>
      <c r="DQ567" s="5"/>
      <c r="DR567" s="5"/>
      <c r="DS567" s="5"/>
      <c r="DT567" s="5"/>
      <c r="DU567" s="5"/>
      <c r="DV567" s="5"/>
      <c r="DW567" s="5"/>
      <c r="DX567" s="5"/>
      <c r="DY567" s="5"/>
      <c r="DZ567" s="5"/>
      <c r="EA567" s="5"/>
      <c r="EB567" s="5"/>
      <c r="EC567" s="5"/>
      <c r="ED567" s="5"/>
      <c r="EE567" s="5"/>
      <c r="EF567" s="5"/>
      <c r="EG567" s="5"/>
      <c r="EH567" s="5"/>
      <c r="EI567" s="5"/>
      <c r="EJ567" s="5"/>
      <c r="EK567" s="5"/>
      <c r="EL567" s="5"/>
      <c r="EM567" s="5"/>
      <c r="EN567" s="5"/>
      <c r="EO567" s="5"/>
      <c r="EP567" s="5"/>
      <c r="EQ567" s="5"/>
      <c r="ER567" s="5"/>
      <c r="ES567" s="5"/>
      <c r="ET567" s="5"/>
      <c r="EU567" s="5"/>
      <c r="EV567" s="5"/>
      <c r="EW567" s="5"/>
      <c r="EX567" s="5"/>
      <c r="EY567" s="5"/>
      <c r="EZ567" s="5"/>
      <c r="FA567" s="5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5"/>
      <c r="CT568" s="5"/>
      <c r="CU568" s="5"/>
      <c r="CV568" s="5"/>
      <c r="CW568" s="5"/>
      <c r="CX568" s="5"/>
      <c r="CY568" s="5"/>
      <c r="CZ568" s="5"/>
      <c r="DA568" s="5"/>
      <c r="DB568" s="5"/>
      <c r="DC568" s="5"/>
      <c r="DD568" s="5"/>
      <c r="DE568" s="5"/>
      <c r="DF568" s="5"/>
      <c r="DG568" s="5"/>
      <c r="DH568" s="5"/>
      <c r="DI568" s="5"/>
      <c r="DJ568" s="5"/>
      <c r="DK568" s="5"/>
      <c r="DL568" s="5"/>
      <c r="DM568" s="5"/>
      <c r="DN568" s="5"/>
      <c r="DO568" s="5"/>
      <c r="DP568" s="5"/>
      <c r="DQ568" s="5"/>
      <c r="DR568" s="5"/>
      <c r="DS568" s="5"/>
      <c r="DT568" s="5"/>
      <c r="DU568" s="5"/>
      <c r="DV568" s="5"/>
      <c r="DW568" s="5"/>
      <c r="DX568" s="5"/>
      <c r="DY568" s="5"/>
      <c r="DZ568" s="5"/>
      <c r="EA568" s="5"/>
      <c r="EB568" s="5"/>
      <c r="EC568" s="5"/>
      <c r="ED568" s="5"/>
      <c r="EE568" s="5"/>
      <c r="EF568" s="5"/>
      <c r="EG568" s="5"/>
      <c r="EH568" s="5"/>
      <c r="EI568" s="5"/>
      <c r="EJ568" s="5"/>
      <c r="EK568" s="5"/>
      <c r="EL568" s="5"/>
      <c r="EM568" s="5"/>
      <c r="EN568" s="5"/>
      <c r="EO568" s="5"/>
      <c r="EP568" s="5"/>
      <c r="EQ568" s="5"/>
      <c r="ER568" s="5"/>
      <c r="ES568" s="5"/>
      <c r="ET568" s="5"/>
      <c r="EU568" s="5"/>
      <c r="EV568" s="5"/>
      <c r="EW568" s="5"/>
      <c r="EX568" s="5"/>
      <c r="EY568" s="5"/>
      <c r="EZ568" s="5"/>
      <c r="FA568" s="5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5"/>
      <c r="CT569" s="5"/>
      <c r="CU569" s="5"/>
      <c r="CV569" s="5"/>
      <c r="CW569" s="5"/>
      <c r="CX569" s="5"/>
      <c r="CY569" s="5"/>
      <c r="CZ569" s="5"/>
      <c r="DA569" s="5"/>
      <c r="DB569" s="5"/>
      <c r="DC569" s="5"/>
      <c r="DD569" s="5"/>
      <c r="DE569" s="5"/>
      <c r="DF569" s="5"/>
      <c r="DG569" s="5"/>
      <c r="DH569" s="5"/>
      <c r="DI569" s="5"/>
      <c r="DJ569" s="5"/>
      <c r="DK569" s="5"/>
      <c r="DL569" s="5"/>
      <c r="DM569" s="5"/>
      <c r="DN569" s="5"/>
      <c r="DO569" s="5"/>
      <c r="DP569" s="5"/>
      <c r="DQ569" s="5"/>
      <c r="DR569" s="5"/>
      <c r="DS569" s="5"/>
      <c r="DT569" s="5"/>
      <c r="DU569" s="5"/>
      <c r="DV569" s="5"/>
      <c r="DW569" s="5"/>
      <c r="DX569" s="5"/>
      <c r="DY569" s="5"/>
      <c r="DZ569" s="5"/>
      <c r="EA569" s="5"/>
      <c r="EB569" s="5"/>
      <c r="EC569" s="5"/>
      <c r="ED569" s="5"/>
      <c r="EE569" s="5"/>
      <c r="EF569" s="5"/>
      <c r="EG569" s="5"/>
      <c r="EH569" s="5"/>
      <c r="EI569" s="5"/>
      <c r="EJ569" s="5"/>
      <c r="EK569" s="5"/>
      <c r="EL569" s="5"/>
      <c r="EM569" s="5"/>
      <c r="EN569" s="5"/>
      <c r="EO569" s="5"/>
      <c r="EP569" s="5"/>
      <c r="EQ569" s="5"/>
      <c r="ER569" s="5"/>
      <c r="ES569" s="5"/>
      <c r="ET569" s="5"/>
      <c r="EU569" s="5"/>
      <c r="EV569" s="5"/>
      <c r="EW569" s="5"/>
      <c r="EX569" s="5"/>
      <c r="EY569" s="5"/>
      <c r="EZ569" s="5"/>
      <c r="FA569" s="5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5"/>
      <c r="CT570" s="5"/>
      <c r="CU570" s="5"/>
      <c r="CV570" s="5"/>
      <c r="CW570" s="5"/>
      <c r="CX570" s="5"/>
      <c r="CY570" s="5"/>
      <c r="CZ570" s="5"/>
      <c r="DA570" s="5"/>
      <c r="DB570" s="5"/>
      <c r="DC570" s="5"/>
      <c r="DD570" s="5"/>
      <c r="DE570" s="5"/>
      <c r="DF570" s="5"/>
      <c r="DG570" s="5"/>
      <c r="DH570" s="5"/>
      <c r="DI570" s="5"/>
      <c r="DJ570" s="5"/>
      <c r="DK570" s="5"/>
      <c r="DL570" s="5"/>
      <c r="DM570" s="5"/>
      <c r="DN570" s="5"/>
      <c r="DO570" s="5"/>
      <c r="DP570" s="5"/>
      <c r="DQ570" s="5"/>
      <c r="DR570" s="5"/>
      <c r="DS570" s="5"/>
      <c r="DT570" s="5"/>
      <c r="DU570" s="5"/>
      <c r="DV570" s="5"/>
      <c r="DW570" s="5"/>
      <c r="DX570" s="5"/>
      <c r="DY570" s="5"/>
      <c r="DZ570" s="5"/>
      <c r="EA570" s="5"/>
      <c r="EB570" s="5"/>
      <c r="EC570" s="5"/>
      <c r="ED570" s="5"/>
      <c r="EE570" s="5"/>
      <c r="EF570" s="5"/>
      <c r="EG570" s="5"/>
      <c r="EH570" s="5"/>
      <c r="EI570" s="5"/>
      <c r="EJ570" s="5"/>
      <c r="EK570" s="5"/>
      <c r="EL570" s="5"/>
      <c r="EM570" s="5"/>
      <c r="EN570" s="5"/>
      <c r="EO570" s="5"/>
      <c r="EP570" s="5"/>
      <c r="EQ570" s="5"/>
      <c r="ER570" s="5"/>
      <c r="ES570" s="5"/>
      <c r="ET570" s="5"/>
      <c r="EU570" s="5"/>
      <c r="EV570" s="5"/>
      <c r="EW570" s="5"/>
      <c r="EX570" s="5"/>
      <c r="EY570" s="5"/>
      <c r="EZ570" s="5"/>
      <c r="FA570" s="5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5"/>
      <c r="CT571" s="5"/>
      <c r="CU571" s="5"/>
      <c r="CV571" s="5"/>
      <c r="CW571" s="5"/>
      <c r="CX571" s="5"/>
      <c r="CY571" s="5"/>
      <c r="CZ571" s="5"/>
      <c r="DA571" s="5"/>
      <c r="DB571" s="5"/>
      <c r="DC571" s="5"/>
      <c r="DD571" s="5"/>
      <c r="DE571" s="5"/>
      <c r="DF571" s="5"/>
      <c r="DG571" s="5"/>
      <c r="DH571" s="5"/>
      <c r="DI571" s="5"/>
      <c r="DJ571" s="5"/>
      <c r="DK571" s="5"/>
      <c r="DL571" s="5"/>
      <c r="DM571" s="5"/>
      <c r="DN571" s="5"/>
      <c r="DO571" s="5"/>
      <c r="DP571" s="5"/>
      <c r="DQ571" s="5"/>
      <c r="DR571" s="5"/>
      <c r="DS571" s="5"/>
      <c r="DT571" s="5"/>
      <c r="DU571" s="5"/>
      <c r="DV571" s="5"/>
      <c r="DW571" s="5"/>
      <c r="DX571" s="5"/>
      <c r="DY571" s="5"/>
      <c r="DZ571" s="5"/>
      <c r="EA571" s="5"/>
      <c r="EB571" s="5"/>
      <c r="EC571" s="5"/>
      <c r="ED571" s="5"/>
      <c r="EE571" s="5"/>
      <c r="EF571" s="5"/>
      <c r="EG571" s="5"/>
      <c r="EH571" s="5"/>
      <c r="EI571" s="5"/>
      <c r="EJ571" s="5"/>
      <c r="EK571" s="5"/>
      <c r="EL571" s="5"/>
      <c r="EM571" s="5"/>
      <c r="EN571" s="5"/>
      <c r="EO571" s="5"/>
      <c r="EP571" s="5"/>
      <c r="EQ571" s="5"/>
      <c r="ER571" s="5"/>
      <c r="ES571" s="5"/>
      <c r="ET571" s="5"/>
      <c r="EU571" s="5"/>
      <c r="EV571" s="5"/>
      <c r="EW571" s="5"/>
      <c r="EX571" s="5"/>
      <c r="EY571" s="5"/>
      <c r="EZ571" s="5"/>
      <c r="FA571" s="5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5"/>
      <c r="CT572" s="5"/>
      <c r="CU572" s="5"/>
      <c r="CV572" s="5"/>
      <c r="CW572" s="5"/>
      <c r="CX572" s="5"/>
      <c r="CY572" s="5"/>
      <c r="CZ572" s="5"/>
      <c r="DA572" s="5"/>
      <c r="DB572" s="5"/>
      <c r="DC572" s="5"/>
      <c r="DD572" s="5"/>
      <c r="DE572" s="5"/>
      <c r="DF572" s="5"/>
      <c r="DG572" s="5"/>
      <c r="DH572" s="5"/>
      <c r="DI572" s="5"/>
      <c r="DJ572" s="5"/>
      <c r="DK572" s="5"/>
      <c r="DL572" s="5"/>
      <c r="DM572" s="5"/>
      <c r="DN572" s="5"/>
      <c r="DO572" s="5"/>
      <c r="DP572" s="5"/>
      <c r="DQ572" s="5"/>
      <c r="DR572" s="5"/>
      <c r="DS572" s="5"/>
      <c r="DT572" s="5"/>
      <c r="DU572" s="5"/>
      <c r="DV572" s="5"/>
      <c r="DW572" s="5"/>
      <c r="DX572" s="5"/>
      <c r="DY572" s="5"/>
      <c r="DZ572" s="5"/>
      <c r="EA572" s="5"/>
      <c r="EB572" s="5"/>
      <c r="EC572" s="5"/>
      <c r="ED572" s="5"/>
      <c r="EE572" s="5"/>
      <c r="EF572" s="5"/>
      <c r="EG572" s="5"/>
      <c r="EH572" s="5"/>
      <c r="EI572" s="5"/>
      <c r="EJ572" s="5"/>
      <c r="EK572" s="5"/>
      <c r="EL572" s="5"/>
      <c r="EM572" s="5"/>
      <c r="EN572" s="5"/>
      <c r="EO572" s="5"/>
      <c r="EP572" s="5"/>
      <c r="EQ572" s="5"/>
      <c r="ER572" s="5"/>
      <c r="ES572" s="5"/>
      <c r="ET572" s="5"/>
      <c r="EU572" s="5"/>
      <c r="EV572" s="5"/>
      <c r="EW572" s="5"/>
      <c r="EX572" s="5"/>
      <c r="EY572" s="5"/>
      <c r="EZ572" s="5"/>
      <c r="FA572" s="5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5"/>
      <c r="CT573" s="5"/>
      <c r="CU573" s="5"/>
      <c r="CV573" s="5"/>
      <c r="CW573" s="5"/>
      <c r="CX573" s="5"/>
      <c r="CY573" s="5"/>
      <c r="CZ573" s="5"/>
      <c r="DA573" s="5"/>
      <c r="DB573" s="5"/>
      <c r="DC573" s="5"/>
      <c r="DD573" s="5"/>
      <c r="DE573" s="5"/>
      <c r="DF573" s="5"/>
      <c r="DG573" s="5"/>
      <c r="DH573" s="5"/>
      <c r="DI573" s="5"/>
      <c r="DJ573" s="5"/>
      <c r="DK573" s="5"/>
      <c r="DL573" s="5"/>
      <c r="DM573" s="5"/>
      <c r="DN573" s="5"/>
      <c r="DO573" s="5"/>
      <c r="DP573" s="5"/>
      <c r="DQ573" s="5"/>
      <c r="DR573" s="5"/>
      <c r="DS573" s="5"/>
      <c r="DT573" s="5"/>
      <c r="DU573" s="5"/>
      <c r="DV573" s="5"/>
      <c r="DW573" s="5"/>
      <c r="DX573" s="5"/>
      <c r="DY573" s="5"/>
      <c r="DZ573" s="5"/>
      <c r="EA573" s="5"/>
      <c r="EB573" s="5"/>
      <c r="EC573" s="5"/>
      <c r="ED573" s="5"/>
      <c r="EE573" s="5"/>
      <c r="EF573" s="5"/>
      <c r="EG573" s="5"/>
      <c r="EH573" s="5"/>
      <c r="EI573" s="5"/>
      <c r="EJ573" s="5"/>
      <c r="EK573" s="5"/>
      <c r="EL573" s="5"/>
      <c r="EM573" s="5"/>
      <c r="EN573" s="5"/>
      <c r="EO573" s="5"/>
      <c r="EP573" s="5"/>
      <c r="EQ573" s="5"/>
      <c r="ER573" s="5"/>
      <c r="ES573" s="5"/>
      <c r="ET573" s="5"/>
      <c r="EU573" s="5"/>
      <c r="EV573" s="5"/>
      <c r="EW573" s="5"/>
      <c r="EX573" s="5"/>
      <c r="EY573" s="5"/>
      <c r="EZ573" s="5"/>
      <c r="FA573" s="5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5"/>
      <c r="CT574" s="5"/>
      <c r="CU574" s="5"/>
      <c r="CV574" s="5"/>
      <c r="CW574" s="5"/>
      <c r="CX574" s="5"/>
      <c r="CY574" s="5"/>
      <c r="CZ574" s="5"/>
      <c r="DA574" s="5"/>
      <c r="DB574" s="5"/>
      <c r="DC574" s="5"/>
      <c r="DD574" s="5"/>
      <c r="DE574" s="5"/>
      <c r="DF574" s="5"/>
      <c r="DG574" s="5"/>
      <c r="DH574" s="5"/>
      <c r="DI574" s="5"/>
      <c r="DJ574" s="5"/>
      <c r="DK574" s="5"/>
      <c r="DL574" s="5"/>
      <c r="DM574" s="5"/>
      <c r="DN574" s="5"/>
      <c r="DO574" s="5"/>
      <c r="DP574" s="5"/>
      <c r="DQ574" s="5"/>
      <c r="DR574" s="5"/>
      <c r="DS574" s="5"/>
      <c r="DT574" s="5"/>
      <c r="DU574" s="5"/>
      <c r="DV574" s="5"/>
      <c r="DW574" s="5"/>
      <c r="DX574" s="5"/>
      <c r="DY574" s="5"/>
      <c r="DZ574" s="5"/>
      <c r="EA574" s="5"/>
      <c r="EB574" s="5"/>
      <c r="EC574" s="5"/>
      <c r="ED574" s="5"/>
      <c r="EE574" s="5"/>
      <c r="EF574" s="5"/>
      <c r="EG574" s="5"/>
      <c r="EH574" s="5"/>
      <c r="EI574" s="5"/>
      <c r="EJ574" s="5"/>
      <c r="EK574" s="5"/>
      <c r="EL574" s="5"/>
      <c r="EM574" s="5"/>
      <c r="EN574" s="5"/>
      <c r="EO574" s="5"/>
      <c r="EP574" s="5"/>
      <c r="EQ574" s="5"/>
      <c r="ER574" s="5"/>
      <c r="ES574" s="5"/>
      <c r="ET574" s="5"/>
      <c r="EU574" s="5"/>
      <c r="EV574" s="5"/>
      <c r="EW574" s="5"/>
      <c r="EX574" s="5"/>
      <c r="EY574" s="5"/>
      <c r="EZ574" s="5"/>
      <c r="FA574" s="5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5"/>
      <c r="CT575" s="5"/>
      <c r="CU575" s="5"/>
      <c r="CV575" s="5"/>
      <c r="CW575" s="5"/>
      <c r="CX575" s="5"/>
      <c r="CY575" s="5"/>
      <c r="CZ575" s="5"/>
      <c r="DA575" s="5"/>
      <c r="DB575" s="5"/>
      <c r="DC575" s="5"/>
      <c r="DD575" s="5"/>
      <c r="DE575" s="5"/>
      <c r="DF575" s="5"/>
      <c r="DG575" s="5"/>
      <c r="DH575" s="5"/>
      <c r="DI575" s="5"/>
      <c r="DJ575" s="5"/>
      <c r="DK575" s="5"/>
      <c r="DL575" s="5"/>
      <c r="DM575" s="5"/>
      <c r="DN575" s="5"/>
      <c r="DO575" s="5"/>
      <c r="DP575" s="5"/>
      <c r="DQ575" s="5"/>
      <c r="DR575" s="5"/>
      <c r="DS575" s="5"/>
      <c r="DT575" s="5"/>
      <c r="DU575" s="5"/>
      <c r="DV575" s="5"/>
      <c r="DW575" s="5"/>
      <c r="DX575" s="5"/>
      <c r="DY575" s="5"/>
      <c r="DZ575" s="5"/>
      <c r="EA575" s="5"/>
      <c r="EB575" s="5"/>
      <c r="EC575" s="5"/>
      <c r="ED575" s="5"/>
      <c r="EE575" s="5"/>
      <c r="EF575" s="5"/>
      <c r="EG575" s="5"/>
      <c r="EH575" s="5"/>
      <c r="EI575" s="5"/>
      <c r="EJ575" s="5"/>
      <c r="EK575" s="5"/>
      <c r="EL575" s="5"/>
      <c r="EM575" s="5"/>
      <c r="EN575" s="5"/>
      <c r="EO575" s="5"/>
      <c r="EP575" s="5"/>
      <c r="EQ575" s="5"/>
      <c r="ER575" s="5"/>
      <c r="ES575" s="5"/>
      <c r="ET575" s="5"/>
      <c r="EU575" s="5"/>
      <c r="EV575" s="5"/>
      <c r="EW575" s="5"/>
      <c r="EX575" s="5"/>
      <c r="EY575" s="5"/>
      <c r="EZ575" s="5"/>
      <c r="FA575" s="5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5"/>
      <c r="CT576" s="5"/>
      <c r="CU576" s="5"/>
      <c r="CV576" s="5"/>
      <c r="CW576" s="5"/>
      <c r="CX576" s="5"/>
      <c r="CY576" s="5"/>
      <c r="CZ576" s="5"/>
      <c r="DA576" s="5"/>
      <c r="DB576" s="5"/>
      <c r="DC576" s="5"/>
      <c r="DD576" s="5"/>
      <c r="DE576" s="5"/>
      <c r="DF576" s="5"/>
      <c r="DG576" s="5"/>
      <c r="DH576" s="5"/>
      <c r="DI576" s="5"/>
      <c r="DJ576" s="5"/>
      <c r="DK576" s="5"/>
      <c r="DL576" s="5"/>
      <c r="DM576" s="5"/>
      <c r="DN576" s="5"/>
      <c r="DO576" s="5"/>
      <c r="DP576" s="5"/>
      <c r="DQ576" s="5"/>
      <c r="DR576" s="5"/>
      <c r="DS576" s="5"/>
      <c r="DT576" s="5"/>
      <c r="DU576" s="5"/>
      <c r="DV576" s="5"/>
      <c r="DW576" s="5"/>
      <c r="DX576" s="5"/>
      <c r="DY576" s="5"/>
      <c r="DZ576" s="5"/>
      <c r="EA576" s="5"/>
      <c r="EB576" s="5"/>
      <c r="EC576" s="5"/>
      <c r="ED576" s="5"/>
      <c r="EE576" s="5"/>
      <c r="EF576" s="5"/>
      <c r="EG576" s="5"/>
      <c r="EH576" s="5"/>
      <c r="EI576" s="5"/>
      <c r="EJ576" s="5"/>
      <c r="EK576" s="5"/>
      <c r="EL576" s="5"/>
      <c r="EM576" s="5"/>
      <c r="EN576" s="5"/>
      <c r="EO576" s="5"/>
      <c r="EP576" s="5"/>
      <c r="EQ576" s="5"/>
      <c r="ER576" s="5"/>
      <c r="ES576" s="5"/>
      <c r="ET576" s="5"/>
      <c r="EU576" s="5"/>
      <c r="EV576" s="5"/>
      <c r="EW576" s="5"/>
      <c r="EX576" s="5"/>
      <c r="EY576" s="5"/>
      <c r="EZ576" s="5"/>
      <c r="FA576" s="5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5"/>
      <c r="CT577" s="5"/>
      <c r="CU577" s="5"/>
      <c r="CV577" s="5"/>
      <c r="CW577" s="5"/>
      <c r="CX577" s="5"/>
      <c r="CY577" s="5"/>
      <c r="CZ577" s="5"/>
      <c r="DA577" s="5"/>
      <c r="DB577" s="5"/>
      <c r="DC577" s="5"/>
      <c r="DD577" s="5"/>
      <c r="DE577" s="5"/>
      <c r="DF577" s="5"/>
      <c r="DG577" s="5"/>
      <c r="DH577" s="5"/>
      <c r="DI577" s="5"/>
      <c r="DJ577" s="5"/>
      <c r="DK577" s="5"/>
      <c r="DL577" s="5"/>
      <c r="DM577" s="5"/>
      <c r="DN577" s="5"/>
      <c r="DO577" s="5"/>
      <c r="DP577" s="5"/>
      <c r="DQ577" s="5"/>
      <c r="DR577" s="5"/>
      <c r="DS577" s="5"/>
      <c r="DT577" s="5"/>
      <c r="DU577" s="5"/>
      <c r="DV577" s="5"/>
      <c r="DW577" s="5"/>
      <c r="DX577" s="5"/>
      <c r="DY577" s="5"/>
      <c r="DZ577" s="5"/>
      <c r="EA577" s="5"/>
      <c r="EB577" s="5"/>
      <c r="EC577" s="5"/>
      <c r="ED577" s="5"/>
      <c r="EE577" s="5"/>
      <c r="EF577" s="5"/>
      <c r="EG577" s="5"/>
      <c r="EH577" s="5"/>
      <c r="EI577" s="5"/>
      <c r="EJ577" s="5"/>
      <c r="EK577" s="5"/>
      <c r="EL577" s="5"/>
      <c r="EM577" s="5"/>
      <c r="EN577" s="5"/>
      <c r="EO577" s="5"/>
      <c r="EP577" s="5"/>
      <c r="EQ577" s="5"/>
      <c r="ER577" s="5"/>
      <c r="ES577" s="5"/>
      <c r="ET577" s="5"/>
      <c r="EU577" s="5"/>
      <c r="EV577" s="5"/>
      <c r="EW577" s="5"/>
      <c r="EX577" s="5"/>
      <c r="EY577" s="5"/>
      <c r="EZ577" s="5"/>
      <c r="FA577" s="5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5"/>
      <c r="CT578" s="5"/>
      <c r="CU578" s="5"/>
      <c r="CV578" s="5"/>
      <c r="CW578" s="5"/>
      <c r="CX578" s="5"/>
      <c r="CY578" s="5"/>
      <c r="CZ578" s="5"/>
      <c r="DA578" s="5"/>
      <c r="DB578" s="5"/>
      <c r="DC578" s="5"/>
      <c r="DD578" s="5"/>
      <c r="DE578" s="5"/>
      <c r="DF578" s="5"/>
      <c r="DG578" s="5"/>
      <c r="DH578" s="5"/>
      <c r="DI578" s="5"/>
      <c r="DJ578" s="5"/>
      <c r="DK578" s="5"/>
      <c r="DL578" s="5"/>
      <c r="DM578" s="5"/>
      <c r="DN578" s="5"/>
      <c r="DO578" s="5"/>
      <c r="DP578" s="5"/>
      <c r="DQ578" s="5"/>
      <c r="DR578" s="5"/>
      <c r="DS578" s="5"/>
      <c r="DT578" s="5"/>
      <c r="DU578" s="5"/>
      <c r="DV578" s="5"/>
      <c r="DW578" s="5"/>
      <c r="DX578" s="5"/>
      <c r="DY578" s="5"/>
      <c r="DZ578" s="5"/>
      <c r="EA578" s="5"/>
      <c r="EB578" s="5"/>
      <c r="EC578" s="5"/>
      <c r="ED578" s="5"/>
      <c r="EE578" s="5"/>
      <c r="EF578" s="5"/>
      <c r="EG578" s="5"/>
      <c r="EH578" s="5"/>
      <c r="EI578" s="5"/>
      <c r="EJ578" s="5"/>
      <c r="EK578" s="5"/>
      <c r="EL578" s="5"/>
      <c r="EM578" s="5"/>
      <c r="EN578" s="5"/>
      <c r="EO578" s="5"/>
      <c r="EP578" s="5"/>
      <c r="EQ578" s="5"/>
      <c r="ER578" s="5"/>
      <c r="ES578" s="5"/>
      <c r="ET578" s="5"/>
      <c r="EU578" s="5"/>
      <c r="EV578" s="5"/>
      <c r="EW578" s="5"/>
      <c r="EX578" s="5"/>
      <c r="EY578" s="5"/>
      <c r="EZ578" s="5"/>
      <c r="FA578" s="5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5"/>
      <c r="CT579" s="5"/>
      <c r="CU579" s="5"/>
      <c r="CV579" s="5"/>
      <c r="CW579" s="5"/>
      <c r="CX579" s="5"/>
      <c r="CY579" s="5"/>
      <c r="CZ579" s="5"/>
      <c r="DA579" s="5"/>
      <c r="DB579" s="5"/>
      <c r="DC579" s="5"/>
      <c r="DD579" s="5"/>
      <c r="DE579" s="5"/>
      <c r="DF579" s="5"/>
      <c r="DG579" s="5"/>
      <c r="DH579" s="5"/>
      <c r="DI579" s="5"/>
      <c r="DJ579" s="5"/>
      <c r="DK579" s="5"/>
      <c r="DL579" s="5"/>
      <c r="DM579" s="5"/>
      <c r="DN579" s="5"/>
      <c r="DO579" s="5"/>
      <c r="DP579" s="5"/>
      <c r="DQ579" s="5"/>
      <c r="DR579" s="5"/>
      <c r="DS579" s="5"/>
      <c r="DT579" s="5"/>
      <c r="DU579" s="5"/>
      <c r="DV579" s="5"/>
      <c r="DW579" s="5"/>
      <c r="DX579" s="5"/>
      <c r="DY579" s="5"/>
      <c r="DZ579" s="5"/>
      <c r="EA579" s="5"/>
      <c r="EB579" s="5"/>
      <c r="EC579" s="5"/>
      <c r="ED579" s="5"/>
      <c r="EE579" s="5"/>
      <c r="EF579" s="5"/>
      <c r="EG579" s="5"/>
      <c r="EH579" s="5"/>
      <c r="EI579" s="5"/>
      <c r="EJ579" s="5"/>
      <c r="EK579" s="5"/>
      <c r="EL579" s="5"/>
      <c r="EM579" s="5"/>
      <c r="EN579" s="5"/>
      <c r="EO579" s="5"/>
      <c r="EP579" s="5"/>
      <c r="EQ579" s="5"/>
      <c r="ER579" s="5"/>
      <c r="ES579" s="5"/>
      <c r="ET579" s="5"/>
      <c r="EU579" s="5"/>
      <c r="EV579" s="5"/>
      <c r="EW579" s="5"/>
      <c r="EX579" s="5"/>
      <c r="EY579" s="5"/>
      <c r="EZ579" s="5"/>
      <c r="FA579" s="5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5"/>
      <c r="CT580" s="5"/>
      <c r="CU580" s="5"/>
      <c r="CV580" s="5"/>
      <c r="CW580" s="5"/>
      <c r="CX580" s="5"/>
      <c r="CY580" s="5"/>
      <c r="CZ580" s="5"/>
      <c r="DA580" s="5"/>
      <c r="DB580" s="5"/>
      <c r="DC580" s="5"/>
      <c r="DD580" s="5"/>
      <c r="DE580" s="5"/>
      <c r="DF580" s="5"/>
      <c r="DG580" s="5"/>
      <c r="DH580" s="5"/>
      <c r="DI580" s="5"/>
      <c r="DJ580" s="5"/>
      <c r="DK580" s="5"/>
      <c r="DL580" s="5"/>
      <c r="DM580" s="5"/>
      <c r="DN580" s="5"/>
      <c r="DO580" s="5"/>
      <c r="DP580" s="5"/>
      <c r="DQ580" s="5"/>
      <c r="DR580" s="5"/>
      <c r="DS580" s="5"/>
      <c r="DT580" s="5"/>
      <c r="DU580" s="5"/>
      <c r="DV580" s="5"/>
      <c r="DW580" s="5"/>
      <c r="DX580" s="5"/>
      <c r="DY580" s="5"/>
      <c r="DZ580" s="5"/>
      <c r="EA580" s="5"/>
      <c r="EB580" s="5"/>
      <c r="EC580" s="5"/>
      <c r="ED580" s="5"/>
      <c r="EE580" s="5"/>
      <c r="EF580" s="5"/>
      <c r="EG580" s="5"/>
      <c r="EH580" s="5"/>
      <c r="EI580" s="5"/>
      <c r="EJ580" s="5"/>
      <c r="EK580" s="5"/>
      <c r="EL580" s="5"/>
      <c r="EM580" s="5"/>
      <c r="EN580" s="5"/>
      <c r="EO580" s="5"/>
      <c r="EP580" s="5"/>
      <c r="EQ580" s="5"/>
      <c r="ER580" s="5"/>
      <c r="ES580" s="5"/>
      <c r="ET580" s="5"/>
      <c r="EU580" s="5"/>
      <c r="EV580" s="5"/>
      <c r="EW580" s="5"/>
      <c r="EX580" s="5"/>
      <c r="EY580" s="5"/>
      <c r="EZ580" s="5"/>
      <c r="FA580" s="5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5"/>
      <c r="CT581" s="5"/>
      <c r="CU581" s="5"/>
      <c r="CV581" s="5"/>
      <c r="CW581" s="5"/>
      <c r="CX581" s="5"/>
      <c r="CY581" s="5"/>
      <c r="CZ581" s="5"/>
      <c r="DA581" s="5"/>
      <c r="DB581" s="5"/>
      <c r="DC581" s="5"/>
      <c r="DD581" s="5"/>
      <c r="DE581" s="5"/>
      <c r="DF581" s="5"/>
      <c r="DG581" s="5"/>
      <c r="DH581" s="5"/>
      <c r="DI581" s="5"/>
      <c r="DJ581" s="5"/>
      <c r="DK581" s="5"/>
      <c r="DL581" s="5"/>
      <c r="DM581" s="5"/>
      <c r="DN581" s="5"/>
      <c r="DO581" s="5"/>
      <c r="DP581" s="5"/>
      <c r="DQ581" s="5"/>
      <c r="DR581" s="5"/>
      <c r="DS581" s="5"/>
      <c r="DT581" s="5"/>
      <c r="DU581" s="5"/>
      <c r="DV581" s="5"/>
      <c r="DW581" s="5"/>
      <c r="DX581" s="5"/>
      <c r="DY581" s="5"/>
      <c r="DZ581" s="5"/>
      <c r="EA581" s="5"/>
      <c r="EB581" s="5"/>
      <c r="EC581" s="5"/>
      <c r="ED581" s="5"/>
      <c r="EE581" s="5"/>
      <c r="EF581" s="5"/>
      <c r="EG581" s="5"/>
      <c r="EH581" s="5"/>
      <c r="EI581" s="5"/>
      <c r="EJ581" s="5"/>
      <c r="EK581" s="5"/>
      <c r="EL581" s="5"/>
      <c r="EM581" s="5"/>
      <c r="EN581" s="5"/>
      <c r="EO581" s="5"/>
      <c r="EP581" s="5"/>
      <c r="EQ581" s="5"/>
      <c r="ER581" s="5"/>
      <c r="ES581" s="5"/>
      <c r="ET581" s="5"/>
      <c r="EU581" s="5"/>
      <c r="EV581" s="5"/>
      <c r="EW581" s="5"/>
      <c r="EX581" s="5"/>
      <c r="EY581" s="5"/>
      <c r="EZ581" s="5"/>
      <c r="FA581" s="5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5"/>
      <c r="CT582" s="5"/>
      <c r="CU582" s="5"/>
      <c r="CV582" s="5"/>
      <c r="CW582" s="5"/>
      <c r="CX582" s="5"/>
      <c r="CY582" s="5"/>
      <c r="CZ582" s="5"/>
      <c r="DA582" s="5"/>
      <c r="DB582" s="5"/>
      <c r="DC582" s="5"/>
      <c r="DD582" s="5"/>
      <c r="DE582" s="5"/>
      <c r="DF582" s="5"/>
      <c r="DG582" s="5"/>
      <c r="DH582" s="5"/>
      <c r="DI582" s="5"/>
      <c r="DJ582" s="5"/>
      <c r="DK582" s="5"/>
      <c r="DL582" s="5"/>
      <c r="DM582" s="5"/>
      <c r="DN582" s="5"/>
      <c r="DO582" s="5"/>
      <c r="DP582" s="5"/>
      <c r="DQ582" s="5"/>
      <c r="DR582" s="5"/>
      <c r="DS582" s="5"/>
      <c r="DT582" s="5"/>
      <c r="DU582" s="5"/>
      <c r="DV582" s="5"/>
      <c r="DW582" s="5"/>
      <c r="DX582" s="5"/>
      <c r="DY582" s="5"/>
      <c r="DZ582" s="5"/>
      <c r="EA582" s="5"/>
      <c r="EB582" s="5"/>
      <c r="EC582" s="5"/>
      <c r="ED582" s="5"/>
      <c r="EE582" s="5"/>
      <c r="EF582" s="5"/>
      <c r="EG582" s="5"/>
      <c r="EH582" s="5"/>
      <c r="EI582" s="5"/>
      <c r="EJ582" s="5"/>
      <c r="EK582" s="5"/>
      <c r="EL582" s="5"/>
      <c r="EM582" s="5"/>
      <c r="EN582" s="5"/>
      <c r="EO582" s="5"/>
      <c r="EP582" s="5"/>
      <c r="EQ582" s="5"/>
      <c r="ER582" s="5"/>
      <c r="ES582" s="5"/>
      <c r="ET582" s="5"/>
      <c r="EU582" s="5"/>
      <c r="EV582" s="5"/>
      <c r="EW582" s="5"/>
      <c r="EX582" s="5"/>
      <c r="EY582" s="5"/>
      <c r="EZ582" s="5"/>
      <c r="FA582" s="5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5"/>
      <c r="CT583" s="5"/>
      <c r="CU583" s="5"/>
      <c r="CV583" s="5"/>
      <c r="CW583" s="5"/>
      <c r="CX583" s="5"/>
      <c r="CY583" s="5"/>
      <c r="CZ583" s="5"/>
      <c r="DA583" s="5"/>
      <c r="DB583" s="5"/>
      <c r="DC583" s="5"/>
      <c r="DD583" s="5"/>
      <c r="DE583" s="5"/>
      <c r="DF583" s="5"/>
      <c r="DG583" s="5"/>
      <c r="DH583" s="5"/>
      <c r="DI583" s="5"/>
      <c r="DJ583" s="5"/>
      <c r="DK583" s="5"/>
      <c r="DL583" s="5"/>
      <c r="DM583" s="5"/>
      <c r="DN583" s="5"/>
      <c r="DO583" s="5"/>
      <c r="DP583" s="5"/>
      <c r="DQ583" s="5"/>
      <c r="DR583" s="5"/>
      <c r="DS583" s="5"/>
      <c r="DT583" s="5"/>
      <c r="DU583" s="5"/>
      <c r="DV583" s="5"/>
      <c r="DW583" s="5"/>
      <c r="DX583" s="5"/>
      <c r="DY583" s="5"/>
      <c r="DZ583" s="5"/>
      <c r="EA583" s="5"/>
      <c r="EB583" s="5"/>
      <c r="EC583" s="5"/>
      <c r="ED583" s="5"/>
      <c r="EE583" s="5"/>
      <c r="EF583" s="5"/>
      <c r="EG583" s="5"/>
      <c r="EH583" s="5"/>
      <c r="EI583" s="5"/>
      <c r="EJ583" s="5"/>
      <c r="EK583" s="5"/>
      <c r="EL583" s="5"/>
      <c r="EM583" s="5"/>
      <c r="EN583" s="5"/>
      <c r="EO583" s="5"/>
      <c r="EP583" s="5"/>
      <c r="EQ583" s="5"/>
      <c r="ER583" s="5"/>
      <c r="ES583" s="5"/>
      <c r="ET583" s="5"/>
      <c r="EU583" s="5"/>
      <c r="EV583" s="5"/>
      <c r="EW583" s="5"/>
      <c r="EX583" s="5"/>
      <c r="EY583" s="5"/>
      <c r="EZ583" s="5"/>
      <c r="FA583" s="5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5"/>
      <c r="CT584" s="5"/>
      <c r="CU584" s="5"/>
      <c r="CV584" s="5"/>
      <c r="CW584" s="5"/>
      <c r="CX584" s="5"/>
      <c r="CY584" s="5"/>
      <c r="CZ584" s="5"/>
      <c r="DA584" s="5"/>
      <c r="DB584" s="5"/>
      <c r="DC584" s="5"/>
      <c r="DD584" s="5"/>
      <c r="DE584" s="5"/>
      <c r="DF584" s="5"/>
      <c r="DG584" s="5"/>
      <c r="DH584" s="5"/>
      <c r="DI584" s="5"/>
      <c r="DJ584" s="5"/>
      <c r="DK584" s="5"/>
      <c r="DL584" s="5"/>
      <c r="DM584" s="5"/>
      <c r="DN584" s="5"/>
      <c r="DO584" s="5"/>
      <c r="DP584" s="5"/>
      <c r="DQ584" s="5"/>
      <c r="DR584" s="5"/>
      <c r="DS584" s="5"/>
      <c r="DT584" s="5"/>
      <c r="DU584" s="5"/>
      <c r="DV584" s="5"/>
      <c r="DW584" s="5"/>
      <c r="DX584" s="5"/>
      <c r="DY584" s="5"/>
      <c r="DZ584" s="5"/>
      <c r="EA584" s="5"/>
      <c r="EB584" s="5"/>
      <c r="EC584" s="5"/>
      <c r="ED584" s="5"/>
      <c r="EE584" s="5"/>
      <c r="EF584" s="5"/>
      <c r="EG584" s="5"/>
      <c r="EH584" s="5"/>
      <c r="EI584" s="5"/>
      <c r="EJ584" s="5"/>
      <c r="EK584" s="5"/>
      <c r="EL584" s="5"/>
      <c r="EM584" s="5"/>
      <c r="EN584" s="5"/>
      <c r="EO584" s="5"/>
      <c r="EP584" s="5"/>
      <c r="EQ584" s="5"/>
      <c r="ER584" s="5"/>
      <c r="ES584" s="5"/>
      <c r="ET584" s="5"/>
      <c r="EU584" s="5"/>
      <c r="EV584" s="5"/>
      <c r="EW584" s="5"/>
      <c r="EX584" s="5"/>
      <c r="EY584" s="5"/>
      <c r="EZ584" s="5"/>
      <c r="FA584" s="5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5"/>
      <c r="CT585" s="5"/>
      <c r="CU585" s="5"/>
      <c r="CV585" s="5"/>
      <c r="CW585" s="5"/>
      <c r="CX585" s="5"/>
      <c r="CY585" s="5"/>
      <c r="CZ585" s="5"/>
      <c r="DA585" s="5"/>
      <c r="DB585" s="5"/>
      <c r="DC585" s="5"/>
      <c r="DD585" s="5"/>
      <c r="DE585" s="5"/>
      <c r="DF585" s="5"/>
      <c r="DG585" s="5"/>
      <c r="DH585" s="5"/>
      <c r="DI585" s="5"/>
      <c r="DJ585" s="5"/>
      <c r="DK585" s="5"/>
      <c r="DL585" s="5"/>
      <c r="DM585" s="5"/>
      <c r="DN585" s="5"/>
      <c r="DO585" s="5"/>
      <c r="DP585" s="5"/>
      <c r="DQ585" s="5"/>
      <c r="DR585" s="5"/>
      <c r="DS585" s="5"/>
      <c r="DT585" s="5"/>
      <c r="DU585" s="5"/>
      <c r="DV585" s="5"/>
      <c r="DW585" s="5"/>
      <c r="DX585" s="5"/>
      <c r="DY585" s="5"/>
      <c r="DZ585" s="5"/>
      <c r="EA585" s="5"/>
      <c r="EB585" s="5"/>
      <c r="EC585" s="5"/>
      <c r="ED585" s="5"/>
      <c r="EE585" s="5"/>
      <c r="EF585" s="5"/>
      <c r="EG585" s="5"/>
      <c r="EH585" s="5"/>
      <c r="EI585" s="5"/>
      <c r="EJ585" s="5"/>
      <c r="EK585" s="5"/>
      <c r="EL585" s="5"/>
      <c r="EM585" s="5"/>
      <c r="EN585" s="5"/>
      <c r="EO585" s="5"/>
      <c r="EP585" s="5"/>
      <c r="EQ585" s="5"/>
      <c r="ER585" s="5"/>
      <c r="ES585" s="5"/>
      <c r="ET585" s="5"/>
      <c r="EU585" s="5"/>
      <c r="EV585" s="5"/>
      <c r="EW585" s="5"/>
      <c r="EX585" s="5"/>
      <c r="EY585" s="5"/>
      <c r="EZ585" s="5"/>
      <c r="FA585" s="5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5"/>
      <c r="CT586" s="5"/>
      <c r="CU586" s="5"/>
      <c r="CV586" s="5"/>
      <c r="CW586" s="5"/>
      <c r="CX586" s="5"/>
      <c r="CY586" s="5"/>
      <c r="CZ586" s="5"/>
      <c r="DA586" s="5"/>
      <c r="DB586" s="5"/>
      <c r="DC586" s="5"/>
      <c r="DD586" s="5"/>
      <c r="DE586" s="5"/>
      <c r="DF586" s="5"/>
      <c r="DG586" s="5"/>
      <c r="DH586" s="5"/>
      <c r="DI586" s="5"/>
      <c r="DJ586" s="5"/>
      <c r="DK586" s="5"/>
      <c r="DL586" s="5"/>
      <c r="DM586" s="5"/>
      <c r="DN586" s="5"/>
      <c r="DO586" s="5"/>
      <c r="DP586" s="5"/>
      <c r="DQ586" s="5"/>
      <c r="DR586" s="5"/>
      <c r="DS586" s="5"/>
      <c r="DT586" s="5"/>
      <c r="DU586" s="5"/>
      <c r="DV586" s="5"/>
      <c r="DW586" s="5"/>
      <c r="DX586" s="5"/>
      <c r="DY586" s="5"/>
      <c r="DZ586" s="5"/>
      <c r="EA586" s="5"/>
      <c r="EB586" s="5"/>
      <c r="EC586" s="5"/>
      <c r="ED586" s="5"/>
      <c r="EE586" s="5"/>
      <c r="EF586" s="5"/>
      <c r="EG586" s="5"/>
      <c r="EH586" s="5"/>
      <c r="EI586" s="5"/>
      <c r="EJ586" s="5"/>
      <c r="EK586" s="5"/>
      <c r="EL586" s="5"/>
      <c r="EM586" s="5"/>
      <c r="EN586" s="5"/>
      <c r="EO586" s="5"/>
      <c r="EP586" s="5"/>
      <c r="EQ586" s="5"/>
      <c r="ER586" s="5"/>
      <c r="ES586" s="5"/>
      <c r="ET586" s="5"/>
      <c r="EU586" s="5"/>
      <c r="EV586" s="5"/>
      <c r="EW586" s="5"/>
      <c r="EX586" s="5"/>
      <c r="EY586" s="5"/>
      <c r="EZ586" s="5"/>
      <c r="FA586" s="5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5"/>
      <c r="CT587" s="5"/>
      <c r="CU587" s="5"/>
      <c r="CV587" s="5"/>
      <c r="CW587" s="5"/>
      <c r="CX587" s="5"/>
      <c r="CY587" s="5"/>
      <c r="CZ587" s="5"/>
      <c r="DA587" s="5"/>
      <c r="DB587" s="5"/>
      <c r="DC587" s="5"/>
      <c r="DD587" s="5"/>
      <c r="DE587" s="5"/>
      <c r="DF587" s="5"/>
      <c r="DG587" s="5"/>
      <c r="DH587" s="5"/>
      <c r="DI587" s="5"/>
      <c r="DJ587" s="5"/>
      <c r="DK587" s="5"/>
      <c r="DL587" s="5"/>
      <c r="DM587" s="5"/>
      <c r="DN587" s="5"/>
      <c r="DO587" s="5"/>
      <c r="DP587" s="5"/>
      <c r="DQ587" s="5"/>
      <c r="DR587" s="5"/>
      <c r="DS587" s="5"/>
      <c r="DT587" s="5"/>
      <c r="DU587" s="5"/>
      <c r="DV587" s="5"/>
      <c r="DW587" s="5"/>
      <c r="DX587" s="5"/>
      <c r="DY587" s="5"/>
      <c r="DZ587" s="5"/>
      <c r="EA587" s="5"/>
      <c r="EB587" s="5"/>
      <c r="EC587" s="5"/>
      <c r="ED587" s="5"/>
      <c r="EE587" s="5"/>
      <c r="EF587" s="5"/>
      <c r="EG587" s="5"/>
      <c r="EH587" s="5"/>
      <c r="EI587" s="5"/>
      <c r="EJ587" s="5"/>
      <c r="EK587" s="5"/>
      <c r="EL587" s="5"/>
      <c r="EM587" s="5"/>
      <c r="EN587" s="5"/>
      <c r="EO587" s="5"/>
      <c r="EP587" s="5"/>
      <c r="EQ587" s="5"/>
      <c r="ER587" s="5"/>
      <c r="ES587" s="5"/>
      <c r="ET587" s="5"/>
      <c r="EU587" s="5"/>
      <c r="EV587" s="5"/>
      <c r="EW587" s="5"/>
      <c r="EX587" s="5"/>
      <c r="EY587" s="5"/>
      <c r="EZ587" s="5"/>
      <c r="FA587" s="5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5"/>
      <c r="CT588" s="5"/>
      <c r="CU588" s="5"/>
      <c r="CV588" s="5"/>
      <c r="CW588" s="5"/>
      <c r="CX588" s="5"/>
      <c r="CY588" s="5"/>
      <c r="CZ588" s="5"/>
      <c r="DA588" s="5"/>
      <c r="DB588" s="5"/>
      <c r="DC588" s="5"/>
      <c r="DD588" s="5"/>
      <c r="DE588" s="5"/>
      <c r="DF588" s="5"/>
      <c r="DG588" s="5"/>
      <c r="DH588" s="5"/>
      <c r="DI588" s="5"/>
      <c r="DJ588" s="5"/>
      <c r="DK588" s="5"/>
      <c r="DL588" s="5"/>
      <c r="DM588" s="5"/>
      <c r="DN588" s="5"/>
      <c r="DO588" s="5"/>
      <c r="DP588" s="5"/>
      <c r="DQ588" s="5"/>
      <c r="DR588" s="5"/>
      <c r="DS588" s="5"/>
      <c r="DT588" s="5"/>
      <c r="DU588" s="5"/>
      <c r="DV588" s="5"/>
      <c r="DW588" s="5"/>
      <c r="DX588" s="5"/>
      <c r="DY588" s="5"/>
      <c r="DZ588" s="5"/>
      <c r="EA588" s="5"/>
      <c r="EB588" s="5"/>
      <c r="EC588" s="5"/>
      <c r="ED588" s="5"/>
      <c r="EE588" s="5"/>
      <c r="EF588" s="5"/>
      <c r="EG588" s="5"/>
      <c r="EH588" s="5"/>
      <c r="EI588" s="5"/>
      <c r="EJ588" s="5"/>
      <c r="EK588" s="5"/>
      <c r="EL588" s="5"/>
      <c r="EM588" s="5"/>
      <c r="EN588" s="5"/>
      <c r="EO588" s="5"/>
      <c r="EP588" s="5"/>
      <c r="EQ588" s="5"/>
      <c r="ER588" s="5"/>
      <c r="ES588" s="5"/>
      <c r="ET588" s="5"/>
      <c r="EU588" s="5"/>
      <c r="EV588" s="5"/>
      <c r="EW588" s="5"/>
      <c r="EX588" s="5"/>
      <c r="EY588" s="5"/>
      <c r="EZ588" s="5"/>
      <c r="FA588" s="5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5"/>
      <c r="CT589" s="5"/>
      <c r="CU589" s="5"/>
      <c r="CV589" s="5"/>
      <c r="CW589" s="5"/>
      <c r="CX589" s="5"/>
      <c r="CY589" s="5"/>
      <c r="CZ589" s="5"/>
      <c r="DA589" s="5"/>
      <c r="DB589" s="5"/>
      <c r="DC589" s="5"/>
      <c r="DD589" s="5"/>
      <c r="DE589" s="5"/>
      <c r="DF589" s="5"/>
      <c r="DG589" s="5"/>
      <c r="DH589" s="5"/>
      <c r="DI589" s="5"/>
      <c r="DJ589" s="5"/>
      <c r="DK589" s="5"/>
      <c r="DL589" s="5"/>
      <c r="DM589" s="5"/>
      <c r="DN589" s="5"/>
      <c r="DO589" s="5"/>
      <c r="DP589" s="5"/>
      <c r="DQ589" s="5"/>
      <c r="DR589" s="5"/>
      <c r="DS589" s="5"/>
      <c r="DT589" s="5"/>
      <c r="DU589" s="5"/>
      <c r="DV589" s="5"/>
      <c r="DW589" s="5"/>
      <c r="DX589" s="5"/>
      <c r="DY589" s="5"/>
      <c r="DZ589" s="5"/>
      <c r="EA589" s="5"/>
      <c r="EB589" s="5"/>
      <c r="EC589" s="5"/>
      <c r="ED589" s="5"/>
      <c r="EE589" s="5"/>
      <c r="EF589" s="5"/>
      <c r="EG589" s="5"/>
      <c r="EH589" s="5"/>
      <c r="EI589" s="5"/>
      <c r="EJ589" s="5"/>
      <c r="EK589" s="5"/>
      <c r="EL589" s="5"/>
      <c r="EM589" s="5"/>
      <c r="EN589" s="5"/>
      <c r="EO589" s="5"/>
      <c r="EP589" s="5"/>
      <c r="EQ589" s="5"/>
      <c r="ER589" s="5"/>
      <c r="ES589" s="5"/>
      <c r="ET589" s="5"/>
      <c r="EU589" s="5"/>
      <c r="EV589" s="5"/>
      <c r="EW589" s="5"/>
      <c r="EX589" s="5"/>
      <c r="EY589" s="5"/>
      <c r="EZ589" s="5"/>
      <c r="FA589" s="5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5"/>
      <c r="CT590" s="5"/>
      <c r="CU590" s="5"/>
      <c r="CV590" s="5"/>
      <c r="CW590" s="5"/>
      <c r="CX590" s="5"/>
      <c r="CY590" s="5"/>
      <c r="CZ590" s="5"/>
      <c r="DA590" s="5"/>
      <c r="DB590" s="5"/>
      <c r="DC590" s="5"/>
      <c r="DD590" s="5"/>
      <c r="DE590" s="5"/>
      <c r="DF590" s="5"/>
      <c r="DG590" s="5"/>
      <c r="DH590" s="5"/>
      <c r="DI590" s="5"/>
      <c r="DJ590" s="5"/>
      <c r="DK590" s="5"/>
      <c r="DL590" s="5"/>
      <c r="DM590" s="5"/>
      <c r="DN590" s="5"/>
      <c r="DO590" s="5"/>
      <c r="DP590" s="5"/>
      <c r="DQ590" s="5"/>
      <c r="DR590" s="5"/>
      <c r="DS590" s="5"/>
      <c r="DT590" s="5"/>
      <c r="DU590" s="5"/>
      <c r="DV590" s="5"/>
      <c r="DW590" s="5"/>
      <c r="DX590" s="5"/>
      <c r="DY590" s="5"/>
      <c r="DZ590" s="5"/>
      <c r="EA590" s="5"/>
      <c r="EB590" s="5"/>
      <c r="EC590" s="5"/>
      <c r="ED590" s="5"/>
      <c r="EE590" s="5"/>
      <c r="EF590" s="5"/>
      <c r="EG590" s="5"/>
      <c r="EH590" s="5"/>
      <c r="EI590" s="5"/>
      <c r="EJ590" s="5"/>
      <c r="EK590" s="5"/>
      <c r="EL590" s="5"/>
      <c r="EM590" s="5"/>
      <c r="EN590" s="5"/>
      <c r="EO590" s="5"/>
      <c r="EP590" s="5"/>
      <c r="EQ590" s="5"/>
      <c r="ER590" s="5"/>
      <c r="ES590" s="5"/>
      <c r="ET590" s="5"/>
      <c r="EU590" s="5"/>
      <c r="EV590" s="5"/>
      <c r="EW590" s="5"/>
      <c r="EX590" s="5"/>
      <c r="EY590" s="5"/>
      <c r="EZ590" s="5"/>
      <c r="FA590" s="5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5"/>
      <c r="CT591" s="5"/>
      <c r="CU591" s="5"/>
      <c r="CV591" s="5"/>
      <c r="CW591" s="5"/>
      <c r="CX591" s="5"/>
      <c r="CY591" s="5"/>
      <c r="CZ591" s="5"/>
      <c r="DA591" s="5"/>
      <c r="DB591" s="5"/>
      <c r="DC591" s="5"/>
      <c r="DD591" s="5"/>
      <c r="DE591" s="5"/>
      <c r="DF591" s="5"/>
      <c r="DG591" s="5"/>
      <c r="DH591" s="5"/>
      <c r="DI591" s="5"/>
      <c r="DJ591" s="5"/>
      <c r="DK591" s="5"/>
      <c r="DL591" s="5"/>
      <c r="DM591" s="5"/>
      <c r="DN591" s="5"/>
      <c r="DO591" s="5"/>
      <c r="DP591" s="5"/>
      <c r="DQ591" s="5"/>
      <c r="DR591" s="5"/>
      <c r="DS591" s="5"/>
      <c r="DT591" s="5"/>
      <c r="DU591" s="5"/>
      <c r="DV591" s="5"/>
      <c r="DW591" s="5"/>
      <c r="DX591" s="5"/>
      <c r="DY591" s="5"/>
      <c r="DZ591" s="5"/>
      <c r="EA591" s="5"/>
      <c r="EB591" s="5"/>
      <c r="EC591" s="5"/>
      <c r="ED591" s="5"/>
      <c r="EE591" s="5"/>
      <c r="EF591" s="5"/>
      <c r="EG591" s="5"/>
      <c r="EH591" s="5"/>
      <c r="EI591" s="5"/>
      <c r="EJ591" s="5"/>
      <c r="EK591" s="5"/>
      <c r="EL591" s="5"/>
      <c r="EM591" s="5"/>
      <c r="EN591" s="5"/>
      <c r="EO591" s="5"/>
      <c r="EP591" s="5"/>
      <c r="EQ591" s="5"/>
      <c r="ER591" s="5"/>
      <c r="ES591" s="5"/>
      <c r="ET591" s="5"/>
      <c r="EU591" s="5"/>
      <c r="EV591" s="5"/>
      <c r="EW591" s="5"/>
      <c r="EX591" s="5"/>
      <c r="EY591" s="5"/>
      <c r="EZ591" s="5"/>
      <c r="FA591" s="5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5"/>
      <c r="CT592" s="5"/>
      <c r="CU592" s="5"/>
      <c r="CV592" s="5"/>
      <c r="CW592" s="5"/>
      <c r="CX592" s="5"/>
      <c r="CY592" s="5"/>
      <c r="CZ592" s="5"/>
      <c r="DA592" s="5"/>
      <c r="DB592" s="5"/>
      <c r="DC592" s="5"/>
      <c r="DD592" s="5"/>
      <c r="DE592" s="5"/>
      <c r="DF592" s="5"/>
      <c r="DG592" s="5"/>
      <c r="DH592" s="5"/>
      <c r="DI592" s="5"/>
      <c r="DJ592" s="5"/>
      <c r="DK592" s="5"/>
      <c r="DL592" s="5"/>
      <c r="DM592" s="5"/>
      <c r="DN592" s="5"/>
      <c r="DO592" s="5"/>
      <c r="DP592" s="5"/>
      <c r="DQ592" s="5"/>
      <c r="DR592" s="5"/>
      <c r="DS592" s="5"/>
      <c r="DT592" s="5"/>
      <c r="DU592" s="5"/>
      <c r="DV592" s="5"/>
      <c r="DW592" s="5"/>
      <c r="DX592" s="5"/>
      <c r="DY592" s="5"/>
      <c r="DZ592" s="5"/>
      <c r="EA592" s="5"/>
      <c r="EB592" s="5"/>
      <c r="EC592" s="5"/>
      <c r="ED592" s="5"/>
      <c r="EE592" s="5"/>
      <c r="EF592" s="5"/>
      <c r="EG592" s="5"/>
      <c r="EH592" s="5"/>
      <c r="EI592" s="5"/>
      <c r="EJ592" s="5"/>
      <c r="EK592" s="5"/>
      <c r="EL592" s="5"/>
      <c r="EM592" s="5"/>
      <c r="EN592" s="5"/>
      <c r="EO592" s="5"/>
      <c r="EP592" s="5"/>
      <c r="EQ592" s="5"/>
      <c r="ER592" s="5"/>
      <c r="ES592" s="5"/>
      <c r="ET592" s="5"/>
      <c r="EU592" s="5"/>
      <c r="EV592" s="5"/>
      <c r="EW592" s="5"/>
      <c r="EX592" s="5"/>
      <c r="EY592" s="5"/>
      <c r="EZ592" s="5"/>
      <c r="FA592" s="5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5"/>
      <c r="CT593" s="5"/>
      <c r="CU593" s="5"/>
      <c r="CV593" s="5"/>
      <c r="CW593" s="5"/>
      <c r="CX593" s="5"/>
      <c r="CY593" s="5"/>
      <c r="CZ593" s="5"/>
      <c r="DA593" s="5"/>
      <c r="DB593" s="5"/>
      <c r="DC593" s="5"/>
      <c r="DD593" s="5"/>
      <c r="DE593" s="5"/>
      <c r="DF593" s="5"/>
      <c r="DG593" s="5"/>
      <c r="DH593" s="5"/>
      <c r="DI593" s="5"/>
      <c r="DJ593" s="5"/>
      <c r="DK593" s="5"/>
      <c r="DL593" s="5"/>
      <c r="DM593" s="5"/>
      <c r="DN593" s="5"/>
      <c r="DO593" s="5"/>
      <c r="DP593" s="5"/>
      <c r="DQ593" s="5"/>
      <c r="DR593" s="5"/>
      <c r="DS593" s="5"/>
      <c r="DT593" s="5"/>
      <c r="DU593" s="5"/>
      <c r="DV593" s="5"/>
      <c r="DW593" s="5"/>
      <c r="DX593" s="5"/>
      <c r="DY593" s="5"/>
      <c r="DZ593" s="5"/>
      <c r="EA593" s="5"/>
      <c r="EB593" s="5"/>
      <c r="EC593" s="5"/>
      <c r="ED593" s="5"/>
      <c r="EE593" s="5"/>
      <c r="EF593" s="5"/>
      <c r="EG593" s="5"/>
      <c r="EH593" s="5"/>
      <c r="EI593" s="5"/>
      <c r="EJ593" s="5"/>
      <c r="EK593" s="5"/>
      <c r="EL593" s="5"/>
      <c r="EM593" s="5"/>
      <c r="EN593" s="5"/>
      <c r="EO593" s="5"/>
      <c r="EP593" s="5"/>
      <c r="EQ593" s="5"/>
      <c r="ER593" s="5"/>
      <c r="ES593" s="5"/>
      <c r="ET593" s="5"/>
      <c r="EU593" s="5"/>
      <c r="EV593" s="5"/>
      <c r="EW593" s="5"/>
      <c r="EX593" s="5"/>
      <c r="EY593" s="5"/>
      <c r="EZ593" s="5"/>
      <c r="FA593" s="5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5"/>
      <c r="CT594" s="5"/>
      <c r="CU594" s="5"/>
      <c r="CV594" s="5"/>
      <c r="CW594" s="5"/>
      <c r="CX594" s="5"/>
      <c r="CY594" s="5"/>
      <c r="CZ594" s="5"/>
      <c r="DA594" s="5"/>
      <c r="DB594" s="5"/>
      <c r="DC594" s="5"/>
      <c r="DD594" s="5"/>
      <c r="DE594" s="5"/>
      <c r="DF594" s="5"/>
      <c r="DG594" s="5"/>
      <c r="DH594" s="5"/>
      <c r="DI594" s="5"/>
      <c r="DJ594" s="5"/>
      <c r="DK594" s="5"/>
      <c r="DL594" s="5"/>
      <c r="DM594" s="5"/>
      <c r="DN594" s="5"/>
      <c r="DO594" s="5"/>
      <c r="DP594" s="5"/>
      <c r="DQ594" s="5"/>
      <c r="DR594" s="5"/>
      <c r="DS594" s="5"/>
      <c r="DT594" s="5"/>
      <c r="DU594" s="5"/>
      <c r="DV594" s="5"/>
      <c r="DW594" s="5"/>
      <c r="DX594" s="5"/>
      <c r="DY594" s="5"/>
      <c r="DZ594" s="5"/>
      <c r="EA594" s="5"/>
      <c r="EB594" s="5"/>
      <c r="EC594" s="5"/>
      <c r="ED594" s="5"/>
      <c r="EE594" s="5"/>
      <c r="EF594" s="5"/>
      <c r="EG594" s="5"/>
      <c r="EH594" s="5"/>
      <c r="EI594" s="5"/>
      <c r="EJ594" s="5"/>
      <c r="EK594" s="5"/>
      <c r="EL594" s="5"/>
      <c r="EM594" s="5"/>
      <c r="EN594" s="5"/>
      <c r="EO594" s="5"/>
      <c r="EP594" s="5"/>
      <c r="EQ594" s="5"/>
      <c r="ER594" s="5"/>
      <c r="ES594" s="5"/>
      <c r="ET594" s="5"/>
      <c r="EU594" s="5"/>
      <c r="EV594" s="5"/>
      <c r="EW594" s="5"/>
      <c r="EX594" s="5"/>
      <c r="EY594" s="5"/>
      <c r="EZ594" s="5"/>
      <c r="FA594" s="5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5"/>
      <c r="CT595" s="5"/>
      <c r="CU595" s="5"/>
      <c r="CV595" s="5"/>
      <c r="CW595" s="5"/>
      <c r="CX595" s="5"/>
      <c r="CY595" s="5"/>
      <c r="CZ595" s="5"/>
      <c r="DA595" s="5"/>
      <c r="DB595" s="5"/>
      <c r="DC595" s="5"/>
      <c r="DD595" s="5"/>
      <c r="DE595" s="5"/>
      <c r="DF595" s="5"/>
      <c r="DG595" s="5"/>
      <c r="DH595" s="5"/>
      <c r="DI595" s="5"/>
      <c r="DJ595" s="5"/>
      <c r="DK595" s="5"/>
      <c r="DL595" s="5"/>
      <c r="DM595" s="5"/>
      <c r="DN595" s="5"/>
      <c r="DO595" s="5"/>
      <c r="DP595" s="5"/>
      <c r="DQ595" s="5"/>
      <c r="DR595" s="5"/>
      <c r="DS595" s="5"/>
      <c r="DT595" s="5"/>
      <c r="DU595" s="5"/>
      <c r="DV595" s="5"/>
      <c r="DW595" s="5"/>
      <c r="DX595" s="5"/>
      <c r="DY595" s="5"/>
      <c r="DZ595" s="5"/>
      <c r="EA595" s="5"/>
      <c r="EB595" s="5"/>
      <c r="EC595" s="5"/>
      <c r="ED595" s="5"/>
      <c r="EE595" s="5"/>
      <c r="EF595" s="5"/>
      <c r="EG595" s="5"/>
      <c r="EH595" s="5"/>
      <c r="EI595" s="5"/>
      <c r="EJ595" s="5"/>
      <c r="EK595" s="5"/>
      <c r="EL595" s="5"/>
      <c r="EM595" s="5"/>
      <c r="EN595" s="5"/>
      <c r="EO595" s="5"/>
      <c r="EP595" s="5"/>
      <c r="EQ595" s="5"/>
      <c r="ER595" s="5"/>
      <c r="ES595" s="5"/>
      <c r="ET595" s="5"/>
      <c r="EU595" s="5"/>
      <c r="EV595" s="5"/>
      <c r="EW595" s="5"/>
      <c r="EX595" s="5"/>
      <c r="EY595" s="5"/>
      <c r="EZ595" s="5"/>
      <c r="FA595" s="5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5"/>
      <c r="CT596" s="5"/>
      <c r="CU596" s="5"/>
      <c r="CV596" s="5"/>
      <c r="CW596" s="5"/>
      <c r="CX596" s="5"/>
      <c r="CY596" s="5"/>
      <c r="CZ596" s="5"/>
      <c r="DA596" s="5"/>
      <c r="DB596" s="5"/>
      <c r="DC596" s="5"/>
      <c r="DD596" s="5"/>
      <c r="DE596" s="5"/>
      <c r="DF596" s="5"/>
      <c r="DG596" s="5"/>
      <c r="DH596" s="5"/>
      <c r="DI596" s="5"/>
      <c r="DJ596" s="5"/>
      <c r="DK596" s="5"/>
      <c r="DL596" s="5"/>
      <c r="DM596" s="5"/>
      <c r="DN596" s="5"/>
      <c r="DO596" s="5"/>
      <c r="DP596" s="5"/>
      <c r="DQ596" s="5"/>
      <c r="DR596" s="5"/>
      <c r="DS596" s="5"/>
      <c r="DT596" s="5"/>
      <c r="DU596" s="5"/>
      <c r="DV596" s="5"/>
      <c r="DW596" s="5"/>
      <c r="DX596" s="5"/>
      <c r="DY596" s="5"/>
      <c r="DZ596" s="5"/>
      <c r="EA596" s="5"/>
      <c r="EB596" s="5"/>
      <c r="EC596" s="5"/>
      <c r="ED596" s="5"/>
      <c r="EE596" s="5"/>
      <c r="EF596" s="5"/>
      <c r="EG596" s="5"/>
      <c r="EH596" s="5"/>
      <c r="EI596" s="5"/>
      <c r="EJ596" s="5"/>
      <c r="EK596" s="5"/>
      <c r="EL596" s="5"/>
      <c r="EM596" s="5"/>
      <c r="EN596" s="5"/>
      <c r="EO596" s="5"/>
      <c r="EP596" s="5"/>
      <c r="EQ596" s="5"/>
      <c r="ER596" s="5"/>
      <c r="ES596" s="5"/>
      <c r="ET596" s="5"/>
      <c r="EU596" s="5"/>
      <c r="EV596" s="5"/>
      <c r="EW596" s="5"/>
      <c r="EX596" s="5"/>
      <c r="EY596" s="5"/>
      <c r="EZ596" s="5"/>
      <c r="FA596" s="5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5"/>
      <c r="CT597" s="5"/>
      <c r="CU597" s="5"/>
      <c r="CV597" s="5"/>
      <c r="CW597" s="5"/>
      <c r="CX597" s="5"/>
      <c r="CY597" s="5"/>
      <c r="CZ597" s="5"/>
      <c r="DA597" s="5"/>
      <c r="DB597" s="5"/>
      <c r="DC597" s="5"/>
      <c r="DD597" s="5"/>
      <c r="DE597" s="5"/>
      <c r="DF597" s="5"/>
      <c r="DG597" s="5"/>
      <c r="DH597" s="5"/>
      <c r="DI597" s="5"/>
      <c r="DJ597" s="5"/>
      <c r="DK597" s="5"/>
      <c r="DL597" s="5"/>
      <c r="DM597" s="5"/>
      <c r="DN597" s="5"/>
      <c r="DO597" s="5"/>
      <c r="DP597" s="5"/>
      <c r="DQ597" s="5"/>
      <c r="DR597" s="5"/>
      <c r="DS597" s="5"/>
      <c r="DT597" s="5"/>
      <c r="DU597" s="5"/>
      <c r="DV597" s="5"/>
      <c r="DW597" s="5"/>
      <c r="DX597" s="5"/>
      <c r="DY597" s="5"/>
      <c r="DZ597" s="5"/>
      <c r="EA597" s="5"/>
      <c r="EB597" s="5"/>
      <c r="EC597" s="5"/>
      <c r="ED597" s="5"/>
      <c r="EE597" s="5"/>
      <c r="EF597" s="5"/>
      <c r="EG597" s="5"/>
      <c r="EH597" s="5"/>
      <c r="EI597" s="5"/>
      <c r="EJ597" s="5"/>
      <c r="EK597" s="5"/>
      <c r="EL597" s="5"/>
      <c r="EM597" s="5"/>
      <c r="EN597" s="5"/>
      <c r="EO597" s="5"/>
      <c r="EP597" s="5"/>
      <c r="EQ597" s="5"/>
      <c r="ER597" s="5"/>
      <c r="ES597" s="5"/>
      <c r="ET597" s="5"/>
      <c r="EU597" s="5"/>
      <c r="EV597" s="5"/>
      <c r="EW597" s="5"/>
      <c r="EX597" s="5"/>
      <c r="EY597" s="5"/>
      <c r="EZ597" s="5"/>
      <c r="FA597" s="5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5"/>
      <c r="CT598" s="5"/>
      <c r="CU598" s="5"/>
      <c r="CV598" s="5"/>
      <c r="CW598" s="5"/>
      <c r="CX598" s="5"/>
      <c r="CY598" s="5"/>
      <c r="CZ598" s="5"/>
      <c r="DA598" s="5"/>
      <c r="DB598" s="5"/>
      <c r="DC598" s="5"/>
      <c r="DD598" s="5"/>
      <c r="DE598" s="5"/>
      <c r="DF598" s="5"/>
      <c r="DG598" s="5"/>
      <c r="DH598" s="5"/>
      <c r="DI598" s="5"/>
      <c r="DJ598" s="5"/>
      <c r="DK598" s="5"/>
      <c r="DL598" s="5"/>
      <c r="DM598" s="5"/>
      <c r="DN598" s="5"/>
      <c r="DO598" s="5"/>
      <c r="DP598" s="5"/>
      <c r="DQ598" s="5"/>
      <c r="DR598" s="5"/>
      <c r="DS598" s="5"/>
      <c r="DT598" s="5"/>
      <c r="DU598" s="5"/>
      <c r="DV598" s="5"/>
      <c r="DW598" s="5"/>
      <c r="DX598" s="5"/>
      <c r="DY598" s="5"/>
      <c r="DZ598" s="5"/>
      <c r="EA598" s="5"/>
      <c r="EB598" s="5"/>
      <c r="EC598" s="5"/>
      <c r="ED598" s="5"/>
      <c r="EE598" s="5"/>
      <c r="EF598" s="5"/>
      <c r="EG598" s="5"/>
      <c r="EH598" s="5"/>
      <c r="EI598" s="5"/>
      <c r="EJ598" s="5"/>
      <c r="EK598" s="5"/>
      <c r="EL598" s="5"/>
      <c r="EM598" s="5"/>
      <c r="EN598" s="5"/>
      <c r="EO598" s="5"/>
      <c r="EP598" s="5"/>
      <c r="EQ598" s="5"/>
      <c r="ER598" s="5"/>
      <c r="ES598" s="5"/>
      <c r="ET598" s="5"/>
      <c r="EU598" s="5"/>
      <c r="EV598" s="5"/>
      <c r="EW598" s="5"/>
      <c r="EX598" s="5"/>
      <c r="EY598" s="5"/>
      <c r="EZ598" s="5"/>
      <c r="FA598" s="5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5"/>
      <c r="CT599" s="5"/>
      <c r="CU599" s="5"/>
      <c r="CV599" s="5"/>
      <c r="CW599" s="5"/>
      <c r="CX599" s="5"/>
      <c r="CY599" s="5"/>
      <c r="CZ599" s="5"/>
      <c r="DA599" s="5"/>
      <c r="DB599" s="5"/>
      <c r="DC599" s="5"/>
      <c r="DD599" s="5"/>
      <c r="DE599" s="5"/>
      <c r="DF599" s="5"/>
      <c r="DG599" s="5"/>
      <c r="DH599" s="5"/>
      <c r="DI599" s="5"/>
      <c r="DJ599" s="5"/>
      <c r="DK599" s="5"/>
      <c r="DL599" s="5"/>
      <c r="DM599" s="5"/>
      <c r="DN599" s="5"/>
      <c r="DO599" s="5"/>
      <c r="DP599" s="5"/>
      <c r="DQ599" s="5"/>
      <c r="DR599" s="5"/>
      <c r="DS599" s="5"/>
      <c r="DT599" s="5"/>
      <c r="DU599" s="5"/>
      <c r="DV599" s="5"/>
      <c r="DW599" s="5"/>
      <c r="DX599" s="5"/>
      <c r="DY599" s="5"/>
      <c r="DZ599" s="5"/>
      <c r="EA599" s="5"/>
      <c r="EB599" s="5"/>
      <c r="EC599" s="5"/>
      <c r="ED599" s="5"/>
      <c r="EE599" s="5"/>
      <c r="EF599" s="5"/>
      <c r="EG599" s="5"/>
      <c r="EH599" s="5"/>
      <c r="EI599" s="5"/>
      <c r="EJ599" s="5"/>
      <c r="EK599" s="5"/>
      <c r="EL599" s="5"/>
      <c r="EM599" s="5"/>
      <c r="EN599" s="5"/>
      <c r="EO599" s="5"/>
      <c r="EP599" s="5"/>
      <c r="EQ599" s="5"/>
      <c r="ER599" s="5"/>
      <c r="ES599" s="5"/>
      <c r="ET599" s="5"/>
      <c r="EU599" s="5"/>
      <c r="EV599" s="5"/>
      <c r="EW599" s="5"/>
      <c r="EX599" s="5"/>
      <c r="EY599" s="5"/>
      <c r="EZ599" s="5"/>
      <c r="FA599" s="5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5"/>
      <c r="CT600" s="5"/>
      <c r="CU600" s="5"/>
      <c r="CV600" s="5"/>
      <c r="CW600" s="5"/>
      <c r="CX600" s="5"/>
      <c r="CY600" s="5"/>
      <c r="CZ600" s="5"/>
      <c r="DA600" s="5"/>
      <c r="DB600" s="5"/>
      <c r="DC600" s="5"/>
      <c r="DD600" s="5"/>
      <c r="DE600" s="5"/>
      <c r="DF600" s="5"/>
      <c r="DG600" s="5"/>
      <c r="DH600" s="5"/>
      <c r="DI600" s="5"/>
      <c r="DJ600" s="5"/>
      <c r="DK600" s="5"/>
      <c r="DL600" s="5"/>
      <c r="DM600" s="5"/>
      <c r="DN600" s="5"/>
      <c r="DO600" s="5"/>
      <c r="DP600" s="5"/>
      <c r="DQ600" s="5"/>
      <c r="DR600" s="5"/>
      <c r="DS600" s="5"/>
      <c r="DT600" s="5"/>
      <c r="DU600" s="5"/>
      <c r="DV600" s="5"/>
      <c r="DW600" s="5"/>
      <c r="DX600" s="5"/>
      <c r="DY600" s="5"/>
      <c r="DZ600" s="5"/>
      <c r="EA600" s="5"/>
      <c r="EB600" s="5"/>
      <c r="EC600" s="5"/>
      <c r="ED600" s="5"/>
      <c r="EE600" s="5"/>
      <c r="EF600" s="5"/>
      <c r="EG600" s="5"/>
      <c r="EH600" s="5"/>
      <c r="EI600" s="5"/>
      <c r="EJ600" s="5"/>
      <c r="EK600" s="5"/>
      <c r="EL600" s="5"/>
      <c r="EM600" s="5"/>
      <c r="EN600" s="5"/>
      <c r="EO600" s="5"/>
      <c r="EP600" s="5"/>
      <c r="EQ600" s="5"/>
      <c r="ER600" s="5"/>
      <c r="ES600" s="5"/>
      <c r="ET600" s="5"/>
      <c r="EU600" s="5"/>
      <c r="EV600" s="5"/>
      <c r="EW600" s="5"/>
      <c r="EX600" s="5"/>
      <c r="EY600" s="5"/>
      <c r="EZ600" s="5"/>
      <c r="FA600" s="5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5"/>
      <c r="CT601" s="5"/>
      <c r="CU601" s="5"/>
      <c r="CV601" s="5"/>
      <c r="CW601" s="5"/>
      <c r="CX601" s="5"/>
      <c r="CY601" s="5"/>
      <c r="CZ601" s="5"/>
      <c r="DA601" s="5"/>
      <c r="DB601" s="5"/>
      <c r="DC601" s="5"/>
      <c r="DD601" s="5"/>
      <c r="DE601" s="5"/>
      <c r="DF601" s="5"/>
      <c r="DG601" s="5"/>
      <c r="DH601" s="5"/>
      <c r="DI601" s="5"/>
      <c r="DJ601" s="5"/>
      <c r="DK601" s="5"/>
      <c r="DL601" s="5"/>
      <c r="DM601" s="5"/>
      <c r="DN601" s="5"/>
      <c r="DO601" s="5"/>
      <c r="DP601" s="5"/>
      <c r="DQ601" s="5"/>
      <c r="DR601" s="5"/>
      <c r="DS601" s="5"/>
      <c r="DT601" s="5"/>
      <c r="DU601" s="5"/>
      <c r="DV601" s="5"/>
      <c r="DW601" s="5"/>
      <c r="DX601" s="5"/>
      <c r="DY601" s="5"/>
      <c r="DZ601" s="5"/>
      <c r="EA601" s="5"/>
      <c r="EB601" s="5"/>
      <c r="EC601" s="5"/>
      <c r="ED601" s="5"/>
      <c r="EE601" s="5"/>
      <c r="EF601" s="5"/>
      <c r="EG601" s="5"/>
      <c r="EH601" s="5"/>
      <c r="EI601" s="5"/>
      <c r="EJ601" s="5"/>
      <c r="EK601" s="5"/>
      <c r="EL601" s="5"/>
      <c r="EM601" s="5"/>
      <c r="EN601" s="5"/>
      <c r="EO601" s="5"/>
      <c r="EP601" s="5"/>
      <c r="EQ601" s="5"/>
      <c r="ER601" s="5"/>
      <c r="ES601" s="5"/>
      <c r="ET601" s="5"/>
      <c r="EU601" s="5"/>
      <c r="EV601" s="5"/>
      <c r="EW601" s="5"/>
      <c r="EX601" s="5"/>
      <c r="EY601" s="5"/>
      <c r="EZ601" s="5"/>
      <c r="FA601" s="5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5"/>
      <c r="CT602" s="5"/>
      <c r="CU602" s="5"/>
      <c r="CV602" s="5"/>
      <c r="CW602" s="5"/>
      <c r="CX602" s="5"/>
      <c r="CY602" s="5"/>
      <c r="CZ602" s="5"/>
      <c r="DA602" s="5"/>
      <c r="DB602" s="5"/>
      <c r="DC602" s="5"/>
      <c r="DD602" s="5"/>
      <c r="DE602" s="5"/>
      <c r="DF602" s="5"/>
      <c r="DG602" s="5"/>
      <c r="DH602" s="5"/>
      <c r="DI602" s="5"/>
      <c r="DJ602" s="5"/>
      <c r="DK602" s="5"/>
      <c r="DL602" s="5"/>
      <c r="DM602" s="5"/>
      <c r="DN602" s="5"/>
      <c r="DO602" s="5"/>
      <c r="DP602" s="5"/>
      <c r="DQ602" s="5"/>
      <c r="DR602" s="5"/>
      <c r="DS602" s="5"/>
      <c r="DT602" s="5"/>
      <c r="DU602" s="5"/>
      <c r="DV602" s="5"/>
      <c r="DW602" s="5"/>
      <c r="DX602" s="5"/>
      <c r="DY602" s="5"/>
      <c r="DZ602" s="5"/>
      <c r="EA602" s="5"/>
      <c r="EB602" s="5"/>
      <c r="EC602" s="5"/>
      <c r="ED602" s="5"/>
      <c r="EE602" s="5"/>
      <c r="EF602" s="5"/>
      <c r="EG602" s="5"/>
      <c r="EH602" s="5"/>
      <c r="EI602" s="5"/>
      <c r="EJ602" s="5"/>
      <c r="EK602" s="5"/>
      <c r="EL602" s="5"/>
      <c r="EM602" s="5"/>
      <c r="EN602" s="5"/>
      <c r="EO602" s="5"/>
      <c r="EP602" s="5"/>
      <c r="EQ602" s="5"/>
      <c r="ER602" s="5"/>
      <c r="ES602" s="5"/>
      <c r="ET602" s="5"/>
      <c r="EU602" s="5"/>
      <c r="EV602" s="5"/>
      <c r="EW602" s="5"/>
      <c r="EX602" s="5"/>
      <c r="EY602" s="5"/>
      <c r="EZ602" s="5"/>
      <c r="FA602" s="5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5"/>
      <c r="CT603" s="5"/>
      <c r="CU603" s="5"/>
      <c r="CV603" s="5"/>
      <c r="CW603" s="5"/>
      <c r="CX603" s="5"/>
      <c r="CY603" s="5"/>
      <c r="CZ603" s="5"/>
      <c r="DA603" s="5"/>
      <c r="DB603" s="5"/>
      <c r="DC603" s="5"/>
      <c r="DD603" s="5"/>
      <c r="DE603" s="5"/>
      <c r="DF603" s="5"/>
      <c r="DG603" s="5"/>
      <c r="DH603" s="5"/>
      <c r="DI603" s="5"/>
      <c r="DJ603" s="5"/>
      <c r="DK603" s="5"/>
      <c r="DL603" s="5"/>
      <c r="DM603" s="5"/>
      <c r="DN603" s="5"/>
      <c r="DO603" s="5"/>
      <c r="DP603" s="5"/>
      <c r="DQ603" s="5"/>
      <c r="DR603" s="5"/>
      <c r="DS603" s="5"/>
      <c r="DT603" s="5"/>
      <c r="DU603" s="5"/>
      <c r="DV603" s="5"/>
      <c r="DW603" s="5"/>
      <c r="DX603" s="5"/>
      <c r="DY603" s="5"/>
      <c r="DZ603" s="5"/>
      <c r="EA603" s="5"/>
      <c r="EB603" s="5"/>
      <c r="EC603" s="5"/>
      <c r="ED603" s="5"/>
      <c r="EE603" s="5"/>
      <c r="EF603" s="5"/>
      <c r="EG603" s="5"/>
      <c r="EH603" s="5"/>
      <c r="EI603" s="5"/>
      <c r="EJ603" s="5"/>
      <c r="EK603" s="5"/>
      <c r="EL603" s="5"/>
      <c r="EM603" s="5"/>
      <c r="EN603" s="5"/>
      <c r="EO603" s="5"/>
      <c r="EP603" s="5"/>
      <c r="EQ603" s="5"/>
      <c r="ER603" s="5"/>
      <c r="ES603" s="5"/>
      <c r="ET603" s="5"/>
      <c r="EU603" s="5"/>
      <c r="EV603" s="5"/>
      <c r="EW603" s="5"/>
      <c r="EX603" s="5"/>
      <c r="EY603" s="5"/>
      <c r="EZ603" s="5"/>
      <c r="FA603" s="5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5"/>
      <c r="CT604" s="5"/>
      <c r="CU604" s="5"/>
      <c r="CV604" s="5"/>
      <c r="CW604" s="5"/>
      <c r="CX604" s="5"/>
      <c r="CY604" s="5"/>
      <c r="CZ604" s="5"/>
      <c r="DA604" s="5"/>
      <c r="DB604" s="5"/>
      <c r="DC604" s="5"/>
      <c r="DD604" s="5"/>
      <c r="DE604" s="5"/>
      <c r="DF604" s="5"/>
      <c r="DG604" s="5"/>
      <c r="DH604" s="5"/>
      <c r="DI604" s="5"/>
      <c r="DJ604" s="5"/>
      <c r="DK604" s="5"/>
      <c r="DL604" s="5"/>
      <c r="DM604" s="5"/>
      <c r="DN604" s="5"/>
      <c r="DO604" s="5"/>
      <c r="DP604" s="5"/>
      <c r="DQ604" s="5"/>
      <c r="DR604" s="5"/>
      <c r="DS604" s="5"/>
      <c r="DT604" s="5"/>
      <c r="DU604" s="5"/>
      <c r="DV604" s="5"/>
      <c r="DW604" s="5"/>
      <c r="DX604" s="5"/>
      <c r="DY604" s="5"/>
      <c r="DZ604" s="5"/>
      <c r="EA604" s="5"/>
      <c r="EB604" s="5"/>
      <c r="EC604" s="5"/>
      <c r="ED604" s="5"/>
      <c r="EE604" s="5"/>
      <c r="EF604" s="5"/>
      <c r="EG604" s="5"/>
      <c r="EH604" s="5"/>
      <c r="EI604" s="5"/>
      <c r="EJ604" s="5"/>
      <c r="EK604" s="5"/>
      <c r="EL604" s="5"/>
      <c r="EM604" s="5"/>
      <c r="EN604" s="5"/>
      <c r="EO604" s="5"/>
      <c r="EP604" s="5"/>
      <c r="EQ604" s="5"/>
      <c r="ER604" s="5"/>
      <c r="ES604" s="5"/>
      <c r="ET604" s="5"/>
      <c r="EU604" s="5"/>
      <c r="EV604" s="5"/>
      <c r="EW604" s="5"/>
      <c r="EX604" s="5"/>
      <c r="EY604" s="5"/>
      <c r="EZ604" s="5"/>
      <c r="FA604" s="5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5"/>
      <c r="CT605" s="5"/>
      <c r="CU605" s="5"/>
      <c r="CV605" s="5"/>
      <c r="CW605" s="5"/>
      <c r="CX605" s="5"/>
      <c r="CY605" s="5"/>
      <c r="CZ605" s="5"/>
      <c r="DA605" s="5"/>
      <c r="DB605" s="5"/>
      <c r="DC605" s="5"/>
      <c r="DD605" s="5"/>
      <c r="DE605" s="5"/>
      <c r="DF605" s="5"/>
      <c r="DG605" s="5"/>
      <c r="DH605" s="5"/>
      <c r="DI605" s="5"/>
      <c r="DJ605" s="5"/>
      <c r="DK605" s="5"/>
      <c r="DL605" s="5"/>
      <c r="DM605" s="5"/>
      <c r="DN605" s="5"/>
      <c r="DO605" s="5"/>
      <c r="DP605" s="5"/>
      <c r="DQ605" s="5"/>
      <c r="DR605" s="5"/>
      <c r="DS605" s="5"/>
      <c r="DT605" s="5"/>
      <c r="DU605" s="5"/>
      <c r="DV605" s="5"/>
      <c r="DW605" s="5"/>
      <c r="DX605" s="5"/>
      <c r="DY605" s="5"/>
      <c r="DZ605" s="5"/>
      <c r="EA605" s="5"/>
      <c r="EB605" s="5"/>
      <c r="EC605" s="5"/>
      <c r="ED605" s="5"/>
      <c r="EE605" s="5"/>
      <c r="EF605" s="5"/>
      <c r="EG605" s="5"/>
      <c r="EH605" s="5"/>
      <c r="EI605" s="5"/>
      <c r="EJ605" s="5"/>
      <c r="EK605" s="5"/>
      <c r="EL605" s="5"/>
      <c r="EM605" s="5"/>
      <c r="EN605" s="5"/>
      <c r="EO605" s="5"/>
      <c r="EP605" s="5"/>
      <c r="EQ605" s="5"/>
      <c r="ER605" s="5"/>
      <c r="ES605" s="5"/>
      <c r="ET605" s="5"/>
      <c r="EU605" s="5"/>
      <c r="EV605" s="5"/>
      <c r="EW605" s="5"/>
      <c r="EX605" s="5"/>
      <c r="EY605" s="5"/>
      <c r="EZ605" s="5"/>
      <c r="FA605" s="5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5"/>
      <c r="CT606" s="5"/>
      <c r="CU606" s="5"/>
      <c r="CV606" s="5"/>
      <c r="CW606" s="5"/>
      <c r="CX606" s="5"/>
      <c r="CY606" s="5"/>
      <c r="CZ606" s="5"/>
      <c r="DA606" s="5"/>
      <c r="DB606" s="5"/>
      <c r="DC606" s="5"/>
      <c r="DD606" s="5"/>
      <c r="DE606" s="5"/>
      <c r="DF606" s="5"/>
      <c r="DG606" s="5"/>
      <c r="DH606" s="5"/>
      <c r="DI606" s="5"/>
      <c r="DJ606" s="5"/>
      <c r="DK606" s="5"/>
      <c r="DL606" s="5"/>
      <c r="DM606" s="5"/>
      <c r="DN606" s="5"/>
      <c r="DO606" s="5"/>
      <c r="DP606" s="5"/>
      <c r="DQ606" s="5"/>
      <c r="DR606" s="5"/>
      <c r="DS606" s="5"/>
      <c r="DT606" s="5"/>
      <c r="DU606" s="5"/>
      <c r="DV606" s="5"/>
      <c r="DW606" s="5"/>
      <c r="DX606" s="5"/>
      <c r="DY606" s="5"/>
      <c r="DZ606" s="5"/>
      <c r="EA606" s="5"/>
      <c r="EB606" s="5"/>
      <c r="EC606" s="5"/>
      <c r="ED606" s="5"/>
      <c r="EE606" s="5"/>
      <c r="EF606" s="5"/>
      <c r="EG606" s="5"/>
      <c r="EH606" s="5"/>
      <c r="EI606" s="5"/>
      <c r="EJ606" s="5"/>
      <c r="EK606" s="5"/>
      <c r="EL606" s="5"/>
      <c r="EM606" s="5"/>
      <c r="EN606" s="5"/>
      <c r="EO606" s="5"/>
      <c r="EP606" s="5"/>
      <c r="EQ606" s="5"/>
      <c r="ER606" s="5"/>
      <c r="ES606" s="5"/>
      <c r="ET606" s="5"/>
      <c r="EU606" s="5"/>
      <c r="EV606" s="5"/>
      <c r="EW606" s="5"/>
      <c r="EX606" s="5"/>
      <c r="EY606" s="5"/>
      <c r="EZ606" s="5"/>
      <c r="FA606" s="5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5"/>
      <c r="CT607" s="5"/>
      <c r="CU607" s="5"/>
      <c r="CV607" s="5"/>
      <c r="CW607" s="5"/>
      <c r="CX607" s="5"/>
      <c r="CY607" s="5"/>
      <c r="CZ607" s="5"/>
      <c r="DA607" s="5"/>
      <c r="DB607" s="5"/>
      <c r="DC607" s="5"/>
      <c r="DD607" s="5"/>
      <c r="DE607" s="5"/>
      <c r="DF607" s="5"/>
      <c r="DG607" s="5"/>
      <c r="DH607" s="5"/>
      <c r="DI607" s="5"/>
      <c r="DJ607" s="5"/>
      <c r="DK607" s="5"/>
      <c r="DL607" s="5"/>
      <c r="DM607" s="5"/>
      <c r="DN607" s="5"/>
      <c r="DO607" s="5"/>
      <c r="DP607" s="5"/>
      <c r="DQ607" s="5"/>
      <c r="DR607" s="5"/>
      <c r="DS607" s="5"/>
      <c r="DT607" s="5"/>
      <c r="DU607" s="5"/>
      <c r="DV607" s="5"/>
      <c r="DW607" s="5"/>
      <c r="DX607" s="5"/>
      <c r="DY607" s="5"/>
      <c r="DZ607" s="5"/>
      <c r="EA607" s="5"/>
      <c r="EB607" s="5"/>
      <c r="EC607" s="5"/>
      <c r="ED607" s="5"/>
      <c r="EE607" s="5"/>
      <c r="EF607" s="5"/>
      <c r="EG607" s="5"/>
      <c r="EH607" s="5"/>
      <c r="EI607" s="5"/>
      <c r="EJ607" s="5"/>
      <c r="EK607" s="5"/>
      <c r="EL607" s="5"/>
      <c r="EM607" s="5"/>
      <c r="EN607" s="5"/>
      <c r="EO607" s="5"/>
      <c r="EP607" s="5"/>
      <c r="EQ607" s="5"/>
      <c r="ER607" s="5"/>
      <c r="ES607" s="5"/>
      <c r="ET607" s="5"/>
      <c r="EU607" s="5"/>
      <c r="EV607" s="5"/>
      <c r="EW607" s="5"/>
      <c r="EX607" s="5"/>
      <c r="EY607" s="5"/>
      <c r="EZ607" s="5"/>
      <c r="FA607" s="5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5"/>
      <c r="CT608" s="5"/>
      <c r="CU608" s="5"/>
      <c r="CV608" s="5"/>
      <c r="CW608" s="5"/>
      <c r="CX608" s="5"/>
      <c r="CY608" s="5"/>
      <c r="CZ608" s="5"/>
      <c r="DA608" s="5"/>
      <c r="DB608" s="5"/>
      <c r="DC608" s="5"/>
      <c r="DD608" s="5"/>
      <c r="DE608" s="5"/>
      <c r="DF608" s="5"/>
      <c r="DG608" s="5"/>
      <c r="DH608" s="5"/>
      <c r="DI608" s="5"/>
      <c r="DJ608" s="5"/>
      <c r="DK608" s="5"/>
      <c r="DL608" s="5"/>
      <c r="DM608" s="5"/>
      <c r="DN608" s="5"/>
      <c r="DO608" s="5"/>
      <c r="DP608" s="5"/>
      <c r="DQ608" s="5"/>
      <c r="DR608" s="5"/>
      <c r="DS608" s="5"/>
      <c r="DT608" s="5"/>
      <c r="DU608" s="5"/>
      <c r="DV608" s="5"/>
      <c r="DW608" s="5"/>
      <c r="DX608" s="5"/>
      <c r="DY608" s="5"/>
      <c r="DZ608" s="5"/>
      <c r="EA608" s="5"/>
      <c r="EB608" s="5"/>
      <c r="EC608" s="5"/>
      <c r="ED608" s="5"/>
      <c r="EE608" s="5"/>
      <c r="EF608" s="5"/>
      <c r="EG608" s="5"/>
      <c r="EH608" s="5"/>
      <c r="EI608" s="5"/>
      <c r="EJ608" s="5"/>
      <c r="EK608" s="5"/>
      <c r="EL608" s="5"/>
      <c r="EM608" s="5"/>
      <c r="EN608" s="5"/>
      <c r="EO608" s="5"/>
      <c r="EP608" s="5"/>
      <c r="EQ608" s="5"/>
      <c r="ER608" s="5"/>
      <c r="ES608" s="5"/>
      <c r="ET608" s="5"/>
      <c r="EU608" s="5"/>
      <c r="EV608" s="5"/>
      <c r="EW608" s="5"/>
      <c r="EX608" s="5"/>
      <c r="EY608" s="5"/>
      <c r="EZ608" s="5"/>
      <c r="FA608" s="5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5"/>
      <c r="CT609" s="5"/>
      <c r="CU609" s="5"/>
      <c r="CV609" s="5"/>
      <c r="CW609" s="5"/>
      <c r="CX609" s="5"/>
      <c r="CY609" s="5"/>
      <c r="CZ609" s="5"/>
      <c r="DA609" s="5"/>
      <c r="DB609" s="5"/>
      <c r="DC609" s="5"/>
      <c r="DD609" s="5"/>
      <c r="DE609" s="5"/>
      <c r="DF609" s="5"/>
      <c r="DG609" s="5"/>
      <c r="DH609" s="5"/>
      <c r="DI609" s="5"/>
      <c r="DJ609" s="5"/>
      <c r="DK609" s="5"/>
      <c r="DL609" s="5"/>
      <c r="DM609" s="5"/>
      <c r="DN609" s="5"/>
      <c r="DO609" s="5"/>
      <c r="DP609" s="5"/>
      <c r="DQ609" s="5"/>
      <c r="DR609" s="5"/>
      <c r="DS609" s="5"/>
      <c r="DT609" s="5"/>
      <c r="DU609" s="5"/>
      <c r="DV609" s="5"/>
      <c r="DW609" s="5"/>
      <c r="DX609" s="5"/>
      <c r="DY609" s="5"/>
      <c r="DZ609" s="5"/>
      <c r="EA609" s="5"/>
      <c r="EB609" s="5"/>
      <c r="EC609" s="5"/>
      <c r="ED609" s="5"/>
      <c r="EE609" s="5"/>
      <c r="EF609" s="5"/>
      <c r="EG609" s="5"/>
      <c r="EH609" s="5"/>
      <c r="EI609" s="5"/>
      <c r="EJ609" s="5"/>
      <c r="EK609" s="5"/>
      <c r="EL609" s="5"/>
      <c r="EM609" s="5"/>
      <c r="EN609" s="5"/>
      <c r="EO609" s="5"/>
      <c r="EP609" s="5"/>
      <c r="EQ609" s="5"/>
      <c r="ER609" s="5"/>
      <c r="ES609" s="5"/>
      <c r="ET609" s="5"/>
      <c r="EU609" s="5"/>
      <c r="EV609" s="5"/>
      <c r="EW609" s="5"/>
      <c r="EX609" s="5"/>
      <c r="EY609" s="5"/>
      <c r="EZ609" s="5"/>
      <c r="FA609" s="5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5"/>
      <c r="CT610" s="5"/>
      <c r="CU610" s="5"/>
      <c r="CV610" s="5"/>
      <c r="CW610" s="5"/>
      <c r="CX610" s="5"/>
      <c r="CY610" s="5"/>
      <c r="CZ610" s="5"/>
      <c r="DA610" s="5"/>
      <c r="DB610" s="5"/>
      <c r="DC610" s="5"/>
      <c r="DD610" s="5"/>
      <c r="DE610" s="5"/>
      <c r="DF610" s="5"/>
      <c r="DG610" s="5"/>
      <c r="DH610" s="5"/>
      <c r="DI610" s="5"/>
      <c r="DJ610" s="5"/>
      <c r="DK610" s="5"/>
      <c r="DL610" s="5"/>
      <c r="DM610" s="5"/>
      <c r="DN610" s="5"/>
      <c r="DO610" s="5"/>
      <c r="DP610" s="5"/>
      <c r="DQ610" s="5"/>
      <c r="DR610" s="5"/>
      <c r="DS610" s="5"/>
      <c r="DT610" s="5"/>
      <c r="DU610" s="5"/>
      <c r="DV610" s="5"/>
      <c r="DW610" s="5"/>
      <c r="DX610" s="5"/>
      <c r="DY610" s="5"/>
      <c r="DZ610" s="5"/>
      <c r="EA610" s="5"/>
      <c r="EB610" s="5"/>
      <c r="EC610" s="5"/>
      <c r="ED610" s="5"/>
      <c r="EE610" s="5"/>
      <c r="EF610" s="5"/>
      <c r="EG610" s="5"/>
      <c r="EH610" s="5"/>
      <c r="EI610" s="5"/>
      <c r="EJ610" s="5"/>
      <c r="EK610" s="5"/>
      <c r="EL610" s="5"/>
      <c r="EM610" s="5"/>
      <c r="EN610" s="5"/>
      <c r="EO610" s="5"/>
      <c r="EP610" s="5"/>
      <c r="EQ610" s="5"/>
      <c r="ER610" s="5"/>
      <c r="ES610" s="5"/>
      <c r="ET610" s="5"/>
      <c r="EU610" s="5"/>
      <c r="EV610" s="5"/>
      <c r="EW610" s="5"/>
      <c r="EX610" s="5"/>
      <c r="EY610" s="5"/>
      <c r="EZ610" s="5"/>
      <c r="FA610" s="5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5"/>
      <c r="CT611" s="5"/>
      <c r="CU611" s="5"/>
      <c r="CV611" s="5"/>
      <c r="CW611" s="5"/>
      <c r="CX611" s="5"/>
      <c r="CY611" s="5"/>
      <c r="CZ611" s="5"/>
      <c r="DA611" s="5"/>
      <c r="DB611" s="5"/>
      <c r="DC611" s="5"/>
      <c r="DD611" s="5"/>
      <c r="DE611" s="5"/>
      <c r="DF611" s="5"/>
      <c r="DG611" s="5"/>
      <c r="DH611" s="5"/>
      <c r="DI611" s="5"/>
      <c r="DJ611" s="5"/>
      <c r="DK611" s="5"/>
      <c r="DL611" s="5"/>
      <c r="DM611" s="5"/>
      <c r="DN611" s="5"/>
      <c r="DO611" s="5"/>
      <c r="DP611" s="5"/>
      <c r="DQ611" s="5"/>
      <c r="DR611" s="5"/>
      <c r="DS611" s="5"/>
      <c r="DT611" s="5"/>
      <c r="DU611" s="5"/>
      <c r="DV611" s="5"/>
      <c r="DW611" s="5"/>
      <c r="DX611" s="5"/>
      <c r="DY611" s="5"/>
      <c r="DZ611" s="5"/>
      <c r="EA611" s="5"/>
      <c r="EB611" s="5"/>
      <c r="EC611" s="5"/>
      <c r="ED611" s="5"/>
      <c r="EE611" s="5"/>
      <c r="EF611" s="5"/>
      <c r="EG611" s="5"/>
      <c r="EH611" s="5"/>
      <c r="EI611" s="5"/>
      <c r="EJ611" s="5"/>
      <c r="EK611" s="5"/>
      <c r="EL611" s="5"/>
      <c r="EM611" s="5"/>
      <c r="EN611" s="5"/>
      <c r="EO611" s="5"/>
      <c r="EP611" s="5"/>
      <c r="EQ611" s="5"/>
      <c r="ER611" s="5"/>
      <c r="ES611" s="5"/>
      <c r="ET611" s="5"/>
      <c r="EU611" s="5"/>
      <c r="EV611" s="5"/>
      <c r="EW611" s="5"/>
      <c r="EX611" s="5"/>
      <c r="EY611" s="5"/>
      <c r="EZ611" s="5"/>
      <c r="FA611" s="5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5"/>
      <c r="CT612" s="5"/>
      <c r="CU612" s="5"/>
      <c r="CV612" s="5"/>
      <c r="CW612" s="5"/>
      <c r="CX612" s="5"/>
      <c r="CY612" s="5"/>
      <c r="CZ612" s="5"/>
      <c r="DA612" s="5"/>
      <c r="DB612" s="5"/>
      <c r="DC612" s="5"/>
      <c r="DD612" s="5"/>
      <c r="DE612" s="5"/>
      <c r="DF612" s="5"/>
      <c r="DG612" s="5"/>
      <c r="DH612" s="5"/>
      <c r="DI612" s="5"/>
      <c r="DJ612" s="5"/>
      <c r="DK612" s="5"/>
      <c r="DL612" s="5"/>
      <c r="DM612" s="5"/>
      <c r="DN612" s="5"/>
      <c r="DO612" s="5"/>
      <c r="DP612" s="5"/>
      <c r="DQ612" s="5"/>
      <c r="DR612" s="5"/>
      <c r="DS612" s="5"/>
      <c r="DT612" s="5"/>
      <c r="DU612" s="5"/>
      <c r="DV612" s="5"/>
      <c r="DW612" s="5"/>
      <c r="DX612" s="5"/>
      <c r="DY612" s="5"/>
      <c r="DZ612" s="5"/>
      <c r="EA612" s="5"/>
      <c r="EB612" s="5"/>
      <c r="EC612" s="5"/>
      <c r="ED612" s="5"/>
      <c r="EE612" s="5"/>
      <c r="EF612" s="5"/>
      <c r="EG612" s="5"/>
      <c r="EH612" s="5"/>
      <c r="EI612" s="5"/>
      <c r="EJ612" s="5"/>
      <c r="EK612" s="5"/>
      <c r="EL612" s="5"/>
      <c r="EM612" s="5"/>
      <c r="EN612" s="5"/>
      <c r="EO612" s="5"/>
      <c r="EP612" s="5"/>
      <c r="EQ612" s="5"/>
      <c r="ER612" s="5"/>
      <c r="ES612" s="5"/>
      <c r="ET612" s="5"/>
      <c r="EU612" s="5"/>
      <c r="EV612" s="5"/>
      <c r="EW612" s="5"/>
      <c r="EX612" s="5"/>
      <c r="EY612" s="5"/>
      <c r="EZ612" s="5"/>
      <c r="FA612" s="5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5"/>
      <c r="CT613" s="5"/>
      <c r="CU613" s="5"/>
      <c r="CV613" s="5"/>
      <c r="CW613" s="5"/>
      <c r="CX613" s="5"/>
      <c r="CY613" s="5"/>
      <c r="CZ613" s="5"/>
      <c r="DA613" s="5"/>
      <c r="DB613" s="5"/>
      <c r="DC613" s="5"/>
      <c r="DD613" s="5"/>
      <c r="DE613" s="5"/>
      <c r="DF613" s="5"/>
      <c r="DG613" s="5"/>
      <c r="DH613" s="5"/>
      <c r="DI613" s="5"/>
      <c r="DJ613" s="5"/>
      <c r="DK613" s="5"/>
      <c r="DL613" s="5"/>
      <c r="DM613" s="5"/>
      <c r="DN613" s="5"/>
      <c r="DO613" s="5"/>
      <c r="DP613" s="5"/>
      <c r="DQ613" s="5"/>
      <c r="DR613" s="5"/>
      <c r="DS613" s="5"/>
      <c r="DT613" s="5"/>
      <c r="DU613" s="5"/>
      <c r="DV613" s="5"/>
      <c r="DW613" s="5"/>
      <c r="DX613" s="5"/>
      <c r="DY613" s="5"/>
      <c r="DZ613" s="5"/>
      <c r="EA613" s="5"/>
      <c r="EB613" s="5"/>
      <c r="EC613" s="5"/>
      <c r="ED613" s="5"/>
      <c r="EE613" s="5"/>
      <c r="EF613" s="5"/>
      <c r="EG613" s="5"/>
      <c r="EH613" s="5"/>
      <c r="EI613" s="5"/>
      <c r="EJ613" s="5"/>
      <c r="EK613" s="5"/>
      <c r="EL613" s="5"/>
      <c r="EM613" s="5"/>
      <c r="EN613" s="5"/>
      <c r="EO613" s="5"/>
      <c r="EP613" s="5"/>
      <c r="EQ613" s="5"/>
      <c r="ER613" s="5"/>
      <c r="ES613" s="5"/>
      <c r="ET613" s="5"/>
      <c r="EU613" s="5"/>
      <c r="EV613" s="5"/>
      <c r="EW613" s="5"/>
      <c r="EX613" s="5"/>
      <c r="EY613" s="5"/>
      <c r="EZ613" s="5"/>
      <c r="FA613" s="5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5"/>
      <c r="CT614" s="5"/>
      <c r="CU614" s="5"/>
      <c r="CV614" s="5"/>
      <c r="CW614" s="5"/>
      <c r="CX614" s="5"/>
      <c r="CY614" s="5"/>
      <c r="CZ614" s="5"/>
      <c r="DA614" s="5"/>
      <c r="DB614" s="5"/>
      <c r="DC614" s="5"/>
      <c r="DD614" s="5"/>
      <c r="DE614" s="5"/>
      <c r="DF614" s="5"/>
      <c r="DG614" s="5"/>
      <c r="DH614" s="5"/>
      <c r="DI614" s="5"/>
      <c r="DJ614" s="5"/>
      <c r="DK614" s="5"/>
      <c r="DL614" s="5"/>
      <c r="DM614" s="5"/>
      <c r="DN614" s="5"/>
      <c r="DO614" s="5"/>
      <c r="DP614" s="5"/>
      <c r="DQ614" s="5"/>
      <c r="DR614" s="5"/>
      <c r="DS614" s="5"/>
      <c r="DT614" s="5"/>
      <c r="DU614" s="5"/>
      <c r="DV614" s="5"/>
      <c r="DW614" s="5"/>
      <c r="DX614" s="5"/>
      <c r="DY614" s="5"/>
      <c r="DZ614" s="5"/>
      <c r="EA614" s="5"/>
      <c r="EB614" s="5"/>
      <c r="EC614" s="5"/>
      <c r="ED614" s="5"/>
      <c r="EE614" s="5"/>
      <c r="EF614" s="5"/>
      <c r="EG614" s="5"/>
      <c r="EH614" s="5"/>
      <c r="EI614" s="5"/>
      <c r="EJ614" s="5"/>
      <c r="EK614" s="5"/>
      <c r="EL614" s="5"/>
      <c r="EM614" s="5"/>
      <c r="EN614" s="5"/>
      <c r="EO614" s="5"/>
      <c r="EP614" s="5"/>
      <c r="EQ614" s="5"/>
      <c r="ER614" s="5"/>
      <c r="ES614" s="5"/>
      <c r="ET614" s="5"/>
      <c r="EU614" s="5"/>
      <c r="EV614" s="5"/>
      <c r="EW614" s="5"/>
      <c r="EX614" s="5"/>
      <c r="EY614" s="5"/>
      <c r="EZ614" s="5"/>
      <c r="FA614" s="5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5"/>
      <c r="CT615" s="5"/>
      <c r="CU615" s="5"/>
      <c r="CV615" s="5"/>
      <c r="CW615" s="5"/>
      <c r="CX615" s="5"/>
      <c r="CY615" s="5"/>
      <c r="CZ615" s="5"/>
      <c r="DA615" s="5"/>
      <c r="DB615" s="5"/>
      <c r="DC615" s="5"/>
      <c r="DD615" s="5"/>
      <c r="DE615" s="5"/>
      <c r="DF615" s="5"/>
      <c r="DG615" s="5"/>
      <c r="DH615" s="5"/>
      <c r="DI615" s="5"/>
      <c r="DJ615" s="5"/>
      <c r="DK615" s="5"/>
      <c r="DL615" s="5"/>
      <c r="DM615" s="5"/>
      <c r="DN615" s="5"/>
      <c r="DO615" s="5"/>
      <c r="DP615" s="5"/>
      <c r="DQ615" s="5"/>
      <c r="DR615" s="5"/>
      <c r="DS615" s="5"/>
      <c r="DT615" s="5"/>
      <c r="DU615" s="5"/>
      <c r="DV615" s="5"/>
      <c r="DW615" s="5"/>
      <c r="DX615" s="5"/>
      <c r="DY615" s="5"/>
      <c r="DZ615" s="5"/>
      <c r="EA615" s="5"/>
      <c r="EB615" s="5"/>
      <c r="EC615" s="5"/>
      <c r="ED615" s="5"/>
      <c r="EE615" s="5"/>
      <c r="EF615" s="5"/>
      <c r="EG615" s="5"/>
      <c r="EH615" s="5"/>
      <c r="EI615" s="5"/>
      <c r="EJ615" s="5"/>
      <c r="EK615" s="5"/>
      <c r="EL615" s="5"/>
      <c r="EM615" s="5"/>
      <c r="EN615" s="5"/>
      <c r="EO615" s="5"/>
      <c r="EP615" s="5"/>
      <c r="EQ615" s="5"/>
      <c r="ER615" s="5"/>
      <c r="ES615" s="5"/>
      <c r="ET615" s="5"/>
      <c r="EU615" s="5"/>
      <c r="EV615" s="5"/>
      <c r="EW615" s="5"/>
      <c r="EX615" s="5"/>
      <c r="EY615" s="5"/>
      <c r="EZ615" s="5"/>
      <c r="FA615" s="5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5"/>
      <c r="CT616" s="5"/>
      <c r="CU616" s="5"/>
      <c r="CV616" s="5"/>
      <c r="CW616" s="5"/>
      <c r="CX616" s="5"/>
      <c r="CY616" s="5"/>
      <c r="CZ616" s="5"/>
      <c r="DA616" s="5"/>
      <c r="DB616" s="5"/>
      <c r="DC616" s="5"/>
      <c r="DD616" s="5"/>
      <c r="DE616" s="5"/>
      <c r="DF616" s="5"/>
      <c r="DG616" s="5"/>
      <c r="DH616" s="5"/>
      <c r="DI616" s="5"/>
      <c r="DJ616" s="5"/>
      <c r="DK616" s="5"/>
      <c r="DL616" s="5"/>
      <c r="DM616" s="5"/>
      <c r="DN616" s="5"/>
      <c r="DO616" s="5"/>
      <c r="DP616" s="5"/>
      <c r="DQ616" s="5"/>
      <c r="DR616" s="5"/>
      <c r="DS616" s="5"/>
      <c r="DT616" s="5"/>
      <c r="DU616" s="5"/>
      <c r="DV616" s="5"/>
      <c r="DW616" s="5"/>
      <c r="DX616" s="5"/>
      <c r="DY616" s="5"/>
      <c r="DZ616" s="5"/>
      <c r="EA616" s="5"/>
      <c r="EB616" s="5"/>
      <c r="EC616" s="5"/>
      <c r="ED616" s="5"/>
      <c r="EE616" s="5"/>
      <c r="EF616" s="5"/>
      <c r="EG616" s="5"/>
      <c r="EH616" s="5"/>
      <c r="EI616" s="5"/>
      <c r="EJ616" s="5"/>
      <c r="EK616" s="5"/>
      <c r="EL616" s="5"/>
      <c r="EM616" s="5"/>
      <c r="EN616" s="5"/>
      <c r="EO616" s="5"/>
      <c r="EP616" s="5"/>
      <c r="EQ616" s="5"/>
      <c r="ER616" s="5"/>
      <c r="ES616" s="5"/>
      <c r="ET616" s="5"/>
      <c r="EU616" s="5"/>
      <c r="EV616" s="5"/>
      <c r="EW616" s="5"/>
      <c r="EX616" s="5"/>
      <c r="EY616" s="5"/>
      <c r="EZ616" s="5"/>
      <c r="FA616" s="5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5"/>
      <c r="CT617" s="5"/>
      <c r="CU617" s="5"/>
      <c r="CV617" s="5"/>
      <c r="CW617" s="5"/>
      <c r="CX617" s="5"/>
      <c r="CY617" s="5"/>
      <c r="CZ617" s="5"/>
      <c r="DA617" s="5"/>
      <c r="DB617" s="5"/>
      <c r="DC617" s="5"/>
      <c r="DD617" s="5"/>
      <c r="DE617" s="5"/>
      <c r="DF617" s="5"/>
      <c r="DG617" s="5"/>
      <c r="DH617" s="5"/>
      <c r="DI617" s="5"/>
      <c r="DJ617" s="5"/>
      <c r="DK617" s="5"/>
      <c r="DL617" s="5"/>
      <c r="DM617" s="5"/>
      <c r="DN617" s="5"/>
      <c r="DO617" s="5"/>
      <c r="DP617" s="5"/>
      <c r="DQ617" s="5"/>
      <c r="DR617" s="5"/>
      <c r="DS617" s="5"/>
      <c r="DT617" s="5"/>
      <c r="DU617" s="5"/>
      <c r="DV617" s="5"/>
      <c r="DW617" s="5"/>
      <c r="DX617" s="5"/>
      <c r="DY617" s="5"/>
      <c r="DZ617" s="5"/>
      <c r="EA617" s="5"/>
      <c r="EB617" s="5"/>
      <c r="EC617" s="5"/>
      <c r="ED617" s="5"/>
      <c r="EE617" s="5"/>
      <c r="EF617" s="5"/>
      <c r="EG617" s="5"/>
      <c r="EH617" s="5"/>
      <c r="EI617" s="5"/>
      <c r="EJ617" s="5"/>
      <c r="EK617" s="5"/>
      <c r="EL617" s="5"/>
      <c r="EM617" s="5"/>
      <c r="EN617" s="5"/>
      <c r="EO617" s="5"/>
      <c r="EP617" s="5"/>
      <c r="EQ617" s="5"/>
      <c r="ER617" s="5"/>
      <c r="ES617" s="5"/>
      <c r="ET617" s="5"/>
      <c r="EU617" s="5"/>
      <c r="EV617" s="5"/>
      <c r="EW617" s="5"/>
      <c r="EX617" s="5"/>
      <c r="EY617" s="5"/>
      <c r="EZ617" s="5"/>
      <c r="FA617" s="5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5"/>
      <c r="CT618" s="5"/>
      <c r="CU618" s="5"/>
      <c r="CV618" s="5"/>
      <c r="CW618" s="5"/>
      <c r="CX618" s="5"/>
      <c r="CY618" s="5"/>
      <c r="CZ618" s="5"/>
      <c r="DA618" s="5"/>
      <c r="DB618" s="5"/>
      <c r="DC618" s="5"/>
      <c r="DD618" s="5"/>
      <c r="DE618" s="5"/>
      <c r="DF618" s="5"/>
      <c r="DG618" s="5"/>
      <c r="DH618" s="5"/>
      <c r="DI618" s="5"/>
      <c r="DJ618" s="5"/>
      <c r="DK618" s="5"/>
      <c r="DL618" s="5"/>
      <c r="DM618" s="5"/>
      <c r="DN618" s="5"/>
      <c r="DO618" s="5"/>
      <c r="DP618" s="5"/>
      <c r="DQ618" s="5"/>
      <c r="DR618" s="5"/>
      <c r="DS618" s="5"/>
      <c r="DT618" s="5"/>
      <c r="DU618" s="5"/>
      <c r="DV618" s="5"/>
      <c r="DW618" s="5"/>
      <c r="DX618" s="5"/>
      <c r="DY618" s="5"/>
      <c r="DZ618" s="5"/>
      <c r="EA618" s="5"/>
      <c r="EB618" s="5"/>
      <c r="EC618" s="5"/>
      <c r="ED618" s="5"/>
      <c r="EE618" s="5"/>
      <c r="EF618" s="5"/>
      <c r="EG618" s="5"/>
      <c r="EH618" s="5"/>
      <c r="EI618" s="5"/>
      <c r="EJ618" s="5"/>
      <c r="EK618" s="5"/>
      <c r="EL618" s="5"/>
      <c r="EM618" s="5"/>
      <c r="EN618" s="5"/>
      <c r="EO618" s="5"/>
      <c r="EP618" s="5"/>
      <c r="EQ618" s="5"/>
      <c r="ER618" s="5"/>
      <c r="ES618" s="5"/>
      <c r="ET618" s="5"/>
      <c r="EU618" s="5"/>
      <c r="EV618" s="5"/>
      <c r="EW618" s="5"/>
      <c r="EX618" s="5"/>
      <c r="EY618" s="5"/>
      <c r="EZ618" s="5"/>
      <c r="FA618" s="5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5"/>
      <c r="CT619" s="5"/>
      <c r="CU619" s="5"/>
      <c r="CV619" s="5"/>
      <c r="CW619" s="5"/>
      <c r="CX619" s="5"/>
      <c r="CY619" s="5"/>
      <c r="CZ619" s="5"/>
      <c r="DA619" s="5"/>
      <c r="DB619" s="5"/>
      <c r="DC619" s="5"/>
      <c r="DD619" s="5"/>
      <c r="DE619" s="5"/>
      <c r="DF619" s="5"/>
      <c r="DG619" s="5"/>
      <c r="DH619" s="5"/>
      <c r="DI619" s="5"/>
      <c r="DJ619" s="5"/>
      <c r="DK619" s="5"/>
      <c r="DL619" s="5"/>
      <c r="DM619" s="5"/>
      <c r="DN619" s="5"/>
      <c r="DO619" s="5"/>
      <c r="DP619" s="5"/>
      <c r="DQ619" s="5"/>
      <c r="DR619" s="5"/>
      <c r="DS619" s="5"/>
      <c r="DT619" s="5"/>
      <c r="DU619" s="5"/>
      <c r="DV619" s="5"/>
      <c r="DW619" s="5"/>
      <c r="DX619" s="5"/>
      <c r="DY619" s="5"/>
      <c r="DZ619" s="5"/>
      <c r="EA619" s="5"/>
      <c r="EB619" s="5"/>
      <c r="EC619" s="5"/>
      <c r="ED619" s="5"/>
      <c r="EE619" s="5"/>
      <c r="EF619" s="5"/>
      <c r="EG619" s="5"/>
      <c r="EH619" s="5"/>
      <c r="EI619" s="5"/>
      <c r="EJ619" s="5"/>
      <c r="EK619" s="5"/>
      <c r="EL619" s="5"/>
      <c r="EM619" s="5"/>
      <c r="EN619" s="5"/>
      <c r="EO619" s="5"/>
      <c r="EP619" s="5"/>
      <c r="EQ619" s="5"/>
      <c r="ER619" s="5"/>
      <c r="ES619" s="5"/>
      <c r="ET619" s="5"/>
      <c r="EU619" s="5"/>
      <c r="EV619" s="5"/>
      <c r="EW619" s="5"/>
      <c r="EX619" s="5"/>
      <c r="EY619" s="5"/>
      <c r="EZ619" s="5"/>
      <c r="FA619" s="5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5"/>
      <c r="CT620" s="5"/>
      <c r="CU620" s="5"/>
      <c r="CV620" s="5"/>
      <c r="CW620" s="5"/>
      <c r="CX620" s="5"/>
      <c r="CY620" s="5"/>
      <c r="CZ620" s="5"/>
      <c r="DA620" s="5"/>
      <c r="DB620" s="5"/>
      <c r="DC620" s="5"/>
      <c r="DD620" s="5"/>
      <c r="DE620" s="5"/>
      <c r="DF620" s="5"/>
      <c r="DG620" s="5"/>
      <c r="DH620" s="5"/>
      <c r="DI620" s="5"/>
      <c r="DJ620" s="5"/>
      <c r="DK620" s="5"/>
      <c r="DL620" s="5"/>
      <c r="DM620" s="5"/>
      <c r="DN620" s="5"/>
      <c r="DO620" s="5"/>
      <c r="DP620" s="5"/>
      <c r="DQ620" s="5"/>
      <c r="DR620" s="5"/>
      <c r="DS620" s="5"/>
      <c r="DT620" s="5"/>
      <c r="DU620" s="5"/>
      <c r="DV620" s="5"/>
      <c r="DW620" s="5"/>
      <c r="DX620" s="5"/>
      <c r="DY620" s="5"/>
      <c r="DZ620" s="5"/>
      <c r="EA620" s="5"/>
      <c r="EB620" s="5"/>
      <c r="EC620" s="5"/>
      <c r="ED620" s="5"/>
      <c r="EE620" s="5"/>
      <c r="EF620" s="5"/>
      <c r="EG620" s="5"/>
      <c r="EH620" s="5"/>
      <c r="EI620" s="5"/>
      <c r="EJ620" s="5"/>
      <c r="EK620" s="5"/>
      <c r="EL620" s="5"/>
      <c r="EM620" s="5"/>
      <c r="EN620" s="5"/>
      <c r="EO620" s="5"/>
      <c r="EP620" s="5"/>
      <c r="EQ620" s="5"/>
      <c r="ER620" s="5"/>
      <c r="ES620" s="5"/>
      <c r="ET620" s="5"/>
      <c r="EU620" s="5"/>
      <c r="EV620" s="5"/>
      <c r="EW620" s="5"/>
      <c r="EX620" s="5"/>
      <c r="EY620" s="5"/>
      <c r="EZ620" s="5"/>
      <c r="FA620" s="5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5"/>
      <c r="CT621" s="5"/>
      <c r="CU621" s="5"/>
      <c r="CV621" s="5"/>
      <c r="CW621" s="5"/>
      <c r="CX621" s="5"/>
      <c r="CY621" s="5"/>
      <c r="CZ621" s="5"/>
      <c r="DA621" s="5"/>
      <c r="DB621" s="5"/>
      <c r="DC621" s="5"/>
      <c r="DD621" s="5"/>
      <c r="DE621" s="5"/>
      <c r="DF621" s="5"/>
      <c r="DG621" s="5"/>
      <c r="DH621" s="5"/>
      <c r="DI621" s="5"/>
      <c r="DJ621" s="5"/>
      <c r="DK621" s="5"/>
      <c r="DL621" s="5"/>
      <c r="DM621" s="5"/>
      <c r="DN621" s="5"/>
      <c r="DO621" s="5"/>
      <c r="DP621" s="5"/>
      <c r="DQ621" s="5"/>
      <c r="DR621" s="5"/>
      <c r="DS621" s="5"/>
      <c r="DT621" s="5"/>
      <c r="DU621" s="5"/>
      <c r="DV621" s="5"/>
      <c r="DW621" s="5"/>
      <c r="DX621" s="5"/>
      <c r="DY621" s="5"/>
      <c r="DZ621" s="5"/>
      <c r="EA621" s="5"/>
      <c r="EB621" s="5"/>
      <c r="EC621" s="5"/>
      <c r="ED621" s="5"/>
      <c r="EE621" s="5"/>
      <c r="EF621" s="5"/>
      <c r="EG621" s="5"/>
      <c r="EH621" s="5"/>
      <c r="EI621" s="5"/>
      <c r="EJ621" s="5"/>
      <c r="EK621" s="5"/>
      <c r="EL621" s="5"/>
      <c r="EM621" s="5"/>
      <c r="EN621" s="5"/>
      <c r="EO621" s="5"/>
      <c r="EP621" s="5"/>
      <c r="EQ621" s="5"/>
      <c r="ER621" s="5"/>
      <c r="ES621" s="5"/>
      <c r="ET621" s="5"/>
      <c r="EU621" s="5"/>
      <c r="EV621" s="5"/>
      <c r="EW621" s="5"/>
      <c r="EX621" s="5"/>
      <c r="EY621" s="5"/>
      <c r="EZ621" s="5"/>
      <c r="FA621" s="5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5"/>
      <c r="CT622" s="5"/>
      <c r="CU622" s="5"/>
      <c r="CV622" s="5"/>
      <c r="CW622" s="5"/>
      <c r="CX622" s="5"/>
      <c r="CY622" s="5"/>
      <c r="CZ622" s="5"/>
      <c r="DA622" s="5"/>
      <c r="DB622" s="5"/>
      <c r="DC622" s="5"/>
      <c r="DD622" s="5"/>
      <c r="DE622" s="5"/>
      <c r="DF622" s="5"/>
      <c r="DG622" s="5"/>
      <c r="DH622" s="5"/>
      <c r="DI622" s="5"/>
      <c r="DJ622" s="5"/>
      <c r="DK622" s="5"/>
      <c r="DL622" s="5"/>
      <c r="DM622" s="5"/>
      <c r="DN622" s="5"/>
      <c r="DO622" s="5"/>
      <c r="DP622" s="5"/>
      <c r="DQ622" s="5"/>
      <c r="DR622" s="5"/>
      <c r="DS622" s="5"/>
      <c r="DT622" s="5"/>
      <c r="DU622" s="5"/>
      <c r="DV622" s="5"/>
      <c r="DW622" s="5"/>
      <c r="DX622" s="5"/>
      <c r="DY622" s="5"/>
      <c r="DZ622" s="5"/>
      <c r="EA622" s="5"/>
      <c r="EB622" s="5"/>
      <c r="EC622" s="5"/>
      <c r="ED622" s="5"/>
      <c r="EE622" s="5"/>
      <c r="EF622" s="5"/>
      <c r="EG622" s="5"/>
      <c r="EH622" s="5"/>
      <c r="EI622" s="5"/>
      <c r="EJ622" s="5"/>
      <c r="EK622" s="5"/>
      <c r="EL622" s="5"/>
      <c r="EM622" s="5"/>
      <c r="EN622" s="5"/>
      <c r="EO622" s="5"/>
      <c r="EP622" s="5"/>
      <c r="EQ622" s="5"/>
      <c r="ER622" s="5"/>
      <c r="ES622" s="5"/>
      <c r="ET622" s="5"/>
      <c r="EU622" s="5"/>
      <c r="EV622" s="5"/>
      <c r="EW622" s="5"/>
      <c r="EX622" s="5"/>
      <c r="EY622" s="5"/>
      <c r="EZ622" s="5"/>
      <c r="FA622" s="5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5"/>
      <c r="CT623" s="5"/>
      <c r="CU623" s="5"/>
      <c r="CV623" s="5"/>
      <c r="CW623" s="5"/>
      <c r="CX623" s="5"/>
      <c r="CY623" s="5"/>
      <c r="CZ623" s="5"/>
      <c r="DA623" s="5"/>
      <c r="DB623" s="5"/>
      <c r="DC623" s="5"/>
      <c r="DD623" s="5"/>
      <c r="DE623" s="5"/>
      <c r="DF623" s="5"/>
      <c r="DG623" s="5"/>
      <c r="DH623" s="5"/>
      <c r="DI623" s="5"/>
      <c r="DJ623" s="5"/>
      <c r="DK623" s="5"/>
      <c r="DL623" s="5"/>
      <c r="DM623" s="5"/>
      <c r="DN623" s="5"/>
      <c r="DO623" s="5"/>
      <c r="DP623" s="5"/>
      <c r="DQ623" s="5"/>
      <c r="DR623" s="5"/>
      <c r="DS623" s="5"/>
      <c r="DT623" s="5"/>
      <c r="DU623" s="5"/>
      <c r="DV623" s="5"/>
      <c r="DW623" s="5"/>
      <c r="DX623" s="5"/>
      <c r="DY623" s="5"/>
      <c r="DZ623" s="5"/>
      <c r="EA623" s="5"/>
      <c r="EB623" s="5"/>
      <c r="EC623" s="5"/>
      <c r="ED623" s="5"/>
      <c r="EE623" s="5"/>
      <c r="EF623" s="5"/>
      <c r="EG623" s="5"/>
      <c r="EH623" s="5"/>
      <c r="EI623" s="5"/>
      <c r="EJ623" s="5"/>
      <c r="EK623" s="5"/>
      <c r="EL623" s="5"/>
      <c r="EM623" s="5"/>
      <c r="EN623" s="5"/>
      <c r="EO623" s="5"/>
      <c r="EP623" s="5"/>
      <c r="EQ623" s="5"/>
      <c r="ER623" s="5"/>
      <c r="ES623" s="5"/>
      <c r="ET623" s="5"/>
      <c r="EU623" s="5"/>
      <c r="EV623" s="5"/>
      <c r="EW623" s="5"/>
      <c r="EX623" s="5"/>
      <c r="EY623" s="5"/>
      <c r="EZ623" s="5"/>
      <c r="FA623" s="5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5"/>
      <c r="CT624" s="5"/>
      <c r="CU624" s="5"/>
      <c r="CV624" s="5"/>
      <c r="CW624" s="5"/>
      <c r="CX624" s="5"/>
      <c r="CY624" s="5"/>
      <c r="CZ624" s="5"/>
      <c r="DA624" s="5"/>
      <c r="DB624" s="5"/>
      <c r="DC624" s="5"/>
      <c r="DD624" s="5"/>
      <c r="DE624" s="5"/>
      <c r="DF624" s="5"/>
      <c r="DG624" s="5"/>
      <c r="DH624" s="5"/>
      <c r="DI624" s="5"/>
      <c r="DJ624" s="5"/>
      <c r="DK624" s="5"/>
      <c r="DL624" s="5"/>
      <c r="DM624" s="5"/>
      <c r="DN624" s="5"/>
      <c r="DO624" s="5"/>
      <c r="DP624" s="5"/>
      <c r="DQ624" s="5"/>
      <c r="DR624" s="5"/>
      <c r="DS624" s="5"/>
      <c r="DT624" s="5"/>
      <c r="DU624" s="5"/>
      <c r="DV624" s="5"/>
      <c r="DW624" s="5"/>
      <c r="DX624" s="5"/>
      <c r="DY624" s="5"/>
      <c r="DZ624" s="5"/>
      <c r="EA624" s="5"/>
      <c r="EB624" s="5"/>
      <c r="EC624" s="5"/>
      <c r="ED624" s="5"/>
      <c r="EE624" s="5"/>
      <c r="EF624" s="5"/>
      <c r="EG624" s="5"/>
      <c r="EH624" s="5"/>
      <c r="EI624" s="5"/>
      <c r="EJ624" s="5"/>
      <c r="EK624" s="5"/>
      <c r="EL624" s="5"/>
      <c r="EM624" s="5"/>
      <c r="EN624" s="5"/>
      <c r="EO624" s="5"/>
      <c r="EP624" s="5"/>
      <c r="EQ624" s="5"/>
      <c r="ER624" s="5"/>
      <c r="ES624" s="5"/>
      <c r="ET624" s="5"/>
      <c r="EU624" s="5"/>
      <c r="EV624" s="5"/>
      <c r="EW624" s="5"/>
      <c r="EX624" s="5"/>
      <c r="EY624" s="5"/>
      <c r="EZ624" s="5"/>
      <c r="FA624" s="5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5"/>
      <c r="CT625" s="5"/>
      <c r="CU625" s="5"/>
      <c r="CV625" s="5"/>
      <c r="CW625" s="5"/>
      <c r="CX625" s="5"/>
      <c r="CY625" s="5"/>
      <c r="CZ625" s="5"/>
      <c r="DA625" s="5"/>
      <c r="DB625" s="5"/>
      <c r="DC625" s="5"/>
      <c r="DD625" s="5"/>
      <c r="DE625" s="5"/>
      <c r="DF625" s="5"/>
      <c r="DG625" s="5"/>
      <c r="DH625" s="5"/>
      <c r="DI625" s="5"/>
      <c r="DJ625" s="5"/>
      <c r="DK625" s="5"/>
      <c r="DL625" s="5"/>
      <c r="DM625" s="5"/>
      <c r="DN625" s="5"/>
      <c r="DO625" s="5"/>
      <c r="DP625" s="5"/>
      <c r="DQ625" s="5"/>
      <c r="DR625" s="5"/>
      <c r="DS625" s="5"/>
      <c r="DT625" s="5"/>
      <c r="DU625" s="5"/>
      <c r="DV625" s="5"/>
      <c r="DW625" s="5"/>
      <c r="DX625" s="5"/>
      <c r="DY625" s="5"/>
      <c r="DZ625" s="5"/>
      <c r="EA625" s="5"/>
      <c r="EB625" s="5"/>
      <c r="EC625" s="5"/>
      <c r="ED625" s="5"/>
      <c r="EE625" s="5"/>
      <c r="EF625" s="5"/>
      <c r="EG625" s="5"/>
      <c r="EH625" s="5"/>
      <c r="EI625" s="5"/>
      <c r="EJ625" s="5"/>
      <c r="EK625" s="5"/>
      <c r="EL625" s="5"/>
      <c r="EM625" s="5"/>
      <c r="EN625" s="5"/>
      <c r="EO625" s="5"/>
      <c r="EP625" s="5"/>
      <c r="EQ625" s="5"/>
      <c r="ER625" s="5"/>
      <c r="ES625" s="5"/>
      <c r="ET625" s="5"/>
      <c r="EU625" s="5"/>
      <c r="EV625" s="5"/>
      <c r="EW625" s="5"/>
      <c r="EX625" s="5"/>
      <c r="EY625" s="5"/>
      <c r="EZ625" s="5"/>
      <c r="FA625" s="5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5"/>
      <c r="CT626" s="5"/>
      <c r="CU626" s="5"/>
      <c r="CV626" s="5"/>
      <c r="CW626" s="5"/>
      <c r="CX626" s="5"/>
      <c r="CY626" s="5"/>
      <c r="CZ626" s="5"/>
      <c r="DA626" s="5"/>
      <c r="DB626" s="5"/>
      <c r="DC626" s="5"/>
      <c r="DD626" s="5"/>
      <c r="DE626" s="5"/>
      <c r="DF626" s="5"/>
      <c r="DG626" s="5"/>
      <c r="DH626" s="5"/>
      <c r="DI626" s="5"/>
      <c r="DJ626" s="5"/>
      <c r="DK626" s="5"/>
      <c r="DL626" s="5"/>
      <c r="DM626" s="5"/>
      <c r="DN626" s="5"/>
      <c r="DO626" s="5"/>
      <c r="DP626" s="5"/>
      <c r="DQ626" s="5"/>
      <c r="DR626" s="5"/>
      <c r="DS626" s="5"/>
      <c r="DT626" s="5"/>
      <c r="DU626" s="5"/>
      <c r="DV626" s="5"/>
      <c r="DW626" s="5"/>
      <c r="DX626" s="5"/>
      <c r="DY626" s="5"/>
      <c r="DZ626" s="5"/>
      <c r="EA626" s="5"/>
      <c r="EB626" s="5"/>
      <c r="EC626" s="5"/>
      <c r="ED626" s="5"/>
      <c r="EE626" s="5"/>
      <c r="EF626" s="5"/>
      <c r="EG626" s="5"/>
      <c r="EH626" s="5"/>
      <c r="EI626" s="5"/>
      <c r="EJ626" s="5"/>
      <c r="EK626" s="5"/>
      <c r="EL626" s="5"/>
      <c r="EM626" s="5"/>
      <c r="EN626" s="5"/>
      <c r="EO626" s="5"/>
      <c r="EP626" s="5"/>
      <c r="EQ626" s="5"/>
      <c r="ER626" s="5"/>
      <c r="ES626" s="5"/>
      <c r="ET626" s="5"/>
      <c r="EU626" s="5"/>
      <c r="EV626" s="5"/>
      <c r="EW626" s="5"/>
      <c r="EX626" s="5"/>
      <c r="EY626" s="5"/>
      <c r="EZ626" s="5"/>
      <c r="FA626" s="5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5"/>
      <c r="CT627" s="5"/>
      <c r="CU627" s="5"/>
      <c r="CV627" s="5"/>
      <c r="CW627" s="5"/>
      <c r="CX627" s="5"/>
      <c r="CY627" s="5"/>
      <c r="CZ627" s="5"/>
      <c r="DA627" s="5"/>
      <c r="DB627" s="5"/>
      <c r="DC627" s="5"/>
      <c r="DD627" s="5"/>
      <c r="DE627" s="5"/>
      <c r="DF627" s="5"/>
      <c r="DG627" s="5"/>
      <c r="DH627" s="5"/>
      <c r="DI627" s="5"/>
      <c r="DJ627" s="5"/>
      <c r="DK627" s="5"/>
      <c r="DL627" s="5"/>
      <c r="DM627" s="5"/>
      <c r="DN627" s="5"/>
      <c r="DO627" s="5"/>
      <c r="DP627" s="5"/>
      <c r="DQ627" s="5"/>
      <c r="DR627" s="5"/>
      <c r="DS627" s="5"/>
      <c r="DT627" s="5"/>
      <c r="DU627" s="5"/>
      <c r="DV627" s="5"/>
      <c r="DW627" s="5"/>
      <c r="DX627" s="5"/>
      <c r="DY627" s="5"/>
      <c r="DZ627" s="5"/>
      <c r="EA627" s="5"/>
      <c r="EB627" s="5"/>
      <c r="EC627" s="5"/>
      <c r="ED627" s="5"/>
      <c r="EE627" s="5"/>
      <c r="EF627" s="5"/>
      <c r="EG627" s="5"/>
      <c r="EH627" s="5"/>
      <c r="EI627" s="5"/>
      <c r="EJ627" s="5"/>
      <c r="EK627" s="5"/>
      <c r="EL627" s="5"/>
      <c r="EM627" s="5"/>
      <c r="EN627" s="5"/>
      <c r="EO627" s="5"/>
      <c r="EP627" s="5"/>
      <c r="EQ627" s="5"/>
      <c r="ER627" s="5"/>
      <c r="ES627" s="5"/>
      <c r="ET627" s="5"/>
      <c r="EU627" s="5"/>
      <c r="EV627" s="5"/>
      <c r="EW627" s="5"/>
      <c r="EX627" s="5"/>
      <c r="EY627" s="5"/>
      <c r="EZ627" s="5"/>
      <c r="FA627" s="5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5"/>
      <c r="CT628" s="5"/>
      <c r="CU628" s="5"/>
      <c r="CV628" s="5"/>
      <c r="CW628" s="5"/>
      <c r="CX628" s="5"/>
      <c r="CY628" s="5"/>
      <c r="CZ628" s="5"/>
      <c r="DA628" s="5"/>
      <c r="DB628" s="5"/>
      <c r="DC628" s="5"/>
      <c r="DD628" s="5"/>
      <c r="DE628" s="5"/>
      <c r="DF628" s="5"/>
      <c r="DG628" s="5"/>
      <c r="DH628" s="5"/>
      <c r="DI628" s="5"/>
      <c r="DJ628" s="5"/>
      <c r="DK628" s="5"/>
      <c r="DL628" s="5"/>
      <c r="DM628" s="5"/>
      <c r="DN628" s="5"/>
      <c r="DO628" s="5"/>
      <c r="DP628" s="5"/>
      <c r="DQ628" s="5"/>
      <c r="DR628" s="5"/>
      <c r="DS628" s="5"/>
      <c r="DT628" s="5"/>
      <c r="DU628" s="5"/>
      <c r="DV628" s="5"/>
      <c r="DW628" s="5"/>
      <c r="DX628" s="5"/>
      <c r="DY628" s="5"/>
      <c r="DZ628" s="5"/>
      <c r="EA628" s="5"/>
      <c r="EB628" s="5"/>
      <c r="EC628" s="5"/>
      <c r="ED628" s="5"/>
      <c r="EE628" s="5"/>
      <c r="EF628" s="5"/>
      <c r="EG628" s="5"/>
      <c r="EH628" s="5"/>
      <c r="EI628" s="5"/>
      <c r="EJ628" s="5"/>
      <c r="EK628" s="5"/>
      <c r="EL628" s="5"/>
      <c r="EM628" s="5"/>
      <c r="EN628" s="5"/>
      <c r="EO628" s="5"/>
      <c r="EP628" s="5"/>
      <c r="EQ628" s="5"/>
      <c r="ER628" s="5"/>
      <c r="ES628" s="5"/>
      <c r="ET628" s="5"/>
      <c r="EU628" s="5"/>
      <c r="EV628" s="5"/>
      <c r="EW628" s="5"/>
      <c r="EX628" s="5"/>
      <c r="EY628" s="5"/>
      <c r="EZ628" s="5"/>
      <c r="FA628" s="5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5"/>
      <c r="CT629" s="5"/>
      <c r="CU629" s="5"/>
      <c r="CV629" s="5"/>
      <c r="CW629" s="5"/>
      <c r="CX629" s="5"/>
      <c r="CY629" s="5"/>
      <c r="CZ629" s="5"/>
      <c r="DA629" s="5"/>
      <c r="DB629" s="5"/>
      <c r="DC629" s="5"/>
      <c r="DD629" s="5"/>
      <c r="DE629" s="5"/>
      <c r="DF629" s="5"/>
      <c r="DG629" s="5"/>
      <c r="DH629" s="5"/>
      <c r="DI629" s="5"/>
      <c r="DJ629" s="5"/>
      <c r="DK629" s="5"/>
      <c r="DL629" s="5"/>
      <c r="DM629" s="5"/>
      <c r="DN629" s="5"/>
      <c r="DO629" s="5"/>
      <c r="DP629" s="5"/>
      <c r="DQ629" s="5"/>
      <c r="DR629" s="5"/>
      <c r="DS629" s="5"/>
      <c r="DT629" s="5"/>
      <c r="DU629" s="5"/>
      <c r="DV629" s="5"/>
      <c r="DW629" s="5"/>
      <c r="DX629" s="5"/>
      <c r="DY629" s="5"/>
      <c r="DZ629" s="5"/>
      <c r="EA629" s="5"/>
      <c r="EB629" s="5"/>
      <c r="EC629" s="5"/>
      <c r="ED629" s="5"/>
      <c r="EE629" s="5"/>
      <c r="EF629" s="5"/>
      <c r="EG629" s="5"/>
      <c r="EH629" s="5"/>
      <c r="EI629" s="5"/>
      <c r="EJ629" s="5"/>
      <c r="EK629" s="5"/>
      <c r="EL629" s="5"/>
      <c r="EM629" s="5"/>
      <c r="EN629" s="5"/>
      <c r="EO629" s="5"/>
      <c r="EP629" s="5"/>
      <c r="EQ629" s="5"/>
      <c r="ER629" s="5"/>
      <c r="ES629" s="5"/>
      <c r="ET629" s="5"/>
      <c r="EU629" s="5"/>
      <c r="EV629" s="5"/>
      <c r="EW629" s="5"/>
      <c r="EX629" s="5"/>
      <c r="EY629" s="5"/>
      <c r="EZ629" s="5"/>
      <c r="FA629" s="5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5"/>
      <c r="CT630" s="5"/>
      <c r="CU630" s="5"/>
      <c r="CV630" s="5"/>
      <c r="CW630" s="5"/>
      <c r="CX630" s="5"/>
      <c r="CY630" s="5"/>
      <c r="CZ630" s="5"/>
      <c r="DA630" s="5"/>
      <c r="DB630" s="5"/>
      <c r="DC630" s="5"/>
      <c r="DD630" s="5"/>
      <c r="DE630" s="5"/>
      <c r="DF630" s="5"/>
      <c r="DG630" s="5"/>
      <c r="DH630" s="5"/>
      <c r="DI630" s="5"/>
      <c r="DJ630" s="5"/>
      <c r="DK630" s="5"/>
      <c r="DL630" s="5"/>
      <c r="DM630" s="5"/>
      <c r="DN630" s="5"/>
      <c r="DO630" s="5"/>
      <c r="DP630" s="5"/>
      <c r="DQ630" s="5"/>
      <c r="DR630" s="5"/>
      <c r="DS630" s="5"/>
      <c r="DT630" s="5"/>
      <c r="DU630" s="5"/>
      <c r="DV630" s="5"/>
      <c r="DW630" s="5"/>
      <c r="DX630" s="5"/>
      <c r="DY630" s="5"/>
      <c r="DZ630" s="5"/>
      <c r="EA630" s="5"/>
      <c r="EB630" s="5"/>
      <c r="EC630" s="5"/>
      <c r="ED630" s="5"/>
      <c r="EE630" s="5"/>
      <c r="EF630" s="5"/>
      <c r="EG630" s="5"/>
      <c r="EH630" s="5"/>
      <c r="EI630" s="5"/>
      <c r="EJ630" s="5"/>
      <c r="EK630" s="5"/>
      <c r="EL630" s="5"/>
      <c r="EM630" s="5"/>
      <c r="EN630" s="5"/>
      <c r="EO630" s="5"/>
      <c r="EP630" s="5"/>
      <c r="EQ630" s="5"/>
      <c r="ER630" s="5"/>
      <c r="ES630" s="5"/>
      <c r="ET630" s="5"/>
      <c r="EU630" s="5"/>
      <c r="EV630" s="5"/>
      <c r="EW630" s="5"/>
      <c r="EX630" s="5"/>
      <c r="EY630" s="5"/>
      <c r="EZ630" s="5"/>
      <c r="FA630" s="5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5"/>
      <c r="CT631" s="5"/>
      <c r="CU631" s="5"/>
      <c r="CV631" s="5"/>
      <c r="CW631" s="5"/>
      <c r="CX631" s="5"/>
      <c r="CY631" s="5"/>
      <c r="CZ631" s="5"/>
      <c r="DA631" s="5"/>
      <c r="DB631" s="5"/>
      <c r="DC631" s="5"/>
      <c r="DD631" s="5"/>
      <c r="DE631" s="5"/>
      <c r="DF631" s="5"/>
      <c r="DG631" s="5"/>
      <c r="DH631" s="5"/>
      <c r="DI631" s="5"/>
      <c r="DJ631" s="5"/>
      <c r="DK631" s="5"/>
      <c r="DL631" s="5"/>
      <c r="DM631" s="5"/>
      <c r="DN631" s="5"/>
      <c r="DO631" s="5"/>
      <c r="DP631" s="5"/>
      <c r="DQ631" s="5"/>
      <c r="DR631" s="5"/>
      <c r="DS631" s="5"/>
      <c r="DT631" s="5"/>
      <c r="DU631" s="5"/>
      <c r="DV631" s="5"/>
      <c r="DW631" s="5"/>
      <c r="DX631" s="5"/>
      <c r="DY631" s="5"/>
      <c r="DZ631" s="5"/>
      <c r="EA631" s="5"/>
      <c r="EB631" s="5"/>
      <c r="EC631" s="5"/>
      <c r="ED631" s="5"/>
      <c r="EE631" s="5"/>
      <c r="EF631" s="5"/>
      <c r="EG631" s="5"/>
      <c r="EH631" s="5"/>
      <c r="EI631" s="5"/>
      <c r="EJ631" s="5"/>
      <c r="EK631" s="5"/>
      <c r="EL631" s="5"/>
      <c r="EM631" s="5"/>
      <c r="EN631" s="5"/>
      <c r="EO631" s="5"/>
      <c r="EP631" s="5"/>
      <c r="EQ631" s="5"/>
      <c r="ER631" s="5"/>
      <c r="ES631" s="5"/>
      <c r="ET631" s="5"/>
      <c r="EU631" s="5"/>
      <c r="EV631" s="5"/>
      <c r="EW631" s="5"/>
      <c r="EX631" s="5"/>
      <c r="EY631" s="5"/>
      <c r="EZ631" s="5"/>
      <c r="FA631" s="5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5"/>
      <c r="CT632" s="5"/>
      <c r="CU632" s="5"/>
      <c r="CV632" s="5"/>
      <c r="CW632" s="5"/>
      <c r="CX632" s="5"/>
      <c r="CY632" s="5"/>
      <c r="CZ632" s="5"/>
      <c r="DA632" s="5"/>
      <c r="DB632" s="5"/>
      <c r="DC632" s="5"/>
      <c r="DD632" s="5"/>
      <c r="DE632" s="5"/>
      <c r="DF632" s="5"/>
      <c r="DG632" s="5"/>
      <c r="DH632" s="5"/>
      <c r="DI632" s="5"/>
      <c r="DJ632" s="5"/>
      <c r="DK632" s="5"/>
      <c r="DL632" s="5"/>
      <c r="DM632" s="5"/>
      <c r="DN632" s="5"/>
      <c r="DO632" s="5"/>
      <c r="DP632" s="5"/>
      <c r="DQ632" s="5"/>
      <c r="DR632" s="5"/>
      <c r="DS632" s="5"/>
      <c r="DT632" s="5"/>
      <c r="DU632" s="5"/>
      <c r="DV632" s="5"/>
      <c r="DW632" s="5"/>
      <c r="DX632" s="5"/>
      <c r="DY632" s="5"/>
      <c r="DZ632" s="5"/>
      <c r="EA632" s="5"/>
      <c r="EB632" s="5"/>
      <c r="EC632" s="5"/>
      <c r="ED632" s="5"/>
      <c r="EE632" s="5"/>
      <c r="EF632" s="5"/>
      <c r="EG632" s="5"/>
      <c r="EH632" s="5"/>
      <c r="EI632" s="5"/>
      <c r="EJ632" s="5"/>
      <c r="EK632" s="5"/>
      <c r="EL632" s="5"/>
      <c r="EM632" s="5"/>
      <c r="EN632" s="5"/>
      <c r="EO632" s="5"/>
      <c r="EP632" s="5"/>
      <c r="EQ632" s="5"/>
      <c r="ER632" s="5"/>
      <c r="ES632" s="5"/>
      <c r="ET632" s="5"/>
      <c r="EU632" s="5"/>
      <c r="EV632" s="5"/>
      <c r="EW632" s="5"/>
      <c r="EX632" s="5"/>
      <c r="EY632" s="5"/>
      <c r="EZ632" s="5"/>
      <c r="FA632" s="5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5"/>
      <c r="CT633" s="5"/>
      <c r="CU633" s="5"/>
      <c r="CV633" s="5"/>
      <c r="CW633" s="5"/>
      <c r="CX633" s="5"/>
      <c r="CY633" s="5"/>
      <c r="CZ633" s="5"/>
      <c r="DA633" s="5"/>
      <c r="DB633" s="5"/>
      <c r="DC633" s="5"/>
      <c r="DD633" s="5"/>
      <c r="DE633" s="5"/>
      <c r="DF633" s="5"/>
      <c r="DG633" s="5"/>
      <c r="DH633" s="5"/>
      <c r="DI633" s="5"/>
      <c r="DJ633" s="5"/>
      <c r="DK633" s="5"/>
      <c r="DL633" s="5"/>
      <c r="DM633" s="5"/>
      <c r="DN633" s="5"/>
      <c r="DO633" s="5"/>
      <c r="DP633" s="5"/>
      <c r="DQ633" s="5"/>
      <c r="DR633" s="5"/>
      <c r="DS633" s="5"/>
      <c r="DT633" s="5"/>
      <c r="DU633" s="5"/>
      <c r="DV633" s="5"/>
      <c r="DW633" s="5"/>
      <c r="DX633" s="5"/>
      <c r="DY633" s="5"/>
      <c r="DZ633" s="5"/>
      <c r="EA633" s="5"/>
      <c r="EB633" s="5"/>
      <c r="EC633" s="5"/>
      <c r="ED633" s="5"/>
      <c r="EE633" s="5"/>
      <c r="EF633" s="5"/>
      <c r="EG633" s="5"/>
      <c r="EH633" s="5"/>
      <c r="EI633" s="5"/>
      <c r="EJ633" s="5"/>
      <c r="EK633" s="5"/>
      <c r="EL633" s="5"/>
      <c r="EM633" s="5"/>
      <c r="EN633" s="5"/>
      <c r="EO633" s="5"/>
      <c r="EP633" s="5"/>
      <c r="EQ633" s="5"/>
      <c r="ER633" s="5"/>
      <c r="ES633" s="5"/>
      <c r="ET633" s="5"/>
      <c r="EU633" s="5"/>
      <c r="EV633" s="5"/>
      <c r="EW633" s="5"/>
      <c r="EX633" s="5"/>
      <c r="EY633" s="5"/>
      <c r="EZ633" s="5"/>
      <c r="FA633" s="5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5"/>
      <c r="CT634" s="5"/>
      <c r="CU634" s="5"/>
      <c r="CV634" s="5"/>
      <c r="CW634" s="5"/>
      <c r="CX634" s="5"/>
      <c r="CY634" s="5"/>
      <c r="CZ634" s="5"/>
      <c r="DA634" s="5"/>
      <c r="DB634" s="5"/>
      <c r="DC634" s="5"/>
      <c r="DD634" s="5"/>
      <c r="DE634" s="5"/>
      <c r="DF634" s="5"/>
      <c r="DG634" s="5"/>
      <c r="DH634" s="5"/>
      <c r="DI634" s="5"/>
      <c r="DJ634" s="5"/>
      <c r="DK634" s="5"/>
      <c r="DL634" s="5"/>
      <c r="DM634" s="5"/>
      <c r="DN634" s="5"/>
      <c r="DO634" s="5"/>
      <c r="DP634" s="5"/>
      <c r="DQ634" s="5"/>
      <c r="DR634" s="5"/>
      <c r="DS634" s="5"/>
      <c r="DT634" s="5"/>
      <c r="DU634" s="5"/>
      <c r="DV634" s="5"/>
      <c r="DW634" s="5"/>
      <c r="DX634" s="5"/>
      <c r="DY634" s="5"/>
      <c r="DZ634" s="5"/>
      <c r="EA634" s="5"/>
      <c r="EB634" s="5"/>
      <c r="EC634" s="5"/>
      <c r="ED634" s="5"/>
      <c r="EE634" s="5"/>
      <c r="EF634" s="5"/>
      <c r="EG634" s="5"/>
      <c r="EH634" s="5"/>
      <c r="EI634" s="5"/>
      <c r="EJ634" s="5"/>
      <c r="EK634" s="5"/>
      <c r="EL634" s="5"/>
      <c r="EM634" s="5"/>
      <c r="EN634" s="5"/>
      <c r="EO634" s="5"/>
      <c r="EP634" s="5"/>
      <c r="EQ634" s="5"/>
      <c r="ER634" s="5"/>
      <c r="ES634" s="5"/>
      <c r="ET634" s="5"/>
      <c r="EU634" s="5"/>
      <c r="EV634" s="5"/>
      <c r="EW634" s="5"/>
      <c r="EX634" s="5"/>
      <c r="EY634" s="5"/>
      <c r="EZ634" s="5"/>
      <c r="FA634" s="5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5"/>
      <c r="CT635" s="5"/>
      <c r="CU635" s="5"/>
      <c r="CV635" s="5"/>
      <c r="CW635" s="5"/>
      <c r="CX635" s="5"/>
      <c r="CY635" s="5"/>
      <c r="CZ635" s="5"/>
      <c r="DA635" s="5"/>
      <c r="DB635" s="5"/>
      <c r="DC635" s="5"/>
      <c r="DD635" s="5"/>
      <c r="DE635" s="5"/>
      <c r="DF635" s="5"/>
      <c r="DG635" s="5"/>
      <c r="DH635" s="5"/>
      <c r="DI635" s="5"/>
      <c r="DJ635" s="5"/>
      <c r="DK635" s="5"/>
      <c r="DL635" s="5"/>
      <c r="DM635" s="5"/>
      <c r="DN635" s="5"/>
      <c r="DO635" s="5"/>
      <c r="DP635" s="5"/>
      <c r="DQ635" s="5"/>
      <c r="DR635" s="5"/>
      <c r="DS635" s="5"/>
      <c r="DT635" s="5"/>
      <c r="DU635" s="5"/>
      <c r="DV635" s="5"/>
      <c r="DW635" s="5"/>
      <c r="DX635" s="5"/>
      <c r="DY635" s="5"/>
      <c r="DZ635" s="5"/>
      <c r="EA635" s="5"/>
      <c r="EB635" s="5"/>
      <c r="EC635" s="5"/>
      <c r="ED635" s="5"/>
      <c r="EE635" s="5"/>
      <c r="EF635" s="5"/>
      <c r="EG635" s="5"/>
      <c r="EH635" s="5"/>
      <c r="EI635" s="5"/>
      <c r="EJ635" s="5"/>
      <c r="EK635" s="5"/>
      <c r="EL635" s="5"/>
      <c r="EM635" s="5"/>
      <c r="EN635" s="5"/>
      <c r="EO635" s="5"/>
      <c r="EP635" s="5"/>
      <c r="EQ635" s="5"/>
      <c r="ER635" s="5"/>
      <c r="ES635" s="5"/>
      <c r="ET635" s="5"/>
      <c r="EU635" s="5"/>
      <c r="EV635" s="5"/>
      <c r="EW635" s="5"/>
      <c r="EX635" s="5"/>
      <c r="EY635" s="5"/>
      <c r="EZ635" s="5"/>
      <c r="FA635" s="5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5"/>
      <c r="CT636" s="5"/>
      <c r="CU636" s="5"/>
      <c r="CV636" s="5"/>
      <c r="CW636" s="5"/>
      <c r="CX636" s="5"/>
      <c r="CY636" s="5"/>
      <c r="CZ636" s="5"/>
      <c r="DA636" s="5"/>
      <c r="DB636" s="5"/>
      <c r="DC636" s="5"/>
      <c r="DD636" s="5"/>
      <c r="DE636" s="5"/>
      <c r="DF636" s="5"/>
      <c r="DG636" s="5"/>
      <c r="DH636" s="5"/>
      <c r="DI636" s="5"/>
      <c r="DJ636" s="5"/>
      <c r="DK636" s="5"/>
      <c r="DL636" s="5"/>
      <c r="DM636" s="5"/>
      <c r="DN636" s="5"/>
      <c r="DO636" s="5"/>
      <c r="DP636" s="5"/>
      <c r="DQ636" s="5"/>
      <c r="DR636" s="5"/>
      <c r="DS636" s="5"/>
      <c r="DT636" s="5"/>
      <c r="DU636" s="5"/>
      <c r="DV636" s="5"/>
      <c r="DW636" s="5"/>
      <c r="DX636" s="5"/>
      <c r="DY636" s="5"/>
      <c r="DZ636" s="5"/>
      <c r="EA636" s="5"/>
      <c r="EB636" s="5"/>
      <c r="EC636" s="5"/>
      <c r="ED636" s="5"/>
      <c r="EE636" s="5"/>
      <c r="EF636" s="5"/>
      <c r="EG636" s="5"/>
      <c r="EH636" s="5"/>
      <c r="EI636" s="5"/>
      <c r="EJ636" s="5"/>
      <c r="EK636" s="5"/>
      <c r="EL636" s="5"/>
      <c r="EM636" s="5"/>
      <c r="EN636" s="5"/>
      <c r="EO636" s="5"/>
      <c r="EP636" s="5"/>
      <c r="EQ636" s="5"/>
      <c r="ER636" s="5"/>
      <c r="ES636" s="5"/>
      <c r="ET636" s="5"/>
      <c r="EU636" s="5"/>
      <c r="EV636" s="5"/>
      <c r="EW636" s="5"/>
      <c r="EX636" s="5"/>
      <c r="EY636" s="5"/>
      <c r="EZ636" s="5"/>
      <c r="FA636" s="5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5"/>
      <c r="CT637" s="5"/>
      <c r="CU637" s="5"/>
      <c r="CV637" s="5"/>
      <c r="CW637" s="5"/>
      <c r="CX637" s="5"/>
      <c r="CY637" s="5"/>
      <c r="CZ637" s="5"/>
      <c r="DA637" s="5"/>
      <c r="DB637" s="5"/>
      <c r="DC637" s="5"/>
      <c r="DD637" s="5"/>
      <c r="DE637" s="5"/>
      <c r="DF637" s="5"/>
      <c r="DG637" s="5"/>
      <c r="DH637" s="5"/>
      <c r="DI637" s="5"/>
      <c r="DJ637" s="5"/>
      <c r="DK637" s="5"/>
      <c r="DL637" s="5"/>
      <c r="DM637" s="5"/>
      <c r="DN637" s="5"/>
      <c r="DO637" s="5"/>
      <c r="DP637" s="5"/>
      <c r="DQ637" s="5"/>
      <c r="DR637" s="5"/>
      <c r="DS637" s="5"/>
      <c r="DT637" s="5"/>
      <c r="DU637" s="5"/>
      <c r="DV637" s="5"/>
      <c r="DW637" s="5"/>
      <c r="DX637" s="5"/>
      <c r="DY637" s="5"/>
      <c r="DZ637" s="5"/>
      <c r="EA637" s="5"/>
      <c r="EB637" s="5"/>
      <c r="EC637" s="5"/>
      <c r="ED637" s="5"/>
      <c r="EE637" s="5"/>
      <c r="EF637" s="5"/>
      <c r="EG637" s="5"/>
      <c r="EH637" s="5"/>
      <c r="EI637" s="5"/>
      <c r="EJ637" s="5"/>
      <c r="EK637" s="5"/>
      <c r="EL637" s="5"/>
      <c r="EM637" s="5"/>
      <c r="EN637" s="5"/>
      <c r="EO637" s="5"/>
      <c r="EP637" s="5"/>
      <c r="EQ637" s="5"/>
      <c r="ER637" s="5"/>
      <c r="ES637" s="5"/>
      <c r="ET637" s="5"/>
      <c r="EU637" s="5"/>
      <c r="EV637" s="5"/>
      <c r="EW637" s="5"/>
      <c r="EX637" s="5"/>
      <c r="EY637" s="5"/>
      <c r="EZ637" s="5"/>
      <c r="FA637" s="5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5"/>
      <c r="CT638" s="5"/>
      <c r="CU638" s="5"/>
      <c r="CV638" s="5"/>
      <c r="CW638" s="5"/>
      <c r="CX638" s="5"/>
      <c r="CY638" s="5"/>
      <c r="CZ638" s="5"/>
      <c r="DA638" s="5"/>
      <c r="DB638" s="5"/>
      <c r="DC638" s="5"/>
      <c r="DD638" s="5"/>
      <c r="DE638" s="5"/>
      <c r="DF638" s="5"/>
      <c r="DG638" s="5"/>
      <c r="DH638" s="5"/>
      <c r="DI638" s="5"/>
      <c r="DJ638" s="5"/>
      <c r="DK638" s="5"/>
      <c r="DL638" s="5"/>
      <c r="DM638" s="5"/>
      <c r="DN638" s="5"/>
      <c r="DO638" s="5"/>
      <c r="DP638" s="5"/>
      <c r="DQ638" s="5"/>
      <c r="DR638" s="5"/>
      <c r="DS638" s="5"/>
      <c r="DT638" s="5"/>
      <c r="DU638" s="5"/>
      <c r="DV638" s="5"/>
      <c r="DW638" s="5"/>
      <c r="DX638" s="5"/>
      <c r="DY638" s="5"/>
      <c r="DZ638" s="5"/>
      <c r="EA638" s="5"/>
      <c r="EB638" s="5"/>
      <c r="EC638" s="5"/>
      <c r="ED638" s="5"/>
      <c r="EE638" s="5"/>
      <c r="EF638" s="5"/>
      <c r="EG638" s="5"/>
      <c r="EH638" s="5"/>
      <c r="EI638" s="5"/>
      <c r="EJ638" s="5"/>
      <c r="EK638" s="5"/>
      <c r="EL638" s="5"/>
      <c r="EM638" s="5"/>
      <c r="EN638" s="5"/>
      <c r="EO638" s="5"/>
      <c r="EP638" s="5"/>
      <c r="EQ638" s="5"/>
      <c r="ER638" s="5"/>
      <c r="ES638" s="5"/>
      <c r="ET638" s="5"/>
      <c r="EU638" s="5"/>
      <c r="EV638" s="5"/>
      <c r="EW638" s="5"/>
      <c r="EX638" s="5"/>
      <c r="EY638" s="5"/>
      <c r="EZ638" s="5"/>
      <c r="FA638" s="5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5"/>
      <c r="CT639" s="5"/>
      <c r="CU639" s="5"/>
      <c r="CV639" s="5"/>
      <c r="CW639" s="5"/>
      <c r="CX639" s="5"/>
      <c r="CY639" s="5"/>
      <c r="CZ639" s="5"/>
      <c r="DA639" s="5"/>
      <c r="DB639" s="5"/>
      <c r="DC639" s="5"/>
      <c r="DD639" s="5"/>
      <c r="DE639" s="5"/>
      <c r="DF639" s="5"/>
      <c r="DG639" s="5"/>
      <c r="DH639" s="5"/>
      <c r="DI639" s="5"/>
      <c r="DJ639" s="5"/>
      <c r="DK639" s="5"/>
      <c r="DL639" s="5"/>
      <c r="DM639" s="5"/>
      <c r="DN639" s="5"/>
      <c r="DO639" s="5"/>
      <c r="DP639" s="5"/>
      <c r="DQ639" s="5"/>
      <c r="DR639" s="5"/>
      <c r="DS639" s="5"/>
      <c r="DT639" s="5"/>
      <c r="DU639" s="5"/>
      <c r="DV639" s="5"/>
      <c r="DW639" s="5"/>
      <c r="DX639" s="5"/>
      <c r="DY639" s="5"/>
      <c r="DZ639" s="5"/>
      <c r="EA639" s="5"/>
      <c r="EB639" s="5"/>
      <c r="EC639" s="5"/>
      <c r="ED639" s="5"/>
      <c r="EE639" s="5"/>
      <c r="EF639" s="5"/>
      <c r="EG639" s="5"/>
      <c r="EH639" s="5"/>
      <c r="EI639" s="5"/>
      <c r="EJ639" s="5"/>
      <c r="EK639" s="5"/>
      <c r="EL639" s="5"/>
      <c r="EM639" s="5"/>
      <c r="EN639" s="5"/>
      <c r="EO639" s="5"/>
      <c r="EP639" s="5"/>
      <c r="EQ639" s="5"/>
      <c r="ER639" s="5"/>
      <c r="ES639" s="5"/>
      <c r="ET639" s="5"/>
      <c r="EU639" s="5"/>
      <c r="EV639" s="5"/>
      <c r="EW639" s="5"/>
      <c r="EX639" s="5"/>
      <c r="EY639" s="5"/>
      <c r="EZ639" s="5"/>
      <c r="FA639" s="5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5"/>
      <c r="CT640" s="5"/>
      <c r="CU640" s="5"/>
      <c r="CV640" s="5"/>
      <c r="CW640" s="5"/>
      <c r="CX640" s="5"/>
      <c r="CY640" s="5"/>
      <c r="CZ640" s="5"/>
      <c r="DA640" s="5"/>
      <c r="DB640" s="5"/>
      <c r="DC640" s="5"/>
      <c r="DD640" s="5"/>
      <c r="DE640" s="5"/>
      <c r="DF640" s="5"/>
      <c r="DG640" s="5"/>
      <c r="DH640" s="5"/>
      <c r="DI640" s="5"/>
      <c r="DJ640" s="5"/>
      <c r="DK640" s="5"/>
      <c r="DL640" s="5"/>
      <c r="DM640" s="5"/>
      <c r="DN640" s="5"/>
      <c r="DO640" s="5"/>
      <c r="DP640" s="5"/>
      <c r="DQ640" s="5"/>
      <c r="DR640" s="5"/>
      <c r="DS640" s="5"/>
      <c r="DT640" s="5"/>
      <c r="DU640" s="5"/>
      <c r="DV640" s="5"/>
      <c r="DW640" s="5"/>
      <c r="DX640" s="5"/>
      <c r="DY640" s="5"/>
      <c r="DZ640" s="5"/>
      <c r="EA640" s="5"/>
      <c r="EB640" s="5"/>
      <c r="EC640" s="5"/>
      <c r="ED640" s="5"/>
      <c r="EE640" s="5"/>
      <c r="EF640" s="5"/>
      <c r="EG640" s="5"/>
      <c r="EH640" s="5"/>
      <c r="EI640" s="5"/>
      <c r="EJ640" s="5"/>
      <c r="EK640" s="5"/>
      <c r="EL640" s="5"/>
      <c r="EM640" s="5"/>
      <c r="EN640" s="5"/>
      <c r="EO640" s="5"/>
      <c r="EP640" s="5"/>
      <c r="EQ640" s="5"/>
      <c r="ER640" s="5"/>
      <c r="ES640" s="5"/>
      <c r="ET640" s="5"/>
      <c r="EU640" s="5"/>
      <c r="EV640" s="5"/>
      <c r="EW640" s="5"/>
      <c r="EX640" s="5"/>
      <c r="EY640" s="5"/>
      <c r="EZ640" s="5"/>
      <c r="FA640" s="5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5"/>
      <c r="CT641" s="5"/>
      <c r="CU641" s="5"/>
      <c r="CV641" s="5"/>
      <c r="CW641" s="5"/>
      <c r="CX641" s="5"/>
      <c r="CY641" s="5"/>
      <c r="CZ641" s="5"/>
      <c r="DA641" s="5"/>
      <c r="DB641" s="5"/>
      <c r="DC641" s="5"/>
      <c r="DD641" s="5"/>
      <c r="DE641" s="5"/>
      <c r="DF641" s="5"/>
      <c r="DG641" s="5"/>
      <c r="DH641" s="5"/>
      <c r="DI641" s="5"/>
      <c r="DJ641" s="5"/>
      <c r="DK641" s="5"/>
      <c r="DL641" s="5"/>
      <c r="DM641" s="5"/>
      <c r="DN641" s="5"/>
      <c r="DO641" s="5"/>
      <c r="DP641" s="5"/>
      <c r="DQ641" s="5"/>
      <c r="DR641" s="5"/>
      <c r="DS641" s="5"/>
      <c r="DT641" s="5"/>
      <c r="DU641" s="5"/>
      <c r="DV641" s="5"/>
      <c r="DW641" s="5"/>
      <c r="DX641" s="5"/>
      <c r="DY641" s="5"/>
      <c r="DZ641" s="5"/>
      <c r="EA641" s="5"/>
      <c r="EB641" s="5"/>
      <c r="EC641" s="5"/>
      <c r="ED641" s="5"/>
      <c r="EE641" s="5"/>
      <c r="EF641" s="5"/>
      <c r="EG641" s="5"/>
      <c r="EH641" s="5"/>
      <c r="EI641" s="5"/>
      <c r="EJ641" s="5"/>
      <c r="EK641" s="5"/>
      <c r="EL641" s="5"/>
      <c r="EM641" s="5"/>
      <c r="EN641" s="5"/>
      <c r="EO641" s="5"/>
      <c r="EP641" s="5"/>
      <c r="EQ641" s="5"/>
      <c r="ER641" s="5"/>
      <c r="ES641" s="5"/>
      <c r="ET641" s="5"/>
      <c r="EU641" s="5"/>
      <c r="EV641" s="5"/>
      <c r="EW641" s="5"/>
      <c r="EX641" s="5"/>
      <c r="EY641" s="5"/>
      <c r="EZ641" s="5"/>
      <c r="FA641" s="5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5"/>
      <c r="CT642" s="5"/>
      <c r="CU642" s="5"/>
      <c r="CV642" s="5"/>
      <c r="CW642" s="5"/>
      <c r="CX642" s="5"/>
      <c r="CY642" s="5"/>
      <c r="CZ642" s="5"/>
      <c r="DA642" s="5"/>
      <c r="DB642" s="5"/>
      <c r="DC642" s="5"/>
      <c r="DD642" s="5"/>
      <c r="DE642" s="5"/>
      <c r="DF642" s="5"/>
      <c r="DG642" s="5"/>
      <c r="DH642" s="5"/>
      <c r="DI642" s="5"/>
      <c r="DJ642" s="5"/>
      <c r="DK642" s="5"/>
      <c r="DL642" s="5"/>
      <c r="DM642" s="5"/>
      <c r="DN642" s="5"/>
      <c r="DO642" s="5"/>
      <c r="DP642" s="5"/>
      <c r="DQ642" s="5"/>
      <c r="DR642" s="5"/>
      <c r="DS642" s="5"/>
      <c r="DT642" s="5"/>
      <c r="DU642" s="5"/>
      <c r="DV642" s="5"/>
      <c r="DW642" s="5"/>
      <c r="DX642" s="5"/>
      <c r="DY642" s="5"/>
      <c r="DZ642" s="5"/>
      <c r="EA642" s="5"/>
      <c r="EB642" s="5"/>
      <c r="EC642" s="5"/>
      <c r="ED642" s="5"/>
      <c r="EE642" s="5"/>
      <c r="EF642" s="5"/>
      <c r="EG642" s="5"/>
      <c r="EH642" s="5"/>
      <c r="EI642" s="5"/>
      <c r="EJ642" s="5"/>
      <c r="EK642" s="5"/>
      <c r="EL642" s="5"/>
      <c r="EM642" s="5"/>
      <c r="EN642" s="5"/>
      <c r="EO642" s="5"/>
      <c r="EP642" s="5"/>
      <c r="EQ642" s="5"/>
      <c r="ER642" s="5"/>
      <c r="ES642" s="5"/>
      <c r="ET642" s="5"/>
      <c r="EU642" s="5"/>
      <c r="EV642" s="5"/>
      <c r="EW642" s="5"/>
      <c r="EX642" s="5"/>
      <c r="EY642" s="5"/>
      <c r="EZ642" s="5"/>
      <c r="FA642" s="5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5"/>
      <c r="CT643" s="5"/>
      <c r="CU643" s="5"/>
      <c r="CV643" s="5"/>
      <c r="CW643" s="5"/>
      <c r="CX643" s="5"/>
      <c r="CY643" s="5"/>
      <c r="CZ643" s="5"/>
      <c r="DA643" s="5"/>
      <c r="DB643" s="5"/>
      <c r="DC643" s="5"/>
      <c r="DD643" s="5"/>
      <c r="DE643" s="5"/>
      <c r="DF643" s="5"/>
      <c r="DG643" s="5"/>
      <c r="DH643" s="5"/>
      <c r="DI643" s="5"/>
      <c r="DJ643" s="5"/>
      <c r="DK643" s="5"/>
      <c r="DL643" s="5"/>
      <c r="DM643" s="5"/>
      <c r="DN643" s="5"/>
      <c r="DO643" s="5"/>
      <c r="DP643" s="5"/>
      <c r="DQ643" s="5"/>
      <c r="DR643" s="5"/>
      <c r="DS643" s="5"/>
      <c r="DT643" s="5"/>
      <c r="DU643" s="5"/>
      <c r="DV643" s="5"/>
      <c r="DW643" s="5"/>
      <c r="DX643" s="5"/>
      <c r="DY643" s="5"/>
      <c r="DZ643" s="5"/>
      <c r="EA643" s="5"/>
      <c r="EB643" s="5"/>
      <c r="EC643" s="5"/>
      <c r="ED643" s="5"/>
      <c r="EE643" s="5"/>
      <c r="EF643" s="5"/>
      <c r="EG643" s="5"/>
      <c r="EH643" s="5"/>
      <c r="EI643" s="5"/>
      <c r="EJ643" s="5"/>
      <c r="EK643" s="5"/>
      <c r="EL643" s="5"/>
      <c r="EM643" s="5"/>
      <c r="EN643" s="5"/>
      <c r="EO643" s="5"/>
      <c r="EP643" s="5"/>
      <c r="EQ643" s="5"/>
      <c r="ER643" s="5"/>
      <c r="ES643" s="5"/>
      <c r="ET643" s="5"/>
      <c r="EU643" s="5"/>
      <c r="EV643" s="5"/>
      <c r="EW643" s="5"/>
      <c r="EX643" s="5"/>
      <c r="EY643" s="5"/>
      <c r="EZ643" s="5"/>
      <c r="FA643" s="5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5"/>
      <c r="CT644" s="5"/>
      <c r="CU644" s="5"/>
      <c r="CV644" s="5"/>
      <c r="CW644" s="5"/>
      <c r="CX644" s="5"/>
      <c r="CY644" s="5"/>
      <c r="CZ644" s="5"/>
      <c r="DA644" s="5"/>
      <c r="DB644" s="5"/>
      <c r="DC644" s="5"/>
      <c r="DD644" s="5"/>
      <c r="DE644" s="5"/>
      <c r="DF644" s="5"/>
      <c r="DG644" s="5"/>
      <c r="DH644" s="5"/>
      <c r="DI644" s="5"/>
      <c r="DJ644" s="5"/>
      <c r="DK644" s="5"/>
      <c r="DL644" s="5"/>
      <c r="DM644" s="5"/>
      <c r="DN644" s="5"/>
      <c r="DO644" s="5"/>
      <c r="DP644" s="5"/>
      <c r="DQ644" s="5"/>
      <c r="DR644" s="5"/>
      <c r="DS644" s="5"/>
      <c r="DT644" s="5"/>
      <c r="DU644" s="5"/>
      <c r="DV644" s="5"/>
      <c r="DW644" s="5"/>
      <c r="DX644" s="5"/>
      <c r="DY644" s="5"/>
      <c r="DZ644" s="5"/>
      <c r="EA644" s="5"/>
      <c r="EB644" s="5"/>
      <c r="EC644" s="5"/>
      <c r="ED644" s="5"/>
      <c r="EE644" s="5"/>
      <c r="EF644" s="5"/>
      <c r="EG644" s="5"/>
      <c r="EH644" s="5"/>
      <c r="EI644" s="5"/>
      <c r="EJ644" s="5"/>
      <c r="EK644" s="5"/>
      <c r="EL644" s="5"/>
      <c r="EM644" s="5"/>
      <c r="EN644" s="5"/>
      <c r="EO644" s="5"/>
      <c r="EP644" s="5"/>
      <c r="EQ644" s="5"/>
      <c r="ER644" s="5"/>
      <c r="ES644" s="5"/>
      <c r="ET644" s="5"/>
      <c r="EU644" s="5"/>
      <c r="EV644" s="5"/>
      <c r="EW644" s="5"/>
      <c r="EX644" s="5"/>
      <c r="EY644" s="5"/>
      <c r="EZ644" s="5"/>
      <c r="FA644" s="5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5"/>
      <c r="CT645" s="5"/>
      <c r="CU645" s="5"/>
      <c r="CV645" s="5"/>
      <c r="CW645" s="5"/>
      <c r="CX645" s="5"/>
      <c r="CY645" s="5"/>
      <c r="CZ645" s="5"/>
      <c r="DA645" s="5"/>
      <c r="DB645" s="5"/>
      <c r="DC645" s="5"/>
      <c r="DD645" s="5"/>
      <c r="DE645" s="5"/>
      <c r="DF645" s="5"/>
      <c r="DG645" s="5"/>
      <c r="DH645" s="5"/>
      <c r="DI645" s="5"/>
      <c r="DJ645" s="5"/>
      <c r="DK645" s="5"/>
      <c r="DL645" s="5"/>
      <c r="DM645" s="5"/>
      <c r="DN645" s="5"/>
      <c r="DO645" s="5"/>
      <c r="DP645" s="5"/>
      <c r="DQ645" s="5"/>
      <c r="DR645" s="5"/>
      <c r="DS645" s="5"/>
      <c r="DT645" s="5"/>
      <c r="DU645" s="5"/>
      <c r="DV645" s="5"/>
      <c r="DW645" s="5"/>
      <c r="DX645" s="5"/>
      <c r="DY645" s="5"/>
      <c r="DZ645" s="5"/>
      <c r="EA645" s="5"/>
      <c r="EB645" s="5"/>
      <c r="EC645" s="5"/>
      <c r="ED645" s="5"/>
      <c r="EE645" s="5"/>
      <c r="EF645" s="5"/>
      <c r="EG645" s="5"/>
      <c r="EH645" s="5"/>
      <c r="EI645" s="5"/>
      <c r="EJ645" s="5"/>
      <c r="EK645" s="5"/>
      <c r="EL645" s="5"/>
      <c r="EM645" s="5"/>
      <c r="EN645" s="5"/>
      <c r="EO645" s="5"/>
      <c r="EP645" s="5"/>
      <c r="EQ645" s="5"/>
      <c r="ER645" s="5"/>
      <c r="ES645" s="5"/>
      <c r="ET645" s="5"/>
      <c r="EU645" s="5"/>
      <c r="EV645" s="5"/>
      <c r="EW645" s="5"/>
      <c r="EX645" s="5"/>
      <c r="EY645" s="5"/>
      <c r="EZ645" s="5"/>
      <c r="FA645" s="5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5"/>
      <c r="CT646" s="5"/>
      <c r="CU646" s="5"/>
      <c r="CV646" s="5"/>
      <c r="CW646" s="5"/>
      <c r="CX646" s="5"/>
      <c r="CY646" s="5"/>
      <c r="CZ646" s="5"/>
      <c r="DA646" s="5"/>
      <c r="DB646" s="5"/>
      <c r="DC646" s="5"/>
      <c r="DD646" s="5"/>
      <c r="DE646" s="5"/>
      <c r="DF646" s="5"/>
      <c r="DG646" s="5"/>
      <c r="DH646" s="5"/>
      <c r="DI646" s="5"/>
      <c r="DJ646" s="5"/>
      <c r="DK646" s="5"/>
      <c r="DL646" s="5"/>
      <c r="DM646" s="5"/>
      <c r="DN646" s="5"/>
      <c r="DO646" s="5"/>
      <c r="DP646" s="5"/>
      <c r="DQ646" s="5"/>
      <c r="DR646" s="5"/>
      <c r="DS646" s="5"/>
      <c r="DT646" s="5"/>
      <c r="DU646" s="5"/>
      <c r="DV646" s="5"/>
      <c r="DW646" s="5"/>
      <c r="DX646" s="5"/>
      <c r="DY646" s="5"/>
      <c r="DZ646" s="5"/>
      <c r="EA646" s="5"/>
      <c r="EB646" s="5"/>
      <c r="EC646" s="5"/>
      <c r="ED646" s="5"/>
      <c r="EE646" s="5"/>
      <c r="EF646" s="5"/>
      <c r="EG646" s="5"/>
      <c r="EH646" s="5"/>
      <c r="EI646" s="5"/>
      <c r="EJ646" s="5"/>
      <c r="EK646" s="5"/>
      <c r="EL646" s="5"/>
      <c r="EM646" s="5"/>
      <c r="EN646" s="5"/>
      <c r="EO646" s="5"/>
      <c r="EP646" s="5"/>
      <c r="EQ646" s="5"/>
      <c r="ER646" s="5"/>
      <c r="ES646" s="5"/>
      <c r="ET646" s="5"/>
      <c r="EU646" s="5"/>
      <c r="EV646" s="5"/>
      <c r="EW646" s="5"/>
      <c r="EX646" s="5"/>
      <c r="EY646" s="5"/>
      <c r="EZ646" s="5"/>
      <c r="FA646" s="5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5"/>
      <c r="CT647" s="5"/>
      <c r="CU647" s="5"/>
      <c r="CV647" s="5"/>
      <c r="CW647" s="5"/>
      <c r="CX647" s="5"/>
      <c r="CY647" s="5"/>
      <c r="CZ647" s="5"/>
      <c r="DA647" s="5"/>
      <c r="DB647" s="5"/>
      <c r="DC647" s="5"/>
      <c r="DD647" s="5"/>
      <c r="DE647" s="5"/>
      <c r="DF647" s="5"/>
      <c r="DG647" s="5"/>
      <c r="DH647" s="5"/>
      <c r="DI647" s="5"/>
      <c r="DJ647" s="5"/>
      <c r="DK647" s="5"/>
      <c r="DL647" s="5"/>
      <c r="DM647" s="5"/>
      <c r="DN647" s="5"/>
      <c r="DO647" s="5"/>
      <c r="DP647" s="5"/>
      <c r="DQ647" s="5"/>
      <c r="DR647" s="5"/>
      <c r="DS647" s="5"/>
      <c r="DT647" s="5"/>
      <c r="DU647" s="5"/>
      <c r="DV647" s="5"/>
      <c r="DW647" s="5"/>
      <c r="DX647" s="5"/>
      <c r="DY647" s="5"/>
      <c r="DZ647" s="5"/>
      <c r="EA647" s="5"/>
      <c r="EB647" s="5"/>
      <c r="EC647" s="5"/>
      <c r="ED647" s="5"/>
      <c r="EE647" s="5"/>
      <c r="EF647" s="5"/>
      <c r="EG647" s="5"/>
      <c r="EH647" s="5"/>
      <c r="EI647" s="5"/>
      <c r="EJ647" s="5"/>
      <c r="EK647" s="5"/>
      <c r="EL647" s="5"/>
      <c r="EM647" s="5"/>
      <c r="EN647" s="5"/>
      <c r="EO647" s="5"/>
      <c r="EP647" s="5"/>
      <c r="EQ647" s="5"/>
      <c r="ER647" s="5"/>
      <c r="ES647" s="5"/>
      <c r="ET647" s="5"/>
      <c r="EU647" s="5"/>
      <c r="EV647" s="5"/>
      <c r="EW647" s="5"/>
      <c r="EX647" s="5"/>
      <c r="EY647" s="5"/>
      <c r="EZ647" s="5"/>
      <c r="FA647" s="5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5"/>
      <c r="CT648" s="5"/>
      <c r="CU648" s="5"/>
      <c r="CV648" s="5"/>
      <c r="CW648" s="5"/>
      <c r="CX648" s="5"/>
      <c r="CY648" s="5"/>
      <c r="CZ648" s="5"/>
      <c r="DA648" s="5"/>
      <c r="DB648" s="5"/>
      <c r="DC648" s="5"/>
      <c r="DD648" s="5"/>
      <c r="DE648" s="5"/>
      <c r="DF648" s="5"/>
      <c r="DG648" s="5"/>
      <c r="DH648" s="5"/>
      <c r="DI648" s="5"/>
      <c r="DJ648" s="5"/>
      <c r="DK648" s="5"/>
      <c r="DL648" s="5"/>
      <c r="DM648" s="5"/>
      <c r="DN648" s="5"/>
      <c r="DO648" s="5"/>
      <c r="DP648" s="5"/>
      <c r="DQ648" s="5"/>
      <c r="DR648" s="5"/>
      <c r="DS648" s="5"/>
      <c r="DT648" s="5"/>
      <c r="DU648" s="5"/>
      <c r="DV648" s="5"/>
      <c r="DW648" s="5"/>
      <c r="DX648" s="5"/>
      <c r="DY648" s="5"/>
      <c r="DZ648" s="5"/>
      <c r="EA648" s="5"/>
      <c r="EB648" s="5"/>
      <c r="EC648" s="5"/>
      <c r="ED648" s="5"/>
      <c r="EE648" s="5"/>
      <c r="EF648" s="5"/>
      <c r="EG648" s="5"/>
      <c r="EH648" s="5"/>
      <c r="EI648" s="5"/>
      <c r="EJ648" s="5"/>
      <c r="EK648" s="5"/>
      <c r="EL648" s="5"/>
      <c r="EM648" s="5"/>
      <c r="EN648" s="5"/>
      <c r="EO648" s="5"/>
      <c r="EP648" s="5"/>
      <c r="EQ648" s="5"/>
      <c r="ER648" s="5"/>
      <c r="ES648" s="5"/>
      <c r="ET648" s="5"/>
      <c r="EU648" s="5"/>
      <c r="EV648" s="5"/>
      <c r="EW648" s="5"/>
      <c r="EX648" s="5"/>
      <c r="EY648" s="5"/>
      <c r="EZ648" s="5"/>
      <c r="FA648" s="5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5"/>
      <c r="CT649" s="5"/>
      <c r="CU649" s="5"/>
      <c r="CV649" s="5"/>
      <c r="CW649" s="5"/>
      <c r="CX649" s="5"/>
      <c r="CY649" s="5"/>
      <c r="CZ649" s="5"/>
      <c r="DA649" s="5"/>
      <c r="DB649" s="5"/>
      <c r="DC649" s="5"/>
      <c r="DD649" s="5"/>
      <c r="DE649" s="5"/>
      <c r="DF649" s="5"/>
      <c r="DG649" s="5"/>
      <c r="DH649" s="5"/>
      <c r="DI649" s="5"/>
      <c r="DJ649" s="5"/>
      <c r="DK649" s="5"/>
      <c r="DL649" s="5"/>
      <c r="DM649" s="5"/>
      <c r="DN649" s="5"/>
      <c r="DO649" s="5"/>
      <c r="DP649" s="5"/>
      <c r="DQ649" s="5"/>
      <c r="DR649" s="5"/>
      <c r="DS649" s="5"/>
      <c r="DT649" s="5"/>
      <c r="DU649" s="5"/>
      <c r="DV649" s="5"/>
      <c r="DW649" s="5"/>
      <c r="DX649" s="5"/>
      <c r="DY649" s="5"/>
      <c r="DZ649" s="5"/>
      <c r="EA649" s="5"/>
      <c r="EB649" s="5"/>
      <c r="EC649" s="5"/>
      <c r="ED649" s="5"/>
      <c r="EE649" s="5"/>
      <c r="EF649" s="5"/>
      <c r="EG649" s="5"/>
      <c r="EH649" s="5"/>
      <c r="EI649" s="5"/>
      <c r="EJ649" s="5"/>
      <c r="EK649" s="5"/>
      <c r="EL649" s="5"/>
      <c r="EM649" s="5"/>
      <c r="EN649" s="5"/>
      <c r="EO649" s="5"/>
      <c r="EP649" s="5"/>
      <c r="EQ649" s="5"/>
      <c r="ER649" s="5"/>
      <c r="ES649" s="5"/>
      <c r="ET649" s="5"/>
      <c r="EU649" s="5"/>
      <c r="EV649" s="5"/>
      <c r="EW649" s="5"/>
      <c r="EX649" s="5"/>
      <c r="EY649" s="5"/>
      <c r="EZ649" s="5"/>
      <c r="FA649" s="5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5"/>
      <c r="CT650" s="5"/>
      <c r="CU650" s="5"/>
      <c r="CV650" s="5"/>
      <c r="CW650" s="5"/>
      <c r="CX650" s="5"/>
      <c r="CY650" s="5"/>
      <c r="CZ650" s="5"/>
      <c r="DA650" s="5"/>
      <c r="DB650" s="5"/>
      <c r="DC650" s="5"/>
      <c r="DD650" s="5"/>
      <c r="DE650" s="5"/>
      <c r="DF650" s="5"/>
      <c r="DG650" s="5"/>
      <c r="DH650" s="5"/>
      <c r="DI650" s="5"/>
      <c r="DJ650" s="5"/>
      <c r="DK650" s="5"/>
      <c r="DL650" s="5"/>
      <c r="DM650" s="5"/>
      <c r="DN650" s="5"/>
      <c r="DO650" s="5"/>
      <c r="DP650" s="5"/>
      <c r="DQ650" s="5"/>
      <c r="DR650" s="5"/>
      <c r="DS650" s="5"/>
      <c r="DT650" s="5"/>
      <c r="DU650" s="5"/>
      <c r="DV650" s="5"/>
      <c r="DW650" s="5"/>
      <c r="DX650" s="5"/>
      <c r="DY650" s="5"/>
      <c r="DZ650" s="5"/>
      <c r="EA650" s="5"/>
      <c r="EB650" s="5"/>
      <c r="EC650" s="5"/>
      <c r="ED650" s="5"/>
      <c r="EE650" s="5"/>
      <c r="EF650" s="5"/>
      <c r="EG650" s="5"/>
      <c r="EH650" s="5"/>
      <c r="EI650" s="5"/>
      <c r="EJ650" s="5"/>
      <c r="EK650" s="5"/>
      <c r="EL650" s="5"/>
      <c r="EM650" s="5"/>
      <c r="EN650" s="5"/>
      <c r="EO650" s="5"/>
      <c r="EP650" s="5"/>
      <c r="EQ650" s="5"/>
      <c r="ER650" s="5"/>
      <c r="ES650" s="5"/>
      <c r="ET650" s="5"/>
      <c r="EU650" s="5"/>
      <c r="EV650" s="5"/>
      <c r="EW650" s="5"/>
      <c r="EX650" s="5"/>
      <c r="EY650" s="5"/>
      <c r="EZ650" s="5"/>
      <c r="FA650" s="5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5"/>
      <c r="CT651" s="5"/>
      <c r="CU651" s="5"/>
      <c r="CV651" s="5"/>
      <c r="CW651" s="5"/>
      <c r="CX651" s="5"/>
      <c r="CY651" s="5"/>
      <c r="CZ651" s="5"/>
      <c r="DA651" s="5"/>
      <c r="DB651" s="5"/>
      <c r="DC651" s="5"/>
      <c r="DD651" s="5"/>
      <c r="DE651" s="5"/>
      <c r="DF651" s="5"/>
      <c r="DG651" s="5"/>
      <c r="DH651" s="5"/>
      <c r="DI651" s="5"/>
      <c r="DJ651" s="5"/>
      <c r="DK651" s="5"/>
      <c r="DL651" s="5"/>
      <c r="DM651" s="5"/>
      <c r="DN651" s="5"/>
      <c r="DO651" s="5"/>
      <c r="DP651" s="5"/>
      <c r="DQ651" s="5"/>
      <c r="DR651" s="5"/>
      <c r="DS651" s="5"/>
      <c r="DT651" s="5"/>
      <c r="DU651" s="5"/>
      <c r="DV651" s="5"/>
      <c r="DW651" s="5"/>
      <c r="DX651" s="5"/>
      <c r="DY651" s="5"/>
      <c r="DZ651" s="5"/>
      <c r="EA651" s="5"/>
      <c r="EB651" s="5"/>
      <c r="EC651" s="5"/>
      <c r="ED651" s="5"/>
      <c r="EE651" s="5"/>
      <c r="EF651" s="5"/>
      <c r="EG651" s="5"/>
      <c r="EH651" s="5"/>
      <c r="EI651" s="5"/>
      <c r="EJ651" s="5"/>
      <c r="EK651" s="5"/>
      <c r="EL651" s="5"/>
      <c r="EM651" s="5"/>
      <c r="EN651" s="5"/>
      <c r="EO651" s="5"/>
      <c r="EP651" s="5"/>
      <c r="EQ651" s="5"/>
      <c r="ER651" s="5"/>
      <c r="ES651" s="5"/>
      <c r="ET651" s="5"/>
      <c r="EU651" s="5"/>
      <c r="EV651" s="5"/>
      <c r="EW651" s="5"/>
      <c r="EX651" s="5"/>
      <c r="EY651" s="5"/>
      <c r="EZ651" s="5"/>
      <c r="FA651" s="5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5"/>
      <c r="CT652" s="5"/>
      <c r="CU652" s="5"/>
      <c r="CV652" s="5"/>
      <c r="CW652" s="5"/>
      <c r="CX652" s="5"/>
      <c r="CY652" s="5"/>
      <c r="CZ652" s="5"/>
      <c r="DA652" s="5"/>
      <c r="DB652" s="5"/>
      <c r="DC652" s="5"/>
      <c r="DD652" s="5"/>
      <c r="DE652" s="5"/>
      <c r="DF652" s="5"/>
      <c r="DG652" s="5"/>
      <c r="DH652" s="5"/>
      <c r="DI652" s="5"/>
      <c r="DJ652" s="5"/>
      <c r="DK652" s="5"/>
      <c r="DL652" s="5"/>
      <c r="DM652" s="5"/>
      <c r="DN652" s="5"/>
      <c r="DO652" s="5"/>
      <c r="DP652" s="5"/>
      <c r="DQ652" s="5"/>
      <c r="DR652" s="5"/>
      <c r="DS652" s="5"/>
      <c r="DT652" s="5"/>
      <c r="DU652" s="5"/>
      <c r="DV652" s="5"/>
      <c r="DW652" s="5"/>
      <c r="DX652" s="5"/>
      <c r="DY652" s="5"/>
      <c r="DZ652" s="5"/>
      <c r="EA652" s="5"/>
      <c r="EB652" s="5"/>
      <c r="EC652" s="5"/>
      <c r="ED652" s="5"/>
      <c r="EE652" s="5"/>
      <c r="EF652" s="5"/>
      <c r="EG652" s="5"/>
      <c r="EH652" s="5"/>
      <c r="EI652" s="5"/>
      <c r="EJ652" s="5"/>
      <c r="EK652" s="5"/>
      <c r="EL652" s="5"/>
      <c r="EM652" s="5"/>
      <c r="EN652" s="5"/>
      <c r="EO652" s="5"/>
      <c r="EP652" s="5"/>
      <c r="EQ652" s="5"/>
      <c r="ER652" s="5"/>
      <c r="ES652" s="5"/>
      <c r="ET652" s="5"/>
      <c r="EU652" s="5"/>
      <c r="EV652" s="5"/>
      <c r="EW652" s="5"/>
      <c r="EX652" s="5"/>
      <c r="EY652" s="5"/>
      <c r="EZ652" s="5"/>
      <c r="FA652" s="5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5"/>
      <c r="CT653" s="5"/>
      <c r="CU653" s="5"/>
      <c r="CV653" s="5"/>
      <c r="CW653" s="5"/>
      <c r="CX653" s="5"/>
      <c r="CY653" s="5"/>
      <c r="CZ653" s="5"/>
      <c r="DA653" s="5"/>
      <c r="DB653" s="5"/>
      <c r="DC653" s="5"/>
      <c r="DD653" s="5"/>
      <c r="DE653" s="5"/>
      <c r="DF653" s="5"/>
      <c r="DG653" s="5"/>
      <c r="DH653" s="5"/>
      <c r="DI653" s="5"/>
      <c r="DJ653" s="5"/>
      <c r="DK653" s="5"/>
      <c r="DL653" s="5"/>
      <c r="DM653" s="5"/>
      <c r="DN653" s="5"/>
      <c r="DO653" s="5"/>
      <c r="DP653" s="5"/>
      <c r="DQ653" s="5"/>
      <c r="DR653" s="5"/>
      <c r="DS653" s="5"/>
      <c r="DT653" s="5"/>
      <c r="DU653" s="5"/>
      <c r="DV653" s="5"/>
      <c r="DW653" s="5"/>
      <c r="DX653" s="5"/>
      <c r="DY653" s="5"/>
      <c r="DZ653" s="5"/>
      <c r="EA653" s="5"/>
      <c r="EB653" s="5"/>
      <c r="EC653" s="5"/>
      <c r="ED653" s="5"/>
      <c r="EE653" s="5"/>
      <c r="EF653" s="5"/>
      <c r="EG653" s="5"/>
      <c r="EH653" s="5"/>
      <c r="EI653" s="5"/>
      <c r="EJ653" s="5"/>
      <c r="EK653" s="5"/>
      <c r="EL653" s="5"/>
      <c r="EM653" s="5"/>
      <c r="EN653" s="5"/>
      <c r="EO653" s="5"/>
      <c r="EP653" s="5"/>
      <c r="EQ653" s="5"/>
      <c r="ER653" s="5"/>
      <c r="ES653" s="5"/>
      <c r="ET653" s="5"/>
      <c r="EU653" s="5"/>
      <c r="EV653" s="5"/>
      <c r="EW653" s="5"/>
      <c r="EX653" s="5"/>
      <c r="EY653" s="5"/>
      <c r="EZ653" s="5"/>
      <c r="FA653" s="5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5"/>
      <c r="CT654" s="5"/>
      <c r="CU654" s="5"/>
      <c r="CV654" s="5"/>
      <c r="CW654" s="5"/>
      <c r="CX654" s="5"/>
      <c r="CY654" s="5"/>
      <c r="CZ654" s="5"/>
      <c r="DA654" s="5"/>
      <c r="DB654" s="5"/>
      <c r="DC654" s="5"/>
      <c r="DD654" s="5"/>
      <c r="DE654" s="5"/>
      <c r="DF654" s="5"/>
      <c r="DG654" s="5"/>
      <c r="DH654" s="5"/>
      <c r="DI654" s="5"/>
      <c r="DJ654" s="5"/>
      <c r="DK654" s="5"/>
      <c r="DL654" s="5"/>
      <c r="DM654" s="5"/>
      <c r="DN654" s="5"/>
      <c r="DO654" s="5"/>
      <c r="DP654" s="5"/>
      <c r="DQ654" s="5"/>
      <c r="DR654" s="5"/>
      <c r="DS654" s="5"/>
      <c r="DT654" s="5"/>
      <c r="DU654" s="5"/>
      <c r="DV654" s="5"/>
      <c r="DW654" s="5"/>
      <c r="DX654" s="5"/>
      <c r="DY654" s="5"/>
      <c r="DZ654" s="5"/>
      <c r="EA654" s="5"/>
      <c r="EB654" s="5"/>
      <c r="EC654" s="5"/>
      <c r="ED654" s="5"/>
      <c r="EE654" s="5"/>
      <c r="EF654" s="5"/>
      <c r="EG654" s="5"/>
      <c r="EH654" s="5"/>
      <c r="EI654" s="5"/>
      <c r="EJ654" s="5"/>
      <c r="EK654" s="5"/>
      <c r="EL654" s="5"/>
      <c r="EM654" s="5"/>
      <c r="EN654" s="5"/>
      <c r="EO654" s="5"/>
      <c r="EP654" s="5"/>
      <c r="EQ654" s="5"/>
      <c r="ER654" s="5"/>
      <c r="ES654" s="5"/>
      <c r="ET654" s="5"/>
      <c r="EU654" s="5"/>
      <c r="EV654" s="5"/>
      <c r="EW654" s="5"/>
      <c r="EX654" s="5"/>
      <c r="EY654" s="5"/>
      <c r="EZ654" s="5"/>
      <c r="FA654" s="5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5"/>
      <c r="CT655" s="5"/>
      <c r="CU655" s="5"/>
      <c r="CV655" s="5"/>
      <c r="CW655" s="5"/>
      <c r="CX655" s="5"/>
      <c r="CY655" s="5"/>
      <c r="CZ655" s="5"/>
      <c r="DA655" s="5"/>
      <c r="DB655" s="5"/>
      <c r="DC655" s="5"/>
      <c r="DD655" s="5"/>
      <c r="DE655" s="5"/>
      <c r="DF655" s="5"/>
      <c r="DG655" s="5"/>
      <c r="DH655" s="5"/>
      <c r="DI655" s="5"/>
      <c r="DJ655" s="5"/>
      <c r="DK655" s="5"/>
      <c r="DL655" s="5"/>
      <c r="DM655" s="5"/>
      <c r="DN655" s="5"/>
      <c r="DO655" s="5"/>
      <c r="DP655" s="5"/>
      <c r="DQ655" s="5"/>
      <c r="DR655" s="5"/>
      <c r="DS655" s="5"/>
      <c r="DT655" s="5"/>
      <c r="DU655" s="5"/>
      <c r="DV655" s="5"/>
      <c r="DW655" s="5"/>
      <c r="DX655" s="5"/>
      <c r="DY655" s="5"/>
      <c r="DZ655" s="5"/>
      <c r="EA655" s="5"/>
      <c r="EB655" s="5"/>
      <c r="EC655" s="5"/>
      <c r="ED655" s="5"/>
      <c r="EE655" s="5"/>
      <c r="EF655" s="5"/>
      <c r="EG655" s="5"/>
      <c r="EH655" s="5"/>
      <c r="EI655" s="5"/>
      <c r="EJ655" s="5"/>
      <c r="EK655" s="5"/>
      <c r="EL655" s="5"/>
      <c r="EM655" s="5"/>
      <c r="EN655" s="5"/>
      <c r="EO655" s="5"/>
      <c r="EP655" s="5"/>
      <c r="EQ655" s="5"/>
      <c r="ER655" s="5"/>
      <c r="ES655" s="5"/>
      <c r="ET655" s="5"/>
      <c r="EU655" s="5"/>
      <c r="EV655" s="5"/>
      <c r="EW655" s="5"/>
      <c r="EX655" s="5"/>
      <c r="EY655" s="5"/>
      <c r="EZ655" s="5"/>
      <c r="FA655" s="5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5"/>
      <c r="CT656" s="5"/>
      <c r="CU656" s="5"/>
      <c r="CV656" s="5"/>
      <c r="CW656" s="5"/>
      <c r="CX656" s="5"/>
      <c r="CY656" s="5"/>
      <c r="CZ656" s="5"/>
      <c r="DA656" s="5"/>
      <c r="DB656" s="5"/>
      <c r="DC656" s="5"/>
      <c r="DD656" s="5"/>
      <c r="DE656" s="5"/>
      <c r="DF656" s="5"/>
      <c r="DG656" s="5"/>
      <c r="DH656" s="5"/>
      <c r="DI656" s="5"/>
      <c r="DJ656" s="5"/>
      <c r="DK656" s="5"/>
      <c r="DL656" s="5"/>
      <c r="DM656" s="5"/>
      <c r="DN656" s="5"/>
      <c r="DO656" s="5"/>
      <c r="DP656" s="5"/>
      <c r="DQ656" s="5"/>
      <c r="DR656" s="5"/>
      <c r="DS656" s="5"/>
      <c r="DT656" s="5"/>
      <c r="DU656" s="5"/>
      <c r="DV656" s="5"/>
      <c r="DW656" s="5"/>
      <c r="DX656" s="5"/>
      <c r="DY656" s="5"/>
      <c r="DZ656" s="5"/>
      <c r="EA656" s="5"/>
      <c r="EB656" s="5"/>
      <c r="EC656" s="5"/>
      <c r="ED656" s="5"/>
      <c r="EE656" s="5"/>
      <c r="EF656" s="5"/>
      <c r="EG656" s="5"/>
      <c r="EH656" s="5"/>
      <c r="EI656" s="5"/>
      <c r="EJ656" s="5"/>
      <c r="EK656" s="5"/>
      <c r="EL656" s="5"/>
      <c r="EM656" s="5"/>
      <c r="EN656" s="5"/>
      <c r="EO656" s="5"/>
      <c r="EP656" s="5"/>
      <c r="EQ656" s="5"/>
      <c r="ER656" s="5"/>
      <c r="ES656" s="5"/>
      <c r="ET656" s="5"/>
      <c r="EU656" s="5"/>
      <c r="EV656" s="5"/>
      <c r="EW656" s="5"/>
      <c r="EX656" s="5"/>
      <c r="EY656" s="5"/>
      <c r="EZ656" s="5"/>
      <c r="FA656" s="5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5"/>
      <c r="CT657" s="5"/>
      <c r="CU657" s="5"/>
      <c r="CV657" s="5"/>
      <c r="CW657" s="5"/>
      <c r="CX657" s="5"/>
      <c r="CY657" s="5"/>
      <c r="CZ657" s="5"/>
      <c r="DA657" s="5"/>
      <c r="DB657" s="5"/>
      <c r="DC657" s="5"/>
      <c r="DD657" s="5"/>
      <c r="DE657" s="5"/>
      <c r="DF657" s="5"/>
      <c r="DG657" s="5"/>
      <c r="DH657" s="5"/>
      <c r="DI657" s="5"/>
      <c r="DJ657" s="5"/>
      <c r="DK657" s="5"/>
      <c r="DL657" s="5"/>
      <c r="DM657" s="5"/>
      <c r="DN657" s="5"/>
      <c r="DO657" s="5"/>
      <c r="DP657" s="5"/>
      <c r="DQ657" s="5"/>
      <c r="DR657" s="5"/>
      <c r="DS657" s="5"/>
      <c r="DT657" s="5"/>
      <c r="DU657" s="5"/>
      <c r="DV657" s="5"/>
      <c r="DW657" s="5"/>
      <c r="DX657" s="5"/>
      <c r="DY657" s="5"/>
      <c r="DZ657" s="5"/>
      <c r="EA657" s="5"/>
      <c r="EB657" s="5"/>
      <c r="EC657" s="5"/>
      <c r="ED657" s="5"/>
      <c r="EE657" s="5"/>
      <c r="EF657" s="5"/>
      <c r="EG657" s="5"/>
      <c r="EH657" s="5"/>
      <c r="EI657" s="5"/>
      <c r="EJ657" s="5"/>
      <c r="EK657" s="5"/>
      <c r="EL657" s="5"/>
      <c r="EM657" s="5"/>
      <c r="EN657" s="5"/>
      <c r="EO657" s="5"/>
      <c r="EP657" s="5"/>
      <c r="EQ657" s="5"/>
      <c r="ER657" s="5"/>
      <c r="ES657" s="5"/>
      <c r="ET657" s="5"/>
      <c r="EU657" s="5"/>
      <c r="EV657" s="5"/>
      <c r="EW657" s="5"/>
      <c r="EX657" s="5"/>
      <c r="EY657" s="5"/>
      <c r="EZ657" s="5"/>
      <c r="FA657" s="5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5"/>
      <c r="CT658" s="5"/>
      <c r="CU658" s="5"/>
      <c r="CV658" s="5"/>
      <c r="CW658" s="5"/>
      <c r="CX658" s="5"/>
      <c r="CY658" s="5"/>
      <c r="CZ658" s="5"/>
      <c r="DA658" s="5"/>
      <c r="DB658" s="5"/>
      <c r="DC658" s="5"/>
      <c r="DD658" s="5"/>
      <c r="DE658" s="5"/>
      <c r="DF658" s="5"/>
      <c r="DG658" s="5"/>
      <c r="DH658" s="5"/>
      <c r="DI658" s="5"/>
      <c r="DJ658" s="5"/>
      <c r="DK658" s="5"/>
      <c r="DL658" s="5"/>
      <c r="DM658" s="5"/>
      <c r="DN658" s="5"/>
      <c r="DO658" s="5"/>
      <c r="DP658" s="5"/>
      <c r="DQ658" s="5"/>
      <c r="DR658" s="5"/>
      <c r="DS658" s="5"/>
      <c r="DT658" s="5"/>
      <c r="DU658" s="5"/>
      <c r="DV658" s="5"/>
      <c r="DW658" s="5"/>
      <c r="DX658" s="5"/>
      <c r="DY658" s="5"/>
      <c r="DZ658" s="5"/>
      <c r="EA658" s="5"/>
      <c r="EB658" s="5"/>
      <c r="EC658" s="5"/>
      <c r="ED658" s="5"/>
      <c r="EE658" s="5"/>
      <c r="EF658" s="5"/>
      <c r="EG658" s="5"/>
      <c r="EH658" s="5"/>
      <c r="EI658" s="5"/>
      <c r="EJ658" s="5"/>
      <c r="EK658" s="5"/>
      <c r="EL658" s="5"/>
      <c r="EM658" s="5"/>
      <c r="EN658" s="5"/>
      <c r="EO658" s="5"/>
      <c r="EP658" s="5"/>
      <c r="EQ658" s="5"/>
      <c r="ER658" s="5"/>
      <c r="ES658" s="5"/>
      <c r="ET658" s="5"/>
      <c r="EU658" s="5"/>
      <c r="EV658" s="5"/>
      <c r="EW658" s="5"/>
      <c r="EX658" s="5"/>
      <c r="EY658" s="5"/>
      <c r="EZ658" s="5"/>
      <c r="FA658" s="5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5"/>
      <c r="CT659" s="5"/>
      <c r="CU659" s="5"/>
      <c r="CV659" s="5"/>
      <c r="CW659" s="5"/>
      <c r="CX659" s="5"/>
      <c r="CY659" s="5"/>
      <c r="CZ659" s="5"/>
      <c r="DA659" s="5"/>
      <c r="DB659" s="5"/>
      <c r="DC659" s="5"/>
      <c r="DD659" s="5"/>
      <c r="DE659" s="5"/>
      <c r="DF659" s="5"/>
      <c r="DG659" s="5"/>
      <c r="DH659" s="5"/>
      <c r="DI659" s="5"/>
      <c r="DJ659" s="5"/>
      <c r="DK659" s="5"/>
      <c r="DL659" s="5"/>
      <c r="DM659" s="5"/>
      <c r="DN659" s="5"/>
      <c r="DO659" s="5"/>
      <c r="DP659" s="5"/>
      <c r="DQ659" s="5"/>
      <c r="DR659" s="5"/>
      <c r="DS659" s="5"/>
      <c r="DT659" s="5"/>
      <c r="DU659" s="5"/>
      <c r="DV659" s="5"/>
      <c r="DW659" s="5"/>
      <c r="DX659" s="5"/>
      <c r="DY659" s="5"/>
      <c r="DZ659" s="5"/>
      <c r="EA659" s="5"/>
      <c r="EB659" s="5"/>
      <c r="EC659" s="5"/>
      <c r="ED659" s="5"/>
      <c r="EE659" s="5"/>
      <c r="EF659" s="5"/>
      <c r="EG659" s="5"/>
      <c r="EH659" s="5"/>
      <c r="EI659" s="5"/>
      <c r="EJ659" s="5"/>
      <c r="EK659" s="5"/>
      <c r="EL659" s="5"/>
      <c r="EM659" s="5"/>
      <c r="EN659" s="5"/>
      <c r="EO659" s="5"/>
      <c r="EP659" s="5"/>
      <c r="EQ659" s="5"/>
      <c r="ER659" s="5"/>
      <c r="ES659" s="5"/>
      <c r="ET659" s="5"/>
      <c r="EU659" s="5"/>
      <c r="EV659" s="5"/>
      <c r="EW659" s="5"/>
      <c r="EX659" s="5"/>
      <c r="EY659" s="5"/>
      <c r="EZ659" s="5"/>
      <c r="FA659" s="5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5"/>
      <c r="CT660" s="5"/>
      <c r="CU660" s="5"/>
      <c r="CV660" s="5"/>
      <c r="CW660" s="5"/>
      <c r="CX660" s="5"/>
      <c r="CY660" s="5"/>
      <c r="CZ660" s="5"/>
      <c r="DA660" s="5"/>
      <c r="DB660" s="5"/>
      <c r="DC660" s="5"/>
      <c r="DD660" s="5"/>
      <c r="DE660" s="5"/>
      <c r="DF660" s="5"/>
      <c r="DG660" s="5"/>
      <c r="DH660" s="5"/>
      <c r="DI660" s="5"/>
      <c r="DJ660" s="5"/>
      <c r="DK660" s="5"/>
      <c r="DL660" s="5"/>
      <c r="DM660" s="5"/>
      <c r="DN660" s="5"/>
      <c r="DO660" s="5"/>
      <c r="DP660" s="5"/>
      <c r="DQ660" s="5"/>
      <c r="DR660" s="5"/>
      <c r="DS660" s="5"/>
      <c r="DT660" s="5"/>
      <c r="DU660" s="5"/>
      <c r="DV660" s="5"/>
      <c r="DW660" s="5"/>
      <c r="DX660" s="5"/>
      <c r="DY660" s="5"/>
      <c r="DZ660" s="5"/>
      <c r="EA660" s="5"/>
      <c r="EB660" s="5"/>
      <c r="EC660" s="5"/>
      <c r="ED660" s="5"/>
      <c r="EE660" s="5"/>
      <c r="EF660" s="5"/>
      <c r="EG660" s="5"/>
      <c r="EH660" s="5"/>
      <c r="EI660" s="5"/>
      <c r="EJ660" s="5"/>
      <c r="EK660" s="5"/>
      <c r="EL660" s="5"/>
      <c r="EM660" s="5"/>
      <c r="EN660" s="5"/>
      <c r="EO660" s="5"/>
      <c r="EP660" s="5"/>
      <c r="EQ660" s="5"/>
      <c r="ER660" s="5"/>
      <c r="ES660" s="5"/>
      <c r="ET660" s="5"/>
      <c r="EU660" s="5"/>
      <c r="EV660" s="5"/>
      <c r="EW660" s="5"/>
      <c r="EX660" s="5"/>
      <c r="EY660" s="5"/>
      <c r="EZ660" s="5"/>
      <c r="FA660" s="5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5"/>
      <c r="CT661" s="5"/>
      <c r="CU661" s="5"/>
      <c r="CV661" s="5"/>
      <c r="CW661" s="5"/>
      <c r="CX661" s="5"/>
      <c r="CY661" s="5"/>
      <c r="CZ661" s="5"/>
      <c r="DA661" s="5"/>
      <c r="DB661" s="5"/>
      <c r="DC661" s="5"/>
      <c r="DD661" s="5"/>
      <c r="DE661" s="5"/>
      <c r="DF661" s="5"/>
      <c r="DG661" s="5"/>
      <c r="DH661" s="5"/>
      <c r="DI661" s="5"/>
      <c r="DJ661" s="5"/>
      <c r="DK661" s="5"/>
      <c r="DL661" s="5"/>
      <c r="DM661" s="5"/>
      <c r="DN661" s="5"/>
      <c r="DO661" s="5"/>
      <c r="DP661" s="5"/>
      <c r="DQ661" s="5"/>
      <c r="DR661" s="5"/>
      <c r="DS661" s="5"/>
      <c r="DT661" s="5"/>
      <c r="DU661" s="5"/>
      <c r="DV661" s="5"/>
      <c r="DW661" s="5"/>
      <c r="DX661" s="5"/>
      <c r="DY661" s="5"/>
      <c r="DZ661" s="5"/>
      <c r="EA661" s="5"/>
      <c r="EB661" s="5"/>
      <c r="EC661" s="5"/>
      <c r="ED661" s="5"/>
      <c r="EE661" s="5"/>
      <c r="EF661" s="5"/>
      <c r="EG661" s="5"/>
      <c r="EH661" s="5"/>
      <c r="EI661" s="5"/>
      <c r="EJ661" s="5"/>
      <c r="EK661" s="5"/>
      <c r="EL661" s="5"/>
      <c r="EM661" s="5"/>
      <c r="EN661" s="5"/>
      <c r="EO661" s="5"/>
      <c r="EP661" s="5"/>
      <c r="EQ661" s="5"/>
      <c r="ER661" s="5"/>
      <c r="ES661" s="5"/>
      <c r="ET661" s="5"/>
      <c r="EU661" s="5"/>
      <c r="EV661" s="5"/>
      <c r="EW661" s="5"/>
      <c r="EX661" s="5"/>
      <c r="EY661" s="5"/>
      <c r="EZ661" s="5"/>
      <c r="FA661" s="5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5"/>
      <c r="CT662" s="5"/>
      <c r="CU662" s="5"/>
      <c r="CV662" s="5"/>
      <c r="CW662" s="5"/>
      <c r="CX662" s="5"/>
      <c r="CY662" s="5"/>
      <c r="CZ662" s="5"/>
      <c r="DA662" s="5"/>
      <c r="DB662" s="5"/>
      <c r="DC662" s="5"/>
      <c r="DD662" s="5"/>
      <c r="DE662" s="5"/>
      <c r="DF662" s="5"/>
      <c r="DG662" s="5"/>
      <c r="DH662" s="5"/>
      <c r="DI662" s="5"/>
      <c r="DJ662" s="5"/>
      <c r="DK662" s="5"/>
      <c r="DL662" s="5"/>
      <c r="DM662" s="5"/>
      <c r="DN662" s="5"/>
      <c r="DO662" s="5"/>
      <c r="DP662" s="5"/>
      <c r="DQ662" s="5"/>
      <c r="DR662" s="5"/>
      <c r="DS662" s="5"/>
      <c r="DT662" s="5"/>
      <c r="DU662" s="5"/>
      <c r="DV662" s="5"/>
      <c r="DW662" s="5"/>
      <c r="DX662" s="5"/>
      <c r="DY662" s="5"/>
      <c r="DZ662" s="5"/>
      <c r="EA662" s="5"/>
      <c r="EB662" s="5"/>
      <c r="EC662" s="5"/>
      <c r="ED662" s="5"/>
      <c r="EE662" s="5"/>
      <c r="EF662" s="5"/>
      <c r="EG662" s="5"/>
      <c r="EH662" s="5"/>
      <c r="EI662" s="5"/>
      <c r="EJ662" s="5"/>
      <c r="EK662" s="5"/>
      <c r="EL662" s="5"/>
      <c r="EM662" s="5"/>
      <c r="EN662" s="5"/>
      <c r="EO662" s="5"/>
      <c r="EP662" s="5"/>
      <c r="EQ662" s="5"/>
      <c r="ER662" s="5"/>
      <c r="ES662" s="5"/>
      <c r="ET662" s="5"/>
      <c r="EU662" s="5"/>
      <c r="EV662" s="5"/>
      <c r="EW662" s="5"/>
      <c r="EX662" s="5"/>
      <c r="EY662" s="5"/>
      <c r="EZ662" s="5"/>
      <c r="FA662" s="5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5"/>
      <c r="CT663" s="5"/>
      <c r="CU663" s="5"/>
      <c r="CV663" s="5"/>
      <c r="CW663" s="5"/>
      <c r="CX663" s="5"/>
      <c r="CY663" s="5"/>
      <c r="CZ663" s="5"/>
      <c r="DA663" s="5"/>
      <c r="DB663" s="5"/>
      <c r="DC663" s="5"/>
      <c r="DD663" s="5"/>
      <c r="DE663" s="5"/>
      <c r="DF663" s="5"/>
      <c r="DG663" s="5"/>
      <c r="DH663" s="5"/>
      <c r="DI663" s="5"/>
      <c r="DJ663" s="5"/>
      <c r="DK663" s="5"/>
      <c r="DL663" s="5"/>
      <c r="DM663" s="5"/>
      <c r="DN663" s="5"/>
      <c r="DO663" s="5"/>
      <c r="DP663" s="5"/>
      <c r="DQ663" s="5"/>
      <c r="DR663" s="5"/>
      <c r="DS663" s="5"/>
      <c r="DT663" s="5"/>
      <c r="DU663" s="5"/>
      <c r="DV663" s="5"/>
      <c r="DW663" s="5"/>
      <c r="DX663" s="5"/>
      <c r="DY663" s="5"/>
      <c r="DZ663" s="5"/>
      <c r="EA663" s="5"/>
      <c r="EB663" s="5"/>
      <c r="EC663" s="5"/>
      <c r="ED663" s="5"/>
      <c r="EE663" s="5"/>
      <c r="EF663" s="5"/>
      <c r="EG663" s="5"/>
      <c r="EH663" s="5"/>
      <c r="EI663" s="5"/>
      <c r="EJ663" s="5"/>
      <c r="EK663" s="5"/>
      <c r="EL663" s="5"/>
      <c r="EM663" s="5"/>
      <c r="EN663" s="5"/>
      <c r="EO663" s="5"/>
      <c r="EP663" s="5"/>
      <c r="EQ663" s="5"/>
      <c r="ER663" s="5"/>
      <c r="ES663" s="5"/>
      <c r="ET663" s="5"/>
      <c r="EU663" s="5"/>
      <c r="EV663" s="5"/>
      <c r="EW663" s="5"/>
      <c r="EX663" s="5"/>
      <c r="EY663" s="5"/>
      <c r="EZ663" s="5"/>
      <c r="FA663" s="5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5"/>
      <c r="CT664" s="5"/>
      <c r="CU664" s="5"/>
      <c r="CV664" s="5"/>
      <c r="CW664" s="5"/>
      <c r="CX664" s="5"/>
      <c r="CY664" s="5"/>
      <c r="CZ664" s="5"/>
      <c r="DA664" s="5"/>
      <c r="DB664" s="5"/>
      <c r="DC664" s="5"/>
      <c r="DD664" s="5"/>
      <c r="DE664" s="5"/>
      <c r="DF664" s="5"/>
      <c r="DG664" s="5"/>
      <c r="DH664" s="5"/>
      <c r="DI664" s="5"/>
      <c r="DJ664" s="5"/>
      <c r="DK664" s="5"/>
      <c r="DL664" s="5"/>
      <c r="DM664" s="5"/>
      <c r="DN664" s="5"/>
      <c r="DO664" s="5"/>
      <c r="DP664" s="5"/>
      <c r="DQ664" s="5"/>
      <c r="DR664" s="5"/>
      <c r="DS664" s="5"/>
      <c r="DT664" s="5"/>
      <c r="DU664" s="5"/>
      <c r="DV664" s="5"/>
      <c r="DW664" s="5"/>
      <c r="DX664" s="5"/>
      <c r="DY664" s="5"/>
      <c r="DZ664" s="5"/>
      <c r="EA664" s="5"/>
      <c r="EB664" s="5"/>
      <c r="EC664" s="5"/>
      <c r="ED664" s="5"/>
      <c r="EE664" s="5"/>
      <c r="EF664" s="5"/>
      <c r="EG664" s="5"/>
      <c r="EH664" s="5"/>
      <c r="EI664" s="5"/>
      <c r="EJ664" s="5"/>
      <c r="EK664" s="5"/>
      <c r="EL664" s="5"/>
      <c r="EM664" s="5"/>
      <c r="EN664" s="5"/>
      <c r="EO664" s="5"/>
      <c r="EP664" s="5"/>
      <c r="EQ664" s="5"/>
      <c r="ER664" s="5"/>
      <c r="ES664" s="5"/>
      <c r="ET664" s="5"/>
      <c r="EU664" s="5"/>
      <c r="EV664" s="5"/>
      <c r="EW664" s="5"/>
      <c r="EX664" s="5"/>
      <c r="EY664" s="5"/>
      <c r="EZ664" s="5"/>
      <c r="FA664" s="5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5"/>
      <c r="CT665" s="5"/>
      <c r="CU665" s="5"/>
      <c r="CV665" s="5"/>
      <c r="CW665" s="5"/>
      <c r="CX665" s="5"/>
      <c r="CY665" s="5"/>
      <c r="CZ665" s="5"/>
      <c r="DA665" s="5"/>
      <c r="DB665" s="5"/>
      <c r="DC665" s="5"/>
      <c r="DD665" s="5"/>
      <c r="DE665" s="5"/>
      <c r="DF665" s="5"/>
      <c r="DG665" s="5"/>
      <c r="DH665" s="5"/>
      <c r="DI665" s="5"/>
      <c r="DJ665" s="5"/>
      <c r="DK665" s="5"/>
      <c r="DL665" s="5"/>
      <c r="DM665" s="5"/>
      <c r="DN665" s="5"/>
      <c r="DO665" s="5"/>
      <c r="DP665" s="5"/>
      <c r="DQ665" s="5"/>
      <c r="DR665" s="5"/>
      <c r="DS665" s="5"/>
      <c r="DT665" s="5"/>
      <c r="DU665" s="5"/>
      <c r="DV665" s="5"/>
      <c r="DW665" s="5"/>
      <c r="DX665" s="5"/>
      <c r="DY665" s="5"/>
      <c r="DZ665" s="5"/>
      <c r="EA665" s="5"/>
      <c r="EB665" s="5"/>
      <c r="EC665" s="5"/>
      <c r="ED665" s="5"/>
      <c r="EE665" s="5"/>
      <c r="EF665" s="5"/>
      <c r="EG665" s="5"/>
      <c r="EH665" s="5"/>
      <c r="EI665" s="5"/>
      <c r="EJ665" s="5"/>
      <c r="EK665" s="5"/>
      <c r="EL665" s="5"/>
      <c r="EM665" s="5"/>
      <c r="EN665" s="5"/>
      <c r="EO665" s="5"/>
      <c r="EP665" s="5"/>
      <c r="EQ665" s="5"/>
      <c r="ER665" s="5"/>
      <c r="ES665" s="5"/>
      <c r="ET665" s="5"/>
      <c r="EU665" s="5"/>
      <c r="EV665" s="5"/>
      <c r="EW665" s="5"/>
      <c r="EX665" s="5"/>
      <c r="EY665" s="5"/>
      <c r="EZ665" s="5"/>
      <c r="FA665" s="5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5"/>
      <c r="CT666" s="5"/>
      <c r="CU666" s="5"/>
      <c r="CV666" s="5"/>
      <c r="CW666" s="5"/>
      <c r="CX666" s="5"/>
      <c r="CY666" s="5"/>
      <c r="CZ666" s="5"/>
      <c r="DA666" s="5"/>
      <c r="DB666" s="5"/>
      <c r="DC666" s="5"/>
      <c r="DD666" s="5"/>
      <c r="DE666" s="5"/>
      <c r="DF666" s="5"/>
      <c r="DG666" s="5"/>
      <c r="DH666" s="5"/>
      <c r="DI666" s="5"/>
      <c r="DJ666" s="5"/>
      <c r="DK666" s="5"/>
      <c r="DL666" s="5"/>
      <c r="DM666" s="5"/>
      <c r="DN666" s="5"/>
      <c r="DO666" s="5"/>
      <c r="DP666" s="5"/>
      <c r="DQ666" s="5"/>
      <c r="DR666" s="5"/>
      <c r="DS666" s="5"/>
      <c r="DT666" s="5"/>
      <c r="DU666" s="5"/>
      <c r="DV666" s="5"/>
      <c r="DW666" s="5"/>
      <c r="DX666" s="5"/>
      <c r="DY666" s="5"/>
      <c r="DZ666" s="5"/>
      <c r="EA666" s="5"/>
      <c r="EB666" s="5"/>
      <c r="EC666" s="5"/>
      <c r="ED666" s="5"/>
      <c r="EE666" s="5"/>
      <c r="EF666" s="5"/>
      <c r="EG666" s="5"/>
      <c r="EH666" s="5"/>
      <c r="EI666" s="5"/>
      <c r="EJ666" s="5"/>
      <c r="EK666" s="5"/>
      <c r="EL666" s="5"/>
      <c r="EM666" s="5"/>
      <c r="EN666" s="5"/>
      <c r="EO666" s="5"/>
      <c r="EP666" s="5"/>
      <c r="EQ666" s="5"/>
      <c r="ER666" s="5"/>
      <c r="ES666" s="5"/>
      <c r="ET666" s="5"/>
      <c r="EU666" s="5"/>
      <c r="EV666" s="5"/>
      <c r="EW666" s="5"/>
      <c r="EX666" s="5"/>
      <c r="EY666" s="5"/>
      <c r="EZ666" s="5"/>
      <c r="FA666" s="5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5"/>
      <c r="CT667" s="5"/>
      <c r="CU667" s="5"/>
      <c r="CV667" s="5"/>
      <c r="CW667" s="5"/>
      <c r="CX667" s="5"/>
      <c r="CY667" s="5"/>
      <c r="CZ667" s="5"/>
      <c r="DA667" s="5"/>
      <c r="DB667" s="5"/>
      <c r="DC667" s="5"/>
      <c r="DD667" s="5"/>
      <c r="DE667" s="5"/>
      <c r="DF667" s="5"/>
      <c r="DG667" s="5"/>
      <c r="DH667" s="5"/>
      <c r="DI667" s="5"/>
      <c r="DJ667" s="5"/>
      <c r="DK667" s="5"/>
      <c r="DL667" s="5"/>
      <c r="DM667" s="5"/>
      <c r="DN667" s="5"/>
      <c r="DO667" s="5"/>
      <c r="DP667" s="5"/>
      <c r="DQ667" s="5"/>
      <c r="DR667" s="5"/>
      <c r="DS667" s="5"/>
      <c r="DT667" s="5"/>
      <c r="DU667" s="5"/>
      <c r="DV667" s="5"/>
      <c r="DW667" s="5"/>
      <c r="DX667" s="5"/>
      <c r="DY667" s="5"/>
      <c r="DZ667" s="5"/>
      <c r="EA667" s="5"/>
      <c r="EB667" s="5"/>
      <c r="EC667" s="5"/>
      <c r="ED667" s="5"/>
      <c r="EE667" s="5"/>
      <c r="EF667" s="5"/>
      <c r="EG667" s="5"/>
      <c r="EH667" s="5"/>
      <c r="EI667" s="5"/>
      <c r="EJ667" s="5"/>
      <c r="EK667" s="5"/>
      <c r="EL667" s="5"/>
      <c r="EM667" s="5"/>
      <c r="EN667" s="5"/>
      <c r="EO667" s="5"/>
      <c r="EP667" s="5"/>
      <c r="EQ667" s="5"/>
      <c r="ER667" s="5"/>
      <c r="ES667" s="5"/>
      <c r="ET667" s="5"/>
      <c r="EU667" s="5"/>
      <c r="EV667" s="5"/>
      <c r="EW667" s="5"/>
      <c r="EX667" s="5"/>
      <c r="EY667" s="5"/>
      <c r="EZ667" s="5"/>
      <c r="FA667" s="5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5"/>
      <c r="CT668" s="5"/>
      <c r="CU668" s="5"/>
      <c r="CV668" s="5"/>
      <c r="CW668" s="5"/>
      <c r="CX668" s="5"/>
      <c r="CY668" s="5"/>
      <c r="CZ668" s="5"/>
      <c r="DA668" s="5"/>
      <c r="DB668" s="5"/>
      <c r="DC668" s="5"/>
      <c r="DD668" s="5"/>
      <c r="DE668" s="5"/>
      <c r="DF668" s="5"/>
      <c r="DG668" s="5"/>
      <c r="DH668" s="5"/>
      <c r="DI668" s="5"/>
      <c r="DJ668" s="5"/>
      <c r="DK668" s="5"/>
      <c r="DL668" s="5"/>
      <c r="DM668" s="5"/>
      <c r="DN668" s="5"/>
      <c r="DO668" s="5"/>
      <c r="DP668" s="5"/>
      <c r="DQ668" s="5"/>
      <c r="DR668" s="5"/>
      <c r="DS668" s="5"/>
      <c r="DT668" s="5"/>
      <c r="DU668" s="5"/>
      <c r="DV668" s="5"/>
      <c r="DW668" s="5"/>
      <c r="DX668" s="5"/>
      <c r="DY668" s="5"/>
      <c r="DZ668" s="5"/>
      <c r="EA668" s="5"/>
      <c r="EB668" s="5"/>
      <c r="EC668" s="5"/>
      <c r="ED668" s="5"/>
      <c r="EE668" s="5"/>
      <c r="EF668" s="5"/>
      <c r="EG668" s="5"/>
      <c r="EH668" s="5"/>
      <c r="EI668" s="5"/>
      <c r="EJ668" s="5"/>
      <c r="EK668" s="5"/>
      <c r="EL668" s="5"/>
      <c r="EM668" s="5"/>
      <c r="EN668" s="5"/>
      <c r="EO668" s="5"/>
      <c r="EP668" s="5"/>
      <c r="EQ668" s="5"/>
      <c r="ER668" s="5"/>
      <c r="ES668" s="5"/>
      <c r="ET668" s="5"/>
      <c r="EU668" s="5"/>
      <c r="EV668" s="5"/>
      <c r="EW668" s="5"/>
      <c r="EX668" s="5"/>
      <c r="EY668" s="5"/>
      <c r="EZ668" s="5"/>
      <c r="FA668" s="5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5"/>
      <c r="CT669" s="5"/>
      <c r="CU669" s="5"/>
      <c r="CV669" s="5"/>
      <c r="CW669" s="5"/>
      <c r="CX669" s="5"/>
      <c r="CY669" s="5"/>
      <c r="CZ669" s="5"/>
      <c r="DA669" s="5"/>
      <c r="DB669" s="5"/>
      <c r="DC669" s="5"/>
      <c r="DD669" s="5"/>
      <c r="DE669" s="5"/>
      <c r="DF669" s="5"/>
      <c r="DG669" s="5"/>
      <c r="DH669" s="5"/>
      <c r="DI669" s="5"/>
      <c r="DJ669" s="5"/>
      <c r="DK669" s="5"/>
      <c r="DL669" s="5"/>
      <c r="DM669" s="5"/>
      <c r="DN669" s="5"/>
      <c r="DO669" s="5"/>
      <c r="DP669" s="5"/>
      <c r="DQ669" s="5"/>
      <c r="DR669" s="5"/>
      <c r="DS669" s="5"/>
      <c r="DT669" s="5"/>
      <c r="DU669" s="5"/>
      <c r="DV669" s="5"/>
      <c r="DW669" s="5"/>
      <c r="DX669" s="5"/>
      <c r="DY669" s="5"/>
      <c r="DZ669" s="5"/>
      <c r="EA669" s="5"/>
      <c r="EB669" s="5"/>
      <c r="EC669" s="5"/>
      <c r="ED669" s="5"/>
      <c r="EE669" s="5"/>
      <c r="EF669" s="5"/>
      <c r="EG669" s="5"/>
      <c r="EH669" s="5"/>
      <c r="EI669" s="5"/>
      <c r="EJ669" s="5"/>
      <c r="EK669" s="5"/>
      <c r="EL669" s="5"/>
      <c r="EM669" s="5"/>
      <c r="EN669" s="5"/>
      <c r="EO669" s="5"/>
      <c r="EP669" s="5"/>
      <c r="EQ669" s="5"/>
      <c r="ER669" s="5"/>
      <c r="ES669" s="5"/>
      <c r="ET669" s="5"/>
      <c r="EU669" s="5"/>
      <c r="EV669" s="5"/>
      <c r="EW669" s="5"/>
      <c r="EX669" s="5"/>
      <c r="EY669" s="5"/>
      <c r="EZ669" s="5"/>
      <c r="FA669" s="5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5"/>
      <c r="CT670" s="5"/>
      <c r="CU670" s="5"/>
      <c r="CV670" s="5"/>
      <c r="CW670" s="5"/>
      <c r="CX670" s="5"/>
      <c r="CY670" s="5"/>
      <c r="CZ670" s="5"/>
      <c r="DA670" s="5"/>
      <c r="DB670" s="5"/>
      <c r="DC670" s="5"/>
      <c r="DD670" s="5"/>
      <c r="DE670" s="5"/>
      <c r="DF670" s="5"/>
      <c r="DG670" s="5"/>
      <c r="DH670" s="5"/>
      <c r="DI670" s="5"/>
      <c r="DJ670" s="5"/>
      <c r="DK670" s="5"/>
      <c r="DL670" s="5"/>
      <c r="DM670" s="5"/>
      <c r="DN670" s="5"/>
      <c r="DO670" s="5"/>
      <c r="DP670" s="5"/>
      <c r="DQ670" s="5"/>
      <c r="DR670" s="5"/>
      <c r="DS670" s="5"/>
      <c r="DT670" s="5"/>
      <c r="DU670" s="5"/>
      <c r="DV670" s="5"/>
      <c r="DW670" s="5"/>
      <c r="DX670" s="5"/>
      <c r="DY670" s="5"/>
      <c r="DZ670" s="5"/>
      <c r="EA670" s="5"/>
      <c r="EB670" s="5"/>
      <c r="EC670" s="5"/>
      <c r="ED670" s="5"/>
      <c r="EE670" s="5"/>
      <c r="EF670" s="5"/>
      <c r="EG670" s="5"/>
      <c r="EH670" s="5"/>
      <c r="EI670" s="5"/>
      <c r="EJ670" s="5"/>
      <c r="EK670" s="5"/>
      <c r="EL670" s="5"/>
      <c r="EM670" s="5"/>
      <c r="EN670" s="5"/>
      <c r="EO670" s="5"/>
      <c r="EP670" s="5"/>
      <c r="EQ670" s="5"/>
      <c r="ER670" s="5"/>
      <c r="ES670" s="5"/>
      <c r="ET670" s="5"/>
      <c r="EU670" s="5"/>
      <c r="EV670" s="5"/>
      <c r="EW670" s="5"/>
      <c r="EX670" s="5"/>
      <c r="EY670" s="5"/>
      <c r="EZ670" s="5"/>
      <c r="FA670" s="5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5"/>
      <c r="CT671" s="5"/>
      <c r="CU671" s="5"/>
      <c r="CV671" s="5"/>
      <c r="CW671" s="5"/>
      <c r="CX671" s="5"/>
      <c r="CY671" s="5"/>
      <c r="CZ671" s="5"/>
      <c r="DA671" s="5"/>
      <c r="DB671" s="5"/>
      <c r="DC671" s="5"/>
      <c r="DD671" s="5"/>
      <c r="DE671" s="5"/>
      <c r="DF671" s="5"/>
      <c r="DG671" s="5"/>
      <c r="DH671" s="5"/>
      <c r="DI671" s="5"/>
      <c r="DJ671" s="5"/>
      <c r="DK671" s="5"/>
      <c r="DL671" s="5"/>
      <c r="DM671" s="5"/>
      <c r="DN671" s="5"/>
      <c r="DO671" s="5"/>
      <c r="DP671" s="5"/>
      <c r="DQ671" s="5"/>
      <c r="DR671" s="5"/>
      <c r="DS671" s="5"/>
      <c r="DT671" s="5"/>
      <c r="DU671" s="5"/>
      <c r="DV671" s="5"/>
      <c r="DW671" s="5"/>
      <c r="DX671" s="5"/>
      <c r="DY671" s="5"/>
      <c r="DZ671" s="5"/>
      <c r="EA671" s="5"/>
      <c r="EB671" s="5"/>
      <c r="EC671" s="5"/>
      <c r="ED671" s="5"/>
      <c r="EE671" s="5"/>
      <c r="EF671" s="5"/>
      <c r="EG671" s="5"/>
      <c r="EH671" s="5"/>
      <c r="EI671" s="5"/>
      <c r="EJ671" s="5"/>
      <c r="EK671" s="5"/>
      <c r="EL671" s="5"/>
      <c r="EM671" s="5"/>
      <c r="EN671" s="5"/>
      <c r="EO671" s="5"/>
      <c r="EP671" s="5"/>
      <c r="EQ671" s="5"/>
      <c r="ER671" s="5"/>
      <c r="ES671" s="5"/>
      <c r="ET671" s="5"/>
      <c r="EU671" s="5"/>
      <c r="EV671" s="5"/>
      <c r="EW671" s="5"/>
      <c r="EX671" s="5"/>
      <c r="EY671" s="5"/>
      <c r="EZ671" s="5"/>
      <c r="FA671" s="5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5"/>
      <c r="CT672" s="5"/>
      <c r="CU672" s="5"/>
      <c r="CV672" s="5"/>
      <c r="CW672" s="5"/>
      <c r="CX672" s="5"/>
      <c r="CY672" s="5"/>
      <c r="CZ672" s="5"/>
      <c r="DA672" s="5"/>
      <c r="DB672" s="5"/>
      <c r="DC672" s="5"/>
      <c r="DD672" s="5"/>
      <c r="DE672" s="5"/>
      <c r="DF672" s="5"/>
      <c r="DG672" s="5"/>
      <c r="DH672" s="5"/>
      <c r="DI672" s="5"/>
      <c r="DJ672" s="5"/>
      <c r="DK672" s="5"/>
      <c r="DL672" s="5"/>
      <c r="DM672" s="5"/>
      <c r="DN672" s="5"/>
      <c r="DO672" s="5"/>
      <c r="DP672" s="5"/>
      <c r="DQ672" s="5"/>
      <c r="DR672" s="5"/>
      <c r="DS672" s="5"/>
      <c r="DT672" s="5"/>
      <c r="DU672" s="5"/>
      <c r="DV672" s="5"/>
      <c r="DW672" s="5"/>
      <c r="DX672" s="5"/>
      <c r="DY672" s="5"/>
      <c r="DZ672" s="5"/>
      <c r="EA672" s="5"/>
      <c r="EB672" s="5"/>
      <c r="EC672" s="5"/>
      <c r="ED672" s="5"/>
      <c r="EE672" s="5"/>
      <c r="EF672" s="5"/>
      <c r="EG672" s="5"/>
      <c r="EH672" s="5"/>
      <c r="EI672" s="5"/>
      <c r="EJ672" s="5"/>
      <c r="EK672" s="5"/>
      <c r="EL672" s="5"/>
      <c r="EM672" s="5"/>
      <c r="EN672" s="5"/>
      <c r="EO672" s="5"/>
      <c r="EP672" s="5"/>
      <c r="EQ672" s="5"/>
      <c r="ER672" s="5"/>
      <c r="ES672" s="5"/>
      <c r="ET672" s="5"/>
      <c r="EU672" s="5"/>
      <c r="EV672" s="5"/>
      <c r="EW672" s="5"/>
      <c r="EX672" s="5"/>
      <c r="EY672" s="5"/>
      <c r="EZ672" s="5"/>
      <c r="FA672" s="5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5"/>
      <c r="CT673" s="5"/>
      <c r="CU673" s="5"/>
      <c r="CV673" s="5"/>
      <c r="CW673" s="5"/>
      <c r="CX673" s="5"/>
      <c r="CY673" s="5"/>
      <c r="CZ673" s="5"/>
      <c r="DA673" s="5"/>
      <c r="DB673" s="5"/>
      <c r="DC673" s="5"/>
      <c r="DD673" s="5"/>
      <c r="DE673" s="5"/>
      <c r="DF673" s="5"/>
      <c r="DG673" s="5"/>
      <c r="DH673" s="5"/>
      <c r="DI673" s="5"/>
      <c r="DJ673" s="5"/>
      <c r="DK673" s="5"/>
      <c r="DL673" s="5"/>
      <c r="DM673" s="5"/>
      <c r="DN673" s="5"/>
      <c r="DO673" s="5"/>
      <c r="DP673" s="5"/>
      <c r="DQ673" s="5"/>
      <c r="DR673" s="5"/>
      <c r="DS673" s="5"/>
      <c r="DT673" s="5"/>
      <c r="DU673" s="5"/>
      <c r="DV673" s="5"/>
      <c r="DW673" s="5"/>
      <c r="DX673" s="5"/>
      <c r="DY673" s="5"/>
      <c r="DZ673" s="5"/>
      <c r="EA673" s="5"/>
      <c r="EB673" s="5"/>
      <c r="EC673" s="5"/>
      <c r="ED673" s="5"/>
      <c r="EE673" s="5"/>
      <c r="EF673" s="5"/>
      <c r="EG673" s="5"/>
      <c r="EH673" s="5"/>
      <c r="EI673" s="5"/>
      <c r="EJ673" s="5"/>
      <c r="EK673" s="5"/>
      <c r="EL673" s="5"/>
      <c r="EM673" s="5"/>
      <c r="EN673" s="5"/>
      <c r="EO673" s="5"/>
      <c r="EP673" s="5"/>
      <c r="EQ673" s="5"/>
      <c r="ER673" s="5"/>
      <c r="ES673" s="5"/>
      <c r="ET673" s="5"/>
      <c r="EU673" s="5"/>
      <c r="EV673" s="5"/>
      <c r="EW673" s="5"/>
      <c r="EX673" s="5"/>
      <c r="EY673" s="5"/>
      <c r="EZ673" s="5"/>
      <c r="FA673" s="5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5"/>
      <c r="CT674" s="5"/>
      <c r="CU674" s="5"/>
      <c r="CV674" s="5"/>
      <c r="CW674" s="5"/>
      <c r="CX674" s="5"/>
      <c r="CY674" s="5"/>
      <c r="CZ674" s="5"/>
      <c r="DA674" s="5"/>
      <c r="DB674" s="5"/>
      <c r="DC674" s="5"/>
      <c r="DD674" s="5"/>
      <c r="DE674" s="5"/>
      <c r="DF674" s="5"/>
      <c r="DG674" s="5"/>
      <c r="DH674" s="5"/>
      <c r="DI674" s="5"/>
      <c r="DJ674" s="5"/>
      <c r="DK674" s="5"/>
      <c r="DL674" s="5"/>
      <c r="DM674" s="5"/>
      <c r="DN674" s="5"/>
      <c r="DO674" s="5"/>
      <c r="DP674" s="5"/>
      <c r="DQ674" s="5"/>
      <c r="DR674" s="5"/>
      <c r="DS674" s="5"/>
      <c r="DT674" s="5"/>
      <c r="DU674" s="5"/>
      <c r="DV674" s="5"/>
      <c r="DW674" s="5"/>
      <c r="DX674" s="5"/>
      <c r="DY674" s="5"/>
      <c r="DZ674" s="5"/>
      <c r="EA674" s="5"/>
      <c r="EB674" s="5"/>
      <c r="EC674" s="5"/>
      <c r="ED674" s="5"/>
      <c r="EE674" s="5"/>
      <c r="EF674" s="5"/>
      <c r="EG674" s="5"/>
      <c r="EH674" s="5"/>
      <c r="EI674" s="5"/>
      <c r="EJ674" s="5"/>
      <c r="EK674" s="5"/>
      <c r="EL674" s="5"/>
      <c r="EM674" s="5"/>
      <c r="EN674" s="5"/>
      <c r="EO674" s="5"/>
      <c r="EP674" s="5"/>
      <c r="EQ674" s="5"/>
      <c r="ER674" s="5"/>
      <c r="ES674" s="5"/>
      <c r="ET674" s="5"/>
      <c r="EU674" s="5"/>
      <c r="EV674" s="5"/>
      <c r="EW674" s="5"/>
      <c r="EX674" s="5"/>
      <c r="EY674" s="5"/>
      <c r="EZ674" s="5"/>
      <c r="FA674" s="5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5"/>
      <c r="CT675" s="5"/>
      <c r="CU675" s="5"/>
      <c r="CV675" s="5"/>
      <c r="CW675" s="5"/>
      <c r="CX675" s="5"/>
      <c r="CY675" s="5"/>
      <c r="CZ675" s="5"/>
      <c r="DA675" s="5"/>
      <c r="DB675" s="5"/>
      <c r="DC675" s="5"/>
      <c r="DD675" s="5"/>
      <c r="DE675" s="5"/>
      <c r="DF675" s="5"/>
      <c r="DG675" s="5"/>
      <c r="DH675" s="5"/>
      <c r="DI675" s="5"/>
      <c r="DJ675" s="5"/>
      <c r="DK675" s="5"/>
      <c r="DL675" s="5"/>
      <c r="DM675" s="5"/>
      <c r="DN675" s="5"/>
      <c r="DO675" s="5"/>
      <c r="DP675" s="5"/>
      <c r="DQ675" s="5"/>
      <c r="DR675" s="5"/>
      <c r="DS675" s="5"/>
      <c r="DT675" s="5"/>
      <c r="DU675" s="5"/>
      <c r="DV675" s="5"/>
      <c r="DW675" s="5"/>
      <c r="DX675" s="5"/>
      <c r="DY675" s="5"/>
      <c r="DZ675" s="5"/>
      <c r="EA675" s="5"/>
      <c r="EB675" s="5"/>
      <c r="EC675" s="5"/>
      <c r="ED675" s="5"/>
      <c r="EE675" s="5"/>
      <c r="EF675" s="5"/>
      <c r="EG675" s="5"/>
      <c r="EH675" s="5"/>
      <c r="EI675" s="5"/>
      <c r="EJ675" s="5"/>
      <c r="EK675" s="5"/>
      <c r="EL675" s="5"/>
      <c r="EM675" s="5"/>
      <c r="EN675" s="5"/>
      <c r="EO675" s="5"/>
      <c r="EP675" s="5"/>
      <c r="EQ675" s="5"/>
      <c r="ER675" s="5"/>
      <c r="ES675" s="5"/>
      <c r="ET675" s="5"/>
      <c r="EU675" s="5"/>
      <c r="EV675" s="5"/>
      <c r="EW675" s="5"/>
      <c r="EX675" s="5"/>
      <c r="EY675" s="5"/>
      <c r="EZ675" s="5"/>
      <c r="FA675" s="5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5"/>
      <c r="CT676" s="5"/>
      <c r="CU676" s="5"/>
      <c r="CV676" s="5"/>
      <c r="CW676" s="5"/>
      <c r="CX676" s="5"/>
      <c r="CY676" s="5"/>
      <c r="CZ676" s="5"/>
      <c r="DA676" s="5"/>
      <c r="DB676" s="5"/>
      <c r="DC676" s="5"/>
      <c r="DD676" s="5"/>
      <c r="DE676" s="5"/>
      <c r="DF676" s="5"/>
      <c r="DG676" s="5"/>
      <c r="DH676" s="5"/>
      <c r="DI676" s="5"/>
      <c r="DJ676" s="5"/>
      <c r="DK676" s="5"/>
      <c r="DL676" s="5"/>
      <c r="DM676" s="5"/>
      <c r="DN676" s="5"/>
      <c r="DO676" s="5"/>
      <c r="DP676" s="5"/>
      <c r="DQ676" s="5"/>
      <c r="DR676" s="5"/>
      <c r="DS676" s="5"/>
      <c r="DT676" s="5"/>
      <c r="DU676" s="5"/>
      <c r="DV676" s="5"/>
      <c r="DW676" s="5"/>
      <c r="DX676" s="5"/>
      <c r="DY676" s="5"/>
      <c r="DZ676" s="5"/>
      <c r="EA676" s="5"/>
      <c r="EB676" s="5"/>
      <c r="EC676" s="5"/>
      <c r="ED676" s="5"/>
      <c r="EE676" s="5"/>
      <c r="EF676" s="5"/>
      <c r="EG676" s="5"/>
      <c r="EH676" s="5"/>
      <c r="EI676" s="5"/>
      <c r="EJ676" s="5"/>
      <c r="EK676" s="5"/>
      <c r="EL676" s="5"/>
      <c r="EM676" s="5"/>
      <c r="EN676" s="5"/>
      <c r="EO676" s="5"/>
      <c r="EP676" s="5"/>
      <c r="EQ676" s="5"/>
      <c r="ER676" s="5"/>
      <c r="ES676" s="5"/>
      <c r="ET676" s="5"/>
      <c r="EU676" s="5"/>
      <c r="EV676" s="5"/>
      <c r="EW676" s="5"/>
      <c r="EX676" s="5"/>
      <c r="EY676" s="5"/>
      <c r="EZ676" s="5"/>
      <c r="FA676" s="5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5"/>
      <c r="CT677" s="5"/>
      <c r="CU677" s="5"/>
      <c r="CV677" s="5"/>
      <c r="CW677" s="5"/>
      <c r="CX677" s="5"/>
      <c r="CY677" s="5"/>
      <c r="CZ677" s="5"/>
      <c r="DA677" s="5"/>
      <c r="DB677" s="5"/>
      <c r="DC677" s="5"/>
      <c r="DD677" s="5"/>
      <c r="DE677" s="5"/>
      <c r="DF677" s="5"/>
      <c r="DG677" s="5"/>
      <c r="DH677" s="5"/>
      <c r="DI677" s="5"/>
      <c r="DJ677" s="5"/>
      <c r="DK677" s="5"/>
      <c r="DL677" s="5"/>
      <c r="DM677" s="5"/>
      <c r="DN677" s="5"/>
      <c r="DO677" s="5"/>
      <c r="DP677" s="5"/>
      <c r="DQ677" s="5"/>
      <c r="DR677" s="5"/>
      <c r="DS677" s="5"/>
      <c r="DT677" s="5"/>
      <c r="DU677" s="5"/>
      <c r="DV677" s="5"/>
      <c r="DW677" s="5"/>
      <c r="DX677" s="5"/>
      <c r="DY677" s="5"/>
      <c r="DZ677" s="5"/>
      <c r="EA677" s="5"/>
      <c r="EB677" s="5"/>
      <c r="EC677" s="5"/>
      <c r="ED677" s="5"/>
      <c r="EE677" s="5"/>
      <c r="EF677" s="5"/>
      <c r="EG677" s="5"/>
      <c r="EH677" s="5"/>
      <c r="EI677" s="5"/>
      <c r="EJ677" s="5"/>
      <c r="EK677" s="5"/>
      <c r="EL677" s="5"/>
      <c r="EM677" s="5"/>
      <c r="EN677" s="5"/>
      <c r="EO677" s="5"/>
      <c r="EP677" s="5"/>
      <c r="EQ677" s="5"/>
      <c r="ER677" s="5"/>
      <c r="ES677" s="5"/>
      <c r="ET677" s="5"/>
      <c r="EU677" s="5"/>
      <c r="EV677" s="5"/>
      <c r="EW677" s="5"/>
      <c r="EX677" s="5"/>
      <c r="EY677" s="5"/>
      <c r="EZ677" s="5"/>
      <c r="FA677" s="5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5"/>
      <c r="CT678" s="5"/>
      <c r="CU678" s="5"/>
      <c r="CV678" s="5"/>
      <c r="CW678" s="5"/>
      <c r="CX678" s="5"/>
      <c r="CY678" s="5"/>
      <c r="CZ678" s="5"/>
      <c r="DA678" s="5"/>
      <c r="DB678" s="5"/>
      <c r="DC678" s="5"/>
      <c r="DD678" s="5"/>
      <c r="DE678" s="5"/>
      <c r="DF678" s="5"/>
      <c r="DG678" s="5"/>
      <c r="DH678" s="5"/>
      <c r="DI678" s="5"/>
      <c r="DJ678" s="5"/>
      <c r="DK678" s="5"/>
      <c r="DL678" s="5"/>
      <c r="DM678" s="5"/>
      <c r="DN678" s="5"/>
      <c r="DO678" s="5"/>
      <c r="DP678" s="5"/>
      <c r="DQ678" s="5"/>
      <c r="DR678" s="5"/>
      <c r="DS678" s="5"/>
      <c r="DT678" s="5"/>
      <c r="DU678" s="5"/>
      <c r="DV678" s="5"/>
      <c r="DW678" s="5"/>
      <c r="DX678" s="5"/>
      <c r="DY678" s="5"/>
      <c r="DZ678" s="5"/>
      <c r="EA678" s="5"/>
      <c r="EB678" s="5"/>
      <c r="EC678" s="5"/>
      <c r="ED678" s="5"/>
      <c r="EE678" s="5"/>
      <c r="EF678" s="5"/>
      <c r="EG678" s="5"/>
      <c r="EH678" s="5"/>
      <c r="EI678" s="5"/>
      <c r="EJ678" s="5"/>
      <c r="EK678" s="5"/>
      <c r="EL678" s="5"/>
      <c r="EM678" s="5"/>
      <c r="EN678" s="5"/>
      <c r="EO678" s="5"/>
      <c r="EP678" s="5"/>
      <c r="EQ678" s="5"/>
      <c r="ER678" s="5"/>
      <c r="ES678" s="5"/>
      <c r="ET678" s="5"/>
      <c r="EU678" s="5"/>
      <c r="EV678" s="5"/>
      <c r="EW678" s="5"/>
      <c r="EX678" s="5"/>
      <c r="EY678" s="5"/>
      <c r="EZ678" s="5"/>
      <c r="FA678" s="5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5"/>
      <c r="CT679" s="5"/>
      <c r="CU679" s="5"/>
      <c r="CV679" s="5"/>
      <c r="CW679" s="5"/>
      <c r="CX679" s="5"/>
      <c r="CY679" s="5"/>
      <c r="CZ679" s="5"/>
      <c r="DA679" s="5"/>
      <c r="DB679" s="5"/>
      <c r="DC679" s="5"/>
      <c r="DD679" s="5"/>
      <c r="DE679" s="5"/>
      <c r="DF679" s="5"/>
      <c r="DG679" s="5"/>
      <c r="DH679" s="5"/>
      <c r="DI679" s="5"/>
      <c r="DJ679" s="5"/>
      <c r="DK679" s="5"/>
      <c r="DL679" s="5"/>
      <c r="DM679" s="5"/>
      <c r="DN679" s="5"/>
      <c r="DO679" s="5"/>
      <c r="DP679" s="5"/>
      <c r="DQ679" s="5"/>
      <c r="DR679" s="5"/>
      <c r="DS679" s="5"/>
      <c r="DT679" s="5"/>
      <c r="DU679" s="5"/>
      <c r="DV679" s="5"/>
      <c r="DW679" s="5"/>
      <c r="DX679" s="5"/>
      <c r="DY679" s="5"/>
      <c r="DZ679" s="5"/>
      <c r="EA679" s="5"/>
      <c r="EB679" s="5"/>
      <c r="EC679" s="5"/>
      <c r="ED679" s="5"/>
      <c r="EE679" s="5"/>
      <c r="EF679" s="5"/>
      <c r="EG679" s="5"/>
      <c r="EH679" s="5"/>
      <c r="EI679" s="5"/>
      <c r="EJ679" s="5"/>
      <c r="EK679" s="5"/>
      <c r="EL679" s="5"/>
      <c r="EM679" s="5"/>
      <c r="EN679" s="5"/>
      <c r="EO679" s="5"/>
      <c r="EP679" s="5"/>
      <c r="EQ679" s="5"/>
      <c r="ER679" s="5"/>
      <c r="ES679" s="5"/>
      <c r="ET679" s="5"/>
      <c r="EU679" s="5"/>
      <c r="EV679" s="5"/>
      <c r="EW679" s="5"/>
      <c r="EX679" s="5"/>
      <c r="EY679" s="5"/>
      <c r="EZ679" s="5"/>
      <c r="FA679" s="5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5"/>
      <c r="CT680" s="5"/>
      <c r="CU680" s="5"/>
      <c r="CV680" s="5"/>
      <c r="CW680" s="5"/>
      <c r="CX680" s="5"/>
      <c r="CY680" s="5"/>
      <c r="CZ680" s="5"/>
      <c r="DA680" s="5"/>
      <c r="DB680" s="5"/>
      <c r="DC680" s="5"/>
      <c r="DD680" s="5"/>
      <c r="DE680" s="5"/>
      <c r="DF680" s="5"/>
      <c r="DG680" s="5"/>
      <c r="DH680" s="5"/>
      <c r="DI680" s="5"/>
      <c r="DJ680" s="5"/>
      <c r="DK680" s="5"/>
      <c r="DL680" s="5"/>
      <c r="DM680" s="5"/>
      <c r="DN680" s="5"/>
      <c r="DO680" s="5"/>
      <c r="DP680" s="5"/>
      <c r="DQ680" s="5"/>
      <c r="DR680" s="5"/>
      <c r="DS680" s="5"/>
      <c r="DT680" s="5"/>
      <c r="DU680" s="5"/>
      <c r="DV680" s="5"/>
      <c r="DW680" s="5"/>
      <c r="DX680" s="5"/>
      <c r="DY680" s="5"/>
      <c r="DZ680" s="5"/>
      <c r="EA680" s="5"/>
      <c r="EB680" s="5"/>
      <c r="EC680" s="5"/>
      <c r="ED680" s="5"/>
      <c r="EE680" s="5"/>
      <c r="EF680" s="5"/>
      <c r="EG680" s="5"/>
      <c r="EH680" s="5"/>
      <c r="EI680" s="5"/>
      <c r="EJ680" s="5"/>
      <c r="EK680" s="5"/>
      <c r="EL680" s="5"/>
      <c r="EM680" s="5"/>
      <c r="EN680" s="5"/>
      <c r="EO680" s="5"/>
      <c r="EP680" s="5"/>
      <c r="EQ680" s="5"/>
      <c r="ER680" s="5"/>
      <c r="ES680" s="5"/>
      <c r="ET680" s="5"/>
      <c r="EU680" s="5"/>
      <c r="EV680" s="5"/>
      <c r="EW680" s="5"/>
      <c r="EX680" s="5"/>
      <c r="EY680" s="5"/>
      <c r="EZ680" s="5"/>
      <c r="FA680" s="5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5"/>
      <c r="CT681" s="5"/>
      <c r="CU681" s="5"/>
      <c r="CV681" s="5"/>
      <c r="CW681" s="5"/>
      <c r="CX681" s="5"/>
      <c r="CY681" s="5"/>
      <c r="CZ681" s="5"/>
      <c r="DA681" s="5"/>
      <c r="DB681" s="5"/>
      <c r="DC681" s="5"/>
      <c r="DD681" s="5"/>
      <c r="DE681" s="5"/>
      <c r="DF681" s="5"/>
      <c r="DG681" s="5"/>
      <c r="DH681" s="5"/>
      <c r="DI681" s="5"/>
      <c r="DJ681" s="5"/>
      <c r="DK681" s="5"/>
      <c r="DL681" s="5"/>
      <c r="DM681" s="5"/>
      <c r="DN681" s="5"/>
      <c r="DO681" s="5"/>
      <c r="DP681" s="5"/>
      <c r="DQ681" s="5"/>
      <c r="DR681" s="5"/>
      <c r="DS681" s="5"/>
      <c r="DT681" s="5"/>
      <c r="DU681" s="5"/>
      <c r="DV681" s="5"/>
      <c r="DW681" s="5"/>
      <c r="DX681" s="5"/>
      <c r="DY681" s="5"/>
      <c r="DZ681" s="5"/>
      <c r="EA681" s="5"/>
      <c r="EB681" s="5"/>
      <c r="EC681" s="5"/>
      <c r="ED681" s="5"/>
      <c r="EE681" s="5"/>
      <c r="EF681" s="5"/>
      <c r="EG681" s="5"/>
      <c r="EH681" s="5"/>
      <c r="EI681" s="5"/>
      <c r="EJ681" s="5"/>
      <c r="EK681" s="5"/>
      <c r="EL681" s="5"/>
      <c r="EM681" s="5"/>
      <c r="EN681" s="5"/>
      <c r="EO681" s="5"/>
      <c r="EP681" s="5"/>
      <c r="EQ681" s="5"/>
      <c r="ER681" s="5"/>
      <c r="ES681" s="5"/>
      <c r="ET681" s="5"/>
      <c r="EU681" s="5"/>
      <c r="EV681" s="5"/>
      <c r="EW681" s="5"/>
      <c r="EX681" s="5"/>
      <c r="EY681" s="5"/>
      <c r="EZ681" s="5"/>
      <c r="FA681" s="5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5"/>
      <c r="CT682" s="5"/>
      <c r="CU682" s="5"/>
      <c r="CV682" s="5"/>
      <c r="CW682" s="5"/>
      <c r="CX682" s="5"/>
      <c r="CY682" s="5"/>
      <c r="CZ682" s="5"/>
      <c r="DA682" s="5"/>
      <c r="DB682" s="5"/>
      <c r="DC682" s="5"/>
      <c r="DD682" s="5"/>
      <c r="DE682" s="5"/>
      <c r="DF682" s="5"/>
      <c r="DG682" s="5"/>
      <c r="DH682" s="5"/>
      <c r="DI682" s="5"/>
      <c r="DJ682" s="5"/>
      <c r="DK682" s="5"/>
      <c r="DL682" s="5"/>
      <c r="DM682" s="5"/>
      <c r="DN682" s="5"/>
      <c r="DO682" s="5"/>
      <c r="DP682" s="5"/>
      <c r="DQ682" s="5"/>
      <c r="DR682" s="5"/>
      <c r="DS682" s="5"/>
      <c r="DT682" s="5"/>
      <c r="DU682" s="5"/>
      <c r="DV682" s="5"/>
      <c r="DW682" s="5"/>
      <c r="DX682" s="5"/>
      <c r="DY682" s="5"/>
      <c r="DZ682" s="5"/>
      <c r="EA682" s="5"/>
      <c r="EB682" s="5"/>
      <c r="EC682" s="5"/>
      <c r="ED682" s="5"/>
      <c r="EE682" s="5"/>
      <c r="EF682" s="5"/>
      <c r="EG682" s="5"/>
      <c r="EH682" s="5"/>
      <c r="EI682" s="5"/>
      <c r="EJ682" s="5"/>
      <c r="EK682" s="5"/>
      <c r="EL682" s="5"/>
      <c r="EM682" s="5"/>
      <c r="EN682" s="5"/>
      <c r="EO682" s="5"/>
      <c r="EP682" s="5"/>
      <c r="EQ682" s="5"/>
      <c r="ER682" s="5"/>
      <c r="ES682" s="5"/>
      <c r="ET682" s="5"/>
      <c r="EU682" s="5"/>
      <c r="EV682" s="5"/>
      <c r="EW682" s="5"/>
      <c r="EX682" s="5"/>
      <c r="EY682" s="5"/>
      <c r="EZ682" s="5"/>
      <c r="FA682" s="5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5"/>
      <c r="CT683" s="5"/>
      <c r="CU683" s="5"/>
      <c r="CV683" s="5"/>
      <c r="CW683" s="5"/>
      <c r="CX683" s="5"/>
      <c r="CY683" s="5"/>
      <c r="CZ683" s="5"/>
      <c r="DA683" s="5"/>
      <c r="DB683" s="5"/>
      <c r="DC683" s="5"/>
      <c r="DD683" s="5"/>
      <c r="DE683" s="5"/>
      <c r="DF683" s="5"/>
      <c r="DG683" s="5"/>
      <c r="DH683" s="5"/>
      <c r="DI683" s="5"/>
      <c r="DJ683" s="5"/>
      <c r="DK683" s="5"/>
      <c r="DL683" s="5"/>
      <c r="DM683" s="5"/>
      <c r="DN683" s="5"/>
      <c r="DO683" s="5"/>
      <c r="DP683" s="5"/>
      <c r="DQ683" s="5"/>
      <c r="DR683" s="5"/>
      <c r="DS683" s="5"/>
      <c r="DT683" s="5"/>
      <c r="DU683" s="5"/>
      <c r="DV683" s="5"/>
      <c r="DW683" s="5"/>
      <c r="DX683" s="5"/>
      <c r="DY683" s="5"/>
      <c r="DZ683" s="5"/>
      <c r="EA683" s="5"/>
      <c r="EB683" s="5"/>
      <c r="EC683" s="5"/>
      <c r="ED683" s="5"/>
      <c r="EE683" s="5"/>
      <c r="EF683" s="5"/>
      <c r="EG683" s="5"/>
      <c r="EH683" s="5"/>
      <c r="EI683" s="5"/>
      <c r="EJ683" s="5"/>
      <c r="EK683" s="5"/>
      <c r="EL683" s="5"/>
      <c r="EM683" s="5"/>
      <c r="EN683" s="5"/>
      <c r="EO683" s="5"/>
      <c r="EP683" s="5"/>
      <c r="EQ683" s="5"/>
      <c r="ER683" s="5"/>
      <c r="ES683" s="5"/>
      <c r="ET683" s="5"/>
      <c r="EU683" s="5"/>
      <c r="EV683" s="5"/>
      <c r="EW683" s="5"/>
      <c r="EX683" s="5"/>
      <c r="EY683" s="5"/>
      <c r="EZ683" s="5"/>
      <c r="FA683" s="5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5"/>
      <c r="CT684" s="5"/>
      <c r="CU684" s="5"/>
      <c r="CV684" s="5"/>
      <c r="CW684" s="5"/>
      <c r="CX684" s="5"/>
      <c r="CY684" s="5"/>
      <c r="CZ684" s="5"/>
      <c r="DA684" s="5"/>
      <c r="DB684" s="5"/>
      <c r="DC684" s="5"/>
      <c r="DD684" s="5"/>
      <c r="DE684" s="5"/>
      <c r="DF684" s="5"/>
      <c r="DG684" s="5"/>
      <c r="DH684" s="5"/>
      <c r="DI684" s="5"/>
      <c r="DJ684" s="5"/>
      <c r="DK684" s="5"/>
      <c r="DL684" s="5"/>
      <c r="DM684" s="5"/>
      <c r="DN684" s="5"/>
      <c r="DO684" s="5"/>
      <c r="DP684" s="5"/>
      <c r="DQ684" s="5"/>
      <c r="DR684" s="5"/>
      <c r="DS684" s="5"/>
      <c r="DT684" s="5"/>
      <c r="DU684" s="5"/>
      <c r="DV684" s="5"/>
      <c r="DW684" s="5"/>
      <c r="DX684" s="5"/>
      <c r="DY684" s="5"/>
      <c r="DZ684" s="5"/>
      <c r="EA684" s="5"/>
      <c r="EB684" s="5"/>
      <c r="EC684" s="5"/>
      <c r="ED684" s="5"/>
      <c r="EE684" s="5"/>
      <c r="EF684" s="5"/>
      <c r="EG684" s="5"/>
      <c r="EH684" s="5"/>
      <c r="EI684" s="5"/>
      <c r="EJ684" s="5"/>
      <c r="EK684" s="5"/>
      <c r="EL684" s="5"/>
      <c r="EM684" s="5"/>
      <c r="EN684" s="5"/>
      <c r="EO684" s="5"/>
      <c r="EP684" s="5"/>
      <c r="EQ684" s="5"/>
      <c r="ER684" s="5"/>
      <c r="ES684" s="5"/>
      <c r="ET684" s="5"/>
      <c r="EU684" s="5"/>
      <c r="EV684" s="5"/>
      <c r="EW684" s="5"/>
      <c r="EX684" s="5"/>
      <c r="EY684" s="5"/>
      <c r="EZ684" s="5"/>
      <c r="FA684" s="5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5"/>
      <c r="CT685" s="5"/>
      <c r="CU685" s="5"/>
      <c r="CV685" s="5"/>
      <c r="CW685" s="5"/>
      <c r="CX685" s="5"/>
      <c r="CY685" s="5"/>
      <c r="CZ685" s="5"/>
      <c r="DA685" s="5"/>
      <c r="DB685" s="5"/>
      <c r="DC685" s="5"/>
      <c r="DD685" s="5"/>
      <c r="DE685" s="5"/>
      <c r="DF685" s="5"/>
      <c r="DG685" s="5"/>
      <c r="DH685" s="5"/>
      <c r="DI685" s="5"/>
      <c r="DJ685" s="5"/>
      <c r="DK685" s="5"/>
      <c r="DL685" s="5"/>
      <c r="DM685" s="5"/>
      <c r="DN685" s="5"/>
      <c r="DO685" s="5"/>
      <c r="DP685" s="5"/>
      <c r="DQ685" s="5"/>
      <c r="DR685" s="5"/>
      <c r="DS685" s="5"/>
      <c r="DT685" s="5"/>
      <c r="DU685" s="5"/>
      <c r="DV685" s="5"/>
      <c r="DW685" s="5"/>
      <c r="DX685" s="5"/>
      <c r="DY685" s="5"/>
      <c r="DZ685" s="5"/>
      <c r="EA685" s="5"/>
      <c r="EB685" s="5"/>
      <c r="EC685" s="5"/>
      <c r="ED685" s="5"/>
      <c r="EE685" s="5"/>
      <c r="EF685" s="5"/>
      <c r="EG685" s="5"/>
      <c r="EH685" s="5"/>
      <c r="EI685" s="5"/>
      <c r="EJ685" s="5"/>
      <c r="EK685" s="5"/>
      <c r="EL685" s="5"/>
      <c r="EM685" s="5"/>
      <c r="EN685" s="5"/>
      <c r="EO685" s="5"/>
      <c r="EP685" s="5"/>
      <c r="EQ685" s="5"/>
      <c r="ER685" s="5"/>
      <c r="ES685" s="5"/>
      <c r="ET685" s="5"/>
      <c r="EU685" s="5"/>
      <c r="EV685" s="5"/>
      <c r="EW685" s="5"/>
      <c r="EX685" s="5"/>
      <c r="EY685" s="5"/>
      <c r="EZ685" s="5"/>
      <c r="FA685" s="5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5"/>
      <c r="CT686" s="5"/>
      <c r="CU686" s="5"/>
      <c r="CV686" s="5"/>
      <c r="CW686" s="5"/>
      <c r="CX686" s="5"/>
      <c r="CY686" s="5"/>
      <c r="CZ686" s="5"/>
      <c r="DA686" s="5"/>
      <c r="DB686" s="5"/>
      <c r="DC686" s="5"/>
      <c r="DD686" s="5"/>
      <c r="DE686" s="5"/>
      <c r="DF686" s="5"/>
      <c r="DG686" s="5"/>
      <c r="DH686" s="5"/>
      <c r="DI686" s="5"/>
      <c r="DJ686" s="5"/>
      <c r="DK686" s="5"/>
      <c r="DL686" s="5"/>
      <c r="DM686" s="5"/>
      <c r="DN686" s="5"/>
      <c r="DO686" s="5"/>
      <c r="DP686" s="5"/>
      <c r="DQ686" s="5"/>
      <c r="DR686" s="5"/>
      <c r="DS686" s="5"/>
      <c r="DT686" s="5"/>
      <c r="DU686" s="5"/>
      <c r="DV686" s="5"/>
      <c r="DW686" s="5"/>
      <c r="DX686" s="5"/>
      <c r="DY686" s="5"/>
      <c r="DZ686" s="5"/>
      <c r="EA686" s="5"/>
      <c r="EB686" s="5"/>
      <c r="EC686" s="5"/>
      <c r="ED686" s="5"/>
      <c r="EE686" s="5"/>
      <c r="EF686" s="5"/>
      <c r="EG686" s="5"/>
      <c r="EH686" s="5"/>
      <c r="EI686" s="5"/>
      <c r="EJ686" s="5"/>
      <c r="EK686" s="5"/>
      <c r="EL686" s="5"/>
      <c r="EM686" s="5"/>
      <c r="EN686" s="5"/>
      <c r="EO686" s="5"/>
      <c r="EP686" s="5"/>
      <c r="EQ686" s="5"/>
      <c r="ER686" s="5"/>
      <c r="ES686" s="5"/>
      <c r="ET686" s="5"/>
      <c r="EU686" s="5"/>
      <c r="EV686" s="5"/>
      <c r="EW686" s="5"/>
      <c r="EX686" s="5"/>
      <c r="EY686" s="5"/>
      <c r="EZ686" s="5"/>
      <c r="FA686" s="5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5"/>
      <c r="CT687" s="5"/>
      <c r="CU687" s="5"/>
      <c r="CV687" s="5"/>
      <c r="CW687" s="5"/>
      <c r="CX687" s="5"/>
      <c r="CY687" s="5"/>
      <c r="CZ687" s="5"/>
      <c r="DA687" s="5"/>
      <c r="DB687" s="5"/>
      <c r="DC687" s="5"/>
      <c r="DD687" s="5"/>
      <c r="DE687" s="5"/>
      <c r="DF687" s="5"/>
      <c r="DG687" s="5"/>
      <c r="DH687" s="5"/>
      <c r="DI687" s="5"/>
      <c r="DJ687" s="5"/>
      <c r="DK687" s="5"/>
      <c r="DL687" s="5"/>
      <c r="DM687" s="5"/>
      <c r="DN687" s="5"/>
      <c r="DO687" s="5"/>
      <c r="DP687" s="5"/>
      <c r="DQ687" s="5"/>
      <c r="DR687" s="5"/>
      <c r="DS687" s="5"/>
      <c r="DT687" s="5"/>
      <c r="DU687" s="5"/>
      <c r="DV687" s="5"/>
      <c r="DW687" s="5"/>
      <c r="DX687" s="5"/>
      <c r="DY687" s="5"/>
      <c r="DZ687" s="5"/>
      <c r="EA687" s="5"/>
      <c r="EB687" s="5"/>
      <c r="EC687" s="5"/>
      <c r="ED687" s="5"/>
      <c r="EE687" s="5"/>
      <c r="EF687" s="5"/>
      <c r="EG687" s="5"/>
      <c r="EH687" s="5"/>
      <c r="EI687" s="5"/>
      <c r="EJ687" s="5"/>
      <c r="EK687" s="5"/>
      <c r="EL687" s="5"/>
      <c r="EM687" s="5"/>
      <c r="EN687" s="5"/>
      <c r="EO687" s="5"/>
      <c r="EP687" s="5"/>
      <c r="EQ687" s="5"/>
      <c r="ER687" s="5"/>
      <c r="ES687" s="5"/>
      <c r="ET687" s="5"/>
      <c r="EU687" s="5"/>
      <c r="EV687" s="5"/>
      <c r="EW687" s="5"/>
      <c r="EX687" s="5"/>
      <c r="EY687" s="5"/>
      <c r="EZ687" s="5"/>
      <c r="FA687" s="5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5"/>
      <c r="CT688" s="5"/>
      <c r="CU688" s="5"/>
      <c r="CV688" s="5"/>
      <c r="CW688" s="5"/>
      <c r="CX688" s="5"/>
      <c r="CY688" s="5"/>
      <c r="CZ688" s="5"/>
      <c r="DA688" s="5"/>
      <c r="DB688" s="5"/>
      <c r="DC688" s="5"/>
      <c r="DD688" s="5"/>
      <c r="DE688" s="5"/>
      <c r="DF688" s="5"/>
      <c r="DG688" s="5"/>
      <c r="DH688" s="5"/>
      <c r="DI688" s="5"/>
      <c r="DJ688" s="5"/>
      <c r="DK688" s="5"/>
      <c r="DL688" s="5"/>
      <c r="DM688" s="5"/>
      <c r="DN688" s="5"/>
      <c r="DO688" s="5"/>
      <c r="DP688" s="5"/>
      <c r="DQ688" s="5"/>
      <c r="DR688" s="5"/>
      <c r="DS688" s="5"/>
      <c r="DT688" s="5"/>
      <c r="DU688" s="5"/>
      <c r="DV688" s="5"/>
      <c r="DW688" s="5"/>
      <c r="DX688" s="5"/>
      <c r="DY688" s="5"/>
      <c r="DZ688" s="5"/>
      <c r="EA688" s="5"/>
      <c r="EB688" s="5"/>
      <c r="EC688" s="5"/>
      <c r="ED688" s="5"/>
      <c r="EE688" s="5"/>
      <c r="EF688" s="5"/>
      <c r="EG688" s="5"/>
      <c r="EH688" s="5"/>
      <c r="EI688" s="5"/>
      <c r="EJ688" s="5"/>
      <c r="EK688" s="5"/>
      <c r="EL688" s="5"/>
      <c r="EM688" s="5"/>
      <c r="EN688" s="5"/>
      <c r="EO688" s="5"/>
      <c r="EP688" s="5"/>
      <c r="EQ688" s="5"/>
      <c r="ER688" s="5"/>
      <c r="ES688" s="5"/>
      <c r="ET688" s="5"/>
      <c r="EU688" s="5"/>
      <c r="EV688" s="5"/>
      <c r="EW688" s="5"/>
      <c r="EX688" s="5"/>
      <c r="EY688" s="5"/>
      <c r="EZ688" s="5"/>
      <c r="FA688" s="5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5"/>
      <c r="CT689" s="5"/>
      <c r="CU689" s="5"/>
      <c r="CV689" s="5"/>
      <c r="CW689" s="5"/>
      <c r="CX689" s="5"/>
      <c r="CY689" s="5"/>
      <c r="CZ689" s="5"/>
      <c r="DA689" s="5"/>
      <c r="DB689" s="5"/>
      <c r="DC689" s="5"/>
      <c r="DD689" s="5"/>
      <c r="DE689" s="5"/>
      <c r="DF689" s="5"/>
      <c r="DG689" s="5"/>
      <c r="DH689" s="5"/>
      <c r="DI689" s="5"/>
      <c r="DJ689" s="5"/>
      <c r="DK689" s="5"/>
      <c r="DL689" s="5"/>
      <c r="DM689" s="5"/>
      <c r="DN689" s="5"/>
      <c r="DO689" s="5"/>
      <c r="DP689" s="5"/>
      <c r="DQ689" s="5"/>
      <c r="DR689" s="5"/>
      <c r="DS689" s="5"/>
      <c r="DT689" s="5"/>
      <c r="DU689" s="5"/>
      <c r="DV689" s="5"/>
      <c r="DW689" s="5"/>
      <c r="DX689" s="5"/>
      <c r="DY689" s="5"/>
      <c r="DZ689" s="5"/>
      <c r="EA689" s="5"/>
      <c r="EB689" s="5"/>
      <c r="EC689" s="5"/>
      <c r="ED689" s="5"/>
      <c r="EE689" s="5"/>
      <c r="EF689" s="5"/>
      <c r="EG689" s="5"/>
      <c r="EH689" s="5"/>
      <c r="EI689" s="5"/>
      <c r="EJ689" s="5"/>
      <c r="EK689" s="5"/>
      <c r="EL689" s="5"/>
      <c r="EM689" s="5"/>
      <c r="EN689" s="5"/>
      <c r="EO689" s="5"/>
      <c r="EP689" s="5"/>
      <c r="EQ689" s="5"/>
      <c r="ER689" s="5"/>
      <c r="ES689" s="5"/>
      <c r="ET689" s="5"/>
      <c r="EU689" s="5"/>
      <c r="EV689" s="5"/>
      <c r="EW689" s="5"/>
      <c r="EX689" s="5"/>
      <c r="EY689" s="5"/>
      <c r="EZ689" s="5"/>
      <c r="FA689" s="5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5"/>
      <c r="CT690" s="5"/>
      <c r="CU690" s="5"/>
      <c r="CV690" s="5"/>
      <c r="CW690" s="5"/>
      <c r="CX690" s="5"/>
      <c r="CY690" s="5"/>
      <c r="CZ690" s="5"/>
      <c r="DA690" s="5"/>
      <c r="DB690" s="5"/>
      <c r="DC690" s="5"/>
      <c r="DD690" s="5"/>
      <c r="DE690" s="5"/>
      <c r="DF690" s="5"/>
      <c r="DG690" s="5"/>
      <c r="DH690" s="5"/>
      <c r="DI690" s="5"/>
      <c r="DJ690" s="5"/>
      <c r="DK690" s="5"/>
      <c r="DL690" s="5"/>
      <c r="DM690" s="5"/>
      <c r="DN690" s="5"/>
      <c r="DO690" s="5"/>
      <c r="DP690" s="5"/>
      <c r="DQ690" s="5"/>
      <c r="DR690" s="5"/>
      <c r="DS690" s="5"/>
      <c r="DT690" s="5"/>
      <c r="DU690" s="5"/>
      <c r="DV690" s="5"/>
      <c r="DW690" s="5"/>
      <c r="DX690" s="5"/>
      <c r="DY690" s="5"/>
      <c r="DZ690" s="5"/>
      <c r="EA690" s="5"/>
      <c r="EB690" s="5"/>
      <c r="EC690" s="5"/>
      <c r="ED690" s="5"/>
      <c r="EE690" s="5"/>
      <c r="EF690" s="5"/>
      <c r="EG690" s="5"/>
      <c r="EH690" s="5"/>
      <c r="EI690" s="5"/>
      <c r="EJ690" s="5"/>
      <c r="EK690" s="5"/>
      <c r="EL690" s="5"/>
      <c r="EM690" s="5"/>
      <c r="EN690" s="5"/>
      <c r="EO690" s="5"/>
      <c r="EP690" s="5"/>
      <c r="EQ690" s="5"/>
      <c r="ER690" s="5"/>
      <c r="ES690" s="5"/>
      <c r="ET690" s="5"/>
      <c r="EU690" s="5"/>
      <c r="EV690" s="5"/>
      <c r="EW690" s="5"/>
      <c r="EX690" s="5"/>
      <c r="EY690" s="5"/>
      <c r="EZ690" s="5"/>
      <c r="FA690" s="5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5"/>
      <c r="CT692" s="5"/>
      <c r="CU692" s="5"/>
      <c r="CV692" s="5"/>
      <c r="CW692" s="5"/>
      <c r="CX692" s="5"/>
      <c r="CY692" s="5"/>
      <c r="CZ692" s="5"/>
      <c r="DA692" s="5"/>
      <c r="DB692" s="5"/>
      <c r="DC692" s="5"/>
      <c r="DD692" s="5"/>
      <c r="DE692" s="5"/>
      <c r="DF692" s="5"/>
      <c r="DG692" s="5"/>
      <c r="DH692" s="5"/>
      <c r="DI692" s="5"/>
      <c r="DJ692" s="5"/>
      <c r="DK692" s="5"/>
      <c r="DL692" s="5"/>
      <c r="DM692" s="5"/>
      <c r="DN692" s="5"/>
      <c r="DO692" s="5"/>
      <c r="DP692" s="5"/>
      <c r="DQ692" s="5"/>
      <c r="DR692" s="5"/>
      <c r="DS692" s="5"/>
      <c r="DT692" s="5"/>
      <c r="DU692" s="5"/>
      <c r="DV692" s="5"/>
      <c r="DW692" s="5"/>
      <c r="DX692" s="5"/>
      <c r="DY692" s="5"/>
      <c r="DZ692" s="5"/>
      <c r="EA692" s="5"/>
      <c r="EB692" s="5"/>
      <c r="EC692" s="5"/>
      <c r="ED692" s="5"/>
      <c r="EE692" s="5"/>
      <c r="EF692" s="5"/>
      <c r="EG692" s="5"/>
      <c r="EH692" s="5"/>
      <c r="EI692" s="5"/>
      <c r="EJ692" s="5"/>
      <c r="EK692" s="5"/>
      <c r="EL692" s="5"/>
      <c r="EM692" s="5"/>
      <c r="EN692" s="5"/>
      <c r="EO692" s="5"/>
      <c r="EP692" s="5"/>
      <c r="EQ692" s="5"/>
      <c r="ER692" s="5"/>
      <c r="ES692" s="5"/>
      <c r="ET692" s="5"/>
      <c r="EU692" s="5"/>
      <c r="EV692" s="5"/>
      <c r="EW692" s="5"/>
      <c r="EX692" s="5"/>
      <c r="EY692" s="5"/>
      <c r="EZ692" s="5"/>
      <c r="FA692" s="5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5"/>
      <c r="CT693" s="5"/>
      <c r="CU693" s="5"/>
      <c r="CV693" s="5"/>
      <c r="CW693" s="5"/>
      <c r="CX693" s="5"/>
      <c r="CY693" s="5"/>
      <c r="CZ693" s="5"/>
      <c r="DA693" s="5"/>
      <c r="DB693" s="5"/>
      <c r="DC693" s="5"/>
      <c r="DD693" s="5"/>
      <c r="DE693" s="5"/>
      <c r="DF693" s="5"/>
      <c r="DG693" s="5"/>
      <c r="DH693" s="5"/>
      <c r="DI693" s="5"/>
      <c r="DJ693" s="5"/>
      <c r="DK693" s="5"/>
      <c r="DL693" s="5"/>
      <c r="DM693" s="5"/>
      <c r="DN693" s="5"/>
      <c r="DO693" s="5"/>
      <c r="DP693" s="5"/>
      <c r="DQ693" s="5"/>
      <c r="DR693" s="5"/>
      <c r="DS693" s="5"/>
      <c r="DT693" s="5"/>
      <c r="DU693" s="5"/>
      <c r="DV693" s="5"/>
      <c r="DW693" s="5"/>
      <c r="DX693" s="5"/>
      <c r="DY693" s="5"/>
      <c r="DZ693" s="5"/>
      <c r="EA693" s="5"/>
      <c r="EB693" s="5"/>
      <c r="EC693" s="5"/>
      <c r="ED693" s="5"/>
      <c r="EE693" s="5"/>
      <c r="EF693" s="5"/>
      <c r="EG693" s="5"/>
      <c r="EH693" s="5"/>
      <c r="EI693" s="5"/>
      <c r="EJ693" s="5"/>
      <c r="EK693" s="5"/>
      <c r="EL693" s="5"/>
      <c r="EM693" s="5"/>
      <c r="EN693" s="5"/>
      <c r="EO693" s="5"/>
      <c r="EP693" s="5"/>
      <c r="EQ693" s="5"/>
      <c r="ER693" s="5"/>
      <c r="ES693" s="5"/>
      <c r="ET693" s="5"/>
      <c r="EU693" s="5"/>
      <c r="EV693" s="5"/>
      <c r="EW693" s="5"/>
      <c r="EX693" s="5"/>
      <c r="EY693" s="5"/>
      <c r="EZ693" s="5"/>
      <c r="FA693" s="5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5"/>
      <c r="CT694" s="5"/>
      <c r="CU694" s="5"/>
      <c r="CV694" s="5"/>
      <c r="CW694" s="5"/>
      <c r="CX694" s="5"/>
      <c r="CY694" s="5"/>
      <c r="CZ694" s="5"/>
      <c r="DA694" s="5"/>
      <c r="DB694" s="5"/>
      <c r="DC694" s="5"/>
      <c r="DD694" s="5"/>
      <c r="DE694" s="5"/>
      <c r="DF694" s="5"/>
      <c r="DG694" s="5"/>
      <c r="DH694" s="5"/>
      <c r="DI694" s="5"/>
      <c r="DJ694" s="5"/>
      <c r="DK694" s="5"/>
      <c r="DL694" s="5"/>
      <c r="DM694" s="5"/>
      <c r="DN694" s="5"/>
      <c r="DO694" s="5"/>
      <c r="DP694" s="5"/>
      <c r="DQ694" s="5"/>
      <c r="DR694" s="5"/>
      <c r="DS694" s="5"/>
      <c r="DT694" s="5"/>
      <c r="DU694" s="5"/>
      <c r="DV694" s="5"/>
      <c r="DW694" s="5"/>
      <c r="DX694" s="5"/>
      <c r="DY694" s="5"/>
      <c r="DZ694" s="5"/>
      <c r="EA694" s="5"/>
      <c r="EB694" s="5"/>
      <c r="EC694" s="5"/>
      <c r="ED694" s="5"/>
      <c r="EE694" s="5"/>
      <c r="EF694" s="5"/>
      <c r="EG694" s="5"/>
      <c r="EH694" s="5"/>
      <c r="EI694" s="5"/>
      <c r="EJ694" s="5"/>
      <c r="EK694" s="5"/>
      <c r="EL694" s="5"/>
      <c r="EM694" s="5"/>
      <c r="EN694" s="5"/>
      <c r="EO694" s="5"/>
      <c r="EP694" s="5"/>
      <c r="EQ694" s="5"/>
      <c r="ER694" s="5"/>
      <c r="ES694" s="5"/>
      <c r="ET694" s="5"/>
      <c r="EU694" s="5"/>
      <c r="EV694" s="5"/>
      <c r="EW694" s="5"/>
      <c r="EX694" s="5"/>
      <c r="EY694" s="5"/>
      <c r="EZ694" s="5"/>
      <c r="FA694" s="5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5"/>
      <c r="CT695" s="5"/>
      <c r="CU695" s="5"/>
      <c r="CV695" s="5"/>
      <c r="CW695" s="5"/>
      <c r="CX695" s="5"/>
      <c r="CY695" s="5"/>
      <c r="CZ695" s="5"/>
      <c r="DA695" s="5"/>
      <c r="DB695" s="5"/>
      <c r="DC695" s="5"/>
      <c r="DD695" s="5"/>
      <c r="DE695" s="5"/>
      <c r="DF695" s="5"/>
      <c r="DG695" s="5"/>
      <c r="DH695" s="5"/>
      <c r="DI695" s="5"/>
      <c r="DJ695" s="5"/>
      <c r="DK695" s="5"/>
      <c r="DL695" s="5"/>
      <c r="DM695" s="5"/>
      <c r="DN695" s="5"/>
      <c r="DO695" s="5"/>
      <c r="DP695" s="5"/>
      <c r="DQ695" s="5"/>
      <c r="DR695" s="5"/>
      <c r="DS695" s="5"/>
      <c r="DT695" s="5"/>
      <c r="DU695" s="5"/>
      <c r="DV695" s="5"/>
      <c r="DW695" s="5"/>
      <c r="DX695" s="5"/>
      <c r="DY695" s="5"/>
      <c r="DZ695" s="5"/>
      <c r="EA695" s="5"/>
      <c r="EB695" s="5"/>
      <c r="EC695" s="5"/>
      <c r="ED695" s="5"/>
      <c r="EE695" s="5"/>
      <c r="EF695" s="5"/>
      <c r="EG695" s="5"/>
      <c r="EH695" s="5"/>
      <c r="EI695" s="5"/>
      <c r="EJ695" s="5"/>
      <c r="EK695" s="5"/>
      <c r="EL695" s="5"/>
      <c r="EM695" s="5"/>
      <c r="EN695" s="5"/>
      <c r="EO695" s="5"/>
      <c r="EP695" s="5"/>
      <c r="EQ695" s="5"/>
      <c r="ER695" s="5"/>
      <c r="ES695" s="5"/>
      <c r="ET695" s="5"/>
      <c r="EU695" s="5"/>
      <c r="EV695" s="5"/>
      <c r="EW695" s="5"/>
      <c r="EX695" s="5"/>
      <c r="EY695" s="5"/>
      <c r="EZ695" s="5"/>
      <c r="FA695" s="5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5"/>
      <c r="CT696" s="5"/>
      <c r="CU696" s="5"/>
      <c r="CV696" s="5"/>
      <c r="CW696" s="5"/>
      <c r="CX696" s="5"/>
      <c r="CY696" s="5"/>
      <c r="CZ696" s="5"/>
      <c r="DA696" s="5"/>
      <c r="DB696" s="5"/>
      <c r="DC696" s="5"/>
      <c r="DD696" s="5"/>
      <c r="DE696" s="5"/>
      <c r="DF696" s="5"/>
      <c r="DG696" s="5"/>
      <c r="DH696" s="5"/>
      <c r="DI696" s="5"/>
      <c r="DJ696" s="5"/>
      <c r="DK696" s="5"/>
      <c r="DL696" s="5"/>
      <c r="DM696" s="5"/>
      <c r="DN696" s="5"/>
      <c r="DO696" s="5"/>
      <c r="DP696" s="5"/>
      <c r="DQ696" s="5"/>
      <c r="DR696" s="5"/>
      <c r="DS696" s="5"/>
      <c r="DT696" s="5"/>
      <c r="DU696" s="5"/>
      <c r="DV696" s="5"/>
      <c r="DW696" s="5"/>
      <c r="DX696" s="5"/>
      <c r="DY696" s="5"/>
      <c r="DZ696" s="5"/>
      <c r="EA696" s="5"/>
      <c r="EB696" s="5"/>
      <c r="EC696" s="5"/>
      <c r="ED696" s="5"/>
      <c r="EE696" s="5"/>
      <c r="EF696" s="5"/>
      <c r="EG696" s="5"/>
      <c r="EH696" s="5"/>
      <c r="EI696" s="5"/>
      <c r="EJ696" s="5"/>
      <c r="EK696" s="5"/>
      <c r="EL696" s="5"/>
      <c r="EM696" s="5"/>
      <c r="EN696" s="5"/>
      <c r="EO696" s="5"/>
      <c r="EP696" s="5"/>
      <c r="EQ696" s="5"/>
      <c r="ER696" s="5"/>
      <c r="ES696" s="5"/>
      <c r="ET696" s="5"/>
      <c r="EU696" s="5"/>
      <c r="EV696" s="5"/>
      <c r="EW696" s="5"/>
      <c r="EX696" s="5"/>
      <c r="EY696" s="5"/>
      <c r="EZ696" s="5"/>
      <c r="FA696" s="5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5"/>
      <c r="CT697" s="5"/>
      <c r="CU697" s="5"/>
      <c r="CV697" s="5"/>
      <c r="CW697" s="5"/>
      <c r="CX697" s="5"/>
      <c r="CY697" s="5"/>
      <c r="CZ697" s="5"/>
      <c r="DA697" s="5"/>
      <c r="DB697" s="5"/>
      <c r="DC697" s="5"/>
      <c r="DD697" s="5"/>
      <c r="DE697" s="5"/>
      <c r="DF697" s="5"/>
      <c r="DG697" s="5"/>
      <c r="DH697" s="5"/>
      <c r="DI697" s="5"/>
      <c r="DJ697" s="5"/>
      <c r="DK697" s="5"/>
      <c r="DL697" s="5"/>
      <c r="DM697" s="5"/>
      <c r="DN697" s="5"/>
      <c r="DO697" s="5"/>
      <c r="DP697" s="5"/>
      <c r="DQ697" s="5"/>
      <c r="DR697" s="5"/>
      <c r="DS697" s="5"/>
      <c r="DT697" s="5"/>
      <c r="DU697" s="5"/>
      <c r="DV697" s="5"/>
      <c r="DW697" s="5"/>
      <c r="DX697" s="5"/>
      <c r="DY697" s="5"/>
      <c r="DZ697" s="5"/>
      <c r="EA697" s="5"/>
      <c r="EB697" s="5"/>
      <c r="EC697" s="5"/>
      <c r="ED697" s="5"/>
      <c r="EE697" s="5"/>
      <c r="EF697" s="5"/>
      <c r="EG697" s="5"/>
      <c r="EH697" s="5"/>
      <c r="EI697" s="5"/>
      <c r="EJ697" s="5"/>
      <c r="EK697" s="5"/>
      <c r="EL697" s="5"/>
      <c r="EM697" s="5"/>
      <c r="EN697" s="5"/>
      <c r="EO697" s="5"/>
      <c r="EP697" s="5"/>
      <c r="EQ697" s="5"/>
      <c r="ER697" s="5"/>
      <c r="ES697" s="5"/>
      <c r="ET697" s="5"/>
      <c r="EU697" s="5"/>
      <c r="EV697" s="5"/>
      <c r="EW697" s="5"/>
      <c r="EX697" s="5"/>
      <c r="EY697" s="5"/>
      <c r="EZ697" s="5"/>
      <c r="FA697" s="5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5"/>
      <c r="CT698" s="5"/>
      <c r="CU698" s="5"/>
      <c r="CV698" s="5"/>
      <c r="CW698" s="5"/>
      <c r="CX698" s="5"/>
      <c r="CY698" s="5"/>
      <c r="CZ698" s="5"/>
      <c r="DA698" s="5"/>
      <c r="DB698" s="5"/>
      <c r="DC698" s="5"/>
      <c r="DD698" s="5"/>
      <c r="DE698" s="5"/>
      <c r="DF698" s="5"/>
      <c r="DG698" s="5"/>
      <c r="DH698" s="5"/>
      <c r="DI698" s="5"/>
      <c r="DJ698" s="5"/>
      <c r="DK698" s="5"/>
      <c r="DL698" s="5"/>
      <c r="DM698" s="5"/>
      <c r="DN698" s="5"/>
      <c r="DO698" s="5"/>
      <c r="DP698" s="5"/>
      <c r="DQ698" s="5"/>
      <c r="DR698" s="5"/>
      <c r="DS698" s="5"/>
      <c r="DT698" s="5"/>
      <c r="DU698" s="5"/>
      <c r="DV698" s="5"/>
      <c r="DW698" s="5"/>
      <c r="DX698" s="5"/>
      <c r="DY698" s="5"/>
      <c r="DZ698" s="5"/>
      <c r="EA698" s="5"/>
      <c r="EB698" s="5"/>
      <c r="EC698" s="5"/>
      <c r="ED698" s="5"/>
      <c r="EE698" s="5"/>
      <c r="EF698" s="5"/>
      <c r="EG698" s="5"/>
      <c r="EH698" s="5"/>
      <c r="EI698" s="5"/>
      <c r="EJ698" s="5"/>
      <c r="EK698" s="5"/>
      <c r="EL698" s="5"/>
      <c r="EM698" s="5"/>
      <c r="EN698" s="5"/>
      <c r="EO698" s="5"/>
      <c r="EP698" s="5"/>
      <c r="EQ698" s="5"/>
      <c r="ER698" s="5"/>
      <c r="ES698" s="5"/>
      <c r="ET698" s="5"/>
      <c r="EU698" s="5"/>
      <c r="EV698" s="5"/>
      <c r="EW698" s="5"/>
      <c r="EX698" s="5"/>
      <c r="EY698" s="5"/>
      <c r="EZ698" s="5"/>
      <c r="FA698" s="5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5"/>
      <c r="CT699" s="5"/>
      <c r="CU699" s="5"/>
      <c r="CV699" s="5"/>
      <c r="CW699" s="5"/>
      <c r="CX699" s="5"/>
      <c r="CY699" s="5"/>
      <c r="CZ699" s="5"/>
      <c r="DA699" s="5"/>
      <c r="DB699" s="5"/>
      <c r="DC699" s="5"/>
      <c r="DD699" s="5"/>
      <c r="DE699" s="5"/>
      <c r="DF699" s="5"/>
      <c r="DG699" s="5"/>
      <c r="DH699" s="5"/>
      <c r="DI699" s="5"/>
      <c r="DJ699" s="5"/>
      <c r="DK699" s="5"/>
      <c r="DL699" s="5"/>
      <c r="DM699" s="5"/>
      <c r="DN699" s="5"/>
      <c r="DO699" s="5"/>
      <c r="DP699" s="5"/>
      <c r="DQ699" s="5"/>
      <c r="DR699" s="5"/>
      <c r="DS699" s="5"/>
      <c r="DT699" s="5"/>
      <c r="DU699" s="5"/>
      <c r="DV699" s="5"/>
      <c r="DW699" s="5"/>
      <c r="DX699" s="5"/>
      <c r="DY699" s="5"/>
      <c r="DZ699" s="5"/>
      <c r="EA699" s="5"/>
      <c r="EB699" s="5"/>
      <c r="EC699" s="5"/>
      <c r="ED699" s="5"/>
      <c r="EE699" s="5"/>
      <c r="EF699" s="5"/>
      <c r="EG699" s="5"/>
      <c r="EH699" s="5"/>
      <c r="EI699" s="5"/>
      <c r="EJ699" s="5"/>
      <c r="EK699" s="5"/>
      <c r="EL699" s="5"/>
      <c r="EM699" s="5"/>
      <c r="EN699" s="5"/>
      <c r="EO699" s="5"/>
      <c r="EP699" s="5"/>
      <c r="EQ699" s="5"/>
      <c r="ER699" s="5"/>
      <c r="ES699" s="5"/>
      <c r="ET699" s="5"/>
      <c r="EU699" s="5"/>
      <c r="EV699" s="5"/>
      <c r="EW699" s="5"/>
      <c r="EX699" s="5"/>
      <c r="EY699" s="5"/>
      <c r="EZ699" s="5"/>
      <c r="FA699" s="5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5"/>
      <c r="CT700" s="5"/>
      <c r="CU700" s="5"/>
      <c r="CV700" s="5"/>
      <c r="CW700" s="5"/>
      <c r="CX700" s="5"/>
      <c r="CY700" s="5"/>
      <c r="CZ700" s="5"/>
      <c r="DA700" s="5"/>
      <c r="DB700" s="5"/>
      <c r="DC700" s="5"/>
      <c r="DD700" s="5"/>
      <c r="DE700" s="5"/>
      <c r="DF700" s="5"/>
      <c r="DG700" s="5"/>
      <c r="DH700" s="5"/>
      <c r="DI700" s="5"/>
      <c r="DJ700" s="5"/>
      <c r="DK700" s="5"/>
      <c r="DL700" s="5"/>
      <c r="DM700" s="5"/>
      <c r="DN700" s="5"/>
      <c r="DO700" s="5"/>
      <c r="DP700" s="5"/>
      <c r="DQ700" s="5"/>
      <c r="DR700" s="5"/>
      <c r="DS700" s="5"/>
      <c r="DT700" s="5"/>
      <c r="DU700" s="5"/>
      <c r="DV700" s="5"/>
      <c r="DW700" s="5"/>
      <c r="DX700" s="5"/>
      <c r="DY700" s="5"/>
      <c r="DZ700" s="5"/>
      <c r="EA700" s="5"/>
      <c r="EB700" s="5"/>
      <c r="EC700" s="5"/>
      <c r="ED700" s="5"/>
      <c r="EE700" s="5"/>
      <c r="EF700" s="5"/>
      <c r="EG700" s="5"/>
      <c r="EH700" s="5"/>
      <c r="EI700" s="5"/>
      <c r="EJ700" s="5"/>
      <c r="EK700" s="5"/>
      <c r="EL700" s="5"/>
      <c r="EM700" s="5"/>
      <c r="EN700" s="5"/>
      <c r="EO700" s="5"/>
      <c r="EP700" s="5"/>
      <c r="EQ700" s="5"/>
      <c r="ER700" s="5"/>
      <c r="ES700" s="5"/>
      <c r="ET700" s="5"/>
      <c r="EU700" s="5"/>
      <c r="EV700" s="5"/>
      <c r="EW700" s="5"/>
      <c r="EX700" s="5"/>
      <c r="EY700" s="5"/>
      <c r="EZ700" s="5"/>
      <c r="FA700" s="5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5"/>
      <c r="CT701" s="5"/>
      <c r="CU701" s="5"/>
      <c r="CV701" s="5"/>
      <c r="CW701" s="5"/>
      <c r="CX701" s="5"/>
      <c r="CY701" s="5"/>
      <c r="CZ701" s="5"/>
      <c r="DA701" s="5"/>
      <c r="DB701" s="5"/>
      <c r="DC701" s="5"/>
      <c r="DD701" s="5"/>
      <c r="DE701" s="5"/>
      <c r="DF701" s="5"/>
      <c r="DG701" s="5"/>
      <c r="DH701" s="5"/>
      <c r="DI701" s="5"/>
      <c r="DJ701" s="5"/>
      <c r="DK701" s="5"/>
      <c r="DL701" s="5"/>
      <c r="DM701" s="5"/>
      <c r="DN701" s="5"/>
      <c r="DO701" s="5"/>
      <c r="DP701" s="5"/>
      <c r="DQ701" s="5"/>
      <c r="DR701" s="5"/>
      <c r="DS701" s="5"/>
      <c r="DT701" s="5"/>
      <c r="DU701" s="5"/>
      <c r="DV701" s="5"/>
      <c r="DW701" s="5"/>
      <c r="DX701" s="5"/>
      <c r="DY701" s="5"/>
      <c r="DZ701" s="5"/>
      <c r="EA701" s="5"/>
      <c r="EB701" s="5"/>
      <c r="EC701" s="5"/>
      <c r="ED701" s="5"/>
      <c r="EE701" s="5"/>
      <c r="EF701" s="5"/>
      <c r="EG701" s="5"/>
      <c r="EH701" s="5"/>
      <c r="EI701" s="5"/>
      <c r="EJ701" s="5"/>
      <c r="EK701" s="5"/>
      <c r="EL701" s="5"/>
      <c r="EM701" s="5"/>
      <c r="EN701" s="5"/>
      <c r="EO701" s="5"/>
      <c r="EP701" s="5"/>
      <c r="EQ701" s="5"/>
      <c r="ER701" s="5"/>
      <c r="ES701" s="5"/>
      <c r="ET701" s="5"/>
      <c r="EU701" s="5"/>
      <c r="EV701" s="5"/>
      <c r="EW701" s="5"/>
      <c r="EX701" s="5"/>
      <c r="EY701" s="5"/>
      <c r="EZ701" s="5"/>
      <c r="FA701" s="5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5"/>
      <c r="CT702" s="5"/>
      <c r="CU702" s="5"/>
      <c r="CV702" s="5"/>
      <c r="CW702" s="5"/>
      <c r="CX702" s="5"/>
      <c r="CY702" s="5"/>
      <c r="CZ702" s="5"/>
      <c r="DA702" s="5"/>
      <c r="DB702" s="5"/>
      <c r="DC702" s="5"/>
      <c r="DD702" s="5"/>
      <c r="DE702" s="5"/>
      <c r="DF702" s="5"/>
      <c r="DG702" s="5"/>
      <c r="DH702" s="5"/>
      <c r="DI702" s="5"/>
      <c r="DJ702" s="5"/>
      <c r="DK702" s="5"/>
      <c r="DL702" s="5"/>
      <c r="DM702" s="5"/>
      <c r="DN702" s="5"/>
      <c r="DO702" s="5"/>
      <c r="DP702" s="5"/>
      <c r="DQ702" s="5"/>
      <c r="DR702" s="5"/>
      <c r="DS702" s="5"/>
      <c r="DT702" s="5"/>
      <c r="DU702" s="5"/>
      <c r="DV702" s="5"/>
      <c r="DW702" s="5"/>
      <c r="DX702" s="5"/>
      <c r="DY702" s="5"/>
      <c r="DZ702" s="5"/>
      <c r="EA702" s="5"/>
      <c r="EB702" s="5"/>
      <c r="EC702" s="5"/>
      <c r="ED702" s="5"/>
      <c r="EE702" s="5"/>
      <c r="EF702" s="5"/>
      <c r="EG702" s="5"/>
      <c r="EH702" s="5"/>
      <c r="EI702" s="5"/>
      <c r="EJ702" s="5"/>
      <c r="EK702" s="5"/>
      <c r="EL702" s="5"/>
      <c r="EM702" s="5"/>
      <c r="EN702" s="5"/>
      <c r="EO702" s="5"/>
      <c r="EP702" s="5"/>
      <c r="EQ702" s="5"/>
      <c r="ER702" s="5"/>
      <c r="ES702" s="5"/>
      <c r="ET702" s="5"/>
      <c r="EU702" s="5"/>
      <c r="EV702" s="5"/>
      <c r="EW702" s="5"/>
      <c r="EX702" s="5"/>
      <c r="EY702" s="5"/>
      <c r="EZ702" s="5"/>
      <c r="FA702" s="5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5"/>
      <c r="CT703" s="5"/>
      <c r="CU703" s="5"/>
      <c r="CV703" s="5"/>
      <c r="CW703" s="5"/>
      <c r="CX703" s="5"/>
      <c r="CY703" s="5"/>
      <c r="CZ703" s="5"/>
      <c r="DA703" s="5"/>
      <c r="DB703" s="5"/>
      <c r="DC703" s="5"/>
      <c r="DD703" s="5"/>
      <c r="DE703" s="5"/>
      <c r="DF703" s="5"/>
      <c r="DG703" s="5"/>
      <c r="DH703" s="5"/>
      <c r="DI703" s="5"/>
      <c r="DJ703" s="5"/>
      <c r="DK703" s="5"/>
      <c r="DL703" s="5"/>
      <c r="DM703" s="5"/>
      <c r="DN703" s="5"/>
      <c r="DO703" s="5"/>
      <c r="DP703" s="5"/>
      <c r="DQ703" s="5"/>
      <c r="DR703" s="5"/>
      <c r="DS703" s="5"/>
      <c r="DT703" s="5"/>
      <c r="DU703" s="5"/>
      <c r="DV703" s="5"/>
      <c r="DW703" s="5"/>
      <c r="DX703" s="5"/>
      <c r="DY703" s="5"/>
      <c r="DZ703" s="5"/>
      <c r="EA703" s="5"/>
      <c r="EB703" s="5"/>
      <c r="EC703" s="5"/>
      <c r="ED703" s="5"/>
      <c r="EE703" s="5"/>
      <c r="EF703" s="5"/>
      <c r="EG703" s="5"/>
      <c r="EH703" s="5"/>
      <c r="EI703" s="5"/>
      <c r="EJ703" s="5"/>
      <c r="EK703" s="5"/>
      <c r="EL703" s="5"/>
      <c r="EM703" s="5"/>
      <c r="EN703" s="5"/>
      <c r="EO703" s="5"/>
      <c r="EP703" s="5"/>
      <c r="EQ703" s="5"/>
      <c r="ER703" s="5"/>
      <c r="ES703" s="5"/>
      <c r="ET703" s="5"/>
      <c r="EU703" s="5"/>
      <c r="EV703" s="5"/>
      <c r="EW703" s="5"/>
      <c r="EX703" s="5"/>
      <c r="EY703" s="5"/>
      <c r="EZ703" s="5"/>
      <c r="FA703" s="5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5"/>
      <c r="CT704" s="5"/>
      <c r="CU704" s="5"/>
      <c r="CV704" s="5"/>
      <c r="CW704" s="5"/>
      <c r="CX704" s="5"/>
      <c r="CY704" s="5"/>
      <c r="CZ704" s="5"/>
      <c r="DA704" s="5"/>
      <c r="DB704" s="5"/>
      <c r="DC704" s="5"/>
      <c r="DD704" s="5"/>
      <c r="DE704" s="5"/>
      <c r="DF704" s="5"/>
      <c r="DG704" s="5"/>
      <c r="DH704" s="5"/>
      <c r="DI704" s="5"/>
      <c r="DJ704" s="5"/>
      <c r="DK704" s="5"/>
      <c r="DL704" s="5"/>
      <c r="DM704" s="5"/>
      <c r="DN704" s="5"/>
      <c r="DO704" s="5"/>
      <c r="DP704" s="5"/>
      <c r="DQ704" s="5"/>
      <c r="DR704" s="5"/>
      <c r="DS704" s="5"/>
      <c r="DT704" s="5"/>
      <c r="DU704" s="5"/>
      <c r="DV704" s="5"/>
      <c r="DW704" s="5"/>
      <c r="DX704" s="5"/>
      <c r="DY704" s="5"/>
      <c r="DZ704" s="5"/>
      <c r="EA704" s="5"/>
      <c r="EB704" s="5"/>
      <c r="EC704" s="5"/>
      <c r="ED704" s="5"/>
      <c r="EE704" s="5"/>
      <c r="EF704" s="5"/>
      <c r="EG704" s="5"/>
      <c r="EH704" s="5"/>
      <c r="EI704" s="5"/>
      <c r="EJ704" s="5"/>
      <c r="EK704" s="5"/>
      <c r="EL704" s="5"/>
      <c r="EM704" s="5"/>
      <c r="EN704" s="5"/>
      <c r="EO704" s="5"/>
      <c r="EP704" s="5"/>
      <c r="EQ704" s="5"/>
      <c r="ER704" s="5"/>
      <c r="ES704" s="5"/>
      <c r="ET704" s="5"/>
      <c r="EU704" s="5"/>
      <c r="EV704" s="5"/>
      <c r="EW704" s="5"/>
      <c r="EX704" s="5"/>
      <c r="EY704" s="5"/>
      <c r="EZ704" s="5"/>
      <c r="FA704" s="5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5"/>
      <c r="CT705" s="5"/>
      <c r="CU705" s="5"/>
      <c r="CV705" s="5"/>
      <c r="CW705" s="5"/>
      <c r="CX705" s="5"/>
      <c r="CY705" s="5"/>
      <c r="CZ705" s="5"/>
      <c r="DA705" s="5"/>
      <c r="DB705" s="5"/>
      <c r="DC705" s="5"/>
      <c r="DD705" s="5"/>
      <c r="DE705" s="5"/>
      <c r="DF705" s="5"/>
      <c r="DG705" s="5"/>
      <c r="DH705" s="5"/>
      <c r="DI705" s="5"/>
      <c r="DJ705" s="5"/>
      <c r="DK705" s="5"/>
      <c r="DL705" s="5"/>
      <c r="DM705" s="5"/>
      <c r="DN705" s="5"/>
      <c r="DO705" s="5"/>
      <c r="DP705" s="5"/>
      <c r="DQ705" s="5"/>
      <c r="DR705" s="5"/>
      <c r="DS705" s="5"/>
      <c r="DT705" s="5"/>
      <c r="DU705" s="5"/>
      <c r="DV705" s="5"/>
      <c r="DW705" s="5"/>
      <c r="DX705" s="5"/>
      <c r="DY705" s="5"/>
      <c r="DZ705" s="5"/>
      <c r="EA705" s="5"/>
      <c r="EB705" s="5"/>
      <c r="EC705" s="5"/>
      <c r="ED705" s="5"/>
      <c r="EE705" s="5"/>
      <c r="EF705" s="5"/>
      <c r="EG705" s="5"/>
      <c r="EH705" s="5"/>
      <c r="EI705" s="5"/>
      <c r="EJ705" s="5"/>
      <c r="EK705" s="5"/>
      <c r="EL705" s="5"/>
      <c r="EM705" s="5"/>
      <c r="EN705" s="5"/>
      <c r="EO705" s="5"/>
      <c r="EP705" s="5"/>
      <c r="EQ705" s="5"/>
      <c r="ER705" s="5"/>
      <c r="ES705" s="5"/>
      <c r="ET705" s="5"/>
      <c r="EU705" s="5"/>
      <c r="EV705" s="5"/>
      <c r="EW705" s="5"/>
      <c r="EX705" s="5"/>
      <c r="EY705" s="5"/>
      <c r="EZ705" s="5"/>
      <c r="FA705" s="5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5"/>
      <c r="CT706" s="5"/>
      <c r="CU706" s="5"/>
      <c r="CV706" s="5"/>
      <c r="CW706" s="5"/>
      <c r="CX706" s="5"/>
      <c r="CY706" s="5"/>
      <c r="CZ706" s="5"/>
      <c r="DA706" s="5"/>
      <c r="DB706" s="5"/>
      <c r="DC706" s="5"/>
      <c r="DD706" s="5"/>
      <c r="DE706" s="5"/>
      <c r="DF706" s="5"/>
      <c r="DG706" s="5"/>
      <c r="DH706" s="5"/>
      <c r="DI706" s="5"/>
      <c r="DJ706" s="5"/>
      <c r="DK706" s="5"/>
      <c r="DL706" s="5"/>
      <c r="DM706" s="5"/>
      <c r="DN706" s="5"/>
      <c r="DO706" s="5"/>
      <c r="DP706" s="5"/>
      <c r="DQ706" s="5"/>
      <c r="DR706" s="5"/>
      <c r="DS706" s="5"/>
      <c r="DT706" s="5"/>
      <c r="DU706" s="5"/>
      <c r="DV706" s="5"/>
      <c r="DW706" s="5"/>
      <c r="DX706" s="5"/>
      <c r="DY706" s="5"/>
      <c r="DZ706" s="5"/>
      <c r="EA706" s="5"/>
      <c r="EB706" s="5"/>
      <c r="EC706" s="5"/>
      <c r="ED706" s="5"/>
      <c r="EE706" s="5"/>
      <c r="EF706" s="5"/>
      <c r="EG706" s="5"/>
      <c r="EH706" s="5"/>
      <c r="EI706" s="5"/>
      <c r="EJ706" s="5"/>
      <c r="EK706" s="5"/>
      <c r="EL706" s="5"/>
      <c r="EM706" s="5"/>
      <c r="EN706" s="5"/>
      <c r="EO706" s="5"/>
      <c r="EP706" s="5"/>
      <c r="EQ706" s="5"/>
      <c r="ER706" s="5"/>
      <c r="ES706" s="5"/>
      <c r="ET706" s="5"/>
      <c r="EU706" s="5"/>
      <c r="EV706" s="5"/>
      <c r="EW706" s="5"/>
      <c r="EX706" s="5"/>
      <c r="EY706" s="5"/>
      <c r="EZ706" s="5"/>
      <c r="FA706" s="5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5"/>
      <c r="CT707" s="5"/>
      <c r="CU707" s="5"/>
      <c r="CV707" s="5"/>
      <c r="CW707" s="5"/>
      <c r="CX707" s="5"/>
      <c r="CY707" s="5"/>
      <c r="CZ707" s="5"/>
      <c r="DA707" s="5"/>
      <c r="DB707" s="5"/>
      <c r="DC707" s="5"/>
      <c r="DD707" s="5"/>
      <c r="DE707" s="5"/>
      <c r="DF707" s="5"/>
      <c r="DG707" s="5"/>
      <c r="DH707" s="5"/>
      <c r="DI707" s="5"/>
      <c r="DJ707" s="5"/>
      <c r="DK707" s="5"/>
      <c r="DL707" s="5"/>
      <c r="DM707" s="5"/>
      <c r="DN707" s="5"/>
      <c r="DO707" s="5"/>
      <c r="DP707" s="5"/>
      <c r="DQ707" s="5"/>
      <c r="DR707" s="5"/>
      <c r="DS707" s="5"/>
      <c r="DT707" s="5"/>
      <c r="DU707" s="5"/>
      <c r="DV707" s="5"/>
      <c r="DW707" s="5"/>
      <c r="DX707" s="5"/>
      <c r="DY707" s="5"/>
      <c r="DZ707" s="5"/>
      <c r="EA707" s="5"/>
      <c r="EB707" s="5"/>
      <c r="EC707" s="5"/>
      <c r="ED707" s="5"/>
      <c r="EE707" s="5"/>
      <c r="EF707" s="5"/>
      <c r="EG707" s="5"/>
      <c r="EH707" s="5"/>
      <c r="EI707" s="5"/>
      <c r="EJ707" s="5"/>
      <c r="EK707" s="5"/>
      <c r="EL707" s="5"/>
      <c r="EM707" s="5"/>
      <c r="EN707" s="5"/>
      <c r="EO707" s="5"/>
      <c r="EP707" s="5"/>
      <c r="EQ707" s="5"/>
      <c r="ER707" s="5"/>
      <c r="ES707" s="5"/>
      <c r="ET707" s="5"/>
      <c r="EU707" s="5"/>
      <c r="EV707" s="5"/>
      <c r="EW707" s="5"/>
      <c r="EX707" s="5"/>
      <c r="EY707" s="5"/>
      <c r="EZ707" s="5"/>
      <c r="FA707" s="5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5"/>
      <c r="CT708" s="5"/>
      <c r="CU708" s="5"/>
      <c r="CV708" s="5"/>
      <c r="CW708" s="5"/>
      <c r="CX708" s="5"/>
      <c r="CY708" s="5"/>
      <c r="CZ708" s="5"/>
      <c r="DA708" s="5"/>
      <c r="DB708" s="5"/>
      <c r="DC708" s="5"/>
      <c r="DD708" s="5"/>
      <c r="DE708" s="5"/>
      <c r="DF708" s="5"/>
      <c r="DG708" s="5"/>
      <c r="DH708" s="5"/>
      <c r="DI708" s="5"/>
      <c r="DJ708" s="5"/>
      <c r="DK708" s="5"/>
      <c r="DL708" s="5"/>
      <c r="DM708" s="5"/>
      <c r="DN708" s="5"/>
      <c r="DO708" s="5"/>
      <c r="DP708" s="5"/>
      <c r="DQ708" s="5"/>
      <c r="DR708" s="5"/>
      <c r="DS708" s="5"/>
      <c r="DT708" s="5"/>
      <c r="DU708" s="5"/>
      <c r="DV708" s="5"/>
      <c r="DW708" s="5"/>
      <c r="DX708" s="5"/>
      <c r="DY708" s="5"/>
      <c r="DZ708" s="5"/>
      <c r="EA708" s="5"/>
      <c r="EB708" s="5"/>
      <c r="EC708" s="5"/>
      <c r="ED708" s="5"/>
      <c r="EE708" s="5"/>
      <c r="EF708" s="5"/>
      <c r="EG708" s="5"/>
      <c r="EH708" s="5"/>
      <c r="EI708" s="5"/>
      <c r="EJ708" s="5"/>
      <c r="EK708" s="5"/>
      <c r="EL708" s="5"/>
      <c r="EM708" s="5"/>
      <c r="EN708" s="5"/>
      <c r="EO708" s="5"/>
      <c r="EP708" s="5"/>
      <c r="EQ708" s="5"/>
      <c r="ER708" s="5"/>
      <c r="ES708" s="5"/>
      <c r="ET708" s="5"/>
      <c r="EU708" s="5"/>
      <c r="EV708" s="5"/>
      <c r="EW708" s="5"/>
      <c r="EX708" s="5"/>
      <c r="EY708" s="5"/>
      <c r="EZ708" s="5"/>
      <c r="FA708" s="5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5"/>
      <c r="CT709" s="5"/>
      <c r="CU709" s="5"/>
      <c r="CV709" s="5"/>
      <c r="CW709" s="5"/>
      <c r="CX709" s="5"/>
      <c r="CY709" s="5"/>
      <c r="CZ709" s="5"/>
      <c r="DA709" s="5"/>
      <c r="DB709" s="5"/>
      <c r="DC709" s="5"/>
      <c r="DD709" s="5"/>
      <c r="DE709" s="5"/>
      <c r="DF709" s="5"/>
      <c r="DG709" s="5"/>
      <c r="DH709" s="5"/>
      <c r="DI709" s="5"/>
      <c r="DJ709" s="5"/>
      <c r="DK709" s="5"/>
      <c r="DL709" s="5"/>
      <c r="DM709" s="5"/>
      <c r="DN709" s="5"/>
      <c r="DO709" s="5"/>
      <c r="DP709" s="5"/>
      <c r="DQ709" s="5"/>
      <c r="DR709" s="5"/>
      <c r="DS709" s="5"/>
      <c r="DT709" s="5"/>
      <c r="DU709" s="5"/>
      <c r="DV709" s="5"/>
      <c r="DW709" s="5"/>
      <c r="DX709" s="5"/>
      <c r="DY709" s="5"/>
      <c r="DZ709" s="5"/>
      <c r="EA709" s="5"/>
      <c r="EB709" s="5"/>
      <c r="EC709" s="5"/>
      <c r="ED709" s="5"/>
      <c r="EE709" s="5"/>
      <c r="EF709" s="5"/>
      <c r="EG709" s="5"/>
      <c r="EH709" s="5"/>
      <c r="EI709" s="5"/>
      <c r="EJ709" s="5"/>
      <c r="EK709" s="5"/>
      <c r="EL709" s="5"/>
      <c r="EM709" s="5"/>
      <c r="EN709" s="5"/>
      <c r="EO709" s="5"/>
      <c r="EP709" s="5"/>
      <c r="EQ709" s="5"/>
      <c r="ER709" s="5"/>
      <c r="ES709" s="5"/>
      <c r="ET709" s="5"/>
      <c r="EU709" s="5"/>
      <c r="EV709" s="5"/>
      <c r="EW709" s="5"/>
      <c r="EX709" s="5"/>
      <c r="EY709" s="5"/>
      <c r="EZ709" s="5"/>
      <c r="FA709" s="5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5"/>
      <c r="CT710" s="5"/>
      <c r="CU710" s="5"/>
      <c r="CV710" s="5"/>
      <c r="CW710" s="5"/>
      <c r="CX710" s="5"/>
      <c r="CY710" s="5"/>
      <c r="CZ710" s="5"/>
      <c r="DA710" s="5"/>
      <c r="DB710" s="5"/>
      <c r="DC710" s="5"/>
      <c r="DD710" s="5"/>
      <c r="DE710" s="5"/>
      <c r="DF710" s="5"/>
      <c r="DG710" s="5"/>
      <c r="DH710" s="5"/>
      <c r="DI710" s="5"/>
      <c r="DJ710" s="5"/>
      <c r="DK710" s="5"/>
      <c r="DL710" s="5"/>
      <c r="DM710" s="5"/>
      <c r="DN710" s="5"/>
      <c r="DO710" s="5"/>
      <c r="DP710" s="5"/>
      <c r="DQ710" s="5"/>
      <c r="DR710" s="5"/>
      <c r="DS710" s="5"/>
      <c r="DT710" s="5"/>
      <c r="DU710" s="5"/>
      <c r="DV710" s="5"/>
      <c r="DW710" s="5"/>
      <c r="DX710" s="5"/>
      <c r="DY710" s="5"/>
      <c r="DZ710" s="5"/>
      <c r="EA710" s="5"/>
      <c r="EB710" s="5"/>
      <c r="EC710" s="5"/>
      <c r="ED710" s="5"/>
      <c r="EE710" s="5"/>
      <c r="EF710" s="5"/>
      <c r="EG710" s="5"/>
      <c r="EH710" s="5"/>
      <c r="EI710" s="5"/>
      <c r="EJ710" s="5"/>
      <c r="EK710" s="5"/>
      <c r="EL710" s="5"/>
      <c r="EM710" s="5"/>
      <c r="EN710" s="5"/>
      <c r="EO710" s="5"/>
      <c r="EP710" s="5"/>
      <c r="EQ710" s="5"/>
      <c r="ER710" s="5"/>
      <c r="ES710" s="5"/>
      <c r="ET710" s="5"/>
      <c r="EU710" s="5"/>
      <c r="EV710" s="5"/>
      <c r="EW710" s="5"/>
      <c r="EX710" s="5"/>
      <c r="EY710" s="5"/>
      <c r="EZ710" s="5"/>
      <c r="FA710" s="5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5"/>
      <c r="CT711" s="5"/>
      <c r="CU711" s="5"/>
      <c r="CV711" s="5"/>
      <c r="CW711" s="5"/>
      <c r="CX711" s="5"/>
      <c r="CY711" s="5"/>
      <c r="CZ711" s="5"/>
      <c r="DA711" s="5"/>
      <c r="DB711" s="5"/>
      <c r="DC711" s="5"/>
      <c r="DD711" s="5"/>
      <c r="DE711" s="5"/>
      <c r="DF711" s="5"/>
      <c r="DG711" s="5"/>
      <c r="DH711" s="5"/>
      <c r="DI711" s="5"/>
      <c r="DJ711" s="5"/>
      <c r="DK711" s="5"/>
      <c r="DL711" s="5"/>
      <c r="DM711" s="5"/>
      <c r="DN711" s="5"/>
      <c r="DO711" s="5"/>
      <c r="DP711" s="5"/>
      <c r="DQ711" s="5"/>
      <c r="DR711" s="5"/>
      <c r="DS711" s="5"/>
      <c r="DT711" s="5"/>
      <c r="DU711" s="5"/>
      <c r="DV711" s="5"/>
      <c r="DW711" s="5"/>
      <c r="DX711" s="5"/>
      <c r="DY711" s="5"/>
      <c r="DZ711" s="5"/>
      <c r="EA711" s="5"/>
      <c r="EB711" s="5"/>
      <c r="EC711" s="5"/>
      <c r="ED711" s="5"/>
      <c r="EE711" s="5"/>
      <c r="EF711" s="5"/>
      <c r="EG711" s="5"/>
      <c r="EH711" s="5"/>
      <c r="EI711" s="5"/>
      <c r="EJ711" s="5"/>
      <c r="EK711" s="5"/>
      <c r="EL711" s="5"/>
      <c r="EM711" s="5"/>
      <c r="EN711" s="5"/>
      <c r="EO711" s="5"/>
      <c r="EP711" s="5"/>
      <c r="EQ711" s="5"/>
      <c r="ER711" s="5"/>
      <c r="ES711" s="5"/>
      <c r="ET711" s="5"/>
      <c r="EU711" s="5"/>
      <c r="EV711" s="5"/>
      <c r="EW711" s="5"/>
      <c r="EX711" s="5"/>
      <c r="EY711" s="5"/>
      <c r="EZ711" s="5"/>
      <c r="FA711" s="5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5"/>
      <c r="CT712" s="5"/>
      <c r="CU712" s="5"/>
      <c r="CV712" s="5"/>
      <c r="CW712" s="5"/>
      <c r="CX712" s="5"/>
      <c r="CY712" s="5"/>
      <c r="CZ712" s="5"/>
      <c r="DA712" s="5"/>
      <c r="DB712" s="5"/>
      <c r="DC712" s="5"/>
      <c r="DD712" s="5"/>
      <c r="DE712" s="5"/>
      <c r="DF712" s="5"/>
      <c r="DG712" s="5"/>
      <c r="DH712" s="5"/>
      <c r="DI712" s="5"/>
      <c r="DJ712" s="5"/>
      <c r="DK712" s="5"/>
      <c r="DL712" s="5"/>
      <c r="DM712" s="5"/>
      <c r="DN712" s="5"/>
      <c r="DO712" s="5"/>
      <c r="DP712" s="5"/>
      <c r="DQ712" s="5"/>
      <c r="DR712" s="5"/>
      <c r="DS712" s="5"/>
      <c r="DT712" s="5"/>
      <c r="DU712" s="5"/>
      <c r="DV712" s="5"/>
      <c r="DW712" s="5"/>
      <c r="DX712" s="5"/>
      <c r="DY712" s="5"/>
      <c r="DZ712" s="5"/>
      <c r="EA712" s="5"/>
      <c r="EB712" s="5"/>
      <c r="EC712" s="5"/>
      <c r="ED712" s="5"/>
      <c r="EE712" s="5"/>
      <c r="EF712" s="5"/>
      <c r="EG712" s="5"/>
      <c r="EH712" s="5"/>
      <c r="EI712" s="5"/>
      <c r="EJ712" s="5"/>
      <c r="EK712" s="5"/>
      <c r="EL712" s="5"/>
      <c r="EM712" s="5"/>
      <c r="EN712" s="5"/>
      <c r="EO712" s="5"/>
      <c r="EP712" s="5"/>
      <c r="EQ712" s="5"/>
      <c r="ER712" s="5"/>
      <c r="ES712" s="5"/>
      <c r="ET712" s="5"/>
      <c r="EU712" s="5"/>
      <c r="EV712" s="5"/>
      <c r="EW712" s="5"/>
      <c r="EX712" s="5"/>
      <c r="EY712" s="5"/>
      <c r="EZ712" s="5"/>
      <c r="FA712" s="5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5"/>
      <c r="CT713" s="5"/>
      <c r="CU713" s="5"/>
      <c r="CV713" s="5"/>
      <c r="CW713" s="5"/>
      <c r="CX713" s="5"/>
      <c r="CY713" s="5"/>
      <c r="CZ713" s="5"/>
      <c r="DA713" s="5"/>
      <c r="DB713" s="5"/>
      <c r="DC713" s="5"/>
      <c r="DD713" s="5"/>
      <c r="DE713" s="5"/>
      <c r="DF713" s="5"/>
      <c r="DG713" s="5"/>
      <c r="DH713" s="5"/>
      <c r="DI713" s="5"/>
      <c r="DJ713" s="5"/>
      <c r="DK713" s="5"/>
      <c r="DL713" s="5"/>
      <c r="DM713" s="5"/>
      <c r="DN713" s="5"/>
      <c r="DO713" s="5"/>
      <c r="DP713" s="5"/>
      <c r="DQ713" s="5"/>
      <c r="DR713" s="5"/>
      <c r="DS713" s="5"/>
      <c r="DT713" s="5"/>
      <c r="DU713" s="5"/>
      <c r="DV713" s="5"/>
      <c r="DW713" s="5"/>
      <c r="DX713" s="5"/>
      <c r="DY713" s="5"/>
      <c r="DZ713" s="5"/>
      <c r="EA713" s="5"/>
      <c r="EB713" s="5"/>
      <c r="EC713" s="5"/>
      <c r="ED713" s="5"/>
      <c r="EE713" s="5"/>
      <c r="EF713" s="5"/>
      <c r="EG713" s="5"/>
      <c r="EH713" s="5"/>
      <c r="EI713" s="5"/>
      <c r="EJ713" s="5"/>
      <c r="EK713" s="5"/>
      <c r="EL713" s="5"/>
      <c r="EM713" s="5"/>
      <c r="EN713" s="5"/>
      <c r="EO713" s="5"/>
      <c r="EP713" s="5"/>
      <c r="EQ713" s="5"/>
      <c r="ER713" s="5"/>
      <c r="ES713" s="5"/>
      <c r="ET713" s="5"/>
      <c r="EU713" s="5"/>
      <c r="EV713" s="5"/>
      <c r="EW713" s="5"/>
      <c r="EX713" s="5"/>
      <c r="EY713" s="5"/>
      <c r="EZ713" s="5"/>
      <c r="FA713" s="5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5"/>
      <c r="CT714" s="5"/>
      <c r="CU714" s="5"/>
      <c r="CV714" s="5"/>
      <c r="CW714" s="5"/>
      <c r="CX714" s="5"/>
      <c r="CY714" s="5"/>
      <c r="CZ714" s="5"/>
      <c r="DA714" s="5"/>
      <c r="DB714" s="5"/>
      <c r="DC714" s="5"/>
      <c r="DD714" s="5"/>
      <c r="DE714" s="5"/>
      <c r="DF714" s="5"/>
      <c r="DG714" s="5"/>
      <c r="DH714" s="5"/>
      <c r="DI714" s="5"/>
      <c r="DJ714" s="5"/>
      <c r="DK714" s="5"/>
      <c r="DL714" s="5"/>
      <c r="DM714" s="5"/>
      <c r="DN714" s="5"/>
      <c r="DO714" s="5"/>
      <c r="DP714" s="5"/>
      <c r="DQ714" s="5"/>
      <c r="DR714" s="5"/>
      <c r="DS714" s="5"/>
      <c r="DT714" s="5"/>
      <c r="DU714" s="5"/>
      <c r="DV714" s="5"/>
      <c r="DW714" s="5"/>
      <c r="DX714" s="5"/>
      <c r="DY714" s="5"/>
      <c r="DZ714" s="5"/>
      <c r="EA714" s="5"/>
      <c r="EB714" s="5"/>
      <c r="EC714" s="5"/>
      <c r="ED714" s="5"/>
      <c r="EE714" s="5"/>
      <c r="EF714" s="5"/>
      <c r="EG714" s="5"/>
      <c r="EH714" s="5"/>
      <c r="EI714" s="5"/>
      <c r="EJ714" s="5"/>
      <c r="EK714" s="5"/>
      <c r="EL714" s="5"/>
      <c r="EM714" s="5"/>
      <c r="EN714" s="5"/>
      <c r="EO714" s="5"/>
      <c r="EP714" s="5"/>
      <c r="EQ714" s="5"/>
      <c r="ER714" s="5"/>
      <c r="ES714" s="5"/>
      <c r="ET714" s="5"/>
      <c r="EU714" s="5"/>
      <c r="EV714" s="5"/>
      <c r="EW714" s="5"/>
      <c r="EX714" s="5"/>
      <c r="EY714" s="5"/>
      <c r="EZ714" s="5"/>
      <c r="FA714" s="5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5"/>
      <c r="CT715" s="5"/>
      <c r="CU715" s="5"/>
      <c r="CV715" s="5"/>
      <c r="CW715" s="5"/>
      <c r="CX715" s="5"/>
      <c r="CY715" s="5"/>
      <c r="CZ715" s="5"/>
      <c r="DA715" s="5"/>
      <c r="DB715" s="5"/>
      <c r="DC715" s="5"/>
      <c r="DD715" s="5"/>
      <c r="DE715" s="5"/>
      <c r="DF715" s="5"/>
      <c r="DG715" s="5"/>
      <c r="DH715" s="5"/>
      <c r="DI715" s="5"/>
      <c r="DJ715" s="5"/>
      <c r="DK715" s="5"/>
      <c r="DL715" s="5"/>
      <c r="DM715" s="5"/>
      <c r="DN715" s="5"/>
      <c r="DO715" s="5"/>
      <c r="DP715" s="5"/>
      <c r="DQ715" s="5"/>
      <c r="DR715" s="5"/>
      <c r="DS715" s="5"/>
      <c r="DT715" s="5"/>
      <c r="DU715" s="5"/>
      <c r="DV715" s="5"/>
      <c r="DW715" s="5"/>
      <c r="DX715" s="5"/>
      <c r="DY715" s="5"/>
      <c r="DZ715" s="5"/>
      <c r="EA715" s="5"/>
      <c r="EB715" s="5"/>
      <c r="EC715" s="5"/>
      <c r="ED715" s="5"/>
      <c r="EE715" s="5"/>
      <c r="EF715" s="5"/>
      <c r="EG715" s="5"/>
      <c r="EH715" s="5"/>
      <c r="EI715" s="5"/>
      <c r="EJ715" s="5"/>
      <c r="EK715" s="5"/>
      <c r="EL715" s="5"/>
      <c r="EM715" s="5"/>
      <c r="EN715" s="5"/>
      <c r="EO715" s="5"/>
      <c r="EP715" s="5"/>
      <c r="EQ715" s="5"/>
      <c r="ER715" s="5"/>
      <c r="ES715" s="5"/>
      <c r="ET715" s="5"/>
      <c r="EU715" s="5"/>
      <c r="EV715" s="5"/>
      <c r="EW715" s="5"/>
      <c r="EX715" s="5"/>
      <c r="EY715" s="5"/>
      <c r="EZ715" s="5"/>
      <c r="FA715" s="5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5"/>
      <c r="CT716" s="5"/>
      <c r="CU716" s="5"/>
      <c r="CV716" s="5"/>
      <c r="CW716" s="5"/>
      <c r="CX716" s="5"/>
      <c r="CY716" s="5"/>
      <c r="CZ716" s="5"/>
      <c r="DA716" s="5"/>
      <c r="DB716" s="5"/>
      <c r="DC716" s="5"/>
      <c r="DD716" s="5"/>
      <c r="DE716" s="5"/>
      <c r="DF716" s="5"/>
      <c r="DG716" s="5"/>
      <c r="DH716" s="5"/>
      <c r="DI716" s="5"/>
      <c r="DJ716" s="5"/>
      <c r="DK716" s="5"/>
      <c r="DL716" s="5"/>
      <c r="DM716" s="5"/>
      <c r="DN716" s="5"/>
      <c r="DO716" s="5"/>
      <c r="DP716" s="5"/>
      <c r="DQ716" s="5"/>
      <c r="DR716" s="5"/>
      <c r="DS716" s="5"/>
      <c r="DT716" s="5"/>
      <c r="DU716" s="5"/>
      <c r="DV716" s="5"/>
      <c r="DW716" s="5"/>
      <c r="DX716" s="5"/>
      <c r="DY716" s="5"/>
      <c r="DZ716" s="5"/>
      <c r="EA716" s="5"/>
      <c r="EB716" s="5"/>
      <c r="EC716" s="5"/>
      <c r="ED716" s="5"/>
      <c r="EE716" s="5"/>
      <c r="EF716" s="5"/>
      <c r="EG716" s="5"/>
      <c r="EH716" s="5"/>
      <c r="EI716" s="5"/>
      <c r="EJ716" s="5"/>
      <c r="EK716" s="5"/>
      <c r="EL716" s="5"/>
      <c r="EM716" s="5"/>
      <c r="EN716" s="5"/>
      <c r="EO716" s="5"/>
      <c r="EP716" s="5"/>
      <c r="EQ716" s="5"/>
      <c r="ER716" s="5"/>
      <c r="ES716" s="5"/>
      <c r="ET716" s="5"/>
      <c r="EU716" s="5"/>
      <c r="EV716" s="5"/>
      <c r="EW716" s="5"/>
      <c r="EX716" s="5"/>
      <c r="EY716" s="5"/>
      <c r="EZ716" s="5"/>
      <c r="FA716" s="5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5"/>
      <c r="CT717" s="5"/>
      <c r="CU717" s="5"/>
      <c r="CV717" s="5"/>
      <c r="CW717" s="5"/>
      <c r="CX717" s="5"/>
      <c r="CY717" s="5"/>
      <c r="CZ717" s="5"/>
      <c r="DA717" s="5"/>
      <c r="DB717" s="5"/>
      <c r="DC717" s="5"/>
      <c r="DD717" s="5"/>
      <c r="DE717" s="5"/>
      <c r="DF717" s="5"/>
      <c r="DG717" s="5"/>
      <c r="DH717" s="5"/>
      <c r="DI717" s="5"/>
      <c r="DJ717" s="5"/>
      <c r="DK717" s="5"/>
      <c r="DL717" s="5"/>
      <c r="DM717" s="5"/>
      <c r="DN717" s="5"/>
      <c r="DO717" s="5"/>
      <c r="DP717" s="5"/>
      <c r="DQ717" s="5"/>
      <c r="DR717" s="5"/>
      <c r="DS717" s="5"/>
      <c r="DT717" s="5"/>
      <c r="DU717" s="5"/>
      <c r="DV717" s="5"/>
      <c r="DW717" s="5"/>
      <c r="DX717" s="5"/>
      <c r="DY717" s="5"/>
      <c r="DZ717" s="5"/>
      <c r="EA717" s="5"/>
      <c r="EB717" s="5"/>
      <c r="EC717" s="5"/>
      <c r="ED717" s="5"/>
      <c r="EE717" s="5"/>
      <c r="EF717" s="5"/>
      <c r="EG717" s="5"/>
      <c r="EH717" s="5"/>
      <c r="EI717" s="5"/>
      <c r="EJ717" s="5"/>
      <c r="EK717" s="5"/>
      <c r="EL717" s="5"/>
      <c r="EM717" s="5"/>
      <c r="EN717" s="5"/>
      <c r="EO717" s="5"/>
      <c r="EP717" s="5"/>
      <c r="EQ717" s="5"/>
      <c r="ER717" s="5"/>
      <c r="ES717" s="5"/>
      <c r="ET717" s="5"/>
      <c r="EU717" s="5"/>
      <c r="EV717" s="5"/>
      <c r="EW717" s="5"/>
      <c r="EX717" s="5"/>
      <c r="EY717" s="5"/>
      <c r="EZ717" s="5"/>
      <c r="FA717" s="5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5"/>
      <c r="CT718" s="5"/>
      <c r="CU718" s="5"/>
      <c r="CV718" s="5"/>
      <c r="CW718" s="5"/>
      <c r="CX718" s="5"/>
      <c r="CY718" s="5"/>
      <c r="CZ718" s="5"/>
      <c r="DA718" s="5"/>
      <c r="DB718" s="5"/>
      <c r="DC718" s="5"/>
      <c r="DD718" s="5"/>
      <c r="DE718" s="5"/>
      <c r="DF718" s="5"/>
      <c r="DG718" s="5"/>
      <c r="DH718" s="5"/>
      <c r="DI718" s="5"/>
      <c r="DJ718" s="5"/>
      <c r="DK718" s="5"/>
      <c r="DL718" s="5"/>
      <c r="DM718" s="5"/>
      <c r="DN718" s="5"/>
      <c r="DO718" s="5"/>
      <c r="DP718" s="5"/>
      <c r="DQ718" s="5"/>
      <c r="DR718" s="5"/>
      <c r="DS718" s="5"/>
      <c r="DT718" s="5"/>
      <c r="DU718" s="5"/>
      <c r="DV718" s="5"/>
      <c r="DW718" s="5"/>
      <c r="DX718" s="5"/>
      <c r="DY718" s="5"/>
      <c r="DZ718" s="5"/>
      <c r="EA718" s="5"/>
      <c r="EB718" s="5"/>
      <c r="EC718" s="5"/>
      <c r="ED718" s="5"/>
      <c r="EE718" s="5"/>
      <c r="EF718" s="5"/>
      <c r="EG718" s="5"/>
      <c r="EH718" s="5"/>
      <c r="EI718" s="5"/>
      <c r="EJ718" s="5"/>
      <c r="EK718" s="5"/>
      <c r="EL718" s="5"/>
      <c r="EM718" s="5"/>
      <c r="EN718" s="5"/>
      <c r="EO718" s="5"/>
      <c r="EP718" s="5"/>
      <c r="EQ718" s="5"/>
      <c r="ER718" s="5"/>
      <c r="ES718" s="5"/>
      <c r="ET718" s="5"/>
      <c r="EU718" s="5"/>
      <c r="EV718" s="5"/>
      <c r="EW718" s="5"/>
      <c r="EX718" s="5"/>
      <c r="EY718" s="5"/>
      <c r="EZ718" s="5"/>
      <c r="FA718" s="5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5"/>
      <c r="CT719" s="5"/>
      <c r="CU719" s="5"/>
      <c r="CV719" s="5"/>
      <c r="CW719" s="5"/>
      <c r="CX719" s="5"/>
      <c r="CY719" s="5"/>
      <c r="CZ719" s="5"/>
      <c r="DA719" s="5"/>
      <c r="DB719" s="5"/>
      <c r="DC719" s="5"/>
      <c r="DD719" s="5"/>
      <c r="DE719" s="5"/>
      <c r="DF719" s="5"/>
      <c r="DG719" s="5"/>
      <c r="DH719" s="5"/>
      <c r="DI719" s="5"/>
      <c r="DJ719" s="5"/>
      <c r="DK719" s="5"/>
      <c r="DL719" s="5"/>
      <c r="DM719" s="5"/>
      <c r="DN719" s="5"/>
      <c r="DO719" s="5"/>
      <c r="DP719" s="5"/>
      <c r="DQ719" s="5"/>
      <c r="DR719" s="5"/>
      <c r="DS719" s="5"/>
      <c r="DT719" s="5"/>
      <c r="DU719" s="5"/>
      <c r="DV719" s="5"/>
      <c r="DW719" s="5"/>
      <c r="DX719" s="5"/>
      <c r="DY719" s="5"/>
      <c r="DZ719" s="5"/>
      <c r="EA719" s="5"/>
      <c r="EB719" s="5"/>
      <c r="EC719" s="5"/>
      <c r="ED719" s="5"/>
      <c r="EE719" s="5"/>
      <c r="EF719" s="5"/>
      <c r="EG719" s="5"/>
      <c r="EH719" s="5"/>
      <c r="EI719" s="5"/>
      <c r="EJ719" s="5"/>
      <c r="EK719" s="5"/>
      <c r="EL719" s="5"/>
      <c r="EM719" s="5"/>
      <c r="EN719" s="5"/>
      <c r="EO719" s="5"/>
      <c r="EP719" s="5"/>
      <c r="EQ719" s="5"/>
      <c r="ER719" s="5"/>
      <c r="ES719" s="5"/>
      <c r="ET719" s="5"/>
      <c r="EU719" s="5"/>
      <c r="EV719" s="5"/>
      <c r="EW719" s="5"/>
      <c r="EX719" s="5"/>
      <c r="EY719" s="5"/>
      <c r="EZ719" s="5"/>
      <c r="FA719" s="5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5"/>
      <c r="CT720" s="5"/>
      <c r="CU720" s="5"/>
      <c r="CV720" s="5"/>
      <c r="CW720" s="5"/>
      <c r="CX720" s="5"/>
      <c r="CY720" s="5"/>
      <c r="CZ720" s="5"/>
      <c r="DA720" s="5"/>
      <c r="DB720" s="5"/>
      <c r="DC720" s="5"/>
      <c r="DD720" s="5"/>
      <c r="DE720" s="5"/>
      <c r="DF720" s="5"/>
      <c r="DG720" s="5"/>
      <c r="DH720" s="5"/>
      <c r="DI720" s="5"/>
      <c r="DJ720" s="5"/>
      <c r="DK720" s="5"/>
      <c r="DL720" s="5"/>
      <c r="DM720" s="5"/>
      <c r="DN720" s="5"/>
      <c r="DO720" s="5"/>
      <c r="DP720" s="5"/>
      <c r="DQ720" s="5"/>
      <c r="DR720" s="5"/>
      <c r="DS720" s="5"/>
      <c r="DT720" s="5"/>
      <c r="DU720" s="5"/>
      <c r="DV720" s="5"/>
      <c r="DW720" s="5"/>
      <c r="DX720" s="5"/>
      <c r="DY720" s="5"/>
      <c r="DZ720" s="5"/>
      <c r="EA720" s="5"/>
      <c r="EB720" s="5"/>
      <c r="EC720" s="5"/>
      <c r="ED720" s="5"/>
      <c r="EE720" s="5"/>
      <c r="EF720" s="5"/>
      <c r="EG720" s="5"/>
      <c r="EH720" s="5"/>
      <c r="EI720" s="5"/>
      <c r="EJ720" s="5"/>
      <c r="EK720" s="5"/>
      <c r="EL720" s="5"/>
      <c r="EM720" s="5"/>
      <c r="EN720" s="5"/>
      <c r="EO720" s="5"/>
      <c r="EP720" s="5"/>
      <c r="EQ720" s="5"/>
      <c r="ER720" s="5"/>
      <c r="ES720" s="5"/>
      <c r="ET720" s="5"/>
      <c r="EU720" s="5"/>
      <c r="EV720" s="5"/>
      <c r="EW720" s="5"/>
      <c r="EX720" s="5"/>
      <c r="EY720" s="5"/>
      <c r="EZ720" s="5"/>
      <c r="FA720" s="5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5"/>
      <c r="CT721" s="5"/>
      <c r="CU721" s="5"/>
      <c r="CV721" s="5"/>
      <c r="CW721" s="5"/>
      <c r="CX721" s="5"/>
      <c r="CY721" s="5"/>
      <c r="CZ721" s="5"/>
      <c r="DA721" s="5"/>
      <c r="DB721" s="5"/>
      <c r="DC721" s="5"/>
      <c r="DD721" s="5"/>
      <c r="DE721" s="5"/>
      <c r="DF721" s="5"/>
      <c r="DG721" s="5"/>
      <c r="DH721" s="5"/>
      <c r="DI721" s="5"/>
      <c r="DJ721" s="5"/>
      <c r="DK721" s="5"/>
      <c r="DL721" s="5"/>
      <c r="DM721" s="5"/>
      <c r="DN721" s="5"/>
      <c r="DO721" s="5"/>
      <c r="DP721" s="5"/>
      <c r="DQ721" s="5"/>
      <c r="DR721" s="5"/>
      <c r="DS721" s="5"/>
      <c r="DT721" s="5"/>
      <c r="DU721" s="5"/>
      <c r="DV721" s="5"/>
      <c r="DW721" s="5"/>
      <c r="DX721" s="5"/>
      <c r="DY721" s="5"/>
      <c r="DZ721" s="5"/>
      <c r="EA721" s="5"/>
      <c r="EB721" s="5"/>
      <c r="EC721" s="5"/>
      <c r="ED721" s="5"/>
      <c r="EE721" s="5"/>
      <c r="EF721" s="5"/>
      <c r="EG721" s="5"/>
      <c r="EH721" s="5"/>
      <c r="EI721" s="5"/>
      <c r="EJ721" s="5"/>
      <c r="EK721" s="5"/>
      <c r="EL721" s="5"/>
      <c r="EM721" s="5"/>
      <c r="EN721" s="5"/>
      <c r="EO721" s="5"/>
      <c r="EP721" s="5"/>
      <c r="EQ721" s="5"/>
      <c r="ER721" s="5"/>
      <c r="ES721" s="5"/>
      <c r="ET721" s="5"/>
      <c r="EU721" s="5"/>
      <c r="EV721" s="5"/>
      <c r="EW721" s="5"/>
      <c r="EX721" s="5"/>
      <c r="EY721" s="5"/>
      <c r="EZ721" s="5"/>
      <c r="FA721" s="5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5"/>
      <c r="CT722" s="5"/>
      <c r="CU722" s="5"/>
      <c r="CV722" s="5"/>
      <c r="CW722" s="5"/>
      <c r="CX722" s="5"/>
      <c r="CY722" s="5"/>
      <c r="CZ722" s="5"/>
      <c r="DA722" s="5"/>
      <c r="DB722" s="5"/>
      <c r="DC722" s="5"/>
      <c r="DD722" s="5"/>
      <c r="DE722" s="5"/>
      <c r="DF722" s="5"/>
      <c r="DG722" s="5"/>
      <c r="DH722" s="5"/>
      <c r="DI722" s="5"/>
      <c r="DJ722" s="5"/>
      <c r="DK722" s="5"/>
      <c r="DL722" s="5"/>
      <c r="DM722" s="5"/>
      <c r="DN722" s="5"/>
      <c r="DO722" s="5"/>
      <c r="DP722" s="5"/>
      <c r="DQ722" s="5"/>
      <c r="DR722" s="5"/>
      <c r="DS722" s="5"/>
      <c r="DT722" s="5"/>
      <c r="DU722" s="5"/>
      <c r="DV722" s="5"/>
      <c r="DW722" s="5"/>
      <c r="DX722" s="5"/>
      <c r="DY722" s="5"/>
      <c r="DZ722" s="5"/>
      <c r="EA722" s="5"/>
      <c r="EB722" s="5"/>
      <c r="EC722" s="5"/>
      <c r="ED722" s="5"/>
      <c r="EE722" s="5"/>
      <c r="EF722" s="5"/>
      <c r="EG722" s="5"/>
      <c r="EH722" s="5"/>
      <c r="EI722" s="5"/>
      <c r="EJ722" s="5"/>
      <c r="EK722" s="5"/>
      <c r="EL722" s="5"/>
      <c r="EM722" s="5"/>
      <c r="EN722" s="5"/>
      <c r="EO722" s="5"/>
      <c r="EP722" s="5"/>
      <c r="EQ722" s="5"/>
      <c r="ER722" s="5"/>
      <c r="ES722" s="5"/>
      <c r="ET722" s="5"/>
      <c r="EU722" s="5"/>
      <c r="EV722" s="5"/>
      <c r="EW722" s="5"/>
      <c r="EX722" s="5"/>
      <c r="EY722" s="5"/>
      <c r="EZ722" s="5"/>
      <c r="FA722" s="5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5"/>
      <c r="CT723" s="5"/>
      <c r="CU723" s="5"/>
      <c r="CV723" s="5"/>
      <c r="CW723" s="5"/>
      <c r="CX723" s="5"/>
      <c r="CY723" s="5"/>
      <c r="CZ723" s="5"/>
      <c r="DA723" s="5"/>
      <c r="DB723" s="5"/>
      <c r="DC723" s="5"/>
      <c r="DD723" s="5"/>
      <c r="DE723" s="5"/>
      <c r="DF723" s="5"/>
      <c r="DG723" s="5"/>
      <c r="DH723" s="5"/>
      <c r="DI723" s="5"/>
      <c r="DJ723" s="5"/>
      <c r="DK723" s="5"/>
      <c r="DL723" s="5"/>
      <c r="DM723" s="5"/>
      <c r="DN723" s="5"/>
      <c r="DO723" s="5"/>
      <c r="DP723" s="5"/>
      <c r="DQ723" s="5"/>
      <c r="DR723" s="5"/>
      <c r="DS723" s="5"/>
      <c r="DT723" s="5"/>
      <c r="DU723" s="5"/>
      <c r="DV723" s="5"/>
      <c r="DW723" s="5"/>
      <c r="DX723" s="5"/>
      <c r="DY723" s="5"/>
      <c r="DZ723" s="5"/>
      <c r="EA723" s="5"/>
      <c r="EB723" s="5"/>
      <c r="EC723" s="5"/>
      <c r="ED723" s="5"/>
      <c r="EE723" s="5"/>
      <c r="EF723" s="5"/>
      <c r="EG723" s="5"/>
      <c r="EH723" s="5"/>
      <c r="EI723" s="5"/>
      <c r="EJ723" s="5"/>
      <c r="EK723" s="5"/>
      <c r="EL723" s="5"/>
      <c r="EM723" s="5"/>
      <c r="EN723" s="5"/>
      <c r="EO723" s="5"/>
      <c r="EP723" s="5"/>
      <c r="EQ723" s="5"/>
      <c r="ER723" s="5"/>
      <c r="ES723" s="5"/>
      <c r="ET723" s="5"/>
      <c r="EU723" s="5"/>
      <c r="EV723" s="5"/>
      <c r="EW723" s="5"/>
      <c r="EX723" s="5"/>
      <c r="EY723" s="5"/>
      <c r="EZ723" s="5"/>
      <c r="FA723" s="5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5"/>
      <c r="CT724" s="5"/>
      <c r="CU724" s="5"/>
      <c r="CV724" s="5"/>
      <c r="CW724" s="5"/>
      <c r="CX724" s="5"/>
      <c r="CY724" s="5"/>
      <c r="CZ724" s="5"/>
      <c r="DA724" s="5"/>
      <c r="DB724" s="5"/>
      <c r="DC724" s="5"/>
      <c r="DD724" s="5"/>
      <c r="DE724" s="5"/>
      <c r="DF724" s="5"/>
      <c r="DG724" s="5"/>
      <c r="DH724" s="5"/>
      <c r="DI724" s="5"/>
      <c r="DJ724" s="5"/>
      <c r="DK724" s="5"/>
      <c r="DL724" s="5"/>
      <c r="DM724" s="5"/>
      <c r="DN724" s="5"/>
      <c r="DO724" s="5"/>
      <c r="DP724" s="5"/>
      <c r="DQ724" s="5"/>
      <c r="DR724" s="5"/>
      <c r="DS724" s="5"/>
      <c r="DT724" s="5"/>
      <c r="DU724" s="5"/>
      <c r="DV724" s="5"/>
      <c r="DW724" s="5"/>
      <c r="DX724" s="5"/>
      <c r="DY724" s="5"/>
      <c r="DZ724" s="5"/>
      <c r="EA724" s="5"/>
      <c r="EB724" s="5"/>
      <c r="EC724" s="5"/>
      <c r="ED724" s="5"/>
      <c r="EE724" s="5"/>
      <c r="EF724" s="5"/>
      <c r="EG724" s="5"/>
      <c r="EH724" s="5"/>
      <c r="EI724" s="5"/>
      <c r="EJ724" s="5"/>
      <c r="EK724" s="5"/>
      <c r="EL724" s="5"/>
      <c r="EM724" s="5"/>
      <c r="EN724" s="5"/>
      <c r="EO724" s="5"/>
      <c r="EP724" s="5"/>
      <c r="EQ724" s="5"/>
      <c r="ER724" s="5"/>
      <c r="ES724" s="5"/>
      <c r="ET724" s="5"/>
      <c r="EU724" s="5"/>
      <c r="EV724" s="5"/>
      <c r="EW724" s="5"/>
      <c r="EX724" s="5"/>
      <c r="EY724" s="5"/>
      <c r="EZ724" s="5"/>
      <c r="FA724" s="5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5"/>
      <c r="CT725" s="5"/>
      <c r="CU725" s="5"/>
      <c r="CV725" s="5"/>
      <c r="CW725" s="5"/>
      <c r="CX725" s="5"/>
      <c r="CY725" s="5"/>
      <c r="CZ725" s="5"/>
      <c r="DA725" s="5"/>
      <c r="DB725" s="5"/>
      <c r="DC725" s="5"/>
      <c r="DD725" s="5"/>
      <c r="DE725" s="5"/>
      <c r="DF725" s="5"/>
      <c r="DG725" s="5"/>
      <c r="DH725" s="5"/>
      <c r="DI725" s="5"/>
      <c r="DJ725" s="5"/>
      <c r="DK725" s="5"/>
      <c r="DL725" s="5"/>
      <c r="DM725" s="5"/>
      <c r="DN725" s="5"/>
      <c r="DO725" s="5"/>
      <c r="DP725" s="5"/>
      <c r="DQ725" s="5"/>
      <c r="DR725" s="5"/>
      <c r="DS725" s="5"/>
      <c r="DT725" s="5"/>
      <c r="DU725" s="5"/>
      <c r="DV725" s="5"/>
      <c r="DW725" s="5"/>
      <c r="DX725" s="5"/>
      <c r="DY725" s="5"/>
      <c r="DZ725" s="5"/>
      <c r="EA725" s="5"/>
      <c r="EB725" s="5"/>
      <c r="EC725" s="5"/>
      <c r="ED725" s="5"/>
      <c r="EE725" s="5"/>
      <c r="EF725" s="5"/>
      <c r="EG725" s="5"/>
      <c r="EH725" s="5"/>
      <c r="EI725" s="5"/>
      <c r="EJ725" s="5"/>
      <c r="EK725" s="5"/>
      <c r="EL725" s="5"/>
      <c r="EM725" s="5"/>
      <c r="EN725" s="5"/>
      <c r="EO725" s="5"/>
      <c r="EP725" s="5"/>
      <c r="EQ725" s="5"/>
      <c r="ER725" s="5"/>
      <c r="ES725" s="5"/>
      <c r="ET725" s="5"/>
      <c r="EU725" s="5"/>
      <c r="EV725" s="5"/>
      <c r="EW725" s="5"/>
      <c r="EX725" s="5"/>
      <c r="EY725" s="5"/>
      <c r="EZ725" s="5"/>
      <c r="FA725" s="5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5"/>
      <c r="CT726" s="5"/>
      <c r="CU726" s="5"/>
      <c r="CV726" s="5"/>
      <c r="CW726" s="5"/>
      <c r="CX726" s="5"/>
      <c r="CY726" s="5"/>
      <c r="CZ726" s="5"/>
      <c r="DA726" s="5"/>
      <c r="DB726" s="5"/>
      <c r="DC726" s="5"/>
      <c r="DD726" s="5"/>
      <c r="DE726" s="5"/>
      <c r="DF726" s="5"/>
      <c r="DG726" s="5"/>
      <c r="DH726" s="5"/>
      <c r="DI726" s="5"/>
      <c r="DJ726" s="5"/>
      <c r="DK726" s="5"/>
      <c r="DL726" s="5"/>
      <c r="DM726" s="5"/>
      <c r="DN726" s="5"/>
      <c r="DO726" s="5"/>
      <c r="DP726" s="5"/>
      <c r="DQ726" s="5"/>
      <c r="DR726" s="5"/>
      <c r="DS726" s="5"/>
      <c r="DT726" s="5"/>
      <c r="DU726" s="5"/>
      <c r="DV726" s="5"/>
      <c r="DW726" s="5"/>
      <c r="DX726" s="5"/>
      <c r="DY726" s="5"/>
      <c r="DZ726" s="5"/>
      <c r="EA726" s="5"/>
      <c r="EB726" s="5"/>
      <c r="EC726" s="5"/>
      <c r="ED726" s="5"/>
      <c r="EE726" s="5"/>
      <c r="EF726" s="5"/>
      <c r="EG726" s="5"/>
      <c r="EH726" s="5"/>
      <c r="EI726" s="5"/>
      <c r="EJ726" s="5"/>
      <c r="EK726" s="5"/>
      <c r="EL726" s="5"/>
      <c r="EM726" s="5"/>
      <c r="EN726" s="5"/>
      <c r="EO726" s="5"/>
      <c r="EP726" s="5"/>
      <c r="EQ726" s="5"/>
      <c r="ER726" s="5"/>
      <c r="ES726" s="5"/>
      <c r="ET726" s="5"/>
      <c r="EU726" s="5"/>
      <c r="EV726" s="5"/>
      <c r="EW726" s="5"/>
      <c r="EX726" s="5"/>
      <c r="EY726" s="5"/>
      <c r="EZ726" s="5"/>
      <c r="FA726" s="5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5"/>
      <c r="CT727" s="5"/>
      <c r="CU727" s="5"/>
      <c r="CV727" s="5"/>
      <c r="CW727" s="5"/>
      <c r="CX727" s="5"/>
      <c r="CY727" s="5"/>
      <c r="CZ727" s="5"/>
      <c r="DA727" s="5"/>
      <c r="DB727" s="5"/>
      <c r="DC727" s="5"/>
      <c r="DD727" s="5"/>
      <c r="DE727" s="5"/>
      <c r="DF727" s="5"/>
      <c r="DG727" s="5"/>
      <c r="DH727" s="5"/>
      <c r="DI727" s="5"/>
      <c r="DJ727" s="5"/>
      <c r="DK727" s="5"/>
      <c r="DL727" s="5"/>
      <c r="DM727" s="5"/>
      <c r="DN727" s="5"/>
      <c r="DO727" s="5"/>
      <c r="DP727" s="5"/>
      <c r="DQ727" s="5"/>
      <c r="DR727" s="5"/>
      <c r="DS727" s="5"/>
      <c r="DT727" s="5"/>
      <c r="DU727" s="5"/>
      <c r="DV727" s="5"/>
      <c r="DW727" s="5"/>
      <c r="DX727" s="5"/>
      <c r="DY727" s="5"/>
      <c r="DZ727" s="5"/>
      <c r="EA727" s="5"/>
      <c r="EB727" s="5"/>
      <c r="EC727" s="5"/>
      <c r="ED727" s="5"/>
      <c r="EE727" s="5"/>
      <c r="EF727" s="5"/>
      <c r="EG727" s="5"/>
      <c r="EH727" s="5"/>
      <c r="EI727" s="5"/>
      <c r="EJ727" s="5"/>
      <c r="EK727" s="5"/>
      <c r="EL727" s="5"/>
      <c r="EM727" s="5"/>
      <c r="EN727" s="5"/>
      <c r="EO727" s="5"/>
      <c r="EP727" s="5"/>
      <c r="EQ727" s="5"/>
      <c r="ER727" s="5"/>
      <c r="ES727" s="5"/>
      <c r="ET727" s="5"/>
      <c r="EU727" s="5"/>
      <c r="EV727" s="5"/>
      <c r="EW727" s="5"/>
      <c r="EX727" s="5"/>
      <c r="EY727" s="5"/>
      <c r="EZ727" s="5"/>
      <c r="FA727" s="5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5"/>
      <c r="CT728" s="5"/>
      <c r="CU728" s="5"/>
      <c r="CV728" s="5"/>
      <c r="CW728" s="5"/>
      <c r="CX728" s="5"/>
      <c r="CY728" s="5"/>
      <c r="CZ728" s="5"/>
      <c r="DA728" s="5"/>
      <c r="DB728" s="5"/>
      <c r="DC728" s="5"/>
      <c r="DD728" s="5"/>
      <c r="DE728" s="5"/>
      <c r="DF728" s="5"/>
      <c r="DG728" s="5"/>
      <c r="DH728" s="5"/>
      <c r="DI728" s="5"/>
      <c r="DJ728" s="5"/>
      <c r="DK728" s="5"/>
      <c r="DL728" s="5"/>
      <c r="DM728" s="5"/>
      <c r="DN728" s="5"/>
      <c r="DO728" s="5"/>
      <c r="DP728" s="5"/>
      <c r="DQ728" s="5"/>
      <c r="DR728" s="5"/>
      <c r="DS728" s="5"/>
      <c r="DT728" s="5"/>
      <c r="DU728" s="5"/>
      <c r="DV728" s="5"/>
      <c r="DW728" s="5"/>
      <c r="DX728" s="5"/>
      <c r="DY728" s="5"/>
      <c r="DZ728" s="5"/>
      <c r="EA728" s="5"/>
      <c r="EB728" s="5"/>
      <c r="EC728" s="5"/>
      <c r="ED728" s="5"/>
      <c r="EE728" s="5"/>
      <c r="EF728" s="5"/>
      <c r="EG728" s="5"/>
      <c r="EH728" s="5"/>
      <c r="EI728" s="5"/>
      <c r="EJ728" s="5"/>
      <c r="EK728" s="5"/>
      <c r="EL728" s="5"/>
      <c r="EM728" s="5"/>
      <c r="EN728" s="5"/>
      <c r="EO728" s="5"/>
      <c r="EP728" s="5"/>
      <c r="EQ728" s="5"/>
      <c r="ER728" s="5"/>
      <c r="ES728" s="5"/>
      <c r="ET728" s="5"/>
      <c r="EU728" s="5"/>
      <c r="EV728" s="5"/>
      <c r="EW728" s="5"/>
      <c r="EX728" s="5"/>
      <c r="EY728" s="5"/>
      <c r="EZ728" s="5"/>
      <c r="FA728" s="5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5"/>
      <c r="CT729" s="5"/>
      <c r="CU729" s="5"/>
      <c r="CV729" s="5"/>
      <c r="CW729" s="5"/>
      <c r="CX729" s="5"/>
      <c r="CY729" s="5"/>
      <c r="CZ729" s="5"/>
      <c r="DA729" s="5"/>
      <c r="DB729" s="5"/>
      <c r="DC729" s="5"/>
      <c r="DD729" s="5"/>
      <c r="DE729" s="5"/>
      <c r="DF729" s="5"/>
      <c r="DG729" s="5"/>
      <c r="DH729" s="5"/>
      <c r="DI729" s="5"/>
      <c r="DJ729" s="5"/>
      <c r="DK729" s="5"/>
      <c r="DL729" s="5"/>
      <c r="DM729" s="5"/>
      <c r="DN729" s="5"/>
      <c r="DO729" s="5"/>
      <c r="DP729" s="5"/>
      <c r="DQ729" s="5"/>
      <c r="DR729" s="5"/>
      <c r="DS729" s="5"/>
      <c r="DT729" s="5"/>
      <c r="DU729" s="5"/>
      <c r="DV729" s="5"/>
      <c r="DW729" s="5"/>
      <c r="DX729" s="5"/>
      <c r="DY729" s="5"/>
      <c r="DZ729" s="5"/>
      <c r="EA729" s="5"/>
      <c r="EB729" s="5"/>
      <c r="EC729" s="5"/>
      <c r="ED729" s="5"/>
      <c r="EE729" s="5"/>
      <c r="EF729" s="5"/>
      <c r="EG729" s="5"/>
      <c r="EH729" s="5"/>
      <c r="EI729" s="5"/>
      <c r="EJ729" s="5"/>
      <c r="EK729" s="5"/>
      <c r="EL729" s="5"/>
      <c r="EM729" s="5"/>
      <c r="EN729" s="5"/>
      <c r="EO729" s="5"/>
      <c r="EP729" s="5"/>
      <c r="EQ729" s="5"/>
      <c r="ER729" s="5"/>
      <c r="ES729" s="5"/>
      <c r="ET729" s="5"/>
      <c r="EU729" s="5"/>
      <c r="EV729" s="5"/>
      <c r="EW729" s="5"/>
      <c r="EX729" s="5"/>
      <c r="EY729" s="5"/>
      <c r="EZ729" s="5"/>
      <c r="FA729" s="5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5"/>
      <c r="CT730" s="5"/>
      <c r="CU730" s="5"/>
      <c r="CV730" s="5"/>
      <c r="CW730" s="5"/>
      <c r="CX730" s="5"/>
      <c r="CY730" s="5"/>
      <c r="CZ730" s="5"/>
      <c r="DA730" s="5"/>
      <c r="DB730" s="5"/>
      <c r="DC730" s="5"/>
      <c r="DD730" s="5"/>
      <c r="DE730" s="5"/>
      <c r="DF730" s="5"/>
      <c r="DG730" s="5"/>
      <c r="DH730" s="5"/>
      <c r="DI730" s="5"/>
      <c r="DJ730" s="5"/>
      <c r="DK730" s="5"/>
      <c r="DL730" s="5"/>
      <c r="DM730" s="5"/>
      <c r="DN730" s="5"/>
      <c r="DO730" s="5"/>
      <c r="DP730" s="5"/>
      <c r="DQ730" s="5"/>
      <c r="DR730" s="5"/>
      <c r="DS730" s="5"/>
      <c r="DT730" s="5"/>
      <c r="DU730" s="5"/>
      <c r="DV730" s="5"/>
      <c r="DW730" s="5"/>
      <c r="DX730" s="5"/>
      <c r="DY730" s="5"/>
      <c r="DZ730" s="5"/>
      <c r="EA730" s="5"/>
      <c r="EB730" s="5"/>
      <c r="EC730" s="5"/>
      <c r="ED730" s="5"/>
      <c r="EE730" s="5"/>
      <c r="EF730" s="5"/>
      <c r="EG730" s="5"/>
      <c r="EH730" s="5"/>
      <c r="EI730" s="5"/>
      <c r="EJ730" s="5"/>
      <c r="EK730" s="5"/>
      <c r="EL730" s="5"/>
      <c r="EM730" s="5"/>
      <c r="EN730" s="5"/>
      <c r="EO730" s="5"/>
      <c r="EP730" s="5"/>
      <c r="EQ730" s="5"/>
      <c r="ER730" s="5"/>
      <c r="ES730" s="5"/>
      <c r="ET730" s="5"/>
      <c r="EU730" s="5"/>
      <c r="EV730" s="5"/>
      <c r="EW730" s="5"/>
      <c r="EX730" s="5"/>
      <c r="EY730" s="5"/>
      <c r="EZ730" s="5"/>
      <c r="FA730" s="5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5"/>
      <c r="CT731" s="5"/>
      <c r="CU731" s="5"/>
      <c r="CV731" s="5"/>
      <c r="CW731" s="5"/>
      <c r="CX731" s="5"/>
      <c r="CY731" s="5"/>
      <c r="CZ731" s="5"/>
      <c r="DA731" s="5"/>
      <c r="DB731" s="5"/>
      <c r="DC731" s="5"/>
      <c r="DD731" s="5"/>
      <c r="DE731" s="5"/>
      <c r="DF731" s="5"/>
      <c r="DG731" s="5"/>
      <c r="DH731" s="5"/>
      <c r="DI731" s="5"/>
      <c r="DJ731" s="5"/>
      <c r="DK731" s="5"/>
      <c r="DL731" s="5"/>
      <c r="DM731" s="5"/>
      <c r="DN731" s="5"/>
      <c r="DO731" s="5"/>
      <c r="DP731" s="5"/>
      <c r="DQ731" s="5"/>
      <c r="DR731" s="5"/>
      <c r="DS731" s="5"/>
      <c r="DT731" s="5"/>
      <c r="DU731" s="5"/>
      <c r="DV731" s="5"/>
      <c r="DW731" s="5"/>
      <c r="DX731" s="5"/>
      <c r="DY731" s="5"/>
      <c r="DZ731" s="5"/>
      <c r="EA731" s="5"/>
      <c r="EB731" s="5"/>
      <c r="EC731" s="5"/>
      <c r="ED731" s="5"/>
      <c r="EE731" s="5"/>
      <c r="EF731" s="5"/>
      <c r="EG731" s="5"/>
      <c r="EH731" s="5"/>
      <c r="EI731" s="5"/>
      <c r="EJ731" s="5"/>
      <c r="EK731" s="5"/>
      <c r="EL731" s="5"/>
      <c r="EM731" s="5"/>
      <c r="EN731" s="5"/>
      <c r="EO731" s="5"/>
      <c r="EP731" s="5"/>
      <c r="EQ731" s="5"/>
      <c r="ER731" s="5"/>
      <c r="ES731" s="5"/>
      <c r="ET731" s="5"/>
      <c r="EU731" s="5"/>
      <c r="EV731" s="5"/>
      <c r="EW731" s="5"/>
      <c r="EX731" s="5"/>
      <c r="EY731" s="5"/>
      <c r="EZ731" s="5"/>
      <c r="FA731" s="5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5"/>
      <c r="CT732" s="5"/>
      <c r="CU732" s="5"/>
      <c r="CV732" s="5"/>
      <c r="CW732" s="5"/>
      <c r="CX732" s="5"/>
      <c r="CY732" s="5"/>
      <c r="CZ732" s="5"/>
      <c r="DA732" s="5"/>
      <c r="DB732" s="5"/>
      <c r="DC732" s="5"/>
      <c r="DD732" s="5"/>
      <c r="DE732" s="5"/>
      <c r="DF732" s="5"/>
      <c r="DG732" s="5"/>
      <c r="DH732" s="5"/>
      <c r="DI732" s="5"/>
      <c r="DJ732" s="5"/>
      <c r="DK732" s="5"/>
      <c r="DL732" s="5"/>
      <c r="DM732" s="5"/>
      <c r="DN732" s="5"/>
      <c r="DO732" s="5"/>
      <c r="DP732" s="5"/>
      <c r="DQ732" s="5"/>
      <c r="DR732" s="5"/>
      <c r="DS732" s="5"/>
      <c r="DT732" s="5"/>
      <c r="DU732" s="5"/>
      <c r="DV732" s="5"/>
      <c r="DW732" s="5"/>
      <c r="DX732" s="5"/>
      <c r="DY732" s="5"/>
      <c r="DZ732" s="5"/>
      <c r="EA732" s="5"/>
      <c r="EB732" s="5"/>
      <c r="EC732" s="5"/>
      <c r="ED732" s="5"/>
      <c r="EE732" s="5"/>
      <c r="EF732" s="5"/>
      <c r="EG732" s="5"/>
      <c r="EH732" s="5"/>
      <c r="EI732" s="5"/>
      <c r="EJ732" s="5"/>
      <c r="EK732" s="5"/>
      <c r="EL732" s="5"/>
      <c r="EM732" s="5"/>
      <c r="EN732" s="5"/>
      <c r="EO732" s="5"/>
      <c r="EP732" s="5"/>
      <c r="EQ732" s="5"/>
      <c r="ER732" s="5"/>
      <c r="ES732" s="5"/>
      <c r="ET732" s="5"/>
      <c r="EU732" s="5"/>
      <c r="EV732" s="5"/>
      <c r="EW732" s="5"/>
      <c r="EX732" s="5"/>
      <c r="EY732" s="5"/>
      <c r="EZ732" s="5"/>
      <c r="FA732" s="5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5"/>
      <c r="CT733" s="5"/>
      <c r="CU733" s="5"/>
      <c r="CV733" s="5"/>
      <c r="CW733" s="5"/>
      <c r="CX733" s="5"/>
      <c r="CY733" s="5"/>
      <c r="CZ733" s="5"/>
      <c r="DA733" s="5"/>
      <c r="DB733" s="5"/>
      <c r="DC733" s="5"/>
      <c r="DD733" s="5"/>
      <c r="DE733" s="5"/>
      <c r="DF733" s="5"/>
      <c r="DG733" s="5"/>
      <c r="DH733" s="5"/>
      <c r="DI733" s="5"/>
      <c r="DJ733" s="5"/>
      <c r="DK733" s="5"/>
      <c r="DL733" s="5"/>
      <c r="DM733" s="5"/>
      <c r="DN733" s="5"/>
      <c r="DO733" s="5"/>
      <c r="DP733" s="5"/>
      <c r="DQ733" s="5"/>
      <c r="DR733" s="5"/>
      <c r="DS733" s="5"/>
      <c r="DT733" s="5"/>
      <c r="DU733" s="5"/>
      <c r="DV733" s="5"/>
      <c r="DW733" s="5"/>
      <c r="DX733" s="5"/>
      <c r="DY733" s="5"/>
      <c r="DZ733" s="5"/>
      <c r="EA733" s="5"/>
      <c r="EB733" s="5"/>
      <c r="EC733" s="5"/>
      <c r="ED733" s="5"/>
      <c r="EE733" s="5"/>
      <c r="EF733" s="5"/>
      <c r="EG733" s="5"/>
      <c r="EH733" s="5"/>
      <c r="EI733" s="5"/>
      <c r="EJ733" s="5"/>
      <c r="EK733" s="5"/>
      <c r="EL733" s="5"/>
      <c r="EM733" s="5"/>
      <c r="EN733" s="5"/>
      <c r="EO733" s="5"/>
      <c r="EP733" s="5"/>
      <c r="EQ733" s="5"/>
      <c r="ER733" s="5"/>
      <c r="ES733" s="5"/>
      <c r="ET733" s="5"/>
      <c r="EU733" s="5"/>
      <c r="EV733" s="5"/>
      <c r="EW733" s="5"/>
      <c r="EX733" s="5"/>
      <c r="EY733" s="5"/>
      <c r="EZ733" s="5"/>
      <c r="FA733" s="5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5"/>
      <c r="CT734" s="5"/>
      <c r="CU734" s="5"/>
      <c r="CV734" s="5"/>
      <c r="CW734" s="5"/>
      <c r="CX734" s="5"/>
      <c r="CY734" s="5"/>
      <c r="CZ734" s="5"/>
      <c r="DA734" s="5"/>
      <c r="DB734" s="5"/>
      <c r="DC734" s="5"/>
      <c r="DD734" s="5"/>
      <c r="DE734" s="5"/>
      <c r="DF734" s="5"/>
      <c r="DG734" s="5"/>
      <c r="DH734" s="5"/>
      <c r="DI734" s="5"/>
      <c r="DJ734" s="5"/>
      <c r="DK734" s="5"/>
      <c r="DL734" s="5"/>
      <c r="DM734" s="5"/>
      <c r="DN734" s="5"/>
      <c r="DO734" s="5"/>
      <c r="DP734" s="5"/>
      <c r="DQ734" s="5"/>
      <c r="DR734" s="5"/>
      <c r="DS734" s="5"/>
      <c r="DT734" s="5"/>
      <c r="DU734" s="5"/>
      <c r="DV734" s="5"/>
      <c r="DW734" s="5"/>
      <c r="DX734" s="5"/>
      <c r="DY734" s="5"/>
      <c r="DZ734" s="5"/>
      <c r="EA734" s="5"/>
      <c r="EB734" s="5"/>
      <c r="EC734" s="5"/>
      <c r="ED734" s="5"/>
      <c r="EE734" s="5"/>
      <c r="EF734" s="5"/>
      <c r="EG734" s="5"/>
      <c r="EH734" s="5"/>
      <c r="EI734" s="5"/>
      <c r="EJ734" s="5"/>
      <c r="EK734" s="5"/>
      <c r="EL734" s="5"/>
      <c r="EM734" s="5"/>
      <c r="EN734" s="5"/>
      <c r="EO734" s="5"/>
      <c r="EP734" s="5"/>
      <c r="EQ734" s="5"/>
      <c r="ER734" s="5"/>
      <c r="ES734" s="5"/>
      <c r="ET734" s="5"/>
      <c r="EU734" s="5"/>
      <c r="EV734" s="5"/>
      <c r="EW734" s="5"/>
      <c r="EX734" s="5"/>
      <c r="EY734" s="5"/>
      <c r="EZ734" s="5"/>
      <c r="FA734" s="5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5"/>
      <c r="CT735" s="5"/>
      <c r="CU735" s="5"/>
      <c r="CV735" s="5"/>
      <c r="CW735" s="5"/>
      <c r="CX735" s="5"/>
      <c r="CY735" s="5"/>
      <c r="CZ735" s="5"/>
      <c r="DA735" s="5"/>
      <c r="DB735" s="5"/>
      <c r="DC735" s="5"/>
      <c r="DD735" s="5"/>
      <c r="DE735" s="5"/>
      <c r="DF735" s="5"/>
      <c r="DG735" s="5"/>
      <c r="DH735" s="5"/>
      <c r="DI735" s="5"/>
      <c r="DJ735" s="5"/>
      <c r="DK735" s="5"/>
      <c r="DL735" s="5"/>
      <c r="DM735" s="5"/>
      <c r="DN735" s="5"/>
      <c r="DO735" s="5"/>
      <c r="DP735" s="5"/>
      <c r="DQ735" s="5"/>
      <c r="DR735" s="5"/>
      <c r="DS735" s="5"/>
      <c r="DT735" s="5"/>
      <c r="DU735" s="5"/>
      <c r="DV735" s="5"/>
      <c r="DW735" s="5"/>
      <c r="DX735" s="5"/>
      <c r="DY735" s="5"/>
      <c r="DZ735" s="5"/>
      <c r="EA735" s="5"/>
      <c r="EB735" s="5"/>
      <c r="EC735" s="5"/>
      <c r="ED735" s="5"/>
      <c r="EE735" s="5"/>
      <c r="EF735" s="5"/>
      <c r="EG735" s="5"/>
      <c r="EH735" s="5"/>
      <c r="EI735" s="5"/>
      <c r="EJ735" s="5"/>
      <c r="EK735" s="5"/>
      <c r="EL735" s="5"/>
      <c r="EM735" s="5"/>
      <c r="EN735" s="5"/>
      <c r="EO735" s="5"/>
      <c r="EP735" s="5"/>
      <c r="EQ735" s="5"/>
      <c r="ER735" s="5"/>
      <c r="ES735" s="5"/>
      <c r="ET735" s="5"/>
      <c r="EU735" s="5"/>
      <c r="EV735" s="5"/>
      <c r="EW735" s="5"/>
      <c r="EX735" s="5"/>
      <c r="EY735" s="5"/>
      <c r="EZ735" s="5"/>
      <c r="FA735" s="5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5"/>
      <c r="CT736" s="5"/>
      <c r="CU736" s="5"/>
      <c r="CV736" s="5"/>
      <c r="CW736" s="5"/>
      <c r="CX736" s="5"/>
      <c r="CY736" s="5"/>
      <c r="CZ736" s="5"/>
      <c r="DA736" s="5"/>
      <c r="DB736" s="5"/>
      <c r="DC736" s="5"/>
      <c r="DD736" s="5"/>
      <c r="DE736" s="5"/>
      <c r="DF736" s="5"/>
      <c r="DG736" s="5"/>
      <c r="DH736" s="5"/>
      <c r="DI736" s="5"/>
      <c r="DJ736" s="5"/>
      <c r="DK736" s="5"/>
      <c r="DL736" s="5"/>
      <c r="DM736" s="5"/>
      <c r="DN736" s="5"/>
      <c r="DO736" s="5"/>
      <c r="DP736" s="5"/>
      <c r="DQ736" s="5"/>
      <c r="DR736" s="5"/>
      <c r="DS736" s="5"/>
      <c r="DT736" s="5"/>
      <c r="DU736" s="5"/>
      <c r="DV736" s="5"/>
      <c r="DW736" s="5"/>
      <c r="DX736" s="5"/>
      <c r="DY736" s="5"/>
      <c r="DZ736" s="5"/>
      <c r="EA736" s="5"/>
      <c r="EB736" s="5"/>
      <c r="EC736" s="5"/>
      <c r="ED736" s="5"/>
      <c r="EE736" s="5"/>
      <c r="EF736" s="5"/>
      <c r="EG736" s="5"/>
      <c r="EH736" s="5"/>
      <c r="EI736" s="5"/>
      <c r="EJ736" s="5"/>
      <c r="EK736" s="5"/>
      <c r="EL736" s="5"/>
      <c r="EM736" s="5"/>
      <c r="EN736" s="5"/>
      <c r="EO736" s="5"/>
      <c r="EP736" s="5"/>
      <c r="EQ736" s="5"/>
      <c r="ER736" s="5"/>
      <c r="ES736" s="5"/>
      <c r="ET736" s="5"/>
      <c r="EU736" s="5"/>
      <c r="EV736" s="5"/>
      <c r="EW736" s="5"/>
      <c r="EX736" s="5"/>
      <c r="EY736" s="5"/>
      <c r="EZ736" s="5"/>
      <c r="FA736" s="5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5"/>
      <c r="CT737" s="5"/>
      <c r="CU737" s="5"/>
      <c r="CV737" s="5"/>
      <c r="CW737" s="5"/>
      <c r="CX737" s="5"/>
      <c r="CY737" s="5"/>
      <c r="CZ737" s="5"/>
      <c r="DA737" s="5"/>
      <c r="DB737" s="5"/>
      <c r="DC737" s="5"/>
      <c r="DD737" s="5"/>
      <c r="DE737" s="5"/>
      <c r="DF737" s="5"/>
      <c r="DG737" s="5"/>
      <c r="DH737" s="5"/>
      <c r="DI737" s="5"/>
      <c r="DJ737" s="5"/>
      <c r="DK737" s="5"/>
      <c r="DL737" s="5"/>
      <c r="DM737" s="5"/>
      <c r="DN737" s="5"/>
      <c r="DO737" s="5"/>
      <c r="DP737" s="5"/>
      <c r="DQ737" s="5"/>
      <c r="DR737" s="5"/>
      <c r="DS737" s="5"/>
      <c r="DT737" s="5"/>
      <c r="DU737" s="5"/>
      <c r="DV737" s="5"/>
      <c r="DW737" s="5"/>
      <c r="DX737" s="5"/>
      <c r="DY737" s="5"/>
      <c r="DZ737" s="5"/>
      <c r="EA737" s="5"/>
      <c r="EB737" s="5"/>
      <c r="EC737" s="5"/>
      <c r="ED737" s="5"/>
      <c r="EE737" s="5"/>
      <c r="EF737" s="5"/>
      <c r="EG737" s="5"/>
      <c r="EH737" s="5"/>
      <c r="EI737" s="5"/>
      <c r="EJ737" s="5"/>
      <c r="EK737" s="5"/>
      <c r="EL737" s="5"/>
      <c r="EM737" s="5"/>
      <c r="EN737" s="5"/>
      <c r="EO737" s="5"/>
      <c r="EP737" s="5"/>
      <c r="EQ737" s="5"/>
      <c r="ER737" s="5"/>
      <c r="ES737" s="5"/>
      <c r="ET737" s="5"/>
      <c r="EU737" s="5"/>
      <c r="EV737" s="5"/>
      <c r="EW737" s="5"/>
      <c r="EX737" s="5"/>
      <c r="EY737" s="5"/>
      <c r="EZ737" s="5"/>
      <c r="FA737" s="5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5"/>
      <c r="CT738" s="5"/>
      <c r="CU738" s="5"/>
      <c r="CV738" s="5"/>
      <c r="CW738" s="5"/>
      <c r="CX738" s="5"/>
      <c r="CY738" s="5"/>
      <c r="CZ738" s="5"/>
      <c r="DA738" s="5"/>
      <c r="DB738" s="5"/>
      <c r="DC738" s="5"/>
      <c r="DD738" s="5"/>
      <c r="DE738" s="5"/>
      <c r="DF738" s="5"/>
      <c r="DG738" s="5"/>
      <c r="DH738" s="5"/>
      <c r="DI738" s="5"/>
      <c r="DJ738" s="5"/>
      <c r="DK738" s="5"/>
      <c r="DL738" s="5"/>
      <c r="DM738" s="5"/>
      <c r="DN738" s="5"/>
      <c r="DO738" s="5"/>
      <c r="DP738" s="5"/>
      <c r="DQ738" s="5"/>
      <c r="DR738" s="5"/>
      <c r="DS738" s="5"/>
      <c r="DT738" s="5"/>
      <c r="DU738" s="5"/>
      <c r="DV738" s="5"/>
      <c r="DW738" s="5"/>
      <c r="DX738" s="5"/>
      <c r="DY738" s="5"/>
      <c r="DZ738" s="5"/>
      <c r="EA738" s="5"/>
      <c r="EB738" s="5"/>
      <c r="EC738" s="5"/>
      <c r="ED738" s="5"/>
      <c r="EE738" s="5"/>
      <c r="EF738" s="5"/>
      <c r="EG738" s="5"/>
      <c r="EH738" s="5"/>
      <c r="EI738" s="5"/>
      <c r="EJ738" s="5"/>
      <c r="EK738" s="5"/>
      <c r="EL738" s="5"/>
      <c r="EM738" s="5"/>
      <c r="EN738" s="5"/>
      <c r="EO738" s="5"/>
      <c r="EP738" s="5"/>
      <c r="EQ738" s="5"/>
      <c r="ER738" s="5"/>
      <c r="ES738" s="5"/>
      <c r="ET738" s="5"/>
      <c r="EU738" s="5"/>
      <c r="EV738" s="5"/>
      <c r="EW738" s="5"/>
      <c r="EX738" s="5"/>
      <c r="EY738" s="5"/>
      <c r="EZ738" s="5"/>
      <c r="FA738" s="5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5"/>
      <c r="CT739" s="5"/>
      <c r="CU739" s="5"/>
      <c r="CV739" s="5"/>
      <c r="CW739" s="5"/>
      <c r="CX739" s="5"/>
      <c r="CY739" s="5"/>
      <c r="CZ739" s="5"/>
      <c r="DA739" s="5"/>
      <c r="DB739" s="5"/>
      <c r="DC739" s="5"/>
      <c r="DD739" s="5"/>
      <c r="DE739" s="5"/>
      <c r="DF739" s="5"/>
      <c r="DG739" s="5"/>
      <c r="DH739" s="5"/>
      <c r="DI739" s="5"/>
      <c r="DJ739" s="5"/>
      <c r="DK739" s="5"/>
      <c r="DL739" s="5"/>
      <c r="DM739" s="5"/>
      <c r="DN739" s="5"/>
      <c r="DO739" s="5"/>
      <c r="DP739" s="5"/>
      <c r="DQ739" s="5"/>
      <c r="DR739" s="5"/>
      <c r="DS739" s="5"/>
      <c r="DT739" s="5"/>
      <c r="DU739" s="5"/>
      <c r="DV739" s="5"/>
      <c r="DW739" s="5"/>
      <c r="DX739" s="5"/>
      <c r="DY739" s="5"/>
      <c r="DZ739" s="5"/>
      <c r="EA739" s="5"/>
      <c r="EB739" s="5"/>
      <c r="EC739" s="5"/>
      <c r="ED739" s="5"/>
      <c r="EE739" s="5"/>
      <c r="EF739" s="5"/>
      <c r="EG739" s="5"/>
      <c r="EH739" s="5"/>
      <c r="EI739" s="5"/>
      <c r="EJ739" s="5"/>
      <c r="EK739" s="5"/>
      <c r="EL739" s="5"/>
      <c r="EM739" s="5"/>
      <c r="EN739" s="5"/>
      <c r="EO739" s="5"/>
      <c r="EP739" s="5"/>
      <c r="EQ739" s="5"/>
      <c r="ER739" s="5"/>
      <c r="ES739" s="5"/>
      <c r="ET739" s="5"/>
      <c r="EU739" s="5"/>
      <c r="EV739" s="5"/>
      <c r="EW739" s="5"/>
      <c r="EX739" s="5"/>
      <c r="EY739" s="5"/>
      <c r="EZ739" s="5"/>
      <c r="FA739" s="5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5"/>
      <c r="CT740" s="5"/>
      <c r="CU740" s="5"/>
      <c r="CV740" s="5"/>
      <c r="CW740" s="5"/>
      <c r="CX740" s="5"/>
      <c r="CY740" s="5"/>
      <c r="CZ740" s="5"/>
      <c r="DA740" s="5"/>
      <c r="DB740" s="5"/>
      <c r="DC740" s="5"/>
      <c r="DD740" s="5"/>
      <c r="DE740" s="5"/>
      <c r="DF740" s="5"/>
      <c r="DG740" s="5"/>
      <c r="DH740" s="5"/>
      <c r="DI740" s="5"/>
      <c r="DJ740" s="5"/>
      <c r="DK740" s="5"/>
      <c r="DL740" s="5"/>
      <c r="DM740" s="5"/>
      <c r="DN740" s="5"/>
      <c r="DO740" s="5"/>
      <c r="DP740" s="5"/>
      <c r="DQ740" s="5"/>
      <c r="DR740" s="5"/>
      <c r="DS740" s="5"/>
      <c r="DT740" s="5"/>
      <c r="DU740" s="5"/>
      <c r="DV740" s="5"/>
      <c r="DW740" s="5"/>
      <c r="DX740" s="5"/>
      <c r="DY740" s="5"/>
      <c r="DZ740" s="5"/>
      <c r="EA740" s="5"/>
      <c r="EB740" s="5"/>
      <c r="EC740" s="5"/>
      <c r="ED740" s="5"/>
      <c r="EE740" s="5"/>
      <c r="EF740" s="5"/>
      <c r="EG740" s="5"/>
      <c r="EH740" s="5"/>
      <c r="EI740" s="5"/>
      <c r="EJ740" s="5"/>
      <c r="EK740" s="5"/>
      <c r="EL740" s="5"/>
      <c r="EM740" s="5"/>
      <c r="EN740" s="5"/>
      <c r="EO740" s="5"/>
      <c r="EP740" s="5"/>
      <c r="EQ740" s="5"/>
      <c r="ER740" s="5"/>
      <c r="ES740" s="5"/>
      <c r="ET740" s="5"/>
      <c r="EU740" s="5"/>
      <c r="EV740" s="5"/>
      <c r="EW740" s="5"/>
      <c r="EX740" s="5"/>
      <c r="EY740" s="5"/>
      <c r="EZ740" s="5"/>
      <c r="FA740" s="5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5"/>
      <c r="CT741" s="5"/>
      <c r="CU741" s="5"/>
      <c r="CV741" s="5"/>
      <c r="CW741" s="5"/>
      <c r="CX741" s="5"/>
      <c r="CY741" s="5"/>
      <c r="CZ741" s="5"/>
      <c r="DA741" s="5"/>
      <c r="DB741" s="5"/>
      <c r="DC741" s="5"/>
      <c r="DD741" s="5"/>
      <c r="DE741" s="5"/>
      <c r="DF741" s="5"/>
      <c r="DG741" s="5"/>
      <c r="DH741" s="5"/>
      <c r="DI741" s="5"/>
      <c r="DJ741" s="5"/>
      <c r="DK741" s="5"/>
      <c r="DL741" s="5"/>
      <c r="DM741" s="5"/>
      <c r="DN741" s="5"/>
      <c r="DO741" s="5"/>
      <c r="DP741" s="5"/>
      <c r="DQ741" s="5"/>
      <c r="DR741" s="5"/>
      <c r="DS741" s="5"/>
      <c r="DT741" s="5"/>
      <c r="DU741" s="5"/>
      <c r="DV741" s="5"/>
      <c r="DW741" s="5"/>
      <c r="DX741" s="5"/>
      <c r="DY741" s="5"/>
      <c r="DZ741" s="5"/>
      <c r="EA741" s="5"/>
      <c r="EB741" s="5"/>
      <c r="EC741" s="5"/>
      <c r="ED741" s="5"/>
      <c r="EE741" s="5"/>
      <c r="EF741" s="5"/>
      <c r="EG741" s="5"/>
      <c r="EH741" s="5"/>
      <c r="EI741" s="5"/>
      <c r="EJ741" s="5"/>
      <c r="EK741" s="5"/>
      <c r="EL741" s="5"/>
      <c r="EM741" s="5"/>
      <c r="EN741" s="5"/>
      <c r="EO741" s="5"/>
      <c r="EP741" s="5"/>
      <c r="EQ741" s="5"/>
      <c r="ER741" s="5"/>
      <c r="ES741" s="5"/>
      <c r="ET741" s="5"/>
      <c r="EU741" s="5"/>
      <c r="EV741" s="5"/>
      <c r="EW741" s="5"/>
      <c r="EX741" s="5"/>
      <c r="EY741" s="5"/>
      <c r="EZ741" s="5"/>
      <c r="FA741" s="5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5"/>
      <c r="CT742" s="5"/>
      <c r="CU742" s="5"/>
      <c r="CV742" s="5"/>
      <c r="CW742" s="5"/>
      <c r="CX742" s="5"/>
      <c r="CY742" s="5"/>
      <c r="CZ742" s="5"/>
      <c r="DA742" s="5"/>
      <c r="DB742" s="5"/>
      <c r="DC742" s="5"/>
      <c r="DD742" s="5"/>
      <c r="DE742" s="5"/>
      <c r="DF742" s="5"/>
      <c r="DG742" s="5"/>
      <c r="DH742" s="5"/>
      <c r="DI742" s="5"/>
      <c r="DJ742" s="5"/>
      <c r="DK742" s="5"/>
      <c r="DL742" s="5"/>
      <c r="DM742" s="5"/>
      <c r="DN742" s="5"/>
      <c r="DO742" s="5"/>
      <c r="DP742" s="5"/>
      <c r="DQ742" s="5"/>
      <c r="DR742" s="5"/>
      <c r="DS742" s="5"/>
      <c r="DT742" s="5"/>
      <c r="DU742" s="5"/>
      <c r="DV742" s="5"/>
      <c r="DW742" s="5"/>
      <c r="DX742" s="5"/>
      <c r="DY742" s="5"/>
      <c r="DZ742" s="5"/>
      <c r="EA742" s="5"/>
      <c r="EB742" s="5"/>
      <c r="EC742" s="5"/>
      <c r="ED742" s="5"/>
      <c r="EE742" s="5"/>
      <c r="EF742" s="5"/>
      <c r="EG742" s="5"/>
      <c r="EH742" s="5"/>
      <c r="EI742" s="5"/>
      <c r="EJ742" s="5"/>
      <c r="EK742" s="5"/>
      <c r="EL742" s="5"/>
      <c r="EM742" s="5"/>
      <c r="EN742" s="5"/>
      <c r="EO742" s="5"/>
      <c r="EP742" s="5"/>
      <c r="EQ742" s="5"/>
      <c r="ER742" s="5"/>
      <c r="ES742" s="5"/>
      <c r="ET742" s="5"/>
      <c r="EU742" s="5"/>
      <c r="EV742" s="5"/>
      <c r="EW742" s="5"/>
      <c r="EX742" s="5"/>
      <c r="EY742" s="5"/>
      <c r="EZ742" s="5"/>
      <c r="FA742" s="5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5"/>
      <c r="CT743" s="5"/>
      <c r="CU743" s="5"/>
      <c r="CV743" s="5"/>
      <c r="CW743" s="5"/>
      <c r="CX743" s="5"/>
      <c r="CY743" s="5"/>
      <c r="CZ743" s="5"/>
      <c r="DA743" s="5"/>
      <c r="DB743" s="5"/>
      <c r="DC743" s="5"/>
      <c r="DD743" s="5"/>
      <c r="DE743" s="5"/>
      <c r="DF743" s="5"/>
      <c r="DG743" s="5"/>
      <c r="DH743" s="5"/>
      <c r="DI743" s="5"/>
      <c r="DJ743" s="5"/>
      <c r="DK743" s="5"/>
      <c r="DL743" s="5"/>
      <c r="DM743" s="5"/>
      <c r="DN743" s="5"/>
      <c r="DO743" s="5"/>
      <c r="DP743" s="5"/>
      <c r="DQ743" s="5"/>
      <c r="DR743" s="5"/>
      <c r="DS743" s="5"/>
      <c r="DT743" s="5"/>
      <c r="DU743" s="5"/>
      <c r="DV743" s="5"/>
      <c r="DW743" s="5"/>
      <c r="DX743" s="5"/>
      <c r="DY743" s="5"/>
      <c r="DZ743" s="5"/>
      <c r="EA743" s="5"/>
      <c r="EB743" s="5"/>
      <c r="EC743" s="5"/>
      <c r="ED743" s="5"/>
      <c r="EE743" s="5"/>
      <c r="EF743" s="5"/>
      <c r="EG743" s="5"/>
      <c r="EH743" s="5"/>
      <c r="EI743" s="5"/>
      <c r="EJ743" s="5"/>
      <c r="EK743" s="5"/>
      <c r="EL743" s="5"/>
      <c r="EM743" s="5"/>
      <c r="EN743" s="5"/>
      <c r="EO743" s="5"/>
      <c r="EP743" s="5"/>
      <c r="EQ743" s="5"/>
      <c r="ER743" s="5"/>
      <c r="ES743" s="5"/>
      <c r="ET743" s="5"/>
      <c r="EU743" s="5"/>
      <c r="EV743" s="5"/>
      <c r="EW743" s="5"/>
      <c r="EX743" s="5"/>
      <c r="EY743" s="5"/>
      <c r="EZ743" s="5"/>
      <c r="FA743" s="5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5"/>
      <c r="CT744" s="5"/>
      <c r="CU744" s="5"/>
      <c r="CV744" s="5"/>
      <c r="CW744" s="5"/>
      <c r="CX744" s="5"/>
      <c r="CY744" s="5"/>
      <c r="CZ744" s="5"/>
      <c r="DA744" s="5"/>
      <c r="DB744" s="5"/>
      <c r="DC744" s="5"/>
      <c r="DD744" s="5"/>
      <c r="DE744" s="5"/>
      <c r="DF744" s="5"/>
      <c r="DG744" s="5"/>
      <c r="DH744" s="5"/>
      <c r="DI744" s="5"/>
      <c r="DJ744" s="5"/>
      <c r="DK744" s="5"/>
      <c r="DL744" s="5"/>
      <c r="DM744" s="5"/>
      <c r="DN744" s="5"/>
      <c r="DO744" s="5"/>
      <c r="DP744" s="5"/>
      <c r="DQ744" s="5"/>
      <c r="DR744" s="5"/>
      <c r="DS744" s="5"/>
      <c r="DT744" s="5"/>
      <c r="DU744" s="5"/>
      <c r="DV744" s="5"/>
      <c r="DW744" s="5"/>
      <c r="DX744" s="5"/>
      <c r="DY744" s="5"/>
      <c r="DZ744" s="5"/>
      <c r="EA744" s="5"/>
      <c r="EB744" s="5"/>
      <c r="EC744" s="5"/>
      <c r="ED744" s="5"/>
      <c r="EE744" s="5"/>
      <c r="EF744" s="5"/>
      <c r="EG744" s="5"/>
      <c r="EH744" s="5"/>
      <c r="EI744" s="5"/>
      <c r="EJ744" s="5"/>
      <c r="EK744" s="5"/>
      <c r="EL744" s="5"/>
      <c r="EM744" s="5"/>
      <c r="EN744" s="5"/>
      <c r="EO744" s="5"/>
      <c r="EP744" s="5"/>
      <c r="EQ744" s="5"/>
      <c r="ER744" s="5"/>
      <c r="ES744" s="5"/>
      <c r="ET744" s="5"/>
      <c r="EU744" s="5"/>
      <c r="EV744" s="5"/>
      <c r="EW744" s="5"/>
      <c r="EX744" s="5"/>
      <c r="EY744" s="5"/>
      <c r="EZ744" s="5"/>
      <c r="FA744" s="5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5"/>
      <c r="CT745" s="5"/>
      <c r="CU745" s="5"/>
      <c r="CV745" s="5"/>
      <c r="CW745" s="5"/>
      <c r="CX745" s="5"/>
      <c r="CY745" s="5"/>
      <c r="CZ745" s="5"/>
      <c r="DA745" s="5"/>
      <c r="DB745" s="5"/>
      <c r="DC745" s="5"/>
      <c r="DD745" s="5"/>
      <c r="DE745" s="5"/>
      <c r="DF745" s="5"/>
      <c r="DG745" s="5"/>
      <c r="DH745" s="5"/>
      <c r="DI745" s="5"/>
      <c r="DJ745" s="5"/>
      <c r="DK745" s="5"/>
      <c r="DL745" s="5"/>
      <c r="DM745" s="5"/>
      <c r="DN745" s="5"/>
      <c r="DO745" s="5"/>
      <c r="DP745" s="5"/>
      <c r="DQ745" s="5"/>
      <c r="DR745" s="5"/>
      <c r="DS745" s="5"/>
      <c r="DT745" s="5"/>
      <c r="DU745" s="5"/>
      <c r="DV745" s="5"/>
      <c r="DW745" s="5"/>
      <c r="DX745" s="5"/>
      <c r="DY745" s="5"/>
      <c r="DZ745" s="5"/>
      <c r="EA745" s="5"/>
      <c r="EB745" s="5"/>
      <c r="EC745" s="5"/>
      <c r="ED745" s="5"/>
      <c r="EE745" s="5"/>
      <c r="EF745" s="5"/>
      <c r="EG745" s="5"/>
      <c r="EH745" s="5"/>
      <c r="EI745" s="5"/>
      <c r="EJ745" s="5"/>
      <c r="EK745" s="5"/>
      <c r="EL745" s="5"/>
      <c r="EM745" s="5"/>
      <c r="EN745" s="5"/>
      <c r="EO745" s="5"/>
      <c r="EP745" s="5"/>
      <c r="EQ745" s="5"/>
      <c r="ER745" s="5"/>
      <c r="ES745" s="5"/>
      <c r="ET745" s="5"/>
      <c r="EU745" s="5"/>
      <c r="EV745" s="5"/>
      <c r="EW745" s="5"/>
      <c r="EX745" s="5"/>
      <c r="EY745" s="5"/>
      <c r="EZ745" s="5"/>
      <c r="FA745" s="5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5"/>
      <c r="CT746" s="5"/>
      <c r="CU746" s="5"/>
      <c r="CV746" s="5"/>
      <c r="CW746" s="5"/>
      <c r="CX746" s="5"/>
      <c r="CY746" s="5"/>
      <c r="CZ746" s="5"/>
      <c r="DA746" s="5"/>
      <c r="DB746" s="5"/>
      <c r="DC746" s="5"/>
      <c r="DD746" s="5"/>
      <c r="DE746" s="5"/>
      <c r="DF746" s="5"/>
      <c r="DG746" s="5"/>
      <c r="DH746" s="5"/>
      <c r="DI746" s="5"/>
      <c r="DJ746" s="5"/>
      <c r="DK746" s="5"/>
      <c r="DL746" s="5"/>
      <c r="DM746" s="5"/>
      <c r="DN746" s="5"/>
      <c r="DO746" s="5"/>
      <c r="DP746" s="5"/>
      <c r="DQ746" s="5"/>
      <c r="DR746" s="5"/>
      <c r="DS746" s="5"/>
      <c r="DT746" s="5"/>
      <c r="DU746" s="5"/>
      <c r="DV746" s="5"/>
      <c r="DW746" s="5"/>
      <c r="DX746" s="5"/>
      <c r="DY746" s="5"/>
      <c r="DZ746" s="5"/>
      <c r="EA746" s="5"/>
      <c r="EB746" s="5"/>
      <c r="EC746" s="5"/>
      <c r="ED746" s="5"/>
      <c r="EE746" s="5"/>
      <c r="EF746" s="5"/>
      <c r="EG746" s="5"/>
      <c r="EH746" s="5"/>
      <c r="EI746" s="5"/>
      <c r="EJ746" s="5"/>
      <c r="EK746" s="5"/>
      <c r="EL746" s="5"/>
      <c r="EM746" s="5"/>
      <c r="EN746" s="5"/>
      <c r="EO746" s="5"/>
      <c r="EP746" s="5"/>
      <c r="EQ746" s="5"/>
      <c r="ER746" s="5"/>
      <c r="ES746" s="5"/>
      <c r="ET746" s="5"/>
      <c r="EU746" s="5"/>
      <c r="EV746" s="5"/>
      <c r="EW746" s="5"/>
      <c r="EX746" s="5"/>
      <c r="EY746" s="5"/>
      <c r="EZ746" s="5"/>
      <c r="FA746" s="5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5"/>
      <c r="CT747" s="5"/>
      <c r="CU747" s="5"/>
      <c r="CV747" s="5"/>
      <c r="CW747" s="5"/>
      <c r="CX747" s="5"/>
      <c r="CY747" s="5"/>
      <c r="CZ747" s="5"/>
      <c r="DA747" s="5"/>
      <c r="DB747" s="5"/>
      <c r="DC747" s="5"/>
      <c r="DD747" s="5"/>
      <c r="DE747" s="5"/>
      <c r="DF747" s="5"/>
      <c r="DG747" s="5"/>
      <c r="DH747" s="5"/>
      <c r="DI747" s="5"/>
      <c r="DJ747" s="5"/>
      <c r="DK747" s="5"/>
      <c r="DL747" s="5"/>
      <c r="DM747" s="5"/>
      <c r="DN747" s="5"/>
      <c r="DO747" s="5"/>
      <c r="DP747" s="5"/>
      <c r="DQ747" s="5"/>
      <c r="DR747" s="5"/>
      <c r="DS747" s="5"/>
      <c r="DT747" s="5"/>
      <c r="DU747" s="5"/>
      <c r="DV747" s="5"/>
      <c r="DW747" s="5"/>
      <c r="DX747" s="5"/>
      <c r="DY747" s="5"/>
      <c r="DZ747" s="5"/>
      <c r="EA747" s="5"/>
      <c r="EB747" s="5"/>
      <c r="EC747" s="5"/>
      <c r="ED747" s="5"/>
      <c r="EE747" s="5"/>
      <c r="EF747" s="5"/>
      <c r="EG747" s="5"/>
      <c r="EH747" s="5"/>
      <c r="EI747" s="5"/>
      <c r="EJ747" s="5"/>
      <c r="EK747" s="5"/>
      <c r="EL747" s="5"/>
      <c r="EM747" s="5"/>
      <c r="EN747" s="5"/>
      <c r="EO747" s="5"/>
      <c r="EP747" s="5"/>
      <c r="EQ747" s="5"/>
      <c r="ER747" s="5"/>
      <c r="ES747" s="5"/>
      <c r="ET747" s="5"/>
      <c r="EU747" s="5"/>
      <c r="EV747" s="5"/>
      <c r="EW747" s="5"/>
      <c r="EX747" s="5"/>
      <c r="EY747" s="5"/>
      <c r="EZ747" s="5"/>
      <c r="FA747" s="5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5"/>
      <c r="CT748" s="5"/>
      <c r="CU748" s="5"/>
      <c r="CV748" s="5"/>
      <c r="CW748" s="5"/>
      <c r="CX748" s="5"/>
      <c r="CY748" s="5"/>
      <c r="CZ748" s="5"/>
      <c r="DA748" s="5"/>
      <c r="DB748" s="5"/>
      <c r="DC748" s="5"/>
      <c r="DD748" s="5"/>
      <c r="DE748" s="5"/>
      <c r="DF748" s="5"/>
      <c r="DG748" s="5"/>
      <c r="DH748" s="5"/>
      <c r="DI748" s="5"/>
      <c r="DJ748" s="5"/>
      <c r="DK748" s="5"/>
      <c r="DL748" s="5"/>
      <c r="DM748" s="5"/>
      <c r="DN748" s="5"/>
      <c r="DO748" s="5"/>
      <c r="DP748" s="5"/>
      <c r="DQ748" s="5"/>
      <c r="DR748" s="5"/>
      <c r="DS748" s="5"/>
      <c r="DT748" s="5"/>
      <c r="DU748" s="5"/>
      <c r="DV748" s="5"/>
      <c r="DW748" s="5"/>
      <c r="DX748" s="5"/>
      <c r="DY748" s="5"/>
      <c r="DZ748" s="5"/>
      <c r="EA748" s="5"/>
      <c r="EB748" s="5"/>
      <c r="EC748" s="5"/>
      <c r="ED748" s="5"/>
      <c r="EE748" s="5"/>
      <c r="EF748" s="5"/>
      <c r="EG748" s="5"/>
      <c r="EH748" s="5"/>
      <c r="EI748" s="5"/>
      <c r="EJ748" s="5"/>
      <c r="EK748" s="5"/>
      <c r="EL748" s="5"/>
      <c r="EM748" s="5"/>
      <c r="EN748" s="5"/>
      <c r="EO748" s="5"/>
      <c r="EP748" s="5"/>
      <c r="EQ748" s="5"/>
      <c r="ER748" s="5"/>
      <c r="ES748" s="5"/>
      <c r="ET748" s="5"/>
      <c r="EU748" s="5"/>
      <c r="EV748" s="5"/>
      <c r="EW748" s="5"/>
      <c r="EX748" s="5"/>
      <c r="EY748" s="5"/>
      <c r="EZ748" s="5"/>
      <c r="FA748" s="5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5"/>
      <c r="CT749" s="5"/>
      <c r="CU749" s="5"/>
      <c r="CV749" s="5"/>
      <c r="CW749" s="5"/>
      <c r="CX749" s="5"/>
      <c r="CY749" s="5"/>
      <c r="CZ749" s="5"/>
      <c r="DA749" s="5"/>
      <c r="DB749" s="5"/>
      <c r="DC749" s="5"/>
      <c r="DD749" s="5"/>
      <c r="DE749" s="5"/>
      <c r="DF749" s="5"/>
      <c r="DG749" s="5"/>
      <c r="DH749" s="5"/>
      <c r="DI749" s="5"/>
      <c r="DJ749" s="5"/>
      <c r="DK749" s="5"/>
      <c r="DL749" s="5"/>
      <c r="DM749" s="5"/>
      <c r="DN749" s="5"/>
      <c r="DO749" s="5"/>
      <c r="DP749" s="5"/>
      <c r="DQ749" s="5"/>
      <c r="DR749" s="5"/>
      <c r="DS749" s="5"/>
      <c r="DT749" s="5"/>
      <c r="DU749" s="5"/>
      <c r="DV749" s="5"/>
      <c r="DW749" s="5"/>
      <c r="DX749" s="5"/>
      <c r="DY749" s="5"/>
      <c r="DZ749" s="5"/>
      <c r="EA749" s="5"/>
      <c r="EB749" s="5"/>
      <c r="EC749" s="5"/>
      <c r="ED749" s="5"/>
      <c r="EE749" s="5"/>
      <c r="EF749" s="5"/>
      <c r="EG749" s="5"/>
      <c r="EH749" s="5"/>
      <c r="EI749" s="5"/>
      <c r="EJ749" s="5"/>
      <c r="EK749" s="5"/>
      <c r="EL749" s="5"/>
      <c r="EM749" s="5"/>
      <c r="EN749" s="5"/>
      <c r="EO749" s="5"/>
      <c r="EP749" s="5"/>
      <c r="EQ749" s="5"/>
      <c r="ER749" s="5"/>
      <c r="ES749" s="5"/>
      <c r="ET749" s="5"/>
      <c r="EU749" s="5"/>
      <c r="EV749" s="5"/>
      <c r="EW749" s="5"/>
      <c r="EX749" s="5"/>
      <c r="EY749" s="5"/>
      <c r="EZ749" s="5"/>
      <c r="FA749" s="5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5"/>
      <c r="CT750" s="5"/>
      <c r="CU750" s="5"/>
      <c r="CV750" s="5"/>
      <c r="CW750" s="5"/>
      <c r="CX750" s="5"/>
      <c r="CY750" s="5"/>
      <c r="CZ750" s="5"/>
      <c r="DA750" s="5"/>
      <c r="DB750" s="5"/>
      <c r="DC750" s="5"/>
      <c r="DD750" s="5"/>
      <c r="DE750" s="5"/>
      <c r="DF750" s="5"/>
      <c r="DG750" s="5"/>
      <c r="DH750" s="5"/>
      <c r="DI750" s="5"/>
      <c r="DJ750" s="5"/>
      <c r="DK750" s="5"/>
      <c r="DL750" s="5"/>
      <c r="DM750" s="5"/>
      <c r="DN750" s="5"/>
      <c r="DO750" s="5"/>
      <c r="DP750" s="5"/>
      <c r="DQ750" s="5"/>
      <c r="DR750" s="5"/>
      <c r="DS750" s="5"/>
      <c r="DT750" s="5"/>
      <c r="DU750" s="5"/>
      <c r="DV750" s="5"/>
      <c r="DW750" s="5"/>
      <c r="DX750" s="5"/>
      <c r="DY750" s="5"/>
      <c r="DZ750" s="5"/>
      <c r="EA750" s="5"/>
      <c r="EB750" s="5"/>
      <c r="EC750" s="5"/>
      <c r="ED750" s="5"/>
      <c r="EE750" s="5"/>
      <c r="EF750" s="5"/>
      <c r="EG750" s="5"/>
      <c r="EH750" s="5"/>
      <c r="EI750" s="5"/>
      <c r="EJ750" s="5"/>
      <c r="EK750" s="5"/>
      <c r="EL750" s="5"/>
      <c r="EM750" s="5"/>
      <c r="EN750" s="5"/>
      <c r="EO750" s="5"/>
      <c r="EP750" s="5"/>
      <c r="EQ750" s="5"/>
      <c r="ER750" s="5"/>
      <c r="ES750" s="5"/>
      <c r="ET750" s="5"/>
      <c r="EU750" s="5"/>
      <c r="EV750" s="5"/>
      <c r="EW750" s="5"/>
      <c r="EX750" s="5"/>
      <c r="EY750" s="5"/>
      <c r="EZ750" s="5"/>
      <c r="FA750" s="5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5"/>
      <c r="CT751" s="5"/>
      <c r="CU751" s="5"/>
      <c r="CV751" s="5"/>
      <c r="CW751" s="5"/>
      <c r="CX751" s="5"/>
      <c r="CY751" s="5"/>
      <c r="CZ751" s="5"/>
      <c r="DA751" s="5"/>
      <c r="DB751" s="5"/>
      <c r="DC751" s="5"/>
      <c r="DD751" s="5"/>
      <c r="DE751" s="5"/>
      <c r="DF751" s="5"/>
      <c r="DG751" s="5"/>
      <c r="DH751" s="5"/>
      <c r="DI751" s="5"/>
      <c r="DJ751" s="5"/>
      <c r="DK751" s="5"/>
      <c r="DL751" s="5"/>
      <c r="DM751" s="5"/>
      <c r="DN751" s="5"/>
      <c r="DO751" s="5"/>
      <c r="DP751" s="5"/>
      <c r="DQ751" s="5"/>
      <c r="DR751" s="5"/>
      <c r="DS751" s="5"/>
      <c r="DT751" s="5"/>
      <c r="DU751" s="5"/>
      <c r="DV751" s="5"/>
      <c r="DW751" s="5"/>
      <c r="DX751" s="5"/>
      <c r="DY751" s="5"/>
      <c r="DZ751" s="5"/>
      <c r="EA751" s="5"/>
      <c r="EB751" s="5"/>
      <c r="EC751" s="5"/>
      <c r="ED751" s="5"/>
      <c r="EE751" s="5"/>
      <c r="EF751" s="5"/>
      <c r="EG751" s="5"/>
      <c r="EH751" s="5"/>
      <c r="EI751" s="5"/>
      <c r="EJ751" s="5"/>
      <c r="EK751" s="5"/>
      <c r="EL751" s="5"/>
      <c r="EM751" s="5"/>
      <c r="EN751" s="5"/>
      <c r="EO751" s="5"/>
      <c r="EP751" s="5"/>
      <c r="EQ751" s="5"/>
      <c r="ER751" s="5"/>
      <c r="ES751" s="5"/>
      <c r="ET751" s="5"/>
      <c r="EU751" s="5"/>
      <c r="EV751" s="5"/>
      <c r="EW751" s="5"/>
      <c r="EX751" s="5"/>
      <c r="EY751" s="5"/>
      <c r="EZ751" s="5"/>
      <c r="FA751" s="5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5"/>
      <c r="CT752" s="5"/>
      <c r="CU752" s="5"/>
      <c r="CV752" s="5"/>
      <c r="CW752" s="5"/>
      <c r="CX752" s="5"/>
      <c r="CY752" s="5"/>
      <c r="CZ752" s="5"/>
      <c r="DA752" s="5"/>
      <c r="DB752" s="5"/>
      <c r="DC752" s="5"/>
      <c r="DD752" s="5"/>
      <c r="DE752" s="5"/>
      <c r="DF752" s="5"/>
      <c r="DG752" s="5"/>
      <c r="DH752" s="5"/>
      <c r="DI752" s="5"/>
      <c r="DJ752" s="5"/>
      <c r="DK752" s="5"/>
      <c r="DL752" s="5"/>
      <c r="DM752" s="5"/>
      <c r="DN752" s="5"/>
      <c r="DO752" s="5"/>
      <c r="DP752" s="5"/>
      <c r="DQ752" s="5"/>
      <c r="DR752" s="5"/>
      <c r="DS752" s="5"/>
      <c r="DT752" s="5"/>
      <c r="DU752" s="5"/>
      <c r="DV752" s="5"/>
      <c r="DW752" s="5"/>
      <c r="DX752" s="5"/>
      <c r="DY752" s="5"/>
      <c r="DZ752" s="5"/>
      <c r="EA752" s="5"/>
      <c r="EB752" s="5"/>
      <c r="EC752" s="5"/>
      <c r="ED752" s="5"/>
      <c r="EE752" s="5"/>
      <c r="EF752" s="5"/>
      <c r="EG752" s="5"/>
      <c r="EH752" s="5"/>
      <c r="EI752" s="5"/>
      <c r="EJ752" s="5"/>
      <c r="EK752" s="5"/>
      <c r="EL752" s="5"/>
      <c r="EM752" s="5"/>
      <c r="EN752" s="5"/>
      <c r="EO752" s="5"/>
      <c r="EP752" s="5"/>
      <c r="EQ752" s="5"/>
      <c r="ER752" s="5"/>
      <c r="ES752" s="5"/>
      <c r="ET752" s="5"/>
      <c r="EU752" s="5"/>
      <c r="EV752" s="5"/>
      <c r="EW752" s="5"/>
      <c r="EX752" s="5"/>
      <c r="EY752" s="5"/>
      <c r="EZ752" s="5"/>
      <c r="FA752" s="5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5"/>
      <c r="CT753" s="5"/>
      <c r="CU753" s="5"/>
      <c r="CV753" s="5"/>
      <c r="CW753" s="5"/>
      <c r="CX753" s="5"/>
      <c r="CY753" s="5"/>
      <c r="CZ753" s="5"/>
      <c r="DA753" s="5"/>
      <c r="DB753" s="5"/>
      <c r="DC753" s="5"/>
      <c r="DD753" s="5"/>
      <c r="DE753" s="5"/>
      <c r="DF753" s="5"/>
      <c r="DG753" s="5"/>
      <c r="DH753" s="5"/>
      <c r="DI753" s="5"/>
      <c r="DJ753" s="5"/>
      <c r="DK753" s="5"/>
      <c r="DL753" s="5"/>
      <c r="DM753" s="5"/>
      <c r="DN753" s="5"/>
      <c r="DO753" s="5"/>
      <c r="DP753" s="5"/>
      <c r="DQ753" s="5"/>
      <c r="DR753" s="5"/>
      <c r="DS753" s="5"/>
      <c r="DT753" s="5"/>
      <c r="DU753" s="5"/>
      <c r="DV753" s="5"/>
      <c r="DW753" s="5"/>
      <c r="DX753" s="5"/>
      <c r="DY753" s="5"/>
      <c r="DZ753" s="5"/>
      <c r="EA753" s="5"/>
      <c r="EB753" s="5"/>
      <c r="EC753" s="5"/>
      <c r="ED753" s="5"/>
      <c r="EE753" s="5"/>
      <c r="EF753" s="5"/>
      <c r="EG753" s="5"/>
      <c r="EH753" s="5"/>
      <c r="EI753" s="5"/>
      <c r="EJ753" s="5"/>
      <c r="EK753" s="5"/>
      <c r="EL753" s="5"/>
      <c r="EM753" s="5"/>
      <c r="EN753" s="5"/>
      <c r="EO753" s="5"/>
      <c r="EP753" s="5"/>
      <c r="EQ753" s="5"/>
      <c r="ER753" s="5"/>
      <c r="ES753" s="5"/>
      <c r="ET753" s="5"/>
      <c r="EU753" s="5"/>
      <c r="EV753" s="5"/>
      <c r="EW753" s="5"/>
      <c r="EX753" s="5"/>
      <c r="EY753" s="5"/>
      <c r="EZ753" s="5"/>
      <c r="FA753" s="5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5"/>
      <c r="CT754" s="5"/>
      <c r="CU754" s="5"/>
      <c r="CV754" s="5"/>
      <c r="CW754" s="5"/>
      <c r="CX754" s="5"/>
      <c r="CY754" s="5"/>
      <c r="CZ754" s="5"/>
      <c r="DA754" s="5"/>
      <c r="DB754" s="5"/>
      <c r="DC754" s="5"/>
      <c r="DD754" s="5"/>
      <c r="DE754" s="5"/>
      <c r="DF754" s="5"/>
      <c r="DG754" s="5"/>
      <c r="DH754" s="5"/>
      <c r="DI754" s="5"/>
      <c r="DJ754" s="5"/>
      <c r="DK754" s="5"/>
      <c r="DL754" s="5"/>
      <c r="DM754" s="5"/>
      <c r="DN754" s="5"/>
      <c r="DO754" s="5"/>
      <c r="DP754" s="5"/>
      <c r="DQ754" s="5"/>
      <c r="DR754" s="5"/>
      <c r="DS754" s="5"/>
      <c r="DT754" s="5"/>
      <c r="DU754" s="5"/>
      <c r="DV754" s="5"/>
      <c r="DW754" s="5"/>
      <c r="DX754" s="5"/>
      <c r="DY754" s="5"/>
      <c r="DZ754" s="5"/>
      <c r="EA754" s="5"/>
      <c r="EB754" s="5"/>
      <c r="EC754" s="5"/>
      <c r="ED754" s="5"/>
      <c r="EE754" s="5"/>
      <c r="EF754" s="5"/>
      <c r="EG754" s="5"/>
      <c r="EH754" s="5"/>
      <c r="EI754" s="5"/>
      <c r="EJ754" s="5"/>
      <c r="EK754" s="5"/>
      <c r="EL754" s="5"/>
      <c r="EM754" s="5"/>
      <c r="EN754" s="5"/>
      <c r="EO754" s="5"/>
      <c r="EP754" s="5"/>
      <c r="EQ754" s="5"/>
      <c r="ER754" s="5"/>
      <c r="ES754" s="5"/>
      <c r="ET754" s="5"/>
      <c r="EU754" s="5"/>
      <c r="EV754" s="5"/>
      <c r="EW754" s="5"/>
      <c r="EX754" s="5"/>
      <c r="EY754" s="5"/>
      <c r="EZ754" s="5"/>
      <c r="FA754" s="5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5"/>
      <c r="CT755" s="5"/>
      <c r="CU755" s="5"/>
      <c r="CV755" s="5"/>
      <c r="CW755" s="5"/>
      <c r="CX755" s="5"/>
      <c r="CY755" s="5"/>
      <c r="CZ755" s="5"/>
      <c r="DA755" s="5"/>
      <c r="DB755" s="5"/>
      <c r="DC755" s="5"/>
      <c r="DD755" s="5"/>
      <c r="DE755" s="5"/>
      <c r="DF755" s="5"/>
      <c r="DG755" s="5"/>
      <c r="DH755" s="5"/>
      <c r="DI755" s="5"/>
      <c r="DJ755" s="5"/>
      <c r="DK755" s="5"/>
      <c r="DL755" s="5"/>
      <c r="DM755" s="5"/>
      <c r="DN755" s="5"/>
      <c r="DO755" s="5"/>
      <c r="DP755" s="5"/>
      <c r="DQ755" s="5"/>
      <c r="DR755" s="5"/>
      <c r="DS755" s="5"/>
      <c r="DT755" s="5"/>
      <c r="DU755" s="5"/>
      <c r="DV755" s="5"/>
      <c r="DW755" s="5"/>
      <c r="DX755" s="5"/>
      <c r="DY755" s="5"/>
      <c r="DZ755" s="5"/>
      <c r="EA755" s="5"/>
      <c r="EB755" s="5"/>
      <c r="EC755" s="5"/>
      <c r="ED755" s="5"/>
      <c r="EE755" s="5"/>
      <c r="EF755" s="5"/>
      <c r="EG755" s="5"/>
      <c r="EH755" s="5"/>
      <c r="EI755" s="5"/>
      <c r="EJ755" s="5"/>
      <c r="EK755" s="5"/>
      <c r="EL755" s="5"/>
      <c r="EM755" s="5"/>
      <c r="EN755" s="5"/>
      <c r="EO755" s="5"/>
      <c r="EP755" s="5"/>
      <c r="EQ755" s="5"/>
      <c r="ER755" s="5"/>
      <c r="ES755" s="5"/>
      <c r="ET755" s="5"/>
      <c r="EU755" s="5"/>
      <c r="EV755" s="5"/>
      <c r="EW755" s="5"/>
      <c r="EX755" s="5"/>
      <c r="EY755" s="5"/>
      <c r="EZ755" s="5"/>
      <c r="FA755" s="5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5"/>
      <c r="CT756" s="5"/>
      <c r="CU756" s="5"/>
      <c r="CV756" s="5"/>
      <c r="CW756" s="5"/>
      <c r="CX756" s="5"/>
      <c r="CY756" s="5"/>
      <c r="CZ756" s="5"/>
      <c r="DA756" s="5"/>
      <c r="DB756" s="5"/>
      <c r="DC756" s="5"/>
      <c r="DD756" s="5"/>
      <c r="DE756" s="5"/>
      <c r="DF756" s="5"/>
      <c r="DG756" s="5"/>
      <c r="DH756" s="5"/>
      <c r="DI756" s="5"/>
      <c r="DJ756" s="5"/>
      <c r="DK756" s="5"/>
      <c r="DL756" s="5"/>
      <c r="DM756" s="5"/>
      <c r="DN756" s="5"/>
      <c r="DO756" s="5"/>
      <c r="DP756" s="5"/>
      <c r="DQ756" s="5"/>
      <c r="DR756" s="5"/>
      <c r="DS756" s="5"/>
      <c r="DT756" s="5"/>
      <c r="DU756" s="5"/>
      <c r="DV756" s="5"/>
      <c r="DW756" s="5"/>
      <c r="DX756" s="5"/>
      <c r="DY756" s="5"/>
      <c r="DZ756" s="5"/>
      <c r="EA756" s="5"/>
      <c r="EB756" s="5"/>
      <c r="EC756" s="5"/>
      <c r="ED756" s="5"/>
      <c r="EE756" s="5"/>
      <c r="EF756" s="5"/>
      <c r="EG756" s="5"/>
      <c r="EH756" s="5"/>
      <c r="EI756" s="5"/>
      <c r="EJ756" s="5"/>
      <c r="EK756" s="5"/>
      <c r="EL756" s="5"/>
      <c r="EM756" s="5"/>
      <c r="EN756" s="5"/>
      <c r="EO756" s="5"/>
      <c r="EP756" s="5"/>
      <c r="EQ756" s="5"/>
      <c r="ER756" s="5"/>
      <c r="ES756" s="5"/>
      <c r="ET756" s="5"/>
      <c r="EU756" s="5"/>
      <c r="EV756" s="5"/>
      <c r="EW756" s="5"/>
      <c r="EX756" s="5"/>
      <c r="EY756" s="5"/>
      <c r="EZ756" s="5"/>
      <c r="FA756" s="5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5"/>
      <c r="CT757" s="5"/>
      <c r="CU757" s="5"/>
      <c r="CV757" s="5"/>
      <c r="CW757" s="5"/>
      <c r="CX757" s="5"/>
      <c r="CY757" s="5"/>
      <c r="CZ757" s="5"/>
      <c r="DA757" s="5"/>
      <c r="DB757" s="5"/>
      <c r="DC757" s="5"/>
      <c r="DD757" s="5"/>
      <c r="DE757" s="5"/>
      <c r="DF757" s="5"/>
      <c r="DG757" s="5"/>
      <c r="DH757" s="5"/>
      <c r="DI757" s="5"/>
      <c r="DJ757" s="5"/>
      <c r="DK757" s="5"/>
      <c r="DL757" s="5"/>
      <c r="DM757" s="5"/>
      <c r="DN757" s="5"/>
      <c r="DO757" s="5"/>
      <c r="DP757" s="5"/>
      <c r="DQ757" s="5"/>
      <c r="DR757" s="5"/>
      <c r="DS757" s="5"/>
      <c r="DT757" s="5"/>
      <c r="DU757" s="5"/>
      <c r="DV757" s="5"/>
      <c r="DW757" s="5"/>
      <c r="DX757" s="5"/>
      <c r="DY757" s="5"/>
      <c r="DZ757" s="5"/>
      <c r="EA757" s="5"/>
      <c r="EB757" s="5"/>
      <c r="EC757" s="5"/>
      <c r="ED757" s="5"/>
      <c r="EE757" s="5"/>
      <c r="EF757" s="5"/>
      <c r="EG757" s="5"/>
      <c r="EH757" s="5"/>
      <c r="EI757" s="5"/>
      <c r="EJ757" s="5"/>
      <c r="EK757" s="5"/>
      <c r="EL757" s="5"/>
      <c r="EM757" s="5"/>
      <c r="EN757" s="5"/>
      <c r="EO757" s="5"/>
      <c r="EP757" s="5"/>
      <c r="EQ757" s="5"/>
      <c r="ER757" s="5"/>
      <c r="ES757" s="5"/>
      <c r="ET757" s="5"/>
      <c r="EU757" s="5"/>
      <c r="EV757" s="5"/>
      <c r="EW757" s="5"/>
      <c r="EX757" s="5"/>
      <c r="EY757" s="5"/>
      <c r="EZ757" s="5"/>
      <c r="FA757" s="5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5"/>
      <c r="CT758" s="5"/>
      <c r="CU758" s="5"/>
      <c r="CV758" s="5"/>
      <c r="CW758" s="5"/>
      <c r="CX758" s="5"/>
      <c r="CY758" s="5"/>
      <c r="CZ758" s="5"/>
      <c r="DA758" s="5"/>
      <c r="DB758" s="5"/>
      <c r="DC758" s="5"/>
      <c r="DD758" s="5"/>
      <c r="DE758" s="5"/>
      <c r="DF758" s="5"/>
      <c r="DG758" s="5"/>
      <c r="DH758" s="5"/>
      <c r="DI758" s="5"/>
      <c r="DJ758" s="5"/>
      <c r="DK758" s="5"/>
      <c r="DL758" s="5"/>
      <c r="DM758" s="5"/>
      <c r="DN758" s="5"/>
      <c r="DO758" s="5"/>
      <c r="DP758" s="5"/>
      <c r="DQ758" s="5"/>
      <c r="DR758" s="5"/>
      <c r="DS758" s="5"/>
      <c r="DT758" s="5"/>
      <c r="DU758" s="5"/>
      <c r="DV758" s="5"/>
      <c r="DW758" s="5"/>
      <c r="DX758" s="5"/>
      <c r="DY758" s="5"/>
      <c r="DZ758" s="5"/>
      <c r="EA758" s="5"/>
      <c r="EB758" s="5"/>
      <c r="EC758" s="5"/>
      <c r="ED758" s="5"/>
      <c r="EE758" s="5"/>
      <c r="EF758" s="5"/>
      <c r="EG758" s="5"/>
      <c r="EH758" s="5"/>
      <c r="EI758" s="5"/>
      <c r="EJ758" s="5"/>
      <c r="EK758" s="5"/>
      <c r="EL758" s="5"/>
      <c r="EM758" s="5"/>
      <c r="EN758" s="5"/>
      <c r="EO758" s="5"/>
      <c r="EP758" s="5"/>
      <c r="EQ758" s="5"/>
      <c r="ER758" s="5"/>
      <c r="ES758" s="5"/>
      <c r="ET758" s="5"/>
      <c r="EU758" s="5"/>
      <c r="EV758" s="5"/>
      <c r="EW758" s="5"/>
      <c r="EX758" s="5"/>
      <c r="EY758" s="5"/>
      <c r="EZ758" s="5"/>
      <c r="FA758" s="5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5"/>
      <c r="CT759" s="5"/>
      <c r="CU759" s="5"/>
      <c r="CV759" s="5"/>
      <c r="CW759" s="5"/>
      <c r="CX759" s="5"/>
      <c r="CY759" s="5"/>
      <c r="CZ759" s="5"/>
      <c r="DA759" s="5"/>
      <c r="DB759" s="5"/>
      <c r="DC759" s="5"/>
      <c r="DD759" s="5"/>
      <c r="DE759" s="5"/>
      <c r="DF759" s="5"/>
      <c r="DG759" s="5"/>
      <c r="DH759" s="5"/>
      <c r="DI759" s="5"/>
      <c r="DJ759" s="5"/>
      <c r="DK759" s="5"/>
      <c r="DL759" s="5"/>
      <c r="DM759" s="5"/>
      <c r="DN759" s="5"/>
      <c r="DO759" s="5"/>
      <c r="DP759" s="5"/>
      <c r="DQ759" s="5"/>
      <c r="DR759" s="5"/>
      <c r="DS759" s="5"/>
      <c r="DT759" s="5"/>
      <c r="DU759" s="5"/>
      <c r="DV759" s="5"/>
      <c r="DW759" s="5"/>
      <c r="DX759" s="5"/>
      <c r="DY759" s="5"/>
      <c r="DZ759" s="5"/>
      <c r="EA759" s="5"/>
      <c r="EB759" s="5"/>
      <c r="EC759" s="5"/>
      <c r="ED759" s="5"/>
      <c r="EE759" s="5"/>
      <c r="EF759" s="5"/>
      <c r="EG759" s="5"/>
      <c r="EH759" s="5"/>
      <c r="EI759" s="5"/>
      <c r="EJ759" s="5"/>
      <c r="EK759" s="5"/>
      <c r="EL759" s="5"/>
      <c r="EM759" s="5"/>
      <c r="EN759" s="5"/>
      <c r="EO759" s="5"/>
      <c r="EP759" s="5"/>
      <c r="EQ759" s="5"/>
      <c r="ER759" s="5"/>
      <c r="ES759" s="5"/>
      <c r="ET759" s="5"/>
      <c r="EU759" s="5"/>
      <c r="EV759" s="5"/>
      <c r="EW759" s="5"/>
      <c r="EX759" s="5"/>
      <c r="EY759" s="5"/>
      <c r="EZ759" s="5"/>
      <c r="FA759" s="5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5"/>
      <c r="CT760" s="5"/>
      <c r="CU760" s="5"/>
      <c r="CV760" s="5"/>
      <c r="CW760" s="5"/>
      <c r="CX760" s="5"/>
      <c r="CY760" s="5"/>
      <c r="CZ760" s="5"/>
      <c r="DA760" s="5"/>
      <c r="DB760" s="5"/>
      <c r="DC760" s="5"/>
      <c r="DD760" s="5"/>
      <c r="DE760" s="5"/>
      <c r="DF760" s="5"/>
      <c r="DG760" s="5"/>
      <c r="DH760" s="5"/>
      <c r="DI760" s="5"/>
      <c r="DJ760" s="5"/>
      <c r="DK760" s="5"/>
      <c r="DL760" s="5"/>
      <c r="DM760" s="5"/>
      <c r="DN760" s="5"/>
      <c r="DO760" s="5"/>
      <c r="DP760" s="5"/>
      <c r="DQ760" s="5"/>
      <c r="DR760" s="5"/>
      <c r="DS760" s="5"/>
      <c r="DT760" s="5"/>
      <c r="DU760" s="5"/>
      <c r="DV760" s="5"/>
      <c r="DW760" s="5"/>
      <c r="DX760" s="5"/>
      <c r="DY760" s="5"/>
      <c r="DZ760" s="5"/>
      <c r="EA760" s="5"/>
      <c r="EB760" s="5"/>
      <c r="EC760" s="5"/>
      <c r="ED760" s="5"/>
      <c r="EE760" s="5"/>
      <c r="EF760" s="5"/>
      <c r="EG760" s="5"/>
      <c r="EH760" s="5"/>
      <c r="EI760" s="5"/>
      <c r="EJ760" s="5"/>
      <c r="EK760" s="5"/>
      <c r="EL760" s="5"/>
      <c r="EM760" s="5"/>
      <c r="EN760" s="5"/>
      <c r="EO760" s="5"/>
      <c r="EP760" s="5"/>
      <c r="EQ760" s="5"/>
      <c r="ER760" s="5"/>
      <c r="ES760" s="5"/>
      <c r="ET760" s="5"/>
      <c r="EU760" s="5"/>
      <c r="EV760" s="5"/>
      <c r="EW760" s="5"/>
      <c r="EX760" s="5"/>
      <c r="EY760" s="5"/>
      <c r="EZ760" s="5"/>
      <c r="FA760" s="5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5"/>
      <c r="CT761" s="5"/>
      <c r="CU761" s="5"/>
      <c r="CV761" s="5"/>
      <c r="CW761" s="5"/>
      <c r="CX761" s="5"/>
      <c r="CY761" s="5"/>
      <c r="CZ761" s="5"/>
      <c r="DA761" s="5"/>
      <c r="DB761" s="5"/>
      <c r="DC761" s="5"/>
      <c r="DD761" s="5"/>
      <c r="DE761" s="5"/>
      <c r="DF761" s="5"/>
      <c r="DG761" s="5"/>
      <c r="DH761" s="5"/>
      <c r="DI761" s="5"/>
      <c r="DJ761" s="5"/>
      <c r="DK761" s="5"/>
      <c r="DL761" s="5"/>
      <c r="DM761" s="5"/>
      <c r="DN761" s="5"/>
      <c r="DO761" s="5"/>
      <c r="DP761" s="5"/>
      <c r="DQ761" s="5"/>
      <c r="DR761" s="5"/>
      <c r="DS761" s="5"/>
      <c r="DT761" s="5"/>
      <c r="DU761" s="5"/>
      <c r="DV761" s="5"/>
      <c r="DW761" s="5"/>
      <c r="DX761" s="5"/>
      <c r="DY761" s="5"/>
      <c r="DZ761" s="5"/>
      <c r="EA761" s="5"/>
      <c r="EB761" s="5"/>
      <c r="EC761" s="5"/>
      <c r="ED761" s="5"/>
      <c r="EE761" s="5"/>
      <c r="EF761" s="5"/>
      <c r="EG761" s="5"/>
      <c r="EH761" s="5"/>
      <c r="EI761" s="5"/>
      <c r="EJ761" s="5"/>
      <c r="EK761" s="5"/>
      <c r="EL761" s="5"/>
      <c r="EM761" s="5"/>
      <c r="EN761" s="5"/>
      <c r="EO761" s="5"/>
      <c r="EP761" s="5"/>
      <c r="EQ761" s="5"/>
      <c r="ER761" s="5"/>
      <c r="ES761" s="5"/>
      <c r="ET761" s="5"/>
      <c r="EU761" s="5"/>
      <c r="EV761" s="5"/>
      <c r="EW761" s="5"/>
      <c r="EX761" s="5"/>
      <c r="EY761" s="5"/>
      <c r="EZ761" s="5"/>
      <c r="FA761" s="5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5"/>
      <c r="CT762" s="5"/>
      <c r="CU762" s="5"/>
      <c r="CV762" s="5"/>
      <c r="CW762" s="5"/>
      <c r="CX762" s="5"/>
      <c r="CY762" s="5"/>
      <c r="CZ762" s="5"/>
      <c r="DA762" s="5"/>
      <c r="DB762" s="5"/>
      <c r="DC762" s="5"/>
      <c r="DD762" s="5"/>
      <c r="DE762" s="5"/>
      <c r="DF762" s="5"/>
      <c r="DG762" s="5"/>
      <c r="DH762" s="5"/>
      <c r="DI762" s="5"/>
      <c r="DJ762" s="5"/>
      <c r="DK762" s="5"/>
      <c r="DL762" s="5"/>
      <c r="DM762" s="5"/>
      <c r="DN762" s="5"/>
      <c r="DO762" s="5"/>
      <c r="DP762" s="5"/>
      <c r="DQ762" s="5"/>
      <c r="DR762" s="5"/>
      <c r="DS762" s="5"/>
      <c r="DT762" s="5"/>
      <c r="DU762" s="5"/>
      <c r="DV762" s="5"/>
      <c r="DW762" s="5"/>
      <c r="DX762" s="5"/>
      <c r="DY762" s="5"/>
      <c r="DZ762" s="5"/>
      <c r="EA762" s="5"/>
      <c r="EB762" s="5"/>
      <c r="EC762" s="5"/>
      <c r="ED762" s="5"/>
      <c r="EE762" s="5"/>
      <c r="EF762" s="5"/>
      <c r="EG762" s="5"/>
      <c r="EH762" s="5"/>
      <c r="EI762" s="5"/>
      <c r="EJ762" s="5"/>
      <c r="EK762" s="5"/>
      <c r="EL762" s="5"/>
      <c r="EM762" s="5"/>
      <c r="EN762" s="5"/>
      <c r="EO762" s="5"/>
      <c r="EP762" s="5"/>
      <c r="EQ762" s="5"/>
      <c r="ER762" s="5"/>
      <c r="ES762" s="5"/>
      <c r="ET762" s="5"/>
      <c r="EU762" s="5"/>
      <c r="EV762" s="5"/>
      <c r="EW762" s="5"/>
      <c r="EX762" s="5"/>
      <c r="EY762" s="5"/>
      <c r="EZ762" s="5"/>
      <c r="FA762" s="5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  <c r="EG763" s="5"/>
      <c r="EH763" s="5"/>
      <c r="EI763" s="5"/>
      <c r="EJ763" s="5"/>
      <c r="EK763" s="5"/>
      <c r="EL763" s="5"/>
      <c r="EM763" s="5"/>
      <c r="EN763" s="5"/>
      <c r="EO763" s="5"/>
      <c r="EP763" s="5"/>
      <c r="EQ763" s="5"/>
      <c r="ER763" s="5"/>
      <c r="ES763" s="5"/>
      <c r="ET763" s="5"/>
      <c r="EU763" s="5"/>
      <c r="EV763" s="5"/>
      <c r="EW763" s="5"/>
      <c r="EX763" s="5"/>
      <c r="EY763" s="5"/>
      <c r="EZ763" s="5"/>
      <c r="FA763" s="5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5"/>
      <c r="CT764" s="5"/>
      <c r="CU764" s="5"/>
      <c r="CV764" s="5"/>
      <c r="CW764" s="5"/>
      <c r="CX764" s="5"/>
      <c r="CY764" s="5"/>
      <c r="CZ764" s="5"/>
      <c r="DA764" s="5"/>
      <c r="DB764" s="5"/>
      <c r="DC764" s="5"/>
      <c r="DD764" s="5"/>
      <c r="DE764" s="5"/>
      <c r="DF764" s="5"/>
      <c r="DG764" s="5"/>
      <c r="DH764" s="5"/>
      <c r="DI764" s="5"/>
      <c r="DJ764" s="5"/>
      <c r="DK764" s="5"/>
      <c r="DL764" s="5"/>
      <c r="DM764" s="5"/>
      <c r="DN764" s="5"/>
      <c r="DO764" s="5"/>
      <c r="DP764" s="5"/>
      <c r="DQ764" s="5"/>
      <c r="DR764" s="5"/>
      <c r="DS764" s="5"/>
      <c r="DT764" s="5"/>
      <c r="DU764" s="5"/>
      <c r="DV764" s="5"/>
      <c r="DW764" s="5"/>
      <c r="DX764" s="5"/>
      <c r="DY764" s="5"/>
      <c r="DZ764" s="5"/>
      <c r="EA764" s="5"/>
      <c r="EB764" s="5"/>
      <c r="EC764" s="5"/>
      <c r="ED764" s="5"/>
      <c r="EE764" s="5"/>
      <c r="EF764" s="5"/>
      <c r="EG764" s="5"/>
      <c r="EH764" s="5"/>
      <c r="EI764" s="5"/>
      <c r="EJ764" s="5"/>
      <c r="EK764" s="5"/>
      <c r="EL764" s="5"/>
      <c r="EM764" s="5"/>
      <c r="EN764" s="5"/>
      <c r="EO764" s="5"/>
      <c r="EP764" s="5"/>
      <c r="EQ764" s="5"/>
      <c r="ER764" s="5"/>
      <c r="ES764" s="5"/>
      <c r="ET764" s="5"/>
      <c r="EU764" s="5"/>
      <c r="EV764" s="5"/>
      <c r="EW764" s="5"/>
      <c r="EX764" s="5"/>
      <c r="EY764" s="5"/>
      <c r="EZ764" s="5"/>
      <c r="FA764" s="5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5"/>
      <c r="CT765" s="5"/>
      <c r="CU765" s="5"/>
      <c r="CV765" s="5"/>
      <c r="CW765" s="5"/>
      <c r="CX765" s="5"/>
      <c r="CY765" s="5"/>
      <c r="CZ765" s="5"/>
      <c r="DA765" s="5"/>
      <c r="DB765" s="5"/>
      <c r="DC765" s="5"/>
      <c r="DD765" s="5"/>
      <c r="DE765" s="5"/>
      <c r="DF765" s="5"/>
      <c r="DG765" s="5"/>
      <c r="DH765" s="5"/>
      <c r="DI765" s="5"/>
      <c r="DJ765" s="5"/>
      <c r="DK765" s="5"/>
      <c r="DL765" s="5"/>
      <c r="DM765" s="5"/>
      <c r="DN765" s="5"/>
      <c r="DO765" s="5"/>
      <c r="DP765" s="5"/>
      <c r="DQ765" s="5"/>
      <c r="DR765" s="5"/>
      <c r="DS765" s="5"/>
      <c r="DT765" s="5"/>
      <c r="DU765" s="5"/>
      <c r="DV765" s="5"/>
      <c r="DW765" s="5"/>
      <c r="DX765" s="5"/>
      <c r="DY765" s="5"/>
      <c r="DZ765" s="5"/>
      <c r="EA765" s="5"/>
      <c r="EB765" s="5"/>
      <c r="EC765" s="5"/>
      <c r="ED765" s="5"/>
      <c r="EE765" s="5"/>
      <c r="EF765" s="5"/>
      <c r="EG765" s="5"/>
      <c r="EH765" s="5"/>
      <c r="EI765" s="5"/>
      <c r="EJ765" s="5"/>
      <c r="EK765" s="5"/>
      <c r="EL765" s="5"/>
      <c r="EM765" s="5"/>
      <c r="EN765" s="5"/>
      <c r="EO765" s="5"/>
      <c r="EP765" s="5"/>
      <c r="EQ765" s="5"/>
      <c r="ER765" s="5"/>
      <c r="ES765" s="5"/>
      <c r="ET765" s="5"/>
      <c r="EU765" s="5"/>
      <c r="EV765" s="5"/>
      <c r="EW765" s="5"/>
      <c r="EX765" s="5"/>
      <c r="EY765" s="5"/>
      <c r="EZ765" s="5"/>
      <c r="FA765" s="5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5"/>
      <c r="CT766" s="5"/>
      <c r="CU766" s="5"/>
      <c r="CV766" s="5"/>
      <c r="CW766" s="5"/>
      <c r="CX766" s="5"/>
      <c r="CY766" s="5"/>
      <c r="CZ766" s="5"/>
      <c r="DA766" s="5"/>
      <c r="DB766" s="5"/>
      <c r="DC766" s="5"/>
      <c r="DD766" s="5"/>
      <c r="DE766" s="5"/>
      <c r="DF766" s="5"/>
      <c r="DG766" s="5"/>
      <c r="DH766" s="5"/>
      <c r="DI766" s="5"/>
      <c r="DJ766" s="5"/>
      <c r="DK766" s="5"/>
      <c r="DL766" s="5"/>
      <c r="DM766" s="5"/>
      <c r="DN766" s="5"/>
      <c r="DO766" s="5"/>
      <c r="DP766" s="5"/>
      <c r="DQ766" s="5"/>
      <c r="DR766" s="5"/>
      <c r="DS766" s="5"/>
      <c r="DT766" s="5"/>
      <c r="DU766" s="5"/>
      <c r="DV766" s="5"/>
      <c r="DW766" s="5"/>
      <c r="DX766" s="5"/>
      <c r="DY766" s="5"/>
      <c r="DZ766" s="5"/>
      <c r="EA766" s="5"/>
      <c r="EB766" s="5"/>
      <c r="EC766" s="5"/>
      <c r="ED766" s="5"/>
      <c r="EE766" s="5"/>
      <c r="EF766" s="5"/>
      <c r="EG766" s="5"/>
      <c r="EH766" s="5"/>
      <c r="EI766" s="5"/>
      <c r="EJ766" s="5"/>
      <c r="EK766" s="5"/>
      <c r="EL766" s="5"/>
      <c r="EM766" s="5"/>
      <c r="EN766" s="5"/>
      <c r="EO766" s="5"/>
      <c r="EP766" s="5"/>
      <c r="EQ766" s="5"/>
      <c r="ER766" s="5"/>
      <c r="ES766" s="5"/>
      <c r="ET766" s="5"/>
      <c r="EU766" s="5"/>
      <c r="EV766" s="5"/>
      <c r="EW766" s="5"/>
      <c r="EX766" s="5"/>
      <c r="EY766" s="5"/>
      <c r="EZ766" s="5"/>
      <c r="FA766" s="5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5"/>
      <c r="CT767" s="5"/>
      <c r="CU767" s="5"/>
      <c r="CV767" s="5"/>
      <c r="CW767" s="5"/>
      <c r="CX767" s="5"/>
      <c r="CY767" s="5"/>
      <c r="CZ767" s="5"/>
      <c r="DA767" s="5"/>
      <c r="DB767" s="5"/>
      <c r="DC767" s="5"/>
      <c r="DD767" s="5"/>
      <c r="DE767" s="5"/>
      <c r="DF767" s="5"/>
      <c r="DG767" s="5"/>
      <c r="DH767" s="5"/>
      <c r="DI767" s="5"/>
      <c r="DJ767" s="5"/>
      <c r="DK767" s="5"/>
      <c r="DL767" s="5"/>
      <c r="DM767" s="5"/>
      <c r="DN767" s="5"/>
      <c r="DO767" s="5"/>
      <c r="DP767" s="5"/>
      <c r="DQ767" s="5"/>
      <c r="DR767" s="5"/>
      <c r="DS767" s="5"/>
      <c r="DT767" s="5"/>
      <c r="DU767" s="5"/>
      <c r="DV767" s="5"/>
      <c r="DW767" s="5"/>
      <c r="DX767" s="5"/>
      <c r="DY767" s="5"/>
      <c r="DZ767" s="5"/>
      <c r="EA767" s="5"/>
      <c r="EB767" s="5"/>
      <c r="EC767" s="5"/>
      <c r="ED767" s="5"/>
      <c r="EE767" s="5"/>
      <c r="EF767" s="5"/>
      <c r="EG767" s="5"/>
      <c r="EH767" s="5"/>
      <c r="EI767" s="5"/>
      <c r="EJ767" s="5"/>
      <c r="EK767" s="5"/>
      <c r="EL767" s="5"/>
      <c r="EM767" s="5"/>
      <c r="EN767" s="5"/>
      <c r="EO767" s="5"/>
      <c r="EP767" s="5"/>
      <c r="EQ767" s="5"/>
      <c r="ER767" s="5"/>
      <c r="ES767" s="5"/>
      <c r="ET767" s="5"/>
      <c r="EU767" s="5"/>
      <c r="EV767" s="5"/>
      <c r="EW767" s="5"/>
      <c r="EX767" s="5"/>
      <c r="EY767" s="5"/>
      <c r="EZ767" s="5"/>
      <c r="FA767" s="5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5"/>
      <c r="CT768" s="5"/>
      <c r="CU768" s="5"/>
      <c r="CV768" s="5"/>
      <c r="CW768" s="5"/>
      <c r="CX768" s="5"/>
      <c r="CY768" s="5"/>
      <c r="CZ768" s="5"/>
      <c r="DA768" s="5"/>
      <c r="DB768" s="5"/>
      <c r="DC768" s="5"/>
      <c r="DD768" s="5"/>
      <c r="DE768" s="5"/>
      <c r="DF768" s="5"/>
      <c r="DG768" s="5"/>
      <c r="DH768" s="5"/>
      <c r="DI768" s="5"/>
      <c r="DJ768" s="5"/>
      <c r="DK768" s="5"/>
      <c r="DL768" s="5"/>
      <c r="DM768" s="5"/>
      <c r="DN768" s="5"/>
      <c r="DO768" s="5"/>
      <c r="DP768" s="5"/>
      <c r="DQ768" s="5"/>
      <c r="DR768" s="5"/>
      <c r="DS768" s="5"/>
      <c r="DT768" s="5"/>
      <c r="DU768" s="5"/>
      <c r="DV768" s="5"/>
      <c r="DW768" s="5"/>
      <c r="DX768" s="5"/>
      <c r="DY768" s="5"/>
      <c r="DZ768" s="5"/>
      <c r="EA768" s="5"/>
      <c r="EB768" s="5"/>
      <c r="EC768" s="5"/>
      <c r="ED768" s="5"/>
      <c r="EE768" s="5"/>
      <c r="EF768" s="5"/>
      <c r="EG768" s="5"/>
      <c r="EH768" s="5"/>
      <c r="EI768" s="5"/>
      <c r="EJ768" s="5"/>
      <c r="EK768" s="5"/>
      <c r="EL768" s="5"/>
      <c r="EM768" s="5"/>
      <c r="EN768" s="5"/>
      <c r="EO768" s="5"/>
      <c r="EP768" s="5"/>
      <c r="EQ768" s="5"/>
      <c r="ER768" s="5"/>
      <c r="ES768" s="5"/>
      <c r="ET768" s="5"/>
      <c r="EU768" s="5"/>
      <c r="EV768" s="5"/>
      <c r="EW768" s="5"/>
      <c r="EX768" s="5"/>
      <c r="EY768" s="5"/>
      <c r="EZ768" s="5"/>
      <c r="FA768" s="5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5"/>
      <c r="CT770" s="5"/>
      <c r="CU770" s="5"/>
      <c r="CV770" s="5"/>
      <c r="CW770" s="5"/>
      <c r="CX770" s="5"/>
      <c r="CY770" s="5"/>
      <c r="CZ770" s="5"/>
      <c r="DA770" s="5"/>
      <c r="DB770" s="5"/>
      <c r="DC770" s="5"/>
      <c r="DD770" s="5"/>
      <c r="DE770" s="5"/>
      <c r="DF770" s="5"/>
      <c r="DG770" s="5"/>
      <c r="DH770" s="5"/>
      <c r="DI770" s="5"/>
      <c r="DJ770" s="5"/>
      <c r="DK770" s="5"/>
      <c r="DL770" s="5"/>
      <c r="DM770" s="5"/>
      <c r="DN770" s="5"/>
      <c r="DO770" s="5"/>
      <c r="DP770" s="5"/>
      <c r="DQ770" s="5"/>
      <c r="DR770" s="5"/>
      <c r="DS770" s="5"/>
      <c r="DT770" s="5"/>
      <c r="DU770" s="5"/>
      <c r="DV770" s="5"/>
      <c r="DW770" s="5"/>
      <c r="DX770" s="5"/>
      <c r="DY770" s="5"/>
      <c r="DZ770" s="5"/>
      <c r="EA770" s="5"/>
      <c r="EB770" s="5"/>
      <c r="EC770" s="5"/>
      <c r="ED770" s="5"/>
      <c r="EE770" s="5"/>
      <c r="EF770" s="5"/>
      <c r="EG770" s="5"/>
      <c r="EH770" s="5"/>
      <c r="EI770" s="5"/>
      <c r="EJ770" s="5"/>
      <c r="EK770" s="5"/>
      <c r="EL770" s="5"/>
      <c r="EM770" s="5"/>
      <c r="EN770" s="5"/>
      <c r="EO770" s="5"/>
      <c r="EP770" s="5"/>
      <c r="EQ770" s="5"/>
      <c r="ER770" s="5"/>
      <c r="ES770" s="5"/>
      <c r="ET770" s="5"/>
      <c r="EU770" s="5"/>
      <c r="EV770" s="5"/>
      <c r="EW770" s="5"/>
      <c r="EX770" s="5"/>
      <c r="EY770" s="5"/>
      <c r="EZ770" s="5"/>
      <c r="FA770" s="5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5"/>
      <c r="CT771" s="5"/>
      <c r="CU771" s="5"/>
      <c r="CV771" s="5"/>
      <c r="CW771" s="5"/>
      <c r="CX771" s="5"/>
      <c r="CY771" s="5"/>
      <c r="CZ771" s="5"/>
      <c r="DA771" s="5"/>
      <c r="DB771" s="5"/>
      <c r="DC771" s="5"/>
      <c r="DD771" s="5"/>
      <c r="DE771" s="5"/>
      <c r="DF771" s="5"/>
      <c r="DG771" s="5"/>
      <c r="DH771" s="5"/>
      <c r="DI771" s="5"/>
      <c r="DJ771" s="5"/>
      <c r="DK771" s="5"/>
      <c r="DL771" s="5"/>
      <c r="DM771" s="5"/>
      <c r="DN771" s="5"/>
      <c r="DO771" s="5"/>
      <c r="DP771" s="5"/>
      <c r="DQ771" s="5"/>
      <c r="DR771" s="5"/>
      <c r="DS771" s="5"/>
      <c r="DT771" s="5"/>
      <c r="DU771" s="5"/>
      <c r="DV771" s="5"/>
      <c r="DW771" s="5"/>
      <c r="DX771" s="5"/>
      <c r="DY771" s="5"/>
      <c r="DZ771" s="5"/>
      <c r="EA771" s="5"/>
      <c r="EB771" s="5"/>
      <c r="EC771" s="5"/>
      <c r="ED771" s="5"/>
      <c r="EE771" s="5"/>
      <c r="EF771" s="5"/>
      <c r="EG771" s="5"/>
      <c r="EH771" s="5"/>
      <c r="EI771" s="5"/>
      <c r="EJ771" s="5"/>
      <c r="EK771" s="5"/>
      <c r="EL771" s="5"/>
      <c r="EM771" s="5"/>
      <c r="EN771" s="5"/>
      <c r="EO771" s="5"/>
      <c r="EP771" s="5"/>
      <c r="EQ771" s="5"/>
      <c r="ER771" s="5"/>
      <c r="ES771" s="5"/>
      <c r="ET771" s="5"/>
      <c r="EU771" s="5"/>
      <c r="EV771" s="5"/>
      <c r="EW771" s="5"/>
      <c r="EX771" s="5"/>
      <c r="EY771" s="5"/>
      <c r="EZ771" s="5"/>
      <c r="FA771" s="5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5"/>
      <c r="CT772" s="5"/>
      <c r="CU772" s="5"/>
      <c r="CV772" s="5"/>
      <c r="CW772" s="5"/>
      <c r="CX772" s="5"/>
      <c r="CY772" s="5"/>
      <c r="CZ772" s="5"/>
      <c r="DA772" s="5"/>
      <c r="DB772" s="5"/>
      <c r="DC772" s="5"/>
      <c r="DD772" s="5"/>
      <c r="DE772" s="5"/>
      <c r="DF772" s="5"/>
      <c r="DG772" s="5"/>
      <c r="DH772" s="5"/>
      <c r="DI772" s="5"/>
      <c r="DJ772" s="5"/>
      <c r="DK772" s="5"/>
      <c r="DL772" s="5"/>
      <c r="DM772" s="5"/>
      <c r="DN772" s="5"/>
      <c r="DO772" s="5"/>
      <c r="DP772" s="5"/>
      <c r="DQ772" s="5"/>
      <c r="DR772" s="5"/>
      <c r="DS772" s="5"/>
      <c r="DT772" s="5"/>
      <c r="DU772" s="5"/>
      <c r="DV772" s="5"/>
      <c r="DW772" s="5"/>
      <c r="DX772" s="5"/>
      <c r="DY772" s="5"/>
      <c r="DZ772" s="5"/>
      <c r="EA772" s="5"/>
      <c r="EB772" s="5"/>
      <c r="EC772" s="5"/>
      <c r="ED772" s="5"/>
      <c r="EE772" s="5"/>
      <c r="EF772" s="5"/>
      <c r="EG772" s="5"/>
      <c r="EH772" s="5"/>
      <c r="EI772" s="5"/>
      <c r="EJ772" s="5"/>
      <c r="EK772" s="5"/>
      <c r="EL772" s="5"/>
      <c r="EM772" s="5"/>
      <c r="EN772" s="5"/>
      <c r="EO772" s="5"/>
      <c r="EP772" s="5"/>
      <c r="EQ772" s="5"/>
      <c r="ER772" s="5"/>
      <c r="ES772" s="5"/>
      <c r="ET772" s="5"/>
      <c r="EU772" s="5"/>
      <c r="EV772" s="5"/>
      <c r="EW772" s="5"/>
      <c r="EX772" s="5"/>
      <c r="EY772" s="5"/>
      <c r="EZ772" s="5"/>
      <c r="FA772" s="5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5"/>
      <c r="CT773" s="5"/>
      <c r="CU773" s="5"/>
      <c r="CV773" s="5"/>
      <c r="CW773" s="5"/>
      <c r="CX773" s="5"/>
      <c r="CY773" s="5"/>
      <c r="CZ773" s="5"/>
      <c r="DA773" s="5"/>
      <c r="DB773" s="5"/>
      <c r="DC773" s="5"/>
      <c r="DD773" s="5"/>
      <c r="DE773" s="5"/>
      <c r="DF773" s="5"/>
      <c r="DG773" s="5"/>
      <c r="DH773" s="5"/>
      <c r="DI773" s="5"/>
      <c r="DJ773" s="5"/>
      <c r="DK773" s="5"/>
      <c r="DL773" s="5"/>
      <c r="DM773" s="5"/>
      <c r="DN773" s="5"/>
      <c r="DO773" s="5"/>
      <c r="DP773" s="5"/>
      <c r="DQ773" s="5"/>
      <c r="DR773" s="5"/>
      <c r="DS773" s="5"/>
      <c r="DT773" s="5"/>
      <c r="DU773" s="5"/>
      <c r="DV773" s="5"/>
      <c r="DW773" s="5"/>
      <c r="DX773" s="5"/>
      <c r="DY773" s="5"/>
      <c r="DZ773" s="5"/>
      <c r="EA773" s="5"/>
      <c r="EB773" s="5"/>
      <c r="EC773" s="5"/>
      <c r="ED773" s="5"/>
      <c r="EE773" s="5"/>
      <c r="EF773" s="5"/>
      <c r="EG773" s="5"/>
      <c r="EH773" s="5"/>
      <c r="EI773" s="5"/>
      <c r="EJ773" s="5"/>
      <c r="EK773" s="5"/>
      <c r="EL773" s="5"/>
      <c r="EM773" s="5"/>
      <c r="EN773" s="5"/>
      <c r="EO773" s="5"/>
      <c r="EP773" s="5"/>
      <c r="EQ773" s="5"/>
      <c r="ER773" s="5"/>
      <c r="ES773" s="5"/>
      <c r="ET773" s="5"/>
      <c r="EU773" s="5"/>
      <c r="EV773" s="5"/>
      <c r="EW773" s="5"/>
      <c r="EX773" s="5"/>
      <c r="EY773" s="5"/>
      <c r="EZ773" s="5"/>
      <c r="FA773" s="5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5"/>
      <c r="CT774" s="5"/>
      <c r="CU774" s="5"/>
      <c r="CV774" s="5"/>
      <c r="CW774" s="5"/>
      <c r="CX774" s="5"/>
      <c r="CY774" s="5"/>
      <c r="CZ774" s="5"/>
      <c r="DA774" s="5"/>
      <c r="DB774" s="5"/>
      <c r="DC774" s="5"/>
      <c r="DD774" s="5"/>
      <c r="DE774" s="5"/>
      <c r="DF774" s="5"/>
      <c r="DG774" s="5"/>
      <c r="DH774" s="5"/>
      <c r="DI774" s="5"/>
      <c r="DJ774" s="5"/>
      <c r="DK774" s="5"/>
      <c r="DL774" s="5"/>
      <c r="DM774" s="5"/>
      <c r="DN774" s="5"/>
      <c r="DO774" s="5"/>
      <c r="DP774" s="5"/>
      <c r="DQ774" s="5"/>
      <c r="DR774" s="5"/>
      <c r="DS774" s="5"/>
      <c r="DT774" s="5"/>
      <c r="DU774" s="5"/>
      <c r="DV774" s="5"/>
      <c r="DW774" s="5"/>
      <c r="DX774" s="5"/>
      <c r="DY774" s="5"/>
      <c r="DZ774" s="5"/>
      <c r="EA774" s="5"/>
      <c r="EB774" s="5"/>
      <c r="EC774" s="5"/>
      <c r="ED774" s="5"/>
      <c r="EE774" s="5"/>
      <c r="EF774" s="5"/>
      <c r="EG774" s="5"/>
      <c r="EH774" s="5"/>
      <c r="EI774" s="5"/>
      <c r="EJ774" s="5"/>
      <c r="EK774" s="5"/>
      <c r="EL774" s="5"/>
      <c r="EM774" s="5"/>
      <c r="EN774" s="5"/>
      <c r="EO774" s="5"/>
      <c r="EP774" s="5"/>
      <c r="EQ774" s="5"/>
      <c r="ER774" s="5"/>
      <c r="ES774" s="5"/>
      <c r="ET774" s="5"/>
      <c r="EU774" s="5"/>
      <c r="EV774" s="5"/>
      <c r="EW774" s="5"/>
      <c r="EX774" s="5"/>
      <c r="EY774" s="5"/>
      <c r="EZ774" s="5"/>
      <c r="FA774" s="5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5"/>
      <c r="CT775" s="5"/>
      <c r="CU775" s="5"/>
      <c r="CV775" s="5"/>
      <c r="CW775" s="5"/>
      <c r="CX775" s="5"/>
      <c r="CY775" s="5"/>
      <c r="CZ775" s="5"/>
      <c r="DA775" s="5"/>
      <c r="DB775" s="5"/>
      <c r="DC775" s="5"/>
      <c r="DD775" s="5"/>
      <c r="DE775" s="5"/>
      <c r="DF775" s="5"/>
      <c r="DG775" s="5"/>
      <c r="DH775" s="5"/>
      <c r="DI775" s="5"/>
      <c r="DJ775" s="5"/>
      <c r="DK775" s="5"/>
      <c r="DL775" s="5"/>
      <c r="DM775" s="5"/>
      <c r="DN775" s="5"/>
      <c r="DO775" s="5"/>
      <c r="DP775" s="5"/>
      <c r="DQ775" s="5"/>
      <c r="DR775" s="5"/>
      <c r="DS775" s="5"/>
      <c r="DT775" s="5"/>
      <c r="DU775" s="5"/>
      <c r="DV775" s="5"/>
      <c r="DW775" s="5"/>
      <c r="DX775" s="5"/>
      <c r="DY775" s="5"/>
      <c r="DZ775" s="5"/>
      <c r="EA775" s="5"/>
      <c r="EB775" s="5"/>
      <c r="EC775" s="5"/>
      <c r="ED775" s="5"/>
      <c r="EE775" s="5"/>
      <c r="EF775" s="5"/>
      <c r="EG775" s="5"/>
      <c r="EH775" s="5"/>
      <c r="EI775" s="5"/>
      <c r="EJ775" s="5"/>
      <c r="EK775" s="5"/>
      <c r="EL775" s="5"/>
      <c r="EM775" s="5"/>
      <c r="EN775" s="5"/>
      <c r="EO775" s="5"/>
      <c r="EP775" s="5"/>
      <c r="EQ775" s="5"/>
      <c r="ER775" s="5"/>
      <c r="ES775" s="5"/>
      <c r="ET775" s="5"/>
      <c r="EU775" s="5"/>
      <c r="EV775" s="5"/>
      <c r="EW775" s="5"/>
      <c r="EX775" s="5"/>
      <c r="EY775" s="5"/>
      <c r="EZ775" s="5"/>
      <c r="FA775" s="5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5"/>
      <c r="CT776" s="5"/>
      <c r="CU776" s="5"/>
      <c r="CV776" s="5"/>
      <c r="CW776" s="5"/>
      <c r="CX776" s="5"/>
      <c r="CY776" s="5"/>
      <c r="CZ776" s="5"/>
      <c r="DA776" s="5"/>
      <c r="DB776" s="5"/>
      <c r="DC776" s="5"/>
      <c r="DD776" s="5"/>
      <c r="DE776" s="5"/>
      <c r="DF776" s="5"/>
      <c r="DG776" s="5"/>
      <c r="DH776" s="5"/>
      <c r="DI776" s="5"/>
      <c r="DJ776" s="5"/>
      <c r="DK776" s="5"/>
      <c r="DL776" s="5"/>
      <c r="DM776" s="5"/>
      <c r="DN776" s="5"/>
      <c r="DO776" s="5"/>
      <c r="DP776" s="5"/>
      <c r="DQ776" s="5"/>
      <c r="DR776" s="5"/>
      <c r="DS776" s="5"/>
      <c r="DT776" s="5"/>
      <c r="DU776" s="5"/>
      <c r="DV776" s="5"/>
      <c r="DW776" s="5"/>
      <c r="DX776" s="5"/>
      <c r="DY776" s="5"/>
      <c r="DZ776" s="5"/>
      <c r="EA776" s="5"/>
      <c r="EB776" s="5"/>
      <c r="EC776" s="5"/>
      <c r="ED776" s="5"/>
      <c r="EE776" s="5"/>
      <c r="EF776" s="5"/>
      <c r="EG776" s="5"/>
      <c r="EH776" s="5"/>
      <c r="EI776" s="5"/>
      <c r="EJ776" s="5"/>
      <c r="EK776" s="5"/>
      <c r="EL776" s="5"/>
      <c r="EM776" s="5"/>
      <c r="EN776" s="5"/>
      <c r="EO776" s="5"/>
      <c r="EP776" s="5"/>
      <c r="EQ776" s="5"/>
      <c r="ER776" s="5"/>
      <c r="ES776" s="5"/>
      <c r="ET776" s="5"/>
      <c r="EU776" s="5"/>
      <c r="EV776" s="5"/>
      <c r="EW776" s="5"/>
      <c r="EX776" s="5"/>
      <c r="EY776" s="5"/>
      <c r="EZ776" s="5"/>
      <c r="FA776" s="5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5"/>
      <c r="CT777" s="5"/>
      <c r="CU777" s="5"/>
      <c r="CV777" s="5"/>
      <c r="CW777" s="5"/>
      <c r="CX777" s="5"/>
      <c r="CY777" s="5"/>
      <c r="CZ777" s="5"/>
      <c r="DA777" s="5"/>
      <c r="DB777" s="5"/>
      <c r="DC777" s="5"/>
      <c r="DD777" s="5"/>
      <c r="DE777" s="5"/>
      <c r="DF777" s="5"/>
      <c r="DG777" s="5"/>
      <c r="DH777" s="5"/>
      <c r="DI777" s="5"/>
      <c r="DJ777" s="5"/>
      <c r="DK777" s="5"/>
      <c r="DL777" s="5"/>
      <c r="DM777" s="5"/>
      <c r="DN777" s="5"/>
      <c r="DO777" s="5"/>
      <c r="DP777" s="5"/>
      <c r="DQ777" s="5"/>
      <c r="DR777" s="5"/>
      <c r="DS777" s="5"/>
      <c r="DT777" s="5"/>
      <c r="DU777" s="5"/>
      <c r="DV777" s="5"/>
      <c r="DW777" s="5"/>
      <c r="DX777" s="5"/>
      <c r="DY777" s="5"/>
      <c r="DZ777" s="5"/>
      <c r="EA777" s="5"/>
      <c r="EB777" s="5"/>
      <c r="EC777" s="5"/>
      <c r="ED777" s="5"/>
      <c r="EE777" s="5"/>
      <c r="EF777" s="5"/>
      <c r="EG777" s="5"/>
      <c r="EH777" s="5"/>
      <c r="EI777" s="5"/>
      <c r="EJ777" s="5"/>
      <c r="EK777" s="5"/>
      <c r="EL777" s="5"/>
      <c r="EM777" s="5"/>
      <c r="EN777" s="5"/>
      <c r="EO777" s="5"/>
      <c r="EP777" s="5"/>
      <c r="EQ777" s="5"/>
      <c r="ER777" s="5"/>
      <c r="ES777" s="5"/>
      <c r="ET777" s="5"/>
      <c r="EU777" s="5"/>
      <c r="EV777" s="5"/>
      <c r="EW777" s="5"/>
      <c r="EX777" s="5"/>
      <c r="EY777" s="5"/>
      <c r="EZ777" s="5"/>
      <c r="FA777" s="5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5"/>
      <c r="CT778" s="5"/>
      <c r="CU778" s="5"/>
      <c r="CV778" s="5"/>
      <c r="CW778" s="5"/>
      <c r="CX778" s="5"/>
      <c r="CY778" s="5"/>
      <c r="CZ778" s="5"/>
      <c r="DA778" s="5"/>
      <c r="DB778" s="5"/>
      <c r="DC778" s="5"/>
      <c r="DD778" s="5"/>
      <c r="DE778" s="5"/>
      <c r="DF778" s="5"/>
      <c r="DG778" s="5"/>
      <c r="DH778" s="5"/>
      <c r="DI778" s="5"/>
      <c r="DJ778" s="5"/>
      <c r="DK778" s="5"/>
      <c r="DL778" s="5"/>
      <c r="DM778" s="5"/>
      <c r="DN778" s="5"/>
      <c r="DO778" s="5"/>
      <c r="DP778" s="5"/>
      <c r="DQ778" s="5"/>
      <c r="DR778" s="5"/>
      <c r="DS778" s="5"/>
      <c r="DT778" s="5"/>
      <c r="DU778" s="5"/>
      <c r="DV778" s="5"/>
      <c r="DW778" s="5"/>
      <c r="DX778" s="5"/>
      <c r="DY778" s="5"/>
      <c r="DZ778" s="5"/>
      <c r="EA778" s="5"/>
      <c r="EB778" s="5"/>
      <c r="EC778" s="5"/>
      <c r="ED778" s="5"/>
      <c r="EE778" s="5"/>
      <c r="EF778" s="5"/>
      <c r="EG778" s="5"/>
      <c r="EH778" s="5"/>
      <c r="EI778" s="5"/>
      <c r="EJ778" s="5"/>
      <c r="EK778" s="5"/>
      <c r="EL778" s="5"/>
      <c r="EM778" s="5"/>
      <c r="EN778" s="5"/>
      <c r="EO778" s="5"/>
      <c r="EP778" s="5"/>
      <c r="EQ778" s="5"/>
      <c r="ER778" s="5"/>
      <c r="ES778" s="5"/>
      <c r="ET778" s="5"/>
      <c r="EU778" s="5"/>
      <c r="EV778" s="5"/>
      <c r="EW778" s="5"/>
      <c r="EX778" s="5"/>
      <c r="EY778" s="5"/>
      <c r="EZ778" s="5"/>
      <c r="FA778" s="5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5"/>
      <c r="CT779" s="5"/>
      <c r="CU779" s="5"/>
      <c r="CV779" s="5"/>
      <c r="CW779" s="5"/>
      <c r="CX779" s="5"/>
      <c r="CY779" s="5"/>
      <c r="CZ779" s="5"/>
      <c r="DA779" s="5"/>
      <c r="DB779" s="5"/>
      <c r="DC779" s="5"/>
      <c r="DD779" s="5"/>
      <c r="DE779" s="5"/>
      <c r="DF779" s="5"/>
      <c r="DG779" s="5"/>
      <c r="DH779" s="5"/>
      <c r="DI779" s="5"/>
      <c r="DJ779" s="5"/>
      <c r="DK779" s="5"/>
      <c r="DL779" s="5"/>
      <c r="DM779" s="5"/>
      <c r="DN779" s="5"/>
      <c r="DO779" s="5"/>
      <c r="DP779" s="5"/>
      <c r="DQ779" s="5"/>
      <c r="DR779" s="5"/>
      <c r="DS779" s="5"/>
      <c r="DT779" s="5"/>
      <c r="DU779" s="5"/>
      <c r="DV779" s="5"/>
      <c r="DW779" s="5"/>
      <c r="DX779" s="5"/>
      <c r="DY779" s="5"/>
      <c r="DZ779" s="5"/>
      <c r="EA779" s="5"/>
      <c r="EB779" s="5"/>
      <c r="EC779" s="5"/>
      <c r="ED779" s="5"/>
      <c r="EE779" s="5"/>
      <c r="EF779" s="5"/>
      <c r="EG779" s="5"/>
      <c r="EH779" s="5"/>
      <c r="EI779" s="5"/>
      <c r="EJ779" s="5"/>
      <c r="EK779" s="5"/>
      <c r="EL779" s="5"/>
      <c r="EM779" s="5"/>
      <c r="EN779" s="5"/>
      <c r="EO779" s="5"/>
      <c r="EP779" s="5"/>
      <c r="EQ779" s="5"/>
      <c r="ER779" s="5"/>
      <c r="ES779" s="5"/>
      <c r="ET779" s="5"/>
      <c r="EU779" s="5"/>
      <c r="EV779" s="5"/>
      <c r="EW779" s="5"/>
      <c r="EX779" s="5"/>
      <c r="EY779" s="5"/>
      <c r="EZ779" s="5"/>
      <c r="FA779" s="5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5"/>
      <c r="CT780" s="5"/>
      <c r="CU780" s="5"/>
      <c r="CV780" s="5"/>
      <c r="CW780" s="5"/>
      <c r="CX780" s="5"/>
      <c r="CY780" s="5"/>
      <c r="CZ780" s="5"/>
      <c r="DA780" s="5"/>
      <c r="DB780" s="5"/>
      <c r="DC780" s="5"/>
      <c r="DD780" s="5"/>
      <c r="DE780" s="5"/>
      <c r="DF780" s="5"/>
      <c r="DG780" s="5"/>
      <c r="DH780" s="5"/>
      <c r="DI780" s="5"/>
      <c r="DJ780" s="5"/>
      <c r="DK780" s="5"/>
      <c r="DL780" s="5"/>
      <c r="DM780" s="5"/>
      <c r="DN780" s="5"/>
      <c r="DO780" s="5"/>
      <c r="DP780" s="5"/>
      <c r="DQ780" s="5"/>
      <c r="DR780" s="5"/>
      <c r="DS780" s="5"/>
      <c r="DT780" s="5"/>
      <c r="DU780" s="5"/>
      <c r="DV780" s="5"/>
      <c r="DW780" s="5"/>
      <c r="DX780" s="5"/>
      <c r="DY780" s="5"/>
      <c r="DZ780" s="5"/>
      <c r="EA780" s="5"/>
      <c r="EB780" s="5"/>
      <c r="EC780" s="5"/>
      <c r="ED780" s="5"/>
      <c r="EE780" s="5"/>
      <c r="EF780" s="5"/>
      <c r="EG780" s="5"/>
      <c r="EH780" s="5"/>
      <c r="EI780" s="5"/>
      <c r="EJ780" s="5"/>
      <c r="EK780" s="5"/>
      <c r="EL780" s="5"/>
      <c r="EM780" s="5"/>
      <c r="EN780" s="5"/>
      <c r="EO780" s="5"/>
      <c r="EP780" s="5"/>
      <c r="EQ780" s="5"/>
      <c r="ER780" s="5"/>
      <c r="ES780" s="5"/>
      <c r="ET780" s="5"/>
      <c r="EU780" s="5"/>
      <c r="EV780" s="5"/>
      <c r="EW780" s="5"/>
      <c r="EX780" s="5"/>
      <c r="EY780" s="5"/>
      <c r="EZ780" s="5"/>
      <c r="FA780" s="5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5"/>
      <c r="CT781" s="5"/>
      <c r="CU781" s="5"/>
      <c r="CV781" s="5"/>
      <c r="CW781" s="5"/>
      <c r="CX781" s="5"/>
      <c r="CY781" s="5"/>
      <c r="CZ781" s="5"/>
      <c r="DA781" s="5"/>
      <c r="DB781" s="5"/>
      <c r="DC781" s="5"/>
      <c r="DD781" s="5"/>
      <c r="DE781" s="5"/>
      <c r="DF781" s="5"/>
      <c r="DG781" s="5"/>
      <c r="DH781" s="5"/>
      <c r="DI781" s="5"/>
      <c r="DJ781" s="5"/>
      <c r="DK781" s="5"/>
      <c r="DL781" s="5"/>
      <c r="DM781" s="5"/>
      <c r="DN781" s="5"/>
      <c r="DO781" s="5"/>
      <c r="DP781" s="5"/>
      <c r="DQ781" s="5"/>
      <c r="DR781" s="5"/>
      <c r="DS781" s="5"/>
      <c r="DT781" s="5"/>
      <c r="DU781" s="5"/>
      <c r="DV781" s="5"/>
      <c r="DW781" s="5"/>
      <c r="DX781" s="5"/>
      <c r="DY781" s="5"/>
      <c r="DZ781" s="5"/>
      <c r="EA781" s="5"/>
      <c r="EB781" s="5"/>
      <c r="EC781" s="5"/>
      <c r="ED781" s="5"/>
      <c r="EE781" s="5"/>
      <c r="EF781" s="5"/>
      <c r="EG781" s="5"/>
      <c r="EH781" s="5"/>
      <c r="EI781" s="5"/>
      <c r="EJ781" s="5"/>
      <c r="EK781" s="5"/>
      <c r="EL781" s="5"/>
      <c r="EM781" s="5"/>
      <c r="EN781" s="5"/>
      <c r="EO781" s="5"/>
      <c r="EP781" s="5"/>
      <c r="EQ781" s="5"/>
      <c r="ER781" s="5"/>
      <c r="ES781" s="5"/>
      <c r="ET781" s="5"/>
      <c r="EU781" s="5"/>
      <c r="EV781" s="5"/>
      <c r="EW781" s="5"/>
      <c r="EX781" s="5"/>
      <c r="EY781" s="5"/>
      <c r="EZ781" s="5"/>
      <c r="FA781" s="5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5"/>
      <c r="CT782" s="5"/>
      <c r="CU782" s="5"/>
      <c r="CV782" s="5"/>
      <c r="CW782" s="5"/>
      <c r="CX782" s="5"/>
      <c r="CY782" s="5"/>
      <c r="CZ782" s="5"/>
      <c r="DA782" s="5"/>
      <c r="DB782" s="5"/>
      <c r="DC782" s="5"/>
      <c r="DD782" s="5"/>
      <c r="DE782" s="5"/>
      <c r="DF782" s="5"/>
      <c r="DG782" s="5"/>
      <c r="DH782" s="5"/>
      <c r="DI782" s="5"/>
      <c r="DJ782" s="5"/>
      <c r="DK782" s="5"/>
      <c r="DL782" s="5"/>
      <c r="DM782" s="5"/>
      <c r="DN782" s="5"/>
      <c r="DO782" s="5"/>
      <c r="DP782" s="5"/>
      <c r="DQ782" s="5"/>
      <c r="DR782" s="5"/>
      <c r="DS782" s="5"/>
      <c r="DT782" s="5"/>
      <c r="DU782" s="5"/>
      <c r="DV782" s="5"/>
      <c r="DW782" s="5"/>
      <c r="DX782" s="5"/>
      <c r="DY782" s="5"/>
      <c r="DZ782" s="5"/>
      <c r="EA782" s="5"/>
      <c r="EB782" s="5"/>
      <c r="EC782" s="5"/>
      <c r="ED782" s="5"/>
      <c r="EE782" s="5"/>
      <c r="EF782" s="5"/>
      <c r="EG782" s="5"/>
      <c r="EH782" s="5"/>
      <c r="EI782" s="5"/>
      <c r="EJ782" s="5"/>
      <c r="EK782" s="5"/>
      <c r="EL782" s="5"/>
      <c r="EM782" s="5"/>
      <c r="EN782" s="5"/>
      <c r="EO782" s="5"/>
      <c r="EP782" s="5"/>
      <c r="EQ782" s="5"/>
      <c r="ER782" s="5"/>
      <c r="ES782" s="5"/>
      <c r="ET782" s="5"/>
      <c r="EU782" s="5"/>
      <c r="EV782" s="5"/>
      <c r="EW782" s="5"/>
      <c r="EX782" s="5"/>
      <c r="EY782" s="5"/>
      <c r="EZ782" s="5"/>
      <c r="FA782" s="5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5"/>
      <c r="CT783" s="5"/>
      <c r="CU783" s="5"/>
      <c r="CV783" s="5"/>
      <c r="CW783" s="5"/>
      <c r="CX783" s="5"/>
      <c r="CY783" s="5"/>
      <c r="CZ783" s="5"/>
      <c r="DA783" s="5"/>
      <c r="DB783" s="5"/>
      <c r="DC783" s="5"/>
      <c r="DD783" s="5"/>
      <c r="DE783" s="5"/>
      <c r="DF783" s="5"/>
      <c r="DG783" s="5"/>
      <c r="DH783" s="5"/>
      <c r="DI783" s="5"/>
      <c r="DJ783" s="5"/>
      <c r="DK783" s="5"/>
      <c r="DL783" s="5"/>
      <c r="DM783" s="5"/>
      <c r="DN783" s="5"/>
      <c r="DO783" s="5"/>
      <c r="DP783" s="5"/>
      <c r="DQ783" s="5"/>
      <c r="DR783" s="5"/>
      <c r="DS783" s="5"/>
      <c r="DT783" s="5"/>
      <c r="DU783" s="5"/>
      <c r="DV783" s="5"/>
      <c r="DW783" s="5"/>
      <c r="DX783" s="5"/>
      <c r="DY783" s="5"/>
      <c r="DZ783" s="5"/>
      <c r="EA783" s="5"/>
      <c r="EB783" s="5"/>
      <c r="EC783" s="5"/>
      <c r="ED783" s="5"/>
      <c r="EE783" s="5"/>
      <c r="EF783" s="5"/>
      <c r="EG783" s="5"/>
      <c r="EH783" s="5"/>
      <c r="EI783" s="5"/>
      <c r="EJ783" s="5"/>
      <c r="EK783" s="5"/>
      <c r="EL783" s="5"/>
      <c r="EM783" s="5"/>
      <c r="EN783" s="5"/>
      <c r="EO783" s="5"/>
      <c r="EP783" s="5"/>
      <c r="EQ783" s="5"/>
      <c r="ER783" s="5"/>
      <c r="ES783" s="5"/>
      <c r="ET783" s="5"/>
      <c r="EU783" s="5"/>
      <c r="EV783" s="5"/>
      <c r="EW783" s="5"/>
      <c r="EX783" s="5"/>
      <c r="EY783" s="5"/>
      <c r="EZ783" s="5"/>
      <c r="FA783" s="5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5"/>
      <c r="CT784" s="5"/>
      <c r="CU784" s="5"/>
      <c r="CV784" s="5"/>
      <c r="CW784" s="5"/>
      <c r="CX784" s="5"/>
      <c r="CY784" s="5"/>
      <c r="CZ784" s="5"/>
      <c r="DA784" s="5"/>
      <c r="DB784" s="5"/>
      <c r="DC784" s="5"/>
      <c r="DD784" s="5"/>
      <c r="DE784" s="5"/>
      <c r="DF784" s="5"/>
      <c r="DG784" s="5"/>
      <c r="DH784" s="5"/>
      <c r="DI784" s="5"/>
      <c r="DJ784" s="5"/>
      <c r="DK784" s="5"/>
      <c r="DL784" s="5"/>
      <c r="DM784" s="5"/>
      <c r="DN784" s="5"/>
      <c r="DO784" s="5"/>
      <c r="DP784" s="5"/>
      <c r="DQ784" s="5"/>
      <c r="DR784" s="5"/>
      <c r="DS784" s="5"/>
      <c r="DT784" s="5"/>
      <c r="DU784" s="5"/>
      <c r="DV784" s="5"/>
      <c r="DW784" s="5"/>
      <c r="DX784" s="5"/>
      <c r="DY784" s="5"/>
      <c r="DZ784" s="5"/>
      <c r="EA784" s="5"/>
      <c r="EB784" s="5"/>
      <c r="EC784" s="5"/>
      <c r="ED784" s="5"/>
      <c r="EE784" s="5"/>
      <c r="EF784" s="5"/>
      <c r="EG784" s="5"/>
      <c r="EH784" s="5"/>
      <c r="EI784" s="5"/>
      <c r="EJ784" s="5"/>
      <c r="EK784" s="5"/>
      <c r="EL784" s="5"/>
      <c r="EM784" s="5"/>
      <c r="EN784" s="5"/>
      <c r="EO784" s="5"/>
      <c r="EP784" s="5"/>
      <c r="EQ784" s="5"/>
      <c r="ER784" s="5"/>
      <c r="ES784" s="5"/>
      <c r="ET784" s="5"/>
      <c r="EU784" s="5"/>
      <c r="EV784" s="5"/>
      <c r="EW784" s="5"/>
      <c r="EX784" s="5"/>
      <c r="EY784" s="5"/>
      <c r="EZ784" s="5"/>
      <c r="FA784" s="5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5"/>
      <c r="CT785" s="5"/>
      <c r="CU785" s="5"/>
      <c r="CV785" s="5"/>
      <c r="CW785" s="5"/>
      <c r="CX785" s="5"/>
      <c r="CY785" s="5"/>
      <c r="CZ785" s="5"/>
      <c r="DA785" s="5"/>
      <c r="DB785" s="5"/>
      <c r="DC785" s="5"/>
      <c r="DD785" s="5"/>
      <c r="DE785" s="5"/>
      <c r="DF785" s="5"/>
      <c r="DG785" s="5"/>
      <c r="DH785" s="5"/>
      <c r="DI785" s="5"/>
      <c r="DJ785" s="5"/>
      <c r="DK785" s="5"/>
      <c r="DL785" s="5"/>
      <c r="DM785" s="5"/>
      <c r="DN785" s="5"/>
      <c r="DO785" s="5"/>
      <c r="DP785" s="5"/>
      <c r="DQ785" s="5"/>
      <c r="DR785" s="5"/>
      <c r="DS785" s="5"/>
      <c r="DT785" s="5"/>
      <c r="DU785" s="5"/>
      <c r="DV785" s="5"/>
      <c r="DW785" s="5"/>
      <c r="DX785" s="5"/>
      <c r="DY785" s="5"/>
      <c r="DZ785" s="5"/>
      <c r="EA785" s="5"/>
      <c r="EB785" s="5"/>
      <c r="EC785" s="5"/>
      <c r="ED785" s="5"/>
      <c r="EE785" s="5"/>
      <c r="EF785" s="5"/>
      <c r="EG785" s="5"/>
      <c r="EH785" s="5"/>
      <c r="EI785" s="5"/>
      <c r="EJ785" s="5"/>
      <c r="EK785" s="5"/>
      <c r="EL785" s="5"/>
      <c r="EM785" s="5"/>
      <c r="EN785" s="5"/>
      <c r="EO785" s="5"/>
      <c r="EP785" s="5"/>
      <c r="EQ785" s="5"/>
      <c r="ER785" s="5"/>
      <c r="ES785" s="5"/>
      <c r="ET785" s="5"/>
      <c r="EU785" s="5"/>
      <c r="EV785" s="5"/>
      <c r="EW785" s="5"/>
      <c r="EX785" s="5"/>
      <c r="EY785" s="5"/>
      <c r="EZ785" s="5"/>
      <c r="FA785" s="5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5"/>
      <c r="CT786" s="5"/>
      <c r="CU786" s="5"/>
      <c r="CV786" s="5"/>
      <c r="CW786" s="5"/>
      <c r="CX786" s="5"/>
      <c r="CY786" s="5"/>
      <c r="CZ786" s="5"/>
      <c r="DA786" s="5"/>
      <c r="DB786" s="5"/>
      <c r="DC786" s="5"/>
      <c r="DD786" s="5"/>
      <c r="DE786" s="5"/>
      <c r="DF786" s="5"/>
      <c r="DG786" s="5"/>
      <c r="DH786" s="5"/>
      <c r="DI786" s="5"/>
      <c r="DJ786" s="5"/>
      <c r="DK786" s="5"/>
      <c r="DL786" s="5"/>
      <c r="DM786" s="5"/>
      <c r="DN786" s="5"/>
      <c r="DO786" s="5"/>
      <c r="DP786" s="5"/>
      <c r="DQ786" s="5"/>
      <c r="DR786" s="5"/>
      <c r="DS786" s="5"/>
      <c r="DT786" s="5"/>
      <c r="DU786" s="5"/>
      <c r="DV786" s="5"/>
      <c r="DW786" s="5"/>
      <c r="DX786" s="5"/>
      <c r="DY786" s="5"/>
      <c r="DZ786" s="5"/>
      <c r="EA786" s="5"/>
      <c r="EB786" s="5"/>
      <c r="EC786" s="5"/>
      <c r="ED786" s="5"/>
      <c r="EE786" s="5"/>
      <c r="EF786" s="5"/>
      <c r="EG786" s="5"/>
      <c r="EH786" s="5"/>
      <c r="EI786" s="5"/>
      <c r="EJ786" s="5"/>
      <c r="EK786" s="5"/>
      <c r="EL786" s="5"/>
      <c r="EM786" s="5"/>
      <c r="EN786" s="5"/>
      <c r="EO786" s="5"/>
      <c r="EP786" s="5"/>
      <c r="EQ786" s="5"/>
      <c r="ER786" s="5"/>
      <c r="ES786" s="5"/>
      <c r="ET786" s="5"/>
      <c r="EU786" s="5"/>
      <c r="EV786" s="5"/>
      <c r="EW786" s="5"/>
      <c r="EX786" s="5"/>
      <c r="EY786" s="5"/>
      <c r="EZ786" s="5"/>
      <c r="FA786" s="5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5"/>
      <c r="CT787" s="5"/>
      <c r="CU787" s="5"/>
      <c r="CV787" s="5"/>
      <c r="CW787" s="5"/>
      <c r="CX787" s="5"/>
      <c r="CY787" s="5"/>
      <c r="CZ787" s="5"/>
      <c r="DA787" s="5"/>
      <c r="DB787" s="5"/>
      <c r="DC787" s="5"/>
      <c r="DD787" s="5"/>
      <c r="DE787" s="5"/>
      <c r="DF787" s="5"/>
      <c r="DG787" s="5"/>
      <c r="DH787" s="5"/>
      <c r="DI787" s="5"/>
      <c r="DJ787" s="5"/>
      <c r="DK787" s="5"/>
      <c r="DL787" s="5"/>
      <c r="DM787" s="5"/>
      <c r="DN787" s="5"/>
      <c r="DO787" s="5"/>
      <c r="DP787" s="5"/>
      <c r="DQ787" s="5"/>
      <c r="DR787" s="5"/>
      <c r="DS787" s="5"/>
      <c r="DT787" s="5"/>
      <c r="DU787" s="5"/>
      <c r="DV787" s="5"/>
      <c r="DW787" s="5"/>
      <c r="DX787" s="5"/>
      <c r="DY787" s="5"/>
      <c r="DZ787" s="5"/>
      <c r="EA787" s="5"/>
      <c r="EB787" s="5"/>
      <c r="EC787" s="5"/>
      <c r="ED787" s="5"/>
      <c r="EE787" s="5"/>
      <c r="EF787" s="5"/>
      <c r="EG787" s="5"/>
      <c r="EH787" s="5"/>
      <c r="EI787" s="5"/>
      <c r="EJ787" s="5"/>
      <c r="EK787" s="5"/>
      <c r="EL787" s="5"/>
      <c r="EM787" s="5"/>
      <c r="EN787" s="5"/>
      <c r="EO787" s="5"/>
      <c r="EP787" s="5"/>
      <c r="EQ787" s="5"/>
      <c r="ER787" s="5"/>
      <c r="ES787" s="5"/>
      <c r="ET787" s="5"/>
      <c r="EU787" s="5"/>
      <c r="EV787" s="5"/>
      <c r="EW787" s="5"/>
      <c r="EX787" s="5"/>
      <c r="EY787" s="5"/>
      <c r="EZ787" s="5"/>
      <c r="FA787" s="5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5"/>
      <c r="CT788" s="5"/>
      <c r="CU788" s="5"/>
      <c r="CV788" s="5"/>
      <c r="CW788" s="5"/>
      <c r="CX788" s="5"/>
      <c r="CY788" s="5"/>
      <c r="CZ788" s="5"/>
      <c r="DA788" s="5"/>
      <c r="DB788" s="5"/>
      <c r="DC788" s="5"/>
      <c r="DD788" s="5"/>
      <c r="DE788" s="5"/>
      <c r="DF788" s="5"/>
      <c r="DG788" s="5"/>
      <c r="DH788" s="5"/>
      <c r="DI788" s="5"/>
      <c r="DJ788" s="5"/>
      <c r="DK788" s="5"/>
      <c r="DL788" s="5"/>
      <c r="DM788" s="5"/>
      <c r="DN788" s="5"/>
      <c r="DO788" s="5"/>
      <c r="DP788" s="5"/>
      <c r="DQ788" s="5"/>
      <c r="DR788" s="5"/>
      <c r="DS788" s="5"/>
      <c r="DT788" s="5"/>
      <c r="DU788" s="5"/>
      <c r="DV788" s="5"/>
      <c r="DW788" s="5"/>
      <c r="DX788" s="5"/>
      <c r="DY788" s="5"/>
      <c r="DZ788" s="5"/>
      <c r="EA788" s="5"/>
      <c r="EB788" s="5"/>
      <c r="EC788" s="5"/>
      <c r="ED788" s="5"/>
      <c r="EE788" s="5"/>
      <c r="EF788" s="5"/>
      <c r="EG788" s="5"/>
      <c r="EH788" s="5"/>
      <c r="EI788" s="5"/>
      <c r="EJ788" s="5"/>
      <c r="EK788" s="5"/>
      <c r="EL788" s="5"/>
      <c r="EM788" s="5"/>
      <c r="EN788" s="5"/>
      <c r="EO788" s="5"/>
      <c r="EP788" s="5"/>
      <c r="EQ788" s="5"/>
      <c r="ER788" s="5"/>
      <c r="ES788" s="5"/>
      <c r="ET788" s="5"/>
      <c r="EU788" s="5"/>
      <c r="EV788" s="5"/>
      <c r="EW788" s="5"/>
      <c r="EX788" s="5"/>
      <c r="EY788" s="5"/>
      <c r="EZ788" s="5"/>
      <c r="FA788" s="5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5"/>
      <c r="CT789" s="5"/>
      <c r="CU789" s="5"/>
      <c r="CV789" s="5"/>
      <c r="CW789" s="5"/>
      <c r="CX789" s="5"/>
      <c r="CY789" s="5"/>
      <c r="CZ789" s="5"/>
      <c r="DA789" s="5"/>
      <c r="DB789" s="5"/>
      <c r="DC789" s="5"/>
      <c r="DD789" s="5"/>
      <c r="DE789" s="5"/>
      <c r="DF789" s="5"/>
      <c r="DG789" s="5"/>
      <c r="DH789" s="5"/>
      <c r="DI789" s="5"/>
      <c r="DJ789" s="5"/>
      <c r="DK789" s="5"/>
      <c r="DL789" s="5"/>
      <c r="DM789" s="5"/>
      <c r="DN789" s="5"/>
      <c r="DO789" s="5"/>
      <c r="DP789" s="5"/>
      <c r="DQ789" s="5"/>
      <c r="DR789" s="5"/>
      <c r="DS789" s="5"/>
      <c r="DT789" s="5"/>
      <c r="DU789" s="5"/>
      <c r="DV789" s="5"/>
      <c r="DW789" s="5"/>
      <c r="DX789" s="5"/>
      <c r="DY789" s="5"/>
      <c r="DZ789" s="5"/>
      <c r="EA789" s="5"/>
      <c r="EB789" s="5"/>
      <c r="EC789" s="5"/>
      <c r="ED789" s="5"/>
      <c r="EE789" s="5"/>
      <c r="EF789" s="5"/>
      <c r="EG789" s="5"/>
      <c r="EH789" s="5"/>
      <c r="EI789" s="5"/>
      <c r="EJ789" s="5"/>
      <c r="EK789" s="5"/>
      <c r="EL789" s="5"/>
      <c r="EM789" s="5"/>
      <c r="EN789" s="5"/>
      <c r="EO789" s="5"/>
      <c r="EP789" s="5"/>
      <c r="EQ789" s="5"/>
      <c r="ER789" s="5"/>
      <c r="ES789" s="5"/>
      <c r="ET789" s="5"/>
      <c r="EU789" s="5"/>
      <c r="EV789" s="5"/>
      <c r="EW789" s="5"/>
      <c r="EX789" s="5"/>
      <c r="EY789" s="5"/>
      <c r="EZ789" s="5"/>
      <c r="FA789" s="5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5"/>
      <c r="CT790" s="5"/>
      <c r="CU790" s="5"/>
      <c r="CV790" s="5"/>
      <c r="CW790" s="5"/>
      <c r="CX790" s="5"/>
      <c r="CY790" s="5"/>
      <c r="CZ790" s="5"/>
      <c r="DA790" s="5"/>
      <c r="DB790" s="5"/>
      <c r="DC790" s="5"/>
      <c r="DD790" s="5"/>
      <c r="DE790" s="5"/>
      <c r="DF790" s="5"/>
      <c r="DG790" s="5"/>
      <c r="DH790" s="5"/>
      <c r="DI790" s="5"/>
      <c r="DJ790" s="5"/>
      <c r="DK790" s="5"/>
      <c r="DL790" s="5"/>
      <c r="DM790" s="5"/>
      <c r="DN790" s="5"/>
      <c r="DO790" s="5"/>
      <c r="DP790" s="5"/>
      <c r="DQ790" s="5"/>
      <c r="DR790" s="5"/>
      <c r="DS790" s="5"/>
      <c r="DT790" s="5"/>
      <c r="DU790" s="5"/>
      <c r="DV790" s="5"/>
      <c r="DW790" s="5"/>
      <c r="DX790" s="5"/>
      <c r="DY790" s="5"/>
      <c r="DZ790" s="5"/>
      <c r="EA790" s="5"/>
      <c r="EB790" s="5"/>
      <c r="EC790" s="5"/>
      <c r="ED790" s="5"/>
      <c r="EE790" s="5"/>
      <c r="EF790" s="5"/>
      <c r="EG790" s="5"/>
      <c r="EH790" s="5"/>
      <c r="EI790" s="5"/>
      <c r="EJ790" s="5"/>
      <c r="EK790" s="5"/>
      <c r="EL790" s="5"/>
      <c r="EM790" s="5"/>
      <c r="EN790" s="5"/>
      <c r="EO790" s="5"/>
      <c r="EP790" s="5"/>
      <c r="EQ790" s="5"/>
      <c r="ER790" s="5"/>
      <c r="ES790" s="5"/>
      <c r="ET790" s="5"/>
      <c r="EU790" s="5"/>
      <c r="EV790" s="5"/>
      <c r="EW790" s="5"/>
      <c r="EX790" s="5"/>
      <c r="EY790" s="5"/>
      <c r="EZ790" s="5"/>
      <c r="FA790" s="5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5"/>
      <c r="CT791" s="5"/>
      <c r="CU791" s="5"/>
      <c r="CV791" s="5"/>
      <c r="CW791" s="5"/>
      <c r="CX791" s="5"/>
      <c r="CY791" s="5"/>
      <c r="CZ791" s="5"/>
      <c r="DA791" s="5"/>
      <c r="DB791" s="5"/>
      <c r="DC791" s="5"/>
      <c r="DD791" s="5"/>
      <c r="DE791" s="5"/>
      <c r="DF791" s="5"/>
      <c r="DG791" s="5"/>
      <c r="DH791" s="5"/>
      <c r="DI791" s="5"/>
      <c r="DJ791" s="5"/>
      <c r="DK791" s="5"/>
      <c r="DL791" s="5"/>
      <c r="DM791" s="5"/>
      <c r="DN791" s="5"/>
      <c r="DO791" s="5"/>
      <c r="DP791" s="5"/>
      <c r="DQ791" s="5"/>
      <c r="DR791" s="5"/>
      <c r="DS791" s="5"/>
      <c r="DT791" s="5"/>
      <c r="DU791" s="5"/>
      <c r="DV791" s="5"/>
      <c r="DW791" s="5"/>
      <c r="DX791" s="5"/>
      <c r="DY791" s="5"/>
      <c r="DZ791" s="5"/>
      <c r="EA791" s="5"/>
      <c r="EB791" s="5"/>
      <c r="EC791" s="5"/>
      <c r="ED791" s="5"/>
      <c r="EE791" s="5"/>
      <c r="EF791" s="5"/>
      <c r="EG791" s="5"/>
      <c r="EH791" s="5"/>
      <c r="EI791" s="5"/>
      <c r="EJ791" s="5"/>
      <c r="EK791" s="5"/>
      <c r="EL791" s="5"/>
      <c r="EM791" s="5"/>
      <c r="EN791" s="5"/>
      <c r="EO791" s="5"/>
      <c r="EP791" s="5"/>
      <c r="EQ791" s="5"/>
      <c r="ER791" s="5"/>
      <c r="ES791" s="5"/>
      <c r="ET791" s="5"/>
      <c r="EU791" s="5"/>
      <c r="EV791" s="5"/>
      <c r="EW791" s="5"/>
      <c r="EX791" s="5"/>
      <c r="EY791" s="5"/>
      <c r="EZ791" s="5"/>
      <c r="FA791" s="5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5"/>
      <c r="CT792" s="5"/>
      <c r="CU792" s="5"/>
      <c r="CV792" s="5"/>
      <c r="CW792" s="5"/>
      <c r="CX792" s="5"/>
      <c r="CY792" s="5"/>
      <c r="CZ792" s="5"/>
      <c r="DA792" s="5"/>
      <c r="DB792" s="5"/>
      <c r="DC792" s="5"/>
      <c r="DD792" s="5"/>
      <c r="DE792" s="5"/>
      <c r="DF792" s="5"/>
      <c r="DG792" s="5"/>
      <c r="DH792" s="5"/>
      <c r="DI792" s="5"/>
      <c r="DJ792" s="5"/>
      <c r="DK792" s="5"/>
      <c r="DL792" s="5"/>
      <c r="DM792" s="5"/>
      <c r="DN792" s="5"/>
      <c r="DO792" s="5"/>
      <c r="DP792" s="5"/>
      <c r="DQ792" s="5"/>
      <c r="DR792" s="5"/>
      <c r="DS792" s="5"/>
      <c r="DT792" s="5"/>
      <c r="DU792" s="5"/>
      <c r="DV792" s="5"/>
      <c r="DW792" s="5"/>
      <c r="DX792" s="5"/>
      <c r="DY792" s="5"/>
      <c r="DZ792" s="5"/>
      <c r="EA792" s="5"/>
      <c r="EB792" s="5"/>
      <c r="EC792" s="5"/>
      <c r="ED792" s="5"/>
      <c r="EE792" s="5"/>
      <c r="EF792" s="5"/>
      <c r="EG792" s="5"/>
      <c r="EH792" s="5"/>
      <c r="EI792" s="5"/>
      <c r="EJ792" s="5"/>
      <c r="EK792" s="5"/>
      <c r="EL792" s="5"/>
      <c r="EM792" s="5"/>
      <c r="EN792" s="5"/>
      <c r="EO792" s="5"/>
      <c r="EP792" s="5"/>
      <c r="EQ792" s="5"/>
      <c r="ER792" s="5"/>
      <c r="ES792" s="5"/>
      <c r="ET792" s="5"/>
      <c r="EU792" s="5"/>
      <c r="EV792" s="5"/>
      <c r="EW792" s="5"/>
      <c r="EX792" s="5"/>
      <c r="EY792" s="5"/>
      <c r="EZ792" s="5"/>
      <c r="FA792" s="5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5"/>
      <c r="CT793" s="5"/>
      <c r="CU793" s="5"/>
      <c r="CV793" s="5"/>
      <c r="CW793" s="5"/>
      <c r="CX793" s="5"/>
      <c r="CY793" s="5"/>
      <c r="CZ793" s="5"/>
      <c r="DA793" s="5"/>
      <c r="DB793" s="5"/>
      <c r="DC793" s="5"/>
      <c r="DD793" s="5"/>
      <c r="DE793" s="5"/>
      <c r="DF793" s="5"/>
      <c r="DG793" s="5"/>
      <c r="DH793" s="5"/>
      <c r="DI793" s="5"/>
      <c r="DJ793" s="5"/>
      <c r="DK793" s="5"/>
      <c r="DL793" s="5"/>
      <c r="DM793" s="5"/>
      <c r="DN793" s="5"/>
      <c r="DO793" s="5"/>
      <c r="DP793" s="5"/>
      <c r="DQ793" s="5"/>
      <c r="DR793" s="5"/>
      <c r="DS793" s="5"/>
      <c r="DT793" s="5"/>
      <c r="DU793" s="5"/>
      <c r="DV793" s="5"/>
      <c r="DW793" s="5"/>
      <c r="DX793" s="5"/>
      <c r="DY793" s="5"/>
      <c r="DZ793" s="5"/>
      <c r="EA793" s="5"/>
      <c r="EB793" s="5"/>
      <c r="EC793" s="5"/>
      <c r="ED793" s="5"/>
      <c r="EE793" s="5"/>
      <c r="EF793" s="5"/>
      <c r="EG793" s="5"/>
      <c r="EH793" s="5"/>
      <c r="EI793" s="5"/>
      <c r="EJ793" s="5"/>
      <c r="EK793" s="5"/>
      <c r="EL793" s="5"/>
      <c r="EM793" s="5"/>
      <c r="EN793" s="5"/>
      <c r="EO793" s="5"/>
      <c r="EP793" s="5"/>
      <c r="EQ793" s="5"/>
      <c r="ER793" s="5"/>
      <c r="ES793" s="5"/>
      <c r="ET793" s="5"/>
      <c r="EU793" s="5"/>
      <c r="EV793" s="5"/>
      <c r="EW793" s="5"/>
      <c r="EX793" s="5"/>
      <c r="EY793" s="5"/>
      <c r="EZ793" s="5"/>
      <c r="FA793" s="5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5"/>
      <c r="CT794" s="5"/>
      <c r="CU794" s="5"/>
      <c r="CV794" s="5"/>
      <c r="CW794" s="5"/>
      <c r="CX794" s="5"/>
      <c r="CY794" s="5"/>
      <c r="CZ794" s="5"/>
      <c r="DA794" s="5"/>
      <c r="DB794" s="5"/>
      <c r="DC794" s="5"/>
      <c r="DD794" s="5"/>
      <c r="DE794" s="5"/>
      <c r="DF794" s="5"/>
      <c r="DG794" s="5"/>
      <c r="DH794" s="5"/>
      <c r="DI794" s="5"/>
      <c r="DJ794" s="5"/>
      <c r="DK794" s="5"/>
      <c r="DL794" s="5"/>
      <c r="DM794" s="5"/>
      <c r="DN794" s="5"/>
      <c r="DO794" s="5"/>
      <c r="DP794" s="5"/>
      <c r="DQ794" s="5"/>
      <c r="DR794" s="5"/>
      <c r="DS794" s="5"/>
      <c r="DT794" s="5"/>
      <c r="DU794" s="5"/>
      <c r="DV794" s="5"/>
      <c r="DW794" s="5"/>
      <c r="DX794" s="5"/>
      <c r="DY794" s="5"/>
      <c r="DZ794" s="5"/>
      <c r="EA794" s="5"/>
      <c r="EB794" s="5"/>
      <c r="EC794" s="5"/>
      <c r="ED794" s="5"/>
      <c r="EE794" s="5"/>
      <c r="EF794" s="5"/>
      <c r="EG794" s="5"/>
      <c r="EH794" s="5"/>
      <c r="EI794" s="5"/>
      <c r="EJ794" s="5"/>
      <c r="EK794" s="5"/>
      <c r="EL794" s="5"/>
      <c r="EM794" s="5"/>
      <c r="EN794" s="5"/>
      <c r="EO794" s="5"/>
      <c r="EP794" s="5"/>
      <c r="EQ794" s="5"/>
      <c r="ER794" s="5"/>
      <c r="ES794" s="5"/>
      <c r="ET794" s="5"/>
      <c r="EU794" s="5"/>
      <c r="EV794" s="5"/>
      <c r="EW794" s="5"/>
      <c r="EX794" s="5"/>
      <c r="EY794" s="5"/>
      <c r="EZ794" s="5"/>
      <c r="FA794" s="5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5"/>
      <c r="CT795" s="5"/>
      <c r="CU795" s="5"/>
      <c r="CV795" s="5"/>
      <c r="CW795" s="5"/>
      <c r="CX795" s="5"/>
      <c r="CY795" s="5"/>
      <c r="CZ795" s="5"/>
      <c r="DA795" s="5"/>
      <c r="DB795" s="5"/>
      <c r="DC795" s="5"/>
      <c r="DD795" s="5"/>
      <c r="DE795" s="5"/>
      <c r="DF795" s="5"/>
      <c r="DG795" s="5"/>
      <c r="DH795" s="5"/>
      <c r="DI795" s="5"/>
      <c r="DJ795" s="5"/>
      <c r="DK795" s="5"/>
      <c r="DL795" s="5"/>
      <c r="DM795" s="5"/>
      <c r="DN795" s="5"/>
      <c r="DO795" s="5"/>
      <c r="DP795" s="5"/>
      <c r="DQ795" s="5"/>
      <c r="DR795" s="5"/>
      <c r="DS795" s="5"/>
      <c r="DT795" s="5"/>
      <c r="DU795" s="5"/>
      <c r="DV795" s="5"/>
      <c r="DW795" s="5"/>
      <c r="DX795" s="5"/>
      <c r="DY795" s="5"/>
      <c r="DZ795" s="5"/>
      <c r="EA795" s="5"/>
      <c r="EB795" s="5"/>
      <c r="EC795" s="5"/>
      <c r="ED795" s="5"/>
      <c r="EE795" s="5"/>
      <c r="EF795" s="5"/>
      <c r="EG795" s="5"/>
      <c r="EH795" s="5"/>
      <c r="EI795" s="5"/>
      <c r="EJ795" s="5"/>
      <c r="EK795" s="5"/>
      <c r="EL795" s="5"/>
      <c r="EM795" s="5"/>
      <c r="EN795" s="5"/>
      <c r="EO795" s="5"/>
      <c r="EP795" s="5"/>
      <c r="EQ795" s="5"/>
      <c r="ER795" s="5"/>
      <c r="ES795" s="5"/>
      <c r="ET795" s="5"/>
      <c r="EU795" s="5"/>
      <c r="EV795" s="5"/>
      <c r="EW795" s="5"/>
      <c r="EX795" s="5"/>
      <c r="EY795" s="5"/>
      <c r="EZ795" s="5"/>
      <c r="FA795" s="5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5"/>
      <c r="CT796" s="5"/>
      <c r="CU796" s="5"/>
      <c r="CV796" s="5"/>
      <c r="CW796" s="5"/>
      <c r="CX796" s="5"/>
      <c r="CY796" s="5"/>
      <c r="CZ796" s="5"/>
      <c r="DA796" s="5"/>
      <c r="DB796" s="5"/>
      <c r="DC796" s="5"/>
      <c r="DD796" s="5"/>
      <c r="DE796" s="5"/>
      <c r="DF796" s="5"/>
      <c r="DG796" s="5"/>
      <c r="DH796" s="5"/>
      <c r="DI796" s="5"/>
      <c r="DJ796" s="5"/>
      <c r="DK796" s="5"/>
      <c r="DL796" s="5"/>
      <c r="DM796" s="5"/>
      <c r="DN796" s="5"/>
      <c r="DO796" s="5"/>
      <c r="DP796" s="5"/>
      <c r="DQ796" s="5"/>
      <c r="DR796" s="5"/>
      <c r="DS796" s="5"/>
      <c r="DT796" s="5"/>
      <c r="DU796" s="5"/>
      <c r="DV796" s="5"/>
      <c r="DW796" s="5"/>
      <c r="DX796" s="5"/>
      <c r="DY796" s="5"/>
      <c r="DZ796" s="5"/>
      <c r="EA796" s="5"/>
      <c r="EB796" s="5"/>
      <c r="EC796" s="5"/>
      <c r="ED796" s="5"/>
      <c r="EE796" s="5"/>
      <c r="EF796" s="5"/>
      <c r="EG796" s="5"/>
      <c r="EH796" s="5"/>
      <c r="EI796" s="5"/>
      <c r="EJ796" s="5"/>
      <c r="EK796" s="5"/>
      <c r="EL796" s="5"/>
      <c r="EM796" s="5"/>
      <c r="EN796" s="5"/>
      <c r="EO796" s="5"/>
      <c r="EP796" s="5"/>
      <c r="EQ796" s="5"/>
      <c r="ER796" s="5"/>
      <c r="ES796" s="5"/>
      <c r="ET796" s="5"/>
      <c r="EU796" s="5"/>
      <c r="EV796" s="5"/>
      <c r="EW796" s="5"/>
      <c r="EX796" s="5"/>
      <c r="EY796" s="5"/>
      <c r="EZ796" s="5"/>
      <c r="FA796" s="5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5"/>
      <c r="CT797" s="5"/>
      <c r="CU797" s="5"/>
      <c r="CV797" s="5"/>
      <c r="CW797" s="5"/>
      <c r="CX797" s="5"/>
      <c r="CY797" s="5"/>
      <c r="CZ797" s="5"/>
      <c r="DA797" s="5"/>
      <c r="DB797" s="5"/>
      <c r="DC797" s="5"/>
      <c r="DD797" s="5"/>
      <c r="DE797" s="5"/>
      <c r="DF797" s="5"/>
      <c r="DG797" s="5"/>
      <c r="DH797" s="5"/>
      <c r="DI797" s="5"/>
      <c r="DJ797" s="5"/>
      <c r="DK797" s="5"/>
      <c r="DL797" s="5"/>
      <c r="DM797" s="5"/>
      <c r="DN797" s="5"/>
      <c r="DO797" s="5"/>
      <c r="DP797" s="5"/>
      <c r="DQ797" s="5"/>
      <c r="DR797" s="5"/>
      <c r="DS797" s="5"/>
      <c r="DT797" s="5"/>
      <c r="DU797" s="5"/>
      <c r="DV797" s="5"/>
      <c r="DW797" s="5"/>
      <c r="DX797" s="5"/>
      <c r="DY797" s="5"/>
      <c r="DZ797" s="5"/>
      <c r="EA797" s="5"/>
      <c r="EB797" s="5"/>
      <c r="EC797" s="5"/>
      <c r="ED797" s="5"/>
      <c r="EE797" s="5"/>
      <c r="EF797" s="5"/>
      <c r="EG797" s="5"/>
      <c r="EH797" s="5"/>
      <c r="EI797" s="5"/>
      <c r="EJ797" s="5"/>
      <c r="EK797" s="5"/>
      <c r="EL797" s="5"/>
      <c r="EM797" s="5"/>
      <c r="EN797" s="5"/>
      <c r="EO797" s="5"/>
      <c r="EP797" s="5"/>
      <c r="EQ797" s="5"/>
      <c r="ER797" s="5"/>
      <c r="ES797" s="5"/>
      <c r="ET797" s="5"/>
      <c r="EU797" s="5"/>
      <c r="EV797" s="5"/>
      <c r="EW797" s="5"/>
      <c r="EX797" s="5"/>
      <c r="EY797" s="5"/>
      <c r="EZ797" s="5"/>
      <c r="FA797" s="5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5"/>
      <c r="CT798" s="5"/>
      <c r="CU798" s="5"/>
      <c r="CV798" s="5"/>
      <c r="CW798" s="5"/>
      <c r="CX798" s="5"/>
      <c r="CY798" s="5"/>
      <c r="CZ798" s="5"/>
      <c r="DA798" s="5"/>
      <c r="DB798" s="5"/>
      <c r="DC798" s="5"/>
      <c r="DD798" s="5"/>
      <c r="DE798" s="5"/>
      <c r="DF798" s="5"/>
      <c r="DG798" s="5"/>
      <c r="DH798" s="5"/>
      <c r="DI798" s="5"/>
      <c r="DJ798" s="5"/>
      <c r="DK798" s="5"/>
      <c r="DL798" s="5"/>
      <c r="DM798" s="5"/>
      <c r="DN798" s="5"/>
      <c r="DO798" s="5"/>
      <c r="DP798" s="5"/>
      <c r="DQ798" s="5"/>
      <c r="DR798" s="5"/>
      <c r="DS798" s="5"/>
      <c r="DT798" s="5"/>
      <c r="DU798" s="5"/>
      <c r="DV798" s="5"/>
      <c r="DW798" s="5"/>
      <c r="DX798" s="5"/>
      <c r="DY798" s="5"/>
      <c r="DZ798" s="5"/>
      <c r="EA798" s="5"/>
      <c r="EB798" s="5"/>
      <c r="EC798" s="5"/>
      <c r="ED798" s="5"/>
      <c r="EE798" s="5"/>
      <c r="EF798" s="5"/>
      <c r="EG798" s="5"/>
      <c r="EH798" s="5"/>
      <c r="EI798" s="5"/>
      <c r="EJ798" s="5"/>
      <c r="EK798" s="5"/>
      <c r="EL798" s="5"/>
      <c r="EM798" s="5"/>
      <c r="EN798" s="5"/>
      <c r="EO798" s="5"/>
      <c r="EP798" s="5"/>
      <c r="EQ798" s="5"/>
      <c r="ER798" s="5"/>
      <c r="ES798" s="5"/>
      <c r="ET798" s="5"/>
      <c r="EU798" s="5"/>
      <c r="EV798" s="5"/>
      <c r="EW798" s="5"/>
      <c r="EX798" s="5"/>
      <c r="EY798" s="5"/>
      <c r="EZ798" s="5"/>
      <c r="FA798" s="5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5"/>
      <c r="CT799" s="5"/>
      <c r="CU799" s="5"/>
      <c r="CV799" s="5"/>
      <c r="CW799" s="5"/>
      <c r="CX799" s="5"/>
      <c r="CY799" s="5"/>
      <c r="CZ799" s="5"/>
      <c r="DA799" s="5"/>
      <c r="DB799" s="5"/>
      <c r="DC799" s="5"/>
      <c r="DD799" s="5"/>
      <c r="DE799" s="5"/>
      <c r="DF799" s="5"/>
      <c r="DG799" s="5"/>
      <c r="DH799" s="5"/>
      <c r="DI799" s="5"/>
      <c r="DJ799" s="5"/>
      <c r="DK799" s="5"/>
      <c r="DL799" s="5"/>
      <c r="DM799" s="5"/>
      <c r="DN799" s="5"/>
      <c r="DO799" s="5"/>
      <c r="DP799" s="5"/>
      <c r="DQ799" s="5"/>
      <c r="DR799" s="5"/>
      <c r="DS799" s="5"/>
      <c r="DT799" s="5"/>
      <c r="DU799" s="5"/>
      <c r="DV799" s="5"/>
      <c r="DW799" s="5"/>
      <c r="DX799" s="5"/>
      <c r="DY799" s="5"/>
      <c r="DZ799" s="5"/>
      <c r="EA799" s="5"/>
      <c r="EB799" s="5"/>
      <c r="EC799" s="5"/>
      <c r="ED799" s="5"/>
      <c r="EE799" s="5"/>
      <c r="EF799" s="5"/>
      <c r="EG799" s="5"/>
      <c r="EH799" s="5"/>
      <c r="EI799" s="5"/>
      <c r="EJ799" s="5"/>
      <c r="EK799" s="5"/>
      <c r="EL799" s="5"/>
      <c r="EM799" s="5"/>
      <c r="EN799" s="5"/>
      <c r="EO799" s="5"/>
      <c r="EP799" s="5"/>
      <c r="EQ799" s="5"/>
      <c r="ER799" s="5"/>
      <c r="ES799" s="5"/>
      <c r="ET799" s="5"/>
      <c r="EU799" s="5"/>
      <c r="EV799" s="5"/>
      <c r="EW799" s="5"/>
      <c r="EX799" s="5"/>
      <c r="EY799" s="5"/>
      <c r="EZ799" s="5"/>
      <c r="FA799" s="5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5"/>
      <c r="CT800" s="5"/>
      <c r="CU800" s="5"/>
      <c r="CV800" s="5"/>
      <c r="CW800" s="5"/>
      <c r="CX800" s="5"/>
      <c r="CY800" s="5"/>
      <c r="CZ800" s="5"/>
      <c r="DA800" s="5"/>
      <c r="DB800" s="5"/>
      <c r="DC800" s="5"/>
      <c r="DD800" s="5"/>
      <c r="DE800" s="5"/>
      <c r="DF800" s="5"/>
      <c r="DG800" s="5"/>
      <c r="DH800" s="5"/>
      <c r="DI800" s="5"/>
      <c r="DJ800" s="5"/>
      <c r="DK800" s="5"/>
      <c r="DL800" s="5"/>
      <c r="DM800" s="5"/>
      <c r="DN800" s="5"/>
      <c r="DO800" s="5"/>
      <c r="DP800" s="5"/>
      <c r="DQ800" s="5"/>
      <c r="DR800" s="5"/>
      <c r="DS800" s="5"/>
      <c r="DT800" s="5"/>
      <c r="DU800" s="5"/>
      <c r="DV800" s="5"/>
      <c r="DW800" s="5"/>
      <c r="DX800" s="5"/>
      <c r="DY800" s="5"/>
      <c r="DZ800" s="5"/>
      <c r="EA800" s="5"/>
      <c r="EB800" s="5"/>
      <c r="EC800" s="5"/>
      <c r="ED800" s="5"/>
      <c r="EE800" s="5"/>
      <c r="EF800" s="5"/>
      <c r="EG800" s="5"/>
      <c r="EH800" s="5"/>
      <c r="EI800" s="5"/>
      <c r="EJ800" s="5"/>
      <c r="EK800" s="5"/>
      <c r="EL800" s="5"/>
      <c r="EM800" s="5"/>
      <c r="EN800" s="5"/>
      <c r="EO800" s="5"/>
      <c r="EP800" s="5"/>
      <c r="EQ800" s="5"/>
      <c r="ER800" s="5"/>
      <c r="ES800" s="5"/>
      <c r="ET800" s="5"/>
      <c r="EU800" s="5"/>
      <c r="EV800" s="5"/>
      <c r="EW800" s="5"/>
      <c r="EX800" s="5"/>
      <c r="EY800" s="5"/>
      <c r="EZ800" s="5"/>
      <c r="FA800" s="5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5"/>
      <c r="CT801" s="5"/>
      <c r="CU801" s="5"/>
      <c r="CV801" s="5"/>
      <c r="CW801" s="5"/>
      <c r="CX801" s="5"/>
      <c r="CY801" s="5"/>
      <c r="CZ801" s="5"/>
      <c r="DA801" s="5"/>
      <c r="DB801" s="5"/>
      <c r="DC801" s="5"/>
      <c r="DD801" s="5"/>
      <c r="DE801" s="5"/>
      <c r="DF801" s="5"/>
      <c r="DG801" s="5"/>
      <c r="DH801" s="5"/>
      <c r="DI801" s="5"/>
      <c r="DJ801" s="5"/>
      <c r="DK801" s="5"/>
      <c r="DL801" s="5"/>
      <c r="DM801" s="5"/>
      <c r="DN801" s="5"/>
      <c r="DO801" s="5"/>
      <c r="DP801" s="5"/>
      <c r="DQ801" s="5"/>
      <c r="DR801" s="5"/>
      <c r="DS801" s="5"/>
      <c r="DT801" s="5"/>
      <c r="DU801" s="5"/>
      <c r="DV801" s="5"/>
      <c r="DW801" s="5"/>
      <c r="DX801" s="5"/>
      <c r="DY801" s="5"/>
      <c r="DZ801" s="5"/>
      <c r="EA801" s="5"/>
      <c r="EB801" s="5"/>
      <c r="EC801" s="5"/>
      <c r="ED801" s="5"/>
      <c r="EE801" s="5"/>
      <c r="EF801" s="5"/>
      <c r="EG801" s="5"/>
      <c r="EH801" s="5"/>
      <c r="EI801" s="5"/>
      <c r="EJ801" s="5"/>
      <c r="EK801" s="5"/>
      <c r="EL801" s="5"/>
      <c r="EM801" s="5"/>
      <c r="EN801" s="5"/>
      <c r="EO801" s="5"/>
      <c r="EP801" s="5"/>
      <c r="EQ801" s="5"/>
      <c r="ER801" s="5"/>
      <c r="ES801" s="5"/>
      <c r="ET801" s="5"/>
      <c r="EU801" s="5"/>
      <c r="EV801" s="5"/>
      <c r="EW801" s="5"/>
      <c r="EX801" s="5"/>
      <c r="EY801" s="5"/>
      <c r="EZ801" s="5"/>
      <c r="FA801" s="5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5"/>
      <c r="CT802" s="5"/>
      <c r="CU802" s="5"/>
      <c r="CV802" s="5"/>
      <c r="CW802" s="5"/>
      <c r="CX802" s="5"/>
      <c r="CY802" s="5"/>
      <c r="CZ802" s="5"/>
      <c r="DA802" s="5"/>
      <c r="DB802" s="5"/>
      <c r="DC802" s="5"/>
      <c r="DD802" s="5"/>
      <c r="DE802" s="5"/>
      <c r="DF802" s="5"/>
      <c r="DG802" s="5"/>
      <c r="DH802" s="5"/>
      <c r="DI802" s="5"/>
      <c r="DJ802" s="5"/>
      <c r="DK802" s="5"/>
      <c r="DL802" s="5"/>
      <c r="DM802" s="5"/>
      <c r="DN802" s="5"/>
      <c r="DO802" s="5"/>
      <c r="DP802" s="5"/>
      <c r="DQ802" s="5"/>
      <c r="DR802" s="5"/>
      <c r="DS802" s="5"/>
      <c r="DT802" s="5"/>
      <c r="DU802" s="5"/>
      <c r="DV802" s="5"/>
      <c r="DW802" s="5"/>
      <c r="DX802" s="5"/>
      <c r="DY802" s="5"/>
      <c r="DZ802" s="5"/>
      <c r="EA802" s="5"/>
      <c r="EB802" s="5"/>
      <c r="EC802" s="5"/>
      <c r="ED802" s="5"/>
      <c r="EE802" s="5"/>
      <c r="EF802" s="5"/>
      <c r="EG802" s="5"/>
      <c r="EH802" s="5"/>
      <c r="EI802" s="5"/>
      <c r="EJ802" s="5"/>
      <c r="EK802" s="5"/>
      <c r="EL802" s="5"/>
      <c r="EM802" s="5"/>
      <c r="EN802" s="5"/>
      <c r="EO802" s="5"/>
      <c r="EP802" s="5"/>
      <c r="EQ802" s="5"/>
      <c r="ER802" s="5"/>
      <c r="ES802" s="5"/>
      <c r="ET802" s="5"/>
      <c r="EU802" s="5"/>
      <c r="EV802" s="5"/>
      <c r="EW802" s="5"/>
      <c r="EX802" s="5"/>
      <c r="EY802" s="5"/>
      <c r="EZ802" s="5"/>
      <c r="FA802" s="5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5"/>
      <c r="CT803" s="5"/>
      <c r="CU803" s="5"/>
      <c r="CV803" s="5"/>
      <c r="CW803" s="5"/>
      <c r="CX803" s="5"/>
      <c r="CY803" s="5"/>
      <c r="CZ803" s="5"/>
      <c r="DA803" s="5"/>
      <c r="DB803" s="5"/>
      <c r="DC803" s="5"/>
      <c r="DD803" s="5"/>
      <c r="DE803" s="5"/>
      <c r="DF803" s="5"/>
      <c r="DG803" s="5"/>
      <c r="DH803" s="5"/>
      <c r="DI803" s="5"/>
      <c r="DJ803" s="5"/>
      <c r="DK803" s="5"/>
      <c r="DL803" s="5"/>
      <c r="DM803" s="5"/>
      <c r="DN803" s="5"/>
      <c r="DO803" s="5"/>
      <c r="DP803" s="5"/>
      <c r="DQ803" s="5"/>
      <c r="DR803" s="5"/>
      <c r="DS803" s="5"/>
      <c r="DT803" s="5"/>
      <c r="DU803" s="5"/>
      <c r="DV803" s="5"/>
      <c r="DW803" s="5"/>
      <c r="DX803" s="5"/>
      <c r="DY803" s="5"/>
      <c r="DZ803" s="5"/>
      <c r="EA803" s="5"/>
      <c r="EB803" s="5"/>
      <c r="EC803" s="5"/>
      <c r="ED803" s="5"/>
      <c r="EE803" s="5"/>
      <c r="EF803" s="5"/>
      <c r="EG803" s="5"/>
      <c r="EH803" s="5"/>
      <c r="EI803" s="5"/>
      <c r="EJ803" s="5"/>
      <c r="EK803" s="5"/>
      <c r="EL803" s="5"/>
      <c r="EM803" s="5"/>
      <c r="EN803" s="5"/>
      <c r="EO803" s="5"/>
      <c r="EP803" s="5"/>
      <c r="EQ803" s="5"/>
      <c r="ER803" s="5"/>
      <c r="ES803" s="5"/>
      <c r="ET803" s="5"/>
      <c r="EU803" s="5"/>
      <c r="EV803" s="5"/>
      <c r="EW803" s="5"/>
      <c r="EX803" s="5"/>
      <c r="EY803" s="5"/>
      <c r="EZ803" s="5"/>
      <c r="FA803" s="5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5"/>
      <c r="CT804" s="5"/>
      <c r="CU804" s="5"/>
      <c r="CV804" s="5"/>
      <c r="CW804" s="5"/>
      <c r="CX804" s="5"/>
      <c r="CY804" s="5"/>
      <c r="CZ804" s="5"/>
      <c r="DA804" s="5"/>
      <c r="DB804" s="5"/>
      <c r="DC804" s="5"/>
      <c r="DD804" s="5"/>
      <c r="DE804" s="5"/>
      <c r="DF804" s="5"/>
      <c r="DG804" s="5"/>
      <c r="DH804" s="5"/>
      <c r="DI804" s="5"/>
      <c r="DJ804" s="5"/>
      <c r="DK804" s="5"/>
      <c r="DL804" s="5"/>
      <c r="DM804" s="5"/>
      <c r="DN804" s="5"/>
      <c r="DO804" s="5"/>
      <c r="DP804" s="5"/>
      <c r="DQ804" s="5"/>
      <c r="DR804" s="5"/>
      <c r="DS804" s="5"/>
      <c r="DT804" s="5"/>
      <c r="DU804" s="5"/>
      <c r="DV804" s="5"/>
      <c r="DW804" s="5"/>
      <c r="DX804" s="5"/>
      <c r="DY804" s="5"/>
      <c r="DZ804" s="5"/>
      <c r="EA804" s="5"/>
      <c r="EB804" s="5"/>
      <c r="EC804" s="5"/>
      <c r="ED804" s="5"/>
      <c r="EE804" s="5"/>
      <c r="EF804" s="5"/>
      <c r="EG804" s="5"/>
      <c r="EH804" s="5"/>
      <c r="EI804" s="5"/>
      <c r="EJ804" s="5"/>
      <c r="EK804" s="5"/>
      <c r="EL804" s="5"/>
      <c r="EM804" s="5"/>
      <c r="EN804" s="5"/>
      <c r="EO804" s="5"/>
      <c r="EP804" s="5"/>
      <c r="EQ804" s="5"/>
      <c r="ER804" s="5"/>
      <c r="ES804" s="5"/>
      <c r="ET804" s="5"/>
      <c r="EU804" s="5"/>
      <c r="EV804" s="5"/>
      <c r="EW804" s="5"/>
      <c r="EX804" s="5"/>
      <c r="EY804" s="5"/>
      <c r="EZ804" s="5"/>
      <c r="FA804" s="5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5"/>
      <c r="CT805" s="5"/>
      <c r="CU805" s="5"/>
      <c r="CV805" s="5"/>
      <c r="CW805" s="5"/>
      <c r="CX805" s="5"/>
      <c r="CY805" s="5"/>
      <c r="CZ805" s="5"/>
      <c r="DA805" s="5"/>
      <c r="DB805" s="5"/>
      <c r="DC805" s="5"/>
      <c r="DD805" s="5"/>
      <c r="DE805" s="5"/>
      <c r="DF805" s="5"/>
      <c r="DG805" s="5"/>
      <c r="DH805" s="5"/>
      <c r="DI805" s="5"/>
      <c r="DJ805" s="5"/>
      <c r="DK805" s="5"/>
      <c r="DL805" s="5"/>
      <c r="DM805" s="5"/>
      <c r="DN805" s="5"/>
      <c r="DO805" s="5"/>
      <c r="DP805" s="5"/>
      <c r="DQ805" s="5"/>
      <c r="DR805" s="5"/>
      <c r="DS805" s="5"/>
      <c r="DT805" s="5"/>
      <c r="DU805" s="5"/>
      <c r="DV805" s="5"/>
      <c r="DW805" s="5"/>
      <c r="DX805" s="5"/>
      <c r="DY805" s="5"/>
      <c r="DZ805" s="5"/>
      <c r="EA805" s="5"/>
      <c r="EB805" s="5"/>
      <c r="EC805" s="5"/>
      <c r="ED805" s="5"/>
      <c r="EE805" s="5"/>
      <c r="EF805" s="5"/>
      <c r="EG805" s="5"/>
      <c r="EH805" s="5"/>
      <c r="EI805" s="5"/>
      <c r="EJ805" s="5"/>
      <c r="EK805" s="5"/>
      <c r="EL805" s="5"/>
      <c r="EM805" s="5"/>
      <c r="EN805" s="5"/>
      <c r="EO805" s="5"/>
      <c r="EP805" s="5"/>
      <c r="EQ805" s="5"/>
      <c r="ER805" s="5"/>
      <c r="ES805" s="5"/>
      <c r="ET805" s="5"/>
      <c r="EU805" s="5"/>
      <c r="EV805" s="5"/>
      <c r="EW805" s="5"/>
      <c r="EX805" s="5"/>
      <c r="EY805" s="5"/>
      <c r="EZ805" s="5"/>
      <c r="FA805" s="5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5"/>
      <c r="CT806" s="5"/>
      <c r="CU806" s="5"/>
      <c r="CV806" s="5"/>
      <c r="CW806" s="5"/>
      <c r="CX806" s="5"/>
      <c r="CY806" s="5"/>
      <c r="CZ806" s="5"/>
      <c r="DA806" s="5"/>
      <c r="DB806" s="5"/>
      <c r="DC806" s="5"/>
      <c r="DD806" s="5"/>
      <c r="DE806" s="5"/>
      <c r="DF806" s="5"/>
      <c r="DG806" s="5"/>
      <c r="DH806" s="5"/>
      <c r="DI806" s="5"/>
      <c r="DJ806" s="5"/>
      <c r="DK806" s="5"/>
      <c r="DL806" s="5"/>
      <c r="DM806" s="5"/>
      <c r="DN806" s="5"/>
      <c r="DO806" s="5"/>
      <c r="DP806" s="5"/>
      <c r="DQ806" s="5"/>
      <c r="DR806" s="5"/>
      <c r="DS806" s="5"/>
      <c r="DT806" s="5"/>
      <c r="DU806" s="5"/>
      <c r="DV806" s="5"/>
      <c r="DW806" s="5"/>
      <c r="DX806" s="5"/>
      <c r="DY806" s="5"/>
      <c r="DZ806" s="5"/>
      <c r="EA806" s="5"/>
      <c r="EB806" s="5"/>
      <c r="EC806" s="5"/>
      <c r="ED806" s="5"/>
      <c r="EE806" s="5"/>
      <c r="EF806" s="5"/>
      <c r="EG806" s="5"/>
      <c r="EH806" s="5"/>
      <c r="EI806" s="5"/>
      <c r="EJ806" s="5"/>
      <c r="EK806" s="5"/>
      <c r="EL806" s="5"/>
      <c r="EM806" s="5"/>
      <c r="EN806" s="5"/>
      <c r="EO806" s="5"/>
      <c r="EP806" s="5"/>
      <c r="EQ806" s="5"/>
      <c r="ER806" s="5"/>
      <c r="ES806" s="5"/>
      <c r="ET806" s="5"/>
      <c r="EU806" s="5"/>
      <c r="EV806" s="5"/>
      <c r="EW806" s="5"/>
      <c r="EX806" s="5"/>
      <c r="EY806" s="5"/>
      <c r="EZ806" s="5"/>
      <c r="FA806" s="5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5"/>
      <c r="CT807" s="5"/>
      <c r="CU807" s="5"/>
      <c r="CV807" s="5"/>
      <c r="CW807" s="5"/>
      <c r="CX807" s="5"/>
      <c r="CY807" s="5"/>
      <c r="CZ807" s="5"/>
      <c r="DA807" s="5"/>
      <c r="DB807" s="5"/>
      <c r="DC807" s="5"/>
      <c r="DD807" s="5"/>
      <c r="DE807" s="5"/>
      <c r="DF807" s="5"/>
      <c r="DG807" s="5"/>
      <c r="DH807" s="5"/>
      <c r="DI807" s="5"/>
      <c r="DJ807" s="5"/>
      <c r="DK807" s="5"/>
      <c r="DL807" s="5"/>
      <c r="DM807" s="5"/>
      <c r="DN807" s="5"/>
      <c r="DO807" s="5"/>
      <c r="DP807" s="5"/>
      <c r="DQ807" s="5"/>
      <c r="DR807" s="5"/>
      <c r="DS807" s="5"/>
      <c r="DT807" s="5"/>
      <c r="DU807" s="5"/>
      <c r="DV807" s="5"/>
      <c r="DW807" s="5"/>
      <c r="DX807" s="5"/>
      <c r="DY807" s="5"/>
      <c r="DZ807" s="5"/>
      <c r="EA807" s="5"/>
      <c r="EB807" s="5"/>
      <c r="EC807" s="5"/>
      <c r="ED807" s="5"/>
      <c r="EE807" s="5"/>
      <c r="EF807" s="5"/>
      <c r="EG807" s="5"/>
      <c r="EH807" s="5"/>
      <c r="EI807" s="5"/>
      <c r="EJ807" s="5"/>
      <c r="EK807" s="5"/>
      <c r="EL807" s="5"/>
      <c r="EM807" s="5"/>
      <c r="EN807" s="5"/>
      <c r="EO807" s="5"/>
      <c r="EP807" s="5"/>
      <c r="EQ807" s="5"/>
      <c r="ER807" s="5"/>
      <c r="ES807" s="5"/>
      <c r="ET807" s="5"/>
      <c r="EU807" s="5"/>
      <c r="EV807" s="5"/>
      <c r="EW807" s="5"/>
      <c r="EX807" s="5"/>
      <c r="EY807" s="5"/>
      <c r="EZ807" s="5"/>
      <c r="FA807" s="5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5"/>
      <c r="CT808" s="5"/>
      <c r="CU808" s="5"/>
      <c r="CV808" s="5"/>
      <c r="CW808" s="5"/>
      <c r="CX808" s="5"/>
      <c r="CY808" s="5"/>
      <c r="CZ808" s="5"/>
      <c r="DA808" s="5"/>
      <c r="DB808" s="5"/>
      <c r="DC808" s="5"/>
      <c r="DD808" s="5"/>
      <c r="DE808" s="5"/>
      <c r="DF808" s="5"/>
      <c r="DG808" s="5"/>
      <c r="DH808" s="5"/>
      <c r="DI808" s="5"/>
      <c r="DJ808" s="5"/>
      <c r="DK808" s="5"/>
      <c r="DL808" s="5"/>
      <c r="DM808" s="5"/>
      <c r="DN808" s="5"/>
      <c r="DO808" s="5"/>
      <c r="DP808" s="5"/>
      <c r="DQ808" s="5"/>
      <c r="DR808" s="5"/>
      <c r="DS808" s="5"/>
      <c r="DT808" s="5"/>
      <c r="DU808" s="5"/>
      <c r="DV808" s="5"/>
      <c r="DW808" s="5"/>
      <c r="DX808" s="5"/>
      <c r="DY808" s="5"/>
      <c r="DZ808" s="5"/>
      <c r="EA808" s="5"/>
      <c r="EB808" s="5"/>
      <c r="EC808" s="5"/>
      <c r="ED808" s="5"/>
      <c r="EE808" s="5"/>
      <c r="EF808" s="5"/>
      <c r="EG808" s="5"/>
      <c r="EH808" s="5"/>
      <c r="EI808" s="5"/>
      <c r="EJ808" s="5"/>
      <c r="EK808" s="5"/>
      <c r="EL808" s="5"/>
      <c r="EM808" s="5"/>
      <c r="EN808" s="5"/>
      <c r="EO808" s="5"/>
      <c r="EP808" s="5"/>
      <c r="EQ808" s="5"/>
      <c r="ER808" s="5"/>
      <c r="ES808" s="5"/>
      <c r="ET808" s="5"/>
      <c r="EU808" s="5"/>
      <c r="EV808" s="5"/>
      <c r="EW808" s="5"/>
      <c r="EX808" s="5"/>
      <c r="EY808" s="5"/>
      <c r="EZ808" s="5"/>
      <c r="FA808" s="5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5"/>
      <c r="CT809" s="5"/>
      <c r="CU809" s="5"/>
      <c r="CV809" s="5"/>
      <c r="CW809" s="5"/>
      <c r="CX809" s="5"/>
      <c r="CY809" s="5"/>
      <c r="CZ809" s="5"/>
      <c r="DA809" s="5"/>
      <c r="DB809" s="5"/>
      <c r="DC809" s="5"/>
      <c r="DD809" s="5"/>
      <c r="DE809" s="5"/>
      <c r="DF809" s="5"/>
      <c r="DG809" s="5"/>
      <c r="DH809" s="5"/>
      <c r="DI809" s="5"/>
      <c r="DJ809" s="5"/>
      <c r="DK809" s="5"/>
      <c r="DL809" s="5"/>
      <c r="DM809" s="5"/>
      <c r="DN809" s="5"/>
      <c r="DO809" s="5"/>
      <c r="DP809" s="5"/>
      <c r="DQ809" s="5"/>
      <c r="DR809" s="5"/>
      <c r="DS809" s="5"/>
      <c r="DT809" s="5"/>
      <c r="DU809" s="5"/>
      <c r="DV809" s="5"/>
      <c r="DW809" s="5"/>
      <c r="DX809" s="5"/>
      <c r="DY809" s="5"/>
      <c r="DZ809" s="5"/>
      <c r="EA809" s="5"/>
      <c r="EB809" s="5"/>
      <c r="EC809" s="5"/>
      <c r="ED809" s="5"/>
      <c r="EE809" s="5"/>
      <c r="EF809" s="5"/>
      <c r="EG809" s="5"/>
      <c r="EH809" s="5"/>
      <c r="EI809" s="5"/>
      <c r="EJ809" s="5"/>
      <c r="EK809" s="5"/>
      <c r="EL809" s="5"/>
      <c r="EM809" s="5"/>
      <c r="EN809" s="5"/>
      <c r="EO809" s="5"/>
      <c r="EP809" s="5"/>
      <c r="EQ809" s="5"/>
      <c r="ER809" s="5"/>
      <c r="ES809" s="5"/>
      <c r="ET809" s="5"/>
      <c r="EU809" s="5"/>
      <c r="EV809" s="5"/>
      <c r="EW809" s="5"/>
      <c r="EX809" s="5"/>
      <c r="EY809" s="5"/>
      <c r="EZ809" s="5"/>
      <c r="FA809" s="5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5"/>
      <c r="CT810" s="5"/>
      <c r="CU810" s="5"/>
      <c r="CV810" s="5"/>
      <c r="CW810" s="5"/>
      <c r="CX810" s="5"/>
      <c r="CY810" s="5"/>
      <c r="CZ810" s="5"/>
      <c r="DA810" s="5"/>
      <c r="DB810" s="5"/>
      <c r="DC810" s="5"/>
      <c r="DD810" s="5"/>
      <c r="DE810" s="5"/>
      <c r="DF810" s="5"/>
      <c r="DG810" s="5"/>
      <c r="DH810" s="5"/>
      <c r="DI810" s="5"/>
      <c r="DJ810" s="5"/>
      <c r="DK810" s="5"/>
      <c r="DL810" s="5"/>
      <c r="DM810" s="5"/>
      <c r="DN810" s="5"/>
      <c r="DO810" s="5"/>
      <c r="DP810" s="5"/>
      <c r="DQ810" s="5"/>
      <c r="DR810" s="5"/>
      <c r="DS810" s="5"/>
      <c r="DT810" s="5"/>
      <c r="DU810" s="5"/>
      <c r="DV810" s="5"/>
      <c r="DW810" s="5"/>
      <c r="DX810" s="5"/>
      <c r="DY810" s="5"/>
      <c r="DZ810" s="5"/>
      <c r="EA810" s="5"/>
      <c r="EB810" s="5"/>
      <c r="EC810" s="5"/>
      <c r="ED810" s="5"/>
      <c r="EE810" s="5"/>
      <c r="EF810" s="5"/>
      <c r="EG810" s="5"/>
      <c r="EH810" s="5"/>
      <c r="EI810" s="5"/>
      <c r="EJ810" s="5"/>
      <c r="EK810" s="5"/>
      <c r="EL810" s="5"/>
      <c r="EM810" s="5"/>
      <c r="EN810" s="5"/>
      <c r="EO810" s="5"/>
      <c r="EP810" s="5"/>
      <c r="EQ810" s="5"/>
      <c r="ER810" s="5"/>
      <c r="ES810" s="5"/>
      <c r="ET810" s="5"/>
      <c r="EU810" s="5"/>
      <c r="EV810" s="5"/>
      <c r="EW810" s="5"/>
      <c r="EX810" s="5"/>
      <c r="EY810" s="5"/>
      <c r="EZ810" s="5"/>
      <c r="FA810" s="5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5"/>
      <c r="CT811" s="5"/>
      <c r="CU811" s="5"/>
      <c r="CV811" s="5"/>
      <c r="CW811" s="5"/>
      <c r="CX811" s="5"/>
      <c r="CY811" s="5"/>
      <c r="CZ811" s="5"/>
      <c r="DA811" s="5"/>
      <c r="DB811" s="5"/>
      <c r="DC811" s="5"/>
      <c r="DD811" s="5"/>
      <c r="DE811" s="5"/>
      <c r="DF811" s="5"/>
      <c r="DG811" s="5"/>
      <c r="DH811" s="5"/>
      <c r="DI811" s="5"/>
      <c r="DJ811" s="5"/>
      <c r="DK811" s="5"/>
      <c r="DL811" s="5"/>
      <c r="DM811" s="5"/>
      <c r="DN811" s="5"/>
      <c r="DO811" s="5"/>
      <c r="DP811" s="5"/>
      <c r="DQ811" s="5"/>
      <c r="DR811" s="5"/>
      <c r="DS811" s="5"/>
      <c r="DT811" s="5"/>
      <c r="DU811" s="5"/>
      <c r="DV811" s="5"/>
      <c r="DW811" s="5"/>
      <c r="DX811" s="5"/>
      <c r="DY811" s="5"/>
      <c r="DZ811" s="5"/>
      <c r="EA811" s="5"/>
      <c r="EB811" s="5"/>
      <c r="EC811" s="5"/>
      <c r="ED811" s="5"/>
      <c r="EE811" s="5"/>
      <c r="EF811" s="5"/>
      <c r="EG811" s="5"/>
      <c r="EH811" s="5"/>
      <c r="EI811" s="5"/>
      <c r="EJ811" s="5"/>
      <c r="EK811" s="5"/>
      <c r="EL811" s="5"/>
      <c r="EM811" s="5"/>
      <c r="EN811" s="5"/>
      <c r="EO811" s="5"/>
      <c r="EP811" s="5"/>
      <c r="EQ811" s="5"/>
      <c r="ER811" s="5"/>
      <c r="ES811" s="5"/>
      <c r="ET811" s="5"/>
      <c r="EU811" s="5"/>
      <c r="EV811" s="5"/>
      <c r="EW811" s="5"/>
      <c r="EX811" s="5"/>
      <c r="EY811" s="5"/>
      <c r="EZ811" s="5"/>
      <c r="FA811" s="5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5"/>
      <c r="CT812" s="5"/>
      <c r="CU812" s="5"/>
      <c r="CV812" s="5"/>
      <c r="CW812" s="5"/>
      <c r="CX812" s="5"/>
      <c r="CY812" s="5"/>
      <c r="CZ812" s="5"/>
      <c r="DA812" s="5"/>
      <c r="DB812" s="5"/>
      <c r="DC812" s="5"/>
      <c r="DD812" s="5"/>
      <c r="DE812" s="5"/>
      <c r="DF812" s="5"/>
      <c r="DG812" s="5"/>
      <c r="DH812" s="5"/>
      <c r="DI812" s="5"/>
      <c r="DJ812" s="5"/>
      <c r="DK812" s="5"/>
      <c r="DL812" s="5"/>
      <c r="DM812" s="5"/>
      <c r="DN812" s="5"/>
      <c r="DO812" s="5"/>
      <c r="DP812" s="5"/>
      <c r="DQ812" s="5"/>
      <c r="DR812" s="5"/>
      <c r="DS812" s="5"/>
      <c r="DT812" s="5"/>
      <c r="DU812" s="5"/>
      <c r="DV812" s="5"/>
      <c r="DW812" s="5"/>
      <c r="DX812" s="5"/>
      <c r="DY812" s="5"/>
      <c r="DZ812" s="5"/>
      <c r="EA812" s="5"/>
      <c r="EB812" s="5"/>
      <c r="EC812" s="5"/>
      <c r="ED812" s="5"/>
      <c r="EE812" s="5"/>
      <c r="EF812" s="5"/>
      <c r="EG812" s="5"/>
      <c r="EH812" s="5"/>
      <c r="EI812" s="5"/>
      <c r="EJ812" s="5"/>
      <c r="EK812" s="5"/>
      <c r="EL812" s="5"/>
      <c r="EM812" s="5"/>
      <c r="EN812" s="5"/>
      <c r="EO812" s="5"/>
      <c r="EP812" s="5"/>
      <c r="EQ812" s="5"/>
      <c r="ER812" s="5"/>
      <c r="ES812" s="5"/>
      <c r="ET812" s="5"/>
      <c r="EU812" s="5"/>
      <c r="EV812" s="5"/>
      <c r="EW812" s="5"/>
      <c r="EX812" s="5"/>
      <c r="EY812" s="5"/>
      <c r="EZ812" s="5"/>
      <c r="FA812" s="5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5"/>
      <c r="CT813" s="5"/>
      <c r="CU813" s="5"/>
      <c r="CV813" s="5"/>
      <c r="CW813" s="5"/>
      <c r="CX813" s="5"/>
      <c r="CY813" s="5"/>
      <c r="CZ813" s="5"/>
      <c r="DA813" s="5"/>
      <c r="DB813" s="5"/>
      <c r="DC813" s="5"/>
      <c r="DD813" s="5"/>
      <c r="DE813" s="5"/>
      <c r="DF813" s="5"/>
      <c r="DG813" s="5"/>
      <c r="DH813" s="5"/>
      <c r="DI813" s="5"/>
      <c r="DJ813" s="5"/>
      <c r="DK813" s="5"/>
      <c r="DL813" s="5"/>
      <c r="DM813" s="5"/>
      <c r="DN813" s="5"/>
      <c r="DO813" s="5"/>
      <c r="DP813" s="5"/>
      <c r="DQ813" s="5"/>
      <c r="DR813" s="5"/>
      <c r="DS813" s="5"/>
      <c r="DT813" s="5"/>
      <c r="DU813" s="5"/>
      <c r="DV813" s="5"/>
      <c r="DW813" s="5"/>
      <c r="DX813" s="5"/>
      <c r="DY813" s="5"/>
      <c r="DZ813" s="5"/>
      <c r="EA813" s="5"/>
      <c r="EB813" s="5"/>
      <c r="EC813" s="5"/>
      <c r="ED813" s="5"/>
      <c r="EE813" s="5"/>
      <c r="EF813" s="5"/>
      <c r="EG813" s="5"/>
      <c r="EH813" s="5"/>
      <c r="EI813" s="5"/>
      <c r="EJ813" s="5"/>
      <c r="EK813" s="5"/>
      <c r="EL813" s="5"/>
      <c r="EM813" s="5"/>
      <c r="EN813" s="5"/>
      <c r="EO813" s="5"/>
      <c r="EP813" s="5"/>
      <c r="EQ813" s="5"/>
      <c r="ER813" s="5"/>
      <c r="ES813" s="5"/>
      <c r="ET813" s="5"/>
      <c r="EU813" s="5"/>
      <c r="EV813" s="5"/>
      <c r="EW813" s="5"/>
      <c r="EX813" s="5"/>
      <c r="EY813" s="5"/>
      <c r="EZ813" s="5"/>
      <c r="FA813" s="5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5"/>
      <c r="CT814" s="5"/>
      <c r="CU814" s="5"/>
      <c r="CV814" s="5"/>
      <c r="CW814" s="5"/>
      <c r="CX814" s="5"/>
      <c r="CY814" s="5"/>
      <c r="CZ814" s="5"/>
      <c r="DA814" s="5"/>
      <c r="DB814" s="5"/>
      <c r="DC814" s="5"/>
      <c r="DD814" s="5"/>
      <c r="DE814" s="5"/>
      <c r="DF814" s="5"/>
      <c r="DG814" s="5"/>
      <c r="DH814" s="5"/>
      <c r="DI814" s="5"/>
      <c r="DJ814" s="5"/>
      <c r="DK814" s="5"/>
      <c r="DL814" s="5"/>
      <c r="DM814" s="5"/>
      <c r="DN814" s="5"/>
      <c r="DO814" s="5"/>
      <c r="DP814" s="5"/>
      <c r="DQ814" s="5"/>
      <c r="DR814" s="5"/>
      <c r="DS814" s="5"/>
      <c r="DT814" s="5"/>
      <c r="DU814" s="5"/>
      <c r="DV814" s="5"/>
      <c r="DW814" s="5"/>
      <c r="DX814" s="5"/>
      <c r="DY814" s="5"/>
      <c r="DZ814" s="5"/>
      <c r="EA814" s="5"/>
      <c r="EB814" s="5"/>
      <c r="EC814" s="5"/>
      <c r="ED814" s="5"/>
      <c r="EE814" s="5"/>
      <c r="EF814" s="5"/>
      <c r="EG814" s="5"/>
      <c r="EH814" s="5"/>
      <c r="EI814" s="5"/>
      <c r="EJ814" s="5"/>
      <c r="EK814" s="5"/>
      <c r="EL814" s="5"/>
      <c r="EM814" s="5"/>
      <c r="EN814" s="5"/>
      <c r="EO814" s="5"/>
      <c r="EP814" s="5"/>
      <c r="EQ814" s="5"/>
      <c r="ER814" s="5"/>
      <c r="ES814" s="5"/>
      <c r="ET814" s="5"/>
      <c r="EU814" s="5"/>
      <c r="EV814" s="5"/>
      <c r="EW814" s="5"/>
      <c r="EX814" s="5"/>
      <c r="EY814" s="5"/>
      <c r="EZ814" s="5"/>
      <c r="FA814" s="5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5"/>
      <c r="CT815" s="5"/>
      <c r="CU815" s="5"/>
      <c r="CV815" s="5"/>
      <c r="CW815" s="5"/>
      <c r="CX815" s="5"/>
      <c r="CY815" s="5"/>
      <c r="CZ815" s="5"/>
      <c r="DA815" s="5"/>
      <c r="DB815" s="5"/>
      <c r="DC815" s="5"/>
      <c r="DD815" s="5"/>
      <c r="DE815" s="5"/>
      <c r="DF815" s="5"/>
      <c r="DG815" s="5"/>
      <c r="DH815" s="5"/>
      <c r="DI815" s="5"/>
      <c r="DJ815" s="5"/>
      <c r="DK815" s="5"/>
      <c r="DL815" s="5"/>
      <c r="DM815" s="5"/>
      <c r="DN815" s="5"/>
      <c r="DO815" s="5"/>
      <c r="DP815" s="5"/>
      <c r="DQ815" s="5"/>
      <c r="DR815" s="5"/>
      <c r="DS815" s="5"/>
      <c r="DT815" s="5"/>
      <c r="DU815" s="5"/>
      <c r="DV815" s="5"/>
      <c r="DW815" s="5"/>
      <c r="DX815" s="5"/>
      <c r="DY815" s="5"/>
      <c r="DZ815" s="5"/>
      <c r="EA815" s="5"/>
      <c r="EB815" s="5"/>
      <c r="EC815" s="5"/>
      <c r="ED815" s="5"/>
      <c r="EE815" s="5"/>
      <c r="EF815" s="5"/>
      <c r="EG815" s="5"/>
      <c r="EH815" s="5"/>
      <c r="EI815" s="5"/>
      <c r="EJ815" s="5"/>
      <c r="EK815" s="5"/>
      <c r="EL815" s="5"/>
      <c r="EM815" s="5"/>
      <c r="EN815" s="5"/>
      <c r="EO815" s="5"/>
      <c r="EP815" s="5"/>
      <c r="EQ815" s="5"/>
      <c r="ER815" s="5"/>
      <c r="ES815" s="5"/>
      <c r="ET815" s="5"/>
      <c r="EU815" s="5"/>
      <c r="EV815" s="5"/>
      <c r="EW815" s="5"/>
      <c r="EX815" s="5"/>
      <c r="EY815" s="5"/>
      <c r="EZ815" s="5"/>
      <c r="FA815" s="5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5"/>
      <c r="CT816" s="5"/>
      <c r="CU816" s="5"/>
      <c r="CV816" s="5"/>
      <c r="CW816" s="5"/>
      <c r="CX816" s="5"/>
      <c r="CY816" s="5"/>
      <c r="CZ816" s="5"/>
      <c r="DA816" s="5"/>
      <c r="DB816" s="5"/>
      <c r="DC816" s="5"/>
      <c r="DD816" s="5"/>
      <c r="DE816" s="5"/>
      <c r="DF816" s="5"/>
      <c r="DG816" s="5"/>
      <c r="DH816" s="5"/>
      <c r="DI816" s="5"/>
      <c r="DJ816" s="5"/>
      <c r="DK816" s="5"/>
      <c r="DL816" s="5"/>
      <c r="DM816" s="5"/>
      <c r="DN816" s="5"/>
      <c r="DO816" s="5"/>
      <c r="DP816" s="5"/>
      <c r="DQ816" s="5"/>
      <c r="DR816" s="5"/>
      <c r="DS816" s="5"/>
      <c r="DT816" s="5"/>
      <c r="DU816" s="5"/>
      <c r="DV816" s="5"/>
      <c r="DW816" s="5"/>
      <c r="DX816" s="5"/>
      <c r="DY816" s="5"/>
      <c r="DZ816" s="5"/>
      <c r="EA816" s="5"/>
      <c r="EB816" s="5"/>
      <c r="EC816" s="5"/>
      <c r="ED816" s="5"/>
      <c r="EE816" s="5"/>
      <c r="EF816" s="5"/>
      <c r="EG816" s="5"/>
      <c r="EH816" s="5"/>
      <c r="EI816" s="5"/>
      <c r="EJ816" s="5"/>
      <c r="EK816" s="5"/>
      <c r="EL816" s="5"/>
      <c r="EM816" s="5"/>
      <c r="EN816" s="5"/>
      <c r="EO816" s="5"/>
      <c r="EP816" s="5"/>
      <c r="EQ816" s="5"/>
      <c r="ER816" s="5"/>
      <c r="ES816" s="5"/>
      <c r="ET816" s="5"/>
      <c r="EU816" s="5"/>
      <c r="EV816" s="5"/>
      <c r="EW816" s="5"/>
      <c r="EX816" s="5"/>
      <c r="EY816" s="5"/>
      <c r="EZ816" s="5"/>
      <c r="FA816" s="5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5"/>
      <c r="CT817" s="5"/>
      <c r="CU817" s="5"/>
      <c r="CV817" s="5"/>
      <c r="CW817" s="5"/>
      <c r="CX817" s="5"/>
      <c r="CY817" s="5"/>
      <c r="CZ817" s="5"/>
      <c r="DA817" s="5"/>
      <c r="DB817" s="5"/>
      <c r="DC817" s="5"/>
      <c r="DD817" s="5"/>
      <c r="DE817" s="5"/>
      <c r="DF817" s="5"/>
      <c r="DG817" s="5"/>
      <c r="DH817" s="5"/>
      <c r="DI817" s="5"/>
      <c r="DJ817" s="5"/>
      <c r="DK817" s="5"/>
      <c r="DL817" s="5"/>
      <c r="DM817" s="5"/>
      <c r="DN817" s="5"/>
      <c r="DO817" s="5"/>
      <c r="DP817" s="5"/>
      <c r="DQ817" s="5"/>
      <c r="DR817" s="5"/>
      <c r="DS817" s="5"/>
      <c r="DT817" s="5"/>
      <c r="DU817" s="5"/>
      <c r="DV817" s="5"/>
      <c r="DW817" s="5"/>
      <c r="DX817" s="5"/>
      <c r="DY817" s="5"/>
      <c r="DZ817" s="5"/>
      <c r="EA817" s="5"/>
      <c r="EB817" s="5"/>
      <c r="EC817" s="5"/>
      <c r="ED817" s="5"/>
      <c r="EE817" s="5"/>
      <c r="EF817" s="5"/>
      <c r="EG817" s="5"/>
      <c r="EH817" s="5"/>
      <c r="EI817" s="5"/>
      <c r="EJ817" s="5"/>
      <c r="EK817" s="5"/>
      <c r="EL817" s="5"/>
      <c r="EM817" s="5"/>
      <c r="EN817" s="5"/>
      <c r="EO817" s="5"/>
      <c r="EP817" s="5"/>
      <c r="EQ817" s="5"/>
      <c r="ER817" s="5"/>
      <c r="ES817" s="5"/>
      <c r="ET817" s="5"/>
      <c r="EU817" s="5"/>
      <c r="EV817" s="5"/>
      <c r="EW817" s="5"/>
      <c r="EX817" s="5"/>
      <c r="EY817" s="5"/>
      <c r="EZ817" s="5"/>
      <c r="FA817" s="5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5"/>
      <c r="CT818" s="5"/>
      <c r="CU818" s="5"/>
      <c r="CV818" s="5"/>
      <c r="CW818" s="5"/>
      <c r="CX818" s="5"/>
      <c r="CY818" s="5"/>
      <c r="CZ818" s="5"/>
      <c r="DA818" s="5"/>
      <c r="DB818" s="5"/>
      <c r="DC818" s="5"/>
      <c r="DD818" s="5"/>
      <c r="DE818" s="5"/>
      <c r="DF818" s="5"/>
      <c r="DG818" s="5"/>
      <c r="DH818" s="5"/>
      <c r="DI818" s="5"/>
      <c r="DJ818" s="5"/>
      <c r="DK818" s="5"/>
      <c r="DL818" s="5"/>
      <c r="DM818" s="5"/>
      <c r="DN818" s="5"/>
      <c r="DO818" s="5"/>
      <c r="DP818" s="5"/>
      <c r="DQ818" s="5"/>
      <c r="DR818" s="5"/>
      <c r="DS818" s="5"/>
      <c r="DT818" s="5"/>
      <c r="DU818" s="5"/>
      <c r="DV818" s="5"/>
      <c r="DW818" s="5"/>
      <c r="DX818" s="5"/>
      <c r="DY818" s="5"/>
      <c r="DZ818" s="5"/>
      <c r="EA818" s="5"/>
      <c r="EB818" s="5"/>
      <c r="EC818" s="5"/>
      <c r="ED818" s="5"/>
      <c r="EE818" s="5"/>
      <c r="EF818" s="5"/>
      <c r="EG818" s="5"/>
      <c r="EH818" s="5"/>
      <c r="EI818" s="5"/>
      <c r="EJ818" s="5"/>
      <c r="EK818" s="5"/>
      <c r="EL818" s="5"/>
      <c r="EM818" s="5"/>
      <c r="EN818" s="5"/>
      <c r="EO818" s="5"/>
      <c r="EP818" s="5"/>
      <c r="EQ818" s="5"/>
      <c r="ER818" s="5"/>
      <c r="ES818" s="5"/>
      <c r="ET818" s="5"/>
      <c r="EU818" s="5"/>
      <c r="EV818" s="5"/>
      <c r="EW818" s="5"/>
      <c r="EX818" s="5"/>
      <c r="EY818" s="5"/>
      <c r="EZ818" s="5"/>
      <c r="FA818" s="5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5"/>
      <c r="CT819" s="5"/>
      <c r="CU819" s="5"/>
      <c r="CV819" s="5"/>
      <c r="CW819" s="5"/>
      <c r="CX819" s="5"/>
      <c r="CY819" s="5"/>
      <c r="CZ819" s="5"/>
      <c r="DA819" s="5"/>
      <c r="DB819" s="5"/>
      <c r="DC819" s="5"/>
      <c r="DD819" s="5"/>
      <c r="DE819" s="5"/>
      <c r="DF819" s="5"/>
      <c r="DG819" s="5"/>
      <c r="DH819" s="5"/>
      <c r="DI819" s="5"/>
      <c r="DJ819" s="5"/>
      <c r="DK819" s="5"/>
      <c r="DL819" s="5"/>
      <c r="DM819" s="5"/>
      <c r="DN819" s="5"/>
      <c r="DO819" s="5"/>
      <c r="DP819" s="5"/>
      <c r="DQ819" s="5"/>
      <c r="DR819" s="5"/>
      <c r="DS819" s="5"/>
      <c r="DT819" s="5"/>
      <c r="DU819" s="5"/>
      <c r="DV819" s="5"/>
      <c r="DW819" s="5"/>
      <c r="DX819" s="5"/>
      <c r="DY819" s="5"/>
      <c r="DZ819" s="5"/>
      <c r="EA819" s="5"/>
      <c r="EB819" s="5"/>
      <c r="EC819" s="5"/>
      <c r="ED819" s="5"/>
      <c r="EE819" s="5"/>
      <c r="EF819" s="5"/>
      <c r="EG819" s="5"/>
      <c r="EH819" s="5"/>
      <c r="EI819" s="5"/>
      <c r="EJ819" s="5"/>
      <c r="EK819" s="5"/>
      <c r="EL819" s="5"/>
      <c r="EM819" s="5"/>
      <c r="EN819" s="5"/>
      <c r="EO819" s="5"/>
      <c r="EP819" s="5"/>
      <c r="EQ819" s="5"/>
      <c r="ER819" s="5"/>
      <c r="ES819" s="5"/>
      <c r="ET819" s="5"/>
      <c r="EU819" s="5"/>
      <c r="EV819" s="5"/>
      <c r="EW819" s="5"/>
      <c r="EX819" s="5"/>
      <c r="EY819" s="5"/>
      <c r="EZ819" s="5"/>
      <c r="FA819" s="5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5"/>
      <c r="CT820" s="5"/>
      <c r="CU820" s="5"/>
      <c r="CV820" s="5"/>
      <c r="CW820" s="5"/>
      <c r="CX820" s="5"/>
      <c r="CY820" s="5"/>
      <c r="CZ820" s="5"/>
      <c r="DA820" s="5"/>
      <c r="DB820" s="5"/>
      <c r="DC820" s="5"/>
      <c r="DD820" s="5"/>
      <c r="DE820" s="5"/>
      <c r="DF820" s="5"/>
      <c r="DG820" s="5"/>
      <c r="DH820" s="5"/>
      <c r="DI820" s="5"/>
      <c r="DJ820" s="5"/>
      <c r="DK820" s="5"/>
      <c r="DL820" s="5"/>
      <c r="DM820" s="5"/>
      <c r="DN820" s="5"/>
      <c r="DO820" s="5"/>
      <c r="DP820" s="5"/>
      <c r="DQ820" s="5"/>
      <c r="DR820" s="5"/>
      <c r="DS820" s="5"/>
      <c r="DT820" s="5"/>
      <c r="DU820" s="5"/>
      <c r="DV820" s="5"/>
      <c r="DW820" s="5"/>
      <c r="DX820" s="5"/>
      <c r="DY820" s="5"/>
      <c r="DZ820" s="5"/>
      <c r="EA820" s="5"/>
      <c r="EB820" s="5"/>
      <c r="EC820" s="5"/>
      <c r="ED820" s="5"/>
      <c r="EE820" s="5"/>
      <c r="EF820" s="5"/>
      <c r="EG820" s="5"/>
      <c r="EH820" s="5"/>
      <c r="EI820" s="5"/>
      <c r="EJ820" s="5"/>
      <c r="EK820" s="5"/>
      <c r="EL820" s="5"/>
      <c r="EM820" s="5"/>
      <c r="EN820" s="5"/>
      <c r="EO820" s="5"/>
      <c r="EP820" s="5"/>
      <c r="EQ820" s="5"/>
      <c r="ER820" s="5"/>
      <c r="ES820" s="5"/>
      <c r="ET820" s="5"/>
      <c r="EU820" s="5"/>
      <c r="EV820" s="5"/>
      <c r="EW820" s="5"/>
      <c r="EX820" s="5"/>
      <c r="EY820" s="5"/>
      <c r="EZ820" s="5"/>
      <c r="FA820" s="5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5"/>
      <c r="CT821" s="5"/>
      <c r="CU821" s="5"/>
      <c r="CV821" s="5"/>
      <c r="CW821" s="5"/>
      <c r="CX821" s="5"/>
      <c r="CY821" s="5"/>
      <c r="CZ821" s="5"/>
      <c r="DA821" s="5"/>
      <c r="DB821" s="5"/>
      <c r="DC821" s="5"/>
      <c r="DD821" s="5"/>
      <c r="DE821" s="5"/>
      <c r="DF821" s="5"/>
      <c r="DG821" s="5"/>
      <c r="DH821" s="5"/>
      <c r="DI821" s="5"/>
      <c r="DJ821" s="5"/>
      <c r="DK821" s="5"/>
      <c r="DL821" s="5"/>
      <c r="DM821" s="5"/>
      <c r="DN821" s="5"/>
      <c r="DO821" s="5"/>
      <c r="DP821" s="5"/>
      <c r="DQ821" s="5"/>
      <c r="DR821" s="5"/>
      <c r="DS821" s="5"/>
      <c r="DT821" s="5"/>
      <c r="DU821" s="5"/>
      <c r="DV821" s="5"/>
      <c r="DW821" s="5"/>
      <c r="DX821" s="5"/>
      <c r="DY821" s="5"/>
      <c r="DZ821" s="5"/>
      <c r="EA821" s="5"/>
      <c r="EB821" s="5"/>
      <c r="EC821" s="5"/>
      <c r="ED821" s="5"/>
      <c r="EE821" s="5"/>
      <c r="EF821" s="5"/>
      <c r="EG821" s="5"/>
      <c r="EH821" s="5"/>
      <c r="EI821" s="5"/>
      <c r="EJ821" s="5"/>
      <c r="EK821" s="5"/>
      <c r="EL821" s="5"/>
      <c r="EM821" s="5"/>
      <c r="EN821" s="5"/>
      <c r="EO821" s="5"/>
      <c r="EP821" s="5"/>
      <c r="EQ821" s="5"/>
      <c r="ER821" s="5"/>
      <c r="ES821" s="5"/>
      <c r="ET821" s="5"/>
      <c r="EU821" s="5"/>
      <c r="EV821" s="5"/>
      <c r="EW821" s="5"/>
      <c r="EX821" s="5"/>
      <c r="EY821" s="5"/>
      <c r="EZ821" s="5"/>
      <c r="FA821" s="5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5"/>
      <c r="CT822" s="5"/>
      <c r="CU822" s="5"/>
      <c r="CV822" s="5"/>
      <c r="CW822" s="5"/>
      <c r="CX822" s="5"/>
      <c r="CY822" s="5"/>
      <c r="CZ822" s="5"/>
      <c r="DA822" s="5"/>
      <c r="DB822" s="5"/>
      <c r="DC822" s="5"/>
      <c r="DD822" s="5"/>
      <c r="DE822" s="5"/>
      <c r="DF822" s="5"/>
      <c r="DG822" s="5"/>
      <c r="DH822" s="5"/>
      <c r="DI822" s="5"/>
      <c r="DJ822" s="5"/>
      <c r="DK822" s="5"/>
      <c r="DL822" s="5"/>
      <c r="DM822" s="5"/>
      <c r="DN822" s="5"/>
      <c r="DO822" s="5"/>
      <c r="DP822" s="5"/>
      <c r="DQ822" s="5"/>
      <c r="DR822" s="5"/>
      <c r="DS822" s="5"/>
      <c r="DT822" s="5"/>
      <c r="DU822" s="5"/>
      <c r="DV822" s="5"/>
      <c r="DW822" s="5"/>
      <c r="DX822" s="5"/>
      <c r="DY822" s="5"/>
      <c r="DZ822" s="5"/>
      <c r="EA822" s="5"/>
      <c r="EB822" s="5"/>
      <c r="EC822" s="5"/>
      <c r="ED822" s="5"/>
      <c r="EE822" s="5"/>
      <c r="EF822" s="5"/>
      <c r="EG822" s="5"/>
      <c r="EH822" s="5"/>
      <c r="EI822" s="5"/>
      <c r="EJ822" s="5"/>
      <c r="EK822" s="5"/>
      <c r="EL822" s="5"/>
      <c r="EM822" s="5"/>
      <c r="EN822" s="5"/>
      <c r="EO822" s="5"/>
      <c r="EP822" s="5"/>
      <c r="EQ822" s="5"/>
      <c r="ER822" s="5"/>
      <c r="ES822" s="5"/>
      <c r="ET822" s="5"/>
      <c r="EU822" s="5"/>
      <c r="EV822" s="5"/>
      <c r="EW822" s="5"/>
      <c r="EX822" s="5"/>
      <c r="EY822" s="5"/>
      <c r="EZ822" s="5"/>
      <c r="FA822" s="5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5"/>
      <c r="CT823" s="5"/>
      <c r="CU823" s="5"/>
      <c r="CV823" s="5"/>
      <c r="CW823" s="5"/>
      <c r="CX823" s="5"/>
      <c r="CY823" s="5"/>
      <c r="CZ823" s="5"/>
      <c r="DA823" s="5"/>
      <c r="DB823" s="5"/>
      <c r="DC823" s="5"/>
      <c r="DD823" s="5"/>
      <c r="DE823" s="5"/>
      <c r="DF823" s="5"/>
      <c r="DG823" s="5"/>
      <c r="DH823" s="5"/>
      <c r="DI823" s="5"/>
      <c r="DJ823" s="5"/>
      <c r="DK823" s="5"/>
      <c r="DL823" s="5"/>
      <c r="DM823" s="5"/>
      <c r="DN823" s="5"/>
      <c r="DO823" s="5"/>
      <c r="DP823" s="5"/>
      <c r="DQ823" s="5"/>
      <c r="DR823" s="5"/>
      <c r="DS823" s="5"/>
      <c r="DT823" s="5"/>
      <c r="DU823" s="5"/>
      <c r="DV823" s="5"/>
      <c r="DW823" s="5"/>
      <c r="DX823" s="5"/>
      <c r="DY823" s="5"/>
      <c r="DZ823" s="5"/>
      <c r="EA823" s="5"/>
      <c r="EB823" s="5"/>
      <c r="EC823" s="5"/>
      <c r="ED823" s="5"/>
      <c r="EE823" s="5"/>
      <c r="EF823" s="5"/>
      <c r="EG823" s="5"/>
      <c r="EH823" s="5"/>
      <c r="EI823" s="5"/>
      <c r="EJ823" s="5"/>
      <c r="EK823" s="5"/>
      <c r="EL823" s="5"/>
      <c r="EM823" s="5"/>
      <c r="EN823" s="5"/>
      <c r="EO823" s="5"/>
      <c r="EP823" s="5"/>
      <c r="EQ823" s="5"/>
      <c r="ER823" s="5"/>
      <c r="ES823" s="5"/>
      <c r="ET823" s="5"/>
      <c r="EU823" s="5"/>
      <c r="EV823" s="5"/>
      <c r="EW823" s="5"/>
      <c r="EX823" s="5"/>
      <c r="EY823" s="5"/>
      <c r="EZ823" s="5"/>
      <c r="FA823" s="5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5"/>
      <c r="CT824" s="5"/>
      <c r="CU824" s="5"/>
      <c r="CV824" s="5"/>
      <c r="CW824" s="5"/>
      <c r="CX824" s="5"/>
      <c r="CY824" s="5"/>
      <c r="CZ824" s="5"/>
      <c r="DA824" s="5"/>
      <c r="DB824" s="5"/>
      <c r="DC824" s="5"/>
      <c r="DD824" s="5"/>
      <c r="DE824" s="5"/>
      <c r="DF824" s="5"/>
      <c r="DG824" s="5"/>
      <c r="DH824" s="5"/>
      <c r="DI824" s="5"/>
      <c r="DJ824" s="5"/>
      <c r="DK824" s="5"/>
      <c r="DL824" s="5"/>
      <c r="DM824" s="5"/>
      <c r="DN824" s="5"/>
      <c r="DO824" s="5"/>
      <c r="DP824" s="5"/>
      <c r="DQ824" s="5"/>
      <c r="DR824" s="5"/>
      <c r="DS824" s="5"/>
      <c r="DT824" s="5"/>
      <c r="DU824" s="5"/>
      <c r="DV824" s="5"/>
      <c r="DW824" s="5"/>
      <c r="DX824" s="5"/>
      <c r="DY824" s="5"/>
      <c r="DZ824" s="5"/>
      <c r="EA824" s="5"/>
      <c r="EB824" s="5"/>
      <c r="EC824" s="5"/>
      <c r="ED824" s="5"/>
      <c r="EE824" s="5"/>
      <c r="EF824" s="5"/>
      <c r="EG824" s="5"/>
      <c r="EH824" s="5"/>
      <c r="EI824" s="5"/>
      <c r="EJ824" s="5"/>
      <c r="EK824" s="5"/>
      <c r="EL824" s="5"/>
      <c r="EM824" s="5"/>
      <c r="EN824" s="5"/>
      <c r="EO824" s="5"/>
      <c r="EP824" s="5"/>
      <c r="EQ824" s="5"/>
      <c r="ER824" s="5"/>
      <c r="ES824" s="5"/>
      <c r="ET824" s="5"/>
      <c r="EU824" s="5"/>
      <c r="EV824" s="5"/>
      <c r="EW824" s="5"/>
      <c r="EX824" s="5"/>
      <c r="EY824" s="5"/>
      <c r="EZ824" s="5"/>
      <c r="FA824" s="5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5"/>
      <c r="CT825" s="5"/>
      <c r="CU825" s="5"/>
      <c r="CV825" s="5"/>
      <c r="CW825" s="5"/>
      <c r="CX825" s="5"/>
      <c r="CY825" s="5"/>
      <c r="CZ825" s="5"/>
      <c r="DA825" s="5"/>
      <c r="DB825" s="5"/>
      <c r="DC825" s="5"/>
      <c r="DD825" s="5"/>
      <c r="DE825" s="5"/>
      <c r="DF825" s="5"/>
      <c r="DG825" s="5"/>
      <c r="DH825" s="5"/>
      <c r="DI825" s="5"/>
      <c r="DJ825" s="5"/>
      <c r="DK825" s="5"/>
      <c r="DL825" s="5"/>
      <c r="DM825" s="5"/>
      <c r="DN825" s="5"/>
      <c r="DO825" s="5"/>
      <c r="DP825" s="5"/>
      <c r="DQ825" s="5"/>
      <c r="DR825" s="5"/>
      <c r="DS825" s="5"/>
      <c r="DT825" s="5"/>
      <c r="DU825" s="5"/>
      <c r="DV825" s="5"/>
      <c r="DW825" s="5"/>
      <c r="DX825" s="5"/>
      <c r="DY825" s="5"/>
      <c r="DZ825" s="5"/>
      <c r="EA825" s="5"/>
      <c r="EB825" s="5"/>
      <c r="EC825" s="5"/>
      <c r="ED825" s="5"/>
      <c r="EE825" s="5"/>
      <c r="EF825" s="5"/>
      <c r="EG825" s="5"/>
      <c r="EH825" s="5"/>
      <c r="EI825" s="5"/>
      <c r="EJ825" s="5"/>
      <c r="EK825" s="5"/>
      <c r="EL825" s="5"/>
      <c r="EM825" s="5"/>
      <c r="EN825" s="5"/>
      <c r="EO825" s="5"/>
      <c r="EP825" s="5"/>
      <c r="EQ825" s="5"/>
      <c r="ER825" s="5"/>
      <c r="ES825" s="5"/>
      <c r="ET825" s="5"/>
      <c r="EU825" s="5"/>
      <c r="EV825" s="5"/>
      <c r="EW825" s="5"/>
      <c r="EX825" s="5"/>
      <c r="EY825" s="5"/>
      <c r="EZ825" s="5"/>
      <c r="FA825" s="5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5"/>
      <c r="CT826" s="5"/>
      <c r="CU826" s="5"/>
      <c r="CV826" s="5"/>
      <c r="CW826" s="5"/>
      <c r="CX826" s="5"/>
      <c r="CY826" s="5"/>
      <c r="CZ826" s="5"/>
      <c r="DA826" s="5"/>
      <c r="DB826" s="5"/>
      <c r="DC826" s="5"/>
      <c r="DD826" s="5"/>
      <c r="DE826" s="5"/>
      <c r="DF826" s="5"/>
      <c r="DG826" s="5"/>
      <c r="DH826" s="5"/>
      <c r="DI826" s="5"/>
      <c r="DJ826" s="5"/>
      <c r="DK826" s="5"/>
      <c r="DL826" s="5"/>
      <c r="DM826" s="5"/>
      <c r="DN826" s="5"/>
      <c r="DO826" s="5"/>
      <c r="DP826" s="5"/>
      <c r="DQ826" s="5"/>
      <c r="DR826" s="5"/>
      <c r="DS826" s="5"/>
      <c r="DT826" s="5"/>
      <c r="DU826" s="5"/>
      <c r="DV826" s="5"/>
      <c r="DW826" s="5"/>
      <c r="DX826" s="5"/>
      <c r="DY826" s="5"/>
      <c r="DZ826" s="5"/>
      <c r="EA826" s="5"/>
      <c r="EB826" s="5"/>
      <c r="EC826" s="5"/>
      <c r="ED826" s="5"/>
      <c r="EE826" s="5"/>
      <c r="EF826" s="5"/>
      <c r="EG826" s="5"/>
      <c r="EH826" s="5"/>
      <c r="EI826" s="5"/>
      <c r="EJ826" s="5"/>
      <c r="EK826" s="5"/>
      <c r="EL826" s="5"/>
      <c r="EM826" s="5"/>
      <c r="EN826" s="5"/>
      <c r="EO826" s="5"/>
      <c r="EP826" s="5"/>
      <c r="EQ826" s="5"/>
      <c r="ER826" s="5"/>
      <c r="ES826" s="5"/>
      <c r="ET826" s="5"/>
      <c r="EU826" s="5"/>
      <c r="EV826" s="5"/>
      <c r="EW826" s="5"/>
      <c r="EX826" s="5"/>
      <c r="EY826" s="5"/>
      <c r="EZ826" s="5"/>
      <c r="FA826" s="5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5"/>
      <c r="CT827" s="5"/>
      <c r="CU827" s="5"/>
      <c r="CV827" s="5"/>
      <c r="CW827" s="5"/>
      <c r="CX827" s="5"/>
      <c r="CY827" s="5"/>
      <c r="CZ827" s="5"/>
      <c r="DA827" s="5"/>
      <c r="DB827" s="5"/>
      <c r="DC827" s="5"/>
      <c r="DD827" s="5"/>
      <c r="DE827" s="5"/>
      <c r="DF827" s="5"/>
      <c r="DG827" s="5"/>
      <c r="DH827" s="5"/>
      <c r="DI827" s="5"/>
      <c r="DJ827" s="5"/>
      <c r="DK827" s="5"/>
      <c r="DL827" s="5"/>
      <c r="DM827" s="5"/>
      <c r="DN827" s="5"/>
      <c r="DO827" s="5"/>
      <c r="DP827" s="5"/>
      <c r="DQ827" s="5"/>
      <c r="DR827" s="5"/>
      <c r="DS827" s="5"/>
      <c r="DT827" s="5"/>
      <c r="DU827" s="5"/>
      <c r="DV827" s="5"/>
      <c r="DW827" s="5"/>
      <c r="DX827" s="5"/>
      <c r="DY827" s="5"/>
      <c r="DZ827" s="5"/>
      <c r="EA827" s="5"/>
      <c r="EB827" s="5"/>
      <c r="EC827" s="5"/>
      <c r="ED827" s="5"/>
      <c r="EE827" s="5"/>
      <c r="EF827" s="5"/>
      <c r="EG827" s="5"/>
      <c r="EH827" s="5"/>
      <c r="EI827" s="5"/>
      <c r="EJ827" s="5"/>
      <c r="EK827" s="5"/>
      <c r="EL827" s="5"/>
      <c r="EM827" s="5"/>
      <c r="EN827" s="5"/>
      <c r="EO827" s="5"/>
      <c r="EP827" s="5"/>
      <c r="EQ827" s="5"/>
      <c r="ER827" s="5"/>
      <c r="ES827" s="5"/>
      <c r="ET827" s="5"/>
      <c r="EU827" s="5"/>
      <c r="EV827" s="5"/>
      <c r="EW827" s="5"/>
      <c r="EX827" s="5"/>
      <c r="EY827" s="5"/>
      <c r="EZ827" s="5"/>
      <c r="FA827" s="5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5"/>
      <c r="CT828" s="5"/>
      <c r="CU828" s="5"/>
      <c r="CV828" s="5"/>
      <c r="CW828" s="5"/>
      <c r="CX828" s="5"/>
      <c r="CY828" s="5"/>
      <c r="CZ828" s="5"/>
      <c r="DA828" s="5"/>
      <c r="DB828" s="5"/>
      <c r="DC828" s="5"/>
      <c r="DD828" s="5"/>
      <c r="DE828" s="5"/>
      <c r="DF828" s="5"/>
      <c r="DG828" s="5"/>
      <c r="DH828" s="5"/>
      <c r="DI828" s="5"/>
      <c r="DJ828" s="5"/>
      <c r="DK828" s="5"/>
      <c r="DL828" s="5"/>
      <c r="DM828" s="5"/>
      <c r="DN828" s="5"/>
      <c r="DO828" s="5"/>
      <c r="DP828" s="5"/>
      <c r="DQ828" s="5"/>
      <c r="DR828" s="5"/>
      <c r="DS828" s="5"/>
      <c r="DT828" s="5"/>
      <c r="DU828" s="5"/>
      <c r="DV828" s="5"/>
      <c r="DW828" s="5"/>
      <c r="DX828" s="5"/>
      <c r="DY828" s="5"/>
      <c r="DZ828" s="5"/>
      <c r="EA828" s="5"/>
      <c r="EB828" s="5"/>
      <c r="EC828" s="5"/>
      <c r="ED828" s="5"/>
      <c r="EE828" s="5"/>
      <c r="EF828" s="5"/>
      <c r="EG828" s="5"/>
      <c r="EH828" s="5"/>
      <c r="EI828" s="5"/>
      <c r="EJ828" s="5"/>
      <c r="EK828" s="5"/>
      <c r="EL828" s="5"/>
      <c r="EM828" s="5"/>
      <c r="EN828" s="5"/>
      <c r="EO828" s="5"/>
      <c r="EP828" s="5"/>
      <c r="EQ828" s="5"/>
      <c r="ER828" s="5"/>
      <c r="ES828" s="5"/>
      <c r="ET828" s="5"/>
      <c r="EU828" s="5"/>
      <c r="EV828" s="5"/>
      <c r="EW828" s="5"/>
      <c r="EX828" s="5"/>
      <c r="EY828" s="5"/>
      <c r="EZ828" s="5"/>
      <c r="FA828" s="5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5"/>
      <c r="CT829" s="5"/>
      <c r="CU829" s="5"/>
      <c r="CV829" s="5"/>
      <c r="CW829" s="5"/>
      <c r="CX829" s="5"/>
      <c r="CY829" s="5"/>
      <c r="CZ829" s="5"/>
      <c r="DA829" s="5"/>
      <c r="DB829" s="5"/>
      <c r="DC829" s="5"/>
      <c r="DD829" s="5"/>
      <c r="DE829" s="5"/>
      <c r="DF829" s="5"/>
      <c r="DG829" s="5"/>
      <c r="DH829" s="5"/>
      <c r="DI829" s="5"/>
      <c r="DJ829" s="5"/>
      <c r="DK829" s="5"/>
      <c r="DL829" s="5"/>
      <c r="DM829" s="5"/>
      <c r="DN829" s="5"/>
      <c r="DO829" s="5"/>
      <c r="DP829" s="5"/>
      <c r="DQ829" s="5"/>
      <c r="DR829" s="5"/>
      <c r="DS829" s="5"/>
      <c r="DT829" s="5"/>
      <c r="DU829" s="5"/>
      <c r="DV829" s="5"/>
      <c r="DW829" s="5"/>
      <c r="DX829" s="5"/>
      <c r="DY829" s="5"/>
      <c r="DZ829" s="5"/>
      <c r="EA829" s="5"/>
      <c r="EB829" s="5"/>
      <c r="EC829" s="5"/>
      <c r="ED829" s="5"/>
      <c r="EE829" s="5"/>
      <c r="EF829" s="5"/>
      <c r="EG829" s="5"/>
      <c r="EH829" s="5"/>
      <c r="EI829" s="5"/>
      <c r="EJ829" s="5"/>
      <c r="EK829" s="5"/>
      <c r="EL829" s="5"/>
      <c r="EM829" s="5"/>
      <c r="EN829" s="5"/>
      <c r="EO829" s="5"/>
      <c r="EP829" s="5"/>
      <c r="EQ829" s="5"/>
      <c r="ER829" s="5"/>
      <c r="ES829" s="5"/>
      <c r="ET829" s="5"/>
      <c r="EU829" s="5"/>
      <c r="EV829" s="5"/>
      <c r="EW829" s="5"/>
      <c r="EX829" s="5"/>
      <c r="EY829" s="5"/>
      <c r="EZ829" s="5"/>
      <c r="FA829" s="5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5"/>
      <c r="CT830" s="5"/>
      <c r="CU830" s="5"/>
      <c r="CV830" s="5"/>
      <c r="CW830" s="5"/>
      <c r="CX830" s="5"/>
      <c r="CY830" s="5"/>
      <c r="CZ830" s="5"/>
      <c r="DA830" s="5"/>
      <c r="DB830" s="5"/>
      <c r="DC830" s="5"/>
      <c r="DD830" s="5"/>
      <c r="DE830" s="5"/>
      <c r="DF830" s="5"/>
      <c r="DG830" s="5"/>
      <c r="DH830" s="5"/>
      <c r="DI830" s="5"/>
      <c r="DJ830" s="5"/>
      <c r="DK830" s="5"/>
      <c r="DL830" s="5"/>
      <c r="DM830" s="5"/>
      <c r="DN830" s="5"/>
      <c r="DO830" s="5"/>
      <c r="DP830" s="5"/>
      <c r="DQ830" s="5"/>
      <c r="DR830" s="5"/>
      <c r="DS830" s="5"/>
      <c r="DT830" s="5"/>
      <c r="DU830" s="5"/>
      <c r="DV830" s="5"/>
      <c r="DW830" s="5"/>
      <c r="DX830" s="5"/>
      <c r="DY830" s="5"/>
      <c r="DZ830" s="5"/>
      <c r="EA830" s="5"/>
      <c r="EB830" s="5"/>
      <c r="EC830" s="5"/>
      <c r="ED830" s="5"/>
      <c r="EE830" s="5"/>
      <c r="EF830" s="5"/>
      <c r="EG830" s="5"/>
      <c r="EH830" s="5"/>
      <c r="EI830" s="5"/>
      <c r="EJ830" s="5"/>
      <c r="EK830" s="5"/>
      <c r="EL830" s="5"/>
      <c r="EM830" s="5"/>
      <c r="EN830" s="5"/>
      <c r="EO830" s="5"/>
      <c r="EP830" s="5"/>
      <c r="EQ830" s="5"/>
      <c r="ER830" s="5"/>
      <c r="ES830" s="5"/>
      <c r="ET830" s="5"/>
      <c r="EU830" s="5"/>
      <c r="EV830" s="5"/>
      <c r="EW830" s="5"/>
      <c r="EX830" s="5"/>
      <c r="EY830" s="5"/>
      <c r="EZ830" s="5"/>
      <c r="FA830" s="5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5"/>
      <c r="CT831" s="5"/>
      <c r="CU831" s="5"/>
      <c r="CV831" s="5"/>
      <c r="CW831" s="5"/>
      <c r="CX831" s="5"/>
      <c r="CY831" s="5"/>
      <c r="CZ831" s="5"/>
      <c r="DA831" s="5"/>
      <c r="DB831" s="5"/>
      <c r="DC831" s="5"/>
      <c r="DD831" s="5"/>
      <c r="DE831" s="5"/>
      <c r="DF831" s="5"/>
      <c r="DG831" s="5"/>
      <c r="DH831" s="5"/>
      <c r="DI831" s="5"/>
      <c r="DJ831" s="5"/>
      <c r="DK831" s="5"/>
      <c r="DL831" s="5"/>
      <c r="DM831" s="5"/>
      <c r="DN831" s="5"/>
      <c r="DO831" s="5"/>
      <c r="DP831" s="5"/>
      <c r="DQ831" s="5"/>
      <c r="DR831" s="5"/>
      <c r="DS831" s="5"/>
      <c r="DT831" s="5"/>
      <c r="DU831" s="5"/>
      <c r="DV831" s="5"/>
      <c r="DW831" s="5"/>
      <c r="DX831" s="5"/>
      <c r="DY831" s="5"/>
      <c r="DZ831" s="5"/>
      <c r="EA831" s="5"/>
      <c r="EB831" s="5"/>
      <c r="EC831" s="5"/>
      <c r="ED831" s="5"/>
      <c r="EE831" s="5"/>
      <c r="EF831" s="5"/>
      <c r="EG831" s="5"/>
      <c r="EH831" s="5"/>
      <c r="EI831" s="5"/>
      <c r="EJ831" s="5"/>
      <c r="EK831" s="5"/>
      <c r="EL831" s="5"/>
      <c r="EM831" s="5"/>
      <c r="EN831" s="5"/>
      <c r="EO831" s="5"/>
      <c r="EP831" s="5"/>
      <c r="EQ831" s="5"/>
      <c r="ER831" s="5"/>
      <c r="ES831" s="5"/>
      <c r="ET831" s="5"/>
      <c r="EU831" s="5"/>
      <c r="EV831" s="5"/>
      <c r="EW831" s="5"/>
      <c r="EX831" s="5"/>
      <c r="EY831" s="5"/>
      <c r="EZ831" s="5"/>
      <c r="FA831" s="5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5"/>
      <c r="CT832" s="5"/>
      <c r="CU832" s="5"/>
      <c r="CV832" s="5"/>
      <c r="CW832" s="5"/>
      <c r="CX832" s="5"/>
      <c r="CY832" s="5"/>
      <c r="CZ832" s="5"/>
      <c r="DA832" s="5"/>
      <c r="DB832" s="5"/>
      <c r="DC832" s="5"/>
      <c r="DD832" s="5"/>
      <c r="DE832" s="5"/>
      <c r="DF832" s="5"/>
      <c r="DG832" s="5"/>
      <c r="DH832" s="5"/>
      <c r="DI832" s="5"/>
      <c r="DJ832" s="5"/>
      <c r="DK832" s="5"/>
      <c r="DL832" s="5"/>
      <c r="DM832" s="5"/>
      <c r="DN832" s="5"/>
      <c r="DO832" s="5"/>
      <c r="DP832" s="5"/>
      <c r="DQ832" s="5"/>
      <c r="DR832" s="5"/>
      <c r="DS832" s="5"/>
      <c r="DT832" s="5"/>
      <c r="DU832" s="5"/>
      <c r="DV832" s="5"/>
      <c r="DW832" s="5"/>
      <c r="DX832" s="5"/>
      <c r="DY832" s="5"/>
      <c r="DZ832" s="5"/>
      <c r="EA832" s="5"/>
      <c r="EB832" s="5"/>
      <c r="EC832" s="5"/>
      <c r="ED832" s="5"/>
      <c r="EE832" s="5"/>
      <c r="EF832" s="5"/>
      <c r="EG832" s="5"/>
      <c r="EH832" s="5"/>
      <c r="EI832" s="5"/>
      <c r="EJ832" s="5"/>
      <c r="EK832" s="5"/>
      <c r="EL832" s="5"/>
      <c r="EM832" s="5"/>
      <c r="EN832" s="5"/>
      <c r="EO832" s="5"/>
      <c r="EP832" s="5"/>
      <c r="EQ832" s="5"/>
      <c r="ER832" s="5"/>
      <c r="ES832" s="5"/>
      <c r="ET832" s="5"/>
      <c r="EU832" s="5"/>
      <c r="EV832" s="5"/>
      <c r="EW832" s="5"/>
      <c r="EX832" s="5"/>
      <c r="EY832" s="5"/>
      <c r="EZ832" s="5"/>
      <c r="FA832" s="5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5"/>
      <c r="CT833" s="5"/>
      <c r="CU833" s="5"/>
      <c r="CV833" s="5"/>
      <c r="CW833" s="5"/>
      <c r="CX833" s="5"/>
      <c r="CY833" s="5"/>
      <c r="CZ833" s="5"/>
      <c r="DA833" s="5"/>
      <c r="DB833" s="5"/>
      <c r="DC833" s="5"/>
      <c r="DD833" s="5"/>
      <c r="DE833" s="5"/>
      <c r="DF833" s="5"/>
      <c r="DG833" s="5"/>
      <c r="DH833" s="5"/>
      <c r="DI833" s="5"/>
      <c r="DJ833" s="5"/>
      <c r="DK833" s="5"/>
      <c r="DL833" s="5"/>
      <c r="DM833" s="5"/>
      <c r="DN833" s="5"/>
      <c r="DO833" s="5"/>
      <c r="DP833" s="5"/>
      <c r="DQ833" s="5"/>
      <c r="DR833" s="5"/>
      <c r="DS833" s="5"/>
      <c r="DT833" s="5"/>
      <c r="DU833" s="5"/>
      <c r="DV833" s="5"/>
      <c r="DW833" s="5"/>
      <c r="DX833" s="5"/>
      <c r="DY833" s="5"/>
      <c r="DZ833" s="5"/>
      <c r="EA833" s="5"/>
      <c r="EB833" s="5"/>
      <c r="EC833" s="5"/>
      <c r="ED833" s="5"/>
      <c r="EE833" s="5"/>
      <c r="EF833" s="5"/>
      <c r="EG833" s="5"/>
      <c r="EH833" s="5"/>
      <c r="EI833" s="5"/>
      <c r="EJ833" s="5"/>
      <c r="EK833" s="5"/>
      <c r="EL833" s="5"/>
      <c r="EM833" s="5"/>
      <c r="EN833" s="5"/>
      <c r="EO833" s="5"/>
      <c r="EP833" s="5"/>
      <c r="EQ833" s="5"/>
      <c r="ER833" s="5"/>
      <c r="ES833" s="5"/>
      <c r="ET833" s="5"/>
      <c r="EU833" s="5"/>
      <c r="EV833" s="5"/>
      <c r="EW833" s="5"/>
      <c r="EX833" s="5"/>
      <c r="EY833" s="5"/>
      <c r="EZ833" s="5"/>
      <c r="FA833" s="5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5"/>
      <c r="CT834" s="5"/>
      <c r="CU834" s="5"/>
      <c r="CV834" s="5"/>
      <c r="CW834" s="5"/>
      <c r="CX834" s="5"/>
      <c r="CY834" s="5"/>
      <c r="CZ834" s="5"/>
      <c r="DA834" s="5"/>
      <c r="DB834" s="5"/>
      <c r="DC834" s="5"/>
      <c r="DD834" s="5"/>
      <c r="DE834" s="5"/>
      <c r="DF834" s="5"/>
      <c r="DG834" s="5"/>
      <c r="DH834" s="5"/>
      <c r="DI834" s="5"/>
      <c r="DJ834" s="5"/>
      <c r="DK834" s="5"/>
      <c r="DL834" s="5"/>
      <c r="DM834" s="5"/>
      <c r="DN834" s="5"/>
      <c r="DO834" s="5"/>
      <c r="DP834" s="5"/>
      <c r="DQ834" s="5"/>
      <c r="DR834" s="5"/>
      <c r="DS834" s="5"/>
      <c r="DT834" s="5"/>
      <c r="DU834" s="5"/>
      <c r="DV834" s="5"/>
      <c r="DW834" s="5"/>
      <c r="DX834" s="5"/>
      <c r="DY834" s="5"/>
      <c r="DZ834" s="5"/>
      <c r="EA834" s="5"/>
      <c r="EB834" s="5"/>
      <c r="EC834" s="5"/>
      <c r="ED834" s="5"/>
      <c r="EE834" s="5"/>
      <c r="EF834" s="5"/>
      <c r="EG834" s="5"/>
      <c r="EH834" s="5"/>
      <c r="EI834" s="5"/>
      <c r="EJ834" s="5"/>
      <c r="EK834" s="5"/>
      <c r="EL834" s="5"/>
      <c r="EM834" s="5"/>
      <c r="EN834" s="5"/>
      <c r="EO834" s="5"/>
      <c r="EP834" s="5"/>
      <c r="EQ834" s="5"/>
      <c r="ER834" s="5"/>
      <c r="ES834" s="5"/>
      <c r="ET834" s="5"/>
      <c r="EU834" s="5"/>
      <c r="EV834" s="5"/>
      <c r="EW834" s="5"/>
      <c r="EX834" s="5"/>
      <c r="EY834" s="5"/>
      <c r="EZ834" s="5"/>
      <c r="FA834" s="5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5"/>
      <c r="CT835" s="5"/>
      <c r="CU835" s="5"/>
      <c r="CV835" s="5"/>
      <c r="CW835" s="5"/>
      <c r="CX835" s="5"/>
      <c r="CY835" s="5"/>
      <c r="CZ835" s="5"/>
      <c r="DA835" s="5"/>
      <c r="DB835" s="5"/>
      <c r="DC835" s="5"/>
      <c r="DD835" s="5"/>
      <c r="DE835" s="5"/>
      <c r="DF835" s="5"/>
      <c r="DG835" s="5"/>
      <c r="DH835" s="5"/>
      <c r="DI835" s="5"/>
      <c r="DJ835" s="5"/>
      <c r="DK835" s="5"/>
      <c r="DL835" s="5"/>
      <c r="DM835" s="5"/>
      <c r="DN835" s="5"/>
      <c r="DO835" s="5"/>
      <c r="DP835" s="5"/>
      <c r="DQ835" s="5"/>
      <c r="DR835" s="5"/>
      <c r="DS835" s="5"/>
      <c r="DT835" s="5"/>
      <c r="DU835" s="5"/>
      <c r="DV835" s="5"/>
      <c r="DW835" s="5"/>
      <c r="DX835" s="5"/>
      <c r="DY835" s="5"/>
      <c r="DZ835" s="5"/>
      <c r="EA835" s="5"/>
      <c r="EB835" s="5"/>
      <c r="EC835" s="5"/>
      <c r="ED835" s="5"/>
      <c r="EE835" s="5"/>
      <c r="EF835" s="5"/>
      <c r="EG835" s="5"/>
      <c r="EH835" s="5"/>
      <c r="EI835" s="5"/>
      <c r="EJ835" s="5"/>
      <c r="EK835" s="5"/>
      <c r="EL835" s="5"/>
      <c r="EM835" s="5"/>
      <c r="EN835" s="5"/>
      <c r="EO835" s="5"/>
      <c r="EP835" s="5"/>
      <c r="EQ835" s="5"/>
      <c r="ER835" s="5"/>
      <c r="ES835" s="5"/>
      <c r="ET835" s="5"/>
      <c r="EU835" s="5"/>
      <c r="EV835" s="5"/>
      <c r="EW835" s="5"/>
      <c r="EX835" s="5"/>
      <c r="EY835" s="5"/>
      <c r="EZ835" s="5"/>
      <c r="FA835" s="5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5"/>
      <c r="CT836" s="5"/>
      <c r="CU836" s="5"/>
      <c r="CV836" s="5"/>
      <c r="CW836" s="5"/>
      <c r="CX836" s="5"/>
      <c r="CY836" s="5"/>
      <c r="CZ836" s="5"/>
      <c r="DA836" s="5"/>
      <c r="DB836" s="5"/>
      <c r="DC836" s="5"/>
      <c r="DD836" s="5"/>
      <c r="DE836" s="5"/>
      <c r="DF836" s="5"/>
      <c r="DG836" s="5"/>
      <c r="DH836" s="5"/>
      <c r="DI836" s="5"/>
      <c r="DJ836" s="5"/>
      <c r="DK836" s="5"/>
      <c r="DL836" s="5"/>
      <c r="DM836" s="5"/>
      <c r="DN836" s="5"/>
      <c r="DO836" s="5"/>
      <c r="DP836" s="5"/>
      <c r="DQ836" s="5"/>
      <c r="DR836" s="5"/>
      <c r="DS836" s="5"/>
      <c r="DT836" s="5"/>
      <c r="DU836" s="5"/>
      <c r="DV836" s="5"/>
      <c r="DW836" s="5"/>
      <c r="DX836" s="5"/>
      <c r="DY836" s="5"/>
      <c r="DZ836" s="5"/>
      <c r="EA836" s="5"/>
      <c r="EB836" s="5"/>
      <c r="EC836" s="5"/>
      <c r="ED836" s="5"/>
      <c r="EE836" s="5"/>
      <c r="EF836" s="5"/>
      <c r="EG836" s="5"/>
      <c r="EH836" s="5"/>
      <c r="EI836" s="5"/>
      <c r="EJ836" s="5"/>
      <c r="EK836" s="5"/>
      <c r="EL836" s="5"/>
      <c r="EM836" s="5"/>
      <c r="EN836" s="5"/>
      <c r="EO836" s="5"/>
      <c r="EP836" s="5"/>
      <c r="EQ836" s="5"/>
      <c r="ER836" s="5"/>
      <c r="ES836" s="5"/>
      <c r="ET836" s="5"/>
      <c r="EU836" s="5"/>
      <c r="EV836" s="5"/>
      <c r="EW836" s="5"/>
      <c r="EX836" s="5"/>
      <c r="EY836" s="5"/>
      <c r="EZ836" s="5"/>
      <c r="FA836" s="5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5"/>
      <c r="CT837" s="5"/>
      <c r="CU837" s="5"/>
      <c r="CV837" s="5"/>
      <c r="CW837" s="5"/>
      <c r="CX837" s="5"/>
      <c r="CY837" s="5"/>
      <c r="CZ837" s="5"/>
      <c r="DA837" s="5"/>
      <c r="DB837" s="5"/>
      <c r="DC837" s="5"/>
      <c r="DD837" s="5"/>
      <c r="DE837" s="5"/>
      <c r="DF837" s="5"/>
      <c r="DG837" s="5"/>
      <c r="DH837" s="5"/>
      <c r="DI837" s="5"/>
      <c r="DJ837" s="5"/>
      <c r="DK837" s="5"/>
      <c r="DL837" s="5"/>
      <c r="DM837" s="5"/>
      <c r="DN837" s="5"/>
      <c r="DO837" s="5"/>
      <c r="DP837" s="5"/>
      <c r="DQ837" s="5"/>
      <c r="DR837" s="5"/>
      <c r="DS837" s="5"/>
      <c r="DT837" s="5"/>
      <c r="DU837" s="5"/>
      <c r="DV837" s="5"/>
      <c r="DW837" s="5"/>
      <c r="DX837" s="5"/>
      <c r="DY837" s="5"/>
      <c r="DZ837" s="5"/>
      <c r="EA837" s="5"/>
      <c r="EB837" s="5"/>
      <c r="EC837" s="5"/>
      <c r="ED837" s="5"/>
      <c r="EE837" s="5"/>
      <c r="EF837" s="5"/>
      <c r="EG837" s="5"/>
      <c r="EH837" s="5"/>
      <c r="EI837" s="5"/>
      <c r="EJ837" s="5"/>
      <c r="EK837" s="5"/>
      <c r="EL837" s="5"/>
      <c r="EM837" s="5"/>
      <c r="EN837" s="5"/>
      <c r="EO837" s="5"/>
      <c r="EP837" s="5"/>
      <c r="EQ837" s="5"/>
      <c r="ER837" s="5"/>
      <c r="ES837" s="5"/>
      <c r="ET837" s="5"/>
      <c r="EU837" s="5"/>
      <c r="EV837" s="5"/>
      <c r="EW837" s="5"/>
      <c r="EX837" s="5"/>
      <c r="EY837" s="5"/>
      <c r="EZ837" s="5"/>
      <c r="FA837" s="5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5"/>
      <c r="CT838" s="5"/>
      <c r="CU838" s="5"/>
      <c r="CV838" s="5"/>
      <c r="CW838" s="5"/>
      <c r="CX838" s="5"/>
      <c r="CY838" s="5"/>
      <c r="CZ838" s="5"/>
      <c r="DA838" s="5"/>
      <c r="DB838" s="5"/>
      <c r="DC838" s="5"/>
      <c r="DD838" s="5"/>
      <c r="DE838" s="5"/>
      <c r="DF838" s="5"/>
      <c r="DG838" s="5"/>
      <c r="DH838" s="5"/>
      <c r="DI838" s="5"/>
      <c r="DJ838" s="5"/>
      <c r="DK838" s="5"/>
      <c r="DL838" s="5"/>
      <c r="DM838" s="5"/>
      <c r="DN838" s="5"/>
      <c r="DO838" s="5"/>
      <c r="DP838" s="5"/>
      <c r="DQ838" s="5"/>
      <c r="DR838" s="5"/>
      <c r="DS838" s="5"/>
      <c r="DT838" s="5"/>
      <c r="DU838" s="5"/>
      <c r="DV838" s="5"/>
      <c r="DW838" s="5"/>
      <c r="DX838" s="5"/>
      <c r="DY838" s="5"/>
      <c r="DZ838" s="5"/>
      <c r="EA838" s="5"/>
      <c r="EB838" s="5"/>
      <c r="EC838" s="5"/>
      <c r="ED838" s="5"/>
      <c r="EE838" s="5"/>
      <c r="EF838" s="5"/>
      <c r="EG838" s="5"/>
      <c r="EH838" s="5"/>
      <c r="EI838" s="5"/>
      <c r="EJ838" s="5"/>
      <c r="EK838" s="5"/>
      <c r="EL838" s="5"/>
      <c r="EM838" s="5"/>
      <c r="EN838" s="5"/>
      <c r="EO838" s="5"/>
      <c r="EP838" s="5"/>
      <c r="EQ838" s="5"/>
      <c r="ER838" s="5"/>
      <c r="ES838" s="5"/>
      <c r="ET838" s="5"/>
      <c r="EU838" s="5"/>
      <c r="EV838" s="5"/>
      <c r="EW838" s="5"/>
      <c r="EX838" s="5"/>
      <c r="EY838" s="5"/>
      <c r="EZ838" s="5"/>
      <c r="FA838" s="5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5"/>
      <c r="CT839" s="5"/>
      <c r="CU839" s="5"/>
      <c r="CV839" s="5"/>
      <c r="CW839" s="5"/>
      <c r="CX839" s="5"/>
      <c r="CY839" s="5"/>
      <c r="CZ839" s="5"/>
      <c r="DA839" s="5"/>
      <c r="DB839" s="5"/>
      <c r="DC839" s="5"/>
      <c r="DD839" s="5"/>
      <c r="DE839" s="5"/>
      <c r="DF839" s="5"/>
      <c r="DG839" s="5"/>
      <c r="DH839" s="5"/>
      <c r="DI839" s="5"/>
      <c r="DJ839" s="5"/>
      <c r="DK839" s="5"/>
      <c r="DL839" s="5"/>
      <c r="DM839" s="5"/>
      <c r="DN839" s="5"/>
      <c r="DO839" s="5"/>
      <c r="DP839" s="5"/>
      <c r="DQ839" s="5"/>
      <c r="DR839" s="5"/>
      <c r="DS839" s="5"/>
      <c r="DT839" s="5"/>
      <c r="DU839" s="5"/>
      <c r="DV839" s="5"/>
      <c r="DW839" s="5"/>
      <c r="DX839" s="5"/>
      <c r="DY839" s="5"/>
      <c r="DZ839" s="5"/>
      <c r="EA839" s="5"/>
      <c r="EB839" s="5"/>
      <c r="EC839" s="5"/>
      <c r="ED839" s="5"/>
      <c r="EE839" s="5"/>
      <c r="EF839" s="5"/>
      <c r="EG839" s="5"/>
      <c r="EH839" s="5"/>
      <c r="EI839" s="5"/>
      <c r="EJ839" s="5"/>
      <c r="EK839" s="5"/>
      <c r="EL839" s="5"/>
      <c r="EM839" s="5"/>
      <c r="EN839" s="5"/>
      <c r="EO839" s="5"/>
      <c r="EP839" s="5"/>
      <c r="EQ839" s="5"/>
      <c r="ER839" s="5"/>
      <c r="ES839" s="5"/>
      <c r="ET839" s="5"/>
      <c r="EU839" s="5"/>
      <c r="EV839" s="5"/>
      <c r="EW839" s="5"/>
      <c r="EX839" s="5"/>
      <c r="EY839" s="5"/>
      <c r="EZ839" s="5"/>
      <c r="FA839" s="5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5"/>
      <c r="CT840" s="5"/>
      <c r="CU840" s="5"/>
      <c r="CV840" s="5"/>
      <c r="CW840" s="5"/>
      <c r="CX840" s="5"/>
      <c r="CY840" s="5"/>
      <c r="CZ840" s="5"/>
      <c r="DA840" s="5"/>
      <c r="DB840" s="5"/>
      <c r="DC840" s="5"/>
      <c r="DD840" s="5"/>
      <c r="DE840" s="5"/>
      <c r="DF840" s="5"/>
      <c r="DG840" s="5"/>
      <c r="DH840" s="5"/>
      <c r="DI840" s="5"/>
      <c r="DJ840" s="5"/>
      <c r="DK840" s="5"/>
      <c r="DL840" s="5"/>
      <c r="DM840" s="5"/>
      <c r="DN840" s="5"/>
      <c r="DO840" s="5"/>
      <c r="DP840" s="5"/>
      <c r="DQ840" s="5"/>
      <c r="DR840" s="5"/>
      <c r="DS840" s="5"/>
      <c r="DT840" s="5"/>
      <c r="DU840" s="5"/>
      <c r="DV840" s="5"/>
      <c r="DW840" s="5"/>
      <c r="DX840" s="5"/>
      <c r="DY840" s="5"/>
      <c r="DZ840" s="5"/>
      <c r="EA840" s="5"/>
      <c r="EB840" s="5"/>
      <c r="EC840" s="5"/>
      <c r="ED840" s="5"/>
      <c r="EE840" s="5"/>
      <c r="EF840" s="5"/>
      <c r="EG840" s="5"/>
      <c r="EH840" s="5"/>
      <c r="EI840" s="5"/>
      <c r="EJ840" s="5"/>
      <c r="EK840" s="5"/>
      <c r="EL840" s="5"/>
      <c r="EM840" s="5"/>
      <c r="EN840" s="5"/>
      <c r="EO840" s="5"/>
      <c r="EP840" s="5"/>
      <c r="EQ840" s="5"/>
      <c r="ER840" s="5"/>
      <c r="ES840" s="5"/>
      <c r="ET840" s="5"/>
      <c r="EU840" s="5"/>
      <c r="EV840" s="5"/>
      <c r="EW840" s="5"/>
      <c r="EX840" s="5"/>
      <c r="EY840" s="5"/>
      <c r="EZ840" s="5"/>
      <c r="FA840" s="5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5"/>
      <c r="CT841" s="5"/>
      <c r="CU841" s="5"/>
      <c r="CV841" s="5"/>
      <c r="CW841" s="5"/>
      <c r="CX841" s="5"/>
      <c r="CY841" s="5"/>
      <c r="CZ841" s="5"/>
      <c r="DA841" s="5"/>
      <c r="DB841" s="5"/>
      <c r="DC841" s="5"/>
      <c r="DD841" s="5"/>
      <c r="DE841" s="5"/>
      <c r="DF841" s="5"/>
      <c r="DG841" s="5"/>
      <c r="DH841" s="5"/>
      <c r="DI841" s="5"/>
      <c r="DJ841" s="5"/>
      <c r="DK841" s="5"/>
      <c r="DL841" s="5"/>
      <c r="DM841" s="5"/>
      <c r="DN841" s="5"/>
      <c r="DO841" s="5"/>
      <c r="DP841" s="5"/>
      <c r="DQ841" s="5"/>
      <c r="DR841" s="5"/>
      <c r="DS841" s="5"/>
      <c r="DT841" s="5"/>
      <c r="DU841" s="5"/>
      <c r="DV841" s="5"/>
      <c r="DW841" s="5"/>
      <c r="DX841" s="5"/>
      <c r="DY841" s="5"/>
      <c r="DZ841" s="5"/>
      <c r="EA841" s="5"/>
      <c r="EB841" s="5"/>
      <c r="EC841" s="5"/>
      <c r="ED841" s="5"/>
      <c r="EE841" s="5"/>
      <c r="EF841" s="5"/>
      <c r="EG841" s="5"/>
      <c r="EH841" s="5"/>
      <c r="EI841" s="5"/>
      <c r="EJ841" s="5"/>
      <c r="EK841" s="5"/>
      <c r="EL841" s="5"/>
      <c r="EM841" s="5"/>
      <c r="EN841" s="5"/>
      <c r="EO841" s="5"/>
      <c r="EP841" s="5"/>
      <c r="EQ841" s="5"/>
      <c r="ER841" s="5"/>
      <c r="ES841" s="5"/>
      <c r="ET841" s="5"/>
      <c r="EU841" s="5"/>
      <c r="EV841" s="5"/>
      <c r="EW841" s="5"/>
      <c r="EX841" s="5"/>
      <c r="EY841" s="5"/>
      <c r="EZ841" s="5"/>
      <c r="FA841" s="5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5"/>
      <c r="CT842" s="5"/>
      <c r="CU842" s="5"/>
      <c r="CV842" s="5"/>
      <c r="CW842" s="5"/>
      <c r="CX842" s="5"/>
      <c r="CY842" s="5"/>
      <c r="CZ842" s="5"/>
      <c r="DA842" s="5"/>
      <c r="DB842" s="5"/>
      <c r="DC842" s="5"/>
      <c r="DD842" s="5"/>
      <c r="DE842" s="5"/>
      <c r="DF842" s="5"/>
      <c r="DG842" s="5"/>
      <c r="DH842" s="5"/>
      <c r="DI842" s="5"/>
      <c r="DJ842" s="5"/>
      <c r="DK842" s="5"/>
      <c r="DL842" s="5"/>
      <c r="DM842" s="5"/>
      <c r="DN842" s="5"/>
      <c r="DO842" s="5"/>
      <c r="DP842" s="5"/>
      <c r="DQ842" s="5"/>
      <c r="DR842" s="5"/>
      <c r="DS842" s="5"/>
      <c r="DT842" s="5"/>
      <c r="DU842" s="5"/>
      <c r="DV842" s="5"/>
      <c r="DW842" s="5"/>
      <c r="DX842" s="5"/>
      <c r="DY842" s="5"/>
      <c r="DZ842" s="5"/>
      <c r="EA842" s="5"/>
      <c r="EB842" s="5"/>
      <c r="EC842" s="5"/>
      <c r="ED842" s="5"/>
      <c r="EE842" s="5"/>
      <c r="EF842" s="5"/>
      <c r="EG842" s="5"/>
      <c r="EH842" s="5"/>
      <c r="EI842" s="5"/>
      <c r="EJ842" s="5"/>
      <c r="EK842" s="5"/>
      <c r="EL842" s="5"/>
      <c r="EM842" s="5"/>
      <c r="EN842" s="5"/>
      <c r="EO842" s="5"/>
      <c r="EP842" s="5"/>
      <c r="EQ842" s="5"/>
      <c r="ER842" s="5"/>
      <c r="ES842" s="5"/>
      <c r="ET842" s="5"/>
      <c r="EU842" s="5"/>
      <c r="EV842" s="5"/>
      <c r="EW842" s="5"/>
      <c r="EX842" s="5"/>
      <c r="EY842" s="5"/>
      <c r="EZ842" s="5"/>
      <c r="FA842" s="5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5"/>
      <c r="CT843" s="5"/>
      <c r="CU843" s="5"/>
      <c r="CV843" s="5"/>
      <c r="CW843" s="5"/>
      <c r="CX843" s="5"/>
      <c r="CY843" s="5"/>
      <c r="CZ843" s="5"/>
      <c r="DA843" s="5"/>
      <c r="DB843" s="5"/>
      <c r="DC843" s="5"/>
      <c r="DD843" s="5"/>
      <c r="DE843" s="5"/>
      <c r="DF843" s="5"/>
      <c r="DG843" s="5"/>
      <c r="DH843" s="5"/>
      <c r="DI843" s="5"/>
      <c r="DJ843" s="5"/>
      <c r="DK843" s="5"/>
      <c r="DL843" s="5"/>
      <c r="DM843" s="5"/>
      <c r="DN843" s="5"/>
      <c r="DO843" s="5"/>
      <c r="DP843" s="5"/>
      <c r="DQ843" s="5"/>
      <c r="DR843" s="5"/>
      <c r="DS843" s="5"/>
      <c r="DT843" s="5"/>
      <c r="DU843" s="5"/>
      <c r="DV843" s="5"/>
      <c r="DW843" s="5"/>
      <c r="DX843" s="5"/>
      <c r="DY843" s="5"/>
      <c r="DZ843" s="5"/>
      <c r="EA843" s="5"/>
      <c r="EB843" s="5"/>
      <c r="EC843" s="5"/>
      <c r="ED843" s="5"/>
      <c r="EE843" s="5"/>
      <c r="EF843" s="5"/>
      <c r="EG843" s="5"/>
      <c r="EH843" s="5"/>
      <c r="EI843" s="5"/>
      <c r="EJ843" s="5"/>
      <c r="EK843" s="5"/>
      <c r="EL843" s="5"/>
      <c r="EM843" s="5"/>
      <c r="EN843" s="5"/>
      <c r="EO843" s="5"/>
      <c r="EP843" s="5"/>
      <c r="EQ843" s="5"/>
      <c r="ER843" s="5"/>
      <c r="ES843" s="5"/>
      <c r="ET843" s="5"/>
      <c r="EU843" s="5"/>
      <c r="EV843" s="5"/>
      <c r="EW843" s="5"/>
      <c r="EX843" s="5"/>
      <c r="EY843" s="5"/>
      <c r="EZ843" s="5"/>
      <c r="FA843" s="5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5"/>
      <c r="CT844" s="5"/>
      <c r="CU844" s="5"/>
      <c r="CV844" s="5"/>
      <c r="CW844" s="5"/>
      <c r="CX844" s="5"/>
      <c r="CY844" s="5"/>
      <c r="CZ844" s="5"/>
      <c r="DA844" s="5"/>
      <c r="DB844" s="5"/>
      <c r="DC844" s="5"/>
      <c r="DD844" s="5"/>
      <c r="DE844" s="5"/>
      <c r="DF844" s="5"/>
      <c r="DG844" s="5"/>
      <c r="DH844" s="5"/>
      <c r="DI844" s="5"/>
      <c r="DJ844" s="5"/>
      <c r="DK844" s="5"/>
      <c r="DL844" s="5"/>
      <c r="DM844" s="5"/>
      <c r="DN844" s="5"/>
      <c r="DO844" s="5"/>
      <c r="DP844" s="5"/>
      <c r="DQ844" s="5"/>
      <c r="DR844" s="5"/>
      <c r="DS844" s="5"/>
      <c r="DT844" s="5"/>
      <c r="DU844" s="5"/>
      <c r="DV844" s="5"/>
      <c r="DW844" s="5"/>
      <c r="DX844" s="5"/>
      <c r="DY844" s="5"/>
      <c r="DZ844" s="5"/>
      <c r="EA844" s="5"/>
      <c r="EB844" s="5"/>
      <c r="EC844" s="5"/>
      <c r="ED844" s="5"/>
      <c r="EE844" s="5"/>
      <c r="EF844" s="5"/>
      <c r="EG844" s="5"/>
      <c r="EH844" s="5"/>
      <c r="EI844" s="5"/>
      <c r="EJ844" s="5"/>
      <c r="EK844" s="5"/>
      <c r="EL844" s="5"/>
      <c r="EM844" s="5"/>
      <c r="EN844" s="5"/>
      <c r="EO844" s="5"/>
      <c r="EP844" s="5"/>
      <c r="EQ844" s="5"/>
      <c r="ER844" s="5"/>
      <c r="ES844" s="5"/>
      <c r="ET844" s="5"/>
      <c r="EU844" s="5"/>
      <c r="EV844" s="5"/>
      <c r="EW844" s="5"/>
      <c r="EX844" s="5"/>
      <c r="EY844" s="5"/>
      <c r="EZ844" s="5"/>
      <c r="FA844" s="5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5"/>
      <c r="CT845" s="5"/>
      <c r="CU845" s="5"/>
      <c r="CV845" s="5"/>
      <c r="CW845" s="5"/>
      <c r="CX845" s="5"/>
      <c r="CY845" s="5"/>
      <c r="CZ845" s="5"/>
      <c r="DA845" s="5"/>
      <c r="DB845" s="5"/>
      <c r="DC845" s="5"/>
      <c r="DD845" s="5"/>
      <c r="DE845" s="5"/>
      <c r="DF845" s="5"/>
      <c r="DG845" s="5"/>
      <c r="DH845" s="5"/>
      <c r="DI845" s="5"/>
      <c r="DJ845" s="5"/>
      <c r="DK845" s="5"/>
      <c r="DL845" s="5"/>
      <c r="DM845" s="5"/>
      <c r="DN845" s="5"/>
      <c r="DO845" s="5"/>
      <c r="DP845" s="5"/>
      <c r="DQ845" s="5"/>
      <c r="DR845" s="5"/>
      <c r="DS845" s="5"/>
      <c r="DT845" s="5"/>
      <c r="DU845" s="5"/>
      <c r="DV845" s="5"/>
      <c r="DW845" s="5"/>
      <c r="DX845" s="5"/>
      <c r="DY845" s="5"/>
      <c r="DZ845" s="5"/>
      <c r="EA845" s="5"/>
      <c r="EB845" s="5"/>
      <c r="EC845" s="5"/>
      <c r="ED845" s="5"/>
      <c r="EE845" s="5"/>
      <c r="EF845" s="5"/>
      <c r="EG845" s="5"/>
      <c r="EH845" s="5"/>
      <c r="EI845" s="5"/>
      <c r="EJ845" s="5"/>
      <c r="EK845" s="5"/>
      <c r="EL845" s="5"/>
      <c r="EM845" s="5"/>
      <c r="EN845" s="5"/>
      <c r="EO845" s="5"/>
      <c r="EP845" s="5"/>
      <c r="EQ845" s="5"/>
      <c r="ER845" s="5"/>
      <c r="ES845" s="5"/>
      <c r="ET845" s="5"/>
      <c r="EU845" s="5"/>
      <c r="EV845" s="5"/>
      <c r="EW845" s="5"/>
      <c r="EX845" s="5"/>
      <c r="EY845" s="5"/>
      <c r="EZ845" s="5"/>
      <c r="FA845" s="5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5"/>
      <c r="CT846" s="5"/>
      <c r="CU846" s="5"/>
      <c r="CV846" s="5"/>
      <c r="CW846" s="5"/>
      <c r="CX846" s="5"/>
      <c r="CY846" s="5"/>
      <c r="CZ846" s="5"/>
      <c r="DA846" s="5"/>
      <c r="DB846" s="5"/>
      <c r="DC846" s="5"/>
      <c r="DD846" s="5"/>
      <c r="DE846" s="5"/>
      <c r="DF846" s="5"/>
      <c r="DG846" s="5"/>
      <c r="DH846" s="5"/>
      <c r="DI846" s="5"/>
      <c r="DJ846" s="5"/>
      <c r="DK846" s="5"/>
      <c r="DL846" s="5"/>
      <c r="DM846" s="5"/>
      <c r="DN846" s="5"/>
      <c r="DO846" s="5"/>
      <c r="DP846" s="5"/>
      <c r="DQ846" s="5"/>
      <c r="DR846" s="5"/>
      <c r="DS846" s="5"/>
      <c r="DT846" s="5"/>
      <c r="DU846" s="5"/>
      <c r="DV846" s="5"/>
      <c r="DW846" s="5"/>
      <c r="DX846" s="5"/>
      <c r="DY846" s="5"/>
      <c r="DZ846" s="5"/>
      <c r="EA846" s="5"/>
      <c r="EB846" s="5"/>
      <c r="EC846" s="5"/>
      <c r="ED846" s="5"/>
      <c r="EE846" s="5"/>
      <c r="EF846" s="5"/>
      <c r="EG846" s="5"/>
      <c r="EH846" s="5"/>
      <c r="EI846" s="5"/>
      <c r="EJ846" s="5"/>
      <c r="EK846" s="5"/>
      <c r="EL846" s="5"/>
      <c r="EM846" s="5"/>
      <c r="EN846" s="5"/>
      <c r="EO846" s="5"/>
      <c r="EP846" s="5"/>
      <c r="EQ846" s="5"/>
      <c r="ER846" s="5"/>
      <c r="ES846" s="5"/>
      <c r="ET846" s="5"/>
      <c r="EU846" s="5"/>
      <c r="EV846" s="5"/>
      <c r="EW846" s="5"/>
      <c r="EX846" s="5"/>
      <c r="EY846" s="5"/>
      <c r="EZ846" s="5"/>
      <c r="FA846" s="5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5"/>
      <c r="CT847" s="5"/>
      <c r="CU847" s="5"/>
      <c r="CV847" s="5"/>
      <c r="CW847" s="5"/>
      <c r="CX847" s="5"/>
      <c r="CY847" s="5"/>
      <c r="CZ847" s="5"/>
      <c r="DA847" s="5"/>
      <c r="DB847" s="5"/>
      <c r="DC847" s="5"/>
      <c r="DD847" s="5"/>
      <c r="DE847" s="5"/>
      <c r="DF847" s="5"/>
      <c r="DG847" s="5"/>
      <c r="DH847" s="5"/>
      <c r="DI847" s="5"/>
      <c r="DJ847" s="5"/>
      <c r="DK847" s="5"/>
      <c r="DL847" s="5"/>
      <c r="DM847" s="5"/>
      <c r="DN847" s="5"/>
      <c r="DO847" s="5"/>
      <c r="DP847" s="5"/>
      <c r="DQ847" s="5"/>
      <c r="DR847" s="5"/>
      <c r="DS847" s="5"/>
      <c r="DT847" s="5"/>
      <c r="DU847" s="5"/>
      <c r="DV847" s="5"/>
      <c r="DW847" s="5"/>
      <c r="DX847" s="5"/>
      <c r="DY847" s="5"/>
      <c r="DZ847" s="5"/>
      <c r="EA847" s="5"/>
      <c r="EB847" s="5"/>
      <c r="EC847" s="5"/>
      <c r="ED847" s="5"/>
      <c r="EE847" s="5"/>
      <c r="EF847" s="5"/>
      <c r="EG847" s="5"/>
      <c r="EH847" s="5"/>
      <c r="EI847" s="5"/>
      <c r="EJ847" s="5"/>
      <c r="EK847" s="5"/>
      <c r="EL847" s="5"/>
      <c r="EM847" s="5"/>
      <c r="EN847" s="5"/>
      <c r="EO847" s="5"/>
      <c r="EP847" s="5"/>
      <c r="EQ847" s="5"/>
      <c r="ER847" s="5"/>
      <c r="ES847" s="5"/>
      <c r="ET847" s="5"/>
      <c r="EU847" s="5"/>
      <c r="EV847" s="5"/>
      <c r="EW847" s="5"/>
      <c r="EX847" s="5"/>
      <c r="EY847" s="5"/>
      <c r="EZ847" s="5"/>
      <c r="FA847" s="5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5"/>
      <c r="CT848" s="5"/>
      <c r="CU848" s="5"/>
      <c r="CV848" s="5"/>
      <c r="CW848" s="5"/>
      <c r="CX848" s="5"/>
      <c r="CY848" s="5"/>
      <c r="CZ848" s="5"/>
      <c r="DA848" s="5"/>
      <c r="DB848" s="5"/>
      <c r="DC848" s="5"/>
      <c r="DD848" s="5"/>
      <c r="DE848" s="5"/>
      <c r="DF848" s="5"/>
      <c r="DG848" s="5"/>
      <c r="DH848" s="5"/>
      <c r="DI848" s="5"/>
      <c r="DJ848" s="5"/>
      <c r="DK848" s="5"/>
      <c r="DL848" s="5"/>
      <c r="DM848" s="5"/>
      <c r="DN848" s="5"/>
      <c r="DO848" s="5"/>
      <c r="DP848" s="5"/>
      <c r="DQ848" s="5"/>
      <c r="DR848" s="5"/>
      <c r="DS848" s="5"/>
      <c r="DT848" s="5"/>
      <c r="DU848" s="5"/>
      <c r="DV848" s="5"/>
      <c r="DW848" s="5"/>
      <c r="DX848" s="5"/>
      <c r="DY848" s="5"/>
      <c r="DZ848" s="5"/>
      <c r="EA848" s="5"/>
      <c r="EB848" s="5"/>
      <c r="EC848" s="5"/>
      <c r="ED848" s="5"/>
      <c r="EE848" s="5"/>
      <c r="EF848" s="5"/>
      <c r="EG848" s="5"/>
      <c r="EH848" s="5"/>
      <c r="EI848" s="5"/>
      <c r="EJ848" s="5"/>
      <c r="EK848" s="5"/>
      <c r="EL848" s="5"/>
      <c r="EM848" s="5"/>
      <c r="EN848" s="5"/>
      <c r="EO848" s="5"/>
      <c r="EP848" s="5"/>
      <c r="EQ848" s="5"/>
      <c r="ER848" s="5"/>
      <c r="ES848" s="5"/>
      <c r="ET848" s="5"/>
      <c r="EU848" s="5"/>
      <c r="EV848" s="5"/>
      <c r="EW848" s="5"/>
      <c r="EX848" s="5"/>
      <c r="EY848" s="5"/>
      <c r="EZ848" s="5"/>
      <c r="FA848" s="5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5"/>
      <c r="CT849" s="5"/>
      <c r="CU849" s="5"/>
      <c r="CV849" s="5"/>
      <c r="CW849" s="5"/>
      <c r="CX849" s="5"/>
      <c r="CY849" s="5"/>
      <c r="CZ849" s="5"/>
      <c r="DA849" s="5"/>
      <c r="DB849" s="5"/>
      <c r="DC849" s="5"/>
      <c r="DD849" s="5"/>
      <c r="DE849" s="5"/>
      <c r="DF849" s="5"/>
      <c r="DG849" s="5"/>
      <c r="DH849" s="5"/>
      <c r="DI849" s="5"/>
      <c r="DJ849" s="5"/>
      <c r="DK849" s="5"/>
      <c r="DL849" s="5"/>
      <c r="DM849" s="5"/>
      <c r="DN849" s="5"/>
      <c r="DO849" s="5"/>
      <c r="DP849" s="5"/>
      <c r="DQ849" s="5"/>
      <c r="DR849" s="5"/>
      <c r="DS849" s="5"/>
      <c r="DT849" s="5"/>
      <c r="DU849" s="5"/>
      <c r="DV849" s="5"/>
      <c r="DW849" s="5"/>
      <c r="DX849" s="5"/>
      <c r="DY849" s="5"/>
      <c r="DZ849" s="5"/>
      <c r="EA849" s="5"/>
      <c r="EB849" s="5"/>
      <c r="EC849" s="5"/>
      <c r="ED849" s="5"/>
      <c r="EE849" s="5"/>
      <c r="EF849" s="5"/>
      <c r="EG849" s="5"/>
      <c r="EH849" s="5"/>
      <c r="EI849" s="5"/>
      <c r="EJ849" s="5"/>
      <c r="EK849" s="5"/>
      <c r="EL849" s="5"/>
      <c r="EM849" s="5"/>
      <c r="EN849" s="5"/>
      <c r="EO849" s="5"/>
      <c r="EP849" s="5"/>
      <c r="EQ849" s="5"/>
      <c r="ER849" s="5"/>
      <c r="ES849" s="5"/>
      <c r="ET849" s="5"/>
      <c r="EU849" s="5"/>
      <c r="EV849" s="5"/>
      <c r="EW849" s="5"/>
      <c r="EX849" s="5"/>
      <c r="EY849" s="5"/>
      <c r="EZ849" s="5"/>
      <c r="FA849" s="5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5"/>
      <c r="CT850" s="5"/>
      <c r="CU850" s="5"/>
      <c r="CV850" s="5"/>
      <c r="CW850" s="5"/>
      <c r="CX850" s="5"/>
      <c r="CY850" s="5"/>
      <c r="CZ850" s="5"/>
      <c r="DA850" s="5"/>
      <c r="DB850" s="5"/>
      <c r="DC850" s="5"/>
      <c r="DD850" s="5"/>
      <c r="DE850" s="5"/>
      <c r="DF850" s="5"/>
      <c r="DG850" s="5"/>
      <c r="DH850" s="5"/>
      <c r="DI850" s="5"/>
      <c r="DJ850" s="5"/>
      <c r="DK850" s="5"/>
      <c r="DL850" s="5"/>
      <c r="DM850" s="5"/>
      <c r="DN850" s="5"/>
      <c r="DO850" s="5"/>
      <c r="DP850" s="5"/>
      <c r="DQ850" s="5"/>
      <c r="DR850" s="5"/>
      <c r="DS850" s="5"/>
      <c r="DT850" s="5"/>
      <c r="DU850" s="5"/>
      <c r="DV850" s="5"/>
      <c r="DW850" s="5"/>
      <c r="DX850" s="5"/>
      <c r="DY850" s="5"/>
      <c r="DZ850" s="5"/>
      <c r="EA850" s="5"/>
      <c r="EB850" s="5"/>
      <c r="EC850" s="5"/>
      <c r="ED850" s="5"/>
      <c r="EE850" s="5"/>
      <c r="EF850" s="5"/>
      <c r="EG850" s="5"/>
      <c r="EH850" s="5"/>
      <c r="EI850" s="5"/>
      <c r="EJ850" s="5"/>
      <c r="EK850" s="5"/>
      <c r="EL850" s="5"/>
      <c r="EM850" s="5"/>
      <c r="EN850" s="5"/>
      <c r="EO850" s="5"/>
      <c r="EP850" s="5"/>
      <c r="EQ850" s="5"/>
      <c r="ER850" s="5"/>
      <c r="ES850" s="5"/>
      <c r="ET850" s="5"/>
      <c r="EU850" s="5"/>
      <c r="EV850" s="5"/>
      <c r="EW850" s="5"/>
      <c r="EX850" s="5"/>
      <c r="EY850" s="5"/>
      <c r="EZ850" s="5"/>
      <c r="FA850" s="5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5"/>
      <c r="CT851" s="5"/>
      <c r="CU851" s="5"/>
      <c r="CV851" s="5"/>
      <c r="CW851" s="5"/>
      <c r="CX851" s="5"/>
      <c r="CY851" s="5"/>
      <c r="CZ851" s="5"/>
      <c r="DA851" s="5"/>
      <c r="DB851" s="5"/>
      <c r="DC851" s="5"/>
      <c r="DD851" s="5"/>
      <c r="DE851" s="5"/>
      <c r="DF851" s="5"/>
      <c r="DG851" s="5"/>
      <c r="DH851" s="5"/>
      <c r="DI851" s="5"/>
      <c r="DJ851" s="5"/>
      <c r="DK851" s="5"/>
      <c r="DL851" s="5"/>
      <c r="DM851" s="5"/>
      <c r="DN851" s="5"/>
      <c r="DO851" s="5"/>
      <c r="DP851" s="5"/>
      <c r="DQ851" s="5"/>
      <c r="DR851" s="5"/>
      <c r="DS851" s="5"/>
      <c r="DT851" s="5"/>
      <c r="DU851" s="5"/>
      <c r="DV851" s="5"/>
      <c r="DW851" s="5"/>
      <c r="DX851" s="5"/>
      <c r="DY851" s="5"/>
      <c r="DZ851" s="5"/>
      <c r="EA851" s="5"/>
      <c r="EB851" s="5"/>
      <c r="EC851" s="5"/>
      <c r="ED851" s="5"/>
      <c r="EE851" s="5"/>
      <c r="EF851" s="5"/>
      <c r="EG851" s="5"/>
      <c r="EH851" s="5"/>
      <c r="EI851" s="5"/>
      <c r="EJ851" s="5"/>
      <c r="EK851" s="5"/>
      <c r="EL851" s="5"/>
      <c r="EM851" s="5"/>
      <c r="EN851" s="5"/>
      <c r="EO851" s="5"/>
      <c r="EP851" s="5"/>
      <c r="EQ851" s="5"/>
      <c r="ER851" s="5"/>
      <c r="ES851" s="5"/>
      <c r="ET851" s="5"/>
      <c r="EU851" s="5"/>
      <c r="EV851" s="5"/>
      <c r="EW851" s="5"/>
      <c r="EX851" s="5"/>
      <c r="EY851" s="5"/>
      <c r="EZ851" s="5"/>
      <c r="FA851" s="5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5"/>
      <c r="CT852" s="5"/>
      <c r="CU852" s="5"/>
      <c r="CV852" s="5"/>
      <c r="CW852" s="5"/>
      <c r="CX852" s="5"/>
      <c r="CY852" s="5"/>
      <c r="CZ852" s="5"/>
      <c r="DA852" s="5"/>
      <c r="DB852" s="5"/>
      <c r="DC852" s="5"/>
      <c r="DD852" s="5"/>
      <c r="DE852" s="5"/>
      <c r="DF852" s="5"/>
      <c r="DG852" s="5"/>
      <c r="DH852" s="5"/>
      <c r="DI852" s="5"/>
      <c r="DJ852" s="5"/>
      <c r="DK852" s="5"/>
      <c r="DL852" s="5"/>
      <c r="DM852" s="5"/>
      <c r="DN852" s="5"/>
      <c r="DO852" s="5"/>
      <c r="DP852" s="5"/>
      <c r="DQ852" s="5"/>
      <c r="DR852" s="5"/>
      <c r="DS852" s="5"/>
      <c r="DT852" s="5"/>
      <c r="DU852" s="5"/>
      <c r="DV852" s="5"/>
      <c r="DW852" s="5"/>
      <c r="DX852" s="5"/>
      <c r="DY852" s="5"/>
      <c r="DZ852" s="5"/>
      <c r="EA852" s="5"/>
      <c r="EB852" s="5"/>
      <c r="EC852" s="5"/>
      <c r="ED852" s="5"/>
      <c r="EE852" s="5"/>
      <c r="EF852" s="5"/>
      <c r="EG852" s="5"/>
      <c r="EH852" s="5"/>
      <c r="EI852" s="5"/>
      <c r="EJ852" s="5"/>
      <c r="EK852" s="5"/>
      <c r="EL852" s="5"/>
      <c r="EM852" s="5"/>
      <c r="EN852" s="5"/>
      <c r="EO852" s="5"/>
      <c r="EP852" s="5"/>
      <c r="EQ852" s="5"/>
      <c r="ER852" s="5"/>
      <c r="ES852" s="5"/>
      <c r="ET852" s="5"/>
      <c r="EU852" s="5"/>
      <c r="EV852" s="5"/>
      <c r="EW852" s="5"/>
      <c r="EX852" s="5"/>
      <c r="EY852" s="5"/>
      <c r="EZ852" s="5"/>
      <c r="FA852" s="5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5"/>
      <c r="CT853" s="5"/>
      <c r="CU853" s="5"/>
      <c r="CV853" s="5"/>
      <c r="CW853" s="5"/>
      <c r="CX853" s="5"/>
      <c r="CY853" s="5"/>
      <c r="CZ853" s="5"/>
      <c r="DA853" s="5"/>
      <c r="DB853" s="5"/>
      <c r="DC853" s="5"/>
      <c r="DD853" s="5"/>
      <c r="DE853" s="5"/>
      <c r="DF853" s="5"/>
      <c r="DG853" s="5"/>
      <c r="DH853" s="5"/>
      <c r="DI853" s="5"/>
      <c r="DJ853" s="5"/>
      <c r="DK853" s="5"/>
      <c r="DL853" s="5"/>
      <c r="DM853" s="5"/>
      <c r="DN853" s="5"/>
      <c r="DO853" s="5"/>
      <c r="DP853" s="5"/>
      <c r="DQ853" s="5"/>
      <c r="DR853" s="5"/>
      <c r="DS853" s="5"/>
      <c r="DT853" s="5"/>
      <c r="DU853" s="5"/>
      <c r="DV853" s="5"/>
      <c r="DW853" s="5"/>
      <c r="DX853" s="5"/>
      <c r="DY853" s="5"/>
      <c r="DZ853" s="5"/>
      <c r="EA853" s="5"/>
      <c r="EB853" s="5"/>
      <c r="EC853" s="5"/>
      <c r="ED853" s="5"/>
      <c r="EE853" s="5"/>
      <c r="EF853" s="5"/>
      <c r="EG853" s="5"/>
      <c r="EH853" s="5"/>
      <c r="EI853" s="5"/>
      <c r="EJ853" s="5"/>
      <c r="EK853" s="5"/>
      <c r="EL853" s="5"/>
      <c r="EM853" s="5"/>
      <c r="EN853" s="5"/>
      <c r="EO853" s="5"/>
      <c r="EP853" s="5"/>
      <c r="EQ853" s="5"/>
      <c r="ER853" s="5"/>
      <c r="ES853" s="5"/>
      <c r="ET853" s="5"/>
      <c r="EU853" s="5"/>
      <c r="EV853" s="5"/>
      <c r="EW853" s="5"/>
      <c r="EX853" s="5"/>
      <c r="EY853" s="5"/>
      <c r="EZ853" s="5"/>
      <c r="FA853" s="5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5"/>
      <c r="CT854" s="5"/>
      <c r="CU854" s="5"/>
      <c r="CV854" s="5"/>
      <c r="CW854" s="5"/>
      <c r="CX854" s="5"/>
      <c r="CY854" s="5"/>
      <c r="CZ854" s="5"/>
      <c r="DA854" s="5"/>
      <c r="DB854" s="5"/>
      <c r="DC854" s="5"/>
      <c r="DD854" s="5"/>
      <c r="DE854" s="5"/>
      <c r="DF854" s="5"/>
      <c r="DG854" s="5"/>
      <c r="DH854" s="5"/>
      <c r="DI854" s="5"/>
      <c r="DJ854" s="5"/>
      <c r="DK854" s="5"/>
      <c r="DL854" s="5"/>
      <c r="DM854" s="5"/>
      <c r="DN854" s="5"/>
      <c r="DO854" s="5"/>
      <c r="DP854" s="5"/>
      <c r="DQ854" s="5"/>
      <c r="DR854" s="5"/>
      <c r="DS854" s="5"/>
      <c r="DT854" s="5"/>
      <c r="DU854" s="5"/>
      <c r="DV854" s="5"/>
      <c r="DW854" s="5"/>
      <c r="DX854" s="5"/>
      <c r="DY854" s="5"/>
      <c r="DZ854" s="5"/>
      <c r="EA854" s="5"/>
      <c r="EB854" s="5"/>
      <c r="EC854" s="5"/>
      <c r="ED854" s="5"/>
      <c r="EE854" s="5"/>
      <c r="EF854" s="5"/>
      <c r="EG854" s="5"/>
      <c r="EH854" s="5"/>
      <c r="EI854" s="5"/>
      <c r="EJ854" s="5"/>
      <c r="EK854" s="5"/>
      <c r="EL854" s="5"/>
      <c r="EM854" s="5"/>
      <c r="EN854" s="5"/>
      <c r="EO854" s="5"/>
      <c r="EP854" s="5"/>
      <c r="EQ854" s="5"/>
      <c r="ER854" s="5"/>
      <c r="ES854" s="5"/>
      <c r="ET854" s="5"/>
      <c r="EU854" s="5"/>
      <c r="EV854" s="5"/>
      <c r="EW854" s="5"/>
      <c r="EX854" s="5"/>
      <c r="EY854" s="5"/>
      <c r="EZ854" s="5"/>
      <c r="FA854" s="5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5"/>
      <c r="CT855" s="5"/>
      <c r="CU855" s="5"/>
      <c r="CV855" s="5"/>
      <c r="CW855" s="5"/>
      <c r="CX855" s="5"/>
      <c r="CY855" s="5"/>
      <c r="CZ855" s="5"/>
      <c r="DA855" s="5"/>
      <c r="DB855" s="5"/>
      <c r="DC855" s="5"/>
      <c r="DD855" s="5"/>
      <c r="DE855" s="5"/>
      <c r="DF855" s="5"/>
      <c r="DG855" s="5"/>
      <c r="DH855" s="5"/>
      <c r="DI855" s="5"/>
      <c r="DJ855" s="5"/>
      <c r="DK855" s="5"/>
      <c r="DL855" s="5"/>
      <c r="DM855" s="5"/>
      <c r="DN855" s="5"/>
      <c r="DO855" s="5"/>
      <c r="DP855" s="5"/>
      <c r="DQ855" s="5"/>
      <c r="DR855" s="5"/>
      <c r="DS855" s="5"/>
      <c r="DT855" s="5"/>
      <c r="DU855" s="5"/>
      <c r="DV855" s="5"/>
      <c r="DW855" s="5"/>
      <c r="DX855" s="5"/>
      <c r="DY855" s="5"/>
      <c r="DZ855" s="5"/>
      <c r="EA855" s="5"/>
      <c r="EB855" s="5"/>
      <c r="EC855" s="5"/>
      <c r="ED855" s="5"/>
      <c r="EE855" s="5"/>
      <c r="EF855" s="5"/>
      <c r="EG855" s="5"/>
      <c r="EH855" s="5"/>
      <c r="EI855" s="5"/>
      <c r="EJ855" s="5"/>
      <c r="EK855" s="5"/>
      <c r="EL855" s="5"/>
      <c r="EM855" s="5"/>
      <c r="EN855" s="5"/>
      <c r="EO855" s="5"/>
      <c r="EP855" s="5"/>
      <c r="EQ855" s="5"/>
      <c r="ER855" s="5"/>
      <c r="ES855" s="5"/>
      <c r="ET855" s="5"/>
      <c r="EU855" s="5"/>
      <c r="EV855" s="5"/>
      <c r="EW855" s="5"/>
      <c r="EX855" s="5"/>
      <c r="EY855" s="5"/>
      <c r="EZ855" s="5"/>
      <c r="FA855" s="5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5"/>
      <c r="CT856" s="5"/>
      <c r="CU856" s="5"/>
      <c r="CV856" s="5"/>
      <c r="CW856" s="5"/>
      <c r="CX856" s="5"/>
      <c r="CY856" s="5"/>
      <c r="CZ856" s="5"/>
      <c r="DA856" s="5"/>
      <c r="DB856" s="5"/>
      <c r="DC856" s="5"/>
      <c r="DD856" s="5"/>
      <c r="DE856" s="5"/>
      <c r="DF856" s="5"/>
      <c r="DG856" s="5"/>
      <c r="DH856" s="5"/>
      <c r="DI856" s="5"/>
      <c r="DJ856" s="5"/>
      <c r="DK856" s="5"/>
      <c r="DL856" s="5"/>
      <c r="DM856" s="5"/>
      <c r="DN856" s="5"/>
      <c r="DO856" s="5"/>
      <c r="DP856" s="5"/>
      <c r="DQ856" s="5"/>
      <c r="DR856" s="5"/>
      <c r="DS856" s="5"/>
      <c r="DT856" s="5"/>
      <c r="DU856" s="5"/>
      <c r="DV856" s="5"/>
      <c r="DW856" s="5"/>
      <c r="DX856" s="5"/>
      <c r="DY856" s="5"/>
      <c r="DZ856" s="5"/>
      <c r="EA856" s="5"/>
      <c r="EB856" s="5"/>
      <c r="EC856" s="5"/>
      <c r="ED856" s="5"/>
      <c r="EE856" s="5"/>
      <c r="EF856" s="5"/>
      <c r="EG856" s="5"/>
      <c r="EH856" s="5"/>
      <c r="EI856" s="5"/>
      <c r="EJ856" s="5"/>
      <c r="EK856" s="5"/>
      <c r="EL856" s="5"/>
      <c r="EM856" s="5"/>
      <c r="EN856" s="5"/>
      <c r="EO856" s="5"/>
      <c r="EP856" s="5"/>
      <c r="EQ856" s="5"/>
      <c r="ER856" s="5"/>
      <c r="ES856" s="5"/>
      <c r="ET856" s="5"/>
      <c r="EU856" s="5"/>
      <c r="EV856" s="5"/>
      <c r="EW856" s="5"/>
      <c r="EX856" s="5"/>
      <c r="EY856" s="5"/>
      <c r="EZ856" s="5"/>
      <c r="FA856" s="5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5"/>
      <c r="CT857" s="5"/>
      <c r="CU857" s="5"/>
      <c r="CV857" s="5"/>
      <c r="CW857" s="5"/>
      <c r="CX857" s="5"/>
      <c r="CY857" s="5"/>
      <c r="CZ857" s="5"/>
      <c r="DA857" s="5"/>
      <c r="DB857" s="5"/>
      <c r="DC857" s="5"/>
      <c r="DD857" s="5"/>
      <c r="DE857" s="5"/>
      <c r="DF857" s="5"/>
      <c r="DG857" s="5"/>
      <c r="DH857" s="5"/>
      <c r="DI857" s="5"/>
      <c r="DJ857" s="5"/>
      <c r="DK857" s="5"/>
      <c r="DL857" s="5"/>
      <c r="DM857" s="5"/>
      <c r="DN857" s="5"/>
      <c r="DO857" s="5"/>
      <c r="DP857" s="5"/>
      <c r="DQ857" s="5"/>
      <c r="DR857" s="5"/>
      <c r="DS857" s="5"/>
      <c r="DT857" s="5"/>
      <c r="DU857" s="5"/>
      <c r="DV857" s="5"/>
      <c r="DW857" s="5"/>
      <c r="DX857" s="5"/>
      <c r="DY857" s="5"/>
      <c r="DZ857" s="5"/>
      <c r="EA857" s="5"/>
      <c r="EB857" s="5"/>
      <c r="EC857" s="5"/>
      <c r="ED857" s="5"/>
      <c r="EE857" s="5"/>
      <c r="EF857" s="5"/>
      <c r="EG857" s="5"/>
      <c r="EH857" s="5"/>
      <c r="EI857" s="5"/>
      <c r="EJ857" s="5"/>
      <c r="EK857" s="5"/>
      <c r="EL857" s="5"/>
      <c r="EM857" s="5"/>
      <c r="EN857" s="5"/>
      <c r="EO857" s="5"/>
      <c r="EP857" s="5"/>
      <c r="EQ857" s="5"/>
      <c r="ER857" s="5"/>
      <c r="ES857" s="5"/>
      <c r="ET857" s="5"/>
      <c r="EU857" s="5"/>
      <c r="EV857" s="5"/>
      <c r="EW857" s="5"/>
      <c r="EX857" s="5"/>
      <c r="EY857" s="5"/>
      <c r="EZ857" s="5"/>
      <c r="FA857" s="5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5"/>
      <c r="CT858" s="5"/>
      <c r="CU858" s="5"/>
      <c r="CV858" s="5"/>
      <c r="CW858" s="5"/>
      <c r="CX858" s="5"/>
      <c r="CY858" s="5"/>
      <c r="CZ858" s="5"/>
      <c r="DA858" s="5"/>
      <c r="DB858" s="5"/>
      <c r="DC858" s="5"/>
      <c r="DD858" s="5"/>
      <c r="DE858" s="5"/>
      <c r="DF858" s="5"/>
      <c r="DG858" s="5"/>
      <c r="DH858" s="5"/>
      <c r="DI858" s="5"/>
      <c r="DJ858" s="5"/>
      <c r="DK858" s="5"/>
      <c r="DL858" s="5"/>
      <c r="DM858" s="5"/>
      <c r="DN858" s="5"/>
      <c r="DO858" s="5"/>
      <c r="DP858" s="5"/>
      <c r="DQ858" s="5"/>
      <c r="DR858" s="5"/>
      <c r="DS858" s="5"/>
      <c r="DT858" s="5"/>
      <c r="DU858" s="5"/>
      <c r="DV858" s="5"/>
      <c r="DW858" s="5"/>
      <c r="DX858" s="5"/>
      <c r="DY858" s="5"/>
      <c r="DZ858" s="5"/>
      <c r="EA858" s="5"/>
      <c r="EB858" s="5"/>
      <c r="EC858" s="5"/>
      <c r="ED858" s="5"/>
      <c r="EE858" s="5"/>
      <c r="EF858" s="5"/>
      <c r="EG858" s="5"/>
      <c r="EH858" s="5"/>
      <c r="EI858" s="5"/>
      <c r="EJ858" s="5"/>
      <c r="EK858" s="5"/>
      <c r="EL858" s="5"/>
      <c r="EM858" s="5"/>
      <c r="EN858" s="5"/>
      <c r="EO858" s="5"/>
      <c r="EP858" s="5"/>
      <c r="EQ858" s="5"/>
      <c r="ER858" s="5"/>
      <c r="ES858" s="5"/>
      <c r="ET858" s="5"/>
      <c r="EU858" s="5"/>
      <c r="EV858" s="5"/>
      <c r="EW858" s="5"/>
      <c r="EX858" s="5"/>
      <c r="EY858" s="5"/>
      <c r="EZ858" s="5"/>
      <c r="FA858" s="5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5"/>
      <c r="CT859" s="5"/>
      <c r="CU859" s="5"/>
      <c r="CV859" s="5"/>
      <c r="CW859" s="5"/>
      <c r="CX859" s="5"/>
      <c r="CY859" s="5"/>
      <c r="CZ859" s="5"/>
      <c r="DA859" s="5"/>
      <c r="DB859" s="5"/>
      <c r="DC859" s="5"/>
      <c r="DD859" s="5"/>
      <c r="DE859" s="5"/>
      <c r="DF859" s="5"/>
      <c r="DG859" s="5"/>
      <c r="DH859" s="5"/>
      <c r="DI859" s="5"/>
      <c r="DJ859" s="5"/>
      <c r="DK859" s="5"/>
      <c r="DL859" s="5"/>
      <c r="DM859" s="5"/>
      <c r="DN859" s="5"/>
      <c r="DO859" s="5"/>
      <c r="DP859" s="5"/>
      <c r="DQ859" s="5"/>
      <c r="DR859" s="5"/>
      <c r="DS859" s="5"/>
      <c r="DT859" s="5"/>
      <c r="DU859" s="5"/>
      <c r="DV859" s="5"/>
      <c r="DW859" s="5"/>
      <c r="DX859" s="5"/>
      <c r="DY859" s="5"/>
      <c r="DZ859" s="5"/>
      <c r="EA859" s="5"/>
      <c r="EB859" s="5"/>
      <c r="EC859" s="5"/>
      <c r="ED859" s="5"/>
      <c r="EE859" s="5"/>
      <c r="EF859" s="5"/>
      <c r="EG859" s="5"/>
      <c r="EH859" s="5"/>
      <c r="EI859" s="5"/>
      <c r="EJ859" s="5"/>
      <c r="EK859" s="5"/>
      <c r="EL859" s="5"/>
      <c r="EM859" s="5"/>
      <c r="EN859" s="5"/>
      <c r="EO859" s="5"/>
      <c r="EP859" s="5"/>
      <c r="EQ859" s="5"/>
      <c r="ER859" s="5"/>
      <c r="ES859" s="5"/>
      <c r="ET859" s="5"/>
      <c r="EU859" s="5"/>
      <c r="EV859" s="5"/>
      <c r="EW859" s="5"/>
      <c r="EX859" s="5"/>
      <c r="EY859" s="5"/>
      <c r="EZ859" s="5"/>
      <c r="FA859" s="5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5"/>
      <c r="CT860" s="5"/>
      <c r="CU860" s="5"/>
      <c r="CV860" s="5"/>
      <c r="CW860" s="5"/>
      <c r="CX860" s="5"/>
      <c r="CY860" s="5"/>
      <c r="CZ860" s="5"/>
      <c r="DA860" s="5"/>
      <c r="DB860" s="5"/>
      <c r="DC860" s="5"/>
      <c r="DD860" s="5"/>
      <c r="DE860" s="5"/>
      <c r="DF860" s="5"/>
      <c r="DG860" s="5"/>
      <c r="DH860" s="5"/>
      <c r="DI860" s="5"/>
      <c r="DJ860" s="5"/>
      <c r="DK860" s="5"/>
      <c r="DL860" s="5"/>
      <c r="DM860" s="5"/>
      <c r="DN860" s="5"/>
      <c r="DO860" s="5"/>
      <c r="DP860" s="5"/>
      <c r="DQ860" s="5"/>
      <c r="DR860" s="5"/>
      <c r="DS860" s="5"/>
      <c r="DT860" s="5"/>
      <c r="DU860" s="5"/>
      <c r="DV860" s="5"/>
      <c r="DW860" s="5"/>
      <c r="DX860" s="5"/>
      <c r="DY860" s="5"/>
      <c r="DZ860" s="5"/>
      <c r="EA860" s="5"/>
      <c r="EB860" s="5"/>
      <c r="EC860" s="5"/>
      <c r="ED860" s="5"/>
      <c r="EE860" s="5"/>
      <c r="EF860" s="5"/>
      <c r="EG860" s="5"/>
      <c r="EH860" s="5"/>
      <c r="EI860" s="5"/>
      <c r="EJ860" s="5"/>
      <c r="EK860" s="5"/>
      <c r="EL860" s="5"/>
      <c r="EM860" s="5"/>
      <c r="EN860" s="5"/>
      <c r="EO860" s="5"/>
      <c r="EP860" s="5"/>
      <c r="EQ860" s="5"/>
      <c r="ER860" s="5"/>
      <c r="ES860" s="5"/>
      <c r="ET860" s="5"/>
      <c r="EU860" s="5"/>
      <c r="EV860" s="5"/>
      <c r="EW860" s="5"/>
      <c r="EX860" s="5"/>
      <c r="EY860" s="5"/>
      <c r="EZ860" s="5"/>
      <c r="FA860" s="5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5"/>
      <c r="CT861" s="5"/>
      <c r="CU861" s="5"/>
      <c r="CV861" s="5"/>
      <c r="CW861" s="5"/>
      <c r="CX861" s="5"/>
      <c r="CY861" s="5"/>
      <c r="CZ861" s="5"/>
      <c r="DA861" s="5"/>
      <c r="DB861" s="5"/>
      <c r="DC861" s="5"/>
      <c r="DD861" s="5"/>
      <c r="DE861" s="5"/>
      <c r="DF861" s="5"/>
      <c r="DG861" s="5"/>
      <c r="DH861" s="5"/>
      <c r="DI861" s="5"/>
      <c r="DJ861" s="5"/>
      <c r="DK861" s="5"/>
      <c r="DL861" s="5"/>
      <c r="DM861" s="5"/>
      <c r="DN861" s="5"/>
      <c r="DO861" s="5"/>
      <c r="DP861" s="5"/>
      <c r="DQ861" s="5"/>
      <c r="DR861" s="5"/>
      <c r="DS861" s="5"/>
      <c r="DT861" s="5"/>
      <c r="DU861" s="5"/>
      <c r="DV861" s="5"/>
      <c r="DW861" s="5"/>
      <c r="DX861" s="5"/>
      <c r="DY861" s="5"/>
      <c r="DZ861" s="5"/>
      <c r="EA861" s="5"/>
      <c r="EB861" s="5"/>
      <c r="EC861" s="5"/>
      <c r="ED861" s="5"/>
      <c r="EE861" s="5"/>
      <c r="EF861" s="5"/>
      <c r="EG861" s="5"/>
      <c r="EH861" s="5"/>
      <c r="EI861" s="5"/>
      <c r="EJ861" s="5"/>
      <c r="EK861" s="5"/>
      <c r="EL861" s="5"/>
      <c r="EM861" s="5"/>
      <c r="EN861" s="5"/>
      <c r="EO861" s="5"/>
      <c r="EP861" s="5"/>
      <c r="EQ861" s="5"/>
      <c r="ER861" s="5"/>
      <c r="ES861" s="5"/>
      <c r="ET861" s="5"/>
      <c r="EU861" s="5"/>
      <c r="EV861" s="5"/>
      <c r="EW861" s="5"/>
      <c r="EX861" s="5"/>
      <c r="EY861" s="5"/>
      <c r="EZ861" s="5"/>
      <c r="FA861" s="5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5"/>
      <c r="CT862" s="5"/>
      <c r="CU862" s="5"/>
      <c r="CV862" s="5"/>
      <c r="CW862" s="5"/>
      <c r="CX862" s="5"/>
      <c r="CY862" s="5"/>
      <c r="CZ862" s="5"/>
      <c r="DA862" s="5"/>
      <c r="DB862" s="5"/>
      <c r="DC862" s="5"/>
      <c r="DD862" s="5"/>
      <c r="DE862" s="5"/>
      <c r="DF862" s="5"/>
      <c r="DG862" s="5"/>
      <c r="DH862" s="5"/>
      <c r="DI862" s="5"/>
      <c r="DJ862" s="5"/>
      <c r="DK862" s="5"/>
      <c r="DL862" s="5"/>
      <c r="DM862" s="5"/>
      <c r="DN862" s="5"/>
      <c r="DO862" s="5"/>
      <c r="DP862" s="5"/>
      <c r="DQ862" s="5"/>
      <c r="DR862" s="5"/>
      <c r="DS862" s="5"/>
      <c r="DT862" s="5"/>
      <c r="DU862" s="5"/>
      <c r="DV862" s="5"/>
      <c r="DW862" s="5"/>
      <c r="DX862" s="5"/>
      <c r="DY862" s="5"/>
      <c r="DZ862" s="5"/>
      <c r="EA862" s="5"/>
      <c r="EB862" s="5"/>
      <c r="EC862" s="5"/>
      <c r="ED862" s="5"/>
      <c r="EE862" s="5"/>
      <c r="EF862" s="5"/>
      <c r="EG862" s="5"/>
      <c r="EH862" s="5"/>
      <c r="EI862" s="5"/>
      <c r="EJ862" s="5"/>
      <c r="EK862" s="5"/>
      <c r="EL862" s="5"/>
      <c r="EM862" s="5"/>
      <c r="EN862" s="5"/>
      <c r="EO862" s="5"/>
      <c r="EP862" s="5"/>
      <c r="EQ862" s="5"/>
      <c r="ER862" s="5"/>
      <c r="ES862" s="5"/>
      <c r="ET862" s="5"/>
      <c r="EU862" s="5"/>
      <c r="EV862" s="5"/>
      <c r="EW862" s="5"/>
      <c r="EX862" s="5"/>
      <c r="EY862" s="5"/>
      <c r="EZ862" s="5"/>
      <c r="FA862" s="5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5"/>
      <c r="CT863" s="5"/>
      <c r="CU863" s="5"/>
      <c r="CV863" s="5"/>
      <c r="CW863" s="5"/>
      <c r="CX863" s="5"/>
      <c r="CY863" s="5"/>
      <c r="CZ863" s="5"/>
      <c r="DA863" s="5"/>
      <c r="DB863" s="5"/>
      <c r="DC863" s="5"/>
      <c r="DD863" s="5"/>
      <c r="DE863" s="5"/>
      <c r="DF863" s="5"/>
      <c r="DG863" s="5"/>
      <c r="DH863" s="5"/>
      <c r="DI863" s="5"/>
      <c r="DJ863" s="5"/>
      <c r="DK863" s="5"/>
      <c r="DL863" s="5"/>
      <c r="DM863" s="5"/>
      <c r="DN863" s="5"/>
      <c r="DO863" s="5"/>
      <c r="DP863" s="5"/>
      <c r="DQ863" s="5"/>
      <c r="DR863" s="5"/>
      <c r="DS863" s="5"/>
      <c r="DT863" s="5"/>
      <c r="DU863" s="5"/>
      <c r="DV863" s="5"/>
      <c r="DW863" s="5"/>
      <c r="DX863" s="5"/>
      <c r="DY863" s="5"/>
      <c r="DZ863" s="5"/>
      <c r="EA863" s="5"/>
      <c r="EB863" s="5"/>
      <c r="EC863" s="5"/>
      <c r="ED863" s="5"/>
      <c r="EE863" s="5"/>
      <c r="EF863" s="5"/>
      <c r="EG863" s="5"/>
      <c r="EH863" s="5"/>
      <c r="EI863" s="5"/>
      <c r="EJ863" s="5"/>
      <c r="EK863" s="5"/>
      <c r="EL863" s="5"/>
      <c r="EM863" s="5"/>
      <c r="EN863" s="5"/>
      <c r="EO863" s="5"/>
      <c r="EP863" s="5"/>
      <c r="EQ863" s="5"/>
      <c r="ER863" s="5"/>
      <c r="ES863" s="5"/>
      <c r="ET863" s="5"/>
      <c r="EU863" s="5"/>
      <c r="EV863" s="5"/>
      <c r="EW863" s="5"/>
      <c r="EX863" s="5"/>
      <c r="EY863" s="5"/>
      <c r="EZ863" s="5"/>
      <c r="FA863" s="5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5"/>
      <c r="CT864" s="5"/>
      <c r="CU864" s="5"/>
      <c r="CV864" s="5"/>
      <c r="CW864" s="5"/>
      <c r="CX864" s="5"/>
      <c r="CY864" s="5"/>
      <c r="CZ864" s="5"/>
      <c r="DA864" s="5"/>
      <c r="DB864" s="5"/>
      <c r="DC864" s="5"/>
      <c r="DD864" s="5"/>
      <c r="DE864" s="5"/>
      <c r="DF864" s="5"/>
      <c r="DG864" s="5"/>
      <c r="DH864" s="5"/>
      <c r="DI864" s="5"/>
      <c r="DJ864" s="5"/>
      <c r="DK864" s="5"/>
      <c r="DL864" s="5"/>
      <c r="DM864" s="5"/>
      <c r="DN864" s="5"/>
      <c r="DO864" s="5"/>
      <c r="DP864" s="5"/>
      <c r="DQ864" s="5"/>
      <c r="DR864" s="5"/>
      <c r="DS864" s="5"/>
      <c r="DT864" s="5"/>
      <c r="DU864" s="5"/>
      <c r="DV864" s="5"/>
      <c r="DW864" s="5"/>
      <c r="DX864" s="5"/>
      <c r="DY864" s="5"/>
      <c r="DZ864" s="5"/>
      <c r="EA864" s="5"/>
      <c r="EB864" s="5"/>
      <c r="EC864" s="5"/>
      <c r="ED864" s="5"/>
      <c r="EE864" s="5"/>
      <c r="EF864" s="5"/>
      <c r="EG864" s="5"/>
      <c r="EH864" s="5"/>
      <c r="EI864" s="5"/>
      <c r="EJ864" s="5"/>
      <c r="EK864" s="5"/>
      <c r="EL864" s="5"/>
      <c r="EM864" s="5"/>
      <c r="EN864" s="5"/>
      <c r="EO864" s="5"/>
      <c r="EP864" s="5"/>
      <c r="EQ864" s="5"/>
      <c r="ER864" s="5"/>
      <c r="ES864" s="5"/>
      <c r="ET864" s="5"/>
      <c r="EU864" s="5"/>
      <c r="EV864" s="5"/>
      <c r="EW864" s="5"/>
      <c r="EX864" s="5"/>
      <c r="EY864" s="5"/>
      <c r="EZ864" s="5"/>
      <c r="FA864" s="5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5"/>
      <c r="CT865" s="5"/>
      <c r="CU865" s="5"/>
      <c r="CV865" s="5"/>
      <c r="CW865" s="5"/>
      <c r="CX865" s="5"/>
      <c r="CY865" s="5"/>
      <c r="CZ865" s="5"/>
      <c r="DA865" s="5"/>
      <c r="DB865" s="5"/>
      <c r="DC865" s="5"/>
      <c r="DD865" s="5"/>
      <c r="DE865" s="5"/>
      <c r="DF865" s="5"/>
      <c r="DG865" s="5"/>
      <c r="DH865" s="5"/>
      <c r="DI865" s="5"/>
      <c r="DJ865" s="5"/>
      <c r="DK865" s="5"/>
      <c r="DL865" s="5"/>
      <c r="DM865" s="5"/>
      <c r="DN865" s="5"/>
      <c r="DO865" s="5"/>
      <c r="DP865" s="5"/>
      <c r="DQ865" s="5"/>
      <c r="DR865" s="5"/>
      <c r="DS865" s="5"/>
      <c r="DT865" s="5"/>
      <c r="DU865" s="5"/>
      <c r="DV865" s="5"/>
      <c r="DW865" s="5"/>
      <c r="DX865" s="5"/>
      <c r="DY865" s="5"/>
      <c r="DZ865" s="5"/>
      <c r="EA865" s="5"/>
      <c r="EB865" s="5"/>
      <c r="EC865" s="5"/>
      <c r="ED865" s="5"/>
      <c r="EE865" s="5"/>
      <c r="EF865" s="5"/>
      <c r="EG865" s="5"/>
      <c r="EH865" s="5"/>
      <c r="EI865" s="5"/>
      <c r="EJ865" s="5"/>
      <c r="EK865" s="5"/>
      <c r="EL865" s="5"/>
      <c r="EM865" s="5"/>
      <c r="EN865" s="5"/>
      <c r="EO865" s="5"/>
      <c r="EP865" s="5"/>
      <c r="EQ865" s="5"/>
      <c r="ER865" s="5"/>
      <c r="ES865" s="5"/>
      <c r="ET865" s="5"/>
      <c r="EU865" s="5"/>
      <c r="EV865" s="5"/>
      <c r="EW865" s="5"/>
      <c r="EX865" s="5"/>
      <c r="EY865" s="5"/>
      <c r="EZ865" s="5"/>
      <c r="FA865" s="5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5"/>
      <c r="CT866" s="5"/>
      <c r="CU866" s="5"/>
      <c r="CV866" s="5"/>
      <c r="CW866" s="5"/>
      <c r="CX866" s="5"/>
      <c r="CY866" s="5"/>
      <c r="CZ866" s="5"/>
      <c r="DA866" s="5"/>
      <c r="DB866" s="5"/>
      <c r="DC866" s="5"/>
      <c r="DD866" s="5"/>
      <c r="DE866" s="5"/>
      <c r="DF866" s="5"/>
      <c r="DG866" s="5"/>
      <c r="DH866" s="5"/>
      <c r="DI866" s="5"/>
      <c r="DJ866" s="5"/>
      <c r="DK866" s="5"/>
      <c r="DL866" s="5"/>
      <c r="DM866" s="5"/>
      <c r="DN866" s="5"/>
      <c r="DO866" s="5"/>
      <c r="DP866" s="5"/>
      <c r="DQ866" s="5"/>
      <c r="DR866" s="5"/>
      <c r="DS866" s="5"/>
      <c r="DT866" s="5"/>
      <c r="DU866" s="5"/>
      <c r="DV866" s="5"/>
      <c r="DW866" s="5"/>
      <c r="DX866" s="5"/>
      <c r="DY866" s="5"/>
      <c r="DZ866" s="5"/>
      <c r="EA866" s="5"/>
      <c r="EB866" s="5"/>
      <c r="EC866" s="5"/>
      <c r="ED866" s="5"/>
      <c r="EE866" s="5"/>
      <c r="EF866" s="5"/>
      <c r="EG866" s="5"/>
      <c r="EH866" s="5"/>
      <c r="EI866" s="5"/>
      <c r="EJ866" s="5"/>
      <c r="EK866" s="5"/>
      <c r="EL866" s="5"/>
      <c r="EM866" s="5"/>
      <c r="EN866" s="5"/>
      <c r="EO866" s="5"/>
      <c r="EP866" s="5"/>
      <c r="EQ866" s="5"/>
      <c r="ER866" s="5"/>
      <c r="ES866" s="5"/>
      <c r="ET866" s="5"/>
      <c r="EU866" s="5"/>
      <c r="EV866" s="5"/>
      <c r="EW866" s="5"/>
      <c r="EX866" s="5"/>
      <c r="EY866" s="5"/>
      <c r="EZ866" s="5"/>
      <c r="FA866" s="5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5"/>
      <c r="CT867" s="5"/>
      <c r="CU867" s="5"/>
      <c r="CV867" s="5"/>
      <c r="CW867" s="5"/>
      <c r="CX867" s="5"/>
      <c r="CY867" s="5"/>
      <c r="CZ867" s="5"/>
      <c r="DA867" s="5"/>
      <c r="DB867" s="5"/>
      <c r="DC867" s="5"/>
      <c r="DD867" s="5"/>
      <c r="DE867" s="5"/>
      <c r="DF867" s="5"/>
      <c r="DG867" s="5"/>
      <c r="DH867" s="5"/>
      <c r="DI867" s="5"/>
      <c r="DJ867" s="5"/>
      <c r="DK867" s="5"/>
      <c r="DL867" s="5"/>
      <c r="DM867" s="5"/>
      <c r="DN867" s="5"/>
      <c r="DO867" s="5"/>
      <c r="DP867" s="5"/>
      <c r="DQ867" s="5"/>
      <c r="DR867" s="5"/>
      <c r="DS867" s="5"/>
      <c r="DT867" s="5"/>
      <c r="DU867" s="5"/>
      <c r="DV867" s="5"/>
      <c r="DW867" s="5"/>
      <c r="DX867" s="5"/>
      <c r="DY867" s="5"/>
      <c r="DZ867" s="5"/>
      <c r="EA867" s="5"/>
      <c r="EB867" s="5"/>
      <c r="EC867" s="5"/>
      <c r="ED867" s="5"/>
      <c r="EE867" s="5"/>
      <c r="EF867" s="5"/>
      <c r="EG867" s="5"/>
      <c r="EH867" s="5"/>
      <c r="EI867" s="5"/>
      <c r="EJ867" s="5"/>
      <c r="EK867" s="5"/>
      <c r="EL867" s="5"/>
      <c r="EM867" s="5"/>
      <c r="EN867" s="5"/>
      <c r="EO867" s="5"/>
      <c r="EP867" s="5"/>
      <c r="EQ867" s="5"/>
      <c r="ER867" s="5"/>
      <c r="ES867" s="5"/>
      <c r="ET867" s="5"/>
      <c r="EU867" s="5"/>
      <c r="EV867" s="5"/>
      <c r="EW867" s="5"/>
      <c r="EX867" s="5"/>
      <c r="EY867" s="5"/>
      <c r="EZ867" s="5"/>
      <c r="FA867" s="5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5"/>
      <c r="CT868" s="5"/>
      <c r="CU868" s="5"/>
      <c r="CV868" s="5"/>
      <c r="CW868" s="5"/>
      <c r="CX868" s="5"/>
      <c r="CY868" s="5"/>
      <c r="CZ868" s="5"/>
      <c r="DA868" s="5"/>
      <c r="DB868" s="5"/>
      <c r="DC868" s="5"/>
      <c r="DD868" s="5"/>
      <c r="DE868" s="5"/>
      <c r="DF868" s="5"/>
      <c r="DG868" s="5"/>
      <c r="DH868" s="5"/>
      <c r="DI868" s="5"/>
      <c r="DJ868" s="5"/>
      <c r="DK868" s="5"/>
      <c r="DL868" s="5"/>
      <c r="DM868" s="5"/>
      <c r="DN868" s="5"/>
      <c r="DO868" s="5"/>
      <c r="DP868" s="5"/>
      <c r="DQ868" s="5"/>
      <c r="DR868" s="5"/>
      <c r="DS868" s="5"/>
      <c r="DT868" s="5"/>
      <c r="DU868" s="5"/>
      <c r="DV868" s="5"/>
      <c r="DW868" s="5"/>
      <c r="DX868" s="5"/>
      <c r="DY868" s="5"/>
      <c r="DZ868" s="5"/>
      <c r="EA868" s="5"/>
      <c r="EB868" s="5"/>
      <c r="EC868" s="5"/>
      <c r="ED868" s="5"/>
      <c r="EE868" s="5"/>
      <c r="EF868" s="5"/>
      <c r="EG868" s="5"/>
      <c r="EH868" s="5"/>
      <c r="EI868" s="5"/>
      <c r="EJ868" s="5"/>
      <c r="EK868" s="5"/>
      <c r="EL868" s="5"/>
      <c r="EM868" s="5"/>
      <c r="EN868" s="5"/>
      <c r="EO868" s="5"/>
      <c r="EP868" s="5"/>
      <c r="EQ868" s="5"/>
      <c r="ER868" s="5"/>
      <c r="ES868" s="5"/>
      <c r="ET868" s="5"/>
      <c r="EU868" s="5"/>
      <c r="EV868" s="5"/>
      <c r="EW868" s="5"/>
      <c r="EX868" s="5"/>
      <c r="EY868" s="5"/>
      <c r="EZ868" s="5"/>
      <c r="FA868" s="5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5"/>
      <c r="CT869" s="5"/>
      <c r="CU869" s="5"/>
      <c r="CV869" s="5"/>
      <c r="CW869" s="5"/>
      <c r="CX869" s="5"/>
      <c r="CY869" s="5"/>
      <c r="CZ869" s="5"/>
      <c r="DA869" s="5"/>
      <c r="DB869" s="5"/>
      <c r="DC869" s="5"/>
      <c r="DD869" s="5"/>
      <c r="DE869" s="5"/>
      <c r="DF869" s="5"/>
      <c r="DG869" s="5"/>
      <c r="DH869" s="5"/>
      <c r="DI869" s="5"/>
      <c r="DJ869" s="5"/>
      <c r="DK869" s="5"/>
      <c r="DL869" s="5"/>
      <c r="DM869" s="5"/>
      <c r="DN869" s="5"/>
      <c r="DO869" s="5"/>
      <c r="DP869" s="5"/>
      <c r="DQ869" s="5"/>
      <c r="DR869" s="5"/>
      <c r="DS869" s="5"/>
      <c r="DT869" s="5"/>
      <c r="DU869" s="5"/>
      <c r="DV869" s="5"/>
      <c r="DW869" s="5"/>
      <c r="DX869" s="5"/>
      <c r="DY869" s="5"/>
      <c r="DZ869" s="5"/>
      <c r="EA869" s="5"/>
      <c r="EB869" s="5"/>
      <c r="EC869" s="5"/>
      <c r="ED869" s="5"/>
      <c r="EE869" s="5"/>
      <c r="EF869" s="5"/>
      <c r="EG869" s="5"/>
      <c r="EH869" s="5"/>
      <c r="EI869" s="5"/>
      <c r="EJ869" s="5"/>
      <c r="EK869" s="5"/>
      <c r="EL869" s="5"/>
      <c r="EM869" s="5"/>
      <c r="EN869" s="5"/>
      <c r="EO869" s="5"/>
      <c r="EP869" s="5"/>
      <c r="EQ869" s="5"/>
      <c r="ER869" s="5"/>
      <c r="ES869" s="5"/>
      <c r="ET869" s="5"/>
      <c r="EU869" s="5"/>
      <c r="EV869" s="5"/>
      <c r="EW869" s="5"/>
      <c r="EX869" s="5"/>
      <c r="EY869" s="5"/>
      <c r="EZ869" s="5"/>
      <c r="FA869" s="5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5"/>
      <c r="CT870" s="5"/>
      <c r="CU870" s="5"/>
      <c r="CV870" s="5"/>
      <c r="CW870" s="5"/>
      <c r="CX870" s="5"/>
      <c r="CY870" s="5"/>
      <c r="CZ870" s="5"/>
      <c r="DA870" s="5"/>
      <c r="DB870" s="5"/>
      <c r="DC870" s="5"/>
      <c r="DD870" s="5"/>
      <c r="DE870" s="5"/>
      <c r="DF870" s="5"/>
      <c r="DG870" s="5"/>
      <c r="DH870" s="5"/>
      <c r="DI870" s="5"/>
      <c r="DJ870" s="5"/>
      <c r="DK870" s="5"/>
      <c r="DL870" s="5"/>
      <c r="DM870" s="5"/>
      <c r="DN870" s="5"/>
      <c r="DO870" s="5"/>
      <c r="DP870" s="5"/>
      <c r="DQ870" s="5"/>
      <c r="DR870" s="5"/>
      <c r="DS870" s="5"/>
      <c r="DT870" s="5"/>
      <c r="DU870" s="5"/>
      <c r="DV870" s="5"/>
      <c r="DW870" s="5"/>
      <c r="DX870" s="5"/>
      <c r="DY870" s="5"/>
      <c r="DZ870" s="5"/>
      <c r="EA870" s="5"/>
      <c r="EB870" s="5"/>
      <c r="EC870" s="5"/>
      <c r="ED870" s="5"/>
      <c r="EE870" s="5"/>
      <c r="EF870" s="5"/>
      <c r="EG870" s="5"/>
      <c r="EH870" s="5"/>
      <c r="EI870" s="5"/>
      <c r="EJ870" s="5"/>
      <c r="EK870" s="5"/>
      <c r="EL870" s="5"/>
      <c r="EM870" s="5"/>
      <c r="EN870" s="5"/>
      <c r="EO870" s="5"/>
      <c r="EP870" s="5"/>
      <c r="EQ870" s="5"/>
      <c r="ER870" s="5"/>
      <c r="ES870" s="5"/>
      <c r="ET870" s="5"/>
      <c r="EU870" s="5"/>
      <c r="EV870" s="5"/>
      <c r="EW870" s="5"/>
      <c r="EX870" s="5"/>
      <c r="EY870" s="5"/>
      <c r="EZ870" s="5"/>
      <c r="FA870" s="5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5"/>
      <c r="CT871" s="5"/>
      <c r="CU871" s="5"/>
      <c r="CV871" s="5"/>
      <c r="CW871" s="5"/>
      <c r="CX871" s="5"/>
      <c r="CY871" s="5"/>
      <c r="CZ871" s="5"/>
      <c r="DA871" s="5"/>
      <c r="DB871" s="5"/>
      <c r="DC871" s="5"/>
      <c r="DD871" s="5"/>
      <c r="DE871" s="5"/>
      <c r="DF871" s="5"/>
      <c r="DG871" s="5"/>
      <c r="DH871" s="5"/>
      <c r="DI871" s="5"/>
      <c r="DJ871" s="5"/>
      <c r="DK871" s="5"/>
      <c r="DL871" s="5"/>
      <c r="DM871" s="5"/>
      <c r="DN871" s="5"/>
      <c r="DO871" s="5"/>
      <c r="DP871" s="5"/>
      <c r="DQ871" s="5"/>
      <c r="DR871" s="5"/>
      <c r="DS871" s="5"/>
      <c r="DT871" s="5"/>
      <c r="DU871" s="5"/>
      <c r="DV871" s="5"/>
      <c r="DW871" s="5"/>
      <c r="DX871" s="5"/>
      <c r="DY871" s="5"/>
      <c r="DZ871" s="5"/>
      <c r="EA871" s="5"/>
      <c r="EB871" s="5"/>
      <c r="EC871" s="5"/>
      <c r="ED871" s="5"/>
      <c r="EE871" s="5"/>
      <c r="EF871" s="5"/>
      <c r="EG871" s="5"/>
      <c r="EH871" s="5"/>
      <c r="EI871" s="5"/>
      <c r="EJ871" s="5"/>
      <c r="EK871" s="5"/>
      <c r="EL871" s="5"/>
      <c r="EM871" s="5"/>
      <c r="EN871" s="5"/>
      <c r="EO871" s="5"/>
      <c r="EP871" s="5"/>
      <c r="EQ871" s="5"/>
      <c r="ER871" s="5"/>
      <c r="ES871" s="5"/>
      <c r="ET871" s="5"/>
      <c r="EU871" s="5"/>
      <c r="EV871" s="5"/>
      <c r="EW871" s="5"/>
      <c r="EX871" s="5"/>
      <c r="EY871" s="5"/>
      <c r="EZ871" s="5"/>
      <c r="FA871" s="5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5"/>
      <c r="CT872" s="5"/>
      <c r="CU872" s="5"/>
      <c r="CV872" s="5"/>
      <c r="CW872" s="5"/>
      <c r="CX872" s="5"/>
      <c r="CY872" s="5"/>
      <c r="CZ872" s="5"/>
      <c r="DA872" s="5"/>
      <c r="DB872" s="5"/>
      <c r="DC872" s="5"/>
      <c r="DD872" s="5"/>
      <c r="DE872" s="5"/>
      <c r="DF872" s="5"/>
      <c r="DG872" s="5"/>
      <c r="DH872" s="5"/>
      <c r="DI872" s="5"/>
      <c r="DJ872" s="5"/>
      <c r="DK872" s="5"/>
      <c r="DL872" s="5"/>
      <c r="DM872" s="5"/>
      <c r="DN872" s="5"/>
      <c r="DO872" s="5"/>
      <c r="DP872" s="5"/>
      <c r="DQ872" s="5"/>
      <c r="DR872" s="5"/>
      <c r="DS872" s="5"/>
      <c r="DT872" s="5"/>
      <c r="DU872" s="5"/>
      <c r="DV872" s="5"/>
      <c r="DW872" s="5"/>
      <c r="DX872" s="5"/>
      <c r="DY872" s="5"/>
      <c r="DZ872" s="5"/>
      <c r="EA872" s="5"/>
      <c r="EB872" s="5"/>
      <c r="EC872" s="5"/>
      <c r="ED872" s="5"/>
      <c r="EE872" s="5"/>
      <c r="EF872" s="5"/>
      <c r="EG872" s="5"/>
      <c r="EH872" s="5"/>
      <c r="EI872" s="5"/>
      <c r="EJ872" s="5"/>
      <c r="EK872" s="5"/>
      <c r="EL872" s="5"/>
      <c r="EM872" s="5"/>
      <c r="EN872" s="5"/>
      <c r="EO872" s="5"/>
      <c r="EP872" s="5"/>
      <c r="EQ872" s="5"/>
      <c r="ER872" s="5"/>
      <c r="ES872" s="5"/>
      <c r="ET872" s="5"/>
      <c r="EU872" s="5"/>
      <c r="EV872" s="5"/>
      <c r="EW872" s="5"/>
      <c r="EX872" s="5"/>
      <c r="EY872" s="5"/>
      <c r="EZ872" s="5"/>
      <c r="FA872" s="5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5"/>
      <c r="CT873" s="5"/>
      <c r="CU873" s="5"/>
      <c r="CV873" s="5"/>
      <c r="CW873" s="5"/>
      <c r="CX873" s="5"/>
      <c r="CY873" s="5"/>
      <c r="CZ873" s="5"/>
      <c r="DA873" s="5"/>
      <c r="DB873" s="5"/>
      <c r="DC873" s="5"/>
      <c r="DD873" s="5"/>
      <c r="DE873" s="5"/>
      <c r="DF873" s="5"/>
      <c r="DG873" s="5"/>
      <c r="DH873" s="5"/>
      <c r="DI873" s="5"/>
      <c r="DJ873" s="5"/>
      <c r="DK873" s="5"/>
      <c r="DL873" s="5"/>
      <c r="DM873" s="5"/>
      <c r="DN873" s="5"/>
      <c r="DO873" s="5"/>
      <c r="DP873" s="5"/>
      <c r="DQ873" s="5"/>
      <c r="DR873" s="5"/>
      <c r="DS873" s="5"/>
      <c r="DT873" s="5"/>
      <c r="DU873" s="5"/>
      <c r="DV873" s="5"/>
      <c r="DW873" s="5"/>
      <c r="DX873" s="5"/>
      <c r="DY873" s="5"/>
      <c r="DZ873" s="5"/>
      <c r="EA873" s="5"/>
      <c r="EB873" s="5"/>
      <c r="EC873" s="5"/>
      <c r="ED873" s="5"/>
      <c r="EE873" s="5"/>
      <c r="EF873" s="5"/>
      <c r="EG873" s="5"/>
      <c r="EH873" s="5"/>
      <c r="EI873" s="5"/>
      <c r="EJ873" s="5"/>
      <c r="EK873" s="5"/>
      <c r="EL873" s="5"/>
      <c r="EM873" s="5"/>
      <c r="EN873" s="5"/>
      <c r="EO873" s="5"/>
      <c r="EP873" s="5"/>
      <c r="EQ873" s="5"/>
      <c r="ER873" s="5"/>
      <c r="ES873" s="5"/>
      <c r="ET873" s="5"/>
      <c r="EU873" s="5"/>
      <c r="EV873" s="5"/>
      <c r="EW873" s="5"/>
      <c r="EX873" s="5"/>
      <c r="EY873" s="5"/>
      <c r="EZ873" s="5"/>
      <c r="FA873" s="5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5"/>
      <c r="CT874" s="5"/>
      <c r="CU874" s="5"/>
      <c r="CV874" s="5"/>
      <c r="CW874" s="5"/>
      <c r="CX874" s="5"/>
      <c r="CY874" s="5"/>
      <c r="CZ874" s="5"/>
      <c r="DA874" s="5"/>
      <c r="DB874" s="5"/>
      <c r="DC874" s="5"/>
      <c r="DD874" s="5"/>
      <c r="DE874" s="5"/>
      <c r="DF874" s="5"/>
      <c r="DG874" s="5"/>
      <c r="DH874" s="5"/>
      <c r="DI874" s="5"/>
      <c r="DJ874" s="5"/>
      <c r="DK874" s="5"/>
      <c r="DL874" s="5"/>
      <c r="DM874" s="5"/>
      <c r="DN874" s="5"/>
      <c r="DO874" s="5"/>
      <c r="DP874" s="5"/>
      <c r="DQ874" s="5"/>
      <c r="DR874" s="5"/>
      <c r="DS874" s="5"/>
      <c r="DT874" s="5"/>
      <c r="DU874" s="5"/>
      <c r="DV874" s="5"/>
      <c r="DW874" s="5"/>
      <c r="DX874" s="5"/>
      <c r="DY874" s="5"/>
      <c r="DZ874" s="5"/>
      <c r="EA874" s="5"/>
      <c r="EB874" s="5"/>
      <c r="EC874" s="5"/>
      <c r="ED874" s="5"/>
      <c r="EE874" s="5"/>
      <c r="EF874" s="5"/>
      <c r="EG874" s="5"/>
      <c r="EH874" s="5"/>
      <c r="EI874" s="5"/>
      <c r="EJ874" s="5"/>
      <c r="EK874" s="5"/>
      <c r="EL874" s="5"/>
      <c r="EM874" s="5"/>
      <c r="EN874" s="5"/>
      <c r="EO874" s="5"/>
      <c r="EP874" s="5"/>
      <c r="EQ874" s="5"/>
      <c r="ER874" s="5"/>
      <c r="ES874" s="5"/>
      <c r="ET874" s="5"/>
      <c r="EU874" s="5"/>
      <c r="EV874" s="5"/>
      <c r="EW874" s="5"/>
      <c r="EX874" s="5"/>
      <c r="EY874" s="5"/>
      <c r="EZ874" s="5"/>
      <c r="FA874" s="5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5"/>
      <c r="CT875" s="5"/>
      <c r="CU875" s="5"/>
      <c r="CV875" s="5"/>
      <c r="CW875" s="5"/>
      <c r="CX875" s="5"/>
      <c r="CY875" s="5"/>
      <c r="CZ875" s="5"/>
      <c r="DA875" s="5"/>
      <c r="DB875" s="5"/>
      <c r="DC875" s="5"/>
      <c r="DD875" s="5"/>
      <c r="DE875" s="5"/>
      <c r="DF875" s="5"/>
      <c r="DG875" s="5"/>
      <c r="DH875" s="5"/>
      <c r="DI875" s="5"/>
      <c r="DJ875" s="5"/>
      <c r="DK875" s="5"/>
      <c r="DL875" s="5"/>
      <c r="DM875" s="5"/>
      <c r="DN875" s="5"/>
      <c r="DO875" s="5"/>
      <c r="DP875" s="5"/>
      <c r="DQ875" s="5"/>
      <c r="DR875" s="5"/>
      <c r="DS875" s="5"/>
      <c r="DT875" s="5"/>
      <c r="DU875" s="5"/>
      <c r="DV875" s="5"/>
      <c r="DW875" s="5"/>
      <c r="DX875" s="5"/>
      <c r="DY875" s="5"/>
      <c r="DZ875" s="5"/>
      <c r="EA875" s="5"/>
      <c r="EB875" s="5"/>
      <c r="EC875" s="5"/>
      <c r="ED875" s="5"/>
      <c r="EE875" s="5"/>
      <c r="EF875" s="5"/>
      <c r="EG875" s="5"/>
      <c r="EH875" s="5"/>
      <c r="EI875" s="5"/>
      <c r="EJ875" s="5"/>
      <c r="EK875" s="5"/>
      <c r="EL875" s="5"/>
      <c r="EM875" s="5"/>
      <c r="EN875" s="5"/>
      <c r="EO875" s="5"/>
      <c r="EP875" s="5"/>
      <c r="EQ875" s="5"/>
      <c r="ER875" s="5"/>
      <c r="ES875" s="5"/>
      <c r="ET875" s="5"/>
      <c r="EU875" s="5"/>
      <c r="EV875" s="5"/>
      <c r="EW875" s="5"/>
      <c r="EX875" s="5"/>
      <c r="EY875" s="5"/>
      <c r="EZ875" s="5"/>
      <c r="FA875" s="5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5"/>
      <c r="CT876" s="5"/>
      <c r="CU876" s="5"/>
      <c r="CV876" s="5"/>
      <c r="CW876" s="5"/>
      <c r="CX876" s="5"/>
      <c r="CY876" s="5"/>
      <c r="CZ876" s="5"/>
      <c r="DA876" s="5"/>
      <c r="DB876" s="5"/>
      <c r="DC876" s="5"/>
      <c r="DD876" s="5"/>
      <c r="DE876" s="5"/>
      <c r="DF876" s="5"/>
      <c r="DG876" s="5"/>
      <c r="DH876" s="5"/>
      <c r="DI876" s="5"/>
      <c r="DJ876" s="5"/>
      <c r="DK876" s="5"/>
      <c r="DL876" s="5"/>
      <c r="DM876" s="5"/>
      <c r="DN876" s="5"/>
      <c r="DO876" s="5"/>
      <c r="DP876" s="5"/>
      <c r="DQ876" s="5"/>
      <c r="DR876" s="5"/>
      <c r="DS876" s="5"/>
      <c r="DT876" s="5"/>
      <c r="DU876" s="5"/>
      <c r="DV876" s="5"/>
      <c r="DW876" s="5"/>
      <c r="DX876" s="5"/>
      <c r="DY876" s="5"/>
      <c r="DZ876" s="5"/>
      <c r="EA876" s="5"/>
      <c r="EB876" s="5"/>
      <c r="EC876" s="5"/>
      <c r="ED876" s="5"/>
      <c r="EE876" s="5"/>
      <c r="EF876" s="5"/>
      <c r="EG876" s="5"/>
      <c r="EH876" s="5"/>
      <c r="EI876" s="5"/>
      <c r="EJ876" s="5"/>
      <c r="EK876" s="5"/>
      <c r="EL876" s="5"/>
      <c r="EM876" s="5"/>
      <c r="EN876" s="5"/>
      <c r="EO876" s="5"/>
      <c r="EP876" s="5"/>
      <c r="EQ876" s="5"/>
      <c r="ER876" s="5"/>
      <c r="ES876" s="5"/>
      <c r="ET876" s="5"/>
      <c r="EU876" s="5"/>
      <c r="EV876" s="5"/>
      <c r="EW876" s="5"/>
      <c r="EX876" s="5"/>
      <c r="EY876" s="5"/>
      <c r="EZ876" s="5"/>
      <c r="FA876" s="5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5"/>
      <c r="CT877" s="5"/>
      <c r="CU877" s="5"/>
      <c r="CV877" s="5"/>
      <c r="CW877" s="5"/>
      <c r="CX877" s="5"/>
      <c r="CY877" s="5"/>
      <c r="CZ877" s="5"/>
      <c r="DA877" s="5"/>
      <c r="DB877" s="5"/>
      <c r="DC877" s="5"/>
      <c r="DD877" s="5"/>
      <c r="DE877" s="5"/>
      <c r="DF877" s="5"/>
      <c r="DG877" s="5"/>
      <c r="DH877" s="5"/>
      <c r="DI877" s="5"/>
      <c r="DJ877" s="5"/>
      <c r="DK877" s="5"/>
      <c r="DL877" s="5"/>
      <c r="DM877" s="5"/>
      <c r="DN877" s="5"/>
      <c r="DO877" s="5"/>
      <c r="DP877" s="5"/>
      <c r="DQ877" s="5"/>
      <c r="DR877" s="5"/>
      <c r="DS877" s="5"/>
      <c r="DT877" s="5"/>
      <c r="DU877" s="5"/>
      <c r="DV877" s="5"/>
      <c r="DW877" s="5"/>
      <c r="DX877" s="5"/>
      <c r="DY877" s="5"/>
      <c r="DZ877" s="5"/>
      <c r="EA877" s="5"/>
      <c r="EB877" s="5"/>
      <c r="EC877" s="5"/>
      <c r="ED877" s="5"/>
      <c r="EE877" s="5"/>
      <c r="EF877" s="5"/>
      <c r="EG877" s="5"/>
      <c r="EH877" s="5"/>
      <c r="EI877" s="5"/>
      <c r="EJ877" s="5"/>
      <c r="EK877" s="5"/>
      <c r="EL877" s="5"/>
      <c r="EM877" s="5"/>
      <c r="EN877" s="5"/>
      <c r="EO877" s="5"/>
      <c r="EP877" s="5"/>
      <c r="EQ877" s="5"/>
      <c r="ER877" s="5"/>
      <c r="ES877" s="5"/>
      <c r="ET877" s="5"/>
      <c r="EU877" s="5"/>
      <c r="EV877" s="5"/>
      <c r="EW877" s="5"/>
      <c r="EX877" s="5"/>
      <c r="EY877" s="5"/>
      <c r="EZ877" s="5"/>
      <c r="FA877" s="5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5"/>
      <c r="CT878" s="5"/>
      <c r="CU878" s="5"/>
      <c r="CV878" s="5"/>
      <c r="CW878" s="5"/>
      <c r="CX878" s="5"/>
      <c r="CY878" s="5"/>
      <c r="CZ878" s="5"/>
      <c r="DA878" s="5"/>
      <c r="DB878" s="5"/>
      <c r="DC878" s="5"/>
      <c r="DD878" s="5"/>
      <c r="DE878" s="5"/>
      <c r="DF878" s="5"/>
      <c r="DG878" s="5"/>
      <c r="DH878" s="5"/>
      <c r="DI878" s="5"/>
      <c r="DJ878" s="5"/>
      <c r="DK878" s="5"/>
      <c r="DL878" s="5"/>
      <c r="DM878" s="5"/>
      <c r="DN878" s="5"/>
      <c r="DO878" s="5"/>
      <c r="DP878" s="5"/>
      <c r="DQ878" s="5"/>
      <c r="DR878" s="5"/>
      <c r="DS878" s="5"/>
      <c r="DT878" s="5"/>
      <c r="DU878" s="5"/>
      <c r="DV878" s="5"/>
      <c r="DW878" s="5"/>
      <c r="DX878" s="5"/>
      <c r="DY878" s="5"/>
      <c r="DZ878" s="5"/>
      <c r="EA878" s="5"/>
      <c r="EB878" s="5"/>
      <c r="EC878" s="5"/>
      <c r="ED878" s="5"/>
      <c r="EE878" s="5"/>
      <c r="EF878" s="5"/>
      <c r="EG878" s="5"/>
      <c r="EH878" s="5"/>
      <c r="EI878" s="5"/>
      <c r="EJ878" s="5"/>
      <c r="EK878" s="5"/>
      <c r="EL878" s="5"/>
      <c r="EM878" s="5"/>
      <c r="EN878" s="5"/>
      <c r="EO878" s="5"/>
      <c r="EP878" s="5"/>
      <c r="EQ878" s="5"/>
      <c r="ER878" s="5"/>
      <c r="ES878" s="5"/>
      <c r="ET878" s="5"/>
      <c r="EU878" s="5"/>
      <c r="EV878" s="5"/>
      <c r="EW878" s="5"/>
      <c r="EX878" s="5"/>
      <c r="EY878" s="5"/>
      <c r="EZ878" s="5"/>
      <c r="FA878" s="5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5"/>
      <c r="CT879" s="5"/>
      <c r="CU879" s="5"/>
      <c r="CV879" s="5"/>
      <c r="CW879" s="5"/>
      <c r="CX879" s="5"/>
      <c r="CY879" s="5"/>
      <c r="CZ879" s="5"/>
      <c r="DA879" s="5"/>
      <c r="DB879" s="5"/>
      <c r="DC879" s="5"/>
      <c r="DD879" s="5"/>
      <c r="DE879" s="5"/>
      <c r="DF879" s="5"/>
      <c r="DG879" s="5"/>
      <c r="DH879" s="5"/>
      <c r="DI879" s="5"/>
      <c r="DJ879" s="5"/>
      <c r="DK879" s="5"/>
      <c r="DL879" s="5"/>
      <c r="DM879" s="5"/>
      <c r="DN879" s="5"/>
      <c r="DO879" s="5"/>
      <c r="DP879" s="5"/>
      <c r="DQ879" s="5"/>
      <c r="DR879" s="5"/>
      <c r="DS879" s="5"/>
      <c r="DT879" s="5"/>
      <c r="DU879" s="5"/>
      <c r="DV879" s="5"/>
      <c r="DW879" s="5"/>
      <c r="DX879" s="5"/>
      <c r="DY879" s="5"/>
      <c r="DZ879" s="5"/>
      <c r="EA879" s="5"/>
      <c r="EB879" s="5"/>
      <c r="EC879" s="5"/>
      <c r="ED879" s="5"/>
      <c r="EE879" s="5"/>
      <c r="EF879" s="5"/>
      <c r="EG879" s="5"/>
      <c r="EH879" s="5"/>
      <c r="EI879" s="5"/>
      <c r="EJ879" s="5"/>
      <c r="EK879" s="5"/>
      <c r="EL879" s="5"/>
      <c r="EM879" s="5"/>
      <c r="EN879" s="5"/>
      <c r="EO879" s="5"/>
      <c r="EP879" s="5"/>
      <c r="EQ879" s="5"/>
      <c r="ER879" s="5"/>
      <c r="ES879" s="5"/>
      <c r="ET879" s="5"/>
      <c r="EU879" s="5"/>
      <c r="EV879" s="5"/>
      <c r="EW879" s="5"/>
      <c r="EX879" s="5"/>
      <c r="EY879" s="5"/>
      <c r="EZ879" s="5"/>
      <c r="FA879" s="5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5"/>
      <c r="CT880" s="5"/>
      <c r="CU880" s="5"/>
      <c r="CV880" s="5"/>
      <c r="CW880" s="5"/>
      <c r="CX880" s="5"/>
      <c r="CY880" s="5"/>
      <c r="CZ880" s="5"/>
      <c r="DA880" s="5"/>
      <c r="DB880" s="5"/>
      <c r="DC880" s="5"/>
      <c r="DD880" s="5"/>
      <c r="DE880" s="5"/>
      <c r="DF880" s="5"/>
      <c r="DG880" s="5"/>
      <c r="DH880" s="5"/>
      <c r="DI880" s="5"/>
      <c r="DJ880" s="5"/>
      <c r="DK880" s="5"/>
      <c r="DL880" s="5"/>
      <c r="DM880" s="5"/>
      <c r="DN880" s="5"/>
      <c r="DO880" s="5"/>
      <c r="DP880" s="5"/>
      <c r="DQ880" s="5"/>
      <c r="DR880" s="5"/>
      <c r="DS880" s="5"/>
      <c r="DT880" s="5"/>
      <c r="DU880" s="5"/>
      <c r="DV880" s="5"/>
      <c r="DW880" s="5"/>
      <c r="DX880" s="5"/>
      <c r="DY880" s="5"/>
      <c r="DZ880" s="5"/>
      <c r="EA880" s="5"/>
      <c r="EB880" s="5"/>
      <c r="EC880" s="5"/>
      <c r="ED880" s="5"/>
      <c r="EE880" s="5"/>
      <c r="EF880" s="5"/>
      <c r="EG880" s="5"/>
      <c r="EH880" s="5"/>
      <c r="EI880" s="5"/>
      <c r="EJ880" s="5"/>
      <c r="EK880" s="5"/>
      <c r="EL880" s="5"/>
      <c r="EM880" s="5"/>
      <c r="EN880" s="5"/>
      <c r="EO880" s="5"/>
      <c r="EP880" s="5"/>
      <c r="EQ880" s="5"/>
      <c r="ER880" s="5"/>
      <c r="ES880" s="5"/>
      <c r="ET880" s="5"/>
      <c r="EU880" s="5"/>
      <c r="EV880" s="5"/>
      <c r="EW880" s="5"/>
      <c r="EX880" s="5"/>
      <c r="EY880" s="5"/>
      <c r="EZ880" s="5"/>
      <c r="FA880" s="5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5"/>
      <c r="CT881" s="5"/>
      <c r="CU881" s="5"/>
      <c r="CV881" s="5"/>
      <c r="CW881" s="5"/>
      <c r="CX881" s="5"/>
      <c r="CY881" s="5"/>
      <c r="CZ881" s="5"/>
      <c r="DA881" s="5"/>
      <c r="DB881" s="5"/>
      <c r="DC881" s="5"/>
      <c r="DD881" s="5"/>
      <c r="DE881" s="5"/>
      <c r="DF881" s="5"/>
      <c r="DG881" s="5"/>
      <c r="DH881" s="5"/>
      <c r="DI881" s="5"/>
      <c r="DJ881" s="5"/>
      <c r="DK881" s="5"/>
      <c r="DL881" s="5"/>
      <c r="DM881" s="5"/>
      <c r="DN881" s="5"/>
      <c r="DO881" s="5"/>
      <c r="DP881" s="5"/>
      <c r="DQ881" s="5"/>
      <c r="DR881" s="5"/>
      <c r="DS881" s="5"/>
      <c r="DT881" s="5"/>
      <c r="DU881" s="5"/>
      <c r="DV881" s="5"/>
      <c r="DW881" s="5"/>
      <c r="DX881" s="5"/>
      <c r="DY881" s="5"/>
      <c r="DZ881" s="5"/>
      <c r="EA881" s="5"/>
      <c r="EB881" s="5"/>
      <c r="EC881" s="5"/>
      <c r="ED881" s="5"/>
      <c r="EE881" s="5"/>
      <c r="EF881" s="5"/>
      <c r="EG881" s="5"/>
      <c r="EH881" s="5"/>
      <c r="EI881" s="5"/>
      <c r="EJ881" s="5"/>
      <c r="EK881" s="5"/>
      <c r="EL881" s="5"/>
      <c r="EM881" s="5"/>
      <c r="EN881" s="5"/>
      <c r="EO881" s="5"/>
      <c r="EP881" s="5"/>
      <c r="EQ881" s="5"/>
      <c r="ER881" s="5"/>
      <c r="ES881" s="5"/>
      <c r="ET881" s="5"/>
      <c r="EU881" s="5"/>
      <c r="EV881" s="5"/>
      <c r="EW881" s="5"/>
      <c r="EX881" s="5"/>
      <c r="EY881" s="5"/>
      <c r="EZ881" s="5"/>
      <c r="FA881" s="5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5"/>
      <c r="CT882" s="5"/>
      <c r="CU882" s="5"/>
      <c r="CV882" s="5"/>
      <c r="CW882" s="5"/>
      <c r="CX882" s="5"/>
      <c r="CY882" s="5"/>
      <c r="CZ882" s="5"/>
      <c r="DA882" s="5"/>
      <c r="DB882" s="5"/>
      <c r="DC882" s="5"/>
      <c r="DD882" s="5"/>
      <c r="DE882" s="5"/>
      <c r="DF882" s="5"/>
      <c r="DG882" s="5"/>
      <c r="DH882" s="5"/>
      <c r="DI882" s="5"/>
      <c r="DJ882" s="5"/>
      <c r="DK882" s="5"/>
      <c r="DL882" s="5"/>
      <c r="DM882" s="5"/>
      <c r="DN882" s="5"/>
      <c r="DO882" s="5"/>
      <c r="DP882" s="5"/>
      <c r="DQ882" s="5"/>
      <c r="DR882" s="5"/>
      <c r="DS882" s="5"/>
      <c r="DT882" s="5"/>
      <c r="DU882" s="5"/>
      <c r="DV882" s="5"/>
      <c r="DW882" s="5"/>
      <c r="DX882" s="5"/>
      <c r="DY882" s="5"/>
      <c r="DZ882" s="5"/>
      <c r="EA882" s="5"/>
      <c r="EB882" s="5"/>
      <c r="EC882" s="5"/>
      <c r="ED882" s="5"/>
      <c r="EE882" s="5"/>
      <c r="EF882" s="5"/>
      <c r="EG882" s="5"/>
      <c r="EH882" s="5"/>
      <c r="EI882" s="5"/>
      <c r="EJ882" s="5"/>
      <c r="EK882" s="5"/>
      <c r="EL882" s="5"/>
      <c r="EM882" s="5"/>
      <c r="EN882" s="5"/>
      <c r="EO882" s="5"/>
      <c r="EP882" s="5"/>
      <c r="EQ882" s="5"/>
      <c r="ER882" s="5"/>
      <c r="ES882" s="5"/>
      <c r="ET882" s="5"/>
      <c r="EU882" s="5"/>
      <c r="EV882" s="5"/>
      <c r="EW882" s="5"/>
      <c r="EX882" s="5"/>
      <c r="EY882" s="5"/>
      <c r="EZ882" s="5"/>
      <c r="FA882" s="5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5"/>
      <c r="CT883" s="5"/>
      <c r="CU883" s="5"/>
      <c r="CV883" s="5"/>
      <c r="CW883" s="5"/>
      <c r="CX883" s="5"/>
      <c r="CY883" s="5"/>
      <c r="CZ883" s="5"/>
      <c r="DA883" s="5"/>
      <c r="DB883" s="5"/>
      <c r="DC883" s="5"/>
      <c r="DD883" s="5"/>
      <c r="DE883" s="5"/>
      <c r="DF883" s="5"/>
      <c r="DG883" s="5"/>
      <c r="DH883" s="5"/>
      <c r="DI883" s="5"/>
      <c r="DJ883" s="5"/>
      <c r="DK883" s="5"/>
      <c r="DL883" s="5"/>
      <c r="DM883" s="5"/>
      <c r="DN883" s="5"/>
      <c r="DO883" s="5"/>
      <c r="DP883" s="5"/>
      <c r="DQ883" s="5"/>
      <c r="DR883" s="5"/>
      <c r="DS883" s="5"/>
      <c r="DT883" s="5"/>
      <c r="DU883" s="5"/>
      <c r="DV883" s="5"/>
      <c r="DW883" s="5"/>
      <c r="DX883" s="5"/>
      <c r="DY883" s="5"/>
      <c r="DZ883" s="5"/>
      <c r="EA883" s="5"/>
      <c r="EB883" s="5"/>
      <c r="EC883" s="5"/>
      <c r="ED883" s="5"/>
      <c r="EE883" s="5"/>
      <c r="EF883" s="5"/>
      <c r="EG883" s="5"/>
      <c r="EH883" s="5"/>
      <c r="EI883" s="5"/>
      <c r="EJ883" s="5"/>
      <c r="EK883" s="5"/>
      <c r="EL883" s="5"/>
      <c r="EM883" s="5"/>
      <c r="EN883" s="5"/>
      <c r="EO883" s="5"/>
      <c r="EP883" s="5"/>
      <c r="EQ883" s="5"/>
      <c r="ER883" s="5"/>
      <c r="ES883" s="5"/>
      <c r="ET883" s="5"/>
      <c r="EU883" s="5"/>
      <c r="EV883" s="5"/>
      <c r="EW883" s="5"/>
      <c r="EX883" s="5"/>
      <c r="EY883" s="5"/>
      <c r="EZ883" s="5"/>
      <c r="FA883" s="5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5"/>
      <c r="CT884" s="5"/>
      <c r="CU884" s="5"/>
      <c r="CV884" s="5"/>
      <c r="CW884" s="5"/>
      <c r="CX884" s="5"/>
      <c r="CY884" s="5"/>
      <c r="CZ884" s="5"/>
      <c r="DA884" s="5"/>
      <c r="DB884" s="5"/>
      <c r="DC884" s="5"/>
      <c r="DD884" s="5"/>
      <c r="DE884" s="5"/>
      <c r="DF884" s="5"/>
      <c r="DG884" s="5"/>
      <c r="DH884" s="5"/>
      <c r="DI884" s="5"/>
      <c r="DJ884" s="5"/>
      <c r="DK884" s="5"/>
      <c r="DL884" s="5"/>
      <c r="DM884" s="5"/>
      <c r="DN884" s="5"/>
      <c r="DO884" s="5"/>
      <c r="DP884" s="5"/>
      <c r="DQ884" s="5"/>
      <c r="DR884" s="5"/>
      <c r="DS884" s="5"/>
      <c r="DT884" s="5"/>
      <c r="DU884" s="5"/>
      <c r="DV884" s="5"/>
      <c r="DW884" s="5"/>
      <c r="DX884" s="5"/>
      <c r="DY884" s="5"/>
      <c r="DZ884" s="5"/>
      <c r="EA884" s="5"/>
      <c r="EB884" s="5"/>
      <c r="EC884" s="5"/>
      <c r="ED884" s="5"/>
      <c r="EE884" s="5"/>
      <c r="EF884" s="5"/>
      <c r="EG884" s="5"/>
      <c r="EH884" s="5"/>
      <c r="EI884" s="5"/>
      <c r="EJ884" s="5"/>
      <c r="EK884" s="5"/>
      <c r="EL884" s="5"/>
      <c r="EM884" s="5"/>
      <c r="EN884" s="5"/>
      <c r="EO884" s="5"/>
      <c r="EP884" s="5"/>
      <c r="EQ884" s="5"/>
      <c r="ER884" s="5"/>
      <c r="ES884" s="5"/>
      <c r="ET884" s="5"/>
      <c r="EU884" s="5"/>
      <c r="EV884" s="5"/>
      <c r="EW884" s="5"/>
      <c r="EX884" s="5"/>
      <c r="EY884" s="5"/>
      <c r="EZ884" s="5"/>
      <c r="FA884" s="5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5"/>
      <c r="CT885" s="5"/>
      <c r="CU885" s="5"/>
      <c r="CV885" s="5"/>
      <c r="CW885" s="5"/>
      <c r="CX885" s="5"/>
      <c r="CY885" s="5"/>
      <c r="CZ885" s="5"/>
      <c r="DA885" s="5"/>
      <c r="DB885" s="5"/>
      <c r="DC885" s="5"/>
      <c r="DD885" s="5"/>
      <c r="DE885" s="5"/>
      <c r="DF885" s="5"/>
      <c r="DG885" s="5"/>
      <c r="DH885" s="5"/>
      <c r="DI885" s="5"/>
      <c r="DJ885" s="5"/>
      <c r="DK885" s="5"/>
      <c r="DL885" s="5"/>
      <c r="DM885" s="5"/>
      <c r="DN885" s="5"/>
      <c r="DO885" s="5"/>
      <c r="DP885" s="5"/>
      <c r="DQ885" s="5"/>
      <c r="DR885" s="5"/>
      <c r="DS885" s="5"/>
      <c r="DT885" s="5"/>
      <c r="DU885" s="5"/>
      <c r="DV885" s="5"/>
      <c r="DW885" s="5"/>
      <c r="DX885" s="5"/>
      <c r="DY885" s="5"/>
      <c r="DZ885" s="5"/>
      <c r="EA885" s="5"/>
      <c r="EB885" s="5"/>
      <c r="EC885" s="5"/>
      <c r="ED885" s="5"/>
      <c r="EE885" s="5"/>
      <c r="EF885" s="5"/>
      <c r="EG885" s="5"/>
      <c r="EH885" s="5"/>
      <c r="EI885" s="5"/>
      <c r="EJ885" s="5"/>
      <c r="EK885" s="5"/>
      <c r="EL885" s="5"/>
      <c r="EM885" s="5"/>
      <c r="EN885" s="5"/>
      <c r="EO885" s="5"/>
      <c r="EP885" s="5"/>
      <c r="EQ885" s="5"/>
      <c r="ER885" s="5"/>
      <c r="ES885" s="5"/>
      <c r="ET885" s="5"/>
      <c r="EU885" s="5"/>
      <c r="EV885" s="5"/>
      <c r="EW885" s="5"/>
      <c r="EX885" s="5"/>
      <c r="EY885" s="5"/>
      <c r="EZ885" s="5"/>
      <c r="FA885" s="5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5"/>
      <c r="CT886" s="5"/>
      <c r="CU886" s="5"/>
      <c r="CV886" s="5"/>
      <c r="CW886" s="5"/>
      <c r="CX886" s="5"/>
      <c r="CY886" s="5"/>
      <c r="CZ886" s="5"/>
      <c r="DA886" s="5"/>
      <c r="DB886" s="5"/>
      <c r="DC886" s="5"/>
      <c r="DD886" s="5"/>
      <c r="DE886" s="5"/>
      <c r="DF886" s="5"/>
      <c r="DG886" s="5"/>
      <c r="DH886" s="5"/>
      <c r="DI886" s="5"/>
      <c r="DJ886" s="5"/>
      <c r="DK886" s="5"/>
      <c r="DL886" s="5"/>
      <c r="DM886" s="5"/>
      <c r="DN886" s="5"/>
      <c r="DO886" s="5"/>
      <c r="DP886" s="5"/>
      <c r="DQ886" s="5"/>
      <c r="DR886" s="5"/>
      <c r="DS886" s="5"/>
      <c r="DT886" s="5"/>
      <c r="DU886" s="5"/>
      <c r="DV886" s="5"/>
      <c r="DW886" s="5"/>
      <c r="DX886" s="5"/>
      <c r="DY886" s="5"/>
      <c r="DZ886" s="5"/>
      <c r="EA886" s="5"/>
      <c r="EB886" s="5"/>
      <c r="EC886" s="5"/>
      <c r="ED886" s="5"/>
      <c r="EE886" s="5"/>
      <c r="EF886" s="5"/>
      <c r="EG886" s="5"/>
      <c r="EH886" s="5"/>
      <c r="EI886" s="5"/>
      <c r="EJ886" s="5"/>
      <c r="EK886" s="5"/>
      <c r="EL886" s="5"/>
      <c r="EM886" s="5"/>
      <c r="EN886" s="5"/>
      <c r="EO886" s="5"/>
      <c r="EP886" s="5"/>
      <c r="EQ886" s="5"/>
      <c r="ER886" s="5"/>
      <c r="ES886" s="5"/>
      <c r="ET886" s="5"/>
      <c r="EU886" s="5"/>
      <c r="EV886" s="5"/>
      <c r="EW886" s="5"/>
      <c r="EX886" s="5"/>
      <c r="EY886" s="5"/>
      <c r="EZ886" s="5"/>
      <c r="FA886" s="5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5"/>
      <c r="CT887" s="5"/>
      <c r="CU887" s="5"/>
      <c r="CV887" s="5"/>
      <c r="CW887" s="5"/>
      <c r="CX887" s="5"/>
      <c r="CY887" s="5"/>
      <c r="CZ887" s="5"/>
      <c r="DA887" s="5"/>
      <c r="DB887" s="5"/>
      <c r="DC887" s="5"/>
      <c r="DD887" s="5"/>
      <c r="DE887" s="5"/>
      <c r="DF887" s="5"/>
      <c r="DG887" s="5"/>
      <c r="DH887" s="5"/>
      <c r="DI887" s="5"/>
      <c r="DJ887" s="5"/>
      <c r="DK887" s="5"/>
      <c r="DL887" s="5"/>
      <c r="DM887" s="5"/>
      <c r="DN887" s="5"/>
      <c r="DO887" s="5"/>
      <c r="DP887" s="5"/>
      <c r="DQ887" s="5"/>
      <c r="DR887" s="5"/>
      <c r="DS887" s="5"/>
      <c r="DT887" s="5"/>
      <c r="DU887" s="5"/>
      <c r="DV887" s="5"/>
      <c r="DW887" s="5"/>
      <c r="DX887" s="5"/>
      <c r="DY887" s="5"/>
      <c r="DZ887" s="5"/>
      <c r="EA887" s="5"/>
      <c r="EB887" s="5"/>
      <c r="EC887" s="5"/>
      <c r="ED887" s="5"/>
      <c r="EE887" s="5"/>
      <c r="EF887" s="5"/>
      <c r="EG887" s="5"/>
      <c r="EH887" s="5"/>
      <c r="EI887" s="5"/>
      <c r="EJ887" s="5"/>
      <c r="EK887" s="5"/>
      <c r="EL887" s="5"/>
      <c r="EM887" s="5"/>
      <c r="EN887" s="5"/>
      <c r="EO887" s="5"/>
      <c r="EP887" s="5"/>
      <c r="EQ887" s="5"/>
      <c r="ER887" s="5"/>
      <c r="ES887" s="5"/>
      <c r="ET887" s="5"/>
      <c r="EU887" s="5"/>
      <c r="EV887" s="5"/>
      <c r="EW887" s="5"/>
      <c r="EX887" s="5"/>
      <c r="EY887" s="5"/>
      <c r="EZ887" s="5"/>
      <c r="FA887" s="5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5"/>
      <c r="CT888" s="5"/>
      <c r="CU888" s="5"/>
      <c r="CV888" s="5"/>
      <c r="CW888" s="5"/>
      <c r="CX888" s="5"/>
      <c r="CY888" s="5"/>
      <c r="CZ888" s="5"/>
      <c r="DA888" s="5"/>
      <c r="DB888" s="5"/>
      <c r="DC888" s="5"/>
      <c r="DD888" s="5"/>
      <c r="DE888" s="5"/>
      <c r="DF888" s="5"/>
      <c r="DG888" s="5"/>
      <c r="DH888" s="5"/>
      <c r="DI888" s="5"/>
      <c r="DJ888" s="5"/>
      <c r="DK888" s="5"/>
      <c r="DL888" s="5"/>
      <c r="DM888" s="5"/>
      <c r="DN888" s="5"/>
      <c r="DO888" s="5"/>
      <c r="DP888" s="5"/>
      <c r="DQ888" s="5"/>
      <c r="DR888" s="5"/>
      <c r="DS888" s="5"/>
      <c r="DT888" s="5"/>
      <c r="DU888" s="5"/>
      <c r="DV888" s="5"/>
      <c r="DW888" s="5"/>
      <c r="DX888" s="5"/>
      <c r="DY888" s="5"/>
      <c r="DZ888" s="5"/>
      <c r="EA888" s="5"/>
      <c r="EB888" s="5"/>
      <c r="EC888" s="5"/>
      <c r="ED888" s="5"/>
      <c r="EE888" s="5"/>
      <c r="EF888" s="5"/>
      <c r="EG888" s="5"/>
      <c r="EH888" s="5"/>
      <c r="EI888" s="5"/>
      <c r="EJ888" s="5"/>
      <c r="EK888" s="5"/>
      <c r="EL888" s="5"/>
      <c r="EM888" s="5"/>
      <c r="EN888" s="5"/>
      <c r="EO888" s="5"/>
      <c r="EP888" s="5"/>
      <c r="EQ888" s="5"/>
      <c r="ER888" s="5"/>
      <c r="ES888" s="5"/>
      <c r="ET888" s="5"/>
      <c r="EU888" s="5"/>
      <c r="EV888" s="5"/>
      <c r="EW888" s="5"/>
      <c r="EX888" s="5"/>
      <c r="EY888" s="5"/>
      <c r="EZ888" s="5"/>
      <c r="FA888" s="5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5"/>
      <c r="CT889" s="5"/>
      <c r="CU889" s="5"/>
      <c r="CV889" s="5"/>
      <c r="CW889" s="5"/>
      <c r="CX889" s="5"/>
      <c r="CY889" s="5"/>
      <c r="CZ889" s="5"/>
      <c r="DA889" s="5"/>
      <c r="DB889" s="5"/>
      <c r="DC889" s="5"/>
      <c r="DD889" s="5"/>
      <c r="DE889" s="5"/>
      <c r="DF889" s="5"/>
      <c r="DG889" s="5"/>
      <c r="DH889" s="5"/>
      <c r="DI889" s="5"/>
      <c r="DJ889" s="5"/>
      <c r="DK889" s="5"/>
      <c r="DL889" s="5"/>
      <c r="DM889" s="5"/>
      <c r="DN889" s="5"/>
      <c r="DO889" s="5"/>
      <c r="DP889" s="5"/>
      <c r="DQ889" s="5"/>
      <c r="DR889" s="5"/>
      <c r="DS889" s="5"/>
      <c r="DT889" s="5"/>
      <c r="DU889" s="5"/>
      <c r="DV889" s="5"/>
      <c r="DW889" s="5"/>
      <c r="DX889" s="5"/>
      <c r="DY889" s="5"/>
      <c r="DZ889" s="5"/>
      <c r="EA889" s="5"/>
      <c r="EB889" s="5"/>
      <c r="EC889" s="5"/>
      <c r="ED889" s="5"/>
      <c r="EE889" s="5"/>
      <c r="EF889" s="5"/>
      <c r="EG889" s="5"/>
      <c r="EH889" s="5"/>
      <c r="EI889" s="5"/>
      <c r="EJ889" s="5"/>
      <c r="EK889" s="5"/>
      <c r="EL889" s="5"/>
      <c r="EM889" s="5"/>
      <c r="EN889" s="5"/>
      <c r="EO889" s="5"/>
      <c r="EP889" s="5"/>
      <c r="EQ889" s="5"/>
      <c r="ER889" s="5"/>
      <c r="ES889" s="5"/>
      <c r="ET889" s="5"/>
      <c r="EU889" s="5"/>
      <c r="EV889" s="5"/>
      <c r="EW889" s="5"/>
      <c r="EX889" s="5"/>
      <c r="EY889" s="5"/>
      <c r="EZ889" s="5"/>
      <c r="FA889" s="5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5"/>
      <c r="CT890" s="5"/>
      <c r="CU890" s="5"/>
      <c r="CV890" s="5"/>
      <c r="CW890" s="5"/>
      <c r="CX890" s="5"/>
      <c r="CY890" s="5"/>
      <c r="CZ890" s="5"/>
      <c r="DA890" s="5"/>
      <c r="DB890" s="5"/>
      <c r="DC890" s="5"/>
      <c r="DD890" s="5"/>
      <c r="DE890" s="5"/>
      <c r="DF890" s="5"/>
      <c r="DG890" s="5"/>
      <c r="DH890" s="5"/>
      <c r="DI890" s="5"/>
      <c r="DJ890" s="5"/>
      <c r="DK890" s="5"/>
      <c r="DL890" s="5"/>
      <c r="DM890" s="5"/>
      <c r="DN890" s="5"/>
      <c r="DO890" s="5"/>
      <c r="DP890" s="5"/>
      <c r="DQ890" s="5"/>
      <c r="DR890" s="5"/>
      <c r="DS890" s="5"/>
      <c r="DT890" s="5"/>
      <c r="DU890" s="5"/>
      <c r="DV890" s="5"/>
      <c r="DW890" s="5"/>
      <c r="DX890" s="5"/>
      <c r="DY890" s="5"/>
      <c r="DZ890" s="5"/>
      <c r="EA890" s="5"/>
      <c r="EB890" s="5"/>
      <c r="EC890" s="5"/>
      <c r="ED890" s="5"/>
      <c r="EE890" s="5"/>
      <c r="EF890" s="5"/>
      <c r="EG890" s="5"/>
      <c r="EH890" s="5"/>
      <c r="EI890" s="5"/>
      <c r="EJ890" s="5"/>
      <c r="EK890" s="5"/>
      <c r="EL890" s="5"/>
      <c r="EM890" s="5"/>
      <c r="EN890" s="5"/>
      <c r="EO890" s="5"/>
      <c r="EP890" s="5"/>
      <c r="EQ890" s="5"/>
      <c r="ER890" s="5"/>
      <c r="ES890" s="5"/>
      <c r="ET890" s="5"/>
      <c r="EU890" s="5"/>
      <c r="EV890" s="5"/>
      <c r="EW890" s="5"/>
      <c r="EX890" s="5"/>
      <c r="EY890" s="5"/>
      <c r="EZ890" s="5"/>
      <c r="FA890" s="5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5"/>
      <c r="CT891" s="5"/>
      <c r="CU891" s="5"/>
      <c r="CV891" s="5"/>
      <c r="CW891" s="5"/>
      <c r="CX891" s="5"/>
      <c r="CY891" s="5"/>
      <c r="CZ891" s="5"/>
      <c r="DA891" s="5"/>
      <c r="DB891" s="5"/>
      <c r="DC891" s="5"/>
      <c r="DD891" s="5"/>
      <c r="DE891" s="5"/>
      <c r="DF891" s="5"/>
      <c r="DG891" s="5"/>
      <c r="DH891" s="5"/>
      <c r="DI891" s="5"/>
      <c r="DJ891" s="5"/>
      <c r="DK891" s="5"/>
      <c r="DL891" s="5"/>
      <c r="DM891" s="5"/>
      <c r="DN891" s="5"/>
      <c r="DO891" s="5"/>
      <c r="DP891" s="5"/>
      <c r="DQ891" s="5"/>
      <c r="DR891" s="5"/>
      <c r="DS891" s="5"/>
      <c r="DT891" s="5"/>
      <c r="DU891" s="5"/>
      <c r="DV891" s="5"/>
      <c r="DW891" s="5"/>
      <c r="DX891" s="5"/>
      <c r="DY891" s="5"/>
      <c r="DZ891" s="5"/>
      <c r="EA891" s="5"/>
      <c r="EB891" s="5"/>
      <c r="EC891" s="5"/>
      <c r="ED891" s="5"/>
      <c r="EE891" s="5"/>
      <c r="EF891" s="5"/>
      <c r="EG891" s="5"/>
      <c r="EH891" s="5"/>
      <c r="EI891" s="5"/>
      <c r="EJ891" s="5"/>
      <c r="EK891" s="5"/>
      <c r="EL891" s="5"/>
      <c r="EM891" s="5"/>
      <c r="EN891" s="5"/>
      <c r="EO891" s="5"/>
      <c r="EP891" s="5"/>
      <c r="EQ891" s="5"/>
      <c r="ER891" s="5"/>
      <c r="ES891" s="5"/>
      <c r="ET891" s="5"/>
      <c r="EU891" s="5"/>
      <c r="EV891" s="5"/>
      <c r="EW891" s="5"/>
      <c r="EX891" s="5"/>
      <c r="EY891" s="5"/>
      <c r="EZ891" s="5"/>
      <c r="FA891" s="5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5"/>
      <c r="CT892" s="5"/>
      <c r="CU892" s="5"/>
      <c r="CV892" s="5"/>
      <c r="CW892" s="5"/>
      <c r="CX892" s="5"/>
      <c r="CY892" s="5"/>
      <c r="CZ892" s="5"/>
      <c r="DA892" s="5"/>
      <c r="DB892" s="5"/>
      <c r="DC892" s="5"/>
      <c r="DD892" s="5"/>
      <c r="DE892" s="5"/>
      <c r="DF892" s="5"/>
      <c r="DG892" s="5"/>
      <c r="DH892" s="5"/>
      <c r="DI892" s="5"/>
      <c r="DJ892" s="5"/>
      <c r="DK892" s="5"/>
      <c r="DL892" s="5"/>
      <c r="DM892" s="5"/>
      <c r="DN892" s="5"/>
      <c r="DO892" s="5"/>
      <c r="DP892" s="5"/>
      <c r="DQ892" s="5"/>
      <c r="DR892" s="5"/>
      <c r="DS892" s="5"/>
      <c r="DT892" s="5"/>
      <c r="DU892" s="5"/>
      <c r="DV892" s="5"/>
      <c r="DW892" s="5"/>
      <c r="DX892" s="5"/>
      <c r="DY892" s="5"/>
      <c r="DZ892" s="5"/>
      <c r="EA892" s="5"/>
      <c r="EB892" s="5"/>
      <c r="EC892" s="5"/>
      <c r="ED892" s="5"/>
      <c r="EE892" s="5"/>
      <c r="EF892" s="5"/>
      <c r="EG892" s="5"/>
      <c r="EH892" s="5"/>
      <c r="EI892" s="5"/>
      <c r="EJ892" s="5"/>
      <c r="EK892" s="5"/>
      <c r="EL892" s="5"/>
      <c r="EM892" s="5"/>
      <c r="EN892" s="5"/>
      <c r="EO892" s="5"/>
      <c r="EP892" s="5"/>
      <c r="EQ892" s="5"/>
      <c r="ER892" s="5"/>
      <c r="ES892" s="5"/>
      <c r="ET892" s="5"/>
      <c r="EU892" s="5"/>
      <c r="EV892" s="5"/>
      <c r="EW892" s="5"/>
      <c r="EX892" s="5"/>
      <c r="EY892" s="5"/>
      <c r="EZ892" s="5"/>
      <c r="FA892" s="5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5"/>
      <c r="CT893" s="5"/>
      <c r="CU893" s="5"/>
      <c r="CV893" s="5"/>
      <c r="CW893" s="5"/>
      <c r="CX893" s="5"/>
      <c r="CY893" s="5"/>
      <c r="CZ893" s="5"/>
      <c r="DA893" s="5"/>
      <c r="DB893" s="5"/>
      <c r="DC893" s="5"/>
      <c r="DD893" s="5"/>
      <c r="DE893" s="5"/>
      <c r="DF893" s="5"/>
      <c r="DG893" s="5"/>
      <c r="DH893" s="5"/>
      <c r="DI893" s="5"/>
      <c r="DJ893" s="5"/>
      <c r="DK893" s="5"/>
      <c r="DL893" s="5"/>
      <c r="DM893" s="5"/>
      <c r="DN893" s="5"/>
      <c r="DO893" s="5"/>
      <c r="DP893" s="5"/>
      <c r="DQ893" s="5"/>
      <c r="DR893" s="5"/>
      <c r="DS893" s="5"/>
      <c r="DT893" s="5"/>
      <c r="DU893" s="5"/>
      <c r="DV893" s="5"/>
      <c r="DW893" s="5"/>
      <c r="DX893" s="5"/>
      <c r="DY893" s="5"/>
      <c r="DZ893" s="5"/>
      <c r="EA893" s="5"/>
      <c r="EB893" s="5"/>
      <c r="EC893" s="5"/>
      <c r="ED893" s="5"/>
      <c r="EE893" s="5"/>
      <c r="EF893" s="5"/>
      <c r="EG893" s="5"/>
      <c r="EH893" s="5"/>
      <c r="EI893" s="5"/>
      <c r="EJ893" s="5"/>
      <c r="EK893" s="5"/>
      <c r="EL893" s="5"/>
      <c r="EM893" s="5"/>
      <c r="EN893" s="5"/>
      <c r="EO893" s="5"/>
      <c r="EP893" s="5"/>
      <c r="EQ893" s="5"/>
      <c r="ER893" s="5"/>
      <c r="ES893" s="5"/>
      <c r="ET893" s="5"/>
      <c r="EU893" s="5"/>
      <c r="EV893" s="5"/>
      <c r="EW893" s="5"/>
      <c r="EX893" s="5"/>
      <c r="EY893" s="5"/>
      <c r="EZ893" s="5"/>
      <c r="FA893" s="5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5"/>
      <c r="CT894" s="5"/>
      <c r="CU894" s="5"/>
      <c r="CV894" s="5"/>
      <c r="CW894" s="5"/>
      <c r="CX894" s="5"/>
      <c r="CY894" s="5"/>
      <c r="CZ894" s="5"/>
      <c r="DA894" s="5"/>
      <c r="DB894" s="5"/>
      <c r="DC894" s="5"/>
      <c r="DD894" s="5"/>
      <c r="DE894" s="5"/>
      <c r="DF894" s="5"/>
      <c r="DG894" s="5"/>
      <c r="DH894" s="5"/>
      <c r="DI894" s="5"/>
      <c r="DJ894" s="5"/>
      <c r="DK894" s="5"/>
      <c r="DL894" s="5"/>
      <c r="DM894" s="5"/>
      <c r="DN894" s="5"/>
      <c r="DO894" s="5"/>
      <c r="DP894" s="5"/>
      <c r="DQ894" s="5"/>
      <c r="DR894" s="5"/>
      <c r="DS894" s="5"/>
      <c r="DT894" s="5"/>
      <c r="DU894" s="5"/>
      <c r="DV894" s="5"/>
      <c r="DW894" s="5"/>
      <c r="DX894" s="5"/>
      <c r="DY894" s="5"/>
      <c r="DZ894" s="5"/>
      <c r="EA894" s="5"/>
      <c r="EB894" s="5"/>
      <c r="EC894" s="5"/>
      <c r="ED894" s="5"/>
      <c r="EE894" s="5"/>
      <c r="EF894" s="5"/>
      <c r="EG894" s="5"/>
      <c r="EH894" s="5"/>
      <c r="EI894" s="5"/>
      <c r="EJ894" s="5"/>
      <c r="EK894" s="5"/>
      <c r="EL894" s="5"/>
      <c r="EM894" s="5"/>
      <c r="EN894" s="5"/>
      <c r="EO894" s="5"/>
      <c r="EP894" s="5"/>
      <c r="EQ894" s="5"/>
      <c r="ER894" s="5"/>
      <c r="ES894" s="5"/>
      <c r="ET894" s="5"/>
      <c r="EU894" s="5"/>
      <c r="EV894" s="5"/>
      <c r="EW894" s="5"/>
      <c r="EX894" s="5"/>
      <c r="EY894" s="5"/>
      <c r="EZ894" s="5"/>
      <c r="FA894" s="5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5"/>
      <c r="CT895" s="5"/>
      <c r="CU895" s="5"/>
      <c r="CV895" s="5"/>
      <c r="CW895" s="5"/>
      <c r="CX895" s="5"/>
      <c r="CY895" s="5"/>
      <c r="CZ895" s="5"/>
      <c r="DA895" s="5"/>
      <c r="DB895" s="5"/>
      <c r="DC895" s="5"/>
      <c r="DD895" s="5"/>
      <c r="DE895" s="5"/>
      <c r="DF895" s="5"/>
      <c r="DG895" s="5"/>
      <c r="DH895" s="5"/>
      <c r="DI895" s="5"/>
      <c r="DJ895" s="5"/>
      <c r="DK895" s="5"/>
      <c r="DL895" s="5"/>
      <c r="DM895" s="5"/>
      <c r="DN895" s="5"/>
      <c r="DO895" s="5"/>
      <c r="DP895" s="5"/>
      <c r="DQ895" s="5"/>
      <c r="DR895" s="5"/>
      <c r="DS895" s="5"/>
      <c r="DT895" s="5"/>
      <c r="DU895" s="5"/>
      <c r="DV895" s="5"/>
      <c r="DW895" s="5"/>
      <c r="DX895" s="5"/>
      <c r="DY895" s="5"/>
      <c r="DZ895" s="5"/>
      <c r="EA895" s="5"/>
      <c r="EB895" s="5"/>
      <c r="EC895" s="5"/>
      <c r="ED895" s="5"/>
      <c r="EE895" s="5"/>
      <c r="EF895" s="5"/>
      <c r="EG895" s="5"/>
      <c r="EH895" s="5"/>
      <c r="EI895" s="5"/>
      <c r="EJ895" s="5"/>
      <c r="EK895" s="5"/>
      <c r="EL895" s="5"/>
      <c r="EM895" s="5"/>
      <c r="EN895" s="5"/>
      <c r="EO895" s="5"/>
      <c r="EP895" s="5"/>
      <c r="EQ895" s="5"/>
      <c r="ER895" s="5"/>
      <c r="ES895" s="5"/>
      <c r="ET895" s="5"/>
      <c r="EU895" s="5"/>
      <c r="EV895" s="5"/>
      <c r="EW895" s="5"/>
      <c r="EX895" s="5"/>
      <c r="EY895" s="5"/>
      <c r="EZ895" s="5"/>
      <c r="FA895" s="5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5"/>
      <c r="CT896" s="5"/>
      <c r="CU896" s="5"/>
      <c r="CV896" s="5"/>
      <c r="CW896" s="5"/>
      <c r="CX896" s="5"/>
      <c r="CY896" s="5"/>
      <c r="CZ896" s="5"/>
      <c r="DA896" s="5"/>
      <c r="DB896" s="5"/>
      <c r="DC896" s="5"/>
      <c r="DD896" s="5"/>
      <c r="DE896" s="5"/>
      <c r="DF896" s="5"/>
      <c r="DG896" s="5"/>
      <c r="DH896" s="5"/>
      <c r="DI896" s="5"/>
      <c r="DJ896" s="5"/>
      <c r="DK896" s="5"/>
      <c r="DL896" s="5"/>
      <c r="DM896" s="5"/>
      <c r="DN896" s="5"/>
      <c r="DO896" s="5"/>
      <c r="DP896" s="5"/>
      <c r="DQ896" s="5"/>
      <c r="DR896" s="5"/>
      <c r="DS896" s="5"/>
      <c r="DT896" s="5"/>
      <c r="DU896" s="5"/>
      <c r="DV896" s="5"/>
      <c r="DW896" s="5"/>
      <c r="DX896" s="5"/>
      <c r="DY896" s="5"/>
      <c r="DZ896" s="5"/>
      <c r="EA896" s="5"/>
      <c r="EB896" s="5"/>
      <c r="EC896" s="5"/>
      <c r="ED896" s="5"/>
      <c r="EE896" s="5"/>
      <c r="EF896" s="5"/>
      <c r="EG896" s="5"/>
      <c r="EH896" s="5"/>
      <c r="EI896" s="5"/>
      <c r="EJ896" s="5"/>
      <c r="EK896" s="5"/>
      <c r="EL896" s="5"/>
      <c r="EM896" s="5"/>
      <c r="EN896" s="5"/>
      <c r="EO896" s="5"/>
      <c r="EP896" s="5"/>
      <c r="EQ896" s="5"/>
      <c r="ER896" s="5"/>
      <c r="ES896" s="5"/>
      <c r="ET896" s="5"/>
      <c r="EU896" s="5"/>
      <c r="EV896" s="5"/>
      <c r="EW896" s="5"/>
      <c r="EX896" s="5"/>
      <c r="EY896" s="5"/>
      <c r="EZ896" s="5"/>
      <c r="FA896" s="5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5"/>
      <c r="CT897" s="5"/>
      <c r="CU897" s="5"/>
      <c r="CV897" s="5"/>
      <c r="CW897" s="5"/>
      <c r="CX897" s="5"/>
      <c r="CY897" s="5"/>
      <c r="CZ897" s="5"/>
      <c r="DA897" s="5"/>
      <c r="DB897" s="5"/>
      <c r="DC897" s="5"/>
      <c r="DD897" s="5"/>
      <c r="DE897" s="5"/>
      <c r="DF897" s="5"/>
      <c r="DG897" s="5"/>
      <c r="DH897" s="5"/>
      <c r="DI897" s="5"/>
      <c r="DJ897" s="5"/>
      <c r="DK897" s="5"/>
      <c r="DL897" s="5"/>
      <c r="DM897" s="5"/>
      <c r="DN897" s="5"/>
      <c r="DO897" s="5"/>
      <c r="DP897" s="5"/>
      <c r="DQ897" s="5"/>
      <c r="DR897" s="5"/>
      <c r="DS897" s="5"/>
      <c r="DT897" s="5"/>
      <c r="DU897" s="5"/>
      <c r="DV897" s="5"/>
      <c r="DW897" s="5"/>
      <c r="DX897" s="5"/>
      <c r="DY897" s="5"/>
      <c r="DZ897" s="5"/>
      <c r="EA897" s="5"/>
      <c r="EB897" s="5"/>
      <c r="EC897" s="5"/>
      <c r="ED897" s="5"/>
      <c r="EE897" s="5"/>
      <c r="EF897" s="5"/>
      <c r="EG897" s="5"/>
      <c r="EH897" s="5"/>
      <c r="EI897" s="5"/>
      <c r="EJ897" s="5"/>
      <c r="EK897" s="5"/>
      <c r="EL897" s="5"/>
      <c r="EM897" s="5"/>
      <c r="EN897" s="5"/>
      <c r="EO897" s="5"/>
      <c r="EP897" s="5"/>
      <c r="EQ897" s="5"/>
      <c r="ER897" s="5"/>
      <c r="ES897" s="5"/>
      <c r="ET897" s="5"/>
      <c r="EU897" s="5"/>
      <c r="EV897" s="5"/>
      <c r="EW897" s="5"/>
      <c r="EX897" s="5"/>
      <c r="EY897" s="5"/>
      <c r="EZ897" s="5"/>
      <c r="FA897" s="5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5"/>
      <c r="CT898" s="5"/>
      <c r="CU898" s="5"/>
      <c r="CV898" s="5"/>
      <c r="CW898" s="5"/>
      <c r="CX898" s="5"/>
      <c r="CY898" s="5"/>
      <c r="CZ898" s="5"/>
      <c r="DA898" s="5"/>
      <c r="DB898" s="5"/>
      <c r="DC898" s="5"/>
      <c r="DD898" s="5"/>
      <c r="DE898" s="5"/>
      <c r="DF898" s="5"/>
      <c r="DG898" s="5"/>
      <c r="DH898" s="5"/>
      <c r="DI898" s="5"/>
      <c r="DJ898" s="5"/>
      <c r="DK898" s="5"/>
      <c r="DL898" s="5"/>
      <c r="DM898" s="5"/>
      <c r="DN898" s="5"/>
      <c r="DO898" s="5"/>
      <c r="DP898" s="5"/>
      <c r="DQ898" s="5"/>
      <c r="DR898" s="5"/>
      <c r="DS898" s="5"/>
      <c r="DT898" s="5"/>
      <c r="DU898" s="5"/>
      <c r="DV898" s="5"/>
      <c r="DW898" s="5"/>
      <c r="DX898" s="5"/>
      <c r="DY898" s="5"/>
      <c r="DZ898" s="5"/>
      <c r="EA898" s="5"/>
      <c r="EB898" s="5"/>
      <c r="EC898" s="5"/>
      <c r="ED898" s="5"/>
      <c r="EE898" s="5"/>
      <c r="EF898" s="5"/>
      <c r="EG898" s="5"/>
      <c r="EH898" s="5"/>
      <c r="EI898" s="5"/>
      <c r="EJ898" s="5"/>
      <c r="EK898" s="5"/>
      <c r="EL898" s="5"/>
      <c r="EM898" s="5"/>
      <c r="EN898" s="5"/>
      <c r="EO898" s="5"/>
      <c r="EP898" s="5"/>
      <c r="EQ898" s="5"/>
      <c r="ER898" s="5"/>
      <c r="ES898" s="5"/>
      <c r="ET898" s="5"/>
      <c r="EU898" s="5"/>
      <c r="EV898" s="5"/>
      <c r="EW898" s="5"/>
      <c r="EX898" s="5"/>
      <c r="EY898" s="5"/>
      <c r="EZ898" s="5"/>
      <c r="FA898" s="5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5"/>
      <c r="CT899" s="5"/>
      <c r="CU899" s="5"/>
      <c r="CV899" s="5"/>
      <c r="CW899" s="5"/>
      <c r="CX899" s="5"/>
      <c r="CY899" s="5"/>
      <c r="CZ899" s="5"/>
      <c r="DA899" s="5"/>
      <c r="DB899" s="5"/>
      <c r="DC899" s="5"/>
      <c r="DD899" s="5"/>
      <c r="DE899" s="5"/>
      <c r="DF899" s="5"/>
      <c r="DG899" s="5"/>
      <c r="DH899" s="5"/>
      <c r="DI899" s="5"/>
      <c r="DJ899" s="5"/>
      <c r="DK899" s="5"/>
      <c r="DL899" s="5"/>
      <c r="DM899" s="5"/>
      <c r="DN899" s="5"/>
      <c r="DO899" s="5"/>
      <c r="DP899" s="5"/>
      <c r="DQ899" s="5"/>
      <c r="DR899" s="5"/>
      <c r="DS899" s="5"/>
      <c r="DT899" s="5"/>
      <c r="DU899" s="5"/>
      <c r="DV899" s="5"/>
      <c r="DW899" s="5"/>
      <c r="DX899" s="5"/>
      <c r="DY899" s="5"/>
      <c r="DZ899" s="5"/>
      <c r="EA899" s="5"/>
      <c r="EB899" s="5"/>
      <c r="EC899" s="5"/>
      <c r="ED899" s="5"/>
      <c r="EE899" s="5"/>
      <c r="EF899" s="5"/>
      <c r="EG899" s="5"/>
      <c r="EH899" s="5"/>
      <c r="EI899" s="5"/>
      <c r="EJ899" s="5"/>
      <c r="EK899" s="5"/>
      <c r="EL899" s="5"/>
      <c r="EM899" s="5"/>
      <c r="EN899" s="5"/>
      <c r="EO899" s="5"/>
      <c r="EP899" s="5"/>
      <c r="EQ899" s="5"/>
      <c r="ER899" s="5"/>
      <c r="ES899" s="5"/>
      <c r="ET899" s="5"/>
      <c r="EU899" s="5"/>
      <c r="EV899" s="5"/>
      <c r="EW899" s="5"/>
      <c r="EX899" s="5"/>
      <c r="EY899" s="5"/>
      <c r="EZ899" s="5"/>
      <c r="FA899" s="5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5"/>
      <c r="CT900" s="5"/>
      <c r="CU900" s="5"/>
      <c r="CV900" s="5"/>
      <c r="CW900" s="5"/>
      <c r="CX900" s="5"/>
      <c r="CY900" s="5"/>
      <c r="CZ900" s="5"/>
      <c r="DA900" s="5"/>
      <c r="DB900" s="5"/>
      <c r="DC900" s="5"/>
      <c r="DD900" s="5"/>
      <c r="DE900" s="5"/>
      <c r="DF900" s="5"/>
      <c r="DG900" s="5"/>
      <c r="DH900" s="5"/>
      <c r="DI900" s="5"/>
      <c r="DJ900" s="5"/>
      <c r="DK900" s="5"/>
      <c r="DL900" s="5"/>
      <c r="DM900" s="5"/>
      <c r="DN900" s="5"/>
      <c r="DO900" s="5"/>
      <c r="DP900" s="5"/>
      <c r="DQ900" s="5"/>
      <c r="DR900" s="5"/>
      <c r="DS900" s="5"/>
      <c r="DT900" s="5"/>
      <c r="DU900" s="5"/>
      <c r="DV900" s="5"/>
      <c r="DW900" s="5"/>
      <c r="DX900" s="5"/>
      <c r="DY900" s="5"/>
      <c r="DZ900" s="5"/>
      <c r="EA900" s="5"/>
      <c r="EB900" s="5"/>
      <c r="EC900" s="5"/>
      <c r="ED900" s="5"/>
      <c r="EE900" s="5"/>
      <c r="EF900" s="5"/>
      <c r="EG900" s="5"/>
      <c r="EH900" s="5"/>
      <c r="EI900" s="5"/>
      <c r="EJ900" s="5"/>
      <c r="EK900" s="5"/>
      <c r="EL900" s="5"/>
      <c r="EM900" s="5"/>
      <c r="EN900" s="5"/>
      <c r="EO900" s="5"/>
      <c r="EP900" s="5"/>
      <c r="EQ900" s="5"/>
      <c r="ER900" s="5"/>
      <c r="ES900" s="5"/>
      <c r="ET900" s="5"/>
      <c r="EU900" s="5"/>
      <c r="EV900" s="5"/>
      <c r="EW900" s="5"/>
      <c r="EX900" s="5"/>
      <c r="EY900" s="5"/>
      <c r="EZ900" s="5"/>
      <c r="FA900" s="5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5"/>
      <c r="CT901" s="5"/>
      <c r="CU901" s="5"/>
      <c r="CV901" s="5"/>
      <c r="CW901" s="5"/>
      <c r="CX901" s="5"/>
      <c r="CY901" s="5"/>
      <c r="CZ901" s="5"/>
      <c r="DA901" s="5"/>
      <c r="DB901" s="5"/>
      <c r="DC901" s="5"/>
      <c r="DD901" s="5"/>
      <c r="DE901" s="5"/>
      <c r="DF901" s="5"/>
      <c r="DG901" s="5"/>
      <c r="DH901" s="5"/>
      <c r="DI901" s="5"/>
      <c r="DJ901" s="5"/>
      <c r="DK901" s="5"/>
      <c r="DL901" s="5"/>
      <c r="DM901" s="5"/>
      <c r="DN901" s="5"/>
      <c r="DO901" s="5"/>
      <c r="DP901" s="5"/>
      <c r="DQ901" s="5"/>
      <c r="DR901" s="5"/>
      <c r="DS901" s="5"/>
      <c r="DT901" s="5"/>
      <c r="DU901" s="5"/>
      <c r="DV901" s="5"/>
      <c r="DW901" s="5"/>
      <c r="DX901" s="5"/>
      <c r="DY901" s="5"/>
      <c r="DZ901" s="5"/>
      <c r="EA901" s="5"/>
      <c r="EB901" s="5"/>
      <c r="EC901" s="5"/>
      <c r="ED901" s="5"/>
      <c r="EE901" s="5"/>
      <c r="EF901" s="5"/>
      <c r="EG901" s="5"/>
      <c r="EH901" s="5"/>
      <c r="EI901" s="5"/>
      <c r="EJ901" s="5"/>
      <c r="EK901" s="5"/>
      <c r="EL901" s="5"/>
      <c r="EM901" s="5"/>
      <c r="EN901" s="5"/>
      <c r="EO901" s="5"/>
      <c r="EP901" s="5"/>
      <c r="EQ901" s="5"/>
      <c r="ER901" s="5"/>
      <c r="ES901" s="5"/>
      <c r="ET901" s="5"/>
      <c r="EU901" s="5"/>
      <c r="EV901" s="5"/>
      <c r="EW901" s="5"/>
      <c r="EX901" s="5"/>
      <c r="EY901" s="5"/>
      <c r="EZ901" s="5"/>
      <c r="FA901" s="5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5"/>
      <c r="CT902" s="5"/>
      <c r="CU902" s="5"/>
      <c r="CV902" s="5"/>
      <c r="CW902" s="5"/>
      <c r="CX902" s="5"/>
      <c r="CY902" s="5"/>
      <c r="CZ902" s="5"/>
      <c r="DA902" s="5"/>
      <c r="DB902" s="5"/>
      <c r="DC902" s="5"/>
      <c r="DD902" s="5"/>
      <c r="DE902" s="5"/>
      <c r="DF902" s="5"/>
      <c r="DG902" s="5"/>
      <c r="DH902" s="5"/>
      <c r="DI902" s="5"/>
      <c r="DJ902" s="5"/>
      <c r="DK902" s="5"/>
      <c r="DL902" s="5"/>
      <c r="DM902" s="5"/>
      <c r="DN902" s="5"/>
      <c r="DO902" s="5"/>
      <c r="DP902" s="5"/>
      <c r="DQ902" s="5"/>
      <c r="DR902" s="5"/>
      <c r="DS902" s="5"/>
      <c r="DT902" s="5"/>
      <c r="DU902" s="5"/>
      <c r="DV902" s="5"/>
      <c r="DW902" s="5"/>
      <c r="DX902" s="5"/>
      <c r="DY902" s="5"/>
      <c r="DZ902" s="5"/>
      <c r="EA902" s="5"/>
      <c r="EB902" s="5"/>
      <c r="EC902" s="5"/>
      <c r="ED902" s="5"/>
      <c r="EE902" s="5"/>
      <c r="EF902" s="5"/>
      <c r="EG902" s="5"/>
      <c r="EH902" s="5"/>
      <c r="EI902" s="5"/>
      <c r="EJ902" s="5"/>
      <c r="EK902" s="5"/>
      <c r="EL902" s="5"/>
      <c r="EM902" s="5"/>
      <c r="EN902" s="5"/>
      <c r="EO902" s="5"/>
      <c r="EP902" s="5"/>
      <c r="EQ902" s="5"/>
      <c r="ER902" s="5"/>
      <c r="ES902" s="5"/>
      <c r="ET902" s="5"/>
      <c r="EU902" s="5"/>
      <c r="EV902" s="5"/>
      <c r="EW902" s="5"/>
      <c r="EX902" s="5"/>
      <c r="EY902" s="5"/>
      <c r="EZ902" s="5"/>
      <c r="FA902" s="5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5"/>
      <c r="CT903" s="5"/>
      <c r="CU903" s="5"/>
      <c r="CV903" s="5"/>
      <c r="CW903" s="5"/>
      <c r="CX903" s="5"/>
      <c r="CY903" s="5"/>
      <c r="CZ903" s="5"/>
      <c r="DA903" s="5"/>
      <c r="DB903" s="5"/>
      <c r="DC903" s="5"/>
      <c r="DD903" s="5"/>
      <c r="DE903" s="5"/>
      <c r="DF903" s="5"/>
      <c r="DG903" s="5"/>
      <c r="DH903" s="5"/>
      <c r="DI903" s="5"/>
      <c r="DJ903" s="5"/>
      <c r="DK903" s="5"/>
      <c r="DL903" s="5"/>
      <c r="DM903" s="5"/>
      <c r="DN903" s="5"/>
      <c r="DO903" s="5"/>
      <c r="DP903" s="5"/>
      <c r="DQ903" s="5"/>
      <c r="DR903" s="5"/>
      <c r="DS903" s="5"/>
      <c r="DT903" s="5"/>
      <c r="DU903" s="5"/>
      <c r="DV903" s="5"/>
      <c r="DW903" s="5"/>
      <c r="DX903" s="5"/>
      <c r="DY903" s="5"/>
      <c r="DZ903" s="5"/>
      <c r="EA903" s="5"/>
      <c r="EB903" s="5"/>
      <c r="EC903" s="5"/>
      <c r="ED903" s="5"/>
      <c r="EE903" s="5"/>
      <c r="EF903" s="5"/>
      <c r="EG903" s="5"/>
      <c r="EH903" s="5"/>
      <c r="EI903" s="5"/>
      <c r="EJ903" s="5"/>
      <c r="EK903" s="5"/>
      <c r="EL903" s="5"/>
      <c r="EM903" s="5"/>
      <c r="EN903" s="5"/>
      <c r="EO903" s="5"/>
      <c r="EP903" s="5"/>
      <c r="EQ903" s="5"/>
      <c r="ER903" s="5"/>
      <c r="ES903" s="5"/>
      <c r="ET903" s="5"/>
      <c r="EU903" s="5"/>
      <c r="EV903" s="5"/>
      <c r="EW903" s="5"/>
      <c r="EX903" s="5"/>
      <c r="EY903" s="5"/>
      <c r="EZ903" s="5"/>
      <c r="FA903" s="5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5"/>
      <c r="CT904" s="5"/>
      <c r="CU904" s="5"/>
      <c r="CV904" s="5"/>
      <c r="CW904" s="5"/>
      <c r="CX904" s="5"/>
      <c r="CY904" s="5"/>
      <c r="CZ904" s="5"/>
      <c r="DA904" s="5"/>
      <c r="DB904" s="5"/>
      <c r="DC904" s="5"/>
      <c r="DD904" s="5"/>
      <c r="DE904" s="5"/>
      <c r="DF904" s="5"/>
      <c r="DG904" s="5"/>
      <c r="DH904" s="5"/>
      <c r="DI904" s="5"/>
      <c r="DJ904" s="5"/>
      <c r="DK904" s="5"/>
      <c r="DL904" s="5"/>
      <c r="DM904" s="5"/>
      <c r="DN904" s="5"/>
      <c r="DO904" s="5"/>
      <c r="DP904" s="5"/>
      <c r="DQ904" s="5"/>
      <c r="DR904" s="5"/>
      <c r="DS904" s="5"/>
      <c r="DT904" s="5"/>
      <c r="DU904" s="5"/>
      <c r="DV904" s="5"/>
      <c r="DW904" s="5"/>
      <c r="DX904" s="5"/>
      <c r="DY904" s="5"/>
      <c r="DZ904" s="5"/>
      <c r="EA904" s="5"/>
      <c r="EB904" s="5"/>
      <c r="EC904" s="5"/>
      <c r="ED904" s="5"/>
      <c r="EE904" s="5"/>
      <c r="EF904" s="5"/>
      <c r="EG904" s="5"/>
      <c r="EH904" s="5"/>
      <c r="EI904" s="5"/>
      <c r="EJ904" s="5"/>
      <c r="EK904" s="5"/>
      <c r="EL904" s="5"/>
      <c r="EM904" s="5"/>
      <c r="EN904" s="5"/>
      <c r="EO904" s="5"/>
      <c r="EP904" s="5"/>
      <c r="EQ904" s="5"/>
      <c r="ER904" s="5"/>
      <c r="ES904" s="5"/>
      <c r="ET904" s="5"/>
      <c r="EU904" s="5"/>
      <c r="EV904" s="5"/>
      <c r="EW904" s="5"/>
      <c r="EX904" s="5"/>
      <c r="EY904" s="5"/>
      <c r="EZ904" s="5"/>
      <c r="FA904" s="5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5"/>
      <c r="CT905" s="5"/>
      <c r="CU905" s="5"/>
      <c r="CV905" s="5"/>
      <c r="CW905" s="5"/>
      <c r="CX905" s="5"/>
      <c r="CY905" s="5"/>
      <c r="CZ905" s="5"/>
      <c r="DA905" s="5"/>
      <c r="DB905" s="5"/>
      <c r="DC905" s="5"/>
      <c r="DD905" s="5"/>
      <c r="DE905" s="5"/>
      <c r="DF905" s="5"/>
      <c r="DG905" s="5"/>
      <c r="DH905" s="5"/>
      <c r="DI905" s="5"/>
      <c r="DJ905" s="5"/>
      <c r="DK905" s="5"/>
      <c r="DL905" s="5"/>
      <c r="DM905" s="5"/>
      <c r="DN905" s="5"/>
      <c r="DO905" s="5"/>
      <c r="DP905" s="5"/>
      <c r="DQ905" s="5"/>
      <c r="DR905" s="5"/>
      <c r="DS905" s="5"/>
      <c r="DT905" s="5"/>
      <c r="DU905" s="5"/>
      <c r="DV905" s="5"/>
      <c r="DW905" s="5"/>
      <c r="DX905" s="5"/>
      <c r="DY905" s="5"/>
      <c r="DZ905" s="5"/>
      <c r="EA905" s="5"/>
      <c r="EB905" s="5"/>
      <c r="EC905" s="5"/>
      <c r="ED905" s="5"/>
      <c r="EE905" s="5"/>
      <c r="EF905" s="5"/>
      <c r="EG905" s="5"/>
      <c r="EH905" s="5"/>
      <c r="EI905" s="5"/>
      <c r="EJ905" s="5"/>
      <c r="EK905" s="5"/>
      <c r="EL905" s="5"/>
      <c r="EM905" s="5"/>
      <c r="EN905" s="5"/>
      <c r="EO905" s="5"/>
      <c r="EP905" s="5"/>
      <c r="EQ905" s="5"/>
      <c r="ER905" s="5"/>
      <c r="ES905" s="5"/>
      <c r="ET905" s="5"/>
      <c r="EU905" s="5"/>
      <c r="EV905" s="5"/>
      <c r="EW905" s="5"/>
      <c r="EX905" s="5"/>
      <c r="EY905" s="5"/>
      <c r="EZ905" s="5"/>
      <c r="FA905" s="5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5"/>
      <c r="CT906" s="5"/>
      <c r="CU906" s="5"/>
      <c r="CV906" s="5"/>
      <c r="CW906" s="5"/>
      <c r="CX906" s="5"/>
      <c r="CY906" s="5"/>
      <c r="CZ906" s="5"/>
      <c r="DA906" s="5"/>
      <c r="DB906" s="5"/>
      <c r="DC906" s="5"/>
      <c r="DD906" s="5"/>
      <c r="DE906" s="5"/>
      <c r="DF906" s="5"/>
      <c r="DG906" s="5"/>
      <c r="DH906" s="5"/>
      <c r="DI906" s="5"/>
      <c r="DJ906" s="5"/>
      <c r="DK906" s="5"/>
      <c r="DL906" s="5"/>
      <c r="DM906" s="5"/>
      <c r="DN906" s="5"/>
      <c r="DO906" s="5"/>
      <c r="DP906" s="5"/>
      <c r="DQ906" s="5"/>
      <c r="DR906" s="5"/>
      <c r="DS906" s="5"/>
      <c r="DT906" s="5"/>
      <c r="DU906" s="5"/>
      <c r="DV906" s="5"/>
      <c r="DW906" s="5"/>
      <c r="DX906" s="5"/>
      <c r="DY906" s="5"/>
      <c r="DZ906" s="5"/>
      <c r="EA906" s="5"/>
      <c r="EB906" s="5"/>
      <c r="EC906" s="5"/>
      <c r="ED906" s="5"/>
      <c r="EE906" s="5"/>
      <c r="EF906" s="5"/>
      <c r="EG906" s="5"/>
      <c r="EH906" s="5"/>
      <c r="EI906" s="5"/>
      <c r="EJ906" s="5"/>
      <c r="EK906" s="5"/>
      <c r="EL906" s="5"/>
      <c r="EM906" s="5"/>
      <c r="EN906" s="5"/>
      <c r="EO906" s="5"/>
      <c r="EP906" s="5"/>
      <c r="EQ906" s="5"/>
      <c r="ER906" s="5"/>
      <c r="ES906" s="5"/>
      <c r="ET906" s="5"/>
      <c r="EU906" s="5"/>
      <c r="EV906" s="5"/>
      <c r="EW906" s="5"/>
      <c r="EX906" s="5"/>
      <c r="EY906" s="5"/>
      <c r="EZ906" s="5"/>
      <c r="FA906" s="5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5"/>
      <c r="CT907" s="5"/>
      <c r="CU907" s="5"/>
      <c r="CV907" s="5"/>
      <c r="CW907" s="5"/>
      <c r="CX907" s="5"/>
      <c r="CY907" s="5"/>
      <c r="CZ907" s="5"/>
      <c r="DA907" s="5"/>
      <c r="DB907" s="5"/>
      <c r="DC907" s="5"/>
      <c r="DD907" s="5"/>
      <c r="DE907" s="5"/>
      <c r="DF907" s="5"/>
      <c r="DG907" s="5"/>
      <c r="DH907" s="5"/>
      <c r="DI907" s="5"/>
      <c r="DJ907" s="5"/>
      <c r="DK907" s="5"/>
      <c r="DL907" s="5"/>
      <c r="DM907" s="5"/>
      <c r="DN907" s="5"/>
      <c r="DO907" s="5"/>
      <c r="DP907" s="5"/>
      <c r="DQ907" s="5"/>
      <c r="DR907" s="5"/>
      <c r="DS907" s="5"/>
      <c r="DT907" s="5"/>
      <c r="DU907" s="5"/>
      <c r="DV907" s="5"/>
      <c r="DW907" s="5"/>
      <c r="DX907" s="5"/>
      <c r="DY907" s="5"/>
      <c r="DZ907" s="5"/>
      <c r="EA907" s="5"/>
      <c r="EB907" s="5"/>
      <c r="EC907" s="5"/>
      <c r="ED907" s="5"/>
      <c r="EE907" s="5"/>
      <c r="EF907" s="5"/>
      <c r="EG907" s="5"/>
      <c r="EH907" s="5"/>
      <c r="EI907" s="5"/>
      <c r="EJ907" s="5"/>
      <c r="EK907" s="5"/>
      <c r="EL907" s="5"/>
      <c r="EM907" s="5"/>
      <c r="EN907" s="5"/>
      <c r="EO907" s="5"/>
      <c r="EP907" s="5"/>
      <c r="EQ907" s="5"/>
      <c r="ER907" s="5"/>
      <c r="ES907" s="5"/>
      <c r="ET907" s="5"/>
      <c r="EU907" s="5"/>
      <c r="EV907" s="5"/>
      <c r="EW907" s="5"/>
      <c r="EX907" s="5"/>
      <c r="EY907" s="5"/>
      <c r="EZ907" s="5"/>
      <c r="FA907" s="5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5"/>
      <c r="CT908" s="5"/>
      <c r="CU908" s="5"/>
      <c r="CV908" s="5"/>
      <c r="CW908" s="5"/>
      <c r="CX908" s="5"/>
      <c r="CY908" s="5"/>
      <c r="CZ908" s="5"/>
      <c r="DA908" s="5"/>
      <c r="DB908" s="5"/>
      <c r="DC908" s="5"/>
      <c r="DD908" s="5"/>
      <c r="DE908" s="5"/>
      <c r="DF908" s="5"/>
      <c r="DG908" s="5"/>
      <c r="DH908" s="5"/>
      <c r="DI908" s="5"/>
      <c r="DJ908" s="5"/>
      <c r="DK908" s="5"/>
      <c r="DL908" s="5"/>
      <c r="DM908" s="5"/>
      <c r="DN908" s="5"/>
      <c r="DO908" s="5"/>
      <c r="DP908" s="5"/>
      <c r="DQ908" s="5"/>
      <c r="DR908" s="5"/>
      <c r="DS908" s="5"/>
      <c r="DT908" s="5"/>
      <c r="DU908" s="5"/>
      <c r="DV908" s="5"/>
      <c r="DW908" s="5"/>
      <c r="DX908" s="5"/>
      <c r="DY908" s="5"/>
      <c r="DZ908" s="5"/>
      <c r="EA908" s="5"/>
      <c r="EB908" s="5"/>
      <c r="EC908" s="5"/>
      <c r="ED908" s="5"/>
      <c r="EE908" s="5"/>
      <c r="EF908" s="5"/>
      <c r="EG908" s="5"/>
      <c r="EH908" s="5"/>
      <c r="EI908" s="5"/>
      <c r="EJ908" s="5"/>
      <c r="EK908" s="5"/>
      <c r="EL908" s="5"/>
      <c r="EM908" s="5"/>
      <c r="EN908" s="5"/>
      <c r="EO908" s="5"/>
      <c r="EP908" s="5"/>
      <c r="EQ908" s="5"/>
      <c r="ER908" s="5"/>
      <c r="ES908" s="5"/>
      <c r="ET908" s="5"/>
      <c r="EU908" s="5"/>
      <c r="EV908" s="5"/>
      <c r="EW908" s="5"/>
      <c r="EX908" s="5"/>
      <c r="EY908" s="5"/>
      <c r="EZ908" s="5"/>
      <c r="FA908" s="5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5"/>
      <c r="CT909" s="5"/>
      <c r="CU909" s="5"/>
      <c r="CV909" s="5"/>
      <c r="CW909" s="5"/>
      <c r="CX909" s="5"/>
      <c r="CY909" s="5"/>
      <c r="CZ909" s="5"/>
      <c r="DA909" s="5"/>
      <c r="DB909" s="5"/>
      <c r="DC909" s="5"/>
      <c r="DD909" s="5"/>
      <c r="DE909" s="5"/>
      <c r="DF909" s="5"/>
      <c r="DG909" s="5"/>
      <c r="DH909" s="5"/>
      <c r="DI909" s="5"/>
      <c r="DJ909" s="5"/>
      <c r="DK909" s="5"/>
      <c r="DL909" s="5"/>
      <c r="DM909" s="5"/>
      <c r="DN909" s="5"/>
      <c r="DO909" s="5"/>
      <c r="DP909" s="5"/>
      <c r="DQ909" s="5"/>
      <c r="DR909" s="5"/>
      <c r="DS909" s="5"/>
      <c r="DT909" s="5"/>
      <c r="DU909" s="5"/>
      <c r="DV909" s="5"/>
      <c r="DW909" s="5"/>
      <c r="DX909" s="5"/>
      <c r="DY909" s="5"/>
      <c r="DZ909" s="5"/>
      <c r="EA909" s="5"/>
      <c r="EB909" s="5"/>
      <c r="EC909" s="5"/>
      <c r="ED909" s="5"/>
      <c r="EE909" s="5"/>
      <c r="EF909" s="5"/>
      <c r="EG909" s="5"/>
      <c r="EH909" s="5"/>
      <c r="EI909" s="5"/>
      <c r="EJ909" s="5"/>
      <c r="EK909" s="5"/>
      <c r="EL909" s="5"/>
      <c r="EM909" s="5"/>
      <c r="EN909" s="5"/>
      <c r="EO909" s="5"/>
      <c r="EP909" s="5"/>
      <c r="EQ909" s="5"/>
      <c r="ER909" s="5"/>
      <c r="ES909" s="5"/>
      <c r="ET909" s="5"/>
      <c r="EU909" s="5"/>
      <c r="EV909" s="5"/>
      <c r="EW909" s="5"/>
      <c r="EX909" s="5"/>
      <c r="EY909" s="5"/>
      <c r="EZ909" s="5"/>
      <c r="FA909" s="5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5"/>
      <c r="CT910" s="5"/>
      <c r="CU910" s="5"/>
      <c r="CV910" s="5"/>
      <c r="CW910" s="5"/>
      <c r="CX910" s="5"/>
      <c r="CY910" s="5"/>
      <c r="CZ910" s="5"/>
      <c r="DA910" s="5"/>
      <c r="DB910" s="5"/>
      <c r="DC910" s="5"/>
      <c r="DD910" s="5"/>
      <c r="DE910" s="5"/>
      <c r="DF910" s="5"/>
      <c r="DG910" s="5"/>
      <c r="DH910" s="5"/>
      <c r="DI910" s="5"/>
      <c r="DJ910" s="5"/>
      <c r="DK910" s="5"/>
      <c r="DL910" s="5"/>
      <c r="DM910" s="5"/>
      <c r="DN910" s="5"/>
      <c r="DO910" s="5"/>
      <c r="DP910" s="5"/>
      <c r="DQ910" s="5"/>
      <c r="DR910" s="5"/>
      <c r="DS910" s="5"/>
      <c r="DT910" s="5"/>
      <c r="DU910" s="5"/>
      <c r="DV910" s="5"/>
      <c r="DW910" s="5"/>
      <c r="DX910" s="5"/>
      <c r="DY910" s="5"/>
      <c r="DZ910" s="5"/>
      <c r="EA910" s="5"/>
      <c r="EB910" s="5"/>
      <c r="EC910" s="5"/>
      <c r="ED910" s="5"/>
      <c r="EE910" s="5"/>
      <c r="EF910" s="5"/>
      <c r="EG910" s="5"/>
      <c r="EH910" s="5"/>
      <c r="EI910" s="5"/>
      <c r="EJ910" s="5"/>
      <c r="EK910" s="5"/>
      <c r="EL910" s="5"/>
      <c r="EM910" s="5"/>
      <c r="EN910" s="5"/>
      <c r="EO910" s="5"/>
      <c r="EP910" s="5"/>
      <c r="EQ910" s="5"/>
      <c r="ER910" s="5"/>
      <c r="ES910" s="5"/>
      <c r="ET910" s="5"/>
      <c r="EU910" s="5"/>
      <c r="EV910" s="5"/>
      <c r="EW910" s="5"/>
      <c r="EX910" s="5"/>
      <c r="EY910" s="5"/>
      <c r="EZ910" s="5"/>
      <c r="FA910" s="5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5"/>
      <c r="CT911" s="5"/>
      <c r="CU911" s="5"/>
      <c r="CV911" s="5"/>
      <c r="CW911" s="5"/>
      <c r="CX911" s="5"/>
      <c r="CY911" s="5"/>
      <c r="CZ911" s="5"/>
      <c r="DA911" s="5"/>
      <c r="DB911" s="5"/>
      <c r="DC911" s="5"/>
      <c r="DD911" s="5"/>
      <c r="DE911" s="5"/>
      <c r="DF911" s="5"/>
      <c r="DG911" s="5"/>
      <c r="DH911" s="5"/>
      <c r="DI911" s="5"/>
      <c r="DJ911" s="5"/>
      <c r="DK911" s="5"/>
      <c r="DL911" s="5"/>
      <c r="DM911" s="5"/>
      <c r="DN911" s="5"/>
      <c r="DO911" s="5"/>
      <c r="DP911" s="5"/>
      <c r="DQ911" s="5"/>
      <c r="DR911" s="5"/>
      <c r="DS911" s="5"/>
      <c r="DT911" s="5"/>
      <c r="DU911" s="5"/>
      <c r="DV911" s="5"/>
      <c r="DW911" s="5"/>
      <c r="DX911" s="5"/>
      <c r="DY911" s="5"/>
      <c r="DZ911" s="5"/>
      <c r="EA911" s="5"/>
      <c r="EB911" s="5"/>
      <c r="EC911" s="5"/>
      <c r="ED911" s="5"/>
      <c r="EE911" s="5"/>
      <c r="EF911" s="5"/>
      <c r="EG911" s="5"/>
      <c r="EH911" s="5"/>
      <c r="EI911" s="5"/>
      <c r="EJ911" s="5"/>
      <c r="EK911" s="5"/>
      <c r="EL911" s="5"/>
      <c r="EM911" s="5"/>
      <c r="EN911" s="5"/>
      <c r="EO911" s="5"/>
      <c r="EP911" s="5"/>
      <c r="EQ911" s="5"/>
      <c r="ER911" s="5"/>
      <c r="ES911" s="5"/>
      <c r="ET911" s="5"/>
      <c r="EU911" s="5"/>
      <c r="EV911" s="5"/>
      <c r="EW911" s="5"/>
      <c r="EX911" s="5"/>
      <c r="EY911" s="5"/>
      <c r="EZ911" s="5"/>
      <c r="FA911" s="5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5"/>
      <c r="CT912" s="5"/>
      <c r="CU912" s="5"/>
      <c r="CV912" s="5"/>
      <c r="CW912" s="5"/>
      <c r="CX912" s="5"/>
      <c r="CY912" s="5"/>
      <c r="CZ912" s="5"/>
      <c r="DA912" s="5"/>
      <c r="DB912" s="5"/>
      <c r="DC912" s="5"/>
      <c r="DD912" s="5"/>
      <c r="DE912" s="5"/>
      <c r="DF912" s="5"/>
      <c r="DG912" s="5"/>
      <c r="DH912" s="5"/>
      <c r="DI912" s="5"/>
      <c r="DJ912" s="5"/>
      <c r="DK912" s="5"/>
      <c r="DL912" s="5"/>
      <c r="DM912" s="5"/>
      <c r="DN912" s="5"/>
      <c r="DO912" s="5"/>
      <c r="DP912" s="5"/>
      <c r="DQ912" s="5"/>
      <c r="DR912" s="5"/>
      <c r="DS912" s="5"/>
      <c r="DT912" s="5"/>
      <c r="DU912" s="5"/>
      <c r="DV912" s="5"/>
      <c r="DW912" s="5"/>
      <c r="DX912" s="5"/>
      <c r="DY912" s="5"/>
      <c r="DZ912" s="5"/>
      <c r="EA912" s="5"/>
      <c r="EB912" s="5"/>
      <c r="EC912" s="5"/>
      <c r="ED912" s="5"/>
      <c r="EE912" s="5"/>
      <c r="EF912" s="5"/>
      <c r="EG912" s="5"/>
      <c r="EH912" s="5"/>
      <c r="EI912" s="5"/>
      <c r="EJ912" s="5"/>
      <c r="EK912" s="5"/>
      <c r="EL912" s="5"/>
      <c r="EM912" s="5"/>
      <c r="EN912" s="5"/>
      <c r="EO912" s="5"/>
      <c r="EP912" s="5"/>
      <c r="EQ912" s="5"/>
      <c r="ER912" s="5"/>
      <c r="ES912" s="5"/>
      <c r="ET912" s="5"/>
      <c r="EU912" s="5"/>
      <c r="EV912" s="5"/>
      <c r="EW912" s="5"/>
      <c r="EX912" s="5"/>
      <c r="EY912" s="5"/>
      <c r="EZ912" s="5"/>
      <c r="FA912" s="5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5"/>
      <c r="CT913" s="5"/>
      <c r="CU913" s="5"/>
      <c r="CV913" s="5"/>
      <c r="CW913" s="5"/>
      <c r="CX913" s="5"/>
      <c r="CY913" s="5"/>
      <c r="CZ913" s="5"/>
      <c r="DA913" s="5"/>
      <c r="DB913" s="5"/>
      <c r="DC913" s="5"/>
      <c r="DD913" s="5"/>
      <c r="DE913" s="5"/>
      <c r="DF913" s="5"/>
      <c r="DG913" s="5"/>
      <c r="DH913" s="5"/>
      <c r="DI913" s="5"/>
      <c r="DJ913" s="5"/>
      <c r="DK913" s="5"/>
      <c r="DL913" s="5"/>
      <c r="DM913" s="5"/>
      <c r="DN913" s="5"/>
      <c r="DO913" s="5"/>
      <c r="DP913" s="5"/>
      <c r="DQ913" s="5"/>
      <c r="DR913" s="5"/>
      <c r="DS913" s="5"/>
      <c r="DT913" s="5"/>
      <c r="DU913" s="5"/>
      <c r="DV913" s="5"/>
      <c r="DW913" s="5"/>
      <c r="DX913" s="5"/>
      <c r="DY913" s="5"/>
      <c r="DZ913" s="5"/>
      <c r="EA913" s="5"/>
      <c r="EB913" s="5"/>
      <c r="EC913" s="5"/>
      <c r="ED913" s="5"/>
      <c r="EE913" s="5"/>
      <c r="EF913" s="5"/>
      <c r="EG913" s="5"/>
      <c r="EH913" s="5"/>
      <c r="EI913" s="5"/>
      <c r="EJ913" s="5"/>
      <c r="EK913" s="5"/>
      <c r="EL913" s="5"/>
      <c r="EM913" s="5"/>
      <c r="EN913" s="5"/>
      <c r="EO913" s="5"/>
      <c r="EP913" s="5"/>
      <c r="EQ913" s="5"/>
      <c r="ER913" s="5"/>
      <c r="ES913" s="5"/>
      <c r="ET913" s="5"/>
      <c r="EU913" s="5"/>
      <c r="EV913" s="5"/>
      <c r="EW913" s="5"/>
      <c r="EX913" s="5"/>
      <c r="EY913" s="5"/>
      <c r="EZ913" s="5"/>
      <c r="FA913" s="5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5"/>
      <c r="CT914" s="5"/>
      <c r="CU914" s="5"/>
      <c r="CV914" s="5"/>
      <c r="CW914" s="5"/>
      <c r="CX914" s="5"/>
      <c r="CY914" s="5"/>
      <c r="CZ914" s="5"/>
      <c r="DA914" s="5"/>
      <c r="DB914" s="5"/>
      <c r="DC914" s="5"/>
      <c r="DD914" s="5"/>
      <c r="DE914" s="5"/>
      <c r="DF914" s="5"/>
      <c r="DG914" s="5"/>
      <c r="DH914" s="5"/>
      <c r="DI914" s="5"/>
      <c r="DJ914" s="5"/>
      <c r="DK914" s="5"/>
      <c r="DL914" s="5"/>
      <c r="DM914" s="5"/>
      <c r="DN914" s="5"/>
      <c r="DO914" s="5"/>
      <c r="DP914" s="5"/>
      <c r="DQ914" s="5"/>
      <c r="DR914" s="5"/>
      <c r="DS914" s="5"/>
      <c r="DT914" s="5"/>
      <c r="DU914" s="5"/>
      <c r="DV914" s="5"/>
      <c r="DW914" s="5"/>
      <c r="DX914" s="5"/>
      <c r="DY914" s="5"/>
      <c r="DZ914" s="5"/>
      <c r="EA914" s="5"/>
      <c r="EB914" s="5"/>
      <c r="EC914" s="5"/>
      <c r="ED914" s="5"/>
      <c r="EE914" s="5"/>
      <c r="EF914" s="5"/>
      <c r="EG914" s="5"/>
      <c r="EH914" s="5"/>
      <c r="EI914" s="5"/>
      <c r="EJ914" s="5"/>
      <c r="EK914" s="5"/>
      <c r="EL914" s="5"/>
      <c r="EM914" s="5"/>
      <c r="EN914" s="5"/>
      <c r="EO914" s="5"/>
      <c r="EP914" s="5"/>
      <c r="EQ914" s="5"/>
      <c r="ER914" s="5"/>
      <c r="ES914" s="5"/>
      <c r="ET914" s="5"/>
      <c r="EU914" s="5"/>
      <c r="EV914" s="5"/>
      <c r="EW914" s="5"/>
      <c r="EX914" s="5"/>
      <c r="EY914" s="5"/>
      <c r="EZ914" s="5"/>
      <c r="FA914" s="5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5"/>
      <c r="CT915" s="5"/>
      <c r="CU915" s="5"/>
      <c r="CV915" s="5"/>
      <c r="CW915" s="5"/>
      <c r="CX915" s="5"/>
      <c r="CY915" s="5"/>
      <c r="CZ915" s="5"/>
      <c r="DA915" s="5"/>
      <c r="DB915" s="5"/>
      <c r="DC915" s="5"/>
      <c r="DD915" s="5"/>
      <c r="DE915" s="5"/>
      <c r="DF915" s="5"/>
      <c r="DG915" s="5"/>
      <c r="DH915" s="5"/>
      <c r="DI915" s="5"/>
      <c r="DJ915" s="5"/>
      <c r="DK915" s="5"/>
      <c r="DL915" s="5"/>
      <c r="DM915" s="5"/>
      <c r="DN915" s="5"/>
      <c r="DO915" s="5"/>
      <c r="DP915" s="5"/>
      <c r="DQ915" s="5"/>
      <c r="DR915" s="5"/>
      <c r="DS915" s="5"/>
      <c r="DT915" s="5"/>
      <c r="DU915" s="5"/>
      <c r="DV915" s="5"/>
      <c r="DW915" s="5"/>
      <c r="DX915" s="5"/>
      <c r="DY915" s="5"/>
      <c r="DZ915" s="5"/>
      <c r="EA915" s="5"/>
      <c r="EB915" s="5"/>
      <c r="EC915" s="5"/>
      <c r="ED915" s="5"/>
      <c r="EE915" s="5"/>
      <c r="EF915" s="5"/>
      <c r="EG915" s="5"/>
      <c r="EH915" s="5"/>
      <c r="EI915" s="5"/>
      <c r="EJ915" s="5"/>
      <c r="EK915" s="5"/>
      <c r="EL915" s="5"/>
      <c r="EM915" s="5"/>
      <c r="EN915" s="5"/>
      <c r="EO915" s="5"/>
      <c r="EP915" s="5"/>
      <c r="EQ915" s="5"/>
      <c r="ER915" s="5"/>
      <c r="ES915" s="5"/>
      <c r="ET915" s="5"/>
      <c r="EU915" s="5"/>
      <c r="EV915" s="5"/>
      <c r="EW915" s="5"/>
      <c r="EX915" s="5"/>
      <c r="EY915" s="5"/>
      <c r="EZ915" s="5"/>
      <c r="FA915" s="5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5"/>
      <c r="CT916" s="5"/>
      <c r="CU916" s="5"/>
      <c r="CV916" s="5"/>
      <c r="CW916" s="5"/>
      <c r="CX916" s="5"/>
      <c r="CY916" s="5"/>
      <c r="CZ916" s="5"/>
      <c r="DA916" s="5"/>
      <c r="DB916" s="5"/>
      <c r="DC916" s="5"/>
      <c r="DD916" s="5"/>
      <c r="DE916" s="5"/>
      <c r="DF916" s="5"/>
      <c r="DG916" s="5"/>
      <c r="DH916" s="5"/>
      <c r="DI916" s="5"/>
      <c r="DJ916" s="5"/>
      <c r="DK916" s="5"/>
      <c r="DL916" s="5"/>
      <c r="DM916" s="5"/>
      <c r="DN916" s="5"/>
      <c r="DO916" s="5"/>
      <c r="DP916" s="5"/>
      <c r="DQ916" s="5"/>
      <c r="DR916" s="5"/>
      <c r="DS916" s="5"/>
      <c r="DT916" s="5"/>
      <c r="DU916" s="5"/>
      <c r="DV916" s="5"/>
      <c r="DW916" s="5"/>
      <c r="DX916" s="5"/>
      <c r="DY916" s="5"/>
      <c r="DZ916" s="5"/>
      <c r="EA916" s="5"/>
      <c r="EB916" s="5"/>
      <c r="EC916" s="5"/>
      <c r="ED916" s="5"/>
      <c r="EE916" s="5"/>
      <c r="EF916" s="5"/>
      <c r="EG916" s="5"/>
      <c r="EH916" s="5"/>
      <c r="EI916" s="5"/>
      <c r="EJ916" s="5"/>
      <c r="EK916" s="5"/>
      <c r="EL916" s="5"/>
      <c r="EM916" s="5"/>
      <c r="EN916" s="5"/>
      <c r="EO916" s="5"/>
      <c r="EP916" s="5"/>
      <c r="EQ916" s="5"/>
      <c r="ER916" s="5"/>
      <c r="ES916" s="5"/>
      <c r="ET916" s="5"/>
      <c r="EU916" s="5"/>
      <c r="EV916" s="5"/>
      <c r="EW916" s="5"/>
      <c r="EX916" s="5"/>
      <c r="EY916" s="5"/>
      <c r="EZ916" s="5"/>
      <c r="FA916" s="5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5"/>
      <c r="CT917" s="5"/>
      <c r="CU917" s="5"/>
      <c r="CV917" s="5"/>
      <c r="CW917" s="5"/>
      <c r="CX917" s="5"/>
      <c r="CY917" s="5"/>
      <c r="CZ917" s="5"/>
      <c r="DA917" s="5"/>
      <c r="DB917" s="5"/>
      <c r="DC917" s="5"/>
      <c r="DD917" s="5"/>
      <c r="DE917" s="5"/>
      <c r="DF917" s="5"/>
      <c r="DG917" s="5"/>
      <c r="DH917" s="5"/>
      <c r="DI917" s="5"/>
      <c r="DJ917" s="5"/>
      <c r="DK917" s="5"/>
      <c r="DL917" s="5"/>
      <c r="DM917" s="5"/>
      <c r="DN917" s="5"/>
      <c r="DO917" s="5"/>
      <c r="DP917" s="5"/>
      <c r="DQ917" s="5"/>
      <c r="DR917" s="5"/>
      <c r="DS917" s="5"/>
      <c r="DT917" s="5"/>
      <c r="DU917" s="5"/>
      <c r="DV917" s="5"/>
      <c r="DW917" s="5"/>
      <c r="DX917" s="5"/>
      <c r="DY917" s="5"/>
      <c r="DZ917" s="5"/>
      <c r="EA917" s="5"/>
      <c r="EB917" s="5"/>
      <c r="EC917" s="5"/>
      <c r="ED917" s="5"/>
      <c r="EE917" s="5"/>
      <c r="EF917" s="5"/>
      <c r="EG917" s="5"/>
      <c r="EH917" s="5"/>
      <c r="EI917" s="5"/>
      <c r="EJ917" s="5"/>
      <c r="EK917" s="5"/>
      <c r="EL917" s="5"/>
      <c r="EM917" s="5"/>
      <c r="EN917" s="5"/>
      <c r="EO917" s="5"/>
      <c r="EP917" s="5"/>
      <c r="EQ917" s="5"/>
      <c r="ER917" s="5"/>
      <c r="ES917" s="5"/>
      <c r="ET917" s="5"/>
      <c r="EU917" s="5"/>
      <c r="EV917" s="5"/>
      <c r="EW917" s="5"/>
      <c r="EX917" s="5"/>
      <c r="EY917" s="5"/>
      <c r="EZ917" s="5"/>
      <c r="FA917" s="5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5"/>
      <c r="CT918" s="5"/>
      <c r="CU918" s="5"/>
      <c r="CV918" s="5"/>
      <c r="CW918" s="5"/>
      <c r="CX918" s="5"/>
      <c r="CY918" s="5"/>
      <c r="CZ918" s="5"/>
      <c r="DA918" s="5"/>
      <c r="DB918" s="5"/>
      <c r="DC918" s="5"/>
      <c r="DD918" s="5"/>
      <c r="DE918" s="5"/>
      <c r="DF918" s="5"/>
      <c r="DG918" s="5"/>
      <c r="DH918" s="5"/>
      <c r="DI918" s="5"/>
      <c r="DJ918" s="5"/>
      <c r="DK918" s="5"/>
      <c r="DL918" s="5"/>
      <c r="DM918" s="5"/>
      <c r="DN918" s="5"/>
      <c r="DO918" s="5"/>
      <c r="DP918" s="5"/>
      <c r="DQ918" s="5"/>
      <c r="DR918" s="5"/>
      <c r="DS918" s="5"/>
      <c r="DT918" s="5"/>
      <c r="DU918" s="5"/>
      <c r="DV918" s="5"/>
      <c r="DW918" s="5"/>
      <c r="DX918" s="5"/>
      <c r="DY918" s="5"/>
      <c r="DZ918" s="5"/>
      <c r="EA918" s="5"/>
      <c r="EB918" s="5"/>
      <c r="EC918" s="5"/>
      <c r="ED918" s="5"/>
      <c r="EE918" s="5"/>
      <c r="EF918" s="5"/>
      <c r="EG918" s="5"/>
      <c r="EH918" s="5"/>
      <c r="EI918" s="5"/>
      <c r="EJ918" s="5"/>
      <c r="EK918" s="5"/>
      <c r="EL918" s="5"/>
      <c r="EM918" s="5"/>
      <c r="EN918" s="5"/>
      <c r="EO918" s="5"/>
      <c r="EP918" s="5"/>
      <c r="EQ918" s="5"/>
      <c r="ER918" s="5"/>
      <c r="ES918" s="5"/>
      <c r="ET918" s="5"/>
      <c r="EU918" s="5"/>
      <c r="EV918" s="5"/>
      <c r="EW918" s="5"/>
      <c r="EX918" s="5"/>
      <c r="EY918" s="5"/>
      <c r="EZ918" s="5"/>
      <c r="FA918" s="5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5"/>
      <c r="CT919" s="5"/>
      <c r="CU919" s="5"/>
      <c r="CV919" s="5"/>
      <c r="CW919" s="5"/>
      <c r="CX919" s="5"/>
      <c r="CY919" s="5"/>
      <c r="CZ919" s="5"/>
      <c r="DA919" s="5"/>
      <c r="DB919" s="5"/>
      <c r="DC919" s="5"/>
      <c r="DD919" s="5"/>
      <c r="DE919" s="5"/>
      <c r="DF919" s="5"/>
      <c r="DG919" s="5"/>
      <c r="DH919" s="5"/>
      <c r="DI919" s="5"/>
      <c r="DJ919" s="5"/>
      <c r="DK919" s="5"/>
      <c r="DL919" s="5"/>
      <c r="DM919" s="5"/>
      <c r="DN919" s="5"/>
      <c r="DO919" s="5"/>
      <c r="DP919" s="5"/>
      <c r="DQ919" s="5"/>
      <c r="DR919" s="5"/>
      <c r="DS919" s="5"/>
      <c r="DT919" s="5"/>
      <c r="DU919" s="5"/>
      <c r="DV919" s="5"/>
      <c r="DW919" s="5"/>
      <c r="DX919" s="5"/>
      <c r="DY919" s="5"/>
      <c r="DZ919" s="5"/>
      <c r="EA919" s="5"/>
      <c r="EB919" s="5"/>
      <c r="EC919" s="5"/>
      <c r="ED919" s="5"/>
      <c r="EE919" s="5"/>
      <c r="EF919" s="5"/>
      <c r="EG919" s="5"/>
      <c r="EH919" s="5"/>
      <c r="EI919" s="5"/>
      <c r="EJ919" s="5"/>
      <c r="EK919" s="5"/>
      <c r="EL919" s="5"/>
      <c r="EM919" s="5"/>
      <c r="EN919" s="5"/>
      <c r="EO919" s="5"/>
      <c r="EP919" s="5"/>
      <c r="EQ919" s="5"/>
      <c r="ER919" s="5"/>
      <c r="ES919" s="5"/>
      <c r="ET919" s="5"/>
      <c r="EU919" s="5"/>
      <c r="EV919" s="5"/>
      <c r="EW919" s="5"/>
      <c r="EX919" s="5"/>
      <c r="EY919" s="5"/>
      <c r="EZ919" s="5"/>
      <c r="FA919" s="5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5"/>
      <c r="CT920" s="5"/>
      <c r="CU920" s="5"/>
      <c r="CV920" s="5"/>
      <c r="CW920" s="5"/>
      <c r="CX920" s="5"/>
      <c r="CY920" s="5"/>
      <c r="CZ920" s="5"/>
      <c r="DA920" s="5"/>
      <c r="DB920" s="5"/>
      <c r="DC920" s="5"/>
      <c r="DD920" s="5"/>
      <c r="DE920" s="5"/>
      <c r="DF920" s="5"/>
      <c r="DG920" s="5"/>
      <c r="DH920" s="5"/>
      <c r="DI920" s="5"/>
      <c r="DJ920" s="5"/>
      <c r="DK920" s="5"/>
      <c r="DL920" s="5"/>
      <c r="DM920" s="5"/>
      <c r="DN920" s="5"/>
      <c r="DO920" s="5"/>
      <c r="DP920" s="5"/>
      <c r="DQ920" s="5"/>
      <c r="DR920" s="5"/>
      <c r="DS920" s="5"/>
      <c r="DT920" s="5"/>
      <c r="DU920" s="5"/>
      <c r="DV920" s="5"/>
      <c r="DW920" s="5"/>
      <c r="DX920" s="5"/>
      <c r="DY920" s="5"/>
      <c r="DZ920" s="5"/>
      <c r="EA920" s="5"/>
      <c r="EB920" s="5"/>
      <c r="EC920" s="5"/>
      <c r="ED920" s="5"/>
      <c r="EE920" s="5"/>
      <c r="EF920" s="5"/>
      <c r="EG920" s="5"/>
      <c r="EH920" s="5"/>
      <c r="EI920" s="5"/>
      <c r="EJ920" s="5"/>
      <c r="EK920" s="5"/>
      <c r="EL920" s="5"/>
      <c r="EM920" s="5"/>
      <c r="EN920" s="5"/>
      <c r="EO920" s="5"/>
      <c r="EP920" s="5"/>
      <c r="EQ920" s="5"/>
      <c r="ER920" s="5"/>
      <c r="ES920" s="5"/>
      <c r="ET920" s="5"/>
      <c r="EU920" s="5"/>
      <c r="EV920" s="5"/>
      <c r="EW920" s="5"/>
      <c r="EX920" s="5"/>
      <c r="EY920" s="5"/>
      <c r="EZ920" s="5"/>
      <c r="FA920" s="5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5"/>
      <c r="CT921" s="5"/>
      <c r="CU921" s="5"/>
      <c r="CV921" s="5"/>
      <c r="CW921" s="5"/>
      <c r="CX921" s="5"/>
      <c r="CY921" s="5"/>
      <c r="CZ921" s="5"/>
      <c r="DA921" s="5"/>
      <c r="DB921" s="5"/>
      <c r="DC921" s="5"/>
      <c r="DD921" s="5"/>
      <c r="DE921" s="5"/>
      <c r="DF921" s="5"/>
      <c r="DG921" s="5"/>
      <c r="DH921" s="5"/>
      <c r="DI921" s="5"/>
      <c r="DJ921" s="5"/>
      <c r="DK921" s="5"/>
      <c r="DL921" s="5"/>
      <c r="DM921" s="5"/>
      <c r="DN921" s="5"/>
      <c r="DO921" s="5"/>
      <c r="DP921" s="5"/>
      <c r="DQ921" s="5"/>
      <c r="DR921" s="5"/>
      <c r="DS921" s="5"/>
      <c r="DT921" s="5"/>
      <c r="DU921" s="5"/>
      <c r="DV921" s="5"/>
      <c r="DW921" s="5"/>
      <c r="DX921" s="5"/>
      <c r="DY921" s="5"/>
      <c r="DZ921" s="5"/>
      <c r="EA921" s="5"/>
      <c r="EB921" s="5"/>
      <c r="EC921" s="5"/>
      <c r="ED921" s="5"/>
      <c r="EE921" s="5"/>
      <c r="EF921" s="5"/>
      <c r="EG921" s="5"/>
      <c r="EH921" s="5"/>
      <c r="EI921" s="5"/>
      <c r="EJ921" s="5"/>
      <c r="EK921" s="5"/>
      <c r="EL921" s="5"/>
      <c r="EM921" s="5"/>
      <c r="EN921" s="5"/>
      <c r="EO921" s="5"/>
      <c r="EP921" s="5"/>
      <c r="EQ921" s="5"/>
      <c r="ER921" s="5"/>
      <c r="ES921" s="5"/>
      <c r="ET921" s="5"/>
      <c r="EU921" s="5"/>
      <c r="EV921" s="5"/>
      <c r="EW921" s="5"/>
      <c r="EX921" s="5"/>
      <c r="EY921" s="5"/>
      <c r="EZ921" s="5"/>
      <c r="FA921" s="5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5"/>
      <c r="CT922" s="5"/>
      <c r="CU922" s="5"/>
      <c r="CV922" s="5"/>
      <c r="CW922" s="5"/>
      <c r="CX922" s="5"/>
      <c r="CY922" s="5"/>
      <c r="CZ922" s="5"/>
      <c r="DA922" s="5"/>
      <c r="DB922" s="5"/>
      <c r="DC922" s="5"/>
      <c r="DD922" s="5"/>
      <c r="DE922" s="5"/>
      <c r="DF922" s="5"/>
      <c r="DG922" s="5"/>
      <c r="DH922" s="5"/>
      <c r="DI922" s="5"/>
      <c r="DJ922" s="5"/>
      <c r="DK922" s="5"/>
      <c r="DL922" s="5"/>
      <c r="DM922" s="5"/>
      <c r="DN922" s="5"/>
      <c r="DO922" s="5"/>
      <c r="DP922" s="5"/>
      <c r="DQ922" s="5"/>
      <c r="DR922" s="5"/>
      <c r="DS922" s="5"/>
      <c r="DT922" s="5"/>
      <c r="DU922" s="5"/>
      <c r="DV922" s="5"/>
      <c r="DW922" s="5"/>
      <c r="DX922" s="5"/>
      <c r="DY922" s="5"/>
      <c r="DZ922" s="5"/>
      <c r="EA922" s="5"/>
      <c r="EB922" s="5"/>
      <c r="EC922" s="5"/>
      <c r="ED922" s="5"/>
      <c r="EE922" s="5"/>
      <c r="EF922" s="5"/>
      <c r="EG922" s="5"/>
      <c r="EH922" s="5"/>
      <c r="EI922" s="5"/>
      <c r="EJ922" s="5"/>
      <c r="EK922" s="5"/>
      <c r="EL922" s="5"/>
      <c r="EM922" s="5"/>
      <c r="EN922" s="5"/>
      <c r="EO922" s="5"/>
      <c r="EP922" s="5"/>
      <c r="EQ922" s="5"/>
      <c r="ER922" s="5"/>
      <c r="ES922" s="5"/>
      <c r="ET922" s="5"/>
      <c r="EU922" s="5"/>
      <c r="EV922" s="5"/>
      <c r="EW922" s="5"/>
      <c r="EX922" s="5"/>
      <c r="EY922" s="5"/>
      <c r="EZ922" s="5"/>
      <c r="FA922" s="5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5"/>
      <c r="CT923" s="5"/>
      <c r="CU923" s="5"/>
      <c r="CV923" s="5"/>
      <c r="CW923" s="5"/>
      <c r="CX923" s="5"/>
      <c r="CY923" s="5"/>
      <c r="CZ923" s="5"/>
      <c r="DA923" s="5"/>
      <c r="DB923" s="5"/>
      <c r="DC923" s="5"/>
      <c r="DD923" s="5"/>
      <c r="DE923" s="5"/>
      <c r="DF923" s="5"/>
      <c r="DG923" s="5"/>
      <c r="DH923" s="5"/>
      <c r="DI923" s="5"/>
      <c r="DJ923" s="5"/>
      <c r="DK923" s="5"/>
      <c r="DL923" s="5"/>
      <c r="DM923" s="5"/>
      <c r="DN923" s="5"/>
      <c r="DO923" s="5"/>
      <c r="DP923" s="5"/>
      <c r="DQ923" s="5"/>
      <c r="DR923" s="5"/>
      <c r="DS923" s="5"/>
      <c r="DT923" s="5"/>
      <c r="DU923" s="5"/>
      <c r="DV923" s="5"/>
      <c r="DW923" s="5"/>
      <c r="DX923" s="5"/>
      <c r="DY923" s="5"/>
      <c r="DZ923" s="5"/>
      <c r="EA923" s="5"/>
      <c r="EB923" s="5"/>
      <c r="EC923" s="5"/>
      <c r="ED923" s="5"/>
      <c r="EE923" s="5"/>
      <c r="EF923" s="5"/>
      <c r="EG923" s="5"/>
      <c r="EH923" s="5"/>
      <c r="EI923" s="5"/>
      <c r="EJ923" s="5"/>
      <c r="EK923" s="5"/>
      <c r="EL923" s="5"/>
      <c r="EM923" s="5"/>
      <c r="EN923" s="5"/>
      <c r="EO923" s="5"/>
      <c r="EP923" s="5"/>
      <c r="EQ923" s="5"/>
      <c r="ER923" s="5"/>
      <c r="ES923" s="5"/>
      <c r="ET923" s="5"/>
      <c r="EU923" s="5"/>
      <c r="EV923" s="5"/>
      <c r="EW923" s="5"/>
      <c r="EX923" s="5"/>
      <c r="EY923" s="5"/>
      <c r="EZ923" s="5"/>
      <c r="FA923" s="5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5"/>
      <c r="CT924" s="5"/>
      <c r="CU924" s="5"/>
      <c r="CV924" s="5"/>
      <c r="CW924" s="5"/>
      <c r="CX924" s="5"/>
      <c r="CY924" s="5"/>
      <c r="CZ924" s="5"/>
      <c r="DA924" s="5"/>
      <c r="DB924" s="5"/>
      <c r="DC924" s="5"/>
      <c r="DD924" s="5"/>
      <c r="DE924" s="5"/>
      <c r="DF924" s="5"/>
      <c r="DG924" s="5"/>
      <c r="DH924" s="5"/>
      <c r="DI924" s="5"/>
      <c r="DJ924" s="5"/>
      <c r="DK924" s="5"/>
      <c r="DL924" s="5"/>
      <c r="DM924" s="5"/>
      <c r="DN924" s="5"/>
      <c r="DO924" s="5"/>
      <c r="DP924" s="5"/>
      <c r="DQ924" s="5"/>
      <c r="DR924" s="5"/>
      <c r="DS924" s="5"/>
      <c r="DT924" s="5"/>
      <c r="DU924" s="5"/>
      <c r="DV924" s="5"/>
      <c r="DW924" s="5"/>
      <c r="DX924" s="5"/>
      <c r="DY924" s="5"/>
      <c r="DZ924" s="5"/>
      <c r="EA924" s="5"/>
      <c r="EB924" s="5"/>
      <c r="EC924" s="5"/>
      <c r="ED924" s="5"/>
      <c r="EE924" s="5"/>
      <c r="EF924" s="5"/>
      <c r="EG924" s="5"/>
      <c r="EH924" s="5"/>
      <c r="EI924" s="5"/>
      <c r="EJ924" s="5"/>
      <c r="EK924" s="5"/>
      <c r="EL924" s="5"/>
      <c r="EM924" s="5"/>
      <c r="EN924" s="5"/>
      <c r="EO924" s="5"/>
      <c r="EP924" s="5"/>
      <c r="EQ924" s="5"/>
      <c r="ER924" s="5"/>
      <c r="ES924" s="5"/>
      <c r="ET924" s="5"/>
      <c r="EU924" s="5"/>
      <c r="EV924" s="5"/>
      <c r="EW924" s="5"/>
      <c r="EX924" s="5"/>
      <c r="EY924" s="5"/>
      <c r="EZ924" s="5"/>
      <c r="FA924" s="5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5"/>
      <c r="CT925" s="5"/>
      <c r="CU925" s="5"/>
      <c r="CV925" s="5"/>
      <c r="CW925" s="5"/>
      <c r="CX925" s="5"/>
      <c r="CY925" s="5"/>
      <c r="CZ925" s="5"/>
      <c r="DA925" s="5"/>
      <c r="DB925" s="5"/>
      <c r="DC925" s="5"/>
      <c r="DD925" s="5"/>
      <c r="DE925" s="5"/>
      <c r="DF925" s="5"/>
      <c r="DG925" s="5"/>
      <c r="DH925" s="5"/>
      <c r="DI925" s="5"/>
      <c r="DJ925" s="5"/>
      <c r="DK925" s="5"/>
      <c r="DL925" s="5"/>
      <c r="DM925" s="5"/>
      <c r="DN925" s="5"/>
      <c r="DO925" s="5"/>
      <c r="DP925" s="5"/>
      <c r="DQ925" s="5"/>
      <c r="DR925" s="5"/>
      <c r="DS925" s="5"/>
      <c r="DT925" s="5"/>
      <c r="DU925" s="5"/>
      <c r="DV925" s="5"/>
      <c r="DW925" s="5"/>
      <c r="DX925" s="5"/>
      <c r="DY925" s="5"/>
      <c r="DZ925" s="5"/>
      <c r="EA925" s="5"/>
      <c r="EB925" s="5"/>
      <c r="EC925" s="5"/>
      <c r="ED925" s="5"/>
      <c r="EE925" s="5"/>
      <c r="EF925" s="5"/>
      <c r="EG925" s="5"/>
      <c r="EH925" s="5"/>
      <c r="EI925" s="5"/>
      <c r="EJ925" s="5"/>
      <c r="EK925" s="5"/>
      <c r="EL925" s="5"/>
      <c r="EM925" s="5"/>
      <c r="EN925" s="5"/>
      <c r="EO925" s="5"/>
      <c r="EP925" s="5"/>
      <c r="EQ925" s="5"/>
      <c r="ER925" s="5"/>
      <c r="ES925" s="5"/>
      <c r="ET925" s="5"/>
      <c r="EU925" s="5"/>
      <c r="EV925" s="5"/>
      <c r="EW925" s="5"/>
      <c r="EX925" s="5"/>
      <c r="EY925" s="5"/>
      <c r="EZ925" s="5"/>
      <c r="FA925" s="5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5"/>
      <c r="CT926" s="5"/>
      <c r="CU926" s="5"/>
      <c r="CV926" s="5"/>
      <c r="CW926" s="5"/>
      <c r="CX926" s="5"/>
      <c r="CY926" s="5"/>
      <c r="CZ926" s="5"/>
      <c r="DA926" s="5"/>
      <c r="DB926" s="5"/>
      <c r="DC926" s="5"/>
      <c r="DD926" s="5"/>
      <c r="DE926" s="5"/>
      <c r="DF926" s="5"/>
      <c r="DG926" s="5"/>
      <c r="DH926" s="5"/>
      <c r="DI926" s="5"/>
      <c r="DJ926" s="5"/>
      <c r="DK926" s="5"/>
      <c r="DL926" s="5"/>
      <c r="DM926" s="5"/>
      <c r="DN926" s="5"/>
      <c r="DO926" s="5"/>
      <c r="DP926" s="5"/>
      <c r="DQ926" s="5"/>
      <c r="DR926" s="5"/>
      <c r="DS926" s="5"/>
      <c r="DT926" s="5"/>
      <c r="DU926" s="5"/>
      <c r="DV926" s="5"/>
      <c r="DW926" s="5"/>
      <c r="DX926" s="5"/>
      <c r="DY926" s="5"/>
      <c r="DZ926" s="5"/>
      <c r="EA926" s="5"/>
      <c r="EB926" s="5"/>
      <c r="EC926" s="5"/>
      <c r="ED926" s="5"/>
      <c r="EE926" s="5"/>
      <c r="EF926" s="5"/>
      <c r="EG926" s="5"/>
      <c r="EH926" s="5"/>
      <c r="EI926" s="5"/>
      <c r="EJ926" s="5"/>
      <c r="EK926" s="5"/>
      <c r="EL926" s="5"/>
      <c r="EM926" s="5"/>
      <c r="EN926" s="5"/>
      <c r="EO926" s="5"/>
      <c r="EP926" s="5"/>
      <c r="EQ926" s="5"/>
      <c r="ER926" s="5"/>
      <c r="ES926" s="5"/>
      <c r="ET926" s="5"/>
      <c r="EU926" s="5"/>
      <c r="EV926" s="5"/>
      <c r="EW926" s="5"/>
      <c r="EX926" s="5"/>
      <c r="EY926" s="5"/>
      <c r="EZ926" s="5"/>
      <c r="FA926" s="5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5"/>
      <c r="CT927" s="5"/>
      <c r="CU927" s="5"/>
      <c r="CV927" s="5"/>
      <c r="CW927" s="5"/>
      <c r="CX927" s="5"/>
      <c r="CY927" s="5"/>
      <c r="CZ927" s="5"/>
      <c r="DA927" s="5"/>
      <c r="DB927" s="5"/>
      <c r="DC927" s="5"/>
      <c r="DD927" s="5"/>
      <c r="DE927" s="5"/>
      <c r="DF927" s="5"/>
      <c r="DG927" s="5"/>
      <c r="DH927" s="5"/>
      <c r="DI927" s="5"/>
      <c r="DJ927" s="5"/>
      <c r="DK927" s="5"/>
      <c r="DL927" s="5"/>
      <c r="DM927" s="5"/>
      <c r="DN927" s="5"/>
      <c r="DO927" s="5"/>
      <c r="DP927" s="5"/>
      <c r="DQ927" s="5"/>
      <c r="DR927" s="5"/>
      <c r="DS927" s="5"/>
      <c r="DT927" s="5"/>
      <c r="DU927" s="5"/>
      <c r="DV927" s="5"/>
      <c r="DW927" s="5"/>
      <c r="DX927" s="5"/>
      <c r="DY927" s="5"/>
      <c r="DZ927" s="5"/>
      <c r="EA927" s="5"/>
      <c r="EB927" s="5"/>
      <c r="EC927" s="5"/>
      <c r="ED927" s="5"/>
      <c r="EE927" s="5"/>
      <c r="EF927" s="5"/>
      <c r="EG927" s="5"/>
      <c r="EH927" s="5"/>
      <c r="EI927" s="5"/>
      <c r="EJ927" s="5"/>
      <c r="EK927" s="5"/>
      <c r="EL927" s="5"/>
      <c r="EM927" s="5"/>
      <c r="EN927" s="5"/>
      <c r="EO927" s="5"/>
      <c r="EP927" s="5"/>
      <c r="EQ927" s="5"/>
      <c r="ER927" s="5"/>
      <c r="ES927" s="5"/>
      <c r="ET927" s="5"/>
      <c r="EU927" s="5"/>
      <c r="EV927" s="5"/>
      <c r="EW927" s="5"/>
      <c r="EX927" s="5"/>
      <c r="EY927" s="5"/>
      <c r="EZ927" s="5"/>
      <c r="FA927" s="5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5"/>
      <c r="CT928" s="5"/>
      <c r="CU928" s="5"/>
      <c r="CV928" s="5"/>
      <c r="CW928" s="5"/>
      <c r="CX928" s="5"/>
      <c r="CY928" s="5"/>
      <c r="CZ928" s="5"/>
      <c r="DA928" s="5"/>
      <c r="DB928" s="5"/>
      <c r="DC928" s="5"/>
      <c r="DD928" s="5"/>
      <c r="DE928" s="5"/>
      <c r="DF928" s="5"/>
      <c r="DG928" s="5"/>
      <c r="DH928" s="5"/>
      <c r="DI928" s="5"/>
      <c r="DJ928" s="5"/>
      <c r="DK928" s="5"/>
      <c r="DL928" s="5"/>
      <c r="DM928" s="5"/>
      <c r="DN928" s="5"/>
      <c r="DO928" s="5"/>
      <c r="DP928" s="5"/>
      <c r="DQ928" s="5"/>
      <c r="DR928" s="5"/>
      <c r="DS928" s="5"/>
      <c r="DT928" s="5"/>
      <c r="DU928" s="5"/>
      <c r="DV928" s="5"/>
      <c r="DW928" s="5"/>
      <c r="DX928" s="5"/>
      <c r="DY928" s="5"/>
      <c r="DZ928" s="5"/>
      <c r="EA928" s="5"/>
      <c r="EB928" s="5"/>
      <c r="EC928" s="5"/>
      <c r="ED928" s="5"/>
      <c r="EE928" s="5"/>
      <c r="EF928" s="5"/>
      <c r="EG928" s="5"/>
      <c r="EH928" s="5"/>
      <c r="EI928" s="5"/>
      <c r="EJ928" s="5"/>
      <c r="EK928" s="5"/>
      <c r="EL928" s="5"/>
      <c r="EM928" s="5"/>
      <c r="EN928" s="5"/>
      <c r="EO928" s="5"/>
      <c r="EP928" s="5"/>
      <c r="EQ928" s="5"/>
      <c r="ER928" s="5"/>
      <c r="ES928" s="5"/>
      <c r="ET928" s="5"/>
      <c r="EU928" s="5"/>
      <c r="EV928" s="5"/>
      <c r="EW928" s="5"/>
      <c r="EX928" s="5"/>
      <c r="EY928" s="5"/>
      <c r="EZ928" s="5"/>
      <c r="FA928" s="5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5"/>
      <c r="CT929" s="5"/>
      <c r="CU929" s="5"/>
      <c r="CV929" s="5"/>
      <c r="CW929" s="5"/>
      <c r="CX929" s="5"/>
      <c r="CY929" s="5"/>
      <c r="CZ929" s="5"/>
      <c r="DA929" s="5"/>
      <c r="DB929" s="5"/>
      <c r="DC929" s="5"/>
      <c r="DD929" s="5"/>
      <c r="DE929" s="5"/>
      <c r="DF929" s="5"/>
      <c r="DG929" s="5"/>
      <c r="DH929" s="5"/>
      <c r="DI929" s="5"/>
      <c r="DJ929" s="5"/>
      <c r="DK929" s="5"/>
      <c r="DL929" s="5"/>
      <c r="DM929" s="5"/>
      <c r="DN929" s="5"/>
      <c r="DO929" s="5"/>
      <c r="DP929" s="5"/>
      <c r="DQ929" s="5"/>
      <c r="DR929" s="5"/>
      <c r="DS929" s="5"/>
      <c r="DT929" s="5"/>
      <c r="DU929" s="5"/>
      <c r="DV929" s="5"/>
      <c r="DW929" s="5"/>
      <c r="DX929" s="5"/>
      <c r="DY929" s="5"/>
      <c r="DZ929" s="5"/>
      <c r="EA929" s="5"/>
      <c r="EB929" s="5"/>
      <c r="EC929" s="5"/>
      <c r="ED929" s="5"/>
      <c r="EE929" s="5"/>
      <c r="EF929" s="5"/>
      <c r="EG929" s="5"/>
      <c r="EH929" s="5"/>
      <c r="EI929" s="5"/>
      <c r="EJ929" s="5"/>
      <c r="EK929" s="5"/>
      <c r="EL929" s="5"/>
      <c r="EM929" s="5"/>
      <c r="EN929" s="5"/>
      <c r="EO929" s="5"/>
      <c r="EP929" s="5"/>
      <c r="EQ929" s="5"/>
      <c r="ER929" s="5"/>
      <c r="ES929" s="5"/>
      <c r="ET929" s="5"/>
      <c r="EU929" s="5"/>
      <c r="EV929" s="5"/>
      <c r="EW929" s="5"/>
      <c r="EX929" s="5"/>
      <c r="EY929" s="5"/>
      <c r="EZ929" s="5"/>
      <c r="FA929" s="5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5"/>
      <c r="CT930" s="5"/>
      <c r="CU930" s="5"/>
      <c r="CV930" s="5"/>
      <c r="CW930" s="5"/>
      <c r="CX930" s="5"/>
      <c r="CY930" s="5"/>
      <c r="CZ930" s="5"/>
      <c r="DA930" s="5"/>
      <c r="DB930" s="5"/>
      <c r="DC930" s="5"/>
      <c r="DD930" s="5"/>
      <c r="DE930" s="5"/>
      <c r="DF930" s="5"/>
      <c r="DG930" s="5"/>
      <c r="DH930" s="5"/>
      <c r="DI930" s="5"/>
      <c r="DJ930" s="5"/>
      <c r="DK930" s="5"/>
      <c r="DL930" s="5"/>
      <c r="DM930" s="5"/>
      <c r="DN930" s="5"/>
      <c r="DO930" s="5"/>
      <c r="DP930" s="5"/>
      <c r="DQ930" s="5"/>
      <c r="DR930" s="5"/>
      <c r="DS930" s="5"/>
      <c r="DT930" s="5"/>
      <c r="DU930" s="5"/>
      <c r="DV930" s="5"/>
      <c r="DW930" s="5"/>
      <c r="DX930" s="5"/>
      <c r="DY930" s="5"/>
      <c r="DZ930" s="5"/>
      <c r="EA930" s="5"/>
      <c r="EB930" s="5"/>
      <c r="EC930" s="5"/>
      <c r="ED930" s="5"/>
      <c r="EE930" s="5"/>
      <c r="EF930" s="5"/>
      <c r="EG930" s="5"/>
      <c r="EH930" s="5"/>
      <c r="EI930" s="5"/>
      <c r="EJ930" s="5"/>
      <c r="EK930" s="5"/>
      <c r="EL930" s="5"/>
      <c r="EM930" s="5"/>
      <c r="EN930" s="5"/>
      <c r="EO930" s="5"/>
      <c r="EP930" s="5"/>
      <c r="EQ930" s="5"/>
      <c r="ER930" s="5"/>
      <c r="ES930" s="5"/>
      <c r="ET930" s="5"/>
      <c r="EU930" s="5"/>
      <c r="EV930" s="5"/>
      <c r="EW930" s="5"/>
      <c r="EX930" s="5"/>
      <c r="EY930" s="5"/>
      <c r="EZ930" s="5"/>
      <c r="FA930" s="5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5"/>
      <c r="CT931" s="5"/>
      <c r="CU931" s="5"/>
      <c r="CV931" s="5"/>
      <c r="CW931" s="5"/>
      <c r="CX931" s="5"/>
      <c r="CY931" s="5"/>
      <c r="CZ931" s="5"/>
      <c r="DA931" s="5"/>
      <c r="DB931" s="5"/>
      <c r="DC931" s="5"/>
      <c r="DD931" s="5"/>
      <c r="DE931" s="5"/>
      <c r="DF931" s="5"/>
      <c r="DG931" s="5"/>
      <c r="DH931" s="5"/>
      <c r="DI931" s="5"/>
      <c r="DJ931" s="5"/>
      <c r="DK931" s="5"/>
      <c r="DL931" s="5"/>
      <c r="DM931" s="5"/>
      <c r="DN931" s="5"/>
      <c r="DO931" s="5"/>
      <c r="DP931" s="5"/>
      <c r="DQ931" s="5"/>
      <c r="DR931" s="5"/>
      <c r="DS931" s="5"/>
      <c r="DT931" s="5"/>
      <c r="DU931" s="5"/>
      <c r="DV931" s="5"/>
      <c r="DW931" s="5"/>
      <c r="DX931" s="5"/>
      <c r="DY931" s="5"/>
      <c r="DZ931" s="5"/>
      <c r="EA931" s="5"/>
      <c r="EB931" s="5"/>
      <c r="EC931" s="5"/>
      <c r="ED931" s="5"/>
      <c r="EE931" s="5"/>
      <c r="EF931" s="5"/>
      <c r="EG931" s="5"/>
      <c r="EH931" s="5"/>
      <c r="EI931" s="5"/>
      <c r="EJ931" s="5"/>
      <c r="EK931" s="5"/>
      <c r="EL931" s="5"/>
      <c r="EM931" s="5"/>
      <c r="EN931" s="5"/>
      <c r="EO931" s="5"/>
      <c r="EP931" s="5"/>
      <c r="EQ931" s="5"/>
      <c r="ER931" s="5"/>
      <c r="ES931" s="5"/>
      <c r="ET931" s="5"/>
      <c r="EU931" s="5"/>
      <c r="EV931" s="5"/>
      <c r="EW931" s="5"/>
      <c r="EX931" s="5"/>
      <c r="EY931" s="5"/>
      <c r="EZ931" s="5"/>
      <c r="FA931" s="5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5"/>
      <c r="CT932" s="5"/>
      <c r="CU932" s="5"/>
      <c r="CV932" s="5"/>
      <c r="CW932" s="5"/>
      <c r="CX932" s="5"/>
      <c r="CY932" s="5"/>
      <c r="CZ932" s="5"/>
      <c r="DA932" s="5"/>
      <c r="DB932" s="5"/>
      <c r="DC932" s="5"/>
      <c r="DD932" s="5"/>
      <c r="DE932" s="5"/>
      <c r="DF932" s="5"/>
      <c r="DG932" s="5"/>
      <c r="DH932" s="5"/>
      <c r="DI932" s="5"/>
      <c r="DJ932" s="5"/>
      <c r="DK932" s="5"/>
      <c r="DL932" s="5"/>
      <c r="DM932" s="5"/>
      <c r="DN932" s="5"/>
      <c r="DO932" s="5"/>
      <c r="DP932" s="5"/>
      <c r="DQ932" s="5"/>
      <c r="DR932" s="5"/>
      <c r="DS932" s="5"/>
      <c r="DT932" s="5"/>
      <c r="DU932" s="5"/>
      <c r="DV932" s="5"/>
      <c r="DW932" s="5"/>
      <c r="DX932" s="5"/>
      <c r="DY932" s="5"/>
      <c r="DZ932" s="5"/>
      <c r="EA932" s="5"/>
      <c r="EB932" s="5"/>
      <c r="EC932" s="5"/>
      <c r="ED932" s="5"/>
      <c r="EE932" s="5"/>
      <c r="EF932" s="5"/>
      <c r="EG932" s="5"/>
      <c r="EH932" s="5"/>
      <c r="EI932" s="5"/>
      <c r="EJ932" s="5"/>
      <c r="EK932" s="5"/>
      <c r="EL932" s="5"/>
      <c r="EM932" s="5"/>
      <c r="EN932" s="5"/>
      <c r="EO932" s="5"/>
      <c r="EP932" s="5"/>
      <c r="EQ932" s="5"/>
      <c r="ER932" s="5"/>
      <c r="ES932" s="5"/>
      <c r="ET932" s="5"/>
      <c r="EU932" s="5"/>
      <c r="EV932" s="5"/>
      <c r="EW932" s="5"/>
      <c r="EX932" s="5"/>
      <c r="EY932" s="5"/>
      <c r="EZ932" s="5"/>
      <c r="FA932" s="5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5"/>
      <c r="CT933" s="5"/>
      <c r="CU933" s="5"/>
      <c r="CV933" s="5"/>
      <c r="CW933" s="5"/>
      <c r="CX933" s="5"/>
      <c r="CY933" s="5"/>
      <c r="CZ933" s="5"/>
      <c r="DA933" s="5"/>
      <c r="DB933" s="5"/>
      <c r="DC933" s="5"/>
      <c r="DD933" s="5"/>
      <c r="DE933" s="5"/>
      <c r="DF933" s="5"/>
      <c r="DG933" s="5"/>
      <c r="DH933" s="5"/>
      <c r="DI933" s="5"/>
      <c r="DJ933" s="5"/>
      <c r="DK933" s="5"/>
      <c r="DL933" s="5"/>
      <c r="DM933" s="5"/>
      <c r="DN933" s="5"/>
      <c r="DO933" s="5"/>
      <c r="DP933" s="5"/>
      <c r="DQ933" s="5"/>
      <c r="DR933" s="5"/>
      <c r="DS933" s="5"/>
      <c r="DT933" s="5"/>
      <c r="DU933" s="5"/>
      <c r="DV933" s="5"/>
      <c r="DW933" s="5"/>
      <c r="DX933" s="5"/>
      <c r="DY933" s="5"/>
      <c r="DZ933" s="5"/>
      <c r="EA933" s="5"/>
      <c r="EB933" s="5"/>
      <c r="EC933" s="5"/>
      <c r="ED933" s="5"/>
      <c r="EE933" s="5"/>
      <c r="EF933" s="5"/>
      <c r="EG933" s="5"/>
      <c r="EH933" s="5"/>
      <c r="EI933" s="5"/>
      <c r="EJ933" s="5"/>
      <c r="EK933" s="5"/>
      <c r="EL933" s="5"/>
      <c r="EM933" s="5"/>
      <c r="EN933" s="5"/>
      <c r="EO933" s="5"/>
      <c r="EP933" s="5"/>
      <c r="EQ933" s="5"/>
      <c r="ER933" s="5"/>
      <c r="ES933" s="5"/>
      <c r="ET933" s="5"/>
      <c r="EU933" s="5"/>
      <c r="EV933" s="5"/>
      <c r="EW933" s="5"/>
      <c r="EX933" s="5"/>
      <c r="EY933" s="5"/>
      <c r="EZ933" s="5"/>
      <c r="FA933" s="5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5"/>
      <c r="CT934" s="5"/>
      <c r="CU934" s="5"/>
      <c r="CV934" s="5"/>
      <c r="CW934" s="5"/>
      <c r="CX934" s="5"/>
      <c r="CY934" s="5"/>
      <c r="CZ934" s="5"/>
      <c r="DA934" s="5"/>
      <c r="DB934" s="5"/>
      <c r="DC934" s="5"/>
      <c r="DD934" s="5"/>
      <c r="DE934" s="5"/>
      <c r="DF934" s="5"/>
      <c r="DG934" s="5"/>
      <c r="DH934" s="5"/>
      <c r="DI934" s="5"/>
      <c r="DJ934" s="5"/>
      <c r="DK934" s="5"/>
      <c r="DL934" s="5"/>
      <c r="DM934" s="5"/>
      <c r="DN934" s="5"/>
      <c r="DO934" s="5"/>
      <c r="DP934" s="5"/>
      <c r="DQ934" s="5"/>
      <c r="DR934" s="5"/>
      <c r="DS934" s="5"/>
      <c r="DT934" s="5"/>
      <c r="DU934" s="5"/>
      <c r="DV934" s="5"/>
      <c r="DW934" s="5"/>
      <c r="DX934" s="5"/>
      <c r="DY934" s="5"/>
      <c r="DZ934" s="5"/>
      <c r="EA934" s="5"/>
      <c r="EB934" s="5"/>
      <c r="EC934" s="5"/>
      <c r="ED934" s="5"/>
      <c r="EE934" s="5"/>
      <c r="EF934" s="5"/>
      <c r="EG934" s="5"/>
      <c r="EH934" s="5"/>
      <c r="EI934" s="5"/>
      <c r="EJ934" s="5"/>
      <c r="EK934" s="5"/>
      <c r="EL934" s="5"/>
      <c r="EM934" s="5"/>
      <c r="EN934" s="5"/>
      <c r="EO934" s="5"/>
      <c r="EP934" s="5"/>
      <c r="EQ934" s="5"/>
      <c r="ER934" s="5"/>
      <c r="ES934" s="5"/>
      <c r="ET934" s="5"/>
      <c r="EU934" s="5"/>
      <c r="EV934" s="5"/>
      <c r="EW934" s="5"/>
      <c r="EX934" s="5"/>
      <c r="EY934" s="5"/>
      <c r="EZ934" s="5"/>
      <c r="FA934" s="5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5"/>
      <c r="CT935" s="5"/>
      <c r="CU935" s="5"/>
      <c r="CV935" s="5"/>
      <c r="CW935" s="5"/>
      <c r="CX935" s="5"/>
      <c r="CY935" s="5"/>
      <c r="CZ935" s="5"/>
      <c r="DA935" s="5"/>
      <c r="DB935" s="5"/>
      <c r="DC935" s="5"/>
      <c r="DD935" s="5"/>
      <c r="DE935" s="5"/>
      <c r="DF935" s="5"/>
      <c r="DG935" s="5"/>
      <c r="DH935" s="5"/>
      <c r="DI935" s="5"/>
      <c r="DJ935" s="5"/>
      <c r="DK935" s="5"/>
      <c r="DL935" s="5"/>
      <c r="DM935" s="5"/>
      <c r="DN935" s="5"/>
      <c r="DO935" s="5"/>
      <c r="DP935" s="5"/>
      <c r="DQ935" s="5"/>
      <c r="DR935" s="5"/>
      <c r="DS935" s="5"/>
      <c r="DT935" s="5"/>
      <c r="DU935" s="5"/>
      <c r="DV935" s="5"/>
      <c r="DW935" s="5"/>
      <c r="DX935" s="5"/>
      <c r="DY935" s="5"/>
      <c r="DZ935" s="5"/>
      <c r="EA935" s="5"/>
      <c r="EB935" s="5"/>
      <c r="EC935" s="5"/>
      <c r="ED935" s="5"/>
      <c r="EE935" s="5"/>
      <c r="EF935" s="5"/>
      <c r="EG935" s="5"/>
      <c r="EH935" s="5"/>
      <c r="EI935" s="5"/>
      <c r="EJ935" s="5"/>
      <c r="EK935" s="5"/>
      <c r="EL935" s="5"/>
      <c r="EM935" s="5"/>
      <c r="EN935" s="5"/>
      <c r="EO935" s="5"/>
      <c r="EP935" s="5"/>
      <c r="EQ935" s="5"/>
      <c r="ER935" s="5"/>
      <c r="ES935" s="5"/>
      <c r="ET935" s="5"/>
      <c r="EU935" s="5"/>
      <c r="EV935" s="5"/>
      <c r="EW935" s="5"/>
      <c r="EX935" s="5"/>
      <c r="EY935" s="5"/>
      <c r="EZ935" s="5"/>
      <c r="FA935" s="5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5"/>
      <c r="CT936" s="5"/>
      <c r="CU936" s="5"/>
      <c r="CV936" s="5"/>
      <c r="CW936" s="5"/>
      <c r="CX936" s="5"/>
      <c r="CY936" s="5"/>
      <c r="CZ936" s="5"/>
      <c r="DA936" s="5"/>
      <c r="DB936" s="5"/>
      <c r="DC936" s="5"/>
      <c r="DD936" s="5"/>
      <c r="DE936" s="5"/>
      <c r="DF936" s="5"/>
      <c r="DG936" s="5"/>
      <c r="DH936" s="5"/>
      <c r="DI936" s="5"/>
      <c r="DJ936" s="5"/>
      <c r="DK936" s="5"/>
      <c r="DL936" s="5"/>
      <c r="DM936" s="5"/>
      <c r="DN936" s="5"/>
      <c r="DO936" s="5"/>
      <c r="DP936" s="5"/>
      <c r="DQ936" s="5"/>
      <c r="DR936" s="5"/>
      <c r="DS936" s="5"/>
      <c r="DT936" s="5"/>
      <c r="DU936" s="5"/>
      <c r="DV936" s="5"/>
      <c r="DW936" s="5"/>
      <c r="DX936" s="5"/>
      <c r="DY936" s="5"/>
      <c r="DZ936" s="5"/>
      <c r="EA936" s="5"/>
      <c r="EB936" s="5"/>
      <c r="EC936" s="5"/>
      <c r="ED936" s="5"/>
      <c r="EE936" s="5"/>
      <c r="EF936" s="5"/>
      <c r="EG936" s="5"/>
      <c r="EH936" s="5"/>
      <c r="EI936" s="5"/>
      <c r="EJ936" s="5"/>
      <c r="EK936" s="5"/>
      <c r="EL936" s="5"/>
      <c r="EM936" s="5"/>
      <c r="EN936" s="5"/>
      <c r="EO936" s="5"/>
      <c r="EP936" s="5"/>
      <c r="EQ936" s="5"/>
      <c r="ER936" s="5"/>
      <c r="ES936" s="5"/>
      <c r="ET936" s="5"/>
      <c r="EU936" s="5"/>
      <c r="EV936" s="5"/>
      <c r="EW936" s="5"/>
      <c r="EX936" s="5"/>
      <c r="EY936" s="5"/>
      <c r="EZ936" s="5"/>
      <c r="FA936" s="5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5"/>
      <c r="CT937" s="5"/>
      <c r="CU937" s="5"/>
      <c r="CV937" s="5"/>
      <c r="CW937" s="5"/>
      <c r="CX937" s="5"/>
      <c r="CY937" s="5"/>
      <c r="CZ937" s="5"/>
      <c r="DA937" s="5"/>
      <c r="DB937" s="5"/>
      <c r="DC937" s="5"/>
      <c r="DD937" s="5"/>
      <c r="DE937" s="5"/>
      <c r="DF937" s="5"/>
      <c r="DG937" s="5"/>
      <c r="DH937" s="5"/>
      <c r="DI937" s="5"/>
      <c r="DJ937" s="5"/>
      <c r="DK937" s="5"/>
      <c r="DL937" s="5"/>
      <c r="DM937" s="5"/>
      <c r="DN937" s="5"/>
      <c r="DO937" s="5"/>
      <c r="DP937" s="5"/>
      <c r="DQ937" s="5"/>
      <c r="DR937" s="5"/>
      <c r="DS937" s="5"/>
      <c r="DT937" s="5"/>
      <c r="DU937" s="5"/>
      <c r="DV937" s="5"/>
      <c r="DW937" s="5"/>
      <c r="DX937" s="5"/>
      <c r="DY937" s="5"/>
      <c r="DZ937" s="5"/>
      <c r="EA937" s="5"/>
      <c r="EB937" s="5"/>
      <c r="EC937" s="5"/>
      <c r="ED937" s="5"/>
      <c r="EE937" s="5"/>
      <c r="EF937" s="5"/>
      <c r="EG937" s="5"/>
      <c r="EH937" s="5"/>
      <c r="EI937" s="5"/>
      <c r="EJ937" s="5"/>
      <c r="EK937" s="5"/>
      <c r="EL937" s="5"/>
      <c r="EM937" s="5"/>
      <c r="EN937" s="5"/>
      <c r="EO937" s="5"/>
      <c r="EP937" s="5"/>
      <c r="EQ937" s="5"/>
      <c r="ER937" s="5"/>
      <c r="ES937" s="5"/>
      <c r="ET937" s="5"/>
      <c r="EU937" s="5"/>
      <c r="EV937" s="5"/>
      <c r="EW937" s="5"/>
      <c r="EX937" s="5"/>
      <c r="EY937" s="5"/>
      <c r="EZ937" s="5"/>
      <c r="FA937" s="5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5"/>
      <c r="CT938" s="5"/>
      <c r="CU938" s="5"/>
      <c r="CV938" s="5"/>
      <c r="CW938" s="5"/>
      <c r="CX938" s="5"/>
      <c r="CY938" s="5"/>
      <c r="CZ938" s="5"/>
      <c r="DA938" s="5"/>
      <c r="DB938" s="5"/>
      <c r="DC938" s="5"/>
      <c r="DD938" s="5"/>
      <c r="DE938" s="5"/>
      <c r="DF938" s="5"/>
      <c r="DG938" s="5"/>
      <c r="DH938" s="5"/>
      <c r="DI938" s="5"/>
      <c r="DJ938" s="5"/>
      <c r="DK938" s="5"/>
      <c r="DL938" s="5"/>
      <c r="DM938" s="5"/>
      <c r="DN938" s="5"/>
      <c r="DO938" s="5"/>
      <c r="DP938" s="5"/>
      <c r="DQ938" s="5"/>
      <c r="DR938" s="5"/>
      <c r="DS938" s="5"/>
      <c r="DT938" s="5"/>
      <c r="DU938" s="5"/>
      <c r="DV938" s="5"/>
      <c r="DW938" s="5"/>
      <c r="DX938" s="5"/>
      <c r="DY938" s="5"/>
      <c r="DZ938" s="5"/>
      <c r="EA938" s="5"/>
      <c r="EB938" s="5"/>
      <c r="EC938" s="5"/>
      <c r="ED938" s="5"/>
      <c r="EE938" s="5"/>
      <c r="EF938" s="5"/>
      <c r="EG938" s="5"/>
      <c r="EH938" s="5"/>
      <c r="EI938" s="5"/>
      <c r="EJ938" s="5"/>
      <c r="EK938" s="5"/>
      <c r="EL938" s="5"/>
      <c r="EM938" s="5"/>
      <c r="EN938" s="5"/>
      <c r="EO938" s="5"/>
      <c r="EP938" s="5"/>
      <c r="EQ938" s="5"/>
      <c r="ER938" s="5"/>
      <c r="ES938" s="5"/>
      <c r="ET938" s="5"/>
      <c r="EU938" s="5"/>
      <c r="EV938" s="5"/>
      <c r="EW938" s="5"/>
      <c r="EX938" s="5"/>
      <c r="EY938" s="5"/>
      <c r="EZ938" s="5"/>
      <c r="FA938" s="5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5"/>
      <c r="CT939" s="5"/>
      <c r="CU939" s="5"/>
      <c r="CV939" s="5"/>
      <c r="CW939" s="5"/>
      <c r="CX939" s="5"/>
      <c r="CY939" s="5"/>
      <c r="CZ939" s="5"/>
      <c r="DA939" s="5"/>
      <c r="DB939" s="5"/>
      <c r="DC939" s="5"/>
      <c r="DD939" s="5"/>
      <c r="DE939" s="5"/>
      <c r="DF939" s="5"/>
      <c r="DG939" s="5"/>
      <c r="DH939" s="5"/>
      <c r="DI939" s="5"/>
      <c r="DJ939" s="5"/>
      <c r="DK939" s="5"/>
      <c r="DL939" s="5"/>
      <c r="DM939" s="5"/>
      <c r="DN939" s="5"/>
      <c r="DO939" s="5"/>
      <c r="DP939" s="5"/>
      <c r="DQ939" s="5"/>
      <c r="DR939" s="5"/>
      <c r="DS939" s="5"/>
      <c r="DT939" s="5"/>
      <c r="DU939" s="5"/>
      <c r="DV939" s="5"/>
      <c r="DW939" s="5"/>
      <c r="DX939" s="5"/>
      <c r="DY939" s="5"/>
      <c r="DZ939" s="5"/>
      <c r="EA939" s="5"/>
      <c r="EB939" s="5"/>
      <c r="EC939" s="5"/>
      <c r="ED939" s="5"/>
      <c r="EE939" s="5"/>
      <c r="EF939" s="5"/>
      <c r="EG939" s="5"/>
      <c r="EH939" s="5"/>
      <c r="EI939" s="5"/>
      <c r="EJ939" s="5"/>
      <c r="EK939" s="5"/>
      <c r="EL939" s="5"/>
      <c r="EM939" s="5"/>
      <c r="EN939" s="5"/>
      <c r="EO939" s="5"/>
      <c r="EP939" s="5"/>
      <c r="EQ939" s="5"/>
      <c r="ER939" s="5"/>
      <c r="ES939" s="5"/>
      <c r="ET939" s="5"/>
      <c r="EU939" s="5"/>
      <c r="EV939" s="5"/>
      <c r="EW939" s="5"/>
      <c r="EX939" s="5"/>
      <c r="EY939" s="5"/>
      <c r="EZ939" s="5"/>
      <c r="FA939" s="5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5"/>
      <c r="CT940" s="5"/>
      <c r="CU940" s="5"/>
      <c r="CV940" s="5"/>
      <c r="CW940" s="5"/>
      <c r="CX940" s="5"/>
      <c r="CY940" s="5"/>
      <c r="CZ940" s="5"/>
      <c r="DA940" s="5"/>
      <c r="DB940" s="5"/>
      <c r="DC940" s="5"/>
      <c r="DD940" s="5"/>
      <c r="DE940" s="5"/>
      <c r="DF940" s="5"/>
      <c r="DG940" s="5"/>
      <c r="DH940" s="5"/>
      <c r="DI940" s="5"/>
      <c r="DJ940" s="5"/>
      <c r="DK940" s="5"/>
      <c r="DL940" s="5"/>
      <c r="DM940" s="5"/>
      <c r="DN940" s="5"/>
      <c r="DO940" s="5"/>
      <c r="DP940" s="5"/>
      <c r="DQ940" s="5"/>
      <c r="DR940" s="5"/>
      <c r="DS940" s="5"/>
      <c r="DT940" s="5"/>
      <c r="DU940" s="5"/>
      <c r="DV940" s="5"/>
      <c r="DW940" s="5"/>
      <c r="DX940" s="5"/>
      <c r="DY940" s="5"/>
      <c r="DZ940" s="5"/>
      <c r="EA940" s="5"/>
      <c r="EB940" s="5"/>
      <c r="EC940" s="5"/>
      <c r="ED940" s="5"/>
      <c r="EE940" s="5"/>
      <c r="EF940" s="5"/>
      <c r="EG940" s="5"/>
      <c r="EH940" s="5"/>
      <c r="EI940" s="5"/>
      <c r="EJ940" s="5"/>
      <c r="EK940" s="5"/>
      <c r="EL940" s="5"/>
      <c r="EM940" s="5"/>
      <c r="EN940" s="5"/>
      <c r="EO940" s="5"/>
      <c r="EP940" s="5"/>
      <c r="EQ940" s="5"/>
      <c r="ER940" s="5"/>
      <c r="ES940" s="5"/>
      <c r="ET940" s="5"/>
      <c r="EU940" s="5"/>
      <c r="EV940" s="5"/>
      <c r="EW940" s="5"/>
      <c r="EX940" s="5"/>
      <c r="EY940" s="5"/>
      <c r="EZ940" s="5"/>
      <c r="FA940" s="5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5"/>
      <c r="CT941" s="5"/>
      <c r="CU941" s="5"/>
      <c r="CV941" s="5"/>
      <c r="CW941" s="5"/>
      <c r="CX941" s="5"/>
      <c r="CY941" s="5"/>
      <c r="CZ941" s="5"/>
      <c r="DA941" s="5"/>
      <c r="DB941" s="5"/>
      <c r="DC941" s="5"/>
      <c r="DD941" s="5"/>
      <c r="DE941" s="5"/>
      <c r="DF941" s="5"/>
      <c r="DG941" s="5"/>
      <c r="DH941" s="5"/>
      <c r="DI941" s="5"/>
      <c r="DJ941" s="5"/>
      <c r="DK941" s="5"/>
      <c r="DL941" s="5"/>
      <c r="DM941" s="5"/>
      <c r="DN941" s="5"/>
      <c r="DO941" s="5"/>
      <c r="DP941" s="5"/>
      <c r="DQ941" s="5"/>
      <c r="DR941" s="5"/>
      <c r="DS941" s="5"/>
      <c r="DT941" s="5"/>
      <c r="DU941" s="5"/>
      <c r="DV941" s="5"/>
      <c r="DW941" s="5"/>
      <c r="DX941" s="5"/>
      <c r="DY941" s="5"/>
      <c r="DZ941" s="5"/>
      <c r="EA941" s="5"/>
      <c r="EB941" s="5"/>
      <c r="EC941" s="5"/>
      <c r="ED941" s="5"/>
      <c r="EE941" s="5"/>
      <c r="EF941" s="5"/>
      <c r="EG941" s="5"/>
      <c r="EH941" s="5"/>
      <c r="EI941" s="5"/>
      <c r="EJ941" s="5"/>
      <c r="EK941" s="5"/>
      <c r="EL941" s="5"/>
      <c r="EM941" s="5"/>
      <c r="EN941" s="5"/>
      <c r="EO941" s="5"/>
      <c r="EP941" s="5"/>
      <c r="EQ941" s="5"/>
      <c r="ER941" s="5"/>
      <c r="ES941" s="5"/>
      <c r="ET941" s="5"/>
      <c r="EU941" s="5"/>
      <c r="EV941" s="5"/>
      <c r="EW941" s="5"/>
      <c r="EX941" s="5"/>
      <c r="EY941" s="5"/>
      <c r="EZ941" s="5"/>
      <c r="FA941" s="5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5"/>
      <c r="CT942" s="5"/>
      <c r="CU942" s="5"/>
      <c r="CV942" s="5"/>
      <c r="CW942" s="5"/>
      <c r="CX942" s="5"/>
      <c r="CY942" s="5"/>
      <c r="CZ942" s="5"/>
      <c r="DA942" s="5"/>
      <c r="DB942" s="5"/>
      <c r="DC942" s="5"/>
      <c r="DD942" s="5"/>
      <c r="DE942" s="5"/>
      <c r="DF942" s="5"/>
      <c r="DG942" s="5"/>
      <c r="DH942" s="5"/>
      <c r="DI942" s="5"/>
      <c r="DJ942" s="5"/>
      <c r="DK942" s="5"/>
      <c r="DL942" s="5"/>
      <c r="DM942" s="5"/>
      <c r="DN942" s="5"/>
      <c r="DO942" s="5"/>
      <c r="DP942" s="5"/>
      <c r="DQ942" s="5"/>
      <c r="DR942" s="5"/>
      <c r="DS942" s="5"/>
      <c r="DT942" s="5"/>
      <c r="DU942" s="5"/>
      <c r="DV942" s="5"/>
      <c r="DW942" s="5"/>
      <c r="DX942" s="5"/>
      <c r="DY942" s="5"/>
      <c r="DZ942" s="5"/>
      <c r="EA942" s="5"/>
      <c r="EB942" s="5"/>
      <c r="EC942" s="5"/>
      <c r="ED942" s="5"/>
      <c r="EE942" s="5"/>
      <c r="EF942" s="5"/>
      <c r="EG942" s="5"/>
      <c r="EH942" s="5"/>
      <c r="EI942" s="5"/>
      <c r="EJ942" s="5"/>
      <c r="EK942" s="5"/>
      <c r="EL942" s="5"/>
      <c r="EM942" s="5"/>
      <c r="EN942" s="5"/>
      <c r="EO942" s="5"/>
      <c r="EP942" s="5"/>
      <c r="EQ942" s="5"/>
      <c r="ER942" s="5"/>
      <c r="ES942" s="5"/>
      <c r="ET942" s="5"/>
      <c r="EU942" s="5"/>
      <c r="EV942" s="5"/>
      <c r="EW942" s="5"/>
      <c r="EX942" s="5"/>
      <c r="EY942" s="5"/>
      <c r="EZ942" s="5"/>
      <c r="FA942" s="5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5"/>
      <c r="CT943" s="5"/>
      <c r="CU943" s="5"/>
      <c r="CV943" s="5"/>
      <c r="CW943" s="5"/>
      <c r="CX943" s="5"/>
      <c r="CY943" s="5"/>
      <c r="CZ943" s="5"/>
      <c r="DA943" s="5"/>
      <c r="DB943" s="5"/>
      <c r="DC943" s="5"/>
      <c r="DD943" s="5"/>
      <c r="DE943" s="5"/>
      <c r="DF943" s="5"/>
      <c r="DG943" s="5"/>
      <c r="DH943" s="5"/>
      <c r="DI943" s="5"/>
      <c r="DJ943" s="5"/>
      <c r="DK943" s="5"/>
      <c r="DL943" s="5"/>
      <c r="DM943" s="5"/>
      <c r="DN943" s="5"/>
      <c r="DO943" s="5"/>
      <c r="DP943" s="5"/>
      <c r="DQ943" s="5"/>
      <c r="DR943" s="5"/>
      <c r="DS943" s="5"/>
      <c r="DT943" s="5"/>
      <c r="DU943" s="5"/>
      <c r="DV943" s="5"/>
      <c r="DW943" s="5"/>
      <c r="DX943" s="5"/>
      <c r="DY943" s="5"/>
      <c r="DZ943" s="5"/>
      <c r="EA943" s="5"/>
      <c r="EB943" s="5"/>
      <c r="EC943" s="5"/>
      <c r="ED943" s="5"/>
      <c r="EE943" s="5"/>
      <c r="EF943" s="5"/>
      <c r="EG943" s="5"/>
      <c r="EH943" s="5"/>
      <c r="EI943" s="5"/>
      <c r="EJ943" s="5"/>
      <c r="EK943" s="5"/>
      <c r="EL943" s="5"/>
      <c r="EM943" s="5"/>
      <c r="EN943" s="5"/>
      <c r="EO943" s="5"/>
      <c r="EP943" s="5"/>
      <c r="EQ943" s="5"/>
      <c r="ER943" s="5"/>
      <c r="ES943" s="5"/>
      <c r="ET943" s="5"/>
      <c r="EU943" s="5"/>
      <c r="EV943" s="5"/>
      <c r="EW943" s="5"/>
      <c r="EX943" s="5"/>
      <c r="EY943" s="5"/>
      <c r="EZ943" s="5"/>
      <c r="FA943" s="5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5"/>
      <c r="CT944" s="5"/>
      <c r="CU944" s="5"/>
      <c r="CV944" s="5"/>
      <c r="CW944" s="5"/>
      <c r="CX944" s="5"/>
      <c r="CY944" s="5"/>
      <c r="CZ944" s="5"/>
      <c r="DA944" s="5"/>
      <c r="DB944" s="5"/>
      <c r="DC944" s="5"/>
      <c r="DD944" s="5"/>
      <c r="DE944" s="5"/>
      <c r="DF944" s="5"/>
      <c r="DG944" s="5"/>
      <c r="DH944" s="5"/>
      <c r="DI944" s="5"/>
      <c r="DJ944" s="5"/>
      <c r="DK944" s="5"/>
      <c r="DL944" s="5"/>
      <c r="DM944" s="5"/>
      <c r="DN944" s="5"/>
      <c r="DO944" s="5"/>
      <c r="DP944" s="5"/>
      <c r="DQ944" s="5"/>
      <c r="DR944" s="5"/>
      <c r="DS944" s="5"/>
      <c r="DT944" s="5"/>
      <c r="DU944" s="5"/>
      <c r="DV944" s="5"/>
      <c r="DW944" s="5"/>
      <c r="DX944" s="5"/>
      <c r="DY944" s="5"/>
      <c r="DZ944" s="5"/>
      <c r="EA944" s="5"/>
      <c r="EB944" s="5"/>
      <c r="EC944" s="5"/>
      <c r="ED944" s="5"/>
      <c r="EE944" s="5"/>
      <c r="EF944" s="5"/>
      <c r="EG944" s="5"/>
      <c r="EH944" s="5"/>
      <c r="EI944" s="5"/>
      <c r="EJ944" s="5"/>
      <c r="EK944" s="5"/>
      <c r="EL944" s="5"/>
      <c r="EM944" s="5"/>
      <c r="EN944" s="5"/>
      <c r="EO944" s="5"/>
      <c r="EP944" s="5"/>
      <c r="EQ944" s="5"/>
      <c r="ER944" s="5"/>
      <c r="ES944" s="5"/>
      <c r="ET944" s="5"/>
      <c r="EU944" s="5"/>
      <c r="EV944" s="5"/>
      <c r="EW944" s="5"/>
      <c r="EX944" s="5"/>
      <c r="EY944" s="5"/>
      <c r="EZ944" s="5"/>
      <c r="FA944" s="5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5"/>
      <c r="CT945" s="5"/>
      <c r="CU945" s="5"/>
      <c r="CV945" s="5"/>
      <c r="CW945" s="5"/>
      <c r="CX945" s="5"/>
      <c r="CY945" s="5"/>
      <c r="CZ945" s="5"/>
      <c r="DA945" s="5"/>
      <c r="DB945" s="5"/>
      <c r="DC945" s="5"/>
      <c r="DD945" s="5"/>
      <c r="DE945" s="5"/>
      <c r="DF945" s="5"/>
      <c r="DG945" s="5"/>
      <c r="DH945" s="5"/>
      <c r="DI945" s="5"/>
      <c r="DJ945" s="5"/>
      <c r="DK945" s="5"/>
      <c r="DL945" s="5"/>
      <c r="DM945" s="5"/>
      <c r="DN945" s="5"/>
      <c r="DO945" s="5"/>
      <c r="DP945" s="5"/>
      <c r="DQ945" s="5"/>
      <c r="DR945" s="5"/>
      <c r="DS945" s="5"/>
      <c r="DT945" s="5"/>
      <c r="DU945" s="5"/>
      <c r="DV945" s="5"/>
      <c r="DW945" s="5"/>
      <c r="DX945" s="5"/>
      <c r="DY945" s="5"/>
      <c r="DZ945" s="5"/>
      <c r="EA945" s="5"/>
      <c r="EB945" s="5"/>
      <c r="EC945" s="5"/>
      <c r="ED945" s="5"/>
      <c r="EE945" s="5"/>
      <c r="EF945" s="5"/>
      <c r="EG945" s="5"/>
      <c r="EH945" s="5"/>
      <c r="EI945" s="5"/>
      <c r="EJ945" s="5"/>
      <c r="EK945" s="5"/>
      <c r="EL945" s="5"/>
      <c r="EM945" s="5"/>
      <c r="EN945" s="5"/>
      <c r="EO945" s="5"/>
      <c r="EP945" s="5"/>
      <c r="EQ945" s="5"/>
      <c r="ER945" s="5"/>
      <c r="ES945" s="5"/>
      <c r="ET945" s="5"/>
      <c r="EU945" s="5"/>
      <c r="EV945" s="5"/>
      <c r="EW945" s="5"/>
      <c r="EX945" s="5"/>
      <c r="EY945" s="5"/>
      <c r="EZ945" s="5"/>
      <c r="FA945" s="5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5"/>
      <c r="CT946" s="5"/>
      <c r="CU946" s="5"/>
      <c r="CV946" s="5"/>
      <c r="CW946" s="5"/>
      <c r="CX946" s="5"/>
      <c r="CY946" s="5"/>
      <c r="CZ946" s="5"/>
      <c r="DA946" s="5"/>
      <c r="DB946" s="5"/>
      <c r="DC946" s="5"/>
      <c r="DD946" s="5"/>
      <c r="DE946" s="5"/>
      <c r="DF946" s="5"/>
      <c r="DG946" s="5"/>
      <c r="DH946" s="5"/>
      <c r="DI946" s="5"/>
      <c r="DJ946" s="5"/>
      <c r="DK946" s="5"/>
      <c r="DL946" s="5"/>
      <c r="DM946" s="5"/>
      <c r="DN946" s="5"/>
      <c r="DO946" s="5"/>
      <c r="DP946" s="5"/>
      <c r="DQ946" s="5"/>
      <c r="DR946" s="5"/>
      <c r="DS946" s="5"/>
      <c r="DT946" s="5"/>
      <c r="DU946" s="5"/>
      <c r="DV946" s="5"/>
      <c r="DW946" s="5"/>
      <c r="DX946" s="5"/>
      <c r="DY946" s="5"/>
      <c r="DZ946" s="5"/>
      <c r="EA946" s="5"/>
      <c r="EB946" s="5"/>
      <c r="EC946" s="5"/>
      <c r="ED946" s="5"/>
      <c r="EE946" s="5"/>
      <c r="EF946" s="5"/>
      <c r="EG946" s="5"/>
      <c r="EH946" s="5"/>
      <c r="EI946" s="5"/>
      <c r="EJ946" s="5"/>
      <c r="EK946" s="5"/>
      <c r="EL946" s="5"/>
      <c r="EM946" s="5"/>
      <c r="EN946" s="5"/>
      <c r="EO946" s="5"/>
      <c r="EP946" s="5"/>
      <c r="EQ946" s="5"/>
      <c r="ER946" s="5"/>
      <c r="ES946" s="5"/>
      <c r="ET946" s="5"/>
      <c r="EU946" s="5"/>
      <c r="EV946" s="5"/>
      <c r="EW946" s="5"/>
      <c r="EX946" s="5"/>
      <c r="EY946" s="5"/>
      <c r="EZ946" s="5"/>
      <c r="FA946" s="5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5"/>
      <c r="CT947" s="5"/>
      <c r="CU947" s="5"/>
      <c r="CV947" s="5"/>
      <c r="CW947" s="5"/>
      <c r="CX947" s="5"/>
      <c r="CY947" s="5"/>
      <c r="CZ947" s="5"/>
      <c r="DA947" s="5"/>
      <c r="DB947" s="5"/>
      <c r="DC947" s="5"/>
      <c r="DD947" s="5"/>
      <c r="DE947" s="5"/>
      <c r="DF947" s="5"/>
      <c r="DG947" s="5"/>
      <c r="DH947" s="5"/>
      <c r="DI947" s="5"/>
      <c r="DJ947" s="5"/>
      <c r="DK947" s="5"/>
      <c r="DL947" s="5"/>
      <c r="DM947" s="5"/>
      <c r="DN947" s="5"/>
      <c r="DO947" s="5"/>
      <c r="DP947" s="5"/>
      <c r="DQ947" s="5"/>
      <c r="DR947" s="5"/>
      <c r="DS947" s="5"/>
      <c r="DT947" s="5"/>
      <c r="DU947" s="5"/>
      <c r="DV947" s="5"/>
      <c r="DW947" s="5"/>
      <c r="DX947" s="5"/>
      <c r="DY947" s="5"/>
      <c r="DZ947" s="5"/>
      <c r="EA947" s="5"/>
      <c r="EB947" s="5"/>
      <c r="EC947" s="5"/>
      <c r="ED947" s="5"/>
      <c r="EE947" s="5"/>
      <c r="EF947" s="5"/>
      <c r="EG947" s="5"/>
      <c r="EH947" s="5"/>
      <c r="EI947" s="5"/>
      <c r="EJ947" s="5"/>
      <c r="EK947" s="5"/>
      <c r="EL947" s="5"/>
      <c r="EM947" s="5"/>
      <c r="EN947" s="5"/>
      <c r="EO947" s="5"/>
      <c r="EP947" s="5"/>
      <c r="EQ947" s="5"/>
      <c r="ER947" s="5"/>
      <c r="ES947" s="5"/>
      <c r="ET947" s="5"/>
      <c r="EU947" s="5"/>
      <c r="EV947" s="5"/>
      <c r="EW947" s="5"/>
      <c r="EX947" s="5"/>
      <c r="EY947" s="5"/>
      <c r="EZ947" s="5"/>
      <c r="FA947" s="5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5"/>
      <c r="CT948" s="5"/>
      <c r="CU948" s="5"/>
      <c r="CV948" s="5"/>
      <c r="CW948" s="5"/>
      <c r="CX948" s="5"/>
      <c r="CY948" s="5"/>
      <c r="CZ948" s="5"/>
      <c r="DA948" s="5"/>
      <c r="DB948" s="5"/>
      <c r="DC948" s="5"/>
      <c r="DD948" s="5"/>
      <c r="DE948" s="5"/>
      <c r="DF948" s="5"/>
      <c r="DG948" s="5"/>
      <c r="DH948" s="5"/>
      <c r="DI948" s="5"/>
      <c r="DJ948" s="5"/>
      <c r="DK948" s="5"/>
      <c r="DL948" s="5"/>
      <c r="DM948" s="5"/>
      <c r="DN948" s="5"/>
      <c r="DO948" s="5"/>
      <c r="DP948" s="5"/>
      <c r="DQ948" s="5"/>
      <c r="DR948" s="5"/>
      <c r="DS948" s="5"/>
      <c r="DT948" s="5"/>
      <c r="DU948" s="5"/>
      <c r="DV948" s="5"/>
      <c r="DW948" s="5"/>
      <c r="DX948" s="5"/>
      <c r="DY948" s="5"/>
      <c r="DZ948" s="5"/>
      <c r="EA948" s="5"/>
      <c r="EB948" s="5"/>
      <c r="EC948" s="5"/>
      <c r="ED948" s="5"/>
      <c r="EE948" s="5"/>
      <c r="EF948" s="5"/>
      <c r="EG948" s="5"/>
      <c r="EH948" s="5"/>
      <c r="EI948" s="5"/>
      <c r="EJ948" s="5"/>
      <c r="EK948" s="5"/>
      <c r="EL948" s="5"/>
      <c r="EM948" s="5"/>
      <c r="EN948" s="5"/>
      <c r="EO948" s="5"/>
      <c r="EP948" s="5"/>
      <c r="EQ948" s="5"/>
      <c r="ER948" s="5"/>
      <c r="ES948" s="5"/>
      <c r="ET948" s="5"/>
      <c r="EU948" s="5"/>
      <c r="EV948" s="5"/>
      <c r="EW948" s="5"/>
      <c r="EX948" s="5"/>
      <c r="EY948" s="5"/>
      <c r="EZ948" s="5"/>
      <c r="FA948" s="5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5"/>
      <c r="CT949" s="5"/>
      <c r="CU949" s="5"/>
      <c r="CV949" s="5"/>
      <c r="CW949" s="5"/>
      <c r="CX949" s="5"/>
      <c r="CY949" s="5"/>
      <c r="CZ949" s="5"/>
      <c r="DA949" s="5"/>
      <c r="DB949" s="5"/>
      <c r="DC949" s="5"/>
      <c r="DD949" s="5"/>
      <c r="DE949" s="5"/>
      <c r="DF949" s="5"/>
      <c r="DG949" s="5"/>
      <c r="DH949" s="5"/>
      <c r="DI949" s="5"/>
      <c r="DJ949" s="5"/>
      <c r="DK949" s="5"/>
      <c r="DL949" s="5"/>
      <c r="DM949" s="5"/>
      <c r="DN949" s="5"/>
      <c r="DO949" s="5"/>
      <c r="DP949" s="5"/>
      <c r="DQ949" s="5"/>
      <c r="DR949" s="5"/>
      <c r="DS949" s="5"/>
      <c r="DT949" s="5"/>
      <c r="DU949" s="5"/>
      <c r="DV949" s="5"/>
      <c r="DW949" s="5"/>
      <c r="DX949" s="5"/>
      <c r="DY949" s="5"/>
      <c r="DZ949" s="5"/>
      <c r="EA949" s="5"/>
      <c r="EB949" s="5"/>
      <c r="EC949" s="5"/>
      <c r="ED949" s="5"/>
      <c r="EE949" s="5"/>
      <c r="EF949" s="5"/>
      <c r="EG949" s="5"/>
      <c r="EH949" s="5"/>
      <c r="EI949" s="5"/>
      <c r="EJ949" s="5"/>
      <c r="EK949" s="5"/>
      <c r="EL949" s="5"/>
      <c r="EM949" s="5"/>
      <c r="EN949" s="5"/>
      <c r="EO949" s="5"/>
      <c r="EP949" s="5"/>
      <c r="EQ949" s="5"/>
      <c r="ER949" s="5"/>
      <c r="ES949" s="5"/>
      <c r="ET949" s="5"/>
      <c r="EU949" s="5"/>
      <c r="EV949" s="5"/>
      <c r="EW949" s="5"/>
      <c r="EX949" s="5"/>
      <c r="EY949" s="5"/>
      <c r="EZ949" s="5"/>
      <c r="FA949" s="5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5"/>
      <c r="CT950" s="5"/>
      <c r="CU950" s="5"/>
      <c r="CV950" s="5"/>
      <c r="CW950" s="5"/>
      <c r="CX950" s="5"/>
      <c r="CY950" s="5"/>
      <c r="CZ950" s="5"/>
      <c r="DA950" s="5"/>
      <c r="DB950" s="5"/>
      <c r="DC950" s="5"/>
      <c r="DD950" s="5"/>
      <c r="DE950" s="5"/>
      <c r="DF950" s="5"/>
      <c r="DG950" s="5"/>
      <c r="DH950" s="5"/>
      <c r="DI950" s="5"/>
      <c r="DJ950" s="5"/>
      <c r="DK950" s="5"/>
      <c r="DL950" s="5"/>
      <c r="DM950" s="5"/>
      <c r="DN950" s="5"/>
      <c r="DO950" s="5"/>
      <c r="DP950" s="5"/>
      <c r="DQ950" s="5"/>
      <c r="DR950" s="5"/>
      <c r="DS950" s="5"/>
      <c r="DT950" s="5"/>
      <c r="DU950" s="5"/>
      <c r="DV950" s="5"/>
      <c r="DW950" s="5"/>
      <c r="DX950" s="5"/>
      <c r="DY950" s="5"/>
      <c r="DZ950" s="5"/>
      <c r="EA950" s="5"/>
      <c r="EB950" s="5"/>
      <c r="EC950" s="5"/>
      <c r="ED950" s="5"/>
      <c r="EE950" s="5"/>
      <c r="EF950" s="5"/>
      <c r="EG950" s="5"/>
      <c r="EH950" s="5"/>
      <c r="EI950" s="5"/>
      <c r="EJ950" s="5"/>
      <c r="EK950" s="5"/>
      <c r="EL950" s="5"/>
      <c r="EM950" s="5"/>
      <c r="EN950" s="5"/>
      <c r="EO950" s="5"/>
      <c r="EP950" s="5"/>
      <c r="EQ950" s="5"/>
      <c r="ER950" s="5"/>
      <c r="ES950" s="5"/>
      <c r="ET950" s="5"/>
      <c r="EU950" s="5"/>
      <c r="EV950" s="5"/>
      <c r="EW950" s="5"/>
      <c r="EX950" s="5"/>
      <c r="EY950" s="5"/>
      <c r="EZ950" s="5"/>
      <c r="FA950" s="5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5"/>
      <c r="CT951" s="5"/>
      <c r="CU951" s="5"/>
      <c r="CV951" s="5"/>
      <c r="CW951" s="5"/>
      <c r="CX951" s="5"/>
      <c r="CY951" s="5"/>
      <c r="CZ951" s="5"/>
      <c r="DA951" s="5"/>
      <c r="DB951" s="5"/>
      <c r="DC951" s="5"/>
      <c r="DD951" s="5"/>
      <c r="DE951" s="5"/>
      <c r="DF951" s="5"/>
      <c r="DG951" s="5"/>
      <c r="DH951" s="5"/>
      <c r="DI951" s="5"/>
      <c r="DJ951" s="5"/>
      <c r="DK951" s="5"/>
      <c r="DL951" s="5"/>
      <c r="DM951" s="5"/>
      <c r="DN951" s="5"/>
      <c r="DO951" s="5"/>
      <c r="DP951" s="5"/>
      <c r="DQ951" s="5"/>
      <c r="DR951" s="5"/>
      <c r="DS951" s="5"/>
      <c r="DT951" s="5"/>
      <c r="DU951" s="5"/>
      <c r="DV951" s="5"/>
      <c r="DW951" s="5"/>
      <c r="DX951" s="5"/>
      <c r="DY951" s="5"/>
      <c r="DZ951" s="5"/>
      <c r="EA951" s="5"/>
      <c r="EB951" s="5"/>
      <c r="EC951" s="5"/>
      <c r="ED951" s="5"/>
      <c r="EE951" s="5"/>
      <c r="EF951" s="5"/>
      <c r="EG951" s="5"/>
      <c r="EH951" s="5"/>
      <c r="EI951" s="5"/>
      <c r="EJ951" s="5"/>
      <c r="EK951" s="5"/>
      <c r="EL951" s="5"/>
      <c r="EM951" s="5"/>
      <c r="EN951" s="5"/>
      <c r="EO951" s="5"/>
      <c r="EP951" s="5"/>
      <c r="EQ951" s="5"/>
      <c r="ER951" s="5"/>
      <c r="ES951" s="5"/>
      <c r="ET951" s="5"/>
      <c r="EU951" s="5"/>
      <c r="EV951" s="5"/>
      <c r="EW951" s="5"/>
      <c r="EX951" s="5"/>
      <c r="EY951" s="5"/>
      <c r="EZ951" s="5"/>
      <c r="FA951" s="5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5"/>
      <c r="CT952" s="5"/>
      <c r="CU952" s="5"/>
      <c r="CV952" s="5"/>
      <c r="CW952" s="5"/>
      <c r="CX952" s="5"/>
      <c r="CY952" s="5"/>
      <c r="CZ952" s="5"/>
      <c r="DA952" s="5"/>
      <c r="DB952" s="5"/>
      <c r="DC952" s="5"/>
      <c r="DD952" s="5"/>
      <c r="DE952" s="5"/>
      <c r="DF952" s="5"/>
      <c r="DG952" s="5"/>
      <c r="DH952" s="5"/>
      <c r="DI952" s="5"/>
      <c r="DJ952" s="5"/>
      <c r="DK952" s="5"/>
      <c r="DL952" s="5"/>
      <c r="DM952" s="5"/>
      <c r="DN952" s="5"/>
      <c r="DO952" s="5"/>
      <c r="DP952" s="5"/>
      <c r="DQ952" s="5"/>
      <c r="DR952" s="5"/>
      <c r="DS952" s="5"/>
      <c r="DT952" s="5"/>
      <c r="DU952" s="5"/>
      <c r="DV952" s="5"/>
      <c r="DW952" s="5"/>
      <c r="DX952" s="5"/>
      <c r="DY952" s="5"/>
      <c r="DZ952" s="5"/>
      <c r="EA952" s="5"/>
      <c r="EB952" s="5"/>
      <c r="EC952" s="5"/>
      <c r="ED952" s="5"/>
      <c r="EE952" s="5"/>
      <c r="EF952" s="5"/>
      <c r="EG952" s="5"/>
      <c r="EH952" s="5"/>
      <c r="EI952" s="5"/>
      <c r="EJ952" s="5"/>
      <c r="EK952" s="5"/>
      <c r="EL952" s="5"/>
      <c r="EM952" s="5"/>
      <c r="EN952" s="5"/>
      <c r="EO952" s="5"/>
      <c r="EP952" s="5"/>
      <c r="EQ952" s="5"/>
      <c r="ER952" s="5"/>
      <c r="ES952" s="5"/>
      <c r="ET952" s="5"/>
      <c r="EU952" s="5"/>
      <c r="EV952" s="5"/>
      <c r="EW952" s="5"/>
      <c r="EX952" s="5"/>
      <c r="EY952" s="5"/>
      <c r="EZ952" s="5"/>
      <c r="FA952" s="5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5"/>
      <c r="CT953" s="5"/>
      <c r="CU953" s="5"/>
      <c r="CV953" s="5"/>
      <c r="CW953" s="5"/>
      <c r="CX953" s="5"/>
      <c r="CY953" s="5"/>
      <c r="CZ953" s="5"/>
      <c r="DA953" s="5"/>
      <c r="DB953" s="5"/>
      <c r="DC953" s="5"/>
      <c r="DD953" s="5"/>
      <c r="DE953" s="5"/>
      <c r="DF953" s="5"/>
      <c r="DG953" s="5"/>
      <c r="DH953" s="5"/>
      <c r="DI953" s="5"/>
      <c r="DJ953" s="5"/>
      <c r="DK953" s="5"/>
      <c r="DL953" s="5"/>
      <c r="DM953" s="5"/>
      <c r="DN953" s="5"/>
      <c r="DO953" s="5"/>
      <c r="DP953" s="5"/>
      <c r="DQ953" s="5"/>
      <c r="DR953" s="5"/>
      <c r="DS953" s="5"/>
      <c r="DT953" s="5"/>
      <c r="DU953" s="5"/>
      <c r="DV953" s="5"/>
      <c r="DW953" s="5"/>
      <c r="DX953" s="5"/>
      <c r="DY953" s="5"/>
      <c r="DZ953" s="5"/>
      <c r="EA953" s="5"/>
      <c r="EB953" s="5"/>
      <c r="EC953" s="5"/>
      <c r="ED953" s="5"/>
      <c r="EE953" s="5"/>
      <c r="EF953" s="5"/>
      <c r="EG953" s="5"/>
      <c r="EH953" s="5"/>
      <c r="EI953" s="5"/>
      <c r="EJ953" s="5"/>
      <c r="EK953" s="5"/>
      <c r="EL953" s="5"/>
      <c r="EM953" s="5"/>
      <c r="EN953" s="5"/>
      <c r="EO953" s="5"/>
      <c r="EP953" s="5"/>
      <c r="EQ953" s="5"/>
      <c r="ER953" s="5"/>
      <c r="ES953" s="5"/>
      <c r="ET953" s="5"/>
      <c r="EU953" s="5"/>
      <c r="EV953" s="5"/>
      <c r="EW953" s="5"/>
      <c r="EX953" s="5"/>
      <c r="EY953" s="5"/>
      <c r="EZ953" s="5"/>
      <c r="FA953" s="5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5"/>
      <c r="CT954" s="5"/>
      <c r="CU954" s="5"/>
      <c r="CV954" s="5"/>
      <c r="CW954" s="5"/>
      <c r="CX954" s="5"/>
      <c r="CY954" s="5"/>
      <c r="CZ954" s="5"/>
      <c r="DA954" s="5"/>
      <c r="DB954" s="5"/>
      <c r="DC954" s="5"/>
      <c r="DD954" s="5"/>
      <c r="DE954" s="5"/>
      <c r="DF954" s="5"/>
      <c r="DG954" s="5"/>
      <c r="DH954" s="5"/>
      <c r="DI954" s="5"/>
      <c r="DJ954" s="5"/>
      <c r="DK954" s="5"/>
      <c r="DL954" s="5"/>
      <c r="DM954" s="5"/>
      <c r="DN954" s="5"/>
      <c r="DO954" s="5"/>
      <c r="DP954" s="5"/>
      <c r="DQ954" s="5"/>
      <c r="DR954" s="5"/>
      <c r="DS954" s="5"/>
      <c r="DT954" s="5"/>
      <c r="DU954" s="5"/>
      <c r="DV954" s="5"/>
      <c r="DW954" s="5"/>
      <c r="DX954" s="5"/>
      <c r="DY954" s="5"/>
      <c r="DZ954" s="5"/>
      <c r="EA954" s="5"/>
      <c r="EB954" s="5"/>
      <c r="EC954" s="5"/>
      <c r="ED954" s="5"/>
      <c r="EE954" s="5"/>
      <c r="EF954" s="5"/>
      <c r="EG954" s="5"/>
      <c r="EH954" s="5"/>
      <c r="EI954" s="5"/>
      <c r="EJ954" s="5"/>
      <c r="EK954" s="5"/>
      <c r="EL954" s="5"/>
      <c r="EM954" s="5"/>
      <c r="EN954" s="5"/>
      <c r="EO954" s="5"/>
      <c r="EP954" s="5"/>
      <c r="EQ954" s="5"/>
      <c r="ER954" s="5"/>
      <c r="ES954" s="5"/>
      <c r="ET954" s="5"/>
      <c r="EU954" s="5"/>
      <c r="EV954" s="5"/>
      <c r="EW954" s="5"/>
      <c r="EX954" s="5"/>
      <c r="EY954" s="5"/>
      <c r="EZ954" s="5"/>
      <c r="FA954" s="5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5"/>
      <c r="CT955" s="5"/>
      <c r="CU955" s="5"/>
      <c r="CV955" s="5"/>
      <c r="CW955" s="5"/>
      <c r="CX955" s="5"/>
      <c r="CY955" s="5"/>
      <c r="CZ955" s="5"/>
      <c r="DA955" s="5"/>
      <c r="DB955" s="5"/>
      <c r="DC955" s="5"/>
      <c r="DD955" s="5"/>
      <c r="DE955" s="5"/>
      <c r="DF955" s="5"/>
      <c r="DG955" s="5"/>
      <c r="DH955" s="5"/>
      <c r="DI955" s="5"/>
      <c r="DJ955" s="5"/>
      <c r="DK955" s="5"/>
      <c r="DL955" s="5"/>
      <c r="DM955" s="5"/>
      <c r="DN955" s="5"/>
      <c r="DO955" s="5"/>
      <c r="DP955" s="5"/>
      <c r="DQ955" s="5"/>
      <c r="DR955" s="5"/>
      <c r="DS955" s="5"/>
      <c r="DT955" s="5"/>
      <c r="DU955" s="5"/>
      <c r="DV955" s="5"/>
      <c r="DW955" s="5"/>
      <c r="DX955" s="5"/>
      <c r="DY955" s="5"/>
      <c r="DZ955" s="5"/>
      <c r="EA955" s="5"/>
      <c r="EB955" s="5"/>
      <c r="EC955" s="5"/>
      <c r="ED955" s="5"/>
      <c r="EE955" s="5"/>
      <c r="EF955" s="5"/>
      <c r="EG955" s="5"/>
      <c r="EH955" s="5"/>
      <c r="EI955" s="5"/>
      <c r="EJ955" s="5"/>
      <c r="EK955" s="5"/>
      <c r="EL955" s="5"/>
      <c r="EM955" s="5"/>
      <c r="EN955" s="5"/>
      <c r="EO955" s="5"/>
      <c r="EP955" s="5"/>
      <c r="EQ955" s="5"/>
      <c r="ER955" s="5"/>
      <c r="ES955" s="5"/>
      <c r="ET955" s="5"/>
      <c r="EU955" s="5"/>
      <c r="EV955" s="5"/>
      <c r="EW955" s="5"/>
      <c r="EX955" s="5"/>
      <c r="EY955" s="5"/>
      <c r="EZ955" s="5"/>
      <c r="FA955" s="5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5"/>
      <c r="CT956" s="5"/>
      <c r="CU956" s="5"/>
      <c r="CV956" s="5"/>
      <c r="CW956" s="5"/>
      <c r="CX956" s="5"/>
      <c r="CY956" s="5"/>
      <c r="CZ956" s="5"/>
      <c r="DA956" s="5"/>
      <c r="DB956" s="5"/>
      <c r="DC956" s="5"/>
      <c r="DD956" s="5"/>
      <c r="DE956" s="5"/>
      <c r="DF956" s="5"/>
      <c r="DG956" s="5"/>
      <c r="DH956" s="5"/>
      <c r="DI956" s="5"/>
      <c r="DJ956" s="5"/>
      <c r="DK956" s="5"/>
      <c r="DL956" s="5"/>
      <c r="DM956" s="5"/>
      <c r="DN956" s="5"/>
      <c r="DO956" s="5"/>
      <c r="DP956" s="5"/>
      <c r="DQ956" s="5"/>
      <c r="DR956" s="5"/>
      <c r="DS956" s="5"/>
      <c r="DT956" s="5"/>
      <c r="DU956" s="5"/>
      <c r="DV956" s="5"/>
      <c r="DW956" s="5"/>
      <c r="DX956" s="5"/>
      <c r="DY956" s="5"/>
      <c r="DZ956" s="5"/>
      <c r="EA956" s="5"/>
      <c r="EB956" s="5"/>
      <c r="EC956" s="5"/>
      <c r="ED956" s="5"/>
      <c r="EE956" s="5"/>
      <c r="EF956" s="5"/>
      <c r="EG956" s="5"/>
      <c r="EH956" s="5"/>
      <c r="EI956" s="5"/>
      <c r="EJ956" s="5"/>
      <c r="EK956" s="5"/>
      <c r="EL956" s="5"/>
      <c r="EM956" s="5"/>
      <c r="EN956" s="5"/>
      <c r="EO956" s="5"/>
      <c r="EP956" s="5"/>
      <c r="EQ956" s="5"/>
      <c r="ER956" s="5"/>
      <c r="ES956" s="5"/>
      <c r="ET956" s="5"/>
      <c r="EU956" s="5"/>
      <c r="EV956" s="5"/>
      <c r="EW956" s="5"/>
      <c r="EX956" s="5"/>
      <c r="EY956" s="5"/>
      <c r="EZ956" s="5"/>
      <c r="FA956" s="5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5"/>
      <c r="CT957" s="5"/>
      <c r="CU957" s="5"/>
      <c r="CV957" s="5"/>
      <c r="CW957" s="5"/>
      <c r="CX957" s="5"/>
      <c r="CY957" s="5"/>
      <c r="CZ957" s="5"/>
      <c r="DA957" s="5"/>
      <c r="DB957" s="5"/>
      <c r="DC957" s="5"/>
      <c r="DD957" s="5"/>
      <c r="DE957" s="5"/>
      <c r="DF957" s="5"/>
      <c r="DG957" s="5"/>
      <c r="DH957" s="5"/>
      <c r="DI957" s="5"/>
      <c r="DJ957" s="5"/>
      <c r="DK957" s="5"/>
      <c r="DL957" s="5"/>
      <c r="DM957" s="5"/>
      <c r="DN957" s="5"/>
      <c r="DO957" s="5"/>
      <c r="DP957" s="5"/>
      <c r="DQ957" s="5"/>
      <c r="DR957" s="5"/>
      <c r="DS957" s="5"/>
      <c r="DT957" s="5"/>
      <c r="DU957" s="5"/>
      <c r="DV957" s="5"/>
      <c r="DW957" s="5"/>
      <c r="DX957" s="5"/>
      <c r="DY957" s="5"/>
      <c r="DZ957" s="5"/>
      <c r="EA957" s="5"/>
      <c r="EB957" s="5"/>
      <c r="EC957" s="5"/>
      <c r="ED957" s="5"/>
      <c r="EE957" s="5"/>
      <c r="EF957" s="5"/>
      <c r="EG957" s="5"/>
      <c r="EH957" s="5"/>
      <c r="EI957" s="5"/>
      <c r="EJ957" s="5"/>
      <c r="EK957" s="5"/>
      <c r="EL957" s="5"/>
      <c r="EM957" s="5"/>
      <c r="EN957" s="5"/>
      <c r="EO957" s="5"/>
      <c r="EP957" s="5"/>
      <c r="EQ957" s="5"/>
      <c r="ER957" s="5"/>
      <c r="ES957" s="5"/>
      <c r="ET957" s="5"/>
      <c r="EU957" s="5"/>
      <c r="EV957" s="5"/>
      <c r="EW957" s="5"/>
      <c r="EX957" s="5"/>
      <c r="EY957" s="5"/>
      <c r="EZ957" s="5"/>
      <c r="FA957" s="5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5"/>
      <c r="CT958" s="5"/>
      <c r="CU958" s="5"/>
      <c r="CV958" s="5"/>
      <c r="CW958" s="5"/>
      <c r="CX958" s="5"/>
      <c r="CY958" s="5"/>
      <c r="CZ958" s="5"/>
      <c r="DA958" s="5"/>
      <c r="DB958" s="5"/>
      <c r="DC958" s="5"/>
      <c r="DD958" s="5"/>
      <c r="DE958" s="5"/>
      <c r="DF958" s="5"/>
      <c r="DG958" s="5"/>
      <c r="DH958" s="5"/>
      <c r="DI958" s="5"/>
      <c r="DJ958" s="5"/>
      <c r="DK958" s="5"/>
      <c r="DL958" s="5"/>
      <c r="DM958" s="5"/>
      <c r="DN958" s="5"/>
      <c r="DO958" s="5"/>
      <c r="DP958" s="5"/>
      <c r="DQ958" s="5"/>
      <c r="DR958" s="5"/>
      <c r="DS958" s="5"/>
      <c r="DT958" s="5"/>
      <c r="DU958" s="5"/>
      <c r="DV958" s="5"/>
      <c r="DW958" s="5"/>
      <c r="DX958" s="5"/>
      <c r="DY958" s="5"/>
      <c r="DZ958" s="5"/>
      <c r="EA958" s="5"/>
      <c r="EB958" s="5"/>
      <c r="EC958" s="5"/>
      <c r="ED958" s="5"/>
      <c r="EE958" s="5"/>
      <c r="EF958" s="5"/>
      <c r="EG958" s="5"/>
      <c r="EH958" s="5"/>
      <c r="EI958" s="5"/>
      <c r="EJ958" s="5"/>
      <c r="EK958" s="5"/>
      <c r="EL958" s="5"/>
      <c r="EM958" s="5"/>
      <c r="EN958" s="5"/>
      <c r="EO958" s="5"/>
      <c r="EP958" s="5"/>
      <c r="EQ958" s="5"/>
      <c r="ER958" s="5"/>
      <c r="ES958" s="5"/>
      <c r="ET958" s="5"/>
      <c r="EU958" s="5"/>
      <c r="EV958" s="5"/>
      <c r="EW958" s="5"/>
      <c r="EX958" s="5"/>
      <c r="EY958" s="5"/>
      <c r="EZ958" s="5"/>
      <c r="FA958" s="5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5"/>
      <c r="CT959" s="5"/>
      <c r="CU959" s="5"/>
      <c r="CV959" s="5"/>
      <c r="CW959" s="5"/>
      <c r="CX959" s="5"/>
      <c r="CY959" s="5"/>
      <c r="CZ959" s="5"/>
      <c r="DA959" s="5"/>
      <c r="DB959" s="5"/>
      <c r="DC959" s="5"/>
      <c r="DD959" s="5"/>
      <c r="DE959" s="5"/>
      <c r="DF959" s="5"/>
      <c r="DG959" s="5"/>
      <c r="DH959" s="5"/>
      <c r="DI959" s="5"/>
      <c r="DJ959" s="5"/>
      <c r="DK959" s="5"/>
      <c r="DL959" s="5"/>
      <c r="DM959" s="5"/>
      <c r="DN959" s="5"/>
      <c r="DO959" s="5"/>
      <c r="DP959" s="5"/>
      <c r="DQ959" s="5"/>
      <c r="DR959" s="5"/>
      <c r="DS959" s="5"/>
      <c r="DT959" s="5"/>
      <c r="DU959" s="5"/>
      <c r="DV959" s="5"/>
      <c r="DW959" s="5"/>
      <c r="DX959" s="5"/>
      <c r="DY959" s="5"/>
      <c r="DZ959" s="5"/>
      <c r="EA959" s="5"/>
      <c r="EB959" s="5"/>
      <c r="EC959" s="5"/>
      <c r="ED959" s="5"/>
      <c r="EE959" s="5"/>
      <c r="EF959" s="5"/>
      <c r="EG959" s="5"/>
      <c r="EH959" s="5"/>
      <c r="EI959" s="5"/>
      <c r="EJ959" s="5"/>
      <c r="EK959" s="5"/>
      <c r="EL959" s="5"/>
      <c r="EM959" s="5"/>
      <c r="EN959" s="5"/>
      <c r="EO959" s="5"/>
      <c r="EP959" s="5"/>
      <c r="EQ959" s="5"/>
      <c r="ER959" s="5"/>
      <c r="ES959" s="5"/>
      <c r="ET959" s="5"/>
      <c r="EU959" s="5"/>
      <c r="EV959" s="5"/>
      <c r="EW959" s="5"/>
      <c r="EX959" s="5"/>
      <c r="EY959" s="5"/>
      <c r="EZ959" s="5"/>
      <c r="FA959" s="5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5"/>
      <c r="CT960" s="5"/>
      <c r="CU960" s="5"/>
      <c r="CV960" s="5"/>
      <c r="CW960" s="5"/>
      <c r="CX960" s="5"/>
      <c r="CY960" s="5"/>
      <c r="CZ960" s="5"/>
      <c r="DA960" s="5"/>
      <c r="DB960" s="5"/>
      <c r="DC960" s="5"/>
      <c r="DD960" s="5"/>
      <c r="DE960" s="5"/>
      <c r="DF960" s="5"/>
      <c r="DG960" s="5"/>
      <c r="DH960" s="5"/>
      <c r="DI960" s="5"/>
      <c r="DJ960" s="5"/>
      <c r="DK960" s="5"/>
      <c r="DL960" s="5"/>
      <c r="DM960" s="5"/>
      <c r="DN960" s="5"/>
      <c r="DO960" s="5"/>
      <c r="DP960" s="5"/>
      <c r="DQ960" s="5"/>
      <c r="DR960" s="5"/>
      <c r="DS960" s="5"/>
      <c r="DT960" s="5"/>
      <c r="DU960" s="5"/>
      <c r="DV960" s="5"/>
      <c r="DW960" s="5"/>
      <c r="DX960" s="5"/>
      <c r="DY960" s="5"/>
      <c r="DZ960" s="5"/>
      <c r="EA960" s="5"/>
      <c r="EB960" s="5"/>
      <c r="EC960" s="5"/>
      <c r="ED960" s="5"/>
      <c r="EE960" s="5"/>
      <c r="EF960" s="5"/>
      <c r="EG960" s="5"/>
      <c r="EH960" s="5"/>
      <c r="EI960" s="5"/>
      <c r="EJ960" s="5"/>
      <c r="EK960" s="5"/>
      <c r="EL960" s="5"/>
      <c r="EM960" s="5"/>
      <c r="EN960" s="5"/>
      <c r="EO960" s="5"/>
      <c r="EP960" s="5"/>
      <c r="EQ960" s="5"/>
      <c r="ER960" s="5"/>
      <c r="ES960" s="5"/>
      <c r="ET960" s="5"/>
      <c r="EU960" s="5"/>
      <c r="EV960" s="5"/>
      <c r="EW960" s="5"/>
      <c r="EX960" s="5"/>
      <c r="EY960" s="5"/>
      <c r="EZ960" s="5"/>
      <c r="FA960" s="5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5"/>
      <c r="CT961" s="5"/>
      <c r="CU961" s="5"/>
      <c r="CV961" s="5"/>
      <c r="CW961" s="5"/>
      <c r="CX961" s="5"/>
      <c r="CY961" s="5"/>
      <c r="CZ961" s="5"/>
      <c r="DA961" s="5"/>
      <c r="DB961" s="5"/>
      <c r="DC961" s="5"/>
      <c r="DD961" s="5"/>
      <c r="DE961" s="5"/>
      <c r="DF961" s="5"/>
      <c r="DG961" s="5"/>
      <c r="DH961" s="5"/>
      <c r="DI961" s="5"/>
      <c r="DJ961" s="5"/>
      <c r="DK961" s="5"/>
      <c r="DL961" s="5"/>
      <c r="DM961" s="5"/>
      <c r="DN961" s="5"/>
      <c r="DO961" s="5"/>
      <c r="DP961" s="5"/>
      <c r="DQ961" s="5"/>
      <c r="DR961" s="5"/>
      <c r="DS961" s="5"/>
      <c r="DT961" s="5"/>
      <c r="DU961" s="5"/>
      <c r="DV961" s="5"/>
      <c r="DW961" s="5"/>
      <c r="DX961" s="5"/>
      <c r="DY961" s="5"/>
      <c r="DZ961" s="5"/>
      <c r="EA961" s="5"/>
      <c r="EB961" s="5"/>
      <c r="EC961" s="5"/>
      <c r="ED961" s="5"/>
      <c r="EE961" s="5"/>
      <c r="EF961" s="5"/>
      <c r="EG961" s="5"/>
      <c r="EH961" s="5"/>
      <c r="EI961" s="5"/>
      <c r="EJ961" s="5"/>
      <c r="EK961" s="5"/>
      <c r="EL961" s="5"/>
      <c r="EM961" s="5"/>
      <c r="EN961" s="5"/>
      <c r="EO961" s="5"/>
      <c r="EP961" s="5"/>
      <c r="EQ961" s="5"/>
      <c r="ER961" s="5"/>
      <c r="ES961" s="5"/>
      <c r="ET961" s="5"/>
      <c r="EU961" s="5"/>
      <c r="EV961" s="5"/>
      <c r="EW961" s="5"/>
      <c r="EX961" s="5"/>
      <c r="EY961" s="5"/>
      <c r="EZ961" s="5"/>
      <c r="FA961" s="5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5"/>
      <c r="CT962" s="5"/>
      <c r="CU962" s="5"/>
      <c r="CV962" s="5"/>
      <c r="CW962" s="5"/>
      <c r="CX962" s="5"/>
      <c r="CY962" s="5"/>
      <c r="CZ962" s="5"/>
      <c r="DA962" s="5"/>
      <c r="DB962" s="5"/>
      <c r="DC962" s="5"/>
      <c r="DD962" s="5"/>
      <c r="DE962" s="5"/>
      <c r="DF962" s="5"/>
      <c r="DG962" s="5"/>
      <c r="DH962" s="5"/>
      <c r="DI962" s="5"/>
      <c r="DJ962" s="5"/>
      <c r="DK962" s="5"/>
      <c r="DL962" s="5"/>
      <c r="DM962" s="5"/>
      <c r="DN962" s="5"/>
      <c r="DO962" s="5"/>
      <c r="DP962" s="5"/>
      <c r="DQ962" s="5"/>
      <c r="DR962" s="5"/>
      <c r="DS962" s="5"/>
      <c r="DT962" s="5"/>
      <c r="DU962" s="5"/>
      <c r="DV962" s="5"/>
      <c r="DW962" s="5"/>
      <c r="DX962" s="5"/>
      <c r="DY962" s="5"/>
      <c r="DZ962" s="5"/>
      <c r="EA962" s="5"/>
      <c r="EB962" s="5"/>
      <c r="EC962" s="5"/>
      <c r="ED962" s="5"/>
      <c r="EE962" s="5"/>
      <c r="EF962" s="5"/>
      <c r="EG962" s="5"/>
      <c r="EH962" s="5"/>
      <c r="EI962" s="5"/>
      <c r="EJ962" s="5"/>
      <c r="EK962" s="5"/>
      <c r="EL962" s="5"/>
      <c r="EM962" s="5"/>
      <c r="EN962" s="5"/>
      <c r="EO962" s="5"/>
      <c r="EP962" s="5"/>
      <c r="EQ962" s="5"/>
      <c r="ER962" s="5"/>
      <c r="ES962" s="5"/>
      <c r="ET962" s="5"/>
      <c r="EU962" s="5"/>
      <c r="EV962" s="5"/>
      <c r="EW962" s="5"/>
      <c r="EX962" s="5"/>
      <c r="EY962" s="5"/>
      <c r="EZ962" s="5"/>
      <c r="FA962" s="5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5"/>
      <c r="CT963" s="5"/>
      <c r="CU963" s="5"/>
      <c r="CV963" s="5"/>
      <c r="CW963" s="5"/>
      <c r="CX963" s="5"/>
      <c r="CY963" s="5"/>
      <c r="CZ963" s="5"/>
      <c r="DA963" s="5"/>
      <c r="DB963" s="5"/>
      <c r="DC963" s="5"/>
      <c r="DD963" s="5"/>
      <c r="DE963" s="5"/>
      <c r="DF963" s="5"/>
      <c r="DG963" s="5"/>
      <c r="DH963" s="5"/>
      <c r="DI963" s="5"/>
      <c r="DJ963" s="5"/>
      <c r="DK963" s="5"/>
      <c r="DL963" s="5"/>
      <c r="DM963" s="5"/>
      <c r="DN963" s="5"/>
      <c r="DO963" s="5"/>
      <c r="DP963" s="5"/>
      <c r="DQ963" s="5"/>
      <c r="DR963" s="5"/>
      <c r="DS963" s="5"/>
      <c r="DT963" s="5"/>
      <c r="DU963" s="5"/>
      <c r="DV963" s="5"/>
      <c r="DW963" s="5"/>
      <c r="DX963" s="5"/>
      <c r="DY963" s="5"/>
      <c r="DZ963" s="5"/>
      <c r="EA963" s="5"/>
      <c r="EB963" s="5"/>
      <c r="EC963" s="5"/>
      <c r="ED963" s="5"/>
      <c r="EE963" s="5"/>
      <c r="EF963" s="5"/>
      <c r="EG963" s="5"/>
      <c r="EH963" s="5"/>
      <c r="EI963" s="5"/>
      <c r="EJ963" s="5"/>
      <c r="EK963" s="5"/>
      <c r="EL963" s="5"/>
      <c r="EM963" s="5"/>
      <c r="EN963" s="5"/>
      <c r="EO963" s="5"/>
      <c r="EP963" s="5"/>
      <c r="EQ963" s="5"/>
      <c r="ER963" s="5"/>
      <c r="ES963" s="5"/>
      <c r="ET963" s="5"/>
      <c r="EU963" s="5"/>
      <c r="EV963" s="5"/>
      <c r="EW963" s="5"/>
      <c r="EX963" s="5"/>
      <c r="EY963" s="5"/>
      <c r="EZ963" s="5"/>
      <c r="FA963" s="5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5"/>
      <c r="CT964" s="5"/>
      <c r="CU964" s="5"/>
      <c r="CV964" s="5"/>
      <c r="CW964" s="5"/>
      <c r="CX964" s="5"/>
      <c r="CY964" s="5"/>
      <c r="CZ964" s="5"/>
      <c r="DA964" s="5"/>
      <c r="DB964" s="5"/>
      <c r="DC964" s="5"/>
      <c r="DD964" s="5"/>
      <c r="DE964" s="5"/>
      <c r="DF964" s="5"/>
      <c r="DG964" s="5"/>
      <c r="DH964" s="5"/>
      <c r="DI964" s="5"/>
      <c r="DJ964" s="5"/>
      <c r="DK964" s="5"/>
      <c r="DL964" s="5"/>
      <c r="DM964" s="5"/>
      <c r="DN964" s="5"/>
      <c r="DO964" s="5"/>
      <c r="DP964" s="5"/>
      <c r="DQ964" s="5"/>
      <c r="DR964" s="5"/>
      <c r="DS964" s="5"/>
      <c r="DT964" s="5"/>
      <c r="DU964" s="5"/>
      <c r="DV964" s="5"/>
      <c r="DW964" s="5"/>
      <c r="DX964" s="5"/>
      <c r="DY964" s="5"/>
      <c r="DZ964" s="5"/>
      <c r="EA964" s="5"/>
      <c r="EB964" s="5"/>
      <c r="EC964" s="5"/>
      <c r="ED964" s="5"/>
      <c r="EE964" s="5"/>
      <c r="EF964" s="5"/>
      <c r="EG964" s="5"/>
      <c r="EH964" s="5"/>
      <c r="EI964" s="5"/>
      <c r="EJ964" s="5"/>
      <c r="EK964" s="5"/>
      <c r="EL964" s="5"/>
      <c r="EM964" s="5"/>
      <c r="EN964" s="5"/>
      <c r="EO964" s="5"/>
      <c r="EP964" s="5"/>
      <c r="EQ964" s="5"/>
      <c r="ER964" s="5"/>
      <c r="ES964" s="5"/>
      <c r="ET964" s="5"/>
      <c r="EU964" s="5"/>
      <c r="EV964" s="5"/>
      <c r="EW964" s="5"/>
      <c r="EX964" s="5"/>
      <c r="EY964" s="5"/>
      <c r="EZ964" s="5"/>
      <c r="FA964" s="5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5"/>
      <c r="CT965" s="5"/>
      <c r="CU965" s="5"/>
      <c r="CV965" s="5"/>
      <c r="CW965" s="5"/>
      <c r="CX965" s="5"/>
      <c r="CY965" s="5"/>
      <c r="CZ965" s="5"/>
      <c r="DA965" s="5"/>
      <c r="DB965" s="5"/>
      <c r="DC965" s="5"/>
      <c r="DD965" s="5"/>
      <c r="DE965" s="5"/>
      <c r="DF965" s="5"/>
      <c r="DG965" s="5"/>
      <c r="DH965" s="5"/>
      <c r="DI965" s="5"/>
      <c r="DJ965" s="5"/>
      <c r="DK965" s="5"/>
      <c r="DL965" s="5"/>
      <c r="DM965" s="5"/>
      <c r="DN965" s="5"/>
      <c r="DO965" s="5"/>
      <c r="DP965" s="5"/>
      <c r="DQ965" s="5"/>
      <c r="DR965" s="5"/>
      <c r="DS965" s="5"/>
      <c r="DT965" s="5"/>
      <c r="DU965" s="5"/>
      <c r="DV965" s="5"/>
      <c r="DW965" s="5"/>
      <c r="DX965" s="5"/>
      <c r="DY965" s="5"/>
      <c r="DZ965" s="5"/>
      <c r="EA965" s="5"/>
      <c r="EB965" s="5"/>
      <c r="EC965" s="5"/>
      <c r="ED965" s="5"/>
      <c r="EE965" s="5"/>
      <c r="EF965" s="5"/>
      <c r="EG965" s="5"/>
      <c r="EH965" s="5"/>
      <c r="EI965" s="5"/>
      <c r="EJ965" s="5"/>
      <c r="EK965" s="5"/>
      <c r="EL965" s="5"/>
      <c r="EM965" s="5"/>
      <c r="EN965" s="5"/>
      <c r="EO965" s="5"/>
      <c r="EP965" s="5"/>
      <c r="EQ965" s="5"/>
      <c r="ER965" s="5"/>
      <c r="ES965" s="5"/>
      <c r="ET965" s="5"/>
      <c r="EU965" s="5"/>
      <c r="EV965" s="5"/>
      <c r="EW965" s="5"/>
      <c r="EX965" s="5"/>
      <c r="EY965" s="5"/>
      <c r="EZ965" s="5"/>
      <c r="FA965" s="5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5"/>
      <c r="CT966" s="5"/>
      <c r="CU966" s="5"/>
      <c r="CV966" s="5"/>
      <c r="CW966" s="5"/>
      <c r="CX966" s="5"/>
      <c r="CY966" s="5"/>
      <c r="CZ966" s="5"/>
      <c r="DA966" s="5"/>
      <c r="DB966" s="5"/>
      <c r="DC966" s="5"/>
      <c r="DD966" s="5"/>
      <c r="DE966" s="5"/>
      <c r="DF966" s="5"/>
      <c r="DG966" s="5"/>
      <c r="DH966" s="5"/>
      <c r="DI966" s="5"/>
      <c r="DJ966" s="5"/>
      <c r="DK966" s="5"/>
      <c r="DL966" s="5"/>
      <c r="DM966" s="5"/>
      <c r="DN966" s="5"/>
      <c r="DO966" s="5"/>
      <c r="DP966" s="5"/>
      <c r="DQ966" s="5"/>
      <c r="DR966" s="5"/>
      <c r="DS966" s="5"/>
      <c r="DT966" s="5"/>
      <c r="DU966" s="5"/>
      <c r="DV966" s="5"/>
      <c r="DW966" s="5"/>
      <c r="DX966" s="5"/>
      <c r="DY966" s="5"/>
      <c r="DZ966" s="5"/>
      <c r="EA966" s="5"/>
      <c r="EB966" s="5"/>
      <c r="EC966" s="5"/>
      <c r="ED966" s="5"/>
      <c r="EE966" s="5"/>
      <c r="EF966" s="5"/>
      <c r="EG966" s="5"/>
      <c r="EH966" s="5"/>
      <c r="EI966" s="5"/>
      <c r="EJ966" s="5"/>
      <c r="EK966" s="5"/>
      <c r="EL966" s="5"/>
      <c r="EM966" s="5"/>
      <c r="EN966" s="5"/>
      <c r="EO966" s="5"/>
      <c r="EP966" s="5"/>
      <c r="EQ966" s="5"/>
      <c r="ER966" s="5"/>
      <c r="ES966" s="5"/>
      <c r="ET966" s="5"/>
      <c r="EU966" s="5"/>
      <c r="EV966" s="5"/>
      <c r="EW966" s="5"/>
      <c r="EX966" s="5"/>
      <c r="EY966" s="5"/>
      <c r="EZ966" s="5"/>
      <c r="FA966" s="5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5"/>
      <c r="CT967" s="5"/>
      <c r="CU967" s="5"/>
      <c r="CV967" s="5"/>
      <c r="CW967" s="5"/>
      <c r="CX967" s="5"/>
      <c r="CY967" s="5"/>
      <c r="CZ967" s="5"/>
      <c r="DA967" s="5"/>
      <c r="DB967" s="5"/>
      <c r="DC967" s="5"/>
      <c r="DD967" s="5"/>
      <c r="DE967" s="5"/>
      <c r="DF967" s="5"/>
      <c r="DG967" s="5"/>
      <c r="DH967" s="5"/>
      <c r="DI967" s="5"/>
      <c r="DJ967" s="5"/>
      <c r="DK967" s="5"/>
      <c r="DL967" s="5"/>
      <c r="DM967" s="5"/>
      <c r="DN967" s="5"/>
      <c r="DO967" s="5"/>
      <c r="DP967" s="5"/>
      <c r="DQ967" s="5"/>
      <c r="DR967" s="5"/>
      <c r="DS967" s="5"/>
      <c r="DT967" s="5"/>
      <c r="DU967" s="5"/>
      <c r="DV967" s="5"/>
      <c r="DW967" s="5"/>
      <c r="DX967" s="5"/>
      <c r="DY967" s="5"/>
      <c r="DZ967" s="5"/>
      <c r="EA967" s="5"/>
      <c r="EB967" s="5"/>
      <c r="EC967" s="5"/>
      <c r="ED967" s="5"/>
      <c r="EE967" s="5"/>
      <c r="EF967" s="5"/>
      <c r="EG967" s="5"/>
      <c r="EH967" s="5"/>
      <c r="EI967" s="5"/>
      <c r="EJ967" s="5"/>
      <c r="EK967" s="5"/>
      <c r="EL967" s="5"/>
      <c r="EM967" s="5"/>
      <c r="EN967" s="5"/>
      <c r="EO967" s="5"/>
      <c r="EP967" s="5"/>
      <c r="EQ967" s="5"/>
      <c r="ER967" s="5"/>
      <c r="ES967" s="5"/>
      <c r="ET967" s="5"/>
      <c r="EU967" s="5"/>
      <c r="EV967" s="5"/>
      <c r="EW967" s="5"/>
      <c r="EX967" s="5"/>
      <c r="EY967" s="5"/>
      <c r="EZ967" s="5"/>
      <c r="FA967" s="5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5"/>
      <c r="CT968" s="5"/>
      <c r="CU968" s="5"/>
      <c r="CV968" s="5"/>
      <c r="CW968" s="5"/>
      <c r="CX968" s="5"/>
      <c r="CY968" s="5"/>
      <c r="CZ968" s="5"/>
      <c r="DA968" s="5"/>
      <c r="DB968" s="5"/>
      <c r="DC968" s="5"/>
      <c r="DD968" s="5"/>
      <c r="DE968" s="5"/>
      <c r="DF968" s="5"/>
      <c r="DG968" s="5"/>
      <c r="DH968" s="5"/>
      <c r="DI968" s="5"/>
      <c r="DJ968" s="5"/>
      <c r="DK968" s="5"/>
      <c r="DL968" s="5"/>
      <c r="DM968" s="5"/>
      <c r="DN968" s="5"/>
      <c r="DO968" s="5"/>
      <c r="DP968" s="5"/>
      <c r="DQ968" s="5"/>
      <c r="DR968" s="5"/>
      <c r="DS968" s="5"/>
      <c r="DT968" s="5"/>
      <c r="DU968" s="5"/>
      <c r="DV968" s="5"/>
      <c r="DW968" s="5"/>
      <c r="DX968" s="5"/>
      <c r="DY968" s="5"/>
      <c r="DZ968" s="5"/>
      <c r="EA968" s="5"/>
      <c r="EB968" s="5"/>
      <c r="EC968" s="5"/>
      <c r="ED968" s="5"/>
      <c r="EE968" s="5"/>
      <c r="EF968" s="5"/>
      <c r="EG968" s="5"/>
      <c r="EH968" s="5"/>
      <c r="EI968" s="5"/>
      <c r="EJ968" s="5"/>
      <c r="EK968" s="5"/>
      <c r="EL968" s="5"/>
      <c r="EM968" s="5"/>
      <c r="EN968" s="5"/>
      <c r="EO968" s="5"/>
      <c r="EP968" s="5"/>
      <c r="EQ968" s="5"/>
      <c r="ER968" s="5"/>
      <c r="ES968" s="5"/>
      <c r="ET968" s="5"/>
      <c r="EU968" s="5"/>
      <c r="EV968" s="5"/>
      <c r="EW968" s="5"/>
      <c r="EX968" s="5"/>
      <c r="EY968" s="5"/>
      <c r="EZ968" s="5"/>
      <c r="FA968" s="5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5"/>
      <c r="CT969" s="5"/>
      <c r="CU969" s="5"/>
      <c r="CV969" s="5"/>
      <c r="CW969" s="5"/>
      <c r="CX969" s="5"/>
      <c r="CY969" s="5"/>
      <c r="CZ969" s="5"/>
      <c r="DA969" s="5"/>
      <c r="DB969" s="5"/>
      <c r="DC969" s="5"/>
      <c r="DD969" s="5"/>
      <c r="DE969" s="5"/>
      <c r="DF969" s="5"/>
      <c r="DG969" s="5"/>
      <c r="DH969" s="5"/>
      <c r="DI969" s="5"/>
      <c r="DJ969" s="5"/>
      <c r="DK969" s="5"/>
      <c r="DL969" s="5"/>
      <c r="DM969" s="5"/>
      <c r="DN969" s="5"/>
      <c r="DO969" s="5"/>
      <c r="DP969" s="5"/>
      <c r="DQ969" s="5"/>
      <c r="DR969" s="5"/>
      <c r="DS969" s="5"/>
      <c r="DT969" s="5"/>
      <c r="DU969" s="5"/>
      <c r="DV969" s="5"/>
      <c r="DW969" s="5"/>
      <c r="DX969" s="5"/>
      <c r="DY969" s="5"/>
      <c r="DZ969" s="5"/>
      <c r="EA969" s="5"/>
      <c r="EB969" s="5"/>
      <c r="EC969" s="5"/>
      <c r="ED969" s="5"/>
      <c r="EE969" s="5"/>
      <c r="EF969" s="5"/>
      <c r="EG969" s="5"/>
      <c r="EH969" s="5"/>
      <c r="EI969" s="5"/>
      <c r="EJ969" s="5"/>
      <c r="EK969" s="5"/>
      <c r="EL969" s="5"/>
      <c r="EM969" s="5"/>
      <c r="EN969" s="5"/>
      <c r="EO969" s="5"/>
      <c r="EP969" s="5"/>
      <c r="EQ969" s="5"/>
      <c r="ER969" s="5"/>
      <c r="ES969" s="5"/>
      <c r="ET969" s="5"/>
      <c r="EU969" s="5"/>
      <c r="EV969" s="5"/>
      <c r="EW969" s="5"/>
      <c r="EX969" s="5"/>
      <c r="EY969" s="5"/>
      <c r="EZ969" s="5"/>
      <c r="FA969" s="5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5"/>
      <c r="CT970" s="5"/>
      <c r="CU970" s="5"/>
      <c r="CV970" s="5"/>
      <c r="CW970" s="5"/>
      <c r="CX970" s="5"/>
      <c r="CY970" s="5"/>
      <c r="CZ970" s="5"/>
      <c r="DA970" s="5"/>
      <c r="DB970" s="5"/>
      <c r="DC970" s="5"/>
      <c r="DD970" s="5"/>
      <c r="DE970" s="5"/>
      <c r="DF970" s="5"/>
      <c r="DG970" s="5"/>
      <c r="DH970" s="5"/>
      <c r="DI970" s="5"/>
      <c r="DJ970" s="5"/>
      <c r="DK970" s="5"/>
      <c r="DL970" s="5"/>
      <c r="DM970" s="5"/>
      <c r="DN970" s="5"/>
      <c r="DO970" s="5"/>
      <c r="DP970" s="5"/>
      <c r="DQ970" s="5"/>
      <c r="DR970" s="5"/>
      <c r="DS970" s="5"/>
      <c r="DT970" s="5"/>
      <c r="DU970" s="5"/>
      <c r="DV970" s="5"/>
      <c r="DW970" s="5"/>
      <c r="DX970" s="5"/>
      <c r="DY970" s="5"/>
      <c r="DZ970" s="5"/>
      <c r="EA970" s="5"/>
      <c r="EB970" s="5"/>
      <c r="EC970" s="5"/>
      <c r="ED970" s="5"/>
      <c r="EE970" s="5"/>
      <c r="EF970" s="5"/>
      <c r="EG970" s="5"/>
      <c r="EH970" s="5"/>
      <c r="EI970" s="5"/>
      <c r="EJ970" s="5"/>
      <c r="EK970" s="5"/>
      <c r="EL970" s="5"/>
      <c r="EM970" s="5"/>
      <c r="EN970" s="5"/>
      <c r="EO970" s="5"/>
      <c r="EP970" s="5"/>
      <c r="EQ970" s="5"/>
      <c r="ER970" s="5"/>
      <c r="ES970" s="5"/>
      <c r="ET970" s="5"/>
      <c r="EU970" s="5"/>
      <c r="EV970" s="5"/>
      <c r="EW970" s="5"/>
      <c r="EX970" s="5"/>
      <c r="EY970" s="5"/>
      <c r="EZ970" s="5"/>
      <c r="FA970" s="5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5"/>
      <c r="CT971" s="5"/>
      <c r="CU971" s="5"/>
      <c r="CV971" s="5"/>
      <c r="CW971" s="5"/>
      <c r="CX971" s="5"/>
      <c r="CY971" s="5"/>
      <c r="CZ971" s="5"/>
      <c r="DA971" s="5"/>
      <c r="DB971" s="5"/>
      <c r="DC971" s="5"/>
      <c r="DD971" s="5"/>
      <c r="DE971" s="5"/>
      <c r="DF971" s="5"/>
      <c r="DG971" s="5"/>
      <c r="DH971" s="5"/>
      <c r="DI971" s="5"/>
      <c r="DJ971" s="5"/>
      <c r="DK971" s="5"/>
      <c r="DL971" s="5"/>
      <c r="DM971" s="5"/>
      <c r="DN971" s="5"/>
      <c r="DO971" s="5"/>
      <c r="DP971" s="5"/>
      <c r="DQ971" s="5"/>
      <c r="DR971" s="5"/>
      <c r="DS971" s="5"/>
      <c r="DT971" s="5"/>
      <c r="DU971" s="5"/>
      <c r="DV971" s="5"/>
      <c r="DW971" s="5"/>
      <c r="DX971" s="5"/>
      <c r="DY971" s="5"/>
      <c r="DZ971" s="5"/>
      <c r="EA971" s="5"/>
      <c r="EB971" s="5"/>
      <c r="EC971" s="5"/>
      <c r="ED971" s="5"/>
      <c r="EE971" s="5"/>
      <c r="EF971" s="5"/>
      <c r="EG971" s="5"/>
      <c r="EH971" s="5"/>
      <c r="EI971" s="5"/>
      <c r="EJ971" s="5"/>
      <c r="EK971" s="5"/>
      <c r="EL971" s="5"/>
      <c r="EM971" s="5"/>
      <c r="EN971" s="5"/>
      <c r="EO971" s="5"/>
      <c r="EP971" s="5"/>
      <c r="EQ971" s="5"/>
      <c r="ER971" s="5"/>
      <c r="ES971" s="5"/>
      <c r="ET971" s="5"/>
      <c r="EU971" s="5"/>
      <c r="EV971" s="5"/>
      <c r="EW971" s="5"/>
      <c r="EX971" s="5"/>
      <c r="EY971" s="5"/>
      <c r="EZ971" s="5"/>
      <c r="FA971" s="5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5"/>
      <c r="CT972" s="5"/>
      <c r="CU972" s="5"/>
      <c r="CV972" s="5"/>
      <c r="CW972" s="5"/>
      <c r="CX972" s="5"/>
      <c r="CY972" s="5"/>
      <c r="CZ972" s="5"/>
      <c r="DA972" s="5"/>
      <c r="DB972" s="5"/>
      <c r="DC972" s="5"/>
      <c r="DD972" s="5"/>
      <c r="DE972" s="5"/>
      <c r="DF972" s="5"/>
      <c r="DG972" s="5"/>
      <c r="DH972" s="5"/>
      <c r="DI972" s="5"/>
      <c r="DJ972" s="5"/>
      <c r="DK972" s="5"/>
      <c r="DL972" s="5"/>
      <c r="DM972" s="5"/>
      <c r="DN972" s="5"/>
      <c r="DO972" s="5"/>
      <c r="DP972" s="5"/>
      <c r="DQ972" s="5"/>
      <c r="DR972" s="5"/>
      <c r="DS972" s="5"/>
      <c r="DT972" s="5"/>
      <c r="DU972" s="5"/>
      <c r="DV972" s="5"/>
      <c r="DW972" s="5"/>
      <c r="DX972" s="5"/>
      <c r="DY972" s="5"/>
      <c r="DZ972" s="5"/>
      <c r="EA972" s="5"/>
      <c r="EB972" s="5"/>
      <c r="EC972" s="5"/>
      <c r="ED972" s="5"/>
      <c r="EE972" s="5"/>
      <c r="EF972" s="5"/>
      <c r="EG972" s="5"/>
      <c r="EH972" s="5"/>
      <c r="EI972" s="5"/>
      <c r="EJ972" s="5"/>
      <c r="EK972" s="5"/>
      <c r="EL972" s="5"/>
      <c r="EM972" s="5"/>
      <c r="EN972" s="5"/>
      <c r="EO972" s="5"/>
      <c r="EP972" s="5"/>
      <c r="EQ972" s="5"/>
      <c r="ER972" s="5"/>
      <c r="ES972" s="5"/>
      <c r="ET972" s="5"/>
      <c r="EU972" s="5"/>
      <c r="EV972" s="5"/>
      <c r="EW972" s="5"/>
      <c r="EX972" s="5"/>
      <c r="EY972" s="5"/>
      <c r="EZ972" s="5"/>
      <c r="FA972" s="5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5"/>
      <c r="CT973" s="5"/>
      <c r="CU973" s="5"/>
      <c r="CV973" s="5"/>
      <c r="CW973" s="5"/>
      <c r="CX973" s="5"/>
      <c r="CY973" s="5"/>
      <c r="CZ973" s="5"/>
      <c r="DA973" s="5"/>
      <c r="DB973" s="5"/>
      <c r="DC973" s="5"/>
      <c r="DD973" s="5"/>
      <c r="DE973" s="5"/>
      <c r="DF973" s="5"/>
      <c r="DG973" s="5"/>
      <c r="DH973" s="5"/>
      <c r="DI973" s="5"/>
      <c r="DJ973" s="5"/>
      <c r="DK973" s="5"/>
      <c r="DL973" s="5"/>
      <c r="DM973" s="5"/>
      <c r="DN973" s="5"/>
      <c r="DO973" s="5"/>
      <c r="DP973" s="5"/>
      <c r="DQ973" s="5"/>
      <c r="DR973" s="5"/>
      <c r="DS973" s="5"/>
      <c r="DT973" s="5"/>
      <c r="DU973" s="5"/>
      <c r="DV973" s="5"/>
      <c r="DW973" s="5"/>
      <c r="DX973" s="5"/>
      <c r="DY973" s="5"/>
      <c r="DZ973" s="5"/>
      <c r="EA973" s="5"/>
      <c r="EB973" s="5"/>
      <c r="EC973" s="5"/>
      <c r="ED973" s="5"/>
      <c r="EE973" s="5"/>
      <c r="EF973" s="5"/>
      <c r="EG973" s="5"/>
      <c r="EH973" s="5"/>
      <c r="EI973" s="5"/>
      <c r="EJ973" s="5"/>
      <c r="EK973" s="5"/>
      <c r="EL973" s="5"/>
      <c r="EM973" s="5"/>
      <c r="EN973" s="5"/>
      <c r="EO973" s="5"/>
      <c r="EP973" s="5"/>
      <c r="EQ973" s="5"/>
      <c r="ER973" s="5"/>
      <c r="ES973" s="5"/>
      <c r="ET973" s="5"/>
      <c r="EU973" s="5"/>
      <c r="EV973" s="5"/>
      <c r="EW973" s="5"/>
      <c r="EX973" s="5"/>
      <c r="EY973" s="5"/>
      <c r="EZ973" s="5"/>
      <c r="FA973" s="5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5"/>
      <c r="CT974" s="5"/>
      <c r="CU974" s="5"/>
      <c r="CV974" s="5"/>
      <c r="CW974" s="5"/>
      <c r="CX974" s="5"/>
      <c r="CY974" s="5"/>
      <c r="CZ974" s="5"/>
      <c r="DA974" s="5"/>
      <c r="DB974" s="5"/>
      <c r="DC974" s="5"/>
      <c r="DD974" s="5"/>
      <c r="DE974" s="5"/>
      <c r="DF974" s="5"/>
      <c r="DG974" s="5"/>
      <c r="DH974" s="5"/>
      <c r="DI974" s="5"/>
      <c r="DJ974" s="5"/>
      <c r="DK974" s="5"/>
      <c r="DL974" s="5"/>
      <c r="DM974" s="5"/>
      <c r="DN974" s="5"/>
      <c r="DO974" s="5"/>
      <c r="DP974" s="5"/>
      <c r="DQ974" s="5"/>
      <c r="DR974" s="5"/>
      <c r="DS974" s="5"/>
      <c r="DT974" s="5"/>
      <c r="DU974" s="5"/>
      <c r="DV974" s="5"/>
      <c r="DW974" s="5"/>
      <c r="DX974" s="5"/>
      <c r="DY974" s="5"/>
      <c r="DZ974" s="5"/>
      <c r="EA974" s="5"/>
      <c r="EB974" s="5"/>
      <c r="EC974" s="5"/>
      <c r="ED974" s="5"/>
      <c r="EE974" s="5"/>
      <c r="EF974" s="5"/>
      <c r="EG974" s="5"/>
      <c r="EH974" s="5"/>
      <c r="EI974" s="5"/>
      <c r="EJ974" s="5"/>
      <c r="EK974" s="5"/>
      <c r="EL974" s="5"/>
      <c r="EM974" s="5"/>
      <c r="EN974" s="5"/>
      <c r="EO974" s="5"/>
      <c r="EP974" s="5"/>
      <c r="EQ974" s="5"/>
      <c r="ER974" s="5"/>
      <c r="ES974" s="5"/>
      <c r="ET974" s="5"/>
      <c r="EU974" s="5"/>
      <c r="EV974" s="5"/>
      <c r="EW974" s="5"/>
      <c r="EX974" s="5"/>
      <c r="EY974" s="5"/>
      <c r="EZ974" s="5"/>
      <c r="FA974" s="5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5"/>
      <c r="CT975" s="5"/>
      <c r="CU975" s="5"/>
      <c r="CV975" s="5"/>
      <c r="CW975" s="5"/>
      <c r="CX975" s="5"/>
      <c r="CY975" s="5"/>
      <c r="CZ975" s="5"/>
      <c r="DA975" s="5"/>
      <c r="DB975" s="5"/>
      <c r="DC975" s="5"/>
      <c r="DD975" s="5"/>
      <c r="DE975" s="5"/>
      <c r="DF975" s="5"/>
      <c r="DG975" s="5"/>
      <c r="DH975" s="5"/>
      <c r="DI975" s="5"/>
      <c r="DJ975" s="5"/>
      <c r="DK975" s="5"/>
      <c r="DL975" s="5"/>
      <c r="DM975" s="5"/>
      <c r="DN975" s="5"/>
      <c r="DO975" s="5"/>
      <c r="DP975" s="5"/>
      <c r="DQ975" s="5"/>
      <c r="DR975" s="5"/>
      <c r="DS975" s="5"/>
      <c r="DT975" s="5"/>
      <c r="DU975" s="5"/>
      <c r="DV975" s="5"/>
      <c r="DW975" s="5"/>
      <c r="DX975" s="5"/>
      <c r="DY975" s="5"/>
      <c r="DZ975" s="5"/>
      <c r="EA975" s="5"/>
      <c r="EB975" s="5"/>
      <c r="EC975" s="5"/>
      <c r="ED975" s="5"/>
      <c r="EE975" s="5"/>
      <c r="EF975" s="5"/>
      <c r="EG975" s="5"/>
      <c r="EH975" s="5"/>
      <c r="EI975" s="5"/>
      <c r="EJ975" s="5"/>
      <c r="EK975" s="5"/>
      <c r="EL975" s="5"/>
      <c r="EM975" s="5"/>
      <c r="EN975" s="5"/>
      <c r="EO975" s="5"/>
      <c r="EP975" s="5"/>
      <c r="EQ975" s="5"/>
      <c r="ER975" s="5"/>
      <c r="ES975" s="5"/>
      <c r="ET975" s="5"/>
      <c r="EU975" s="5"/>
      <c r="EV975" s="5"/>
      <c r="EW975" s="5"/>
      <c r="EX975" s="5"/>
      <c r="EY975" s="5"/>
      <c r="EZ975" s="5"/>
      <c r="FA975" s="5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5"/>
      <c r="CT976" s="5"/>
      <c r="CU976" s="5"/>
      <c r="CV976" s="5"/>
      <c r="CW976" s="5"/>
      <c r="CX976" s="5"/>
      <c r="CY976" s="5"/>
      <c r="CZ976" s="5"/>
      <c r="DA976" s="5"/>
      <c r="DB976" s="5"/>
      <c r="DC976" s="5"/>
      <c r="DD976" s="5"/>
      <c r="DE976" s="5"/>
      <c r="DF976" s="5"/>
      <c r="DG976" s="5"/>
      <c r="DH976" s="5"/>
      <c r="DI976" s="5"/>
      <c r="DJ976" s="5"/>
      <c r="DK976" s="5"/>
      <c r="DL976" s="5"/>
      <c r="DM976" s="5"/>
      <c r="DN976" s="5"/>
      <c r="DO976" s="5"/>
      <c r="DP976" s="5"/>
      <c r="DQ976" s="5"/>
      <c r="DR976" s="5"/>
      <c r="DS976" s="5"/>
      <c r="DT976" s="5"/>
      <c r="DU976" s="5"/>
      <c r="DV976" s="5"/>
      <c r="DW976" s="5"/>
      <c r="DX976" s="5"/>
      <c r="DY976" s="5"/>
      <c r="DZ976" s="5"/>
      <c r="EA976" s="5"/>
      <c r="EB976" s="5"/>
      <c r="EC976" s="5"/>
      <c r="ED976" s="5"/>
      <c r="EE976" s="5"/>
      <c r="EF976" s="5"/>
      <c r="EG976" s="5"/>
      <c r="EH976" s="5"/>
      <c r="EI976" s="5"/>
      <c r="EJ976" s="5"/>
      <c r="EK976" s="5"/>
      <c r="EL976" s="5"/>
      <c r="EM976" s="5"/>
      <c r="EN976" s="5"/>
      <c r="EO976" s="5"/>
      <c r="EP976" s="5"/>
      <c r="EQ976" s="5"/>
      <c r="ER976" s="5"/>
      <c r="ES976" s="5"/>
      <c r="ET976" s="5"/>
      <c r="EU976" s="5"/>
      <c r="EV976" s="5"/>
      <c r="EW976" s="5"/>
      <c r="EX976" s="5"/>
      <c r="EY976" s="5"/>
      <c r="EZ976" s="5"/>
      <c r="FA976" s="5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5"/>
      <c r="CT977" s="5"/>
      <c r="CU977" s="5"/>
      <c r="CV977" s="5"/>
      <c r="CW977" s="5"/>
      <c r="CX977" s="5"/>
      <c r="CY977" s="5"/>
      <c r="CZ977" s="5"/>
      <c r="DA977" s="5"/>
      <c r="DB977" s="5"/>
      <c r="DC977" s="5"/>
      <c r="DD977" s="5"/>
      <c r="DE977" s="5"/>
      <c r="DF977" s="5"/>
      <c r="DG977" s="5"/>
      <c r="DH977" s="5"/>
      <c r="DI977" s="5"/>
      <c r="DJ977" s="5"/>
      <c r="DK977" s="5"/>
      <c r="DL977" s="5"/>
      <c r="DM977" s="5"/>
      <c r="DN977" s="5"/>
      <c r="DO977" s="5"/>
      <c r="DP977" s="5"/>
      <c r="DQ977" s="5"/>
      <c r="DR977" s="5"/>
      <c r="DS977" s="5"/>
      <c r="DT977" s="5"/>
      <c r="DU977" s="5"/>
      <c r="DV977" s="5"/>
      <c r="DW977" s="5"/>
      <c r="DX977" s="5"/>
      <c r="DY977" s="5"/>
      <c r="DZ977" s="5"/>
      <c r="EA977" s="5"/>
      <c r="EB977" s="5"/>
      <c r="EC977" s="5"/>
      <c r="ED977" s="5"/>
      <c r="EE977" s="5"/>
      <c r="EF977" s="5"/>
      <c r="EG977" s="5"/>
      <c r="EH977" s="5"/>
      <c r="EI977" s="5"/>
      <c r="EJ977" s="5"/>
      <c r="EK977" s="5"/>
      <c r="EL977" s="5"/>
      <c r="EM977" s="5"/>
      <c r="EN977" s="5"/>
      <c r="EO977" s="5"/>
      <c r="EP977" s="5"/>
      <c r="EQ977" s="5"/>
      <c r="ER977" s="5"/>
      <c r="ES977" s="5"/>
      <c r="ET977" s="5"/>
      <c r="EU977" s="5"/>
      <c r="EV977" s="5"/>
      <c r="EW977" s="5"/>
      <c r="EX977" s="5"/>
      <c r="EY977" s="5"/>
      <c r="EZ977" s="5"/>
      <c r="FA977" s="5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5"/>
      <c r="CT978" s="5"/>
      <c r="CU978" s="5"/>
      <c r="CV978" s="5"/>
      <c r="CW978" s="5"/>
      <c r="CX978" s="5"/>
      <c r="CY978" s="5"/>
      <c r="CZ978" s="5"/>
      <c r="DA978" s="5"/>
      <c r="DB978" s="5"/>
      <c r="DC978" s="5"/>
      <c r="DD978" s="5"/>
      <c r="DE978" s="5"/>
      <c r="DF978" s="5"/>
      <c r="DG978" s="5"/>
      <c r="DH978" s="5"/>
      <c r="DI978" s="5"/>
      <c r="DJ978" s="5"/>
      <c r="DK978" s="5"/>
      <c r="DL978" s="5"/>
      <c r="DM978" s="5"/>
      <c r="DN978" s="5"/>
      <c r="DO978" s="5"/>
      <c r="DP978" s="5"/>
      <c r="DQ978" s="5"/>
      <c r="DR978" s="5"/>
      <c r="DS978" s="5"/>
      <c r="DT978" s="5"/>
      <c r="DU978" s="5"/>
      <c r="DV978" s="5"/>
      <c r="DW978" s="5"/>
      <c r="DX978" s="5"/>
      <c r="DY978" s="5"/>
      <c r="DZ978" s="5"/>
      <c r="EA978" s="5"/>
      <c r="EB978" s="5"/>
      <c r="EC978" s="5"/>
      <c r="ED978" s="5"/>
      <c r="EE978" s="5"/>
      <c r="EF978" s="5"/>
      <c r="EG978" s="5"/>
      <c r="EH978" s="5"/>
      <c r="EI978" s="5"/>
      <c r="EJ978" s="5"/>
      <c r="EK978" s="5"/>
      <c r="EL978" s="5"/>
      <c r="EM978" s="5"/>
      <c r="EN978" s="5"/>
      <c r="EO978" s="5"/>
      <c r="EP978" s="5"/>
      <c r="EQ978" s="5"/>
      <c r="ER978" s="5"/>
      <c r="ES978" s="5"/>
      <c r="ET978" s="5"/>
      <c r="EU978" s="5"/>
      <c r="EV978" s="5"/>
      <c r="EW978" s="5"/>
      <c r="EX978" s="5"/>
      <c r="EY978" s="5"/>
      <c r="EZ978" s="5"/>
      <c r="FA978" s="5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5"/>
      <c r="CT979" s="5"/>
      <c r="CU979" s="5"/>
      <c r="CV979" s="5"/>
      <c r="CW979" s="5"/>
      <c r="CX979" s="5"/>
      <c r="CY979" s="5"/>
      <c r="CZ979" s="5"/>
      <c r="DA979" s="5"/>
      <c r="DB979" s="5"/>
      <c r="DC979" s="5"/>
      <c r="DD979" s="5"/>
      <c r="DE979" s="5"/>
      <c r="DF979" s="5"/>
      <c r="DG979" s="5"/>
      <c r="DH979" s="5"/>
      <c r="DI979" s="5"/>
      <c r="DJ979" s="5"/>
      <c r="DK979" s="5"/>
      <c r="DL979" s="5"/>
      <c r="DM979" s="5"/>
      <c r="DN979" s="5"/>
      <c r="DO979" s="5"/>
      <c r="DP979" s="5"/>
      <c r="DQ979" s="5"/>
      <c r="DR979" s="5"/>
      <c r="DS979" s="5"/>
      <c r="DT979" s="5"/>
      <c r="DU979" s="5"/>
      <c r="DV979" s="5"/>
      <c r="DW979" s="5"/>
      <c r="DX979" s="5"/>
      <c r="DY979" s="5"/>
      <c r="DZ979" s="5"/>
      <c r="EA979" s="5"/>
      <c r="EB979" s="5"/>
      <c r="EC979" s="5"/>
      <c r="ED979" s="5"/>
      <c r="EE979" s="5"/>
      <c r="EF979" s="5"/>
      <c r="EG979" s="5"/>
      <c r="EH979" s="5"/>
      <c r="EI979" s="5"/>
      <c r="EJ979" s="5"/>
      <c r="EK979" s="5"/>
      <c r="EL979" s="5"/>
      <c r="EM979" s="5"/>
      <c r="EN979" s="5"/>
      <c r="EO979" s="5"/>
      <c r="EP979" s="5"/>
      <c r="EQ979" s="5"/>
      <c r="ER979" s="5"/>
      <c r="ES979" s="5"/>
      <c r="ET979" s="5"/>
      <c r="EU979" s="5"/>
      <c r="EV979" s="5"/>
      <c r="EW979" s="5"/>
      <c r="EX979" s="5"/>
      <c r="EY979" s="5"/>
      <c r="EZ979" s="5"/>
      <c r="FA979" s="5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5"/>
      <c r="CT980" s="5"/>
      <c r="CU980" s="5"/>
      <c r="CV980" s="5"/>
      <c r="CW980" s="5"/>
      <c r="CX980" s="5"/>
      <c r="CY980" s="5"/>
      <c r="CZ980" s="5"/>
      <c r="DA980" s="5"/>
      <c r="DB980" s="5"/>
      <c r="DC980" s="5"/>
      <c r="DD980" s="5"/>
      <c r="DE980" s="5"/>
      <c r="DF980" s="5"/>
      <c r="DG980" s="5"/>
      <c r="DH980" s="5"/>
      <c r="DI980" s="5"/>
      <c r="DJ980" s="5"/>
      <c r="DK980" s="5"/>
      <c r="DL980" s="5"/>
      <c r="DM980" s="5"/>
      <c r="DN980" s="5"/>
      <c r="DO980" s="5"/>
      <c r="DP980" s="5"/>
      <c r="DQ980" s="5"/>
      <c r="DR980" s="5"/>
      <c r="DS980" s="5"/>
      <c r="DT980" s="5"/>
      <c r="DU980" s="5"/>
      <c r="DV980" s="5"/>
      <c r="DW980" s="5"/>
      <c r="DX980" s="5"/>
      <c r="DY980" s="5"/>
      <c r="DZ980" s="5"/>
      <c r="EA980" s="5"/>
      <c r="EB980" s="5"/>
      <c r="EC980" s="5"/>
      <c r="ED980" s="5"/>
      <c r="EE980" s="5"/>
      <c r="EF980" s="5"/>
      <c r="EG980" s="5"/>
      <c r="EH980" s="5"/>
      <c r="EI980" s="5"/>
      <c r="EJ980" s="5"/>
      <c r="EK980" s="5"/>
      <c r="EL980" s="5"/>
      <c r="EM980" s="5"/>
      <c r="EN980" s="5"/>
      <c r="EO980" s="5"/>
      <c r="EP980" s="5"/>
      <c r="EQ980" s="5"/>
      <c r="ER980" s="5"/>
      <c r="ES980" s="5"/>
      <c r="ET980" s="5"/>
      <c r="EU980" s="5"/>
      <c r="EV980" s="5"/>
      <c r="EW980" s="5"/>
      <c r="EX980" s="5"/>
      <c r="EY980" s="5"/>
      <c r="EZ980" s="5"/>
      <c r="FA980" s="5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5"/>
      <c r="CT981" s="5"/>
      <c r="CU981" s="5"/>
      <c r="CV981" s="5"/>
      <c r="CW981" s="5"/>
      <c r="CX981" s="5"/>
      <c r="CY981" s="5"/>
      <c r="CZ981" s="5"/>
      <c r="DA981" s="5"/>
      <c r="DB981" s="5"/>
      <c r="DC981" s="5"/>
      <c r="DD981" s="5"/>
      <c r="DE981" s="5"/>
      <c r="DF981" s="5"/>
      <c r="DG981" s="5"/>
      <c r="DH981" s="5"/>
      <c r="DI981" s="5"/>
      <c r="DJ981" s="5"/>
      <c r="DK981" s="5"/>
      <c r="DL981" s="5"/>
      <c r="DM981" s="5"/>
      <c r="DN981" s="5"/>
      <c r="DO981" s="5"/>
      <c r="DP981" s="5"/>
      <c r="DQ981" s="5"/>
      <c r="DR981" s="5"/>
      <c r="DS981" s="5"/>
      <c r="DT981" s="5"/>
      <c r="DU981" s="5"/>
      <c r="DV981" s="5"/>
      <c r="DW981" s="5"/>
      <c r="DX981" s="5"/>
      <c r="DY981" s="5"/>
      <c r="DZ981" s="5"/>
      <c r="EA981" s="5"/>
      <c r="EB981" s="5"/>
      <c r="EC981" s="5"/>
      <c r="ED981" s="5"/>
      <c r="EE981" s="5"/>
      <c r="EF981" s="5"/>
      <c r="EG981" s="5"/>
      <c r="EH981" s="5"/>
      <c r="EI981" s="5"/>
      <c r="EJ981" s="5"/>
      <c r="EK981" s="5"/>
      <c r="EL981" s="5"/>
      <c r="EM981" s="5"/>
      <c r="EN981" s="5"/>
      <c r="EO981" s="5"/>
      <c r="EP981" s="5"/>
      <c r="EQ981" s="5"/>
      <c r="ER981" s="5"/>
      <c r="ES981" s="5"/>
      <c r="ET981" s="5"/>
      <c r="EU981" s="5"/>
      <c r="EV981" s="5"/>
      <c r="EW981" s="5"/>
      <c r="EX981" s="5"/>
      <c r="EY981" s="5"/>
      <c r="EZ981" s="5"/>
      <c r="FA981" s="5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5"/>
      <c r="CT982" s="5"/>
      <c r="CU982" s="5"/>
      <c r="CV982" s="5"/>
      <c r="CW982" s="5"/>
      <c r="CX982" s="5"/>
      <c r="CY982" s="5"/>
      <c r="CZ982" s="5"/>
      <c r="DA982" s="5"/>
      <c r="DB982" s="5"/>
      <c r="DC982" s="5"/>
      <c r="DD982" s="5"/>
      <c r="DE982" s="5"/>
      <c r="DF982" s="5"/>
      <c r="DG982" s="5"/>
      <c r="DH982" s="5"/>
      <c r="DI982" s="5"/>
      <c r="DJ982" s="5"/>
      <c r="DK982" s="5"/>
      <c r="DL982" s="5"/>
      <c r="DM982" s="5"/>
      <c r="DN982" s="5"/>
      <c r="DO982" s="5"/>
      <c r="DP982" s="5"/>
      <c r="DQ982" s="5"/>
      <c r="DR982" s="5"/>
      <c r="DS982" s="5"/>
      <c r="DT982" s="5"/>
      <c r="DU982" s="5"/>
      <c r="DV982" s="5"/>
      <c r="DW982" s="5"/>
      <c r="DX982" s="5"/>
      <c r="DY982" s="5"/>
      <c r="DZ982" s="5"/>
      <c r="EA982" s="5"/>
      <c r="EB982" s="5"/>
      <c r="EC982" s="5"/>
      <c r="ED982" s="5"/>
      <c r="EE982" s="5"/>
      <c r="EF982" s="5"/>
      <c r="EG982" s="5"/>
      <c r="EH982" s="5"/>
      <c r="EI982" s="5"/>
      <c r="EJ982" s="5"/>
      <c r="EK982" s="5"/>
      <c r="EL982" s="5"/>
      <c r="EM982" s="5"/>
      <c r="EN982" s="5"/>
      <c r="EO982" s="5"/>
      <c r="EP982" s="5"/>
      <c r="EQ982" s="5"/>
      <c r="ER982" s="5"/>
      <c r="ES982" s="5"/>
      <c r="ET982" s="5"/>
      <c r="EU982" s="5"/>
      <c r="EV982" s="5"/>
      <c r="EW982" s="5"/>
      <c r="EX982" s="5"/>
      <c r="EY982" s="5"/>
      <c r="EZ982" s="5"/>
      <c r="FA982" s="5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5"/>
      <c r="CT983" s="5"/>
      <c r="CU983" s="5"/>
      <c r="CV983" s="5"/>
      <c r="CW983" s="5"/>
      <c r="CX983" s="5"/>
      <c r="CY983" s="5"/>
      <c r="CZ983" s="5"/>
      <c r="DA983" s="5"/>
      <c r="DB983" s="5"/>
      <c r="DC983" s="5"/>
      <c r="DD983" s="5"/>
      <c r="DE983" s="5"/>
      <c r="DF983" s="5"/>
      <c r="DG983" s="5"/>
      <c r="DH983" s="5"/>
      <c r="DI983" s="5"/>
      <c r="DJ983" s="5"/>
      <c r="DK983" s="5"/>
      <c r="DL983" s="5"/>
      <c r="DM983" s="5"/>
      <c r="DN983" s="5"/>
      <c r="DO983" s="5"/>
      <c r="DP983" s="5"/>
      <c r="DQ983" s="5"/>
      <c r="DR983" s="5"/>
      <c r="DS983" s="5"/>
      <c r="DT983" s="5"/>
      <c r="DU983" s="5"/>
      <c r="DV983" s="5"/>
      <c r="DW983" s="5"/>
      <c r="DX983" s="5"/>
      <c r="DY983" s="5"/>
      <c r="DZ983" s="5"/>
      <c r="EA983" s="5"/>
      <c r="EB983" s="5"/>
      <c r="EC983" s="5"/>
      <c r="ED983" s="5"/>
      <c r="EE983" s="5"/>
      <c r="EF983" s="5"/>
      <c r="EG983" s="5"/>
      <c r="EH983" s="5"/>
      <c r="EI983" s="5"/>
      <c r="EJ983" s="5"/>
      <c r="EK983" s="5"/>
      <c r="EL983" s="5"/>
      <c r="EM983" s="5"/>
      <c r="EN983" s="5"/>
      <c r="EO983" s="5"/>
      <c r="EP983" s="5"/>
      <c r="EQ983" s="5"/>
      <c r="ER983" s="5"/>
      <c r="ES983" s="5"/>
      <c r="ET983" s="5"/>
      <c r="EU983" s="5"/>
      <c r="EV983" s="5"/>
      <c r="EW983" s="5"/>
      <c r="EX983" s="5"/>
      <c r="EY983" s="5"/>
      <c r="EZ983" s="5"/>
      <c r="FA983" s="5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5"/>
      <c r="CT984" s="5"/>
      <c r="CU984" s="5"/>
      <c r="CV984" s="5"/>
      <c r="CW984" s="5"/>
      <c r="CX984" s="5"/>
      <c r="CY984" s="5"/>
      <c r="CZ984" s="5"/>
      <c r="DA984" s="5"/>
      <c r="DB984" s="5"/>
      <c r="DC984" s="5"/>
      <c r="DD984" s="5"/>
      <c r="DE984" s="5"/>
      <c r="DF984" s="5"/>
      <c r="DG984" s="5"/>
      <c r="DH984" s="5"/>
      <c r="DI984" s="5"/>
      <c r="DJ984" s="5"/>
      <c r="DK984" s="5"/>
      <c r="DL984" s="5"/>
      <c r="DM984" s="5"/>
      <c r="DN984" s="5"/>
      <c r="DO984" s="5"/>
      <c r="DP984" s="5"/>
      <c r="DQ984" s="5"/>
      <c r="DR984" s="5"/>
      <c r="DS984" s="5"/>
      <c r="DT984" s="5"/>
      <c r="DU984" s="5"/>
      <c r="DV984" s="5"/>
      <c r="DW984" s="5"/>
      <c r="DX984" s="5"/>
      <c r="DY984" s="5"/>
      <c r="DZ984" s="5"/>
      <c r="EA984" s="5"/>
      <c r="EB984" s="5"/>
      <c r="EC984" s="5"/>
      <c r="ED984" s="5"/>
      <c r="EE984" s="5"/>
      <c r="EF984" s="5"/>
      <c r="EG984" s="5"/>
      <c r="EH984" s="5"/>
      <c r="EI984" s="5"/>
      <c r="EJ984" s="5"/>
      <c r="EK984" s="5"/>
      <c r="EL984" s="5"/>
      <c r="EM984" s="5"/>
      <c r="EN984" s="5"/>
      <c r="EO984" s="5"/>
      <c r="EP984" s="5"/>
      <c r="EQ984" s="5"/>
      <c r="ER984" s="5"/>
      <c r="ES984" s="5"/>
      <c r="ET984" s="5"/>
      <c r="EU984" s="5"/>
      <c r="EV984" s="5"/>
      <c r="EW984" s="5"/>
      <c r="EX984" s="5"/>
      <c r="EY984" s="5"/>
      <c r="EZ984" s="5"/>
      <c r="FA984" s="5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5"/>
      <c r="CT985" s="5"/>
      <c r="CU985" s="5"/>
      <c r="CV985" s="5"/>
      <c r="CW985" s="5"/>
      <c r="CX985" s="5"/>
      <c r="CY985" s="5"/>
      <c r="CZ985" s="5"/>
      <c r="DA985" s="5"/>
      <c r="DB985" s="5"/>
      <c r="DC985" s="5"/>
      <c r="DD985" s="5"/>
      <c r="DE985" s="5"/>
      <c r="DF985" s="5"/>
      <c r="DG985" s="5"/>
      <c r="DH985" s="5"/>
      <c r="DI985" s="5"/>
      <c r="DJ985" s="5"/>
      <c r="DK985" s="5"/>
      <c r="DL985" s="5"/>
      <c r="DM985" s="5"/>
      <c r="DN985" s="5"/>
      <c r="DO985" s="5"/>
      <c r="DP985" s="5"/>
      <c r="DQ985" s="5"/>
      <c r="DR985" s="5"/>
      <c r="DS985" s="5"/>
      <c r="DT985" s="5"/>
      <c r="DU985" s="5"/>
      <c r="DV985" s="5"/>
      <c r="DW985" s="5"/>
      <c r="DX985" s="5"/>
      <c r="DY985" s="5"/>
      <c r="DZ985" s="5"/>
      <c r="EA985" s="5"/>
      <c r="EB985" s="5"/>
      <c r="EC985" s="5"/>
      <c r="ED985" s="5"/>
      <c r="EE985" s="5"/>
      <c r="EF985" s="5"/>
      <c r="EG985" s="5"/>
      <c r="EH985" s="5"/>
      <c r="EI985" s="5"/>
      <c r="EJ985" s="5"/>
      <c r="EK985" s="5"/>
      <c r="EL985" s="5"/>
      <c r="EM985" s="5"/>
      <c r="EN985" s="5"/>
      <c r="EO985" s="5"/>
      <c r="EP985" s="5"/>
      <c r="EQ985" s="5"/>
      <c r="ER985" s="5"/>
      <c r="ES985" s="5"/>
      <c r="ET985" s="5"/>
      <c r="EU985" s="5"/>
      <c r="EV985" s="5"/>
      <c r="EW985" s="5"/>
      <c r="EX985" s="5"/>
      <c r="EY985" s="5"/>
      <c r="EZ985" s="5"/>
      <c r="FA985" s="5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5"/>
      <c r="CT986" s="5"/>
      <c r="CU986" s="5"/>
      <c r="CV986" s="5"/>
      <c r="CW986" s="5"/>
      <c r="CX986" s="5"/>
      <c r="CY986" s="5"/>
      <c r="CZ986" s="5"/>
      <c r="DA986" s="5"/>
      <c r="DB986" s="5"/>
      <c r="DC986" s="5"/>
      <c r="DD986" s="5"/>
      <c r="DE986" s="5"/>
      <c r="DF986" s="5"/>
      <c r="DG986" s="5"/>
      <c r="DH986" s="5"/>
      <c r="DI986" s="5"/>
      <c r="DJ986" s="5"/>
      <c r="DK986" s="5"/>
      <c r="DL986" s="5"/>
      <c r="DM986" s="5"/>
      <c r="DN986" s="5"/>
      <c r="DO986" s="5"/>
      <c r="DP986" s="5"/>
      <c r="DQ986" s="5"/>
      <c r="DR986" s="5"/>
      <c r="DS986" s="5"/>
      <c r="DT986" s="5"/>
      <c r="DU986" s="5"/>
      <c r="DV986" s="5"/>
      <c r="DW986" s="5"/>
      <c r="DX986" s="5"/>
      <c r="DY986" s="5"/>
      <c r="DZ986" s="5"/>
      <c r="EA986" s="5"/>
      <c r="EB986" s="5"/>
      <c r="EC986" s="5"/>
      <c r="ED986" s="5"/>
      <c r="EE986" s="5"/>
      <c r="EF986" s="5"/>
      <c r="EG986" s="5"/>
      <c r="EH986" s="5"/>
      <c r="EI986" s="5"/>
      <c r="EJ986" s="5"/>
      <c r="EK986" s="5"/>
      <c r="EL986" s="5"/>
      <c r="EM986" s="5"/>
      <c r="EN986" s="5"/>
      <c r="EO986" s="5"/>
      <c r="EP986" s="5"/>
      <c r="EQ986" s="5"/>
      <c r="ER986" s="5"/>
      <c r="ES986" s="5"/>
      <c r="ET986" s="5"/>
      <c r="EU986" s="5"/>
      <c r="EV986" s="5"/>
      <c r="EW986" s="5"/>
      <c r="EX986" s="5"/>
      <c r="EY986" s="5"/>
      <c r="EZ986" s="5"/>
      <c r="FA986" s="5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5"/>
      <c r="CT987" s="5"/>
      <c r="CU987" s="5"/>
      <c r="CV987" s="5"/>
      <c r="CW987" s="5"/>
      <c r="CX987" s="5"/>
      <c r="CY987" s="5"/>
      <c r="CZ987" s="5"/>
      <c r="DA987" s="5"/>
      <c r="DB987" s="5"/>
      <c r="DC987" s="5"/>
      <c r="DD987" s="5"/>
      <c r="DE987" s="5"/>
      <c r="DF987" s="5"/>
      <c r="DG987" s="5"/>
      <c r="DH987" s="5"/>
      <c r="DI987" s="5"/>
      <c r="DJ987" s="5"/>
      <c r="DK987" s="5"/>
      <c r="DL987" s="5"/>
      <c r="DM987" s="5"/>
      <c r="DN987" s="5"/>
      <c r="DO987" s="5"/>
      <c r="DP987" s="5"/>
      <c r="DQ987" s="5"/>
      <c r="DR987" s="5"/>
      <c r="DS987" s="5"/>
      <c r="DT987" s="5"/>
      <c r="DU987" s="5"/>
      <c r="DV987" s="5"/>
      <c r="DW987" s="5"/>
      <c r="DX987" s="5"/>
      <c r="DY987" s="5"/>
      <c r="DZ987" s="5"/>
      <c r="EA987" s="5"/>
      <c r="EB987" s="5"/>
      <c r="EC987" s="5"/>
      <c r="ED987" s="5"/>
      <c r="EE987" s="5"/>
      <c r="EF987" s="5"/>
      <c r="EG987" s="5"/>
      <c r="EH987" s="5"/>
      <c r="EI987" s="5"/>
      <c r="EJ987" s="5"/>
      <c r="EK987" s="5"/>
      <c r="EL987" s="5"/>
      <c r="EM987" s="5"/>
      <c r="EN987" s="5"/>
      <c r="EO987" s="5"/>
      <c r="EP987" s="5"/>
      <c r="EQ987" s="5"/>
      <c r="ER987" s="5"/>
      <c r="ES987" s="5"/>
      <c r="ET987" s="5"/>
      <c r="EU987" s="5"/>
      <c r="EV987" s="5"/>
      <c r="EW987" s="5"/>
      <c r="EX987" s="5"/>
      <c r="EY987" s="5"/>
      <c r="EZ987" s="5"/>
      <c r="FA987" s="5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5"/>
      <c r="CT988" s="5"/>
      <c r="CU988" s="5"/>
      <c r="CV988" s="5"/>
      <c r="CW988" s="5"/>
      <c r="CX988" s="5"/>
      <c r="CY988" s="5"/>
      <c r="CZ988" s="5"/>
      <c r="DA988" s="5"/>
      <c r="DB988" s="5"/>
      <c r="DC988" s="5"/>
      <c r="DD988" s="5"/>
      <c r="DE988" s="5"/>
      <c r="DF988" s="5"/>
      <c r="DG988" s="5"/>
      <c r="DH988" s="5"/>
      <c r="DI988" s="5"/>
      <c r="DJ988" s="5"/>
      <c r="DK988" s="5"/>
      <c r="DL988" s="5"/>
      <c r="DM988" s="5"/>
      <c r="DN988" s="5"/>
      <c r="DO988" s="5"/>
      <c r="DP988" s="5"/>
      <c r="DQ988" s="5"/>
      <c r="DR988" s="5"/>
      <c r="DS988" s="5"/>
      <c r="DT988" s="5"/>
      <c r="DU988" s="5"/>
      <c r="DV988" s="5"/>
      <c r="DW988" s="5"/>
      <c r="DX988" s="5"/>
      <c r="DY988" s="5"/>
      <c r="DZ988" s="5"/>
      <c r="EA988" s="5"/>
      <c r="EB988" s="5"/>
      <c r="EC988" s="5"/>
      <c r="ED988" s="5"/>
      <c r="EE988" s="5"/>
      <c r="EF988" s="5"/>
      <c r="EG988" s="5"/>
      <c r="EH988" s="5"/>
      <c r="EI988" s="5"/>
      <c r="EJ988" s="5"/>
      <c r="EK988" s="5"/>
      <c r="EL988" s="5"/>
      <c r="EM988" s="5"/>
      <c r="EN988" s="5"/>
      <c r="EO988" s="5"/>
      <c r="EP988" s="5"/>
      <c r="EQ988" s="5"/>
      <c r="ER988" s="5"/>
      <c r="ES988" s="5"/>
      <c r="ET988" s="5"/>
      <c r="EU988" s="5"/>
      <c r="EV988" s="5"/>
      <c r="EW988" s="5"/>
      <c r="EX988" s="5"/>
      <c r="EY988" s="5"/>
      <c r="EZ988" s="5"/>
      <c r="FA988" s="5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5"/>
      <c r="CT989" s="5"/>
      <c r="CU989" s="5"/>
      <c r="CV989" s="5"/>
      <c r="CW989" s="5"/>
      <c r="CX989" s="5"/>
      <c r="CY989" s="5"/>
      <c r="CZ989" s="5"/>
      <c r="DA989" s="5"/>
      <c r="DB989" s="5"/>
      <c r="DC989" s="5"/>
      <c r="DD989" s="5"/>
      <c r="DE989" s="5"/>
      <c r="DF989" s="5"/>
      <c r="DG989" s="5"/>
      <c r="DH989" s="5"/>
      <c r="DI989" s="5"/>
      <c r="DJ989" s="5"/>
      <c r="DK989" s="5"/>
      <c r="DL989" s="5"/>
      <c r="DM989" s="5"/>
      <c r="DN989" s="5"/>
      <c r="DO989" s="5"/>
      <c r="DP989" s="5"/>
      <c r="DQ989" s="5"/>
      <c r="DR989" s="5"/>
      <c r="DS989" s="5"/>
      <c r="DT989" s="5"/>
      <c r="DU989" s="5"/>
      <c r="DV989" s="5"/>
      <c r="DW989" s="5"/>
      <c r="DX989" s="5"/>
      <c r="DY989" s="5"/>
      <c r="DZ989" s="5"/>
      <c r="EA989" s="5"/>
      <c r="EB989" s="5"/>
      <c r="EC989" s="5"/>
      <c r="ED989" s="5"/>
      <c r="EE989" s="5"/>
      <c r="EF989" s="5"/>
      <c r="EG989" s="5"/>
      <c r="EH989" s="5"/>
      <c r="EI989" s="5"/>
      <c r="EJ989" s="5"/>
      <c r="EK989" s="5"/>
      <c r="EL989" s="5"/>
      <c r="EM989" s="5"/>
      <c r="EN989" s="5"/>
      <c r="EO989" s="5"/>
      <c r="EP989" s="5"/>
      <c r="EQ989" s="5"/>
      <c r="ER989" s="5"/>
      <c r="ES989" s="5"/>
      <c r="ET989" s="5"/>
      <c r="EU989" s="5"/>
      <c r="EV989" s="5"/>
      <c r="EW989" s="5"/>
      <c r="EX989" s="5"/>
      <c r="EY989" s="5"/>
      <c r="EZ989" s="5"/>
      <c r="FA989" s="5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5"/>
      <c r="CT990" s="5"/>
      <c r="CU990" s="5"/>
      <c r="CV990" s="5"/>
      <c r="CW990" s="5"/>
      <c r="CX990" s="5"/>
      <c r="CY990" s="5"/>
      <c r="CZ990" s="5"/>
      <c r="DA990" s="5"/>
      <c r="DB990" s="5"/>
      <c r="DC990" s="5"/>
      <c r="DD990" s="5"/>
      <c r="DE990" s="5"/>
      <c r="DF990" s="5"/>
      <c r="DG990" s="5"/>
      <c r="DH990" s="5"/>
      <c r="DI990" s="5"/>
      <c r="DJ990" s="5"/>
      <c r="DK990" s="5"/>
      <c r="DL990" s="5"/>
      <c r="DM990" s="5"/>
      <c r="DN990" s="5"/>
      <c r="DO990" s="5"/>
      <c r="DP990" s="5"/>
      <c r="DQ990" s="5"/>
      <c r="DR990" s="5"/>
      <c r="DS990" s="5"/>
      <c r="DT990" s="5"/>
      <c r="DU990" s="5"/>
      <c r="DV990" s="5"/>
      <c r="DW990" s="5"/>
      <c r="DX990" s="5"/>
      <c r="DY990" s="5"/>
      <c r="DZ990" s="5"/>
      <c r="EA990" s="5"/>
      <c r="EB990" s="5"/>
      <c r="EC990" s="5"/>
      <c r="ED990" s="5"/>
      <c r="EE990" s="5"/>
      <c r="EF990" s="5"/>
      <c r="EG990" s="5"/>
      <c r="EH990" s="5"/>
      <c r="EI990" s="5"/>
      <c r="EJ990" s="5"/>
      <c r="EK990" s="5"/>
      <c r="EL990" s="5"/>
      <c r="EM990" s="5"/>
      <c r="EN990" s="5"/>
      <c r="EO990" s="5"/>
      <c r="EP990" s="5"/>
      <c r="EQ990" s="5"/>
      <c r="ER990" s="5"/>
      <c r="ES990" s="5"/>
      <c r="ET990" s="5"/>
      <c r="EU990" s="5"/>
      <c r="EV990" s="5"/>
      <c r="EW990" s="5"/>
      <c r="EX990" s="5"/>
      <c r="EY990" s="5"/>
      <c r="EZ990" s="5"/>
      <c r="FA990" s="5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5"/>
      <c r="CT991" s="5"/>
      <c r="CU991" s="5"/>
      <c r="CV991" s="5"/>
      <c r="CW991" s="5"/>
      <c r="CX991" s="5"/>
      <c r="CY991" s="5"/>
      <c r="CZ991" s="5"/>
      <c r="DA991" s="5"/>
      <c r="DB991" s="5"/>
      <c r="DC991" s="5"/>
      <c r="DD991" s="5"/>
      <c r="DE991" s="5"/>
      <c r="DF991" s="5"/>
      <c r="DG991" s="5"/>
      <c r="DH991" s="5"/>
      <c r="DI991" s="5"/>
      <c r="DJ991" s="5"/>
      <c r="DK991" s="5"/>
      <c r="DL991" s="5"/>
      <c r="DM991" s="5"/>
      <c r="DN991" s="5"/>
      <c r="DO991" s="5"/>
      <c r="DP991" s="5"/>
      <c r="DQ991" s="5"/>
      <c r="DR991" s="5"/>
      <c r="DS991" s="5"/>
      <c r="DT991" s="5"/>
      <c r="DU991" s="5"/>
      <c r="DV991" s="5"/>
      <c r="DW991" s="5"/>
      <c r="DX991" s="5"/>
      <c r="DY991" s="5"/>
      <c r="DZ991" s="5"/>
      <c r="EA991" s="5"/>
      <c r="EB991" s="5"/>
      <c r="EC991" s="5"/>
      <c r="ED991" s="5"/>
      <c r="EE991" s="5"/>
      <c r="EF991" s="5"/>
      <c r="EG991" s="5"/>
      <c r="EH991" s="5"/>
      <c r="EI991" s="5"/>
      <c r="EJ991" s="5"/>
      <c r="EK991" s="5"/>
      <c r="EL991" s="5"/>
      <c r="EM991" s="5"/>
      <c r="EN991" s="5"/>
      <c r="EO991" s="5"/>
      <c r="EP991" s="5"/>
      <c r="EQ991" s="5"/>
      <c r="ER991" s="5"/>
      <c r="ES991" s="5"/>
      <c r="ET991" s="5"/>
      <c r="EU991" s="5"/>
      <c r="EV991" s="5"/>
      <c r="EW991" s="5"/>
      <c r="EX991" s="5"/>
      <c r="EY991" s="5"/>
      <c r="EZ991" s="5"/>
      <c r="FA991" s="5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5"/>
      <c r="CT992" s="5"/>
      <c r="CU992" s="5"/>
      <c r="CV992" s="5"/>
      <c r="CW992" s="5"/>
      <c r="CX992" s="5"/>
      <c r="CY992" s="5"/>
      <c r="CZ992" s="5"/>
      <c r="DA992" s="5"/>
      <c r="DB992" s="5"/>
      <c r="DC992" s="5"/>
      <c r="DD992" s="5"/>
      <c r="DE992" s="5"/>
      <c r="DF992" s="5"/>
      <c r="DG992" s="5"/>
      <c r="DH992" s="5"/>
      <c r="DI992" s="5"/>
      <c r="DJ992" s="5"/>
      <c r="DK992" s="5"/>
      <c r="DL992" s="5"/>
      <c r="DM992" s="5"/>
      <c r="DN992" s="5"/>
      <c r="DO992" s="5"/>
      <c r="DP992" s="5"/>
      <c r="DQ992" s="5"/>
      <c r="DR992" s="5"/>
      <c r="DS992" s="5"/>
      <c r="DT992" s="5"/>
      <c r="DU992" s="5"/>
      <c r="DV992" s="5"/>
      <c r="DW992" s="5"/>
      <c r="DX992" s="5"/>
      <c r="DY992" s="5"/>
      <c r="DZ992" s="5"/>
      <c r="EA992" s="5"/>
      <c r="EB992" s="5"/>
      <c r="EC992" s="5"/>
      <c r="ED992" s="5"/>
      <c r="EE992" s="5"/>
      <c r="EF992" s="5"/>
      <c r="EG992" s="5"/>
      <c r="EH992" s="5"/>
      <c r="EI992" s="5"/>
      <c r="EJ992" s="5"/>
      <c r="EK992" s="5"/>
      <c r="EL992" s="5"/>
      <c r="EM992" s="5"/>
      <c r="EN992" s="5"/>
      <c r="EO992" s="5"/>
      <c r="EP992" s="5"/>
      <c r="EQ992" s="5"/>
      <c r="ER992" s="5"/>
      <c r="ES992" s="5"/>
      <c r="ET992" s="5"/>
      <c r="EU992" s="5"/>
      <c r="EV992" s="5"/>
      <c r="EW992" s="5"/>
      <c r="EX992" s="5"/>
      <c r="EY992" s="5"/>
      <c r="EZ992" s="5"/>
      <c r="FA992" s="5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5"/>
      <c r="CT993" s="5"/>
      <c r="CU993" s="5"/>
      <c r="CV993" s="5"/>
      <c r="CW993" s="5"/>
      <c r="CX993" s="5"/>
      <c r="CY993" s="5"/>
      <c r="CZ993" s="5"/>
      <c r="DA993" s="5"/>
      <c r="DB993" s="5"/>
      <c r="DC993" s="5"/>
      <c r="DD993" s="5"/>
      <c r="DE993" s="5"/>
      <c r="DF993" s="5"/>
      <c r="DG993" s="5"/>
      <c r="DH993" s="5"/>
      <c r="DI993" s="5"/>
      <c r="DJ993" s="5"/>
      <c r="DK993" s="5"/>
      <c r="DL993" s="5"/>
      <c r="DM993" s="5"/>
      <c r="DN993" s="5"/>
      <c r="DO993" s="5"/>
      <c r="DP993" s="5"/>
      <c r="DQ993" s="5"/>
      <c r="DR993" s="5"/>
      <c r="DS993" s="5"/>
      <c r="DT993" s="5"/>
      <c r="DU993" s="5"/>
      <c r="DV993" s="5"/>
      <c r="DW993" s="5"/>
      <c r="DX993" s="5"/>
      <c r="DY993" s="5"/>
      <c r="DZ993" s="5"/>
      <c r="EA993" s="5"/>
      <c r="EB993" s="5"/>
      <c r="EC993" s="5"/>
      <c r="ED993" s="5"/>
      <c r="EE993" s="5"/>
      <c r="EF993" s="5"/>
      <c r="EG993" s="5"/>
      <c r="EH993" s="5"/>
      <c r="EI993" s="5"/>
      <c r="EJ993" s="5"/>
      <c r="EK993" s="5"/>
      <c r="EL993" s="5"/>
      <c r="EM993" s="5"/>
      <c r="EN993" s="5"/>
      <c r="EO993" s="5"/>
      <c r="EP993" s="5"/>
      <c r="EQ993" s="5"/>
      <c r="ER993" s="5"/>
      <c r="ES993" s="5"/>
      <c r="ET993" s="5"/>
      <c r="EU993" s="5"/>
      <c r="EV993" s="5"/>
      <c r="EW993" s="5"/>
      <c r="EX993" s="5"/>
      <c r="EY993" s="5"/>
      <c r="EZ993" s="5"/>
      <c r="FA993" s="5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5"/>
      <c r="CT994" s="5"/>
      <c r="CU994" s="5"/>
      <c r="CV994" s="5"/>
      <c r="CW994" s="5"/>
      <c r="CX994" s="5"/>
      <c r="CY994" s="5"/>
      <c r="CZ994" s="5"/>
      <c r="DA994" s="5"/>
      <c r="DB994" s="5"/>
      <c r="DC994" s="5"/>
      <c r="DD994" s="5"/>
      <c r="DE994" s="5"/>
      <c r="DF994" s="5"/>
      <c r="DG994" s="5"/>
      <c r="DH994" s="5"/>
      <c r="DI994" s="5"/>
      <c r="DJ994" s="5"/>
      <c r="DK994" s="5"/>
      <c r="DL994" s="5"/>
      <c r="DM994" s="5"/>
      <c r="DN994" s="5"/>
      <c r="DO994" s="5"/>
      <c r="DP994" s="5"/>
      <c r="DQ994" s="5"/>
      <c r="DR994" s="5"/>
      <c r="DS994" s="5"/>
      <c r="DT994" s="5"/>
      <c r="DU994" s="5"/>
      <c r="DV994" s="5"/>
      <c r="DW994" s="5"/>
      <c r="DX994" s="5"/>
      <c r="DY994" s="5"/>
      <c r="DZ994" s="5"/>
      <c r="EA994" s="5"/>
      <c r="EB994" s="5"/>
      <c r="EC994" s="5"/>
      <c r="ED994" s="5"/>
      <c r="EE994" s="5"/>
      <c r="EF994" s="5"/>
      <c r="EG994" s="5"/>
      <c r="EH994" s="5"/>
      <c r="EI994" s="5"/>
      <c r="EJ994" s="5"/>
      <c r="EK994" s="5"/>
      <c r="EL994" s="5"/>
      <c r="EM994" s="5"/>
      <c r="EN994" s="5"/>
      <c r="EO994" s="5"/>
      <c r="EP994" s="5"/>
      <c r="EQ994" s="5"/>
      <c r="ER994" s="5"/>
      <c r="ES994" s="5"/>
      <c r="ET994" s="5"/>
      <c r="EU994" s="5"/>
      <c r="EV994" s="5"/>
      <c r="EW994" s="5"/>
      <c r="EX994" s="5"/>
      <c r="EY994" s="5"/>
      <c r="EZ994" s="5"/>
      <c r="FA994" s="5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5"/>
      <c r="CT995" s="5"/>
      <c r="CU995" s="5"/>
      <c r="CV995" s="5"/>
      <c r="CW995" s="5"/>
      <c r="CX995" s="5"/>
      <c r="CY995" s="5"/>
      <c r="CZ995" s="5"/>
      <c r="DA995" s="5"/>
      <c r="DB995" s="5"/>
      <c r="DC995" s="5"/>
      <c r="DD995" s="5"/>
      <c r="DE995" s="5"/>
      <c r="DF995" s="5"/>
      <c r="DG995" s="5"/>
      <c r="DH995" s="5"/>
      <c r="DI995" s="5"/>
      <c r="DJ995" s="5"/>
      <c r="DK995" s="5"/>
      <c r="DL995" s="5"/>
      <c r="DM995" s="5"/>
      <c r="DN995" s="5"/>
      <c r="DO995" s="5"/>
      <c r="DP995" s="5"/>
      <c r="DQ995" s="5"/>
      <c r="DR995" s="5"/>
      <c r="DS995" s="5"/>
      <c r="DT995" s="5"/>
      <c r="DU995" s="5"/>
      <c r="DV995" s="5"/>
      <c r="DW995" s="5"/>
      <c r="DX995" s="5"/>
      <c r="DY995" s="5"/>
      <c r="DZ995" s="5"/>
      <c r="EA995" s="5"/>
      <c r="EB995" s="5"/>
      <c r="EC995" s="5"/>
      <c r="ED995" s="5"/>
      <c r="EE995" s="5"/>
      <c r="EF995" s="5"/>
      <c r="EG995" s="5"/>
      <c r="EH995" s="5"/>
      <c r="EI995" s="5"/>
      <c r="EJ995" s="5"/>
      <c r="EK995" s="5"/>
      <c r="EL995" s="5"/>
      <c r="EM995" s="5"/>
      <c r="EN995" s="5"/>
      <c r="EO995" s="5"/>
      <c r="EP995" s="5"/>
      <c r="EQ995" s="5"/>
      <c r="ER995" s="5"/>
      <c r="ES995" s="5"/>
      <c r="ET995" s="5"/>
      <c r="EU995" s="5"/>
      <c r="EV995" s="5"/>
      <c r="EW995" s="5"/>
      <c r="EX995" s="5"/>
      <c r="EY995" s="5"/>
      <c r="EZ995" s="5"/>
      <c r="FA995" s="5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5"/>
      <c r="CT996" s="5"/>
      <c r="CU996" s="5"/>
      <c r="CV996" s="5"/>
      <c r="CW996" s="5"/>
      <c r="CX996" s="5"/>
      <c r="CY996" s="5"/>
      <c r="CZ996" s="5"/>
      <c r="DA996" s="5"/>
      <c r="DB996" s="5"/>
      <c r="DC996" s="5"/>
      <c r="DD996" s="5"/>
      <c r="DE996" s="5"/>
      <c r="DF996" s="5"/>
      <c r="DG996" s="5"/>
      <c r="DH996" s="5"/>
      <c r="DI996" s="5"/>
      <c r="DJ996" s="5"/>
      <c r="DK996" s="5"/>
      <c r="DL996" s="5"/>
      <c r="DM996" s="5"/>
      <c r="DN996" s="5"/>
      <c r="DO996" s="5"/>
      <c r="DP996" s="5"/>
      <c r="DQ996" s="5"/>
      <c r="DR996" s="5"/>
      <c r="DS996" s="5"/>
      <c r="DT996" s="5"/>
      <c r="DU996" s="5"/>
      <c r="DV996" s="5"/>
      <c r="DW996" s="5"/>
      <c r="DX996" s="5"/>
      <c r="DY996" s="5"/>
      <c r="DZ996" s="5"/>
      <c r="EA996" s="5"/>
      <c r="EB996" s="5"/>
      <c r="EC996" s="5"/>
      <c r="ED996" s="5"/>
      <c r="EE996" s="5"/>
      <c r="EF996" s="5"/>
      <c r="EG996" s="5"/>
      <c r="EH996" s="5"/>
      <c r="EI996" s="5"/>
      <c r="EJ996" s="5"/>
      <c r="EK996" s="5"/>
      <c r="EL996" s="5"/>
      <c r="EM996" s="5"/>
      <c r="EN996" s="5"/>
      <c r="EO996" s="5"/>
      <c r="EP996" s="5"/>
      <c r="EQ996" s="5"/>
      <c r="ER996" s="5"/>
      <c r="ES996" s="5"/>
      <c r="ET996" s="5"/>
      <c r="EU996" s="5"/>
      <c r="EV996" s="5"/>
      <c r="EW996" s="5"/>
      <c r="EX996" s="5"/>
      <c r="EY996" s="5"/>
      <c r="EZ996" s="5"/>
      <c r="FA996" s="5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5"/>
      <c r="CT997" s="5"/>
      <c r="CU997" s="5"/>
      <c r="CV997" s="5"/>
      <c r="CW997" s="5"/>
      <c r="CX997" s="5"/>
      <c r="CY997" s="5"/>
      <c r="CZ997" s="5"/>
      <c r="DA997" s="5"/>
      <c r="DB997" s="5"/>
      <c r="DC997" s="5"/>
      <c r="DD997" s="5"/>
      <c r="DE997" s="5"/>
      <c r="DF997" s="5"/>
      <c r="DG997" s="5"/>
      <c r="DH997" s="5"/>
      <c r="DI997" s="5"/>
      <c r="DJ997" s="5"/>
      <c r="DK997" s="5"/>
      <c r="DL997" s="5"/>
      <c r="DM997" s="5"/>
      <c r="DN997" s="5"/>
      <c r="DO997" s="5"/>
      <c r="DP997" s="5"/>
      <c r="DQ997" s="5"/>
      <c r="DR997" s="5"/>
      <c r="DS997" s="5"/>
      <c r="DT997" s="5"/>
      <c r="DU997" s="5"/>
      <c r="DV997" s="5"/>
      <c r="DW997" s="5"/>
      <c r="DX997" s="5"/>
      <c r="DY997" s="5"/>
      <c r="DZ997" s="5"/>
      <c r="EA997" s="5"/>
      <c r="EB997" s="5"/>
      <c r="EC997" s="5"/>
      <c r="ED997" s="5"/>
      <c r="EE997" s="5"/>
      <c r="EF997" s="5"/>
      <c r="EG997" s="5"/>
      <c r="EH997" s="5"/>
      <c r="EI997" s="5"/>
      <c r="EJ997" s="5"/>
      <c r="EK997" s="5"/>
      <c r="EL997" s="5"/>
      <c r="EM997" s="5"/>
      <c r="EN997" s="5"/>
      <c r="EO997" s="5"/>
      <c r="EP997" s="5"/>
      <c r="EQ997" s="5"/>
      <c r="ER997" s="5"/>
      <c r="ES997" s="5"/>
      <c r="ET997" s="5"/>
      <c r="EU997" s="5"/>
      <c r="EV997" s="5"/>
      <c r="EW997" s="5"/>
      <c r="EX997" s="5"/>
      <c r="EY997" s="5"/>
      <c r="EZ997" s="5"/>
      <c r="FA997" s="5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5"/>
      <c r="CT998" s="5"/>
      <c r="CU998" s="5"/>
      <c r="CV998" s="5"/>
      <c r="CW998" s="5"/>
      <c r="CX998" s="5"/>
      <c r="CY998" s="5"/>
      <c r="CZ998" s="5"/>
      <c r="DA998" s="5"/>
      <c r="DB998" s="5"/>
      <c r="DC998" s="5"/>
      <c r="DD998" s="5"/>
      <c r="DE998" s="5"/>
      <c r="DF998" s="5"/>
      <c r="DG998" s="5"/>
      <c r="DH998" s="5"/>
      <c r="DI998" s="5"/>
      <c r="DJ998" s="5"/>
      <c r="DK998" s="5"/>
      <c r="DL998" s="5"/>
      <c r="DM998" s="5"/>
      <c r="DN998" s="5"/>
      <c r="DO998" s="5"/>
      <c r="DP998" s="5"/>
      <c r="DQ998" s="5"/>
      <c r="DR998" s="5"/>
      <c r="DS998" s="5"/>
      <c r="DT998" s="5"/>
      <c r="DU998" s="5"/>
      <c r="DV998" s="5"/>
      <c r="DW998" s="5"/>
      <c r="DX998" s="5"/>
      <c r="DY998" s="5"/>
      <c r="DZ998" s="5"/>
      <c r="EA998" s="5"/>
      <c r="EB998" s="5"/>
      <c r="EC998" s="5"/>
      <c r="ED998" s="5"/>
      <c r="EE998" s="5"/>
      <c r="EF998" s="5"/>
      <c r="EG998" s="5"/>
      <c r="EH998" s="5"/>
      <c r="EI998" s="5"/>
      <c r="EJ998" s="5"/>
      <c r="EK998" s="5"/>
      <c r="EL998" s="5"/>
      <c r="EM998" s="5"/>
      <c r="EN998" s="5"/>
      <c r="EO998" s="5"/>
      <c r="EP998" s="5"/>
      <c r="EQ998" s="5"/>
      <c r="ER998" s="5"/>
      <c r="ES998" s="5"/>
      <c r="ET998" s="5"/>
      <c r="EU998" s="5"/>
      <c r="EV998" s="5"/>
      <c r="EW998" s="5"/>
      <c r="EX998" s="5"/>
      <c r="EY998" s="5"/>
      <c r="EZ998" s="5"/>
      <c r="FA998" s="5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5"/>
      <c r="CT999" s="5"/>
      <c r="CU999" s="5"/>
      <c r="CV999" s="5"/>
      <c r="CW999" s="5"/>
      <c r="CX999" s="5"/>
      <c r="CY999" s="5"/>
      <c r="CZ999" s="5"/>
      <c r="DA999" s="5"/>
      <c r="DB999" s="5"/>
      <c r="DC999" s="5"/>
      <c r="DD999" s="5"/>
      <c r="DE999" s="5"/>
      <c r="DF999" s="5"/>
      <c r="DG999" s="5"/>
      <c r="DH999" s="5"/>
      <c r="DI999" s="5"/>
      <c r="DJ999" s="5"/>
      <c r="DK999" s="5"/>
      <c r="DL999" s="5"/>
      <c r="DM999" s="5"/>
      <c r="DN999" s="5"/>
      <c r="DO999" s="5"/>
      <c r="DP999" s="5"/>
      <c r="DQ999" s="5"/>
      <c r="DR999" s="5"/>
      <c r="DS999" s="5"/>
      <c r="DT999" s="5"/>
      <c r="DU999" s="5"/>
      <c r="DV999" s="5"/>
      <c r="DW999" s="5"/>
      <c r="DX999" s="5"/>
      <c r="DY999" s="5"/>
      <c r="DZ999" s="5"/>
      <c r="EA999" s="5"/>
      <c r="EB999" s="5"/>
      <c r="EC999" s="5"/>
      <c r="ED999" s="5"/>
      <c r="EE999" s="5"/>
      <c r="EF999" s="5"/>
      <c r="EG999" s="5"/>
      <c r="EH999" s="5"/>
      <c r="EI999" s="5"/>
      <c r="EJ999" s="5"/>
      <c r="EK999" s="5"/>
      <c r="EL999" s="5"/>
      <c r="EM999" s="5"/>
      <c r="EN999" s="5"/>
      <c r="EO999" s="5"/>
      <c r="EP999" s="5"/>
      <c r="EQ999" s="5"/>
      <c r="ER999" s="5"/>
      <c r="ES999" s="5"/>
      <c r="ET999" s="5"/>
      <c r="EU999" s="5"/>
      <c r="EV999" s="5"/>
      <c r="EW999" s="5"/>
      <c r="EX999" s="5"/>
      <c r="EY999" s="5"/>
      <c r="EZ999" s="5"/>
      <c r="FA999" s="5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5"/>
      <c r="CT1000" s="5"/>
      <c r="CU1000" s="5"/>
      <c r="CV1000" s="5"/>
      <c r="CW1000" s="5"/>
      <c r="CX1000" s="5"/>
      <c r="CY1000" s="5"/>
      <c r="CZ1000" s="5"/>
      <c r="DA1000" s="5"/>
      <c r="DB1000" s="5"/>
      <c r="DC1000" s="5"/>
      <c r="DD1000" s="5"/>
      <c r="DE1000" s="5"/>
      <c r="DF1000" s="5"/>
      <c r="DG1000" s="5"/>
      <c r="DH1000" s="5"/>
      <c r="DI1000" s="5"/>
      <c r="DJ1000" s="5"/>
      <c r="DK1000" s="5"/>
      <c r="DL1000" s="5"/>
      <c r="DM1000" s="5"/>
      <c r="DN1000" s="5"/>
      <c r="DO1000" s="5"/>
      <c r="DP1000" s="5"/>
      <c r="DQ1000" s="5"/>
      <c r="DR1000" s="5"/>
      <c r="DS1000" s="5"/>
      <c r="DT1000" s="5"/>
      <c r="DU1000" s="5"/>
      <c r="DV1000" s="5"/>
      <c r="DW1000" s="5"/>
      <c r="DX1000" s="5"/>
      <c r="DY1000" s="5"/>
      <c r="DZ1000" s="5"/>
      <c r="EA1000" s="5"/>
      <c r="EB1000" s="5"/>
      <c r="EC1000" s="5"/>
      <c r="ED1000" s="5"/>
      <c r="EE1000" s="5"/>
      <c r="EF1000" s="5"/>
      <c r="EG1000" s="5"/>
      <c r="EH1000" s="5"/>
      <c r="EI1000" s="5"/>
      <c r="EJ1000" s="5"/>
      <c r="EK1000" s="5"/>
      <c r="EL1000" s="5"/>
      <c r="EM1000" s="5"/>
      <c r="EN1000" s="5"/>
      <c r="EO1000" s="5"/>
      <c r="EP1000" s="5"/>
      <c r="EQ1000" s="5"/>
      <c r="ER1000" s="5"/>
      <c r="ES1000" s="5"/>
      <c r="ET1000" s="5"/>
      <c r="EU1000" s="5"/>
      <c r="EV1000" s="5"/>
      <c r="EW1000" s="5"/>
      <c r="EX1000" s="5"/>
      <c r="EY1000" s="5"/>
      <c r="EZ1000" s="5"/>
      <c r="FA1000" s="5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</row>
    <row r="1001" ht="13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5"/>
      <c r="CT1001" s="5"/>
      <c r="CU1001" s="5"/>
      <c r="CV1001" s="5"/>
      <c r="CW1001" s="5"/>
      <c r="CX1001" s="5"/>
      <c r="CY1001" s="5"/>
      <c r="CZ1001" s="5"/>
      <c r="DA1001" s="5"/>
      <c r="DB1001" s="5"/>
      <c r="DC1001" s="5"/>
      <c r="DD1001" s="5"/>
      <c r="DE1001" s="5"/>
      <c r="DF1001" s="5"/>
      <c r="DG1001" s="5"/>
      <c r="DH1001" s="5"/>
      <c r="DI1001" s="5"/>
      <c r="DJ1001" s="5"/>
      <c r="DK1001" s="5"/>
      <c r="DL1001" s="5"/>
      <c r="DM1001" s="5"/>
      <c r="DN1001" s="5"/>
      <c r="DO1001" s="5"/>
      <c r="DP1001" s="5"/>
      <c r="DQ1001" s="5"/>
      <c r="DR1001" s="5"/>
      <c r="DS1001" s="5"/>
      <c r="DT1001" s="5"/>
      <c r="DU1001" s="5"/>
      <c r="DV1001" s="5"/>
      <c r="DW1001" s="5"/>
      <c r="DX1001" s="5"/>
      <c r="DY1001" s="5"/>
      <c r="DZ1001" s="5"/>
      <c r="EA1001" s="5"/>
      <c r="EB1001" s="5"/>
      <c r="EC1001" s="5"/>
      <c r="ED1001" s="5"/>
      <c r="EE1001" s="5"/>
      <c r="EF1001" s="5"/>
      <c r="EG1001" s="5"/>
      <c r="EH1001" s="5"/>
      <c r="EI1001" s="5"/>
      <c r="EJ1001" s="5"/>
      <c r="EK1001" s="5"/>
      <c r="EL1001" s="5"/>
      <c r="EM1001" s="5"/>
      <c r="EN1001" s="5"/>
      <c r="EO1001" s="5"/>
      <c r="EP1001" s="5"/>
      <c r="EQ1001" s="5"/>
      <c r="ER1001" s="5"/>
      <c r="ES1001" s="5"/>
      <c r="ET1001" s="5"/>
      <c r="EU1001" s="5"/>
      <c r="EV1001" s="5"/>
      <c r="EW1001" s="5"/>
      <c r="EX1001" s="5"/>
      <c r="EY1001" s="5"/>
      <c r="EZ1001" s="5"/>
      <c r="FA1001" s="5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</row>
    <row r="1002" ht="13.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5"/>
      <c r="CT1002" s="5"/>
      <c r="CU1002" s="5"/>
      <c r="CV1002" s="5"/>
      <c r="CW1002" s="5"/>
      <c r="CX1002" s="5"/>
      <c r="CY1002" s="5"/>
      <c r="CZ1002" s="5"/>
      <c r="DA1002" s="5"/>
      <c r="DB1002" s="5"/>
      <c r="DC1002" s="5"/>
      <c r="DD1002" s="5"/>
      <c r="DE1002" s="5"/>
      <c r="DF1002" s="5"/>
      <c r="DG1002" s="5"/>
      <c r="DH1002" s="5"/>
      <c r="DI1002" s="5"/>
      <c r="DJ1002" s="5"/>
      <c r="DK1002" s="5"/>
      <c r="DL1002" s="5"/>
      <c r="DM1002" s="5"/>
      <c r="DN1002" s="5"/>
      <c r="DO1002" s="5"/>
      <c r="DP1002" s="5"/>
      <c r="DQ1002" s="5"/>
      <c r="DR1002" s="5"/>
      <c r="DS1002" s="5"/>
      <c r="DT1002" s="5"/>
      <c r="DU1002" s="5"/>
      <c r="DV1002" s="5"/>
      <c r="DW1002" s="5"/>
      <c r="DX1002" s="5"/>
      <c r="DY1002" s="5"/>
      <c r="DZ1002" s="5"/>
      <c r="EA1002" s="5"/>
      <c r="EB1002" s="5"/>
      <c r="EC1002" s="5"/>
      <c r="ED1002" s="5"/>
      <c r="EE1002" s="5"/>
      <c r="EF1002" s="5"/>
      <c r="EG1002" s="5"/>
      <c r="EH1002" s="5"/>
      <c r="EI1002" s="5"/>
      <c r="EJ1002" s="5"/>
      <c r="EK1002" s="5"/>
      <c r="EL1002" s="5"/>
      <c r="EM1002" s="5"/>
      <c r="EN1002" s="5"/>
      <c r="EO1002" s="5"/>
      <c r="EP1002" s="5"/>
      <c r="EQ1002" s="5"/>
      <c r="ER1002" s="5"/>
      <c r="ES1002" s="5"/>
      <c r="ET1002" s="5"/>
      <c r="EU1002" s="5"/>
      <c r="EV1002" s="5"/>
      <c r="EW1002" s="5"/>
      <c r="EX1002" s="5"/>
      <c r="EY1002" s="5"/>
      <c r="EZ1002" s="5"/>
      <c r="FA1002" s="5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</row>
    <row r="1003" ht="13.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5"/>
      <c r="CT1003" s="5"/>
      <c r="CU1003" s="5"/>
      <c r="CV1003" s="5"/>
      <c r="CW1003" s="5"/>
      <c r="CX1003" s="5"/>
      <c r="CY1003" s="5"/>
      <c r="CZ1003" s="5"/>
      <c r="DA1003" s="5"/>
      <c r="DB1003" s="5"/>
      <c r="DC1003" s="5"/>
      <c r="DD1003" s="5"/>
      <c r="DE1003" s="5"/>
      <c r="DF1003" s="5"/>
      <c r="DG1003" s="5"/>
      <c r="DH1003" s="5"/>
      <c r="DI1003" s="5"/>
      <c r="DJ1003" s="5"/>
      <c r="DK1003" s="5"/>
      <c r="DL1003" s="5"/>
      <c r="DM1003" s="5"/>
      <c r="DN1003" s="5"/>
      <c r="DO1003" s="5"/>
      <c r="DP1003" s="5"/>
      <c r="DQ1003" s="5"/>
      <c r="DR1003" s="5"/>
      <c r="DS1003" s="5"/>
      <c r="DT1003" s="5"/>
      <c r="DU1003" s="5"/>
      <c r="DV1003" s="5"/>
      <c r="DW1003" s="5"/>
      <c r="DX1003" s="5"/>
      <c r="DY1003" s="5"/>
      <c r="DZ1003" s="5"/>
      <c r="EA1003" s="5"/>
      <c r="EB1003" s="5"/>
      <c r="EC1003" s="5"/>
      <c r="ED1003" s="5"/>
      <c r="EE1003" s="5"/>
      <c r="EF1003" s="5"/>
      <c r="EG1003" s="5"/>
      <c r="EH1003" s="5"/>
      <c r="EI1003" s="5"/>
      <c r="EJ1003" s="5"/>
      <c r="EK1003" s="5"/>
      <c r="EL1003" s="5"/>
      <c r="EM1003" s="5"/>
      <c r="EN1003" s="5"/>
      <c r="EO1003" s="5"/>
      <c r="EP1003" s="5"/>
      <c r="EQ1003" s="5"/>
      <c r="ER1003" s="5"/>
      <c r="ES1003" s="5"/>
      <c r="ET1003" s="5"/>
      <c r="EU1003" s="5"/>
      <c r="EV1003" s="5"/>
      <c r="EW1003" s="5"/>
      <c r="EX1003" s="5"/>
      <c r="EY1003" s="5"/>
      <c r="EZ1003" s="5"/>
      <c r="FA1003" s="5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</row>
    <row r="1004" ht="13.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5"/>
      <c r="CT1004" s="5"/>
      <c r="CU1004" s="5"/>
      <c r="CV1004" s="5"/>
      <c r="CW1004" s="5"/>
      <c r="CX1004" s="5"/>
      <c r="CY1004" s="5"/>
      <c r="CZ1004" s="5"/>
      <c r="DA1004" s="5"/>
      <c r="DB1004" s="5"/>
      <c r="DC1004" s="5"/>
      <c r="DD1004" s="5"/>
      <c r="DE1004" s="5"/>
      <c r="DF1004" s="5"/>
      <c r="DG1004" s="5"/>
      <c r="DH1004" s="5"/>
      <c r="DI1004" s="5"/>
      <c r="DJ1004" s="5"/>
      <c r="DK1004" s="5"/>
      <c r="DL1004" s="5"/>
      <c r="DM1004" s="5"/>
      <c r="DN1004" s="5"/>
      <c r="DO1004" s="5"/>
      <c r="DP1004" s="5"/>
      <c r="DQ1004" s="5"/>
      <c r="DR1004" s="5"/>
      <c r="DS1004" s="5"/>
      <c r="DT1004" s="5"/>
      <c r="DU1004" s="5"/>
      <c r="DV1004" s="5"/>
      <c r="DW1004" s="5"/>
      <c r="DX1004" s="5"/>
      <c r="DY1004" s="5"/>
      <c r="DZ1004" s="5"/>
      <c r="EA1004" s="5"/>
      <c r="EB1004" s="5"/>
      <c r="EC1004" s="5"/>
      <c r="ED1004" s="5"/>
      <c r="EE1004" s="5"/>
      <c r="EF1004" s="5"/>
      <c r="EG1004" s="5"/>
      <c r="EH1004" s="5"/>
      <c r="EI1004" s="5"/>
      <c r="EJ1004" s="5"/>
      <c r="EK1004" s="5"/>
      <c r="EL1004" s="5"/>
      <c r="EM1004" s="5"/>
      <c r="EN1004" s="5"/>
      <c r="EO1004" s="5"/>
      <c r="EP1004" s="5"/>
      <c r="EQ1004" s="5"/>
      <c r="ER1004" s="5"/>
      <c r="ES1004" s="5"/>
      <c r="ET1004" s="5"/>
      <c r="EU1004" s="5"/>
      <c r="EV1004" s="5"/>
      <c r="EW1004" s="5"/>
      <c r="EX1004" s="5"/>
      <c r="EY1004" s="5"/>
      <c r="EZ1004" s="5"/>
      <c r="FA1004" s="5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</row>
    <row r="1005" ht="13.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5"/>
      <c r="CT1005" s="5"/>
      <c r="CU1005" s="5"/>
      <c r="CV1005" s="5"/>
      <c r="CW1005" s="5"/>
      <c r="CX1005" s="5"/>
      <c r="CY1005" s="5"/>
      <c r="CZ1005" s="5"/>
      <c r="DA1005" s="5"/>
      <c r="DB1005" s="5"/>
      <c r="DC1005" s="5"/>
      <c r="DD1005" s="5"/>
      <c r="DE1005" s="5"/>
      <c r="DF1005" s="5"/>
      <c r="DG1005" s="5"/>
      <c r="DH1005" s="5"/>
      <c r="DI1005" s="5"/>
      <c r="DJ1005" s="5"/>
      <c r="DK1005" s="5"/>
      <c r="DL1005" s="5"/>
      <c r="DM1005" s="5"/>
      <c r="DN1005" s="5"/>
      <c r="DO1005" s="5"/>
      <c r="DP1005" s="5"/>
      <c r="DQ1005" s="5"/>
      <c r="DR1005" s="5"/>
      <c r="DS1005" s="5"/>
      <c r="DT1005" s="5"/>
      <c r="DU1005" s="5"/>
      <c r="DV1005" s="5"/>
      <c r="DW1005" s="5"/>
      <c r="DX1005" s="5"/>
      <c r="DY1005" s="5"/>
      <c r="DZ1005" s="5"/>
      <c r="EA1005" s="5"/>
      <c r="EB1005" s="5"/>
      <c r="EC1005" s="5"/>
      <c r="ED1005" s="5"/>
      <c r="EE1005" s="5"/>
      <c r="EF1005" s="5"/>
      <c r="EG1005" s="5"/>
      <c r="EH1005" s="5"/>
      <c r="EI1005" s="5"/>
      <c r="EJ1005" s="5"/>
      <c r="EK1005" s="5"/>
      <c r="EL1005" s="5"/>
      <c r="EM1005" s="5"/>
      <c r="EN1005" s="5"/>
      <c r="EO1005" s="5"/>
      <c r="EP1005" s="5"/>
      <c r="EQ1005" s="5"/>
      <c r="ER1005" s="5"/>
      <c r="ES1005" s="5"/>
      <c r="ET1005" s="5"/>
      <c r="EU1005" s="5"/>
      <c r="EV1005" s="5"/>
      <c r="EW1005" s="5"/>
      <c r="EX1005" s="5"/>
      <c r="EY1005" s="5"/>
      <c r="EZ1005" s="5"/>
      <c r="FA1005" s="5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</row>
    <row r="1006" ht="13.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5"/>
      <c r="CT1006" s="5"/>
      <c r="CU1006" s="5"/>
      <c r="CV1006" s="5"/>
      <c r="CW1006" s="5"/>
      <c r="CX1006" s="5"/>
      <c r="CY1006" s="5"/>
      <c r="CZ1006" s="5"/>
      <c r="DA1006" s="5"/>
      <c r="DB1006" s="5"/>
      <c r="DC1006" s="5"/>
      <c r="DD1006" s="5"/>
      <c r="DE1006" s="5"/>
      <c r="DF1006" s="5"/>
      <c r="DG1006" s="5"/>
      <c r="DH1006" s="5"/>
      <c r="DI1006" s="5"/>
      <c r="DJ1006" s="5"/>
      <c r="DK1006" s="5"/>
      <c r="DL1006" s="5"/>
      <c r="DM1006" s="5"/>
      <c r="DN1006" s="5"/>
      <c r="DO1006" s="5"/>
      <c r="DP1006" s="5"/>
      <c r="DQ1006" s="5"/>
      <c r="DR1006" s="5"/>
      <c r="DS1006" s="5"/>
      <c r="DT1006" s="5"/>
      <c r="DU1006" s="5"/>
      <c r="DV1006" s="5"/>
      <c r="DW1006" s="5"/>
      <c r="DX1006" s="5"/>
      <c r="DY1006" s="5"/>
      <c r="DZ1006" s="5"/>
      <c r="EA1006" s="5"/>
      <c r="EB1006" s="5"/>
      <c r="EC1006" s="5"/>
      <c r="ED1006" s="5"/>
      <c r="EE1006" s="5"/>
      <c r="EF1006" s="5"/>
      <c r="EG1006" s="5"/>
      <c r="EH1006" s="5"/>
      <c r="EI1006" s="5"/>
      <c r="EJ1006" s="5"/>
      <c r="EK1006" s="5"/>
      <c r="EL1006" s="5"/>
      <c r="EM1006" s="5"/>
      <c r="EN1006" s="5"/>
      <c r="EO1006" s="5"/>
      <c r="EP1006" s="5"/>
      <c r="EQ1006" s="5"/>
      <c r="ER1006" s="5"/>
      <c r="ES1006" s="5"/>
      <c r="ET1006" s="5"/>
      <c r="EU1006" s="5"/>
      <c r="EV1006" s="5"/>
      <c r="EW1006" s="5"/>
      <c r="EX1006" s="5"/>
      <c r="EY1006" s="5"/>
      <c r="EZ1006" s="5"/>
      <c r="FA1006" s="5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</row>
    <row r="1007" ht="13.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5"/>
      <c r="CT1007" s="5"/>
      <c r="CU1007" s="5"/>
      <c r="CV1007" s="5"/>
      <c r="CW1007" s="5"/>
      <c r="CX1007" s="5"/>
      <c r="CY1007" s="5"/>
      <c r="CZ1007" s="5"/>
      <c r="DA1007" s="5"/>
      <c r="DB1007" s="5"/>
      <c r="DC1007" s="5"/>
      <c r="DD1007" s="5"/>
      <c r="DE1007" s="5"/>
      <c r="DF1007" s="5"/>
      <c r="DG1007" s="5"/>
      <c r="DH1007" s="5"/>
      <c r="DI1007" s="5"/>
      <c r="DJ1007" s="5"/>
      <c r="DK1007" s="5"/>
      <c r="DL1007" s="5"/>
      <c r="DM1007" s="5"/>
      <c r="DN1007" s="5"/>
      <c r="DO1007" s="5"/>
      <c r="DP1007" s="5"/>
      <c r="DQ1007" s="5"/>
      <c r="DR1007" s="5"/>
      <c r="DS1007" s="5"/>
      <c r="DT1007" s="5"/>
      <c r="DU1007" s="5"/>
      <c r="DV1007" s="5"/>
      <c r="DW1007" s="5"/>
      <c r="DX1007" s="5"/>
      <c r="DY1007" s="5"/>
      <c r="DZ1007" s="5"/>
      <c r="EA1007" s="5"/>
      <c r="EB1007" s="5"/>
      <c r="EC1007" s="5"/>
      <c r="ED1007" s="5"/>
      <c r="EE1007" s="5"/>
      <c r="EF1007" s="5"/>
      <c r="EG1007" s="5"/>
      <c r="EH1007" s="5"/>
      <c r="EI1007" s="5"/>
      <c r="EJ1007" s="5"/>
      <c r="EK1007" s="5"/>
      <c r="EL1007" s="5"/>
      <c r="EM1007" s="5"/>
      <c r="EN1007" s="5"/>
      <c r="EO1007" s="5"/>
      <c r="EP1007" s="5"/>
      <c r="EQ1007" s="5"/>
      <c r="ER1007" s="5"/>
      <c r="ES1007" s="5"/>
      <c r="ET1007" s="5"/>
      <c r="EU1007" s="5"/>
      <c r="EV1007" s="5"/>
      <c r="EW1007" s="5"/>
      <c r="EX1007" s="5"/>
      <c r="EY1007" s="5"/>
      <c r="EZ1007" s="5"/>
      <c r="FA1007" s="5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</row>
    <row r="1008" ht="13.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5"/>
      <c r="CT1008" s="5"/>
      <c r="CU1008" s="5"/>
      <c r="CV1008" s="5"/>
      <c r="CW1008" s="5"/>
      <c r="CX1008" s="5"/>
      <c r="CY1008" s="5"/>
      <c r="CZ1008" s="5"/>
      <c r="DA1008" s="5"/>
      <c r="DB1008" s="5"/>
      <c r="DC1008" s="5"/>
      <c r="DD1008" s="5"/>
      <c r="DE1008" s="5"/>
      <c r="DF1008" s="5"/>
      <c r="DG1008" s="5"/>
      <c r="DH1008" s="5"/>
      <c r="DI1008" s="5"/>
      <c r="DJ1008" s="5"/>
      <c r="DK1008" s="5"/>
      <c r="DL1008" s="5"/>
      <c r="DM1008" s="5"/>
      <c r="DN1008" s="5"/>
      <c r="DO1008" s="5"/>
      <c r="DP1008" s="5"/>
      <c r="DQ1008" s="5"/>
      <c r="DR1008" s="5"/>
      <c r="DS1008" s="5"/>
      <c r="DT1008" s="5"/>
      <c r="DU1008" s="5"/>
      <c r="DV1008" s="5"/>
      <c r="DW1008" s="5"/>
      <c r="DX1008" s="5"/>
      <c r="DY1008" s="5"/>
      <c r="DZ1008" s="5"/>
      <c r="EA1008" s="5"/>
      <c r="EB1008" s="5"/>
      <c r="EC1008" s="5"/>
      <c r="ED1008" s="5"/>
      <c r="EE1008" s="5"/>
      <c r="EF1008" s="5"/>
      <c r="EG1008" s="5"/>
      <c r="EH1008" s="5"/>
      <c r="EI1008" s="5"/>
      <c r="EJ1008" s="5"/>
      <c r="EK1008" s="5"/>
      <c r="EL1008" s="5"/>
      <c r="EM1008" s="5"/>
      <c r="EN1008" s="5"/>
      <c r="EO1008" s="5"/>
      <c r="EP1008" s="5"/>
      <c r="EQ1008" s="5"/>
      <c r="ER1008" s="5"/>
      <c r="ES1008" s="5"/>
      <c r="ET1008" s="5"/>
      <c r="EU1008" s="5"/>
      <c r="EV1008" s="5"/>
      <c r="EW1008" s="5"/>
      <c r="EX1008" s="5"/>
      <c r="EY1008" s="5"/>
      <c r="EZ1008" s="5"/>
      <c r="FA1008" s="5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</row>
  </sheetData>
  <mergeCells count="24">
    <mergeCell ref="E2:AI2"/>
    <mergeCell ref="AJ2:BM2"/>
    <mergeCell ref="BN2:CR2"/>
    <mergeCell ref="CS2:DV2"/>
    <mergeCell ref="DW2:FA2"/>
    <mergeCell ref="FB2:GF2"/>
    <mergeCell ref="GG2:HJ2"/>
    <mergeCell ref="CS34:DV34"/>
    <mergeCell ref="DW34:FA34"/>
    <mergeCell ref="FB34:GF34"/>
    <mergeCell ref="GG34:HJ34"/>
    <mergeCell ref="A36:A43"/>
    <mergeCell ref="A45:A57"/>
    <mergeCell ref="A59:A60"/>
    <mergeCell ref="B62:D62"/>
    <mergeCell ref="B63:D63"/>
    <mergeCell ref="B64:D64"/>
    <mergeCell ref="A4:A11"/>
    <mergeCell ref="A12:A25"/>
    <mergeCell ref="A26:A28"/>
    <mergeCell ref="B30:D30"/>
    <mergeCell ref="E34:AI34"/>
    <mergeCell ref="AJ34:BM34"/>
    <mergeCell ref="BN34:CR34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3">
      <c r="B3" s="82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34.86"/>
    <col customWidth="1" min="3" max="3" width="5.14"/>
    <col customWidth="1" min="4" max="4" width="5.86"/>
    <col customWidth="1" min="5" max="5" width="6.29"/>
    <col customWidth="1" min="6" max="6" width="5.14"/>
    <col customWidth="1" min="7" max="7" width="4.43"/>
    <col customWidth="1" min="8" max="8" width="5.57"/>
    <col customWidth="1" min="9" max="9" width="5.0"/>
    <col customWidth="1" min="10" max="10" width="4.71"/>
    <col customWidth="1" min="11" max="11" width="5.29"/>
    <col customWidth="1" min="12" max="13" width="5.14"/>
    <col customWidth="1" min="14" max="14" width="5.0"/>
    <col customWidth="1" min="15" max="15" width="4.86"/>
    <col customWidth="1" min="16" max="16" width="5.14"/>
    <col customWidth="1" min="17" max="18" width="5.71"/>
    <col customWidth="1" min="19" max="19" width="5.29"/>
    <col customWidth="1" min="20" max="21" width="5.0"/>
    <col customWidth="1" min="22" max="22" width="4.71"/>
    <col customWidth="1" min="23" max="23" width="5.14"/>
    <col customWidth="1" min="24" max="24" width="5.29"/>
    <col customWidth="1" min="25" max="31" width="5.14"/>
  </cols>
  <sheetData>
    <row r="1">
      <c r="A1" s="83"/>
      <c r="B1" s="84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</row>
    <row r="2">
      <c r="A2" s="86"/>
      <c r="B2" s="87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5"/>
      <c r="AB2" s="85"/>
      <c r="AC2" s="85"/>
      <c r="AD2" s="85"/>
      <c r="AE2" s="85"/>
    </row>
    <row r="3">
      <c r="A3" s="89" t="s">
        <v>58</v>
      </c>
      <c r="B3" s="90" t="s">
        <v>59</v>
      </c>
      <c r="C3" s="91" t="s">
        <v>60</v>
      </c>
      <c r="D3" s="92" t="s">
        <v>61</v>
      </c>
      <c r="E3" s="93" t="s">
        <v>33</v>
      </c>
      <c r="F3" s="94" t="s">
        <v>35</v>
      </c>
      <c r="G3" s="95"/>
      <c r="H3" s="95"/>
      <c r="I3" s="96"/>
      <c r="J3" s="94" t="s">
        <v>4</v>
      </c>
      <c r="K3" s="95"/>
      <c r="L3" s="95"/>
      <c r="M3" s="96"/>
      <c r="N3" s="94" t="s">
        <v>62</v>
      </c>
      <c r="O3" s="95"/>
      <c r="P3" s="95"/>
      <c r="Q3" s="95"/>
      <c r="R3" s="96"/>
      <c r="S3" s="94" t="s">
        <v>63</v>
      </c>
      <c r="T3" s="95"/>
      <c r="U3" s="95"/>
      <c r="V3" s="96"/>
      <c r="W3" s="94" t="s">
        <v>64</v>
      </c>
      <c r="X3" s="95"/>
      <c r="Y3" s="95"/>
      <c r="Z3" s="95"/>
      <c r="AA3" s="96"/>
      <c r="AB3" s="97" t="s">
        <v>65</v>
      </c>
      <c r="AC3" s="98"/>
      <c r="AD3" s="98"/>
      <c r="AE3" s="99"/>
    </row>
    <row r="4">
      <c r="A4" s="100"/>
      <c r="E4" s="101"/>
      <c r="F4" s="102" t="s">
        <v>66</v>
      </c>
      <c r="G4" s="102" t="s">
        <v>67</v>
      </c>
      <c r="H4" s="102" t="s">
        <v>68</v>
      </c>
      <c r="I4" s="102" t="s">
        <v>69</v>
      </c>
      <c r="J4" s="102" t="s">
        <v>70</v>
      </c>
      <c r="K4" s="103"/>
      <c r="L4" s="102" t="s">
        <v>71</v>
      </c>
      <c r="M4" s="102" t="s">
        <v>72</v>
      </c>
      <c r="N4" s="102" t="s">
        <v>73</v>
      </c>
      <c r="O4" s="102" t="s">
        <v>74</v>
      </c>
      <c r="P4" s="102" t="s">
        <v>75</v>
      </c>
      <c r="Q4" s="102" t="s">
        <v>76</v>
      </c>
      <c r="R4" s="102" t="s">
        <v>77</v>
      </c>
      <c r="S4" s="102" t="s">
        <v>78</v>
      </c>
      <c r="T4" s="102" t="s">
        <v>79</v>
      </c>
      <c r="U4" s="102" t="s">
        <v>80</v>
      </c>
      <c r="V4" s="102" t="s">
        <v>81</v>
      </c>
      <c r="W4" s="102" t="s">
        <v>82</v>
      </c>
      <c r="X4" s="102" t="s">
        <v>83</v>
      </c>
      <c r="Y4" s="102" t="s">
        <v>84</v>
      </c>
      <c r="Z4" s="102" t="s">
        <v>85</v>
      </c>
      <c r="AA4" s="102" t="s">
        <v>86</v>
      </c>
      <c r="AB4" s="102" t="s">
        <v>87</v>
      </c>
      <c r="AC4" s="102" t="s">
        <v>88</v>
      </c>
      <c r="AD4" s="102" t="s">
        <v>89</v>
      </c>
      <c r="AE4" s="102" t="s">
        <v>90</v>
      </c>
    </row>
    <row r="5">
      <c r="A5" s="104">
        <v>1.0</v>
      </c>
      <c r="B5" s="105" t="s">
        <v>10</v>
      </c>
      <c r="C5" s="106">
        <f>C6</f>
        <v>1</v>
      </c>
      <c r="D5" s="106">
        <v>1.0</v>
      </c>
      <c r="E5" s="107">
        <f>E6</f>
        <v>1</v>
      </c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</row>
    <row r="6">
      <c r="A6" s="108"/>
      <c r="B6" s="109" t="s">
        <v>11</v>
      </c>
      <c r="C6" s="110">
        <v>1.0</v>
      </c>
      <c r="D6" s="110">
        <v>1.0</v>
      </c>
      <c r="E6" s="111">
        <f>Task_Table!D34</f>
        <v>1</v>
      </c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</row>
    <row r="7">
      <c r="A7" s="104">
        <v>2.0</v>
      </c>
      <c r="B7" s="105" t="s">
        <v>12</v>
      </c>
      <c r="C7" s="107">
        <f>C8+C9+C10</f>
        <v>29</v>
      </c>
      <c r="D7" s="107">
        <v>15.0</v>
      </c>
      <c r="E7" s="107">
        <f>sum(E8:E10)</f>
        <v>7.3</v>
      </c>
      <c r="F7" s="85"/>
      <c r="G7" s="112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</row>
    <row r="8">
      <c r="A8" s="113"/>
      <c r="B8" s="114" t="s">
        <v>13</v>
      </c>
      <c r="C8" s="115">
        <v>6.0</v>
      </c>
      <c r="D8" s="115">
        <f>Sum(D9:D10)</f>
        <v>28</v>
      </c>
      <c r="E8" s="115">
        <f>Task_Table!D36</f>
        <v>3.5</v>
      </c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</row>
    <row r="9">
      <c r="A9" s="108"/>
      <c r="B9" s="109" t="s">
        <v>14</v>
      </c>
      <c r="C9" s="111">
        <v>6.0</v>
      </c>
      <c r="D9" s="111">
        <v>2.0</v>
      </c>
      <c r="E9" s="111">
        <f>Task_Table!D37</f>
        <v>1.9</v>
      </c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</row>
    <row r="10">
      <c r="A10" s="108"/>
      <c r="B10" s="116" t="s">
        <v>15</v>
      </c>
      <c r="C10" s="111">
        <v>17.0</v>
      </c>
      <c r="D10" s="111">
        <v>26.0</v>
      </c>
      <c r="E10" s="111">
        <f>Task_Table!D38</f>
        <v>1.9</v>
      </c>
      <c r="F10" s="85"/>
      <c r="G10" s="85"/>
      <c r="H10" s="85"/>
      <c r="I10" s="85"/>
      <c r="J10" s="85"/>
      <c r="K10" s="117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</row>
    <row r="11">
      <c r="A11" s="118">
        <v>3.0</v>
      </c>
      <c r="B11" s="105" t="s">
        <v>18</v>
      </c>
      <c r="C11" s="119">
        <f>C12+C13+C14</f>
        <v>49</v>
      </c>
      <c r="D11" s="119">
        <f>Sum(D12:D17)</f>
        <v>56</v>
      </c>
      <c r="E11" s="119">
        <f>sum(E12:E14)</f>
        <v>0</v>
      </c>
      <c r="F11" s="85"/>
      <c r="G11" s="85"/>
      <c r="H11" s="85"/>
      <c r="I11" s="85"/>
      <c r="J11" s="111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</row>
    <row r="12">
      <c r="A12" s="108"/>
      <c r="B12" s="109" t="s">
        <v>19</v>
      </c>
      <c r="C12" s="110">
        <v>1.0</v>
      </c>
      <c r="D12" s="110">
        <v>1.0</v>
      </c>
      <c r="E12" s="111">
        <f>Task_Table!D41</f>
        <v>0</v>
      </c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</row>
    <row r="13">
      <c r="A13" s="108"/>
      <c r="B13" s="109" t="s">
        <v>20</v>
      </c>
      <c r="C13" s="111">
        <v>45.0</v>
      </c>
      <c r="D13" s="111">
        <v>45.0</v>
      </c>
      <c r="E13" s="111">
        <f>Task_Table!D42</f>
        <v>0</v>
      </c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</row>
    <row r="14">
      <c r="A14" s="108"/>
      <c r="B14" s="109" t="s">
        <v>21</v>
      </c>
      <c r="C14" s="111">
        <v>3.0</v>
      </c>
      <c r="D14" s="111">
        <v>3.0</v>
      </c>
      <c r="E14" s="111">
        <f>Task_Table!D43</f>
        <v>0</v>
      </c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</row>
    <row r="15">
      <c r="A15" s="104">
        <v>4.0</v>
      </c>
      <c r="B15" s="105" t="s">
        <v>22</v>
      </c>
      <c r="C15" s="107">
        <f>C16+C17+C18</f>
        <v>16</v>
      </c>
      <c r="D15" s="107">
        <v>2.0</v>
      </c>
      <c r="E15" s="107">
        <f>sum(E16:E18)</f>
        <v>0</v>
      </c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</row>
    <row r="16">
      <c r="A16" s="108"/>
      <c r="B16" s="109" t="s">
        <v>23</v>
      </c>
      <c r="C16" s="111">
        <v>3.0</v>
      </c>
      <c r="D16" s="111">
        <v>3.0</v>
      </c>
      <c r="E16" s="111">
        <f>Task_Table!D45</f>
        <v>0</v>
      </c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</row>
    <row r="17">
      <c r="A17" s="120"/>
      <c r="B17" s="109" t="s">
        <v>24</v>
      </c>
      <c r="C17" s="115">
        <v>10.0</v>
      </c>
      <c r="D17" s="115">
        <v>2.0</v>
      </c>
      <c r="E17" s="115">
        <f>Task_Table!D46</f>
        <v>0</v>
      </c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</row>
    <row r="18">
      <c r="A18" s="120"/>
      <c r="B18" s="109" t="s">
        <v>25</v>
      </c>
      <c r="C18" s="115">
        <v>3.0</v>
      </c>
      <c r="D18" s="115">
        <f>Sum(D19:D20)</f>
        <v>7</v>
      </c>
      <c r="E18" s="121">
        <f>Task_Table!D47</f>
        <v>0</v>
      </c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</row>
    <row r="19">
      <c r="A19" s="104">
        <v>5.0</v>
      </c>
      <c r="B19" s="122" t="s">
        <v>28</v>
      </c>
      <c r="C19" s="106">
        <f>C20</f>
        <v>5</v>
      </c>
      <c r="D19" s="107">
        <v>2.0</v>
      </c>
      <c r="E19" s="107">
        <f>E20</f>
        <v>0</v>
      </c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</row>
    <row r="20">
      <c r="A20" s="108"/>
      <c r="B20" s="116" t="s">
        <v>91</v>
      </c>
      <c r="C20" s="110">
        <v>5.0</v>
      </c>
      <c r="D20" s="110">
        <v>5.0</v>
      </c>
      <c r="E20" s="111">
        <f>Task_Table!D50</f>
        <v>0</v>
      </c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</row>
    <row r="21">
      <c r="A21" s="123" t="s">
        <v>29</v>
      </c>
      <c r="B21" s="124"/>
      <c r="C21" s="125">
        <f>C5+C7+C11+C15+C19</f>
        <v>100</v>
      </c>
      <c r="D21" s="125" t="str">
        <f t="shared" ref="D21:E21" si="1">#REF!+D8+D11+D18+#REF!</f>
        <v>#REF!</v>
      </c>
      <c r="E21" s="126" t="str">
        <f t="shared" si="1"/>
        <v>#REF!</v>
      </c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</row>
    <row r="22">
      <c r="A22" s="83"/>
      <c r="B22" s="84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</row>
    <row r="23">
      <c r="A23" s="83"/>
      <c r="B23" s="84"/>
      <c r="C23" s="85"/>
      <c r="D23" s="85"/>
      <c r="E23" s="85"/>
      <c r="F23" s="127"/>
      <c r="G23" s="128"/>
      <c r="H23" s="128"/>
      <c r="I23" s="128"/>
      <c r="J23" s="128"/>
      <c r="K23" s="128"/>
      <c r="L23" s="129"/>
      <c r="M23" s="85"/>
      <c r="N23" s="85"/>
      <c r="O23" s="85" t="s">
        <v>92</v>
      </c>
      <c r="P23" s="85">
        <f>7-5.3</f>
        <v>1.7</v>
      </c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</row>
    <row r="24">
      <c r="A24" s="83"/>
      <c r="B24" s="84">
        <f>B23*3</f>
        <v>0</v>
      </c>
      <c r="C24" s="85"/>
      <c r="D24" s="85"/>
      <c r="E24" s="85"/>
      <c r="F24" s="130"/>
      <c r="G24" s="131"/>
      <c r="H24" s="132" t="s">
        <v>93</v>
      </c>
      <c r="I24" s="85"/>
      <c r="J24" s="85"/>
      <c r="K24" s="85"/>
      <c r="L24" s="133"/>
      <c r="M24" s="85"/>
      <c r="N24" s="85"/>
      <c r="O24" s="85" t="s">
        <v>94</v>
      </c>
      <c r="P24" s="85">
        <f>3-1.4</f>
        <v>1.6</v>
      </c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</row>
    <row r="25">
      <c r="A25" s="83"/>
      <c r="B25" s="84"/>
      <c r="C25" s="85"/>
      <c r="D25" s="85"/>
      <c r="E25" s="85"/>
      <c r="F25" s="130"/>
      <c r="G25" s="134"/>
      <c r="H25" s="132" t="s">
        <v>95</v>
      </c>
      <c r="I25" s="85"/>
      <c r="J25" s="85"/>
      <c r="K25" s="85"/>
      <c r="L25" s="133"/>
      <c r="M25" s="85"/>
      <c r="N25" s="85"/>
      <c r="O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</row>
    <row r="26">
      <c r="A26" s="83"/>
      <c r="B26" s="84"/>
      <c r="C26" s="85"/>
      <c r="D26" s="85"/>
      <c r="E26" s="85"/>
      <c r="F26" s="130"/>
      <c r="G26" s="135"/>
      <c r="H26" s="132" t="s">
        <v>96</v>
      </c>
      <c r="I26" s="85"/>
      <c r="J26" s="85"/>
      <c r="K26" s="85"/>
      <c r="L26" s="133"/>
      <c r="M26" s="85"/>
      <c r="N26" s="85"/>
      <c r="O26" s="85"/>
      <c r="P26" s="85">
        <f>P23+P24+P25</f>
        <v>3.3</v>
      </c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</row>
    <row r="27">
      <c r="A27" s="83"/>
      <c r="B27" s="84"/>
      <c r="C27" s="85"/>
      <c r="D27" s="85"/>
      <c r="E27" s="85"/>
      <c r="F27" s="130"/>
      <c r="G27" s="136"/>
      <c r="H27" s="132" t="s">
        <v>97</v>
      </c>
      <c r="I27" s="85"/>
      <c r="J27" s="85"/>
      <c r="K27" s="85"/>
      <c r="L27" s="133"/>
      <c r="M27" s="85"/>
      <c r="N27" s="85"/>
      <c r="O27" s="85"/>
      <c r="P27" s="85">
        <f>4.5-P26</f>
        <v>1.2</v>
      </c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</row>
    <row r="28">
      <c r="A28" s="83"/>
      <c r="B28" s="84"/>
      <c r="C28" s="85"/>
      <c r="D28" s="85"/>
      <c r="E28" s="85"/>
      <c r="F28" s="130"/>
      <c r="G28" s="137"/>
      <c r="H28" s="132" t="s">
        <v>98</v>
      </c>
      <c r="I28" s="85"/>
      <c r="J28" s="85"/>
      <c r="K28" s="85"/>
      <c r="L28" s="133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</row>
    <row r="29">
      <c r="A29" s="83"/>
      <c r="B29" s="84"/>
      <c r="C29" s="85"/>
      <c r="D29" s="85"/>
      <c r="E29" s="85"/>
      <c r="F29" s="130"/>
      <c r="G29" s="138"/>
      <c r="H29" s="85" t="s">
        <v>32</v>
      </c>
      <c r="I29" s="85"/>
      <c r="J29" s="85"/>
      <c r="K29" s="85"/>
      <c r="L29" s="133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</row>
    <row r="30">
      <c r="A30" s="83"/>
      <c r="B30" s="84"/>
      <c r="C30" s="85"/>
      <c r="D30" s="85"/>
      <c r="E30" s="85"/>
      <c r="F30" s="130"/>
      <c r="G30" s="117"/>
      <c r="H30" s="85" t="s">
        <v>99</v>
      </c>
      <c r="I30" s="85"/>
      <c r="J30" s="85"/>
      <c r="K30" s="85"/>
      <c r="L30" s="133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</row>
    <row r="31">
      <c r="A31" s="83"/>
      <c r="B31" s="84"/>
      <c r="C31" s="85"/>
      <c r="D31" s="85"/>
      <c r="E31" s="85"/>
      <c r="F31" s="139"/>
      <c r="G31" s="88"/>
      <c r="H31" s="88"/>
      <c r="I31" s="88"/>
      <c r="J31" s="88"/>
      <c r="K31" s="88"/>
      <c r="L31" s="140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</row>
    <row r="32">
      <c r="A32" s="83"/>
      <c r="B32" s="84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</row>
    <row r="33">
      <c r="A33" s="83"/>
      <c r="B33" s="84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</row>
    <row r="34">
      <c r="A34" s="83"/>
      <c r="B34" s="84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</row>
    <row r="35">
      <c r="A35" s="83"/>
      <c r="B35" s="84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</row>
    <row r="36">
      <c r="A36" s="83"/>
      <c r="B36" s="84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</row>
    <row r="37">
      <c r="A37" s="83"/>
      <c r="B37" s="84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</row>
    <row r="38">
      <c r="A38" s="83"/>
      <c r="B38" s="84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</row>
    <row r="39">
      <c r="A39" s="83"/>
      <c r="B39" s="84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</row>
    <row r="40">
      <c r="A40" s="83"/>
      <c r="B40" s="84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12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</row>
    <row r="41">
      <c r="A41" s="83"/>
      <c r="B41" s="84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</row>
    <row r="42">
      <c r="A42" s="83"/>
      <c r="B42" s="84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</row>
    <row r="43">
      <c r="A43" s="83"/>
      <c r="B43" s="84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  <c r="AE43" s="85"/>
    </row>
    <row r="44">
      <c r="A44" s="83"/>
      <c r="B44" s="84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  <c r="AE44" s="85"/>
    </row>
    <row r="45">
      <c r="A45" s="83"/>
      <c r="B45" s="84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  <c r="AE45" s="85"/>
    </row>
    <row r="46">
      <c r="A46" s="83"/>
      <c r="B46" s="84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  <c r="AD46" s="85"/>
      <c r="AE46" s="85"/>
    </row>
    <row r="47">
      <c r="A47" s="83"/>
      <c r="B47" s="84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5"/>
    </row>
    <row r="48">
      <c r="A48" s="83"/>
      <c r="B48" s="84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  <c r="AD48" s="85"/>
      <c r="AE48" s="85"/>
    </row>
    <row r="49">
      <c r="A49" s="83"/>
      <c r="B49" s="84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</row>
    <row r="50">
      <c r="A50" s="83"/>
      <c r="B50" s="84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  <c r="AE50" s="85"/>
    </row>
    <row r="51">
      <c r="A51" s="83"/>
      <c r="B51" s="84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</row>
    <row r="52">
      <c r="A52" s="83"/>
      <c r="B52" s="84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</row>
    <row r="53">
      <c r="A53" s="83"/>
      <c r="B53" s="84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</row>
    <row r="54">
      <c r="A54" s="83"/>
      <c r="B54" s="84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</row>
    <row r="55">
      <c r="A55" s="83"/>
      <c r="B55" s="84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</row>
    <row r="56">
      <c r="A56" s="83"/>
      <c r="B56" s="84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</row>
    <row r="57">
      <c r="A57" s="83"/>
      <c r="B57" s="84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</row>
    <row r="58">
      <c r="A58" s="83"/>
      <c r="B58" s="84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</row>
    <row r="59">
      <c r="A59" s="83"/>
      <c r="B59" s="84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</row>
    <row r="60">
      <c r="A60" s="83"/>
      <c r="B60" s="84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</row>
    <row r="61">
      <c r="A61" s="83"/>
      <c r="B61" s="84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</row>
    <row r="62">
      <c r="A62" s="83"/>
      <c r="B62" s="84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</row>
    <row r="63">
      <c r="A63" s="83"/>
      <c r="B63" s="84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</row>
    <row r="64">
      <c r="A64" s="83"/>
      <c r="B64" s="84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</row>
    <row r="65">
      <c r="A65" s="83"/>
      <c r="B65" s="84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</row>
    <row r="66">
      <c r="A66" s="83"/>
      <c r="B66" s="84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</row>
    <row r="67">
      <c r="A67" s="83"/>
      <c r="B67" s="84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</row>
    <row r="68">
      <c r="A68" s="83"/>
      <c r="B68" s="84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</row>
    <row r="69">
      <c r="A69" s="83"/>
      <c r="B69" s="84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</row>
    <row r="70">
      <c r="A70" s="83"/>
      <c r="B70" s="84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</row>
    <row r="71">
      <c r="A71" s="83"/>
      <c r="B71" s="84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</row>
    <row r="72">
      <c r="A72" s="83"/>
      <c r="B72" s="84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</row>
    <row r="73">
      <c r="A73" s="83"/>
      <c r="B73" s="84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</row>
    <row r="74">
      <c r="A74" s="83"/>
      <c r="B74" s="84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</row>
    <row r="75">
      <c r="A75" s="83"/>
      <c r="B75" s="84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</row>
    <row r="76">
      <c r="A76" s="83"/>
      <c r="B76" s="84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</row>
    <row r="77">
      <c r="A77" s="83"/>
      <c r="B77" s="84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</row>
    <row r="78">
      <c r="A78" s="83"/>
      <c r="B78" s="84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</row>
    <row r="79">
      <c r="A79" s="83"/>
      <c r="B79" s="84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</row>
    <row r="80">
      <c r="A80" s="83"/>
      <c r="B80" s="84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</row>
    <row r="81">
      <c r="A81" s="83"/>
      <c r="B81" s="84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</row>
    <row r="82">
      <c r="A82" s="83"/>
      <c r="B82" s="84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</row>
    <row r="83">
      <c r="A83" s="83"/>
      <c r="B83" s="84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</row>
    <row r="84">
      <c r="A84" s="83"/>
      <c r="B84" s="84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</row>
    <row r="85">
      <c r="A85" s="83"/>
      <c r="B85" s="84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</row>
    <row r="86">
      <c r="A86" s="83"/>
      <c r="B86" s="84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</row>
    <row r="87">
      <c r="A87" s="83"/>
      <c r="B87" s="84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</row>
    <row r="88">
      <c r="A88" s="83"/>
      <c r="B88" s="84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</row>
    <row r="89">
      <c r="A89" s="83"/>
      <c r="B89" s="84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</row>
    <row r="90">
      <c r="A90" s="83"/>
      <c r="B90" s="84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</row>
    <row r="91">
      <c r="A91" s="83"/>
      <c r="B91" s="84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</row>
    <row r="92">
      <c r="A92" s="83"/>
      <c r="B92" s="84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</row>
    <row r="93">
      <c r="A93" s="83"/>
      <c r="B93" s="84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</row>
    <row r="94">
      <c r="A94" s="83"/>
      <c r="B94" s="84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</row>
    <row r="95">
      <c r="A95" s="83"/>
      <c r="B95" s="84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</row>
    <row r="96">
      <c r="A96" s="83"/>
      <c r="B96" s="84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</row>
    <row r="97">
      <c r="A97" s="83"/>
      <c r="B97" s="84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</row>
    <row r="98">
      <c r="A98" s="83"/>
      <c r="B98" s="84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</row>
    <row r="99">
      <c r="A99" s="83"/>
      <c r="B99" s="84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</row>
    <row r="100">
      <c r="A100" s="83"/>
      <c r="B100" s="84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</row>
    <row r="101">
      <c r="A101" s="83"/>
      <c r="B101" s="84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</row>
    <row r="102">
      <c r="A102" s="83"/>
      <c r="B102" s="84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</row>
    <row r="103">
      <c r="A103" s="83"/>
      <c r="B103" s="84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</row>
    <row r="104">
      <c r="A104" s="83"/>
      <c r="B104" s="84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</row>
    <row r="105">
      <c r="A105" s="83"/>
      <c r="B105" s="84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</row>
    <row r="106">
      <c r="A106" s="83"/>
      <c r="B106" s="84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</row>
    <row r="107">
      <c r="A107" s="83"/>
      <c r="B107" s="84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</row>
    <row r="108">
      <c r="A108" s="83"/>
      <c r="B108" s="84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</row>
    <row r="109">
      <c r="A109" s="83"/>
      <c r="B109" s="84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</row>
    <row r="110">
      <c r="A110" s="83"/>
      <c r="B110" s="84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</row>
    <row r="111">
      <c r="A111" s="83"/>
      <c r="B111" s="84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</row>
    <row r="112">
      <c r="A112" s="83"/>
      <c r="B112" s="84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</row>
    <row r="113">
      <c r="A113" s="83"/>
      <c r="B113" s="84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</row>
    <row r="114">
      <c r="A114" s="83"/>
      <c r="B114" s="84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</row>
    <row r="115">
      <c r="A115" s="83"/>
      <c r="B115" s="84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</row>
    <row r="116">
      <c r="A116" s="83"/>
      <c r="B116" s="84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</row>
    <row r="117">
      <c r="A117" s="83"/>
      <c r="B117" s="84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</row>
    <row r="118">
      <c r="A118" s="83"/>
      <c r="B118" s="84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</row>
    <row r="119">
      <c r="A119" s="83"/>
      <c r="B119" s="84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</row>
    <row r="120">
      <c r="A120" s="83"/>
      <c r="B120" s="84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</row>
    <row r="121">
      <c r="A121" s="83"/>
      <c r="B121" s="84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</row>
    <row r="122">
      <c r="A122" s="83"/>
      <c r="B122" s="84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</row>
    <row r="123">
      <c r="A123" s="83"/>
      <c r="B123" s="84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</row>
    <row r="124">
      <c r="A124" s="83"/>
      <c r="B124" s="84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</row>
    <row r="125">
      <c r="A125" s="83"/>
      <c r="B125" s="84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</row>
    <row r="126">
      <c r="A126" s="83"/>
      <c r="B126" s="84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</row>
    <row r="127">
      <c r="A127" s="83"/>
      <c r="B127" s="84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</row>
    <row r="128">
      <c r="A128" s="83"/>
      <c r="B128" s="84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</row>
    <row r="129">
      <c r="A129" s="83"/>
      <c r="B129" s="84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</row>
    <row r="130">
      <c r="A130" s="83"/>
      <c r="B130" s="84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</row>
    <row r="131">
      <c r="A131" s="83"/>
      <c r="B131" s="84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</row>
    <row r="132">
      <c r="A132" s="83"/>
      <c r="B132" s="84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</row>
    <row r="133">
      <c r="A133" s="83"/>
      <c r="B133" s="84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</row>
    <row r="134">
      <c r="A134" s="83"/>
      <c r="B134" s="84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</row>
    <row r="135">
      <c r="A135" s="83"/>
      <c r="B135" s="84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</row>
    <row r="136">
      <c r="A136" s="83"/>
      <c r="B136" s="84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</row>
    <row r="137">
      <c r="A137" s="83"/>
      <c r="B137" s="84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</row>
    <row r="138">
      <c r="A138" s="83"/>
      <c r="B138" s="84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</row>
    <row r="139">
      <c r="A139" s="83"/>
      <c r="B139" s="84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</row>
    <row r="140">
      <c r="A140" s="83"/>
      <c r="B140" s="84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</row>
    <row r="141">
      <c r="A141" s="83"/>
      <c r="B141" s="84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</row>
    <row r="142">
      <c r="A142" s="83"/>
      <c r="B142" s="84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</row>
    <row r="143">
      <c r="A143" s="83"/>
      <c r="B143" s="84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</row>
    <row r="144">
      <c r="A144" s="83"/>
      <c r="B144" s="84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</row>
    <row r="145">
      <c r="A145" s="83"/>
      <c r="B145" s="84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</row>
    <row r="146">
      <c r="A146" s="83"/>
      <c r="B146" s="84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</row>
    <row r="147">
      <c r="A147" s="83"/>
      <c r="B147" s="84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</row>
    <row r="148">
      <c r="A148" s="83"/>
      <c r="B148" s="84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</row>
    <row r="149">
      <c r="A149" s="83"/>
      <c r="B149" s="84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</row>
    <row r="150">
      <c r="A150" s="83"/>
      <c r="B150" s="84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</row>
    <row r="151">
      <c r="A151" s="83"/>
      <c r="B151" s="84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</row>
    <row r="152">
      <c r="A152" s="83"/>
      <c r="B152" s="84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</row>
    <row r="153">
      <c r="A153" s="83"/>
      <c r="B153" s="84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</row>
    <row r="154">
      <c r="A154" s="83"/>
      <c r="B154" s="84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</row>
    <row r="155">
      <c r="A155" s="83"/>
      <c r="B155" s="84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</row>
    <row r="156">
      <c r="A156" s="83"/>
      <c r="B156" s="84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</row>
    <row r="157">
      <c r="A157" s="83"/>
      <c r="B157" s="84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</row>
    <row r="158">
      <c r="A158" s="83"/>
      <c r="B158" s="84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</row>
    <row r="159">
      <c r="A159" s="83"/>
      <c r="B159" s="84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</row>
    <row r="160">
      <c r="A160" s="83"/>
      <c r="B160" s="84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</row>
    <row r="161">
      <c r="A161" s="83"/>
      <c r="B161" s="84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</row>
    <row r="162">
      <c r="A162" s="83"/>
      <c r="B162" s="84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</row>
    <row r="163">
      <c r="A163" s="83"/>
      <c r="B163" s="84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</row>
    <row r="164">
      <c r="A164" s="83"/>
      <c r="B164" s="84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</row>
    <row r="165">
      <c r="A165" s="83"/>
      <c r="B165" s="84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</row>
    <row r="166">
      <c r="A166" s="83"/>
      <c r="B166" s="84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</row>
    <row r="167">
      <c r="A167" s="83"/>
      <c r="B167" s="84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</row>
    <row r="168">
      <c r="A168" s="83"/>
      <c r="B168" s="84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</row>
    <row r="169">
      <c r="A169" s="83"/>
      <c r="B169" s="84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</row>
    <row r="170">
      <c r="A170" s="83"/>
      <c r="B170" s="84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</row>
    <row r="171">
      <c r="A171" s="83"/>
      <c r="B171" s="84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</row>
    <row r="172">
      <c r="A172" s="83"/>
      <c r="B172" s="84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</row>
    <row r="173">
      <c r="A173" s="83"/>
      <c r="B173" s="84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</row>
    <row r="174">
      <c r="A174" s="83"/>
      <c r="B174" s="84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</row>
    <row r="175">
      <c r="A175" s="83"/>
      <c r="B175" s="84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</row>
    <row r="176">
      <c r="A176" s="83"/>
      <c r="B176" s="84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</row>
    <row r="177">
      <c r="A177" s="83"/>
      <c r="B177" s="84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</row>
    <row r="178">
      <c r="A178" s="83"/>
      <c r="B178" s="84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</row>
    <row r="179">
      <c r="A179" s="83"/>
      <c r="B179" s="84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</row>
    <row r="180">
      <c r="A180" s="83"/>
      <c r="B180" s="84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</row>
    <row r="181">
      <c r="A181" s="83"/>
      <c r="B181" s="84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</row>
    <row r="182">
      <c r="A182" s="83"/>
      <c r="B182" s="84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</row>
    <row r="183">
      <c r="A183" s="83"/>
      <c r="B183" s="84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</row>
    <row r="184">
      <c r="A184" s="83"/>
      <c r="B184" s="84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</row>
    <row r="185">
      <c r="A185" s="83"/>
      <c r="B185" s="84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</row>
    <row r="186">
      <c r="A186" s="83"/>
      <c r="B186" s="84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</row>
    <row r="187">
      <c r="A187" s="83"/>
      <c r="B187" s="84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</row>
    <row r="188">
      <c r="A188" s="83"/>
      <c r="B188" s="84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</row>
    <row r="189">
      <c r="A189" s="83"/>
      <c r="B189" s="84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</row>
    <row r="190">
      <c r="A190" s="83"/>
      <c r="B190" s="84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</row>
    <row r="191">
      <c r="A191" s="83"/>
      <c r="B191" s="84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</row>
    <row r="192">
      <c r="A192" s="83"/>
      <c r="B192" s="84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</row>
    <row r="193">
      <c r="A193" s="83"/>
      <c r="B193" s="84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</row>
    <row r="194">
      <c r="A194" s="83"/>
      <c r="B194" s="84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</row>
    <row r="195">
      <c r="A195" s="83"/>
      <c r="B195" s="84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</row>
    <row r="196">
      <c r="A196" s="83"/>
      <c r="B196" s="84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</row>
    <row r="197">
      <c r="A197" s="83"/>
      <c r="B197" s="84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</row>
    <row r="198">
      <c r="A198" s="83"/>
      <c r="B198" s="84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</row>
    <row r="199">
      <c r="A199" s="83"/>
      <c r="B199" s="84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</row>
    <row r="200">
      <c r="A200" s="83"/>
      <c r="B200" s="84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</row>
    <row r="201">
      <c r="A201" s="83"/>
      <c r="B201" s="84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</row>
    <row r="202">
      <c r="A202" s="83"/>
      <c r="B202" s="84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</row>
    <row r="203">
      <c r="A203" s="83"/>
      <c r="B203" s="84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</row>
    <row r="204">
      <c r="A204" s="83"/>
      <c r="B204" s="84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</row>
    <row r="205">
      <c r="A205" s="83"/>
      <c r="B205" s="84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</row>
    <row r="206">
      <c r="A206" s="83"/>
      <c r="B206" s="84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</row>
    <row r="207">
      <c r="A207" s="83"/>
      <c r="B207" s="84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</row>
    <row r="208">
      <c r="A208" s="83"/>
      <c r="B208" s="84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</row>
    <row r="209">
      <c r="A209" s="83"/>
      <c r="B209" s="84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</row>
    <row r="210">
      <c r="A210" s="83"/>
      <c r="B210" s="84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</row>
    <row r="211">
      <c r="A211" s="83"/>
      <c r="B211" s="84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</row>
    <row r="212">
      <c r="A212" s="83"/>
      <c r="B212" s="84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</row>
    <row r="213">
      <c r="A213" s="83"/>
      <c r="B213" s="84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</row>
    <row r="214">
      <c r="A214" s="83"/>
      <c r="B214" s="84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</row>
    <row r="215">
      <c r="A215" s="83"/>
      <c r="B215" s="84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</row>
    <row r="216">
      <c r="A216" s="83"/>
      <c r="B216" s="84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</row>
    <row r="217">
      <c r="A217" s="83"/>
      <c r="B217" s="84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</row>
    <row r="218">
      <c r="A218" s="83"/>
      <c r="B218" s="84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</row>
    <row r="219">
      <c r="A219" s="83"/>
      <c r="B219" s="84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</row>
    <row r="220">
      <c r="A220" s="83"/>
      <c r="B220" s="84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</row>
    <row r="221">
      <c r="A221" s="83"/>
      <c r="B221" s="84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</row>
    <row r="222">
      <c r="A222" s="83"/>
      <c r="B222" s="84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</row>
    <row r="223">
      <c r="A223" s="83"/>
      <c r="B223" s="84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</row>
    <row r="224">
      <c r="A224" s="83"/>
      <c r="B224" s="84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</row>
    <row r="225">
      <c r="A225" s="83"/>
      <c r="B225" s="84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</row>
    <row r="226">
      <c r="A226" s="83"/>
      <c r="B226" s="84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</row>
    <row r="227">
      <c r="A227" s="83"/>
      <c r="B227" s="84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</row>
    <row r="228">
      <c r="A228" s="83"/>
      <c r="B228" s="84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</row>
    <row r="229">
      <c r="A229" s="83"/>
      <c r="B229" s="84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</row>
    <row r="230">
      <c r="A230" s="83"/>
      <c r="B230" s="84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</row>
    <row r="231">
      <c r="A231" s="83"/>
      <c r="B231" s="84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</row>
    <row r="232">
      <c r="A232" s="83"/>
      <c r="B232" s="84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  <c r="AE232" s="85"/>
    </row>
    <row r="233">
      <c r="A233" s="83"/>
      <c r="B233" s="84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</row>
    <row r="234">
      <c r="A234" s="83"/>
      <c r="B234" s="84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  <c r="AE234" s="85"/>
    </row>
    <row r="235">
      <c r="A235" s="83"/>
      <c r="B235" s="84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</row>
    <row r="236">
      <c r="A236" s="83"/>
      <c r="B236" s="84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</row>
    <row r="237">
      <c r="A237" s="83"/>
      <c r="B237" s="84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</row>
    <row r="238">
      <c r="A238" s="83"/>
      <c r="B238" s="84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</row>
    <row r="239">
      <c r="A239" s="83"/>
      <c r="B239" s="84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</row>
    <row r="240">
      <c r="A240" s="83"/>
      <c r="B240" s="84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</row>
    <row r="241">
      <c r="A241" s="83"/>
      <c r="B241" s="84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  <c r="AE241" s="85"/>
    </row>
    <row r="242">
      <c r="A242" s="83"/>
      <c r="B242" s="84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</row>
    <row r="243">
      <c r="A243" s="83"/>
      <c r="B243" s="84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  <c r="AE243" s="85"/>
    </row>
    <row r="244">
      <c r="A244" s="83"/>
      <c r="B244" s="84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</row>
    <row r="245">
      <c r="A245" s="83"/>
      <c r="B245" s="84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</row>
    <row r="246">
      <c r="A246" s="83"/>
      <c r="B246" s="84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  <c r="AE246" s="85"/>
    </row>
    <row r="247">
      <c r="A247" s="83"/>
      <c r="B247" s="84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  <c r="AE247" s="85"/>
    </row>
    <row r="248">
      <c r="A248" s="83"/>
      <c r="B248" s="84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  <c r="AE248" s="85"/>
    </row>
    <row r="249">
      <c r="A249" s="83"/>
      <c r="B249" s="84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  <c r="AE249" s="85"/>
    </row>
    <row r="250">
      <c r="A250" s="83"/>
      <c r="B250" s="84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  <c r="AE250" s="85"/>
    </row>
    <row r="251">
      <c r="A251" s="83"/>
      <c r="B251" s="84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  <c r="AE251" s="85"/>
    </row>
    <row r="252">
      <c r="A252" s="83"/>
      <c r="B252" s="84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</row>
    <row r="253">
      <c r="A253" s="83"/>
      <c r="B253" s="84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  <c r="AE253" s="85"/>
    </row>
    <row r="254">
      <c r="A254" s="83"/>
      <c r="B254" s="84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  <c r="AE254" s="85"/>
    </row>
    <row r="255">
      <c r="A255" s="83"/>
      <c r="B255" s="84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  <c r="AE255" s="85"/>
    </row>
    <row r="256">
      <c r="A256" s="83"/>
      <c r="B256" s="84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  <c r="AE256" s="85"/>
    </row>
    <row r="257">
      <c r="A257" s="83"/>
      <c r="B257" s="84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</row>
    <row r="258">
      <c r="A258" s="83"/>
      <c r="B258" s="84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  <c r="AE258" s="85"/>
    </row>
    <row r="259">
      <c r="A259" s="83"/>
      <c r="B259" s="84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</row>
    <row r="260">
      <c r="A260" s="83"/>
      <c r="B260" s="84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</row>
    <row r="261">
      <c r="A261" s="83"/>
      <c r="B261" s="84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</row>
    <row r="262">
      <c r="A262" s="83"/>
      <c r="B262" s="84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</row>
    <row r="263">
      <c r="A263" s="83"/>
      <c r="B263" s="84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  <c r="AE263" s="85"/>
    </row>
    <row r="264">
      <c r="A264" s="83"/>
      <c r="B264" s="84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</row>
    <row r="265">
      <c r="A265" s="83"/>
      <c r="B265" s="84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  <c r="AE265" s="85"/>
    </row>
    <row r="266">
      <c r="A266" s="83"/>
      <c r="B266" s="84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  <c r="AE266" s="85"/>
    </row>
    <row r="267">
      <c r="A267" s="83"/>
      <c r="B267" s="84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  <c r="AE267" s="85"/>
    </row>
    <row r="268">
      <c r="A268" s="83"/>
      <c r="B268" s="84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  <c r="AE268" s="85"/>
    </row>
    <row r="269">
      <c r="A269" s="83"/>
      <c r="B269" s="84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</row>
    <row r="270">
      <c r="A270" s="83"/>
      <c r="B270" s="84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  <c r="AE270" s="85"/>
    </row>
    <row r="271">
      <c r="A271" s="83"/>
      <c r="B271" s="84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  <c r="AE271" s="85"/>
    </row>
    <row r="272">
      <c r="A272" s="83"/>
      <c r="B272" s="84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  <c r="AE272" s="85"/>
    </row>
    <row r="273">
      <c r="A273" s="83"/>
      <c r="B273" s="84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  <c r="AE273" s="85"/>
    </row>
    <row r="274">
      <c r="A274" s="83"/>
      <c r="B274" s="84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  <c r="AE274" s="85"/>
    </row>
    <row r="275">
      <c r="A275" s="83"/>
      <c r="B275" s="84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  <c r="AE275" s="85"/>
    </row>
    <row r="276">
      <c r="A276" s="83"/>
      <c r="B276" s="84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  <c r="AE276" s="85"/>
    </row>
    <row r="277">
      <c r="A277" s="83"/>
      <c r="B277" s="84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  <c r="AE277" s="85"/>
    </row>
    <row r="278">
      <c r="A278" s="83"/>
      <c r="B278" s="84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  <c r="AE278" s="85"/>
    </row>
    <row r="279">
      <c r="A279" s="83"/>
      <c r="B279" s="84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  <c r="AE279" s="85"/>
    </row>
    <row r="280">
      <c r="A280" s="83"/>
      <c r="B280" s="84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  <c r="AE280" s="85"/>
    </row>
    <row r="281">
      <c r="A281" s="83"/>
      <c r="B281" s="84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  <c r="AE281" s="85"/>
    </row>
    <row r="282">
      <c r="A282" s="83"/>
      <c r="B282" s="84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  <c r="AE282" s="85"/>
    </row>
    <row r="283">
      <c r="A283" s="83"/>
      <c r="B283" s="84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  <c r="AE283" s="85"/>
    </row>
    <row r="284">
      <c r="A284" s="83"/>
      <c r="B284" s="84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  <c r="AE284" s="85"/>
    </row>
    <row r="285">
      <c r="A285" s="83"/>
      <c r="B285" s="84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</row>
    <row r="286">
      <c r="A286" s="83"/>
      <c r="B286" s="84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  <c r="AE286" s="85"/>
    </row>
    <row r="287">
      <c r="A287" s="83"/>
      <c r="B287" s="84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  <c r="AE287" s="85"/>
    </row>
    <row r="288">
      <c r="A288" s="83"/>
      <c r="B288" s="84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  <c r="AE288" s="85"/>
    </row>
    <row r="289">
      <c r="A289" s="83"/>
      <c r="B289" s="84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  <c r="AE289" s="85"/>
    </row>
    <row r="290">
      <c r="A290" s="83"/>
      <c r="B290" s="84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  <c r="AE290" s="85"/>
    </row>
    <row r="291">
      <c r="A291" s="83"/>
      <c r="B291" s="84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  <c r="AE291" s="85"/>
    </row>
    <row r="292">
      <c r="A292" s="83"/>
      <c r="B292" s="84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  <c r="AE292" s="85"/>
    </row>
    <row r="293">
      <c r="A293" s="83"/>
      <c r="B293" s="84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  <c r="AE293" s="85"/>
    </row>
    <row r="294">
      <c r="A294" s="83"/>
      <c r="B294" s="84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</row>
    <row r="295">
      <c r="A295" s="83"/>
      <c r="B295" s="84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  <c r="AE295" s="85"/>
    </row>
    <row r="296">
      <c r="A296" s="83"/>
      <c r="B296" s="84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  <c r="AE296" s="85"/>
    </row>
    <row r="297">
      <c r="A297" s="83"/>
      <c r="B297" s="84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  <c r="AE297" s="85"/>
    </row>
    <row r="298">
      <c r="A298" s="83"/>
      <c r="B298" s="84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  <c r="AE298" s="85"/>
    </row>
    <row r="299">
      <c r="A299" s="83"/>
      <c r="B299" s="84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  <c r="AE299" s="85"/>
    </row>
    <row r="300">
      <c r="A300" s="83"/>
      <c r="B300" s="84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  <c r="AE300" s="85"/>
    </row>
    <row r="301">
      <c r="A301" s="83"/>
      <c r="B301" s="84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  <c r="AE301" s="85"/>
    </row>
    <row r="302">
      <c r="A302" s="83"/>
      <c r="B302" s="84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</row>
    <row r="303">
      <c r="A303" s="83"/>
      <c r="B303" s="84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  <c r="AE303" s="85"/>
    </row>
    <row r="304">
      <c r="A304" s="83"/>
      <c r="B304" s="84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  <c r="AE304" s="85"/>
    </row>
    <row r="305">
      <c r="A305" s="83"/>
      <c r="B305" s="84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  <c r="AE305" s="85"/>
    </row>
    <row r="306">
      <c r="A306" s="83"/>
      <c r="B306" s="84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</row>
    <row r="307">
      <c r="A307" s="83"/>
      <c r="B307" s="84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</row>
    <row r="308">
      <c r="A308" s="83"/>
      <c r="B308" s="84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  <c r="AD308" s="85"/>
      <c r="AE308" s="85"/>
    </row>
    <row r="309">
      <c r="A309" s="83"/>
      <c r="B309" s="84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  <c r="AD309" s="85"/>
      <c r="AE309" s="85"/>
    </row>
    <row r="310">
      <c r="A310" s="83"/>
      <c r="B310" s="84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  <c r="AD310" s="85"/>
      <c r="AE310" s="85"/>
    </row>
    <row r="311">
      <c r="A311" s="83"/>
      <c r="B311" s="84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  <c r="AD311" s="85"/>
      <c r="AE311" s="85"/>
    </row>
    <row r="312">
      <c r="A312" s="83"/>
      <c r="B312" s="84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  <c r="AD312" s="85"/>
      <c r="AE312" s="85"/>
    </row>
    <row r="313">
      <c r="A313" s="83"/>
      <c r="B313" s="84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  <c r="AD313" s="85"/>
      <c r="AE313" s="85"/>
    </row>
    <row r="314">
      <c r="A314" s="83"/>
      <c r="B314" s="84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  <c r="AE314" s="85"/>
    </row>
    <row r="315">
      <c r="A315" s="83"/>
      <c r="B315" s="84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  <c r="AE315" s="85"/>
    </row>
    <row r="316">
      <c r="A316" s="83"/>
      <c r="B316" s="84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  <c r="AE316" s="85"/>
    </row>
    <row r="317">
      <c r="A317" s="83"/>
      <c r="B317" s="84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  <c r="AE317" s="85"/>
    </row>
    <row r="318">
      <c r="A318" s="83"/>
      <c r="B318" s="84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  <c r="AD318" s="85"/>
      <c r="AE318" s="85"/>
    </row>
    <row r="319">
      <c r="A319" s="83"/>
      <c r="B319" s="84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5"/>
      <c r="AD319" s="85"/>
      <c r="AE319" s="85"/>
    </row>
    <row r="320">
      <c r="A320" s="83"/>
      <c r="B320" s="84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5"/>
      <c r="AD320" s="85"/>
      <c r="AE320" s="85"/>
    </row>
    <row r="321">
      <c r="A321" s="83"/>
      <c r="B321" s="84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  <c r="AD321" s="85"/>
      <c r="AE321" s="85"/>
    </row>
    <row r="322">
      <c r="A322" s="83"/>
      <c r="B322" s="84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  <c r="AD322" s="85"/>
      <c r="AE322" s="85"/>
    </row>
    <row r="323">
      <c r="A323" s="83"/>
      <c r="B323" s="84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5"/>
      <c r="AD323" s="85"/>
      <c r="AE323" s="85"/>
    </row>
    <row r="324">
      <c r="A324" s="83"/>
      <c r="B324" s="84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5"/>
      <c r="AD324" s="85"/>
      <c r="AE324" s="85"/>
    </row>
    <row r="325">
      <c r="A325" s="83"/>
      <c r="B325" s="84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  <c r="AD325" s="85"/>
      <c r="AE325" s="85"/>
    </row>
    <row r="326">
      <c r="A326" s="83"/>
      <c r="B326" s="84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  <c r="AD326" s="85"/>
      <c r="AE326" s="85"/>
    </row>
    <row r="327">
      <c r="A327" s="83"/>
      <c r="B327" s="84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  <c r="AD327" s="85"/>
      <c r="AE327" s="85"/>
    </row>
    <row r="328">
      <c r="A328" s="83"/>
      <c r="B328" s="84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  <c r="AD328" s="85"/>
      <c r="AE328" s="85"/>
    </row>
    <row r="329">
      <c r="A329" s="83"/>
      <c r="B329" s="84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5"/>
      <c r="AD329" s="85"/>
      <c r="AE329" s="85"/>
    </row>
    <row r="330">
      <c r="A330" s="83"/>
      <c r="B330" s="84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5"/>
      <c r="AD330" s="85"/>
      <c r="AE330" s="85"/>
    </row>
    <row r="331">
      <c r="A331" s="83"/>
      <c r="B331" s="84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  <c r="AC331" s="85"/>
      <c r="AD331" s="85"/>
      <c r="AE331" s="85"/>
    </row>
    <row r="332">
      <c r="A332" s="83"/>
      <c r="B332" s="84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  <c r="AD332" s="85"/>
      <c r="AE332" s="85"/>
    </row>
    <row r="333">
      <c r="A333" s="83"/>
      <c r="B333" s="84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  <c r="AD333" s="85"/>
      <c r="AE333" s="85"/>
    </row>
    <row r="334">
      <c r="A334" s="83"/>
      <c r="B334" s="84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  <c r="AD334" s="85"/>
      <c r="AE334" s="85"/>
    </row>
    <row r="335">
      <c r="A335" s="83"/>
      <c r="B335" s="84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5"/>
      <c r="AD335" s="85"/>
      <c r="AE335" s="85"/>
    </row>
    <row r="336">
      <c r="A336" s="83"/>
      <c r="B336" s="84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5"/>
      <c r="AD336" s="85"/>
      <c r="AE336" s="85"/>
    </row>
    <row r="337">
      <c r="A337" s="83"/>
      <c r="B337" s="84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5"/>
      <c r="AD337" s="85"/>
      <c r="AE337" s="85"/>
    </row>
    <row r="338">
      <c r="A338" s="83"/>
      <c r="B338" s="84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5"/>
      <c r="AD338" s="85"/>
      <c r="AE338" s="85"/>
    </row>
    <row r="339">
      <c r="A339" s="83"/>
      <c r="B339" s="84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  <c r="AD339" s="85"/>
      <c r="AE339" s="85"/>
    </row>
    <row r="340">
      <c r="A340" s="83"/>
      <c r="B340" s="84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  <c r="AD340" s="85"/>
      <c r="AE340" s="85"/>
    </row>
    <row r="341">
      <c r="A341" s="83"/>
      <c r="B341" s="84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  <c r="AD341" s="85"/>
      <c r="AE341" s="85"/>
    </row>
    <row r="342">
      <c r="A342" s="83"/>
      <c r="B342" s="84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  <c r="AD342" s="85"/>
      <c r="AE342" s="85"/>
    </row>
    <row r="343">
      <c r="A343" s="83"/>
      <c r="B343" s="84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  <c r="AD343" s="85"/>
      <c r="AE343" s="85"/>
    </row>
    <row r="344">
      <c r="A344" s="83"/>
      <c r="B344" s="84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  <c r="AD344" s="85"/>
      <c r="AE344" s="85"/>
    </row>
    <row r="345">
      <c r="A345" s="83"/>
      <c r="B345" s="84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</row>
    <row r="346">
      <c r="A346" s="83"/>
      <c r="B346" s="84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5"/>
      <c r="AD346" s="85"/>
      <c r="AE346" s="85"/>
    </row>
    <row r="347">
      <c r="A347" s="83"/>
      <c r="B347" s="84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  <c r="AD347" s="85"/>
      <c r="AE347" s="85"/>
    </row>
    <row r="348">
      <c r="A348" s="83"/>
      <c r="B348" s="84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  <c r="AD348" s="85"/>
      <c r="AE348" s="85"/>
    </row>
    <row r="349">
      <c r="A349" s="83"/>
      <c r="B349" s="84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  <c r="AD349" s="85"/>
      <c r="AE349" s="85"/>
    </row>
    <row r="350">
      <c r="A350" s="83"/>
      <c r="B350" s="84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  <c r="AD350" s="85"/>
      <c r="AE350" s="85"/>
    </row>
    <row r="351">
      <c r="A351" s="83"/>
      <c r="B351" s="84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  <c r="AD351" s="85"/>
      <c r="AE351" s="85"/>
    </row>
    <row r="352">
      <c r="A352" s="83"/>
      <c r="B352" s="84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5"/>
      <c r="AD352" s="85"/>
      <c r="AE352" s="85"/>
    </row>
    <row r="353">
      <c r="A353" s="83"/>
      <c r="B353" s="84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  <c r="AD353" s="85"/>
      <c r="AE353" s="85"/>
    </row>
    <row r="354">
      <c r="A354" s="83"/>
      <c r="B354" s="84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  <c r="AD354" s="85"/>
      <c r="AE354" s="85"/>
    </row>
    <row r="355">
      <c r="A355" s="83"/>
      <c r="B355" s="84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5"/>
      <c r="AD355" s="85"/>
      <c r="AE355" s="85"/>
    </row>
    <row r="356">
      <c r="A356" s="83"/>
      <c r="B356" s="84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  <c r="AD356" s="85"/>
      <c r="AE356" s="85"/>
    </row>
    <row r="357">
      <c r="A357" s="83"/>
      <c r="B357" s="84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5"/>
      <c r="AD357" s="85"/>
      <c r="AE357" s="85"/>
    </row>
    <row r="358">
      <c r="A358" s="83"/>
      <c r="B358" s="84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5"/>
      <c r="AD358" s="85"/>
      <c r="AE358" s="85"/>
    </row>
    <row r="359">
      <c r="A359" s="83"/>
      <c r="B359" s="84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5"/>
      <c r="AD359" s="85"/>
      <c r="AE359" s="85"/>
    </row>
    <row r="360">
      <c r="A360" s="83"/>
      <c r="B360" s="84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  <c r="AD360" s="85"/>
      <c r="AE360" s="85"/>
    </row>
    <row r="361">
      <c r="A361" s="83"/>
      <c r="B361" s="84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  <c r="AD361" s="85"/>
      <c r="AE361" s="85"/>
    </row>
    <row r="362">
      <c r="A362" s="83"/>
      <c r="B362" s="84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  <c r="AD362" s="85"/>
      <c r="AE362" s="85"/>
    </row>
    <row r="363">
      <c r="A363" s="83"/>
      <c r="B363" s="84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5"/>
      <c r="AD363" s="85"/>
      <c r="AE363" s="85"/>
    </row>
    <row r="364">
      <c r="A364" s="83"/>
      <c r="B364" s="84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5"/>
      <c r="AD364" s="85"/>
      <c r="AE364" s="85"/>
    </row>
    <row r="365">
      <c r="A365" s="83"/>
      <c r="B365" s="84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5"/>
      <c r="AD365" s="85"/>
      <c r="AE365" s="85"/>
    </row>
    <row r="366">
      <c r="A366" s="83"/>
      <c r="B366" s="84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  <c r="AD366" s="85"/>
      <c r="AE366" s="85"/>
    </row>
    <row r="367">
      <c r="A367" s="83"/>
      <c r="B367" s="84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  <c r="AD367" s="85"/>
      <c r="AE367" s="85"/>
    </row>
    <row r="368">
      <c r="A368" s="83"/>
      <c r="B368" s="84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  <c r="AD368" s="85"/>
      <c r="AE368" s="85"/>
    </row>
    <row r="369">
      <c r="A369" s="83"/>
      <c r="B369" s="84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  <c r="AD369" s="85"/>
      <c r="AE369" s="85"/>
    </row>
    <row r="370">
      <c r="A370" s="83"/>
      <c r="B370" s="84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5"/>
      <c r="AD370" s="85"/>
      <c r="AE370" s="85"/>
    </row>
    <row r="371">
      <c r="A371" s="83"/>
      <c r="B371" s="84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5"/>
      <c r="AD371" s="85"/>
      <c r="AE371" s="85"/>
    </row>
    <row r="372">
      <c r="A372" s="83"/>
      <c r="B372" s="84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5"/>
      <c r="AD372" s="85"/>
      <c r="AE372" s="85"/>
    </row>
    <row r="373">
      <c r="A373" s="83"/>
      <c r="B373" s="84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5"/>
      <c r="AD373" s="85"/>
      <c r="AE373" s="85"/>
    </row>
    <row r="374">
      <c r="A374" s="83"/>
      <c r="B374" s="84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  <c r="AD374" s="85"/>
      <c r="AE374" s="85"/>
    </row>
    <row r="375">
      <c r="A375" s="83"/>
      <c r="B375" s="84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5"/>
      <c r="AD375" s="85"/>
      <c r="AE375" s="85"/>
    </row>
    <row r="376">
      <c r="A376" s="83"/>
      <c r="B376" s="84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5"/>
      <c r="AD376" s="85"/>
      <c r="AE376" s="85"/>
    </row>
    <row r="377">
      <c r="A377" s="83"/>
      <c r="B377" s="84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  <c r="AC377" s="85"/>
      <c r="AD377" s="85"/>
      <c r="AE377" s="85"/>
    </row>
    <row r="378">
      <c r="A378" s="83"/>
      <c r="B378" s="84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  <c r="AC378" s="85"/>
      <c r="AD378" s="85"/>
      <c r="AE378" s="85"/>
    </row>
    <row r="379">
      <c r="A379" s="83"/>
      <c r="B379" s="84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  <c r="AC379" s="85"/>
      <c r="AD379" s="85"/>
      <c r="AE379" s="85"/>
    </row>
    <row r="380">
      <c r="A380" s="83"/>
      <c r="B380" s="84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5"/>
      <c r="AD380" s="85"/>
      <c r="AE380" s="85"/>
    </row>
    <row r="381">
      <c r="A381" s="83"/>
      <c r="B381" s="84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5"/>
      <c r="AD381" s="85"/>
      <c r="AE381" s="85"/>
    </row>
    <row r="382">
      <c r="A382" s="83"/>
      <c r="B382" s="84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5"/>
      <c r="AD382" s="85"/>
      <c r="AE382" s="85"/>
    </row>
    <row r="383">
      <c r="A383" s="83"/>
      <c r="B383" s="84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</row>
    <row r="384">
      <c r="A384" s="83"/>
      <c r="B384" s="84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  <c r="AC384" s="85"/>
      <c r="AD384" s="85"/>
      <c r="AE384" s="85"/>
    </row>
    <row r="385">
      <c r="A385" s="83"/>
      <c r="B385" s="84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  <c r="AC385" s="85"/>
      <c r="AD385" s="85"/>
      <c r="AE385" s="85"/>
    </row>
    <row r="386">
      <c r="A386" s="83"/>
      <c r="B386" s="84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  <c r="AB386" s="85"/>
      <c r="AC386" s="85"/>
      <c r="AD386" s="85"/>
      <c r="AE386" s="85"/>
    </row>
    <row r="387">
      <c r="A387" s="83"/>
      <c r="B387" s="84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  <c r="AC387" s="85"/>
      <c r="AD387" s="85"/>
      <c r="AE387" s="85"/>
    </row>
    <row r="388">
      <c r="A388" s="83"/>
      <c r="B388" s="84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  <c r="AC388" s="85"/>
      <c r="AD388" s="85"/>
      <c r="AE388" s="85"/>
    </row>
    <row r="389">
      <c r="A389" s="83"/>
      <c r="B389" s="84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5"/>
      <c r="AD389" s="85"/>
      <c r="AE389" s="85"/>
    </row>
    <row r="390">
      <c r="A390" s="83"/>
      <c r="B390" s="84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5"/>
      <c r="AD390" s="85"/>
      <c r="AE390" s="85"/>
    </row>
    <row r="391">
      <c r="A391" s="83"/>
      <c r="B391" s="84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5"/>
      <c r="AD391" s="85"/>
      <c r="AE391" s="85"/>
    </row>
    <row r="392">
      <c r="A392" s="83"/>
      <c r="B392" s="84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  <c r="AC392" s="85"/>
      <c r="AD392" s="85"/>
      <c r="AE392" s="85"/>
    </row>
    <row r="393">
      <c r="A393" s="83"/>
      <c r="B393" s="84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  <c r="AC393" s="85"/>
      <c r="AD393" s="85"/>
      <c r="AE393" s="85"/>
    </row>
    <row r="394">
      <c r="A394" s="83"/>
      <c r="B394" s="84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  <c r="AC394" s="85"/>
      <c r="AD394" s="85"/>
      <c r="AE394" s="85"/>
    </row>
    <row r="395">
      <c r="A395" s="83"/>
      <c r="B395" s="84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  <c r="AC395" s="85"/>
      <c r="AD395" s="85"/>
      <c r="AE395" s="85"/>
    </row>
    <row r="396">
      <c r="A396" s="83"/>
      <c r="B396" s="84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  <c r="AC396" s="85"/>
      <c r="AD396" s="85"/>
      <c r="AE396" s="85"/>
    </row>
    <row r="397">
      <c r="A397" s="83"/>
      <c r="B397" s="84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  <c r="AC397" s="85"/>
      <c r="AD397" s="85"/>
      <c r="AE397" s="85"/>
    </row>
    <row r="398">
      <c r="A398" s="83"/>
      <c r="B398" s="84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  <c r="AC398" s="85"/>
      <c r="AD398" s="85"/>
      <c r="AE398" s="85"/>
    </row>
    <row r="399">
      <c r="A399" s="83"/>
      <c r="B399" s="84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  <c r="AC399" s="85"/>
      <c r="AD399" s="85"/>
      <c r="AE399" s="85"/>
    </row>
    <row r="400">
      <c r="A400" s="83"/>
      <c r="B400" s="84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  <c r="AC400" s="85"/>
      <c r="AD400" s="85"/>
      <c r="AE400" s="85"/>
    </row>
    <row r="401">
      <c r="A401" s="83"/>
      <c r="B401" s="84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  <c r="AC401" s="85"/>
      <c r="AD401" s="85"/>
      <c r="AE401" s="85"/>
    </row>
    <row r="402">
      <c r="A402" s="83"/>
      <c r="B402" s="84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  <c r="AC402" s="85"/>
      <c r="AD402" s="85"/>
      <c r="AE402" s="85"/>
    </row>
    <row r="403">
      <c r="A403" s="83"/>
      <c r="B403" s="84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  <c r="AC403" s="85"/>
      <c r="AD403" s="85"/>
      <c r="AE403" s="85"/>
    </row>
    <row r="404">
      <c r="A404" s="83"/>
      <c r="B404" s="84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C404" s="85"/>
      <c r="AD404" s="85"/>
      <c r="AE404" s="85"/>
    </row>
    <row r="405">
      <c r="A405" s="83"/>
      <c r="B405" s="84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  <c r="AC405" s="85"/>
      <c r="AD405" s="85"/>
      <c r="AE405" s="85"/>
    </row>
    <row r="406">
      <c r="A406" s="83"/>
      <c r="B406" s="84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  <c r="AC406" s="85"/>
      <c r="AD406" s="85"/>
      <c r="AE406" s="85"/>
    </row>
    <row r="407">
      <c r="A407" s="83"/>
      <c r="B407" s="84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  <c r="AC407" s="85"/>
      <c r="AD407" s="85"/>
      <c r="AE407" s="85"/>
    </row>
    <row r="408">
      <c r="A408" s="83"/>
      <c r="B408" s="84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  <c r="AC408" s="85"/>
      <c r="AD408" s="85"/>
      <c r="AE408" s="85"/>
    </row>
    <row r="409">
      <c r="A409" s="83"/>
      <c r="B409" s="84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  <c r="AC409" s="85"/>
      <c r="AD409" s="85"/>
      <c r="AE409" s="85"/>
    </row>
    <row r="410">
      <c r="A410" s="83"/>
      <c r="B410" s="84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  <c r="AC410" s="85"/>
      <c r="AD410" s="85"/>
      <c r="AE410" s="85"/>
    </row>
    <row r="411">
      <c r="A411" s="83"/>
      <c r="B411" s="84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  <c r="AC411" s="85"/>
      <c r="AD411" s="85"/>
      <c r="AE411" s="85"/>
    </row>
    <row r="412">
      <c r="A412" s="83"/>
      <c r="B412" s="84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  <c r="AC412" s="85"/>
      <c r="AD412" s="85"/>
      <c r="AE412" s="85"/>
    </row>
    <row r="413">
      <c r="A413" s="83"/>
      <c r="B413" s="84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  <c r="AC413" s="85"/>
      <c r="AD413" s="85"/>
      <c r="AE413" s="85"/>
    </row>
    <row r="414">
      <c r="A414" s="83"/>
      <c r="B414" s="84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  <c r="AC414" s="85"/>
      <c r="AD414" s="85"/>
      <c r="AE414" s="85"/>
    </row>
    <row r="415">
      <c r="A415" s="83"/>
      <c r="B415" s="84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  <c r="AC415" s="85"/>
      <c r="AD415" s="85"/>
      <c r="AE415" s="85"/>
    </row>
    <row r="416">
      <c r="A416" s="83"/>
      <c r="B416" s="84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5"/>
      <c r="AD416" s="85"/>
      <c r="AE416" s="85"/>
    </row>
    <row r="417">
      <c r="A417" s="83"/>
      <c r="B417" s="84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  <c r="AC417" s="85"/>
      <c r="AD417" s="85"/>
      <c r="AE417" s="85"/>
    </row>
    <row r="418">
      <c r="A418" s="83"/>
      <c r="B418" s="84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  <c r="AC418" s="85"/>
      <c r="AD418" s="85"/>
      <c r="AE418" s="85"/>
    </row>
    <row r="419">
      <c r="A419" s="83"/>
      <c r="B419" s="84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  <c r="AC419" s="85"/>
      <c r="AD419" s="85"/>
      <c r="AE419" s="85"/>
    </row>
    <row r="420">
      <c r="A420" s="83"/>
      <c r="B420" s="84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  <c r="AC420" s="85"/>
      <c r="AD420" s="85"/>
      <c r="AE420" s="85"/>
    </row>
    <row r="421">
      <c r="A421" s="83"/>
      <c r="B421" s="84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</row>
    <row r="422">
      <c r="A422" s="83"/>
      <c r="B422" s="84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  <c r="AC422" s="85"/>
      <c r="AD422" s="85"/>
      <c r="AE422" s="85"/>
    </row>
    <row r="423">
      <c r="A423" s="83"/>
      <c r="B423" s="84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  <c r="AC423" s="85"/>
      <c r="AD423" s="85"/>
      <c r="AE423" s="85"/>
    </row>
    <row r="424">
      <c r="A424" s="83"/>
      <c r="B424" s="84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  <c r="AC424" s="85"/>
      <c r="AD424" s="85"/>
      <c r="AE424" s="85"/>
    </row>
    <row r="425">
      <c r="A425" s="83"/>
      <c r="B425" s="84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  <c r="AC425" s="85"/>
      <c r="AD425" s="85"/>
      <c r="AE425" s="85"/>
    </row>
    <row r="426">
      <c r="A426" s="83"/>
      <c r="B426" s="84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  <c r="AC426" s="85"/>
      <c r="AD426" s="85"/>
      <c r="AE426" s="85"/>
    </row>
    <row r="427">
      <c r="A427" s="83"/>
      <c r="B427" s="84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  <c r="AC427" s="85"/>
      <c r="AD427" s="85"/>
      <c r="AE427" s="85"/>
    </row>
    <row r="428">
      <c r="A428" s="83"/>
      <c r="B428" s="84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  <c r="AC428" s="85"/>
      <c r="AD428" s="85"/>
      <c r="AE428" s="85"/>
    </row>
    <row r="429">
      <c r="A429" s="83"/>
      <c r="B429" s="84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  <c r="AC429" s="85"/>
      <c r="AD429" s="85"/>
      <c r="AE429" s="85"/>
    </row>
    <row r="430">
      <c r="A430" s="83"/>
      <c r="B430" s="84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  <c r="AC430" s="85"/>
      <c r="AD430" s="85"/>
      <c r="AE430" s="85"/>
    </row>
    <row r="431">
      <c r="A431" s="83"/>
      <c r="B431" s="84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  <c r="AC431" s="85"/>
      <c r="AD431" s="85"/>
      <c r="AE431" s="85"/>
    </row>
    <row r="432">
      <c r="A432" s="83"/>
      <c r="B432" s="84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  <c r="AC432" s="85"/>
      <c r="AD432" s="85"/>
      <c r="AE432" s="85"/>
    </row>
    <row r="433">
      <c r="A433" s="83"/>
      <c r="B433" s="84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  <c r="AC433" s="85"/>
      <c r="AD433" s="85"/>
      <c r="AE433" s="85"/>
    </row>
    <row r="434">
      <c r="A434" s="83"/>
      <c r="B434" s="84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  <c r="AC434" s="85"/>
      <c r="AD434" s="85"/>
      <c r="AE434" s="85"/>
    </row>
    <row r="435">
      <c r="A435" s="83"/>
      <c r="B435" s="84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5"/>
      <c r="AD435" s="85"/>
      <c r="AE435" s="85"/>
    </row>
    <row r="436">
      <c r="A436" s="83"/>
      <c r="B436" s="84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  <c r="AC436" s="85"/>
      <c r="AD436" s="85"/>
      <c r="AE436" s="85"/>
    </row>
    <row r="437">
      <c r="A437" s="83"/>
      <c r="B437" s="84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  <c r="AC437" s="85"/>
      <c r="AD437" s="85"/>
      <c r="AE437" s="85"/>
    </row>
    <row r="438">
      <c r="A438" s="83"/>
      <c r="B438" s="84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  <c r="AC438" s="85"/>
      <c r="AD438" s="85"/>
      <c r="AE438" s="85"/>
    </row>
    <row r="439">
      <c r="A439" s="83"/>
      <c r="B439" s="84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5"/>
      <c r="AD439" s="85"/>
      <c r="AE439" s="85"/>
    </row>
    <row r="440">
      <c r="A440" s="83"/>
      <c r="B440" s="84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  <c r="AC440" s="85"/>
      <c r="AD440" s="85"/>
      <c r="AE440" s="85"/>
    </row>
    <row r="441">
      <c r="A441" s="83"/>
      <c r="B441" s="84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  <c r="AC441" s="85"/>
      <c r="AD441" s="85"/>
      <c r="AE441" s="85"/>
    </row>
    <row r="442">
      <c r="A442" s="83"/>
      <c r="B442" s="84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  <c r="AC442" s="85"/>
      <c r="AD442" s="85"/>
      <c r="AE442" s="85"/>
    </row>
    <row r="443">
      <c r="A443" s="83"/>
      <c r="B443" s="84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  <c r="AC443" s="85"/>
      <c r="AD443" s="85"/>
      <c r="AE443" s="85"/>
    </row>
    <row r="444">
      <c r="A444" s="83"/>
      <c r="B444" s="84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  <c r="AC444" s="85"/>
      <c r="AD444" s="85"/>
      <c r="AE444" s="85"/>
    </row>
    <row r="445">
      <c r="A445" s="83"/>
      <c r="B445" s="84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  <c r="AC445" s="85"/>
      <c r="AD445" s="85"/>
      <c r="AE445" s="85"/>
    </row>
    <row r="446">
      <c r="A446" s="83"/>
      <c r="B446" s="84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  <c r="AC446" s="85"/>
      <c r="AD446" s="85"/>
      <c r="AE446" s="85"/>
    </row>
    <row r="447">
      <c r="A447" s="83"/>
      <c r="B447" s="84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  <c r="AC447" s="85"/>
      <c r="AD447" s="85"/>
      <c r="AE447" s="85"/>
    </row>
    <row r="448">
      <c r="A448" s="83"/>
      <c r="B448" s="84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  <c r="AC448" s="85"/>
      <c r="AD448" s="85"/>
      <c r="AE448" s="85"/>
    </row>
    <row r="449">
      <c r="A449" s="83"/>
      <c r="B449" s="84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  <c r="AC449" s="85"/>
      <c r="AD449" s="85"/>
      <c r="AE449" s="85"/>
    </row>
    <row r="450">
      <c r="A450" s="83"/>
      <c r="B450" s="84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  <c r="AC450" s="85"/>
      <c r="AD450" s="85"/>
      <c r="AE450" s="85"/>
    </row>
    <row r="451">
      <c r="A451" s="83"/>
      <c r="B451" s="84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  <c r="AC451" s="85"/>
      <c r="AD451" s="85"/>
      <c r="AE451" s="85"/>
    </row>
    <row r="452">
      <c r="A452" s="83"/>
      <c r="B452" s="84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  <c r="AC452" s="85"/>
      <c r="AD452" s="85"/>
      <c r="AE452" s="85"/>
    </row>
    <row r="453">
      <c r="A453" s="83"/>
      <c r="B453" s="84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  <c r="AC453" s="85"/>
      <c r="AD453" s="85"/>
      <c r="AE453" s="85"/>
    </row>
    <row r="454">
      <c r="A454" s="83"/>
      <c r="B454" s="84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  <c r="AC454" s="85"/>
      <c r="AD454" s="85"/>
      <c r="AE454" s="85"/>
    </row>
    <row r="455">
      <c r="A455" s="83"/>
      <c r="B455" s="84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  <c r="AC455" s="85"/>
      <c r="AD455" s="85"/>
      <c r="AE455" s="85"/>
    </row>
    <row r="456">
      <c r="A456" s="83"/>
      <c r="B456" s="84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  <c r="AC456" s="85"/>
      <c r="AD456" s="85"/>
      <c r="AE456" s="85"/>
    </row>
    <row r="457">
      <c r="A457" s="83"/>
      <c r="B457" s="84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  <c r="AC457" s="85"/>
      <c r="AD457" s="85"/>
      <c r="AE457" s="85"/>
    </row>
    <row r="458">
      <c r="A458" s="83"/>
      <c r="B458" s="84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  <c r="AC458" s="85"/>
      <c r="AD458" s="85"/>
      <c r="AE458" s="85"/>
    </row>
    <row r="459">
      <c r="A459" s="83"/>
      <c r="B459" s="84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</row>
    <row r="460">
      <c r="A460" s="83"/>
      <c r="B460" s="84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  <c r="AC460" s="85"/>
      <c r="AD460" s="85"/>
      <c r="AE460" s="85"/>
    </row>
    <row r="461">
      <c r="A461" s="83"/>
      <c r="B461" s="84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  <c r="AC461" s="85"/>
      <c r="AD461" s="85"/>
      <c r="AE461" s="85"/>
    </row>
    <row r="462">
      <c r="A462" s="83"/>
      <c r="B462" s="84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  <c r="AC462" s="85"/>
      <c r="AD462" s="85"/>
      <c r="AE462" s="85"/>
    </row>
    <row r="463">
      <c r="A463" s="83"/>
      <c r="B463" s="84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  <c r="AC463" s="85"/>
      <c r="AD463" s="85"/>
      <c r="AE463" s="85"/>
    </row>
    <row r="464">
      <c r="A464" s="83"/>
      <c r="B464" s="84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  <c r="AC464" s="85"/>
      <c r="AD464" s="85"/>
      <c r="AE464" s="85"/>
    </row>
    <row r="465">
      <c r="A465" s="83"/>
      <c r="B465" s="84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  <c r="AC465" s="85"/>
      <c r="AD465" s="85"/>
      <c r="AE465" s="85"/>
    </row>
    <row r="466">
      <c r="A466" s="83"/>
      <c r="B466" s="84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  <c r="AC466" s="85"/>
      <c r="AD466" s="85"/>
      <c r="AE466" s="85"/>
    </row>
    <row r="467">
      <c r="A467" s="83"/>
      <c r="B467" s="84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  <c r="AC467" s="85"/>
      <c r="AD467" s="85"/>
      <c r="AE467" s="85"/>
    </row>
    <row r="468">
      <c r="A468" s="83"/>
      <c r="B468" s="84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  <c r="AC468" s="85"/>
      <c r="AD468" s="85"/>
      <c r="AE468" s="85"/>
    </row>
    <row r="469">
      <c r="A469" s="83"/>
      <c r="B469" s="84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  <c r="AC469" s="85"/>
      <c r="AD469" s="85"/>
      <c r="AE469" s="85"/>
    </row>
    <row r="470">
      <c r="A470" s="83"/>
      <c r="B470" s="84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  <c r="AC470" s="85"/>
      <c r="AD470" s="85"/>
      <c r="AE470" s="85"/>
    </row>
    <row r="471">
      <c r="A471" s="83"/>
      <c r="B471" s="84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  <c r="AC471" s="85"/>
      <c r="AD471" s="85"/>
      <c r="AE471" s="85"/>
    </row>
    <row r="472">
      <c r="A472" s="83"/>
      <c r="B472" s="84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  <c r="AC472" s="85"/>
      <c r="AD472" s="85"/>
      <c r="AE472" s="85"/>
    </row>
    <row r="473">
      <c r="A473" s="83"/>
      <c r="B473" s="84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5"/>
      <c r="AD473" s="85"/>
      <c r="AE473" s="85"/>
    </row>
    <row r="474">
      <c r="A474" s="83"/>
      <c r="B474" s="84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  <c r="AC474" s="85"/>
      <c r="AD474" s="85"/>
      <c r="AE474" s="85"/>
    </row>
    <row r="475">
      <c r="A475" s="83"/>
      <c r="B475" s="84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  <c r="AC475" s="85"/>
      <c r="AD475" s="85"/>
      <c r="AE475" s="85"/>
    </row>
    <row r="476">
      <c r="A476" s="83"/>
      <c r="B476" s="84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  <c r="AC476" s="85"/>
      <c r="AD476" s="85"/>
      <c r="AE476" s="85"/>
    </row>
    <row r="477">
      <c r="A477" s="83"/>
      <c r="B477" s="84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  <c r="AC477" s="85"/>
      <c r="AD477" s="85"/>
      <c r="AE477" s="85"/>
    </row>
    <row r="478">
      <c r="A478" s="83"/>
      <c r="B478" s="84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  <c r="AC478" s="85"/>
      <c r="AD478" s="85"/>
      <c r="AE478" s="85"/>
    </row>
    <row r="479">
      <c r="A479" s="83"/>
      <c r="B479" s="84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  <c r="AC479" s="85"/>
      <c r="AD479" s="85"/>
      <c r="AE479" s="85"/>
    </row>
    <row r="480">
      <c r="A480" s="83"/>
      <c r="B480" s="84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  <c r="AC480" s="85"/>
      <c r="AD480" s="85"/>
      <c r="AE480" s="85"/>
    </row>
    <row r="481">
      <c r="A481" s="83"/>
      <c r="B481" s="84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  <c r="AC481" s="85"/>
      <c r="AD481" s="85"/>
      <c r="AE481" s="85"/>
    </row>
    <row r="482">
      <c r="A482" s="83"/>
      <c r="B482" s="84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  <c r="AC482" s="85"/>
      <c r="AD482" s="85"/>
      <c r="AE482" s="85"/>
    </row>
    <row r="483">
      <c r="A483" s="83"/>
      <c r="B483" s="84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  <c r="AC483" s="85"/>
      <c r="AD483" s="85"/>
      <c r="AE483" s="85"/>
    </row>
    <row r="484">
      <c r="A484" s="83"/>
      <c r="B484" s="84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  <c r="AC484" s="85"/>
      <c r="AD484" s="85"/>
      <c r="AE484" s="85"/>
    </row>
    <row r="485">
      <c r="A485" s="83"/>
      <c r="B485" s="84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5"/>
      <c r="AD485" s="85"/>
      <c r="AE485" s="85"/>
    </row>
    <row r="486">
      <c r="A486" s="83"/>
      <c r="B486" s="84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  <c r="AC486" s="85"/>
      <c r="AD486" s="85"/>
      <c r="AE486" s="85"/>
    </row>
    <row r="487">
      <c r="A487" s="83"/>
      <c r="B487" s="84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  <c r="AC487" s="85"/>
      <c r="AD487" s="85"/>
      <c r="AE487" s="85"/>
    </row>
    <row r="488">
      <c r="A488" s="83"/>
      <c r="B488" s="84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  <c r="AC488" s="85"/>
      <c r="AD488" s="85"/>
      <c r="AE488" s="85"/>
    </row>
    <row r="489">
      <c r="A489" s="83"/>
      <c r="B489" s="84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  <c r="AC489" s="85"/>
      <c r="AD489" s="85"/>
      <c r="AE489" s="85"/>
    </row>
    <row r="490">
      <c r="A490" s="83"/>
      <c r="B490" s="84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  <c r="AC490" s="85"/>
      <c r="AD490" s="85"/>
      <c r="AE490" s="85"/>
    </row>
    <row r="491">
      <c r="A491" s="83"/>
      <c r="B491" s="84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  <c r="AC491" s="85"/>
      <c r="AD491" s="85"/>
      <c r="AE491" s="85"/>
    </row>
    <row r="492">
      <c r="A492" s="83"/>
      <c r="B492" s="84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  <c r="AC492" s="85"/>
      <c r="AD492" s="85"/>
      <c r="AE492" s="85"/>
    </row>
    <row r="493">
      <c r="A493" s="83"/>
      <c r="B493" s="84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  <c r="AC493" s="85"/>
      <c r="AD493" s="85"/>
      <c r="AE493" s="85"/>
    </row>
    <row r="494">
      <c r="A494" s="83"/>
      <c r="B494" s="84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  <c r="AC494" s="85"/>
      <c r="AD494" s="85"/>
      <c r="AE494" s="85"/>
    </row>
    <row r="495">
      <c r="A495" s="83"/>
      <c r="B495" s="84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  <c r="AC495" s="85"/>
      <c r="AD495" s="85"/>
      <c r="AE495" s="85"/>
    </row>
    <row r="496">
      <c r="A496" s="83"/>
      <c r="B496" s="84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  <c r="AC496" s="85"/>
      <c r="AD496" s="85"/>
      <c r="AE496" s="85"/>
    </row>
    <row r="497">
      <c r="A497" s="83"/>
      <c r="B497" s="84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</row>
    <row r="498">
      <c r="A498" s="83"/>
      <c r="B498" s="84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  <c r="AC498" s="85"/>
      <c r="AD498" s="85"/>
      <c r="AE498" s="85"/>
    </row>
    <row r="499">
      <c r="A499" s="83"/>
      <c r="B499" s="84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</row>
    <row r="500">
      <c r="A500" s="83"/>
      <c r="B500" s="84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  <c r="AC500" s="85"/>
      <c r="AD500" s="85"/>
      <c r="AE500" s="85"/>
    </row>
    <row r="501">
      <c r="A501" s="83"/>
      <c r="B501" s="84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  <c r="AC501" s="85"/>
      <c r="AD501" s="85"/>
      <c r="AE501" s="85"/>
    </row>
    <row r="502">
      <c r="A502" s="83"/>
      <c r="B502" s="84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  <c r="AC502" s="85"/>
      <c r="AD502" s="85"/>
      <c r="AE502" s="85"/>
    </row>
    <row r="503">
      <c r="A503" s="83"/>
      <c r="B503" s="84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  <c r="AC503" s="85"/>
      <c r="AD503" s="85"/>
      <c r="AE503" s="85"/>
    </row>
    <row r="504">
      <c r="A504" s="83"/>
      <c r="B504" s="84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  <c r="AC504" s="85"/>
      <c r="AD504" s="85"/>
      <c r="AE504" s="85"/>
    </row>
    <row r="505">
      <c r="A505" s="83"/>
      <c r="B505" s="84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  <c r="AC505" s="85"/>
      <c r="AD505" s="85"/>
      <c r="AE505" s="85"/>
    </row>
    <row r="506">
      <c r="A506" s="83"/>
      <c r="B506" s="84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  <c r="AC506" s="85"/>
      <c r="AD506" s="85"/>
      <c r="AE506" s="85"/>
    </row>
    <row r="507">
      <c r="A507" s="83"/>
      <c r="B507" s="84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  <c r="AC507" s="85"/>
      <c r="AD507" s="85"/>
      <c r="AE507" s="85"/>
    </row>
    <row r="508">
      <c r="A508" s="83"/>
      <c r="B508" s="84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  <c r="AC508" s="85"/>
      <c r="AD508" s="85"/>
      <c r="AE508" s="85"/>
    </row>
    <row r="509">
      <c r="A509" s="83"/>
      <c r="B509" s="84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</row>
    <row r="510">
      <c r="A510" s="83"/>
      <c r="B510" s="84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</row>
    <row r="511">
      <c r="A511" s="83"/>
      <c r="B511" s="84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  <c r="AC511" s="85"/>
      <c r="AD511" s="85"/>
      <c r="AE511" s="85"/>
    </row>
    <row r="512">
      <c r="A512" s="83"/>
      <c r="B512" s="84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  <c r="AC512" s="85"/>
      <c r="AD512" s="85"/>
      <c r="AE512" s="85"/>
    </row>
    <row r="513">
      <c r="A513" s="83"/>
      <c r="B513" s="84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  <c r="AC513" s="85"/>
      <c r="AD513" s="85"/>
      <c r="AE513" s="85"/>
    </row>
    <row r="514">
      <c r="A514" s="83"/>
      <c r="B514" s="84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  <c r="AC514" s="85"/>
      <c r="AD514" s="85"/>
      <c r="AE514" s="85"/>
    </row>
    <row r="515">
      <c r="A515" s="83"/>
      <c r="B515" s="84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  <c r="AC515" s="85"/>
      <c r="AD515" s="85"/>
      <c r="AE515" s="85"/>
    </row>
    <row r="516">
      <c r="A516" s="83"/>
      <c r="B516" s="84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  <c r="AC516" s="85"/>
      <c r="AD516" s="85"/>
      <c r="AE516" s="85"/>
    </row>
    <row r="517">
      <c r="A517" s="83"/>
      <c r="B517" s="84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  <c r="AC517" s="85"/>
      <c r="AD517" s="85"/>
      <c r="AE517" s="85"/>
    </row>
    <row r="518">
      <c r="A518" s="83"/>
      <c r="B518" s="84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  <c r="AC518" s="85"/>
      <c r="AD518" s="85"/>
      <c r="AE518" s="85"/>
    </row>
    <row r="519">
      <c r="A519" s="83"/>
      <c r="B519" s="84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  <c r="AC519" s="85"/>
      <c r="AD519" s="85"/>
      <c r="AE519" s="85"/>
    </row>
    <row r="520">
      <c r="A520" s="83"/>
      <c r="B520" s="84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  <c r="AC520" s="85"/>
      <c r="AD520" s="85"/>
      <c r="AE520" s="85"/>
    </row>
    <row r="521">
      <c r="A521" s="83"/>
      <c r="B521" s="84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  <c r="AC521" s="85"/>
      <c r="AD521" s="85"/>
      <c r="AE521" s="85"/>
    </row>
    <row r="522">
      <c r="A522" s="83"/>
      <c r="B522" s="84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  <c r="AC522" s="85"/>
      <c r="AD522" s="85"/>
      <c r="AE522" s="85"/>
    </row>
    <row r="523">
      <c r="A523" s="83"/>
      <c r="B523" s="84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  <c r="AC523" s="85"/>
      <c r="AD523" s="85"/>
      <c r="AE523" s="85"/>
    </row>
    <row r="524">
      <c r="A524" s="83"/>
      <c r="B524" s="84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  <c r="AC524" s="85"/>
      <c r="AD524" s="85"/>
      <c r="AE524" s="85"/>
    </row>
    <row r="525">
      <c r="A525" s="83"/>
      <c r="B525" s="84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  <c r="AC525" s="85"/>
      <c r="AD525" s="85"/>
      <c r="AE525" s="85"/>
    </row>
    <row r="526">
      <c r="A526" s="83"/>
      <c r="B526" s="84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  <c r="AC526" s="85"/>
      <c r="AD526" s="85"/>
      <c r="AE526" s="85"/>
    </row>
    <row r="527">
      <c r="A527" s="83"/>
      <c r="B527" s="84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  <c r="AC527" s="85"/>
      <c r="AD527" s="85"/>
      <c r="AE527" s="85"/>
    </row>
    <row r="528">
      <c r="A528" s="83"/>
      <c r="B528" s="84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  <c r="AC528" s="85"/>
      <c r="AD528" s="85"/>
      <c r="AE528" s="85"/>
    </row>
    <row r="529">
      <c r="A529" s="83"/>
      <c r="B529" s="84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  <c r="AC529" s="85"/>
      <c r="AD529" s="85"/>
      <c r="AE529" s="85"/>
    </row>
    <row r="530">
      <c r="A530" s="83"/>
      <c r="B530" s="84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5"/>
      <c r="AD530" s="85"/>
      <c r="AE530" s="85"/>
    </row>
    <row r="531">
      <c r="A531" s="83"/>
      <c r="B531" s="84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  <c r="AC531" s="85"/>
      <c r="AD531" s="85"/>
      <c r="AE531" s="85"/>
    </row>
    <row r="532">
      <c r="A532" s="83"/>
      <c r="B532" s="84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  <c r="AC532" s="85"/>
      <c r="AD532" s="85"/>
      <c r="AE532" s="85"/>
    </row>
    <row r="533">
      <c r="A533" s="83"/>
      <c r="B533" s="84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  <c r="AC533" s="85"/>
      <c r="AD533" s="85"/>
      <c r="AE533" s="85"/>
    </row>
    <row r="534">
      <c r="A534" s="83"/>
      <c r="B534" s="84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  <c r="AC534" s="85"/>
      <c r="AD534" s="85"/>
      <c r="AE534" s="85"/>
    </row>
    <row r="535">
      <c r="A535" s="83"/>
      <c r="B535" s="84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</row>
    <row r="536">
      <c r="A536" s="83"/>
      <c r="B536" s="84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  <c r="AC536" s="85"/>
      <c r="AD536" s="85"/>
      <c r="AE536" s="85"/>
    </row>
    <row r="537">
      <c r="A537" s="83"/>
      <c r="B537" s="84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  <c r="AC537" s="85"/>
      <c r="AD537" s="85"/>
      <c r="AE537" s="85"/>
    </row>
    <row r="538">
      <c r="A538" s="83"/>
      <c r="B538" s="84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  <c r="AC538" s="85"/>
      <c r="AD538" s="85"/>
      <c r="AE538" s="85"/>
    </row>
    <row r="539">
      <c r="A539" s="83"/>
      <c r="B539" s="84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  <c r="AC539" s="85"/>
      <c r="AD539" s="85"/>
      <c r="AE539" s="85"/>
    </row>
    <row r="540">
      <c r="A540" s="83"/>
      <c r="B540" s="84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  <c r="AB540" s="85"/>
      <c r="AC540" s="85"/>
      <c r="AD540" s="85"/>
      <c r="AE540" s="85"/>
    </row>
    <row r="541">
      <c r="A541" s="83"/>
      <c r="B541" s="84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  <c r="AC541" s="85"/>
      <c r="AD541" s="85"/>
      <c r="AE541" s="85"/>
    </row>
    <row r="542">
      <c r="A542" s="83"/>
      <c r="B542" s="84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  <c r="AC542" s="85"/>
      <c r="AD542" s="85"/>
      <c r="AE542" s="85"/>
    </row>
    <row r="543">
      <c r="A543" s="83"/>
      <c r="B543" s="84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  <c r="AC543" s="85"/>
      <c r="AD543" s="85"/>
      <c r="AE543" s="85"/>
    </row>
    <row r="544">
      <c r="A544" s="83"/>
      <c r="B544" s="84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  <c r="AC544" s="85"/>
      <c r="AD544" s="85"/>
      <c r="AE544" s="85"/>
    </row>
    <row r="545">
      <c r="A545" s="83"/>
      <c r="B545" s="84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  <c r="AC545" s="85"/>
      <c r="AD545" s="85"/>
      <c r="AE545" s="85"/>
    </row>
    <row r="546">
      <c r="A546" s="83"/>
      <c r="B546" s="84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  <c r="AC546" s="85"/>
      <c r="AD546" s="85"/>
      <c r="AE546" s="85"/>
    </row>
    <row r="547">
      <c r="A547" s="83"/>
      <c r="B547" s="84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  <c r="AC547" s="85"/>
      <c r="AD547" s="85"/>
      <c r="AE547" s="85"/>
    </row>
    <row r="548">
      <c r="A548" s="83"/>
      <c r="B548" s="84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  <c r="AC548" s="85"/>
      <c r="AD548" s="85"/>
      <c r="AE548" s="85"/>
    </row>
    <row r="549">
      <c r="A549" s="83"/>
      <c r="B549" s="84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  <c r="AC549" s="85"/>
      <c r="AD549" s="85"/>
      <c r="AE549" s="85"/>
    </row>
    <row r="550">
      <c r="A550" s="83"/>
      <c r="B550" s="84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  <c r="AC550" s="85"/>
      <c r="AD550" s="85"/>
      <c r="AE550" s="85"/>
    </row>
    <row r="551">
      <c r="A551" s="83"/>
      <c r="B551" s="84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  <c r="AC551" s="85"/>
      <c r="AD551" s="85"/>
      <c r="AE551" s="85"/>
    </row>
    <row r="552">
      <c r="A552" s="83"/>
      <c r="B552" s="84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  <c r="AC552" s="85"/>
      <c r="AD552" s="85"/>
      <c r="AE552" s="85"/>
    </row>
    <row r="553">
      <c r="A553" s="83"/>
      <c r="B553" s="84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  <c r="AC553" s="85"/>
      <c r="AD553" s="85"/>
      <c r="AE553" s="85"/>
    </row>
    <row r="554">
      <c r="A554" s="83"/>
      <c r="B554" s="84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  <c r="AC554" s="85"/>
      <c r="AD554" s="85"/>
      <c r="AE554" s="85"/>
    </row>
    <row r="555">
      <c r="A555" s="83"/>
      <c r="B555" s="84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  <c r="AC555" s="85"/>
      <c r="AD555" s="85"/>
      <c r="AE555" s="85"/>
    </row>
    <row r="556">
      <c r="A556" s="83"/>
      <c r="B556" s="84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  <c r="AC556" s="85"/>
      <c r="AD556" s="85"/>
      <c r="AE556" s="85"/>
    </row>
    <row r="557">
      <c r="A557" s="83"/>
      <c r="B557" s="84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  <c r="AC557" s="85"/>
      <c r="AD557" s="85"/>
      <c r="AE557" s="85"/>
    </row>
    <row r="558">
      <c r="A558" s="83"/>
      <c r="B558" s="84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  <c r="AC558" s="85"/>
      <c r="AD558" s="85"/>
      <c r="AE558" s="85"/>
    </row>
    <row r="559">
      <c r="A559" s="83"/>
      <c r="B559" s="84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  <c r="AC559" s="85"/>
      <c r="AD559" s="85"/>
      <c r="AE559" s="85"/>
    </row>
    <row r="560">
      <c r="A560" s="83"/>
      <c r="B560" s="84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  <c r="AC560" s="85"/>
      <c r="AD560" s="85"/>
      <c r="AE560" s="85"/>
    </row>
    <row r="561">
      <c r="A561" s="83"/>
      <c r="B561" s="84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  <c r="AC561" s="85"/>
      <c r="AD561" s="85"/>
      <c r="AE561" s="85"/>
    </row>
    <row r="562">
      <c r="A562" s="83"/>
      <c r="B562" s="84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  <c r="AC562" s="85"/>
      <c r="AD562" s="85"/>
      <c r="AE562" s="85"/>
    </row>
    <row r="563">
      <c r="A563" s="83"/>
      <c r="B563" s="84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  <c r="AC563" s="85"/>
      <c r="AD563" s="85"/>
      <c r="AE563" s="85"/>
    </row>
    <row r="564">
      <c r="A564" s="83"/>
      <c r="B564" s="84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  <c r="AC564" s="85"/>
      <c r="AD564" s="85"/>
      <c r="AE564" s="85"/>
    </row>
    <row r="565">
      <c r="A565" s="83"/>
      <c r="B565" s="84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  <c r="AC565" s="85"/>
      <c r="AD565" s="85"/>
      <c r="AE565" s="85"/>
    </row>
    <row r="566">
      <c r="A566" s="83"/>
      <c r="B566" s="84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  <c r="AB566" s="85"/>
      <c r="AC566" s="85"/>
      <c r="AD566" s="85"/>
      <c r="AE566" s="85"/>
    </row>
    <row r="567">
      <c r="A567" s="83"/>
      <c r="B567" s="84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  <c r="AC567" s="85"/>
      <c r="AD567" s="85"/>
      <c r="AE567" s="85"/>
    </row>
    <row r="568">
      <c r="A568" s="83"/>
      <c r="B568" s="84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  <c r="AB568" s="85"/>
      <c r="AC568" s="85"/>
      <c r="AD568" s="85"/>
      <c r="AE568" s="85"/>
    </row>
    <row r="569">
      <c r="A569" s="83"/>
      <c r="B569" s="84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  <c r="AB569" s="85"/>
      <c r="AC569" s="85"/>
      <c r="AD569" s="85"/>
      <c r="AE569" s="85"/>
    </row>
    <row r="570">
      <c r="A570" s="83"/>
      <c r="B570" s="84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  <c r="AC570" s="85"/>
      <c r="AD570" s="85"/>
      <c r="AE570" s="85"/>
    </row>
    <row r="571">
      <c r="A571" s="83"/>
      <c r="B571" s="84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  <c r="AC571" s="85"/>
      <c r="AD571" s="85"/>
      <c r="AE571" s="85"/>
    </row>
    <row r="572">
      <c r="A572" s="83"/>
      <c r="B572" s="84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  <c r="AC572" s="85"/>
      <c r="AD572" s="85"/>
      <c r="AE572" s="85"/>
    </row>
    <row r="573">
      <c r="A573" s="83"/>
      <c r="B573" s="84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</row>
    <row r="574">
      <c r="A574" s="83"/>
      <c r="B574" s="84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  <c r="AC574" s="85"/>
      <c r="AD574" s="85"/>
      <c r="AE574" s="85"/>
    </row>
    <row r="575">
      <c r="A575" s="83"/>
      <c r="B575" s="84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  <c r="AC575" s="85"/>
      <c r="AD575" s="85"/>
      <c r="AE575" s="85"/>
    </row>
    <row r="576">
      <c r="A576" s="83"/>
      <c r="B576" s="84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  <c r="AC576" s="85"/>
      <c r="AD576" s="85"/>
      <c r="AE576" s="85"/>
    </row>
    <row r="577">
      <c r="A577" s="83"/>
      <c r="B577" s="84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  <c r="AC577" s="85"/>
      <c r="AD577" s="85"/>
      <c r="AE577" s="85"/>
    </row>
    <row r="578">
      <c r="A578" s="83"/>
      <c r="B578" s="84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  <c r="AC578" s="85"/>
      <c r="AD578" s="85"/>
      <c r="AE578" s="85"/>
    </row>
    <row r="579">
      <c r="A579" s="83"/>
      <c r="B579" s="84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  <c r="AC579" s="85"/>
      <c r="AD579" s="85"/>
      <c r="AE579" s="85"/>
    </row>
    <row r="580">
      <c r="A580" s="83"/>
      <c r="B580" s="84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  <c r="AC580" s="85"/>
      <c r="AD580" s="85"/>
      <c r="AE580" s="85"/>
    </row>
    <row r="581">
      <c r="A581" s="83"/>
      <c r="B581" s="84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  <c r="AC581" s="85"/>
      <c r="AD581" s="85"/>
      <c r="AE581" s="85"/>
    </row>
    <row r="582">
      <c r="A582" s="83"/>
      <c r="B582" s="84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  <c r="AC582" s="85"/>
      <c r="AD582" s="85"/>
      <c r="AE582" s="85"/>
    </row>
    <row r="583">
      <c r="A583" s="83"/>
      <c r="B583" s="84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  <c r="AC583" s="85"/>
      <c r="AD583" s="85"/>
      <c r="AE583" s="85"/>
    </row>
    <row r="584">
      <c r="A584" s="83"/>
      <c r="B584" s="84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  <c r="AC584" s="85"/>
      <c r="AD584" s="85"/>
      <c r="AE584" s="85"/>
    </row>
    <row r="585">
      <c r="A585" s="83"/>
      <c r="B585" s="84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  <c r="AC585" s="85"/>
      <c r="AD585" s="85"/>
      <c r="AE585" s="85"/>
    </row>
    <row r="586">
      <c r="A586" s="83"/>
      <c r="B586" s="84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  <c r="AC586" s="85"/>
      <c r="AD586" s="85"/>
      <c r="AE586" s="85"/>
    </row>
    <row r="587">
      <c r="A587" s="83"/>
      <c r="B587" s="84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  <c r="AC587" s="85"/>
      <c r="AD587" s="85"/>
      <c r="AE587" s="85"/>
    </row>
    <row r="588">
      <c r="A588" s="83"/>
      <c r="B588" s="84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  <c r="AC588" s="85"/>
      <c r="AD588" s="85"/>
      <c r="AE588" s="85"/>
    </row>
    <row r="589">
      <c r="A589" s="83"/>
      <c r="B589" s="84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  <c r="AC589" s="85"/>
      <c r="AD589" s="85"/>
      <c r="AE589" s="85"/>
    </row>
    <row r="590">
      <c r="A590" s="83"/>
      <c r="B590" s="84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  <c r="AC590" s="85"/>
      <c r="AD590" s="85"/>
      <c r="AE590" s="85"/>
    </row>
    <row r="591">
      <c r="A591" s="83"/>
      <c r="B591" s="84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  <c r="AC591" s="85"/>
      <c r="AD591" s="85"/>
      <c r="AE591" s="85"/>
    </row>
    <row r="592">
      <c r="A592" s="83"/>
      <c r="B592" s="84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  <c r="AC592" s="85"/>
      <c r="AD592" s="85"/>
      <c r="AE592" s="85"/>
    </row>
    <row r="593">
      <c r="A593" s="83"/>
      <c r="B593" s="84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  <c r="AC593" s="85"/>
      <c r="AD593" s="85"/>
      <c r="AE593" s="85"/>
    </row>
    <row r="594">
      <c r="A594" s="83"/>
      <c r="B594" s="84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  <c r="AB594" s="85"/>
      <c r="AC594" s="85"/>
      <c r="AD594" s="85"/>
      <c r="AE594" s="85"/>
    </row>
    <row r="595">
      <c r="A595" s="83"/>
      <c r="B595" s="84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  <c r="AB595" s="85"/>
      <c r="AC595" s="85"/>
      <c r="AD595" s="85"/>
      <c r="AE595" s="85"/>
    </row>
    <row r="596">
      <c r="A596" s="83"/>
      <c r="B596" s="84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  <c r="AB596" s="85"/>
      <c r="AC596" s="85"/>
      <c r="AD596" s="85"/>
      <c r="AE596" s="85"/>
    </row>
    <row r="597">
      <c r="A597" s="83"/>
      <c r="B597" s="84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  <c r="AC597" s="85"/>
      <c r="AD597" s="85"/>
      <c r="AE597" s="85"/>
    </row>
    <row r="598">
      <c r="A598" s="83"/>
      <c r="B598" s="84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  <c r="AB598" s="85"/>
      <c r="AC598" s="85"/>
      <c r="AD598" s="85"/>
      <c r="AE598" s="85"/>
    </row>
    <row r="599">
      <c r="A599" s="83"/>
      <c r="B599" s="84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  <c r="AB599" s="85"/>
      <c r="AC599" s="85"/>
      <c r="AD599" s="85"/>
      <c r="AE599" s="85"/>
    </row>
    <row r="600">
      <c r="A600" s="83"/>
      <c r="B600" s="84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  <c r="AB600" s="85"/>
      <c r="AC600" s="85"/>
      <c r="AD600" s="85"/>
      <c r="AE600" s="85"/>
    </row>
    <row r="601">
      <c r="A601" s="83"/>
      <c r="B601" s="84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  <c r="AB601" s="85"/>
      <c r="AC601" s="85"/>
      <c r="AD601" s="85"/>
      <c r="AE601" s="85"/>
    </row>
    <row r="602">
      <c r="A602" s="83"/>
      <c r="B602" s="84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  <c r="AB602" s="85"/>
      <c r="AC602" s="85"/>
      <c r="AD602" s="85"/>
      <c r="AE602" s="85"/>
    </row>
    <row r="603">
      <c r="A603" s="83"/>
      <c r="B603" s="84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  <c r="AB603" s="85"/>
      <c r="AC603" s="85"/>
      <c r="AD603" s="85"/>
      <c r="AE603" s="85"/>
    </row>
    <row r="604">
      <c r="A604" s="83"/>
      <c r="B604" s="84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  <c r="AB604" s="85"/>
      <c r="AC604" s="85"/>
      <c r="AD604" s="85"/>
      <c r="AE604" s="85"/>
    </row>
    <row r="605">
      <c r="A605" s="83"/>
      <c r="B605" s="84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  <c r="AB605" s="85"/>
      <c r="AC605" s="85"/>
      <c r="AD605" s="85"/>
      <c r="AE605" s="85"/>
    </row>
    <row r="606">
      <c r="A606" s="83"/>
      <c r="B606" s="84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  <c r="AB606" s="85"/>
      <c r="AC606" s="85"/>
      <c r="AD606" s="85"/>
      <c r="AE606" s="85"/>
    </row>
    <row r="607">
      <c r="A607" s="83"/>
      <c r="B607" s="84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  <c r="AB607" s="85"/>
      <c r="AC607" s="85"/>
      <c r="AD607" s="85"/>
      <c r="AE607" s="85"/>
    </row>
    <row r="608">
      <c r="A608" s="83"/>
      <c r="B608" s="84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  <c r="AB608" s="85"/>
      <c r="AC608" s="85"/>
      <c r="AD608" s="85"/>
      <c r="AE608" s="85"/>
    </row>
    <row r="609">
      <c r="A609" s="83"/>
      <c r="B609" s="84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  <c r="AB609" s="85"/>
      <c r="AC609" s="85"/>
      <c r="AD609" s="85"/>
      <c r="AE609" s="85"/>
    </row>
    <row r="610">
      <c r="A610" s="83"/>
      <c r="B610" s="84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  <c r="AB610" s="85"/>
      <c r="AC610" s="85"/>
      <c r="AD610" s="85"/>
      <c r="AE610" s="85"/>
    </row>
    <row r="611">
      <c r="A611" s="83"/>
      <c r="B611" s="84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</row>
    <row r="612">
      <c r="A612" s="83"/>
      <c r="B612" s="84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  <c r="AB612" s="85"/>
      <c r="AC612" s="85"/>
      <c r="AD612" s="85"/>
      <c r="AE612" s="85"/>
    </row>
    <row r="613">
      <c r="A613" s="83"/>
      <c r="B613" s="84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  <c r="AB613" s="85"/>
      <c r="AC613" s="85"/>
      <c r="AD613" s="85"/>
      <c r="AE613" s="85"/>
    </row>
    <row r="614">
      <c r="A614" s="83"/>
      <c r="B614" s="84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  <c r="AB614" s="85"/>
      <c r="AC614" s="85"/>
      <c r="AD614" s="85"/>
      <c r="AE614" s="85"/>
    </row>
    <row r="615">
      <c r="A615" s="83"/>
      <c r="B615" s="84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  <c r="AB615" s="85"/>
      <c r="AC615" s="85"/>
      <c r="AD615" s="85"/>
      <c r="AE615" s="85"/>
    </row>
    <row r="616">
      <c r="A616" s="83"/>
      <c r="B616" s="84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  <c r="AB616" s="85"/>
      <c r="AC616" s="85"/>
      <c r="AD616" s="85"/>
      <c r="AE616" s="85"/>
    </row>
    <row r="617">
      <c r="A617" s="83"/>
      <c r="B617" s="84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  <c r="AB617" s="85"/>
      <c r="AC617" s="85"/>
      <c r="AD617" s="85"/>
      <c r="AE617" s="85"/>
    </row>
    <row r="618">
      <c r="A618" s="83"/>
      <c r="B618" s="84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  <c r="AB618" s="85"/>
      <c r="AC618" s="85"/>
      <c r="AD618" s="85"/>
      <c r="AE618" s="85"/>
    </row>
    <row r="619">
      <c r="A619" s="83"/>
      <c r="B619" s="84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  <c r="AC619" s="85"/>
      <c r="AD619" s="85"/>
      <c r="AE619" s="85"/>
    </row>
    <row r="620">
      <c r="A620" s="83"/>
      <c r="B620" s="84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  <c r="AB620" s="85"/>
      <c r="AC620" s="85"/>
      <c r="AD620" s="85"/>
      <c r="AE620" s="85"/>
    </row>
    <row r="621">
      <c r="A621" s="83"/>
      <c r="B621" s="84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  <c r="AB621" s="85"/>
      <c r="AC621" s="85"/>
      <c r="AD621" s="85"/>
      <c r="AE621" s="85"/>
    </row>
    <row r="622">
      <c r="A622" s="83"/>
      <c r="B622" s="84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  <c r="AB622" s="85"/>
      <c r="AC622" s="85"/>
      <c r="AD622" s="85"/>
      <c r="AE622" s="85"/>
    </row>
    <row r="623">
      <c r="A623" s="83"/>
      <c r="B623" s="84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  <c r="AB623" s="85"/>
      <c r="AC623" s="85"/>
      <c r="AD623" s="85"/>
      <c r="AE623" s="85"/>
    </row>
    <row r="624">
      <c r="A624" s="83"/>
      <c r="B624" s="84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  <c r="AB624" s="85"/>
      <c r="AC624" s="85"/>
      <c r="AD624" s="85"/>
      <c r="AE624" s="85"/>
    </row>
    <row r="625">
      <c r="A625" s="83"/>
      <c r="B625" s="84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  <c r="AB625" s="85"/>
      <c r="AC625" s="85"/>
      <c r="AD625" s="85"/>
      <c r="AE625" s="85"/>
    </row>
    <row r="626">
      <c r="A626" s="83"/>
      <c r="B626" s="84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  <c r="AB626" s="85"/>
      <c r="AC626" s="85"/>
      <c r="AD626" s="85"/>
      <c r="AE626" s="85"/>
    </row>
    <row r="627">
      <c r="A627" s="83"/>
      <c r="B627" s="84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  <c r="AB627" s="85"/>
      <c r="AC627" s="85"/>
      <c r="AD627" s="85"/>
      <c r="AE627" s="85"/>
    </row>
    <row r="628">
      <c r="A628" s="83"/>
      <c r="B628" s="84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  <c r="AB628" s="85"/>
      <c r="AC628" s="85"/>
      <c r="AD628" s="85"/>
      <c r="AE628" s="85"/>
    </row>
    <row r="629">
      <c r="A629" s="83"/>
      <c r="B629" s="84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  <c r="AB629" s="85"/>
      <c r="AC629" s="85"/>
      <c r="AD629" s="85"/>
      <c r="AE629" s="85"/>
    </row>
    <row r="630">
      <c r="A630" s="83"/>
      <c r="B630" s="84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  <c r="AB630" s="85"/>
      <c r="AC630" s="85"/>
      <c r="AD630" s="85"/>
      <c r="AE630" s="85"/>
    </row>
    <row r="631">
      <c r="A631" s="83"/>
      <c r="B631" s="84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  <c r="AB631" s="85"/>
      <c r="AC631" s="85"/>
      <c r="AD631" s="85"/>
      <c r="AE631" s="85"/>
    </row>
    <row r="632">
      <c r="A632" s="83"/>
      <c r="B632" s="84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  <c r="AB632" s="85"/>
      <c r="AC632" s="85"/>
      <c r="AD632" s="85"/>
      <c r="AE632" s="85"/>
    </row>
    <row r="633">
      <c r="A633" s="83"/>
      <c r="B633" s="84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  <c r="AB633" s="85"/>
      <c r="AC633" s="85"/>
      <c r="AD633" s="85"/>
      <c r="AE633" s="85"/>
    </row>
    <row r="634">
      <c r="A634" s="83"/>
      <c r="B634" s="84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  <c r="AB634" s="85"/>
      <c r="AC634" s="85"/>
      <c r="AD634" s="85"/>
      <c r="AE634" s="85"/>
    </row>
    <row r="635">
      <c r="A635" s="83"/>
      <c r="B635" s="84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  <c r="AB635" s="85"/>
      <c r="AC635" s="85"/>
      <c r="AD635" s="85"/>
      <c r="AE635" s="85"/>
    </row>
    <row r="636">
      <c r="A636" s="83"/>
      <c r="B636" s="84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  <c r="AB636" s="85"/>
      <c r="AC636" s="85"/>
      <c r="AD636" s="85"/>
      <c r="AE636" s="85"/>
    </row>
    <row r="637">
      <c r="A637" s="83"/>
      <c r="B637" s="84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  <c r="AB637" s="85"/>
      <c r="AC637" s="85"/>
      <c r="AD637" s="85"/>
      <c r="AE637" s="85"/>
    </row>
    <row r="638">
      <c r="A638" s="83"/>
      <c r="B638" s="84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  <c r="AB638" s="85"/>
      <c r="AC638" s="85"/>
      <c r="AD638" s="85"/>
      <c r="AE638" s="85"/>
    </row>
    <row r="639">
      <c r="A639" s="83"/>
      <c r="B639" s="84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  <c r="AB639" s="85"/>
      <c r="AC639" s="85"/>
      <c r="AD639" s="85"/>
      <c r="AE639" s="85"/>
    </row>
    <row r="640">
      <c r="A640" s="83"/>
      <c r="B640" s="84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  <c r="AB640" s="85"/>
      <c r="AC640" s="85"/>
      <c r="AD640" s="85"/>
      <c r="AE640" s="85"/>
    </row>
    <row r="641">
      <c r="A641" s="83"/>
      <c r="B641" s="84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  <c r="AB641" s="85"/>
      <c r="AC641" s="85"/>
      <c r="AD641" s="85"/>
      <c r="AE641" s="85"/>
    </row>
    <row r="642">
      <c r="A642" s="83"/>
      <c r="B642" s="84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  <c r="AB642" s="85"/>
      <c r="AC642" s="85"/>
      <c r="AD642" s="85"/>
      <c r="AE642" s="85"/>
    </row>
    <row r="643">
      <c r="A643" s="83"/>
      <c r="B643" s="84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  <c r="AB643" s="85"/>
      <c r="AC643" s="85"/>
      <c r="AD643" s="85"/>
      <c r="AE643" s="85"/>
    </row>
    <row r="644">
      <c r="A644" s="83"/>
      <c r="B644" s="84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  <c r="AB644" s="85"/>
      <c r="AC644" s="85"/>
      <c r="AD644" s="85"/>
      <c r="AE644" s="85"/>
    </row>
    <row r="645">
      <c r="A645" s="83"/>
      <c r="B645" s="84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  <c r="AB645" s="85"/>
      <c r="AC645" s="85"/>
      <c r="AD645" s="85"/>
      <c r="AE645" s="85"/>
    </row>
    <row r="646">
      <c r="A646" s="83"/>
      <c r="B646" s="84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  <c r="AB646" s="85"/>
      <c r="AC646" s="85"/>
      <c r="AD646" s="85"/>
      <c r="AE646" s="85"/>
    </row>
    <row r="647">
      <c r="A647" s="83"/>
      <c r="B647" s="84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  <c r="AB647" s="85"/>
      <c r="AC647" s="85"/>
      <c r="AD647" s="85"/>
      <c r="AE647" s="85"/>
    </row>
    <row r="648">
      <c r="A648" s="83"/>
      <c r="B648" s="84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  <c r="AB648" s="85"/>
      <c r="AC648" s="85"/>
      <c r="AD648" s="85"/>
      <c r="AE648" s="85"/>
    </row>
    <row r="649">
      <c r="A649" s="83"/>
      <c r="B649" s="84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</row>
    <row r="650">
      <c r="A650" s="83"/>
      <c r="B650" s="84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  <c r="AC650" s="85"/>
      <c r="AD650" s="85"/>
      <c r="AE650" s="85"/>
    </row>
    <row r="651">
      <c r="A651" s="83"/>
      <c r="B651" s="84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  <c r="AB651" s="85"/>
      <c r="AC651" s="85"/>
      <c r="AD651" s="85"/>
      <c r="AE651" s="85"/>
    </row>
    <row r="652">
      <c r="A652" s="83"/>
      <c r="B652" s="84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  <c r="AB652" s="85"/>
      <c r="AC652" s="85"/>
      <c r="AD652" s="85"/>
      <c r="AE652" s="85"/>
    </row>
    <row r="653">
      <c r="A653" s="83"/>
      <c r="B653" s="84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  <c r="AB653" s="85"/>
      <c r="AC653" s="85"/>
      <c r="AD653" s="85"/>
      <c r="AE653" s="85"/>
    </row>
    <row r="654">
      <c r="A654" s="83"/>
      <c r="B654" s="84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  <c r="AB654" s="85"/>
      <c r="AC654" s="85"/>
      <c r="AD654" s="85"/>
      <c r="AE654" s="85"/>
    </row>
    <row r="655">
      <c r="A655" s="83"/>
      <c r="B655" s="84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  <c r="AB655" s="85"/>
      <c r="AC655" s="85"/>
      <c r="AD655" s="85"/>
      <c r="AE655" s="85"/>
    </row>
    <row r="656">
      <c r="A656" s="83"/>
      <c r="B656" s="84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  <c r="AB656" s="85"/>
      <c r="AC656" s="85"/>
      <c r="AD656" s="85"/>
      <c r="AE656" s="85"/>
    </row>
    <row r="657">
      <c r="A657" s="83"/>
      <c r="B657" s="84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  <c r="AB657" s="85"/>
      <c r="AC657" s="85"/>
      <c r="AD657" s="85"/>
      <c r="AE657" s="85"/>
    </row>
    <row r="658">
      <c r="A658" s="83"/>
      <c r="B658" s="84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  <c r="AB658" s="85"/>
      <c r="AC658" s="85"/>
      <c r="AD658" s="85"/>
      <c r="AE658" s="85"/>
    </row>
    <row r="659">
      <c r="A659" s="83"/>
      <c r="B659" s="84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  <c r="AB659" s="85"/>
      <c r="AC659" s="85"/>
      <c r="AD659" s="85"/>
      <c r="AE659" s="85"/>
    </row>
    <row r="660">
      <c r="A660" s="83"/>
      <c r="B660" s="84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  <c r="AB660" s="85"/>
      <c r="AC660" s="85"/>
      <c r="AD660" s="85"/>
      <c r="AE660" s="85"/>
    </row>
    <row r="661">
      <c r="A661" s="83"/>
      <c r="B661" s="84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  <c r="AB661" s="85"/>
      <c r="AC661" s="85"/>
      <c r="AD661" s="85"/>
      <c r="AE661" s="85"/>
    </row>
    <row r="662">
      <c r="A662" s="83"/>
      <c r="B662" s="84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  <c r="AB662" s="85"/>
      <c r="AC662" s="85"/>
      <c r="AD662" s="85"/>
      <c r="AE662" s="85"/>
    </row>
    <row r="663">
      <c r="A663" s="83"/>
      <c r="B663" s="84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  <c r="AB663" s="85"/>
      <c r="AC663" s="85"/>
      <c r="AD663" s="85"/>
      <c r="AE663" s="85"/>
    </row>
    <row r="664">
      <c r="A664" s="83"/>
      <c r="B664" s="84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  <c r="AB664" s="85"/>
      <c r="AC664" s="85"/>
      <c r="AD664" s="85"/>
      <c r="AE664" s="85"/>
    </row>
    <row r="665">
      <c r="A665" s="83"/>
      <c r="B665" s="84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  <c r="AB665" s="85"/>
      <c r="AC665" s="85"/>
      <c r="AD665" s="85"/>
      <c r="AE665" s="85"/>
    </row>
    <row r="666">
      <c r="A666" s="83"/>
      <c r="B666" s="84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  <c r="AB666" s="85"/>
      <c r="AC666" s="85"/>
      <c r="AD666" s="85"/>
      <c r="AE666" s="85"/>
    </row>
    <row r="667">
      <c r="A667" s="83"/>
      <c r="B667" s="84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  <c r="AB667" s="85"/>
      <c r="AC667" s="85"/>
      <c r="AD667" s="85"/>
      <c r="AE667" s="85"/>
    </row>
    <row r="668">
      <c r="A668" s="83"/>
      <c r="B668" s="84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  <c r="AC668" s="85"/>
      <c r="AD668" s="85"/>
      <c r="AE668" s="85"/>
    </row>
    <row r="669">
      <c r="A669" s="83"/>
      <c r="B669" s="84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  <c r="AB669" s="85"/>
      <c r="AC669" s="85"/>
      <c r="AD669" s="85"/>
      <c r="AE669" s="85"/>
    </row>
    <row r="670">
      <c r="A670" s="83"/>
      <c r="B670" s="84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  <c r="AB670" s="85"/>
      <c r="AC670" s="85"/>
      <c r="AD670" s="85"/>
      <c r="AE670" s="85"/>
    </row>
    <row r="671">
      <c r="A671" s="83"/>
      <c r="B671" s="84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  <c r="AC671" s="85"/>
      <c r="AD671" s="85"/>
      <c r="AE671" s="85"/>
    </row>
    <row r="672">
      <c r="A672" s="83"/>
      <c r="B672" s="84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  <c r="AB672" s="85"/>
      <c r="AC672" s="85"/>
      <c r="AD672" s="85"/>
      <c r="AE672" s="85"/>
    </row>
    <row r="673">
      <c r="A673" s="83"/>
      <c r="B673" s="84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  <c r="AB673" s="85"/>
      <c r="AC673" s="85"/>
      <c r="AD673" s="85"/>
      <c r="AE673" s="85"/>
    </row>
    <row r="674">
      <c r="A674" s="83"/>
      <c r="B674" s="84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  <c r="AB674" s="85"/>
      <c r="AC674" s="85"/>
      <c r="AD674" s="85"/>
      <c r="AE674" s="85"/>
    </row>
    <row r="675">
      <c r="A675" s="83"/>
      <c r="B675" s="84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  <c r="AB675" s="85"/>
      <c r="AC675" s="85"/>
      <c r="AD675" s="85"/>
      <c r="AE675" s="85"/>
    </row>
    <row r="676">
      <c r="A676" s="83"/>
      <c r="B676" s="84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  <c r="AB676" s="85"/>
      <c r="AC676" s="85"/>
      <c r="AD676" s="85"/>
      <c r="AE676" s="85"/>
    </row>
    <row r="677">
      <c r="A677" s="83"/>
      <c r="B677" s="84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  <c r="AB677" s="85"/>
      <c r="AC677" s="85"/>
      <c r="AD677" s="85"/>
      <c r="AE677" s="85"/>
    </row>
    <row r="678">
      <c r="A678" s="83"/>
      <c r="B678" s="84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  <c r="AB678" s="85"/>
      <c r="AC678" s="85"/>
      <c r="AD678" s="85"/>
      <c r="AE678" s="85"/>
    </row>
    <row r="679">
      <c r="A679" s="83"/>
      <c r="B679" s="84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  <c r="AB679" s="85"/>
      <c r="AC679" s="85"/>
      <c r="AD679" s="85"/>
      <c r="AE679" s="85"/>
    </row>
    <row r="680">
      <c r="A680" s="83"/>
      <c r="B680" s="84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  <c r="AB680" s="85"/>
      <c r="AC680" s="85"/>
      <c r="AD680" s="85"/>
      <c r="AE680" s="85"/>
    </row>
    <row r="681">
      <c r="A681" s="83"/>
      <c r="B681" s="84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  <c r="AB681" s="85"/>
      <c r="AC681" s="85"/>
      <c r="AD681" s="85"/>
      <c r="AE681" s="85"/>
    </row>
    <row r="682">
      <c r="A682" s="83"/>
      <c r="B682" s="84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  <c r="AB682" s="85"/>
      <c r="AC682" s="85"/>
      <c r="AD682" s="85"/>
      <c r="AE682" s="85"/>
    </row>
    <row r="683">
      <c r="A683" s="83"/>
      <c r="B683" s="84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  <c r="AB683" s="85"/>
      <c r="AC683" s="85"/>
      <c r="AD683" s="85"/>
      <c r="AE683" s="85"/>
    </row>
    <row r="684">
      <c r="A684" s="83"/>
      <c r="B684" s="84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  <c r="AB684" s="85"/>
      <c r="AC684" s="85"/>
      <c r="AD684" s="85"/>
      <c r="AE684" s="85"/>
    </row>
    <row r="685">
      <c r="A685" s="83"/>
      <c r="B685" s="84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  <c r="AB685" s="85"/>
      <c r="AC685" s="85"/>
      <c r="AD685" s="85"/>
      <c r="AE685" s="85"/>
    </row>
    <row r="686">
      <c r="A686" s="83"/>
      <c r="B686" s="84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  <c r="AB686" s="85"/>
      <c r="AC686" s="85"/>
      <c r="AD686" s="85"/>
      <c r="AE686" s="85"/>
    </row>
    <row r="687">
      <c r="A687" s="83"/>
      <c r="B687" s="84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</row>
    <row r="688">
      <c r="A688" s="83"/>
      <c r="B688" s="84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  <c r="AB688" s="85"/>
      <c r="AC688" s="85"/>
      <c r="AD688" s="85"/>
      <c r="AE688" s="85"/>
    </row>
    <row r="689">
      <c r="A689" s="83"/>
      <c r="B689" s="84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  <c r="AB689" s="85"/>
      <c r="AC689" s="85"/>
      <c r="AD689" s="85"/>
      <c r="AE689" s="85"/>
    </row>
    <row r="690">
      <c r="A690" s="83"/>
      <c r="B690" s="84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  <c r="AB690" s="85"/>
      <c r="AC690" s="85"/>
      <c r="AD690" s="85"/>
      <c r="AE690" s="85"/>
    </row>
    <row r="691">
      <c r="A691" s="83"/>
      <c r="B691" s="84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  <c r="AB691" s="85"/>
      <c r="AC691" s="85"/>
      <c r="AD691" s="85"/>
      <c r="AE691" s="85"/>
    </row>
    <row r="692">
      <c r="A692" s="83"/>
      <c r="B692" s="84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  <c r="AB692" s="85"/>
      <c r="AC692" s="85"/>
      <c r="AD692" s="85"/>
      <c r="AE692" s="85"/>
    </row>
    <row r="693">
      <c r="A693" s="83"/>
      <c r="B693" s="84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  <c r="AB693" s="85"/>
      <c r="AC693" s="85"/>
      <c r="AD693" s="85"/>
      <c r="AE693" s="85"/>
    </row>
    <row r="694">
      <c r="A694" s="83"/>
      <c r="B694" s="84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  <c r="AB694" s="85"/>
      <c r="AC694" s="85"/>
      <c r="AD694" s="85"/>
      <c r="AE694" s="85"/>
    </row>
    <row r="695">
      <c r="A695" s="83"/>
      <c r="B695" s="84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  <c r="AB695" s="85"/>
      <c r="AC695" s="85"/>
      <c r="AD695" s="85"/>
      <c r="AE695" s="85"/>
    </row>
    <row r="696">
      <c r="A696" s="83"/>
      <c r="B696" s="84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  <c r="AB696" s="85"/>
      <c r="AC696" s="85"/>
      <c r="AD696" s="85"/>
      <c r="AE696" s="85"/>
    </row>
    <row r="697">
      <c r="A697" s="83"/>
      <c r="B697" s="84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  <c r="AB697" s="85"/>
      <c r="AC697" s="85"/>
      <c r="AD697" s="85"/>
      <c r="AE697" s="85"/>
    </row>
    <row r="698">
      <c r="A698" s="83"/>
      <c r="B698" s="84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  <c r="AB698" s="85"/>
      <c r="AC698" s="85"/>
      <c r="AD698" s="85"/>
      <c r="AE698" s="85"/>
    </row>
    <row r="699">
      <c r="A699" s="83"/>
      <c r="B699" s="84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  <c r="AB699" s="85"/>
      <c r="AC699" s="85"/>
      <c r="AD699" s="85"/>
      <c r="AE699" s="85"/>
    </row>
    <row r="700">
      <c r="A700" s="83"/>
      <c r="B700" s="84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  <c r="AB700" s="85"/>
      <c r="AC700" s="85"/>
      <c r="AD700" s="85"/>
      <c r="AE700" s="85"/>
    </row>
    <row r="701">
      <c r="A701" s="83"/>
      <c r="B701" s="84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  <c r="AB701" s="85"/>
      <c r="AC701" s="85"/>
      <c r="AD701" s="85"/>
      <c r="AE701" s="85"/>
    </row>
    <row r="702">
      <c r="A702" s="83"/>
      <c r="B702" s="84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  <c r="AB702" s="85"/>
      <c r="AC702" s="85"/>
      <c r="AD702" s="85"/>
      <c r="AE702" s="85"/>
    </row>
    <row r="703">
      <c r="A703" s="83"/>
      <c r="B703" s="84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  <c r="AB703" s="85"/>
      <c r="AC703" s="85"/>
      <c r="AD703" s="85"/>
      <c r="AE703" s="85"/>
    </row>
    <row r="704">
      <c r="A704" s="83"/>
      <c r="B704" s="84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  <c r="AB704" s="85"/>
      <c r="AC704" s="85"/>
      <c r="AD704" s="85"/>
      <c r="AE704" s="85"/>
    </row>
    <row r="705">
      <c r="A705" s="83"/>
      <c r="B705" s="84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  <c r="AB705" s="85"/>
      <c r="AC705" s="85"/>
      <c r="AD705" s="85"/>
      <c r="AE705" s="85"/>
    </row>
    <row r="706">
      <c r="A706" s="83"/>
      <c r="B706" s="84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  <c r="AB706" s="85"/>
      <c r="AC706" s="85"/>
      <c r="AD706" s="85"/>
      <c r="AE706" s="85"/>
    </row>
    <row r="707">
      <c r="A707" s="83"/>
      <c r="B707" s="84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  <c r="AB707" s="85"/>
      <c r="AC707" s="85"/>
      <c r="AD707" s="85"/>
      <c r="AE707" s="85"/>
    </row>
    <row r="708">
      <c r="A708" s="83"/>
      <c r="B708" s="84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  <c r="AB708" s="85"/>
      <c r="AC708" s="85"/>
      <c r="AD708" s="85"/>
      <c r="AE708" s="85"/>
    </row>
    <row r="709">
      <c r="A709" s="83"/>
      <c r="B709" s="84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  <c r="AB709" s="85"/>
      <c r="AC709" s="85"/>
      <c r="AD709" s="85"/>
      <c r="AE709" s="85"/>
    </row>
    <row r="710">
      <c r="A710" s="83"/>
      <c r="B710" s="84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  <c r="AC710" s="85"/>
      <c r="AD710" s="85"/>
      <c r="AE710" s="85"/>
    </row>
    <row r="711">
      <c r="A711" s="83"/>
      <c r="B711" s="84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</row>
    <row r="712">
      <c r="A712" s="83"/>
      <c r="B712" s="84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  <c r="AB712" s="85"/>
      <c r="AC712" s="85"/>
      <c r="AD712" s="85"/>
      <c r="AE712" s="85"/>
    </row>
    <row r="713">
      <c r="A713" s="83"/>
      <c r="B713" s="84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  <c r="AC713" s="85"/>
      <c r="AD713" s="85"/>
      <c r="AE713" s="85"/>
    </row>
    <row r="714">
      <c r="A714" s="83"/>
      <c r="B714" s="84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  <c r="AC714" s="85"/>
      <c r="AD714" s="85"/>
      <c r="AE714" s="85"/>
    </row>
    <row r="715">
      <c r="A715" s="83"/>
      <c r="B715" s="84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  <c r="AC715" s="85"/>
      <c r="AD715" s="85"/>
      <c r="AE715" s="85"/>
    </row>
    <row r="716">
      <c r="A716" s="83"/>
      <c r="B716" s="84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  <c r="AC716" s="85"/>
      <c r="AD716" s="85"/>
      <c r="AE716" s="85"/>
    </row>
    <row r="717">
      <c r="A717" s="83"/>
      <c r="B717" s="84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  <c r="AB717" s="85"/>
      <c r="AC717" s="85"/>
      <c r="AD717" s="85"/>
      <c r="AE717" s="85"/>
    </row>
    <row r="718">
      <c r="A718" s="83"/>
      <c r="B718" s="84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  <c r="AB718" s="85"/>
      <c r="AC718" s="85"/>
      <c r="AD718" s="85"/>
      <c r="AE718" s="85"/>
    </row>
    <row r="719">
      <c r="A719" s="83"/>
      <c r="B719" s="84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  <c r="AB719" s="85"/>
      <c r="AC719" s="85"/>
      <c r="AD719" s="85"/>
      <c r="AE719" s="85"/>
    </row>
    <row r="720">
      <c r="A720" s="83"/>
      <c r="B720" s="84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  <c r="AC720" s="85"/>
      <c r="AD720" s="85"/>
      <c r="AE720" s="85"/>
    </row>
    <row r="721">
      <c r="A721" s="83"/>
      <c r="B721" s="84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  <c r="AB721" s="85"/>
      <c r="AC721" s="85"/>
      <c r="AD721" s="85"/>
      <c r="AE721" s="85"/>
    </row>
    <row r="722">
      <c r="A722" s="83"/>
      <c r="B722" s="84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  <c r="AB722" s="85"/>
      <c r="AC722" s="85"/>
      <c r="AD722" s="85"/>
      <c r="AE722" s="85"/>
    </row>
    <row r="723">
      <c r="A723" s="83"/>
      <c r="B723" s="84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  <c r="AB723" s="85"/>
      <c r="AC723" s="85"/>
      <c r="AD723" s="85"/>
      <c r="AE723" s="85"/>
    </row>
    <row r="724">
      <c r="A724" s="83"/>
      <c r="B724" s="84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  <c r="AB724" s="85"/>
      <c r="AC724" s="85"/>
      <c r="AD724" s="85"/>
      <c r="AE724" s="85"/>
    </row>
    <row r="725">
      <c r="A725" s="83"/>
      <c r="B725" s="84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</row>
    <row r="726">
      <c r="A726" s="83"/>
      <c r="B726" s="84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  <c r="AB726" s="85"/>
      <c r="AC726" s="85"/>
      <c r="AD726" s="85"/>
      <c r="AE726" s="85"/>
    </row>
    <row r="727">
      <c r="A727" s="83"/>
      <c r="B727" s="84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  <c r="AB727" s="85"/>
      <c r="AC727" s="85"/>
      <c r="AD727" s="85"/>
      <c r="AE727" s="85"/>
    </row>
    <row r="728">
      <c r="A728" s="83"/>
      <c r="B728" s="84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  <c r="AB728" s="85"/>
      <c r="AC728" s="85"/>
      <c r="AD728" s="85"/>
      <c r="AE728" s="85"/>
    </row>
    <row r="729">
      <c r="A729" s="83"/>
      <c r="B729" s="84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  <c r="AC729" s="85"/>
      <c r="AD729" s="85"/>
      <c r="AE729" s="85"/>
    </row>
    <row r="730">
      <c r="A730" s="83"/>
      <c r="B730" s="84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  <c r="AB730" s="85"/>
      <c r="AC730" s="85"/>
      <c r="AD730" s="85"/>
      <c r="AE730" s="85"/>
    </row>
    <row r="731">
      <c r="A731" s="83"/>
      <c r="B731" s="84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  <c r="AC731" s="85"/>
      <c r="AD731" s="85"/>
      <c r="AE731" s="85"/>
    </row>
    <row r="732">
      <c r="A732" s="83"/>
      <c r="B732" s="84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  <c r="AB732" s="85"/>
      <c r="AC732" s="85"/>
      <c r="AD732" s="85"/>
      <c r="AE732" s="85"/>
    </row>
    <row r="733">
      <c r="A733" s="83"/>
      <c r="B733" s="84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  <c r="AB733" s="85"/>
      <c r="AC733" s="85"/>
      <c r="AD733" s="85"/>
      <c r="AE733" s="85"/>
    </row>
    <row r="734">
      <c r="A734" s="83"/>
      <c r="B734" s="84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  <c r="AB734" s="85"/>
      <c r="AC734" s="85"/>
      <c r="AD734" s="85"/>
      <c r="AE734" s="85"/>
    </row>
    <row r="735">
      <c r="A735" s="83"/>
      <c r="B735" s="84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  <c r="AB735" s="85"/>
      <c r="AC735" s="85"/>
      <c r="AD735" s="85"/>
      <c r="AE735" s="85"/>
    </row>
    <row r="736">
      <c r="A736" s="83"/>
      <c r="B736" s="84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  <c r="AB736" s="85"/>
      <c r="AC736" s="85"/>
      <c r="AD736" s="85"/>
      <c r="AE736" s="85"/>
    </row>
    <row r="737">
      <c r="A737" s="83"/>
      <c r="B737" s="84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  <c r="AB737" s="85"/>
      <c r="AC737" s="85"/>
      <c r="AD737" s="85"/>
      <c r="AE737" s="85"/>
    </row>
    <row r="738">
      <c r="A738" s="83"/>
      <c r="B738" s="84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  <c r="AB738" s="85"/>
      <c r="AC738" s="85"/>
      <c r="AD738" s="85"/>
      <c r="AE738" s="85"/>
    </row>
    <row r="739">
      <c r="A739" s="83"/>
      <c r="B739" s="84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  <c r="AB739" s="85"/>
      <c r="AC739" s="85"/>
      <c r="AD739" s="85"/>
      <c r="AE739" s="85"/>
    </row>
    <row r="740">
      <c r="A740" s="83"/>
      <c r="B740" s="84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  <c r="AB740" s="85"/>
      <c r="AC740" s="85"/>
      <c r="AD740" s="85"/>
      <c r="AE740" s="85"/>
    </row>
    <row r="741">
      <c r="A741" s="83"/>
      <c r="B741" s="84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  <c r="AB741" s="85"/>
      <c r="AC741" s="85"/>
      <c r="AD741" s="85"/>
      <c r="AE741" s="85"/>
    </row>
    <row r="742">
      <c r="A742" s="83"/>
      <c r="B742" s="84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  <c r="AC742" s="85"/>
      <c r="AD742" s="85"/>
      <c r="AE742" s="85"/>
    </row>
    <row r="743">
      <c r="A743" s="83"/>
      <c r="B743" s="84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  <c r="AB743" s="85"/>
      <c r="AC743" s="85"/>
      <c r="AD743" s="85"/>
      <c r="AE743" s="85"/>
    </row>
    <row r="744">
      <c r="A744" s="83"/>
      <c r="B744" s="84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  <c r="AB744" s="85"/>
      <c r="AC744" s="85"/>
      <c r="AD744" s="85"/>
      <c r="AE744" s="85"/>
    </row>
    <row r="745">
      <c r="A745" s="83"/>
      <c r="B745" s="84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  <c r="AB745" s="85"/>
      <c r="AC745" s="85"/>
      <c r="AD745" s="85"/>
      <c r="AE745" s="85"/>
    </row>
    <row r="746">
      <c r="A746" s="83"/>
      <c r="B746" s="84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  <c r="AB746" s="85"/>
      <c r="AC746" s="85"/>
      <c r="AD746" s="85"/>
      <c r="AE746" s="85"/>
    </row>
    <row r="747">
      <c r="A747" s="83"/>
      <c r="B747" s="84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  <c r="AB747" s="85"/>
      <c r="AC747" s="85"/>
      <c r="AD747" s="85"/>
      <c r="AE747" s="85"/>
    </row>
    <row r="748">
      <c r="A748" s="83"/>
      <c r="B748" s="84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  <c r="AB748" s="85"/>
      <c r="AC748" s="85"/>
      <c r="AD748" s="85"/>
      <c r="AE748" s="85"/>
    </row>
    <row r="749">
      <c r="A749" s="83"/>
      <c r="B749" s="84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  <c r="AB749" s="85"/>
      <c r="AC749" s="85"/>
      <c r="AD749" s="85"/>
      <c r="AE749" s="85"/>
    </row>
    <row r="750">
      <c r="A750" s="83"/>
      <c r="B750" s="84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  <c r="AB750" s="85"/>
      <c r="AC750" s="85"/>
      <c r="AD750" s="85"/>
      <c r="AE750" s="85"/>
    </row>
    <row r="751">
      <c r="A751" s="83"/>
      <c r="B751" s="84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  <c r="AB751" s="85"/>
      <c r="AC751" s="85"/>
      <c r="AD751" s="85"/>
      <c r="AE751" s="85"/>
    </row>
    <row r="752">
      <c r="A752" s="83"/>
      <c r="B752" s="84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  <c r="AB752" s="85"/>
      <c r="AC752" s="85"/>
      <c r="AD752" s="85"/>
      <c r="AE752" s="85"/>
    </row>
    <row r="753">
      <c r="A753" s="83"/>
      <c r="B753" s="84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  <c r="AB753" s="85"/>
      <c r="AC753" s="85"/>
      <c r="AD753" s="85"/>
      <c r="AE753" s="85"/>
    </row>
    <row r="754">
      <c r="A754" s="83"/>
      <c r="B754" s="84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  <c r="AB754" s="85"/>
      <c r="AC754" s="85"/>
      <c r="AD754" s="85"/>
      <c r="AE754" s="85"/>
    </row>
    <row r="755">
      <c r="A755" s="83"/>
      <c r="B755" s="84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  <c r="AB755" s="85"/>
      <c r="AC755" s="85"/>
      <c r="AD755" s="85"/>
      <c r="AE755" s="85"/>
    </row>
    <row r="756">
      <c r="A756" s="83"/>
      <c r="B756" s="84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  <c r="AB756" s="85"/>
      <c r="AC756" s="85"/>
      <c r="AD756" s="85"/>
      <c r="AE756" s="85"/>
    </row>
    <row r="757">
      <c r="A757" s="83"/>
      <c r="B757" s="84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  <c r="AB757" s="85"/>
      <c r="AC757" s="85"/>
      <c r="AD757" s="85"/>
      <c r="AE757" s="85"/>
    </row>
    <row r="758">
      <c r="A758" s="83"/>
      <c r="B758" s="84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  <c r="AB758" s="85"/>
      <c r="AC758" s="85"/>
      <c r="AD758" s="85"/>
      <c r="AE758" s="85"/>
    </row>
    <row r="759">
      <c r="A759" s="83"/>
      <c r="B759" s="84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  <c r="AB759" s="85"/>
      <c r="AC759" s="85"/>
      <c r="AD759" s="85"/>
      <c r="AE759" s="85"/>
    </row>
    <row r="760">
      <c r="A760" s="83"/>
      <c r="B760" s="84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  <c r="AB760" s="85"/>
      <c r="AC760" s="85"/>
      <c r="AD760" s="85"/>
      <c r="AE760" s="85"/>
    </row>
    <row r="761">
      <c r="A761" s="83"/>
      <c r="B761" s="84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  <c r="AB761" s="85"/>
      <c r="AC761" s="85"/>
      <c r="AD761" s="85"/>
      <c r="AE761" s="85"/>
    </row>
    <row r="762">
      <c r="A762" s="83"/>
      <c r="B762" s="84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  <c r="AB762" s="85"/>
      <c r="AC762" s="85"/>
      <c r="AD762" s="85"/>
      <c r="AE762" s="85"/>
    </row>
    <row r="763">
      <c r="A763" s="83"/>
      <c r="B763" s="84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</row>
    <row r="764">
      <c r="A764" s="83"/>
      <c r="B764" s="84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  <c r="AB764" s="85"/>
      <c r="AC764" s="85"/>
      <c r="AD764" s="85"/>
      <c r="AE764" s="85"/>
    </row>
    <row r="765">
      <c r="A765" s="83"/>
      <c r="B765" s="84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  <c r="AB765" s="85"/>
      <c r="AC765" s="85"/>
      <c r="AD765" s="85"/>
      <c r="AE765" s="85"/>
    </row>
    <row r="766">
      <c r="A766" s="83"/>
      <c r="B766" s="84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  <c r="AB766" s="85"/>
      <c r="AC766" s="85"/>
      <c r="AD766" s="85"/>
      <c r="AE766" s="85"/>
    </row>
    <row r="767">
      <c r="A767" s="83"/>
      <c r="B767" s="84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  <c r="AB767" s="85"/>
      <c r="AC767" s="85"/>
      <c r="AD767" s="85"/>
      <c r="AE767" s="85"/>
    </row>
    <row r="768">
      <c r="A768" s="83"/>
      <c r="B768" s="84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  <c r="AB768" s="85"/>
      <c r="AC768" s="85"/>
      <c r="AD768" s="85"/>
      <c r="AE768" s="85"/>
    </row>
    <row r="769">
      <c r="A769" s="83"/>
      <c r="B769" s="84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  <c r="AB769" s="85"/>
      <c r="AC769" s="85"/>
      <c r="AD769" s="85"/>
      <c r="AE769" s="85"/>
    </row>
    <row r="770">
      <c r="A770" s="83"/>
      <c r="B770" s="84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  <c r="AB770" s="85"/>
      <c r="AC770" s="85"/>
      <c r="AD770" s="85"/>
      <c r="AE770" s="85"/>
    </row>
    <row r="771">
      <c r="A771" s="83"/>
      <c r="B771" s="84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  <c r="AB771" s="85"/>
      <c r="AC771" s="85"/>
      <c r="AD771" s="85"/>
      <c r="AE771" s="85"/>
    </row>
    <row r="772">
      <c r="A772" s="83"/>
      <c r="B772" s="84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  <c r="AB772" s="85"/>
      <c r="AC772" s="85"/>
      <c r="AD772" s="85"/>
      <c r="AE772" s="85"/>
    </row>
    <row r="773">
      <c r="A773" s="83"/>
      <c r="B773" s="84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  <c r="AB773" s="85"/>
      <c r="AC773" s="85"/>
      <c r="AD773" s="85"/>
      <c r="AE773" s="85"/>
    </row>
    <row r="774">
      <c r="A774" s="83"/>
      <c r="B774" s="84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  <c r="AB774" s="85"/>
      <c r="AC774" s="85"/>
      <c r="AD774" s="85"/>
      <c r="AE774" s="85"/>
    </row>
    <row r="775">
      <c r="A775" s="83"/>
      <c r="B775" s="84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  <c r="AB775" s="85"/>
      <c r="AC775" s="85"/>
      <c r="AD775" s="85"/>
      <c r="AE775" s="85"/>
    </row>
    <row r="776">
      <c r="A776" s="83"/>
      <c r="B776" s="84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  <c r="AB776" s="85"/>
      <c r="AC776" s="85"/>
      <c r="AD776" s="85"/>
      <c r="AE776" s="85"/>
    </row>
    <row r="777">
      <c r="A777" s="83"/>
      <c r="B777" s="84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  <c r="AB777" s="85"/>
      <c r="AC777" s="85"/>
      <c r="AD777" s="85"/>
      <c r="AE777" s="85"/>
    </row>
    <row r="778">
      <c r="A778" s="83"/>
      <c r="B778" s="84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  <c r="AC778" s="85"/>
      <c r="AD778" s="85"/>
      <c r="AE778" s="85"/>
    </row>
    <row r="779">
      <c r="A779" s="83"/>
      <c r="B779" s="84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  <c r="AB779" s="85"/>
      <c r="AC779" s="85"/>
      <c r="AD779" s="85"/>
      <c r="AE779" s="85"/>
    </row>
    <row r="780">
      <c r="A780" s="83"/>
      <c r="B780" s="84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  <c r="AB780" s="85"/>
      <c r="AC780" s="85"/>
      <c r="AD780" s="85"/>
      <c r="AE780" s="85"/>
    </row>
    <row r="781">
      <c r="A781" s="83"/>
      <c r="B781" s="84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  <c r="AB781" s="85"/>
      <c r="AC781" s="85"/>
      <c r="AD781" s="85"/>
      <c r="AE781" s="85"/>
    </row>
    <row r="782">
      <c r="A782" s="83"/>
      <c r="B782" s="84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  <c r="AB782" s="85"/>
      <c r="AC782" s="85"/>
      <c r="AD782" s="85"/>
      <c r="AE782" s="85"/>
    </row>
    <row r="783">
      <c r="A783" s="83"/>
      <c r="B783" s="84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  <c r="AB783" s="85"/>
      <c r="AC783" s="85"/>
      <c r="AD783" s="85"/>
      <c r="AE783" s="85"/>
    </row>
    <row r="784">
      <c r="A784" s="83"/>
      <c r="B784" s="84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  <c r="AB784" s="85"/>
      <c r="AC784" s="85"/>
      <c r="AD784" s="85"/>
      <c r="AE784" s="85"/>
    </row>
    <row r="785">
      <c r="A785" s="83"/>
      <c r="B785" s="84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  <c r="AB785" s="85"/>
      <c r="AC785" s="85"/>
      <c r="AD785" s="85"/>
      <c r="AE785" s="85"/>
    </row>
    <row r="786">
      <c r="A786" s="83"/>
      <c r="B786" s="84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  <c r="AB786" s="85"/>
      <c r="AC786" s="85"/>
      <c r="AD786" s="85"/>
      <c r="AE786" s="85"/>
    </row>
    <row r="787">
      <c r="A787" s="83"/>
      <c r="B787" s="84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  <c r="AB787" s="85"/>
      <c r="AC787" s="85"/>
      <c r="AD787" s="85"/>
      <c r="AE787" s="85"/>
    </row>
    <row r="788">
      <c r="A788" s="83"/>
      <c r="B788" s="84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  <c r="AB788" s="85"/>
      <c r="AC788" s="85"/>
      <c r="AD788" s="85"/>
      <c r="AE788" s="85"/>
    </row>
    <row r="789">
      <c r="A789" s="83"/>
      <c r="B789" s="84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  <c r="AB789" s="85"/>
      <c r="AC789" s="85"/>
      <c r="AD789" s="85"/>
      <c r="AE789" s="85"/>
    </row>
    <row r="790">
      <c r="A790" s="83"/>
      <c r="B790" s="84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  <c r="AB790" s="85"/>
      <c r="AC790" s="85"/>
      <c r="AD790" s="85"/>
      <c r="AE790" s="85"/>
    </row>
    <row r="791">
      <c r="A791" s="83"/>
      <c r="B791" s="84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  <c r="AB791" s="85"/>
      <c r="AC791" s="85"/>
      <c r="AD791" s="85"/>
      <c r="AE791" s="85"/>
    </row>
    <row r="792">
      <c r="A792" s="83"/>
      <c r="B792" s="84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  <c r="AC792" s="85"/>
      <c r="AD792" s="85"/>
      <c r="AE792" s="85"/>
    </row>
    <row r="793">
      <c r="A793" s="83"/>
      <c r="B793" s="84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  <c r="AB793" s="85"/>
      <c r="AC793" s="85"/>
      <c r="AD793" s="85"/>
      <c r="AE793" s="85"/>
    </row>
    <row r="794">
      <c r="A794" s="83"/>
      <c r="B794" s="84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  <c r="AB794" s="85"/>
      <c r="AC794" s="85"/>
      <c r="AD794" s="85"/>
      <c r="AE794" s="85"/>
    </row>
    <row r="795">
      <c r="A795" s="83"/>
      <c r="B795" s="84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  <c r="AB795" s="85"/>
      <c r="AC795" s="85"/>
      <c r="AD795" s="85"/>
      <c r="AE795" s="85"/>
    </row>
    <row r="796">
      <c r="A796" s="83"/>
      <c r="B796" s="84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  <c r="AB796" s="85"/>
      <c r="AC796" s="85"/>
      <c r="AD796" s="85"/>
      <c r="AE796" s="85"/>
    </row>
    <row r="797">
      <c r="A797" s="83"/>
      <c r="B797" s="84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  <c r="AB797" s="85"/>
      <c r="AC797" s="85"/>
      <c r="AD797" s="85"/>
      <c r="AE797" s="85"/>
    </row>
    <row r="798">
      <c r="A798" s="83"/>
      <c r="B798" s="84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  <c r="AB798" s="85"/>
      <c r="AC798" s="85"/>
      <c r="AD798" s="85"/>
      <c r="AE798" s="85"/>
    </row>
    <row r="799">
      <c r="A799" s="83"/>
      <c r="B799" s="84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  <c r="AB799" s="85"/>
      <c r="AC799" s="85"/>
      <c r="AD799" s="85"/>
      <c r="AE799" s="85"/>
    </row>
    <row r="800">
      <c r="A800" s="83"/>
      <c r="B800" s="84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  <c r="AB800" s="85"/>
      <c r="AC800" s="85"/>
      <c r="AD800" s="85"/>
      <c r="AE800" s="85"/>
    </row>
    <row r="801">
      <c r="A801" s="83"/>
      <c r="B801" s="84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</row>
    <row r="802">
      <c r="A802" s="83"/>
      <c r="B802" s="84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  <c r="AC802" s="85"/>
      <c r="AD802" s="85"/>
      <c r="AE802" s="85"/>
    </row>
    <row r="803">
      <c r="A803" s="83"/>
      <c r="B803" s="84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  <c r="AB803" s="85"/>
      <c r="AC803" s="85"/>
      <c r="AD803" s="85"/>
      <c r="AE803" s="85"/>
    </row>
    <row r="804">
      <c r="A804" s="83"/>
      <c r="B804" s="84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  <c r="AB804" s="85"/>
      <c r="AC804" s="85"/>
      <c r="AD804" s="85"/>
      <c r="AE804" s="85"/>
    </row>
    <row r="805">
      <c r="A805" s="83"/>
      <c r="B805" s="84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  <c r="AB805" s="85"/>
      <c r="AC805" s="85"/>
      <c r="AD805" s="85"/>
      <c r="AE805" s="85"/>
    </row>
    <row r="806">
      <c r="A806" s="83"/>
      <c r="B806" s="84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  <c r="AB806" s="85"/>
      <c r="AC806" s="85"/>
      <c r="AD806" s="85"/>
      <c r="AE806" s="85"/>
    </row>
    <row r="807">
      <c r="A807" s="83"/>
      <c r="B807" s="84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  <c r="AB807" s="85"/>
      <c r="AC807" s="85"/>
      <c r="AD807" s="85"/>
      <c r="AE807" s="85"/>
    </row>
    <row r="808">
      <c r="A808" s="83"/>
      <c r="B808" s="84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  <c r="AB808" s="85"/>
      <c r="AC808" s="85"/>
      <c r="AD808" s="85"/>
      <c r="AE808" s="85"/>
    </row>
    <row r="809">
      <c r="A809" s="83"/>
      <c r="B809" s="84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  <c r="AB809" s="85"/>
      <c r="AC809" s="85"/>
      <c r="AD809" s="85"/>
      <c r="AE809" s="85"/>
    </row>
    <row r="810">
      <c r="A810" s="83"/>
      <c r="B810" s="84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  <c r="AB810" s="85"/>
      <c r="AC810" s="85"/>
      <c r="AD810" s="85"/>
      <c r="AE810" s="85"/>
    </row>
    <row r="811">
      <c r="A811" s="83"/>
      <c r="B811" s="84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  <c r="AB811" s="85"/>
      <c r="AC811" s="85"/>
      <c r="AD811" s="85"/>
      <c r="AE811" s="85"/>
    </row>
    <row r="812">
      <c r="A812" s="83"/>
      <c r="B812" s="84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  <c r="AB812" s="85"/>
      <c r="AC812" s="85"/>
      <c r="AD812" s="85"/>
      <c r="AE812" s="85"/>
    </row>
    <row r="813">
      <c r="A813" s="83"/>
      <c r="B813" s="84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  <c r="AB813" s="85"/>
      <c r="AC813" s="85"/>
      <c r="AD813" s="85"/>
      <c r="AE813" s="85"/>
    </row>
    <row r="814">
      <c r="A814" s="83"/>
      <c r="B814" s="84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  <c r="AB814" s="85"/>
      <c r="AC814" s="85"/>
      <c r="AD814" s="85"/>
      <c r="AE814" s="85"/>
    </row>
    <row r="815">
      <c r="A815" s="83"/>
      <c r="B815" s="84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  <c r="AB815" s="85"/>
      <c r="AC815" s="85"/>
      <c r="AD815" s="85"/>
      <c r="AE815" s="85"/>
    </row>
    <row r="816">
      <c r="A816" s="83"/>
      <c r="B816" s="84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  <c r="AB816" s="85"/>
      <c r="AC816" s="85"/>
      <c r="AD816" s="85"/>
      <c r="AE816" s="85"/>
    </row>
    <row r="817">
      <c r="A817" s="83"/>
      <c r="B817" s="84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  <c r="AB817" s="85"/>
      <c r="AC817" s="85"/>
      <c r="AD817" s="85"/>
      <c r="AE817" s="85"/>
    </row>
    <row r="818">
      <c r="A818" s="83"/>
      <c r="B818" s="84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  <c r="AB818" s="85"/>
      <c r="AC818" s="85"/>
      <c r="AD818" s="85"/>
      <c r="AE818" s="85"/>
    </row>
    <row r="819">
      <c r="A819" s="83"/>
      <c r="B819" s="84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  <c r="AB819" s="85"/>
      <c r="AC819" s="85"/>
      <c r="AD819" s="85"/>
      <c r="AE819" s="85"/>
    </row>
    <row r="820">
      <c r="A820" s="83"/>
      <c r="B820" s="84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  <c r="AB820" s="85"/>
      <c r="AC820" s="85"/>
      <c r="AD820" s="85"/>
      <c r="AE820" s="85"/>
    </row>
    <row r="821">
      <c r="A821" s="83"/>
      <c r="B821" s="84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  <c r="AB821" s="85"/>
      <c r="AC821" s="85"/>
      <c r="AD821" s="85"/>
      <c r="AE821" s="85"/>
    </row>
    <row r="822">
      <c r="A822" s="83"/>
      <c r="B822" s="84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  <c r="AB822" s="85"/>
      <c r="AC822" s="85"/>
      <c r="AD822" s="85"/>
      <c r="AE822" s="85"/>
    </row>
    <row r="823">
      <c r="A823" s="83"/>
      <c r="B823" s="84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  <c r="AB823" s="85"/>
      <c r="AC823" s="85"/>
      <c r="AD823" s="85"/>
      <c r="AE823" s="85"/>
    </row>
    <row r="824">
      <c r="A824" s="83"/>
      <c r="B824" s="84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  <c r="AB824" s="85"/>
      <c r="AC824" s="85"/>
      <c r="AD824" s="85"/>
      <c r="AE824" s="85"/>
    </row>
    <row r="825">
      <c r="A825" s="83"/>
      <c r="B825" s="84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  <c r="AB825" s="85"/>
      <c r="AC825" s="85"/>
      <c r="AD825" s="85"/>
      <c r="AE825" s="85"/>
    </row>
    <row r="826">
      <c r="A826" s="83"/>
      <c r="B826" s="84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  <c r="AB826" s="85"/>
      <c r="AC826" s="85"/>
      <c r="AD826" s="85"/>
      <c r="AE826" s="85"/>
    </row>
    <row r="827">
      <c r="A827" s="83"/>
      <c r="B827" s="84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  <c r="AB827" s="85"/>
      <c r="AC827" s="85"/>
      <c r="AD827" s="85"/>
      <c r="AE827" s="85"/>
    </row>
    <row r="828">
      <c r="A828" s="83"/>
      <c r="B828" s="84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  <c r="AB828" s="85"/>
      <c r="AC828" s="85"/>
      <c r="AD828" s="85"/>
      <c r="AE828" s="85"/>
    </row>
    <row r="829">
      <c r="A829" s="83"/>
      <c r="B829" s="84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  <c r="AB829" s="85"/>
      <c r="AC829" s="85"/>
      <c r="AD829" s="85"/>
      <c r="AE829" s="85"/>
    </row>
    <row r="830">
      <c r="A830" s="83"/>
      <c r="B830" s="84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  <c r="AB830" s="85"/>
      <c r="AC830" s="85"/>
      <c r="AD830" s="85"/>
      <c r="AE830" s="85"/>
    </row>
    <row r="831">
      <c r="A831" s="83"/>
      <c r="B831" s="84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  <c r="AB831" s="85"/>
      <c r="AC831" s="85"/>
      <c r="AD831" s="85"/>
      <c r="AE831" s="85"/>
    </row>
    <row r="832">
      <c r="A832" s="83"/>
      <c r="B832" s="84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  <c r="AB832" s="85"/>
      <c r="AC832" s="85"/>
      <c r="AD832" s="85"/>
      <c r="AE832" s="85"/>
    </row>
    <row r="833">
      <c r="A833" s="83"/>
      <c r="B833" s="84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  <c r="AB833" s="85"/>
      <c r="AC833" s="85"/>
      <c r="AD833" s="85"/>
      <c r="AE833" s="85"/>
    </row>
    <row r="834">
      <c r="A834" s="83"/>
      <c r="B834" s="84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  <c r="AB834" s="85"/>
      <c r="AC834" s="85"/>
      <c r="AD834" s="85"/>
      <c r="AE834" s="85"/>
    </row>
    <row r="835">
      <c r="A835" s="83"/>
      <c r="B835" s="84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  <c r="AB835" s="85"/>
      <c r="AC835" s="85"/>
      <c r="AD835" s="85"/>
      <c r="AE835" s="85"/>
    </row>
    <row r="836">
      <c r="A836" s="83"/>
      <c r="B836" s="84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  <c r="AB836" s="85"/>
      <c r="AC836" s="85"/>
      <c r="AD836" s="85"/>
      <c r="AE836" s="85"/>
    </row>
    <row r="837">
      <c r="A837" s="83"/>
      <c r="B837" s="84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  <c r="AB837" s="85"/>
      <c r="AC837" s="85"/>
      <c r="AD837" s="85"/>
      <c r="AE837" s="85"/>
    </row>
    <row r="838">
      <c r="A838" s="83"/>
      <c r="B838" s="84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  <c r="AB838" s="85"/>
      <c r="AC838" s="85"/>
      <c r="AD838" s="85"/>
      <c r="AE838" s="85"/>
    </row>
    <row r="839">
      <c r="A839" s="83"/>
      <c r="B839" s="84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</row>
    <row r="840">
      <c r="A840" s="83"/>
      <c r="B840" s="84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  <c r="AB840" s="85"/>
      <c r="AC840" s="85"/>
      <c r="AD840" s="85"/>
      <c r="AE840" s="85"/>
    </row>
    <row r="841">
      <c r="A841" s="83"/>
      <c r="B841" s="84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  <c r="AB841" s="85"/>
      <c r="AC841" s="85"/>
      <c r="AD841" s="85"/>
      <c r="AE841" s="85"/>
    </row>
    <row r="842">
      <c r="A842" s="83"/>
      <c r="B842" s="84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  <c r="AB842" s="85"/>
      <c r="AC842" s="85"/>
      <c r="AD842" s="85"/>
      <c r="AE842" s="85"/>
    </row>
    <row r="843">
      <c r="A843" s="83"/>
      <c r="B843" s="84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  <c r="AB843" s="85"/>
      <c r="AC843" s="85"/>
      <c r="AD843" s="85"/>
      <c r="AE843" s="85"/>
    </row>
    <row r="844">
      <c r="A844" s="83"/>
      <c r="B844" s="84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  <c r="AB844" s="85"/>
      <c r="AC844" s="85"/>
      <c r="AD844" s="85"/>
      <c r="AE844" s="85"/>
    </row>
    <row r="845">
      <c r="A845" s="83"/>
      <c r="B845" s="84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  <c r="AB845" s="85"/>
      <c r="AC845" s="85"/>
      <c r="AD845" s="85"/>
      <c r="AE845" s="85"/>
    </row>
    <row r="846">
      <c r="A846" s="83"/>
      <c r="B846" s="84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  <c r="AB846" s="85"/>
      <c r="AC846" s="85"/>
      <c r="AD846" s="85"/>
      <c r="AE846" s="85"/>
    </row>
    <row r="847">
      <c r="A847" s="83"/>
      <c r="B847" s="84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  <c r="AB847" s="85"/>
      <c r="AC847" s="85"/>
      <c r="AD847" s="85"/>
      <c r="AE847" s="85"/>
    </row>
    <row r="848">
      <c r="A848" s="83"/>
      <c r="B848" s="84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  <c r="AB848" s="85"/>
      <c r="AC848" s="85"/>
      <c r="AD848" s="85"/>
      <c r="AE848" s="85"/>
    </row>
    <row r="849">
      <c r="A849" s="83"/>
      <c r="B849" s="84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  <c r="AB849" s="85"/>
      <c r="AC849" s="85"/>
      <c r="AD849" s="85"/>
      <c r="AE849" s="85"/>
    </row>
    <row r="850">
      <c r="A850" s="83"/>
      <c r="B850" s="84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  <c r="AB850" s="85"/>
      <c r="AC850" s="85"/>
      <c r="AD850" s="85"/>
      <c r="AE850" s="85"/>
    </row>
    <row r="851">
      <c r="A851" s="83"/>
      <c r="B851" s="84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  <c r="AB851" s="85"/>
      <c r="AC851" s="85"/>
      <c r="AD851" s="85"/>
      <c r="AE851" s="85"/>
    </row>
    <row r="852">
      <c r="A852" s="83"/>
      <c r="B852" s="84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  <c r="AB852" s="85"/>
      <c r="AC852" s="85"/>
      <c r="AD852" s="85"/>
      <c r="AE852" s="85"/>
    </row>
    <row r="853">
      <c r="A853" s="83"/>
      <c r="B853" s="84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  <c r="AB853" s="85"/>
      <c r="AC853" s="85"/>
      <c r="AD853" s="85"/>
      <c r="AE853" s="85"/>
    </row>
    <row r="854">
      <c r="A854" s="83"/>
      <c r="B854" s="84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  <c r="AB854" s="85"/>
      <c r="AC854" s="85"/>
      <c r="AD854" s="85"/>
      <c r="AE854" s="85"/>
    </row>
    <row r="855">
      <c r="A855" s="83"/>
      <c r="B855" s="84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  <c r="AB855" s="85"/>
      <c r="AC855" s="85"/>
      <c r="AD855" s="85"/>
      <c r="AE855" s="85"/>
    </row>
    <row r="856">
      <c r="A856" s="83"/>
      <c r="B856" s="84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  <c r="AB856" s="85"/>
      <c r="AC856" s="85"/>
      <c r="AD856" s="85"/>
      <c r="AE856" s="85"/>
    </row>
    <row r="857">
      <c r="A857" s="83"/>
      <c r="B857" s="84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  <c r="AB857" s="85"/>
      <c r="AC857" s="85"/>
      <c r="AD857" s="85"/>
      <c r="AE857" s="85"/>
    </row>
    <row r="858">
      <c r="A858" s="83"/>
      <c r="B858" s="84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  <c r="AB858" s="85"/>
      <c r="AC858" s="85"/>
      <c r="AD858" s="85"/>
      <c r="AE858" s="85"/>
    </row>
    <row r="859">
      <c r="A859" s="83"/>
      <c r="B859" s="84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  <c r="AB859" s="85"/>
      <c r="AC859" s="85"/>
      <c r="AD859" s="85"/>
      <c r="AE859" s="85"/>
    </row>
    <row r="860">
      <c r="A860" s="83"/>
      <c r="B860" s="84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  <c r="AB860" s="85"/>
      <c r="AC860" s="85"/>
      <c r="AD860" s="85"/>
      <c r="AE860" s="85"/>
    </row>
    <row r="861">
      <c r="A861" s="83"/>
      <c r="B861" s="84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  <c r="AB861" s="85"/>
      <c r="AC861" s="85"/>
      <c r="AD861" s="85"/>
      <c r="AE861" s="85"/>
    </row>
    <row r="862">
      <c r="A862" s="83"/>
      <c r="B862" s="84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  <c r="AB862" s="85"/>
      <c r="AC862" s="85"/>
      <c r="AD862" s="85"/>
      <c r="AE862" s="85"/>
    </row>
    <row r="863">
      <c r="A863" s="83"/>
      <c r="B863" s="84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  <c r="AB863" s="85"/>
      <c r="AC863" s="85"/>
      <c r="AD863" s="85"/>
      <c r="AE863" s="85"/>
    </row>
    <row r="864">
      <c r="A864" s="83"/>
      <c r="B864" s="84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  <c r="AB864" s="85"/>
      <c r="AC864" s="85"/>
      <c r="AD864" s="85"/>
      <c r="AE864" s="85"/>
    </row>
    <row r="865">
      <c r="A865" s="83"/>
      <c r="B865" s="84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  <c r="AB865" s="85"/>
      <c r="AC865" s="85"/>
      <c r="AD865" s="85"/>
      <c r="AE865" s="85"/>
    </row>
    <row r="866">
      <c r="A866" s="83"/>
      <c r="B866" s="84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  <c r="AB866" s="85"/>
      <c r="AC866" s="85"/>
      <c r="AD866" s="85"/>
      <c r="AE866" s="85"/>
    </row>
    <row r="867">
      <c r="A867" s="83"/>
      <c r="B867" s="84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  <c r="AB867" s="85"/>
      <c r="AC867" s="85"/>
      <c r="AD867" s="85"/>
      <c r="AE867" s="85"/>
    </row>
    <row r="868">
      <c r="A868" s="83"/>
      <c r="B868" s="84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  <c r="AB868" s="85"/>
      <c r="AC868" s="85"/>
      <c r="AD868" s="85"/>
      <c r="AE868" s="85"/>
    </row>
    <row r="869">
      <c r="A869" s="83"/>
      <c r="B869" s="84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  <c r="AB869" s="85"/>
      <c r="AC869" s="85"/>
      <c r="AD869" s="85"/>
      <c r="AE869" s="85"/>
    </row>
    <row r="870">
      <c r="A870" s="83"/>
      <c r="B870" s="84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  <c r="AB870" s="85"/>
      <c r="AC870" s="85"/>
      <c r="AD870" s="85"/>
      <c r="AE870" s="85"/>
    </row>
    <row r="871">
      <c r="A871" s="83"/>
      <c r="B871" s="84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  <c r="AB871" s="85"/>
      <c r="AC871" s="85"/>
      <c r="AD871" s="85"/>
      <c r="AE871" s="85"/>
    </row>
    <row r="872">
      <c r="A872" s="83"/>
      <c r="B872" s="84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  <c r="AB872" s="85"/>
      <c r="AC872" s="85"/>
      <c r="AD872" s="85"/>
      <c r="AE872" s="85"/>
    </row>
    <row r="873">
      <c r="A873" s="83"/>
      <c r="B873" s="84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  <c r="AB873" s="85"/>
      <c r="AC873" s="85"/>
      <c r="AD873" s="85"/>
      <c r="AE873" s="85"/>
    </row>
    <row r="874">
      <c r="A874" s="83"/>
      <c r="B874" s="84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  <c r="AB874" s="85"/>
      <c r="AC874" s="85"/>
      <c r="AD874" s="85"/>
      <c r="AE874" s="85"/>
    </row>
    <row r="875">
      <c r="A875" s="83"/>
      <c r="B875" s="84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  <c r="AB875" s="85"/>
      <c r="AC875" s="85"/>
      <c r="AD875" s="85"/>
      <c r="AE875" s="85"/>
    </row>
    <row r="876">
      <c r="A876" s="83"/>
      <c r="B876" s="84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  <c r="AB876" s="85"/>
      <c r="AC876" s="85"/>
      <c r="AD876" s="85"/>
      <c r="AE876" s="85"/>
    </row>
    <row r="877">
      <c r="A877" s="83"/>
      <c r="B877" s="84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</row>
    <row r="878">
      <c r="A878" s="83"/>
      <c r="B878" s="84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  <c r="AB878" s="85"/>
      <c r="AC878" s="85"/>
      <c r="AD878" s="85"/>
      <c r="AE878" s="85"/>
    </row>
    <row r="879">
      <c r="A879" s="83"/>
      <c r="B879" s="84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  <c r="AB879" s="85"/>
      <c r="AC879" s="85"/>
      <c r="AD879" s="85"/>
      <c r="AE879" s="85"/>
    </row>
    <row r="880">
      <c r="A880" s="83"/>
      <c r="B880" s="84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  <c r="AB880" s="85"/>
      <c r="AC880" s="85"/>
      <c r="AD880" s="85"/>
      <c r="AE880" s="85"/>
    </row>
    <row r="881">
      <c r="A881" s="83"/>
      <c r="B881" s="84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  <c r="AB881" s="85"/>
      <c r="AC881" s="85"/>
      <c r="AD881" s="85"/>
      <c r="AE881" s="85"/>
    </row>
    <row r="882">
      <c r="A882" s="83"/>
      <c r="B882" s="84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  <c r="AB882" s="85"/>
      <c r="AC882" s="85"/>
      <c r="AD882" s="85"/>
      <c r="AE882" s="85"/>
    </row>
    <row r="883">
      <c r="A883" s="83"/>
      <c r="B883" s="84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  <c r="AB883" s="85"/>
      <c r="AC883" s="85"/>
      <c r="AD883" s="85"/>
      <c r="AE883" s="85"/>
    </row>
    <row r="884">
      <c r="A884" s="83"/>
      <c r="B884" s="84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  <c r="AB884" s="85"/>
      <c r="AC884" s="85"/>
      <c r="AD884" s="85"/>
      <c r="AE884" s="85"/>
    </row>
    <row r="885">
      <c r="A885" s="83"/>
      <c r="B885" s="84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  <c r="AB885" s="85"/>
      <c r="AC885" s="85"/>
      <c r="AD885" s="85"/>
      <c r="AE885" s="85"/>
    </row>
    <row r="886">
      <c r="A886" s="83"/>
      <c r="B886" s="84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</row>
    <row r="887">
      <c r="A887" s="83"/>
      <c r="B887" s="84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  <c r="AB887" s="85"/>
      <c r="AC887" s="85"/>
      <c r="AD887" s="85"/>
      <c r="AE887" s="85"/>
    </row>
    <row r="888">
      <c r="A888" s="83"/>
      <c r="B888" s="84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  <c r="AB888" s="85"/>
      <c r="AC888" s="85"/>
      <c r="AD888" s="85"/>
      <c r="AE888" s="85"/>
    </row>
    <row r="889">
      <c r="A889" s="83"/>
      <c r="B889" s="84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  <c r="AB889" s="85"/>
      <c r="AC889" s="85"/>
      <c r="AD889" s="85"/>
      <c r="AE889" s="85"/>
    </row>
    <row r="890">
      <c r="A890" s="83"/>
      <c r="B890" s="84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  <c r="AB890" s="85"/>
      <c r="AC890" s="85"/>
      <c r="AD890" s="85"/>
      <c r="AE890" s="85"/>
    </row>
    <row r="891">
      <c r="A891" s="83"/>
      <c r="B891" s="84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  <c r="AB891" s="85"/>
      <c r="AC891" s="85"/>
      <c r="AD891" s="85"/>
      <c r="AE891" s="85"/>
    </row>
    <row r="892">
      <c r="A892" s="83"/>
      <c r="B892" s="84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  <c r="AB892" s="85"/>
      <c r="AC892" s="85"/>
      <c r="AD892" s="85"/>
      <c r="AE892" s="85"/>
    </row>
    <row r="893">
      <c r="A893" s="83"/>
      <c r="B893" s="84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  <c r="AB893" s="85"/>
      <c r="AC893" s="85"/>
      <c r="AD893" s="85"/>
      <c r="AE893" s="85"/>
    </row>
    <row r="894">
      <c r="A894" s="83"/>
      <c r="B894" s="84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  <c r="AB894" s="85"/>
      <c r="AC894" s="85"/>
      <c r="AD894" s="85"/>
      <c r="AE894" s="85"/>
    </row>
    <row r="895">
      <c r="A895" s="83"/>
      <c r="B895" s="84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  <c r="AB895" s="85"/>
      <c r="AC895" s="85"/>
      <c r="AD895" s="85"/>
      <c r="AE895" s="85"/>
    </row>
    <row r="896">
      <c r="A896" s="83"/>
      <c r="B896" s="84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  <c r="AB896" s="85"/>
      <c r="AC896" s="85"/>
      <c r="AD896" s="85"/>
      <c r="AE896" s="85"/>
    </row>
    <row r="897">
      <c r="A897" s="83"/>
      <c r="B897" s="84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  <c r="AB897" s="85"/>
      <c r="AC897" s="85"/>
      <c r="AD897" s="85"/>
      <c r="AE897" s="85"/>
    </row>
    <row r="898">
      <c r="A898" s="83"/>
      <c r="B898" s="84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  <c r="AB898" s="85"/>
      <c r="AC898" s="85"/>
      <c r="AD898" s="85"/>
      <c r="AE898" s="85"/>
    </row>
    <row r="899">
      <c r="A899" s="83"/>
      <c r="B899" s="84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  <c r="AB899" s="85"/>
      <c r="AC899" s="85"/>
      <c r="AD899" s="85"/>
      <c r="AE899" s="85"/>
    </row>
    <row r="900">
      <c r="A900" s="83"/>
      <c r="B900" s="84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  <c r="AB900" s="85"/>
      <c r="AC900" s="85"/>
      <c r="AD900" s="85"/>
      <c r="AE900" s="85"/>
    </row>
    <row r="901">
      <c r="A901" s="83"/>
      <c r="B901" s="84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  <c r="AB901" s="85"/>
      <c r="AC901" s="85"/>
      <c r="AD901" s="85"/>
      <c r="AE901" s="85"/>
    </row>
    <row r="902">
      <c r="A902" s="83"/>
      <c r="B902" s="84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  <c r="AB902" s="85"/>
      <c r="AC902" s="85"/>
      <c r="AD902" s="85"/>
      <c r="AE902" s="85"/>
    </row>
    <row r="903">
      <c r="A903" s="83"/>
      <c r="B903" s="84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  <c r="AB903" s="85"/>
      <c r="AC903" s="85"/>
      <c r="AD903" s="85"/>
      <c r="AE903" s="85"/>
    </row>
    <row r="904">
      <c r="A904" s="83"/>
      <c r="B904" s="84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  <c r="AB904" s="85"/>
      <c r="AC904" s="85"/>
      <c r="AD904" s="85"/>
      <c r="AE904" s="85"/>
    </row>
    <row r="905">
      <c r="A905" s="83"/>
      <c r="B905" s="84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  <c r="AB905" s="85"/>
      <c r="AC905" s="85"/>
      <c r="AD905" s="85"/>
      <c r="AE905" s="85"/>
    </row>
    <row r="906">
      <c r="A906" s="83"/>
      <c r="B906" s="84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  <c r="AB906" s="85"/>
      <c r="AC906" s="85"/>
      <c r="AD906" s="85"/>
      <c r="AE906" s="85"/>
    </row>
    <row r="907">
      <c r="A907" s="83"/>
      <c r="B907" s="84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  <c r="AB907" s="85"/>
      <c r="AC907" s="85"/>
      <c r="AD907" s="85"/>
      <c r="AE907" s="85"/>
    </row>
    <row r="908">
      <c r="A908" s="83"/>
      <c r="B908" s="84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  <c r="AB908" s="85"/>
      <c r="AC908" s="85"/>
      <c r="AD908" s="85"/>
      <c r="AE908" s="85"/>
    </row>
    <row r="909">
      <c r="A909" s="83"/>
      <c r="B909" s="84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  <c r="AB909" s="85"/>
      <c r="AC909" s="85"/>
      <c r="AD909" s="85"/>
      <c r="AE909" s="85"/>
    </row>
    <row r="910">
      <c r="A910" s="83"/>
      <c r="B910" s="84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  <c r="AB910" s="85"/>
      <c r="AC910" s="85"/>
      <c r="AD910" s="85"/>
      <c r="AE910" s="85"/>
    </row>
    <row r="911">
      <c r="A911" s="83"/>
      <c r="B911" s="84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  <c r="AB911" s="85"/>
      <c r="AC911" s="85"/>
      <c r="AD911" s="85"/>
      <c r="AE911" s="85"/>
    </row>
    <row r="912">
      <c r="A912" s="83"/>
      <c r="B912" s="84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  <c r="AB912" s="85"/>
      <c r="AC912" s="85"/>
      <c r="AD912" s="85"/>
      <c r="AE912" s="85"/>
    </row>
    <row r="913">
      <c r="A913" s="83"/>
      <c r="B913" s="84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  <c r="AB913" s="85"/>
      <c r="AC913" s="85"/>
      <c r="AD913" s="85"/>
      <c r="AE913" s="85"/>
    </row>
    <row r="914">
      <c r="A914" s="83"/>
      <c r="B914" s="84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  <c r="AB914" s="85"/>
      <c r="AC914" s="85"/>
      <c r="AD914" s="85"/>
      <c r="AE914" s="85"/>
    </row>
    <row r="915">
      <c r="A915" s="83"/>
      <c r="B915" s="84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</row>
    <row r="916">
      <c r="A916" s="83"/>
      <c r="B916" s="84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  <c r="AB916" s="85"/>
      <c r="AC916" s="85"/>
      <c r="AD916" s="85"/>
      <c r="AE916" s="85"/>
    </row>
    <row r="917">
      <c r="A917" s="83"/>
      <c r="B917" s="84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  <c r="AB917" s="85"/>
      <c r="AC917" s="85"/>
      <c r="AD917" s="85"/>
      <c r="AE917" s="85"/>
    </row>
    <row r="918">
      <c r="A918" s="83"/>
      <c r="B918" s="84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  <c r="AB918" s="85"/>
      <c r="AC918" s="85"/>
      <c r="AD918" s="85"/>
      <c r="AE918" s="85"/>
    </row>
    <row r="919">
      <c r="A919" s="83"/>
      <c r="B919" s="84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  <c r="AB919" s="85"/>
      <c r="AC919" s="85"/>
      <c r="AD919" s="85"/>
      <c r="AE919" s="85"/>
    </row>
    <row r="920">
      <c r="A920" s="83"/>
      <c r="B920" s="84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  <c r="AB920" s="85"/>
      <c r="AC920" s="85"/>
      <c r="AD920" s="85"/>
      <c r="AE920" s="85"/>
    </row>
    <row r="921">
      <c r="A921" s="83"/>
      <c r="B921" s="84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  <c r="AB921" s="85"/>
      <c r="AC921" s="85"/>
      <c r="AD921" s="85"/>
      <c r="AE921" s="85"/>
    </row>
    <row r="922">
      <c r="A922" s="83"/>
      <c r="B922" s="84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  <c r="AB922" s="85"/>
      <c r="AC922" s="85"/>
      <c r="AD922" s="85"/>
      <c r="AE922" s="85"/>
    </row>
    <row r="923">
      <c r="A923" s="83"/>
      <c r="B923" s="84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  <c r="AB923" s="85"/>
      <c r="AC923" s="85"/>
      <c r="AD923" s="85"/>
      <c r="AE923" s="85"/>
    </row>
    <row r="924">
      <c r="A924" s="83"/>
      <c r="B924" s="84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  <c r="AB924" s="85"/>
      <c r="AC924" s="85"/>
      <c r="AD924" s="85"/>
      <c r="AE924" s="85"/>
    </row>
    <row r="925">
      <c r="A925" s="83"/>
      <c r="B925" s="84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  <c r="AB925" s="85"/>
      <c r="AC925" s="85"/>
      <c r="AD925" s="85"/>
      <c r="AE925" s="85"/>
    </row>
    <row r="926">
      <c r="A926" s="83"/>
      <c r="B926" s="84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  <c r="AB926" s="85"/>
      <c r="AC926" s="85"/>
      <c r="AD926" s="85"/>
      <c r="AE926" s="85"/>
    </row>
    <row r="927">
      <c r="A927" s="83"/>
      <c r="B927" s="84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  <c r="AB927" s="85"/>
      <c r="AC927" s="85"/>
      <c r="AD927" s="85"/>
      <c r="AE927" s="85"/>
    </row>
    <row r="928">
      <c r="A928" s="83"/>
      <c r="B928" s="84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  <c r="AB928" s="85"/>
      <c r="AC928" s="85"/>
      <c r="AD928" s="85"/>
      <c r="AE928" s="85"/>
    </row>
    <row r="929">
      <c r="A929" s="83"/>
      <c r="B929" s="84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  <c r="AB929" s="85"/>
      <c r="AC929" s="85"/>
      <c r="AD929" s="85"/>
      <c r="AE929" s="85"/>
    </row>
    <row r="930">
      <c r="A930" s="83"/>
      <c r="B930" s="84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  <c r="AB930" s="85"/>
      <c r="AC930" s="85"/>
      <c r="AD930" s="85"/>
      <c r="AE930" s="85"/>
    </row>
    <row r="931">
      <c r="A931" s="83"/>
      <c r="B931" s="84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  <c r="AB931" s="85"/>
      <c r="AC931" s="85"/>
      <c r="AD931" s="85"/>
      <c r="AE931" s="85"/>
    </row>
    <row r="932">
      <c r="A932" s="83"/>
      <c r="B932" s="84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  <c r="AB932" s="85"/>
      <c r="AC932" s="85"/>
      <c r="AD932" s="85"/>
      <c r="AE932" s="85"/>
    </row>
    <row r="933">
      <c r="A933" s="83"/>
      <c r="B933" s="84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  <c r="AB933" s="85"/>
      <c r="AC933" s="85"/>
      <c r="AD933" s="85"/>
      <c r="AE933" s="85"/>
    </row>
    <row r="934">
      <c r="A934" s="83"/>
      <c r="B934" s="84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  <c r="AB934" s="85"/>
      <c r="AC934" s="85"/>
      <c r="AD934" s="85"/>
      <c r="AE934" s="85"/>
    </row>
    <row r="935">
      <c r="A935" s="83"/>
      <c r="B935" s="84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  <c r="AB935" s="85"/>
      <c r="AC935" s="85"/>
      <c r="AD935" s="85"/>
      <c r="AE935" s="85"/>
    </row>
    <row r="936">
      <c r="A936" s="83"/>
      <c r="B936" s="84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  <c r="AB936" s="85"/>
      <c r="AC936" s="85"/>
      <c r="AD936" s="85"/>
      <c r="AE936" s="85"/>
    </row>
    <row r="937">
      <c r="A937" s="83"/>
      <c r="B937" s="84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  <c r="AA937" s="85"/>
      <c r="AB937" s="85"/>
      <c r="AC937" s="85"/>
      <c r="AD937" s="85"/>
      <c r="AE937" s="85"/>
    </row>
    <row r="938">
      <c r="A938" s="83"/>
      <c r="B938" s="84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  <c r="AA938" s="85"/>
      <c r="AB938" s="85"/>
      <c r="AC938" s="85"/>
      <c r="AD938" s="85"/>
      <c r="AE938" s="85"/>
    </row>
    <row r="939">
      <c r="A939" s="83"/>
      <c r="B939" s="84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85"/>
      <c r="AB939" s="85"/>
      <c r="AC939" s="85"/>
      <c r="AD939" s="85"/>
      <c r="AE939" s="85"/>
    </row>
    <row r="940">
      <c r="A940" s="83"/>
      <c r="B940" s="84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  <c r="AA940" s="85"/>
      <c r="AB940" s="85"/>
      <c r="AC940" s="85"/>
      <c r="AD940" s="85"/>
      <c r="AE940" s="85"/>
    </row>
    <row r="941">
      <c r="A941" s="83"/>
      <c r="B941" s="84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85"/>
      <c r="AB941" s="85"/>
      <c r="AC941" s="85"/>
      <c r="AD941" s="85"/>
      <c r="AE941" s="85"/>
    </row>
    <row r="942">
      <c r="A942" s="83"/>
      <c r="B942" s="84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  <c r="AA942" s="85"/>
      <c r="AB942" s="85"/>
      <c r="AC942" s="85"/>
      <c r="AD942" s="85"/>
      <c r="AE942" s="85"/>
    </row>
    <row r="943">
      <c r="A943" s="83"/>
      <c r="B943" s="84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85"/>
      <c r="AB943" s="85"/>
      <c r="AC943" s="85"/>
      <c r="AD943" s="85"/>
      <c r="AE943" s="85"/>
    </row>
    <row r="944">
      <c r="A944" s="83"/>
      <c r="B944" s="84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  <c r="AA944" s="85"/>
      <c r="AB944" s="85"/>
      <c r="AC944" s="85"/>
      <c r="AD944" s="85"/>
      <c r="AE944" s="85"/>
    </row>
    <row r="945">
      <c r="A945" s="83"/>
      <c r="B945" s="84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85"/>
      <c r="AB945" s="85"/>
      <c r="AC945" s="85"/>
      <c r="AD945" s="85"/>
      <c r="AE945" s="85"/>
    </row>
    <row r="946">
      <c r="A946" s="83"/>
      <c r="B946" s="84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  <c r="AA946" s="85"/>
      <c r="AB946" s="85"/>
      <c r="AC946" s="85"/>
      <c r="AD946" s="85"/>
      <c r="AE946" s="85"/>
    </row>
    <row r="947">
      <c r="A947" s="83"/>
      <c r="B947" s="84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  <c r="AA947" s="85"/>
      <c r="AB947" s="85"/>
      <c r="AC947" s="85"/>
      <c r="AD947" s="85"/>
      <c r="AE947" s="85"/>
    </row>
    <row r="948">
      <c r="A948" s="83"/>
      <c r="B948" s="84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  <c r="AA948" s="85"/>
      <c r="AB948" s="85"/>
      <c r="AC948" s="85"/>
      <c r="AD948" s="85"/>
      <c r="AE948" s="85"/>
    </row>
    <row r="949">
      <c r="A949" s="83"/>
      <c r="B949" s="84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  <c r="AA949" s="85"/>
      <c r="AB949" s="85"/>
      <c r="AC949" s="85"/>
      <c r="AD949" s="85"/>
      <c r="AE949" s="85"/>
    </row>
    <row r="950">
      <c r="A950" s="83"/>
      <c r="B950" s="84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  <c r="AB950" s="85"/>
      <c r="AC950" s="85"/>
      <c r="AD950" s="85"/>
      <c r="AE950" s="85"/>
    </row>
    <row r="951">
      <c r="A951" s="83"/>
      <c r="B951" s="84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85"/>
      <c r="AB951" s="85"/>
      <c r="AC951" s="85"/>
      <c r="AD951" s="85"/>
      <c r="AE951" s="85"/>
    </row>
    <row r="952">
      <c r="A952" s="83"/>
      <c r="B952" s="84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  <c r="AA952" s="85"/>
      <c r="AB952" s="85"/>
      <c r="AC952" s="85"/>
      <c r="AD952" s="85"/>
      <c r="AE952" s="85"/>
    </row>
    <row r="953">
      <c r="A953" s="83"/>
      <c r="B953" s="84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</row>
    <row r="954">
      <c r="A954" s="83"/>
      <c r="B954" s="84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  <c r="AA954" s="85"/>
      <c r="AB954" s="85"/>
      <c r="AC954" s="85"/>
      <c r="AD954" s="85"/>
      <c r="AE954" s="85"/>
    </row>
    <row r="955">
      <c r="A955" s="83"/>
      <c r="B955" s="84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85"/>
      <c r="AB955" s="85"/>
      <c r="AC955" s="85"/>
      <c r="AD955" s="85"/>
      <c r="AE955" s="85"/>
    </row>
    <row r="956">
      <c r="A956" s="83"/>
      <c r="B956" s="84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  <c r="AA956" s="85"/>
      <c r="AB956" s="85"/>
      <c r="AC956" s="85"/>
      <c r="AD956" s="85"/>
      <c r="AE956" s="85"/>
    </row>
    <row r="957">
      <c r="A957" s="83"/>
      <c r="B957" s="84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85"/>
      <c r="AB957" s="85"/>
      <c r="AC957" s="85"/>
      <c r="AD957" s="85"/>
      <c r="AE957" s="85"/>
    </row>
    <row r="958">
      <c r="A958" s="83"/>
      <c r="B958" s="84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  <c r="AA958" s="85"/>
      <c r="AB958" s="85"/>
      <c r="AC958" s="85"/>
      <c r="AD958" s="85"/>
      <c r="AE958" s="85"/>
    </row>
    <row r="959">
      <c r="A959" s="83"/>
      <c r="B959" s="84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  <c r="AA959" s="85"/>
      <c r="AB959" s="85"/>
      <c r="AC959" s="85"/>
      <c r="AD959" s="85"/>
      <c r="AE959" s="85"/>
    </row>
    <row r="960">
      <c r="A960" s="83"/>
      <c r="B960" s="84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  <c r="AA960" s="85"/>
      <c r="AB960" s="85"/>
      <c r="AC960" s="85"/>
      <c r="AD960" s="85"/>
      <c r="AE960" s="85"/>
    </row>
    <row r="961">
      <c r="A961" s="83"/>
      <c r="B961" s="84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  <c r="AA961" s="85"/>
      <c r="AB961" s="85"/>
      <c r="AC961" s="85"/>
      <c r="AD961" s="85"/>
      <c r="AE961" s="85"/>
    </row>
    <row r="962">
      <c r="A962" s="83"/>
      <c r="B962" s="84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  <c r="AB962" s="85"/>
      <c r="AC962" s="85"/>
      <c r="AD962" s="85"/>
      <c r="AE962" s="85"/>
    </row>
    <row r="963">
      <c r="A963" s="83"/>
      <c r="B963" s="84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  <c r="AA963" s="85"/>
      <c r="AB963" s="85"/>
      <c r="AC963" s="85"/>
      <c r="AD963" s="85"/>
      <c r="AE963" s="85"/>
    </row>
    <row r="964">
      <c r="A964" s="83"/>
      <c r="B964" s="84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  <c r="AB964" s="85"/>
      <c r="AC964" s="85"/>
      <c r="AD964" s="85"/>
      <c r="AE964" s="85"/>
    </row>
    <row r="965">
      <c r="A965" s="83"/>
      <c r="B965" s="84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  <c r="AA965" s="85"/>
      <c r="AB965" s="85"/>
      <c r="AC965" s="85"/>
      <c r="AD965" s="85"/>
      <c r="AE965" s="85"/>
    </row>
    <row r="966">
      <c r="A966" s="83"/>
      <c r="B966" s="84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  <c r="AA966" s="85"/>
      <c r="AB966" s="85"/>
      <c r="AC966" s="85"/>
      <c r="AD966" s="85"/>
      <c r="AE966" s="85"/>
    </row>
    <row r="967">
      <c r="A967" s="83"/>
      <c r="B967" s="84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  <c r="AA967" s="85"/>
      <c r="AB967" s="85"/>
      <c r="AC967" s="85"/>
      <c r="AD967" s="85"/>
      <c r="AE967" s="85"/>
    </row>
    <row r="968">
      <c r="A968" s="83"/>
      <c r="B968" s="84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  <c r="AA968" s="85"/>
      <c r="AB968" s="85"/>
      <c r="AC968" s="85"/>
      <c r="AD968" s="85"/>
      <c r="AE968" s="85"/>
    </row>
    <row r="969">
      <c r="A969" s="83"/>
      <c r="B969" s="84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  <c r="AA969" s="85"/>
      <c r="AB969" s="85"/>
      <c r="AC969" s="85"/>
      <c r="AD969" s="85"/>
      <c r="AE969" s="85"/>
    </row>
    <row r="970">
      <c r="A970" s="83"/>
      <c r="B970" s="84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  <c r="AA970" s="85"/>
      <c r="AB970" s="85"/>
      <c r="AC970" s="85"/>
      <c r="AD970" s="85"/>
      <c r="AE970" s="85"/>
    </row>
    <row r="971">
      <c r="A971" s="83"/>
      <c r="B971" s="84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  <c r="AA971" s="85"/>
      <c r="AB971" s="85"/>
      <c r="AC971" s="85"/>
      <c r="AD971" s="85"/>
      <c r="AE971" s="85"/>
    </row>
    <row r="972">
      <c r="A972" s="83"/>
      <c r="B972" s="84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  <c r="AA972" s="85"/>
      <c r="AB972" s="85"/>
      <c r="AC972" s="85"/>
      <c r="AD972" s="85"/>
      <c r="AE972" s="85"/>
    </row>
    <row r="973">
      <c r="A973" s="83"/>
      <c r="B973" s="84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  <c r="AA973" s="85"/>
      <c r="AB973" s="85"/>
      <c r="AC973" s="85"/>
      <c r="AD973" s="85"/>
      <c r="AE973" s="85"/>
    </row>
    <row r="974">
      <c r="A974" s="83"/>
      <c r="B974" s="84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  <c r="AA974" s="85"/>
      <c r="AB974" s="85"/>
      <c r="AC974" s="85"/>
      <c r="AD974" s="85"/>
      <c r="AE974" s="85"/>
    </row>
    <row r="975">
      <c r="A975" s="83"/>
      <c r="B975" s="84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  <c r="AA975" s="85"/>
      <c r="AB975" s="85"/>
      <c r="AC975" s="85"/>
      <c r="AD975" s="85"/>
      <c r="AE975" s="85"/>
    </row>
    <row r="976">
      <c r="A976" s="83"/>
      <c r="B976" s="84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  <c r="AA976" s="85"/>
      <c r="AB976" s="85"/>
      <c r="AC976" s="85"/>
      <c r="AD976" s="85"/>
      <c r="AE976" s="85"/>
    </row>
    <row r="977">
      <c r="A977" s="83"/>
      <c r="B977" s="84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  <c r="AA977" s="85"/>
      <c r="AB977" s="85"/>
      <c r="AC977" s="85"/>
      <c r="AD977" s="85"/>
      <c r="AE977" s="85"/>
    </row>
    <row r="978">
      <c r="A978" s="83"/>
      <c r="B978" s="84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  <c r="AA978" s="85"/>
      <c r="AB978" s="85"/>
      <c r="AC978" s="85"/>
      <c r="AD978" s="85"/>
      <c r="AE978" s="85"/>
    </row>
    <row r="979">
      <c r="A979" s="83"/>
      <c r="B979" s="84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  <c r="AA979" s="85"/>
      <c r="AB979" s="85"/>
      <c r="AC979" s="85"/>
      <c r="AD979" s="85"/>
      <c r="AE979" s="85"/>
    </row>
    <row r="980">
      <c r="A980" s="83"/>
      <c r="B980" s="84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  <c r="AA980" s="85"/>
      <c r="AB980" s="85"/>
      <c r="AC980" s="85"/>
      <c r="AD980" s="85"/>
      <c r="AE980" s="85"/>
    </row>
    <row r="981">
      <c r="A981" s="83"/>
      <c r="B981" s="84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  <c r="AA981" s="85"/>
      <c r="AB981" s="85"/>
      <c r="AC981" s="85"/>
      <c r="AD981" s="85"/>
      <c r="AE981" s="85"/>
    </row>
    <row r="982">
      <c r="A982" s="83"/>
      <c r="B982" s="84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  <c r="AA982" s="85"/>
      <c r="AB982" s="85"/>
      <c r="AC982" s="85"/>
      <c r="AD982" s="85"/>
      <c r="AE982" s="85"/>
    </row>
    <row r="983">
      <c r="A983" s="83"/>
      <c r="B983" s="84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  <c r="AA983" s="85"/>
      <c r="AB983" s="85"/>
      <c r="AC983" s="85"/>
      <c r="AD983" s="85"/>
      <c r="AE983" s="85"/>
    </row>
    <row r="984">
      <c r="A984" s="83"/>
      <c r="B984" s="84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  <c r="AA984" s="85"/>
      <c r="AB984" s="85"/>
      <c r="AC984" s="85"/>
      <c r="AD984" s="85"/>
      <c r="AE984" s="85"/>
    </row>
    <row r="985">
      <c r="A985" s="83"/>
      <c r="B985" s="84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  <c r="AA985" s="85"/>
      <c r="AB985" s="85"/>
      <c r="AC985" s="85"/>
      <c r="AD985" s="85"/>
      <c r="AE985" s="85"/>
    </row>
    <row r="986">
      <c r="A986" s="83"/>
      <c r="B986" s="84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  <c r="AA986" s="85"/>
      <c r="AB986" s="85"/>
      <c r="AC986" s="85"/>
      <c r="AD986" s="85"/>
      <c r="AE986" s="85"/>
    </row>
    <row r="987">
      <c r="A987" s="83"/>
      <c r="B987" s="84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  <c r="AA987" s="85"/>
      <c r="AB987" s="85"/>
      <c r="AC987" s="85"/>
      <c r="AD987" s="85"/>
      <c r="AE987" s="85"/>
    </row>
    <row r="988">
      <c r="A988" s="83"/>
      <c r="B988" s="84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  <c r="AA988" s="85"/>
      <c r="AB988" s="85"/>
      <c r="AC988" s="85"/>
      <c r="AD988" s="85"/>
      <c r="AE988" s="85"/>
    </row>
    <row r="989">
      <c r="A989" s="83"/>
      <c r="B989" s="84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  <c r="AA989" s="85"/>
      <c r="AB989" s="85"/>
      <c r="AC989" s="85"/>
      <c r="AD989" s="85"/>
      <c r="AE989" s="85"/>
    </row>
    <row r="990">
      <c r="A990" s="83"/>
      <c r="B990" s="84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  <c r="AA990" s="85"/>
      <c r="AB990" s="85"/>
      <c r="AC990" s="85"/>
      <c r="AD990" s="85"/>
      <c r="AE990" s="85"/>
    </row>
    <row r="991">
      <c r="A991" s="83"/>
      <c r="B991" s="84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</row>
    <row r="992">
      <c r="A992" s="83"/>
      <c r="B992" s="84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  <c r="AA992" s="85"/>
      <c r="AB992" s="85"/>
      <c r="AC992" s="85"/>
      <c r="AD992" s="85"/>
      <c r="AE992" s="85"/>
    </row>
    <row r="993">
      <c r="A993" s="83"/>
      <c r="B993" s="84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  <c r="AA993" s="85"/>
      <c r="AB993" s="85"/>
      <c r="AC993" s="85"/>
      <c r="AD993" s="85"/>
      <c r="AE993" s="85"/>
    </row>
    <row r="994">
      <c r="A994" s="83"/>
      <c r="B994" s="84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  <c r="AA994" s="85"/>
      <c r="AB994" s="85"/>
      <c r="AC994" s="85"/>
      <c r="AD994" s="85"/>
      <c r="AE994" s="85"/>
    </row>
    <row r="995">
      <c r="A995" s="83"/>
      <c r="B995" s="84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  <c r="AA995" s="85"/>
      <c r="AB995" s="85"/>
      <c r="AC995" s="85"/>
      <c r="AD995" s="85"/>
      <c r="AE995" s="85"/>
    </row>
    <row r="996">
      <c r="A996" s="83"/>
      <c r="B996" s="84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  <c r="AA996" s="85"/>
      <c r="AB996" s="85"/>
      <c r="AC996" s="85"/>
      <c r="AD996" s="85"/>
      <c r="AE996" s="85"/>
    </row>
    <row r="997">
      <c r="A997" s="83"/>
      <c r="B997" s="84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  <c r="AA997" s="85"/>
      <c r="AB997" s="85"/>
      <c r="AC997" s="85"/>
      <c r="AD997" s="85"/>
      <c r="AE997" s="85"/>
    </row>
    <row r="998">
      <c r="A998" s="83"/>
      <c r="B998" s="84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  <c r="AA998" s="85"/>
      <c r="AB998" s="85"/>
      <c r="AC998" s="85"/>
      <c r="AD998" s="85"/>
      <c r="AE998" s="85"/>
    </row>
    <row r="999">
      <c r="A999" s="83"/>
      <c r="B999" s="84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  <c r="AA999" s="85"/>
      <c r="AB999" s="85"/>
      <c r="AC999" s="85"/>
      <c r="AD999" s="85"/>
      <c r="AE999" s="85"/>
    </row>
    <row r="1000">
      <c r="A1000" s="83"/>
      <c r="B1000" s="84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  <c r="AA1000" s="85"/>
      <c r="AB1000" s="85"/>
      <c r="AC1000" s="85"/>
      <c r="AD1000" s="85"/>
      <c r="AE1000" s="85"/>
    </row>
  </sheetData>
  <mergeCells count="12">
    <mergeCell ref="N3:R3"/>
    <mergeCell ref="S3:V3"/>
    <mergeCell ref="W3:AA3"/>
    <mergeCell ref="AB3:AE3"/>
    <mergeCell ref="A3:A4"/>
    <mergeCell ref="B3:B4"/>
    <mergeCell ref="C3:C4"/>
    <mergeCell ref="D3:D4"/>
    <mergeCell ref="E3:E4"/>
    <mergeCell ref="F3:I3"/>
    <mergeCell ref="J3:M3"/>
    <mergeCell ref="A21:B2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34.86"/>
    <col customWidth="1" min="3" max="3" width="5.14"/>
    <col customWidth="1" min="4" max="4" width="5.86"/>
    <col customWidth="1" min="5" max="5" width="6.29"/>
    <col customWidth="1" min="6" max="6" width="5.14"/>
    <col customWidth="1" min="7" max="7" width="4.43"/>
    <col customWidth="1" min="8" max="8" width="5.57"/>
    <col customWidth="1" min="9" max="9" width="5.0"/>
    <col customWidth="1" min="10" max="10" width="4.71"/>
    <col customWidth="1" min="11" max="11" width="5.29"/>
    <col customWidth="1" min="12" max="13" width="5.14"/>
    <col customWidth="1" min="14" max="14" width="5.0"/>
    <col customWidth="1" min="15" max="15" width="4.86"/>
    <col customWidth="1" min="16" max="16" width="5.14"/>
    <col customWidth="1" min="17" max="18" width="5.71"/>
    <col customWidth="1" min="19" max="19" width="5.29"/>
    <col customWidth="1" min="20" max="21" width="5.0"/>
    <col customWidth="1" min="22" max="22" width="4.71"/>
    <col customWidth="1" min="23" max="23" width="5.14"/>
    <col customWidth="1" min="24" max="24" width="5.29"/>
    <col customWidth="1" min="25" max="39" width="5.14"/>
  </cols>
  <sheetData>
    <row r="1">
      <c r="A1" s="85"/>
      <c r="B1" s="84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</row>
    <row r="2">
      <c r="A2" s="85"/>
      <c r="B2" s="84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</row>
    <row r="3">
      <c r="A3" s="141" t="s">
        <v>58</v>
      </c>
      <c r="B3" s="142" t="s">
        <v>59</v>
      </c>
      <c r="C3" s="143" t="s">
        <v>60</v>
      </c>
      <c r="D3" s="144" t="s">
        <v>61</v>
      </c>
      <c r="E3" s="145" t="s">
        <v>33</v>
      </c>
      <c r="F3" s="146" t="s">
        <v>35</v>
      </c>
      <c r="G3" s="147"/>
      <c r="H3" s="147"/>
      <c r="I3" s="148"/>
      <c r="J3" s="146" t="s">
        <v>4</v>
      </c>
      <c r="K3" s="147"/>
      <c r="L3" s="147"/>
      <c r="M3" s="148"/>
      <c r="N3" s="146" t="s">
        <v>62</v>
      </c>
      <c r="O3" s="147"/>
      <c r="P3" s="147"/>
      <c r="Q3" s="147"/>
      <c r="R3" s="148"/>
      <c r="S3" s="146" t="s">
        <v>63</v>
      </c>
      <c r="T3" s="147"/>
      <c r="U3" s="147"/>
      <c r="V3" s="148"/>
      <c r="W3" s="146" t="s">
        <v>64</v>
      </c>
      <c r="X3" s="147"/>
      <c r="Y3" s="147"/>
      <c r="Z3" s="147"/>
      <c r="AA3" s="148"/>
      <c r="AB3" s="149" t="s">
        <v>100</v>
      </c>
      <c r="AC3" s="147"/>
      <c r="AD3" s="147"/>
      <c r="AE3" s="148"/>
      <c r="AF3" s="149" t="s">
        <v>101</v>
      </c>
      <c r="AG3" s="147"/>
      <c r="AH3" s="147"/>
      <c r="AI3" s="148"/>
      <c r="AJ3" s="149" t="s">
        <v>102</v>
      </c>
      <c r="AK3" s="147"/>
      <c r="AL3" s="147"/>
      <c r="AM3" s="150"/>
    </row>
    <row r="4">
      <c r="A4" s="100"/>
      <c r="E4" s="101"/>
      <c r="F4" s="102" t="s">
        <v>66</v>
      </c>
      <c r="G4" s="102" t="s">
        <v>67</v>
      </c>
      <c r="H4" s="102" t="s">
        <v>68</v>
      </c>
      <c r="I4" s="102" t="s">
        <v>69</v>
      </c>
      <c r="J4" s="102" t="s">
        <v>70</v>
      </c>
      <c r="K4" s="103"/>
      <c r="L4" s="102" t="s">
        <v>71</v>
      </c>
      <c r="M4" s="102" t="s">
        <v>72</v>
      </c>
      <c r="N4" s="102" t="s">
        <v>73</v>
      </c>
      <c r="O4" s="102" t="s">
        <v>74</v>
      </c>
      <c r="P4" s="102" t="s">
        <v>75</v>
      </c>
      <c r="Q4" s="102" t="s">
        <v>76</v>
      </c>
      <c r="R4" s="102" t="s">
        <v>77</v>
      </c>
      <c r="S4" s="102" t="s">
        <v>78</v>
      </c>
      <c r="T4" s="102" t="s">
        <v>79</v>
      </c>
      <c r="U4" s="102" t="s">
        <v>80</v>
      </c>
      <c r="V4" s="102" t="s">
        <v>81</v>
      </c>
      <c r="W4" s="102" t="s">
        <v>82</v>
      </c>
      <c r="X4" s="102" t="s">
        <v>83</v>
      </c>
      <c r="Y4" s="102" t="s">
        <v>84</v>
      </c>
      <c r="Z4" s="102" t="s">
        <v>85</v>
      </c>
      <c r="AA4" s="102" t="s">
        <v>86</v>
      </c>
      <c r="AB4" s="102" t="s">
        <v>87</v>
      </c>
      <c r="AC4" s="102" t="s">
        <v>88</v>
      </c>
      <c r="AD4" s="102" t="s">
        <v>89</v>
      </c>
      <c r="AE4" s="102" t="s">
        <v>90</v>
      </c>
      <c r="AF4" s="102" t="s">
        <v>103</v>
      </c>
      <c r="AG4" s="102" t="s">
        <v>104</v>
      </c>
      <c r="AH4" s="102" t="s">
        <v>105</v>
      </c>
      <c r="AI4" s="102" t="s">
        <v>106</v>
      </c>
      <c r="AJ4" s="102" t="s">
        <v>107</v>
      </c>
      <c r="AK4" s="102" t="s">
        <v>108</v>
      </c>
      <c r="AL4" s="102" t="s">
        <v>109</v>
      </c>
      <c r="AM4" s="102" t="s">
        <v>110</v>
      </c>
    </row>
    <row r="5">
      <c r="A5" s="151">
        <v>1.0</v>
      </c>
      <c r="B5" s="152" t="s">
        <v>111</v>
      </c>
      <c r="C5" s="119">
        <v>30.0</v>
      </c>
      <c r="D5" s="119">
        <f>Sum(D6:D8)</f>
        <v>30</v>
      </c>
      <c r="E5" s="119" t="str">
        <f t="shared" ref="E5:E13" si="1">#REF!</f>
        <v>#REF!</v>
      </c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133"/>
    </row>
    <row r="6">
      <c r="A6" s="130"/>
      <c r="B6" s="109" t="s">
        <v>112</v>
      </c>
      <c r="C6" s="111">
        <v>5.0</v>
      </c>
      <c r="D6" s="111">
        <v>5.0</v>
      </c>
      <c r="E6" s="111" t="str">
        <f t="shared" si="1"/>
        <v>#REF!</v>
      </c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133"/>
    </row>
    <row r="7">
      <c r="A7" s="130"/>
      <c r="B7" s="109" t="s">
        <v>113</v>
      </c>
      <c r="C7" s="111">
        <v>10.0</v>
      </c>
      <c r="D7" s="111">
        <v>10.0</v>
      </c>
      <c r="E7" s="111" t="str">
        <f t="shared" si="1"/>
        <v>#REF!</v>
      </c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133"/>
    </row>
    <row r="8">
      <c r="A8" s="130"/>
      <c r="B8" s="109" t="s">
        <v>114</v>
      </c>
      <c r="C8" s="111">
        <v>15.0</v>
      </c>
      <c r="D8" s="111">
        <v>15.0</v>
      </c>
      <c r="E8" s="111" t="str">
        <f t="shared" si="1"/>
        <v>#REF!</v>
      </c>
      <c r="F8" s="85"/>
      <c r="G8" s="112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133"/>
    </row>
    <row r="9">
      <c r="A9" s="151">
        <v>2.0</v>
      </c>
      <c r="B9" s="152" t="s">
        <v>115</v>
      </c>
      <c r="C9" s="119">
        <v>33.0</v>
      </c>
      <c r="D9" s="119">
        <f>Sum(D10:D12)</f>
        <v>33</v>
      </c>
      <c r="E9" s="119" t="str">
        <f t="shared" si="1"/>
        <v>#REF!</v>
      </c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133"/>
    </row>
    <row r="10">
      <c r="A10" s="130"/>
      <c r="B10" s="109" t="s">
        <v>116</v>
      </c>
      <c r="C10" s="111">
        <v>2.0</v>
      </c>
      <c r="D10" s="111">
        <v>2.0</v>
      </c>
      <c r="E10" s="111" t="str">
        <f t="shared" si="1"/>
        <v>#REF!</v>
      </c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133"/>
    </row>
    <row r="11">
      <c r="A11" s="130"/>
      <c r="B11" s="109" t="s">
        <v>117</v>
      </c>
      <c r="C11" s="111">
        <v>26.0</v>
      </c>
      <c r="D11" s="111">
        <v>26.0</v>
      </c>
      <c r="E11" s="111" t="str">
        <f t="shared" si="1"/>
        <v>#REF!</v>
      </c>
      <c r="F11" s="85"/>
      <c r="G11" s="85"/>
      <c r="H11" s="85"/>
      <c r="I11" s="85"/>
      <c r="J11" s="85"/>
      <c r="K11" s="117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133"/>
    </row>
    <row r="12">
      <c r="A12" s="130"/>
      <c r="B12" s="109" t="s">
        <v>118</v>
      </c>
      <c r="C12" s="111">
        <v>5.0</v>
      </c>
      <c r="D12" s="111">
        <v>5.0</v>
      </c>
      <c r="E12" s="111" t="str">
        <f t="shared" si="1"/>
        <v>#REF!</v>
      </c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133"/>
    </row>
    <row r="13">
      <c r="A13" s="118">
        <v>3.0</v>
      </c>
      <c r="B13" s="105" t="s">
        <v>22</v>
      </c>
      <c r="C13" s="119">
        <v>20.0</v>
      </c>
      <c r="D13" s="119">
        <f>Sum(D14:D19)</f>
        <v>20</v>
      </c>
      <c r="E13" s="119" t="str">
        <f t="shared" si="1"/>
        <v>#REF!</v>
      </c>
      <c r="F13" s="85"/>
      <c r="G13" s="85"/>
      <c r="H13" s="85"/>
      <c r="I13" s="85"/>
      <c r="J13" s="111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133"/>
    </row>
    <row r="14">
      <c r="A14" s="130"/>
      <c r="B14" s="109" t="s">
        <v>119</v>
      </c>
      <c r="C14" s="111">
        <v>3.0</v>
      </c>
      <c r="D14" s="111">
        <v>3.0</v>
      </c>
      <c r="E14" s="111">
        <v>3.0</v>
      </c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133"/>
    </row>
    <row r="15">
      <c r="A15" s="130"/>
      <c r="B15" s="109" t="s">
        <v>120</v>
      </c>
      <c r="C15" s="111">
        <v>2.0</v>
      </c>
      <c r="D15" s="111">
        <v>2.0</v>
      </c>
      <c r="E15" s="111">
        <v>2.0</v>
      </c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133"/>
    </row>
    <row r="16">
      <c r="A16" s="130"/>
      <c r="B16" s="109" t="s">
        <v>121</v>
      </c>
      <c r="C16" s="111">
        <v>8.0</v>
      </c>
      <c r="D16" s="111">
        <v>8.0</v>
      </c>
      <c r="E16" s="111">
        <v>8.0</v>
      </c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133"/>
    </row>
    <row r="17">
      <c r="A17" s="130"/>
      <c r="B17" s="109" t="s">
        <v>122</v>
      </c>
      <c r="C17" s="111">
        <v>2.0</v>
      </c>
      <c r="D17" s="111">
        <v>2.0</v>
      </c>
      <c r="E17" s="111">
        <v>2.0</v>
      </c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133"/>
    </row>
    <row r="18">
      <c r="A18" s="130"/>
      <c r="B18" s="109" t="s">
        <v>123</v>
      </c>
      <c r="C18" s="111">
        <v>3.0</v>
      </c>
      <c r="D18" s="111">
        <v>3.0</v>
      </c>
      <c r="E18" s="111">
        <v>3.0</v>
      </c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133"/>
    </row>
    <row r="19">
      <c r="A19" s="120"/>
      <c r="B19" s="109" t="s">
        <v>124</v>
      </c>
      <c r="C19" s="115">
        <v>2.0</v>
      </c>
      <c r="D19" s="115">
        <v>2.0</v>
      </c>
      <c r="E19" s="115">
        <v>2.0</v>
      </c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133"/>
    </row>
    <row r="20">
      <c r="A20" s="118">
        <v>4.0</v>
      </c>
      <c r="B20" s="105" t="s">
        <v>43</v>
      </c>
      <c r="C20" s="119">
        <f t="shared" ref="C20:E20" si="2">Sum(C21:C23)</f>
        <v>15</v>
      </c>
      <c r="D20" s="119">
        <f t="shared" si="2"/>
        <v>15</v>
      </c>
      <c r="E20" s="119">
        <f t="shared" si="2"/>
        <v>15</v>
      </c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133"/>
    </row>
    <row r="21">
      <c r="A21" s="130"/>
      <c r="B21" s="109" t="s">
        <v>125</v>
      </c>
      <c r="C21" s="111">
        <v>8.0</v>
      </c>
      <c r="D21" s="111">
        <v>8.0</v>
      </c>
      <c r="E21" s="111">
        <v>8.0</v>
      </c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133"/>
    </row>
    <row r="22">
      <c r="A22" s="130"/>
      <c r="B22" s="153" t="s">
        <v>45</v>
      </c>
      <c r="C22" s="111">
        <v>5.0</v>
      </c>
      <c r="D22" s="111">
        <v>5.0</v>
      </c>
      <c r="E22" s="111">
        <v>5.0</v>
      </c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133"/>
    </row>
    <row r="23">
      <c r="A23" s="108"/>
      <c r="B23" s="109" t="s">
        <v>126</v>
      </c>
      <c r="C23" s="111">
        <v>2.0</v>
      </c>
      <c r="D23" s="111">
        <v>2.0</v>
      </c>
      <c r="E23" s="111">
        <v>2.0</v>
      </c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133"/>
    </row>
    <row r="24">
      <c r="A24" s="154">
        <v>5.0</v>
      </c>
      <c r="B24" s="105" t="s">
        <v>99</v>
      </c>
      <c r="C24" s="107">
        <v>1.0</v>
      </c>
      <c r="D24" s="107">
        <v>1.0</v>
      </c>
      <c r="E24" s="107">
        <v>1.0</v>
      </c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133"/>
    </row>
    <row r="25">
      <c r="A25" s="151">
        <v>6.0</v>
      </c>
      <c r="B25" s="152" t="s">
        <v>28</v>
      </c>
      <c r="C25" s="119">
        <v>1.0</v>
      </c>
      <c r="D25" s="119">
        <f>D26</f>
        <v>0</v>
      </c>
      <c r="E25" s="119" t="str">
        <f t="shared" ref="E25:E26" si="3">#REF!</f>
        <v>#REF!</v>
      </c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133"/>
    </row>
    <row r="26">
      <c r="A26" s="130"/>
      <c r="B26" s="109" t="s">
        <v>91</v>
      </c>
      <c r="C26" s="111">
        <v>1.0</v>
      </c>
      <c r="D26" s="111">
        <v>0.0</v>
      </c>
      <c r="E26" s="111" t="str">
        <f t="shared" si="3"/>
        <v>#REF!</v>
      </c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133"/>
    </row>
    <row r="27">
      <c r="A27" s="123" t="s">
        <v>29</v>
      </c>
      <c r="B27" s="124"/>
      <c r="C27" s="125">
        <f t="shared" ref="C27:D27" si="4">C5+C9+C13+C20+C24+C25</f>
        <v>100</v>
      </c>
      <c r="D27" s="125">
        <f t="shared" si="4"/>
        <v>99</v>
      </c>
      <c r="E27" s="125" t="str">
        <f>E5+E9+E13+E20+E25+E24</f>
        <v>#REF!</v>
      </c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140"/>
    </row>
    <row r="28">
      <c r="A28" s="85"/>
      <c r="B28" s="84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</row>
    <row r="29">
      <c r="A29" s="85"/>
      <c r="B29" s="84"/>
      <c r="C29" s="85"/>
      <c r="D29" s="85">
        <f>D21-E21</f>
        <v>0</v>
      </c>
      <c r="E29" s="85"/>
      <c r="F29" s="127"/>
      <c r="G29" s="128"/>
      <c r="H29" s="128"/>
      <c r="I29" s="128"/>
      <c r="J29" s="128"/>
      <c r="K29" s="128"/>
      <c r="L29" s="129"/>
      <c r="M29" s="85"/>
      <c r="N29" s="85"/>
      <c r="O29" s="85" t="s">
        <v>92</v>
      </c>
      <c r="P29" s="85">
        <f>7-5.3</f>
        <v>1.7</v>
      </c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</row>
    <row r="30">
      <c r="A30" s="85"/>
      <c r="B30" s="84">
        <f>B29*3</f>
        <v>0</v>
      </c>
      <c r="C30" s="85"/>
      <c r="D30" s="85"/>
      <c r="E30" s="85"/>
      <c r="F30" s="130"/>
      <c r="G30" s="131"/>
      <c r="H30" s="132" t="s">
        <v>93</v>
      </c>
      <c r="I30" s="85"/>
      <c r="J30" s="85"/>
      <c r="K30" s="85"/>
      <c r="L30" s="133"/>
      <c r="M30" s="85"/>
      <c r="N30" s="85"/>
      <c r="O30" s="85" t="s">
        <v>94</v>
      </c>
      <c r="P30" s="85">
        <f>3-1.4</f>
        <v>1.6</v>
      </c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</row>
    <row r="31">
      <c r="A31" s="85"/>
      <c r="B31" s="84"/>
      <c r="C31" s="85"/>
      <c r="D31" s="85"/>
      <c r="E31" s="85"/>
      <c r="F31" s="130"/>
      <c r="G31" s="134"/>
      <c r="H31" s="132" t="s">
        <v>95</v>
      </c>
      <c r="I31" s="85"/>
      <c r="J31" s="85"/>
      <c r="K31" s="85"/>
      <c r="L31" s="133"/>
      <c r="M31" s="85"/>
      <c r="N31" s="85"/>
      <c r="O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</row>
    <row r="32">
      <c r="A32" s="85"/>
      <c r="B32" s="84"/>
      <c r="C32" s="85"/>
      <c r="D32" s="85"/>
      <c r="E32" s="85"/>
      <c r="F32" s="130"/>
      <c r="G32" s="135"/>
      <c r="H32" s="132" t="s">
        <v>96</v>
      </c>
      <c r="I32" s="85"/>
      <c r="J32" s="85"/>
      <c r="K32" s="85"/>
      <c r="L32" s="133"/>
      <c r="M32" s="85"/>
      <c r="N32" s="85"/>
      <c r="O32" s="85"/>
      <c r="P32" s="85">
        <f>P29+P30+P31</f>
        <v>3.3</v>
      </c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</row>
    <row r="33">
      <c r="A33" s="85"/>
      <c r="B33" s="84"/>
      <c r="C33" s="85"/>
      <c r="D33" s="85"/>
      <c r="E33" s="85"/>
      <c r="F33" s="130"/>
      <c r="G33" s="136"/>
      <c r="H33" s="132" t="s">
        <v>97</v>
      </c>
      <c r="I33" s="85"/>
      <c r="J33" s="85"/>
      <c r="K33" s="85"/>
      <c r="L33" s="133"/>
      <c r="M33" s="85"/>
      <c r="N33" s="85"/>
      <c r="O33" s="85"/>
      <c r="P33" s="85">
        <f>4.5-P32</f>
        <v>1.2</v>
      </c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</row>
    <row r="34">
      <c r="A34" s="85"/>
      <c r="B34" s="84"/>
      <c r="C34" s="85"/>
      <c r="D34" s="85"/>
      <c r="E34" s="85"/>
      <c r="F34" s="130"/>
      <c r="G34" s="137"/>
      <c r="H34" s="132" t="s">
        <v>98</v>
      </c>
      <c r="I34" s="85"/>
      <c r="J34" s="85"/>
      <c r="K34" s="85"/>
      <c r="L34" s="133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</row>
    <row r="35">
      <c r="A35" s="85"/>
      <c r="B35" s="84"/>
      <c r="C35" s="85"/>
      <c r="D35" s="85"/>
      <c r="E35" s="85"/>
      <c r="F35" s="130"/>
      <c r="G35" s="138"/>
      <c r="H35" s="85" t="s">
        <v>32</v>
      </c>
      <c r="I35" s="85"/>
      <c r="J35" s="85"/>
      <c r="K35" s="85"/>
      <c r="L35" s="133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155"/>
      <c r="AE35" s="85"/>
      <c r="AF35" s="85"/>
      <c r="AG35" s="85"/>
      <c r="AH35" s="85"/>
      <c r="AI35" s="85"/>
      <c r="AJ35" s="85"/>
      <c r="AK35" s="85"/>
      <c r="AL35" s="85"/>
      <c r="AM35" s="85"/>
    </row>
    <row r="36">
      <c r="A36" s="85"/>
      <c r="B36" s="84"/>
      <c r="C36" s="85"/>
      <c r="D36" s="85"/>
      <c r="E36" s="85"/>
      <c r="F36" s="130"/>
      <c r="G36" s="117"/>
      <c r="H36" s="85" t="s">
        <v>99</v>
      </c>
      <c r="I36" s="85"/>
      <c r="J36" s="85"/>
      <c r="K36" s="85"/>
      <c r="L36" s="133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  <c r="AM36" s="85"/>
    </row>
    <row r="37">
      <c r="A37" s="85"/>
      <c r="B37" s="84"/>
      <c r="C37" s="85"/>
      <c r="D37" s="85"/>
      <c r="E37" s="85"/>
      <c r="F37" s="139"/>
      <c r="G37" s="88"/>
      <c r="H37" s="88"/>
      <c r="I37" s="88"/>
      <c r="J37" s="88"/>
      <c r="K37" s="88"/>
      <c r="L37" s="140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  <c r="AM37" s="85"/>
    </row>
    <row r="38">
      <c r="A38" s="85"/>
      <c r="B38" s="84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</row>
    <row r="39">
      <c r="A39" s="85"/>
      <c r="B39" s="84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</row>
    <row r="40">
      <c r="A40" s="85"/>
      <c r="B40" s="84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  <c r="AM40" s="85"/>
    </row>
    <row r="41">
      <c r="A41" s="85"/>
      <c r="B41" s="84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</row>
    <row r="42">
      <c r="A42" s="85"/>
      <c r="B42" s="84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5"/>
      <c r="AG42" s="85"/>
      <c r="AH42" s="85"/>
      <c r="AI42" s="85"/>
      <c r="AJ42" s="85"/>
      <c r="AK42" s="85"/>
      <c r="AL42" s="85"/>
      <c r="AM42" s="85"/>
    </row>
    <row r="43">
      <c r="A43" s="85"/>
      <c r="B43" s="84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  <c r="AE43" s="85"/>
      <c r="AF43" s="85"/>
      <c r="AG43" s="85"/>
      <c r="AH43" s="85"/>
      <c r="AI43" s="85"/>
      <c r="AJ43" s="85"/>
      <c r="AK43" s="85"/>
      <c r="AL43" s="85"/>
      <c r="AM43" s="85"/>
    </row>
    <row r="44">
      <c r="A44" s="85"/>
      <c r="B44" s="84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  <c r="AE44" s="85"/>
      <c r="AF44" s="85"/>
      <c r="AG44" s="85"/>
      <c r="AH44" s="85"/>
      <c r="AI44" s="85"/>
      <c r="AJ44" s="85"/>
      <c r="AK44" s="85"/>
      <c r="AL44" s="85"/>
      <c r="AM44" s="85"/>
    </row>
    <row r="45">
      <c r="A45" s="85"/>
      <c r="B45" s="84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  <c r="AE45" s="85"/>
      <c r="AF45" s="85"/>
      <c r="AG45" s="85"/>
      <c r="AH45" s="85"/>
      <c r="AI45" s="85"/>
      <c r="AJ45" s="85"/>
      <c r="AK45" s="85"/>
      <c r="AL45" s="85"/>
      <c r="AM45" s="85"/>
    </row>
    <row r="46">
      <c r="A46" s="85"/>
      <c r="B46" s="84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125"/>
      <c r="U46" s="85"/>
      <c r="V46" s="85"/>
      <c r="W46" s="85"/>
      <c r="X46" s="85"/>
      <c r="Y46" s="85"/>
      <c r="Z46" s="85"/>
      <c r="AA46" s="85"/>
      <c r="AB46" s="85"/>
      <c r="AC46" s="85"/>
      <c r="AD46" s="85"/>
      <c r="AE46" s="85"/>
      <c r="AF46" s="85"/>
      <c r="AG46" s="85"/>
      <c r="AH46" s="85"/>
      <c r="AI46" s="85"/>
      <c r="AJ46" s="85"/>
      <c r="AK46" s="85"/>
      <c r="AL46" s="85"/>
      <c r="AM46" s="85"/>
    </row>
    <row r="47">
      <c r="A47" s="85"/>
      <c r="B47" s="84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</row>
    <row r="48">
      <c r="A48" s="85"/>
      <c r="B48" s="84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  <c r="AD48" s="85"/>
      <c r="AE48" s="85"/>
      <c r="AF48" s="85"/>
      <c r="AG48" s="85"/>
      <c r="AH48" s="85"/>
      <c r="AI48" s="85"/>
      <c r="AJ48" s="85"/>
      <c r="AK48" s="85"/>
      <c r="AL48" s="85"/>
      <c r="AM48" s="85"/>
    </row>
    <row r="49">
      <c r="A49" s="85"/>
      <c r="B49" s="84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  <c r="AM49" s="85"/>
    </row>
    <row r="50">
      <c r="A50" s="85"/>
      <c r="B50" s="84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  <c r="AE50" s="85"/>
      <c r="AF50" s="85"/>
      <c r="AG50" s="85"/>
      <c r="AH50" s="85"/>
      <c r="AI50" s="85"/>
      <c r="AJ50" s="85"/>
      <c r="AK50" s="85"/>
      <c r="AL50" s="85"/>
      <c r="AM50" s="85"/>
    </row>
    <row r="51">
      <c r="A51" s="85"/>
      <c r="B51" s="84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85"/>
      <c r="AH51" s="85"/>
      <c r="AI51" s="85"/>
      <c r="AJ51" s="85"/>
      <c r="AK51" s="85"/>
      <c r="AL51" s="85"/>
      <c r="AM51" s="85"/>
    </row>
    <row r="52">
      <c r="A52" s="85"/>
      <c r="B52" s="84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85"/>
      <c r="AL52" s="85"/>
      <c r="AM52" s="85"/>
    </row>
    <row r="53">
      <c r="A53" s="85"/>
      <c r="B53" s="84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  <c r="AJ53" s="85"/>
      <c r="AK53" s="85"/>
      <c r="AL53" s="85"/>
      <c r="AM53" s="85"/>
    </row>
    <row r="54">
      <c r="A54" s="85"/>
      <c r="B54" s="84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5"/>
      <c r="AL54" s="85"/>
      <c r="AM54" s="85"/>
    </row>
    <row r="55">
      <c r="A55" s="85"/>
      <c r="B55" s="84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85"/>
      <c r="AH55" s="85"/>
      <c r="AI55" s="85"/>
      <c r="AJ55" s="85"/>
      <c r="AK55" s="85"/>
      <c r="AL55" s="85"/>
      <c r="AM55" s="85"/>
    </row>
    <row r="56">
      <c r="A56" s="85"/>
      <c r="B56" s="84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85"/>
      <c r="AH56" s="85"/>
      <c r="AI56" s="85"/>
      <c r="AJ56" s="85"/>
      <c r="AK56" s="85"/>
      <c r="AL56" s="85"/>
      <c r="AM56" s="85"/>
    </row>
    <row r="57">
      <c r="A57" s="85"/>
      <c r="B57" s="84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5"/>
      <c r="AL57" s="85"/>
      <c r="AM57" s="85"/>
    </row>
    <row r="58">
      <c r="A58" s="85"/>
      <c r="B58" s="84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5"/>
      <c r="AL58" s="85"/>
      <c r="AM58" s="85"/>
    </row>
    <row r="59">
      <c r="A59" s="85"/>
      <c r="B59" s="84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5"/>
      <c r="AL59" s="85"/>
      <c r="AM59" s="85"/>
    </row>
    <row r="60">
      <c r="A60" s="85"/>
      <c r="B60" s="84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5"/>
      <c r="AL60" s="85"/>
      <c r="AM60" s="85"/>
    </row>
    <row r="61">
      <c r="A61" s="85"/>
      <c r="B61" s="84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  <c r="AM61" s="85"/>
    </row>
    <row r="62">
      <c r="A62" s="85"/>
      <c r="B62" s="84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85"/>
      <c r="AM62" s="85"/>
    </row>
    <row r="63">
      <c r="A63" s="85"/>
      <c r="B63" s="84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5"/>
      <c r="AL63" s="85"/>
      <c r="AM63" s="85"/>
    </row>
    <row r="64">
      <c r="A64" s="85"/>
      <c r="B64" s="84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5"/>
      <c r="AL64" s="85"/>
      <c r="AM64" s="85"/>
    </row>
    <row r="65">
      <c r="A65" s="85"/>
      <c r="B65" s="84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5"/>
      <c r="AM65" s="85"/>
    </row>
    <row r="66">
      <c r="A66" s="85"/>
      <c r="B66" s="84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5"/>
      <c r="AL66" s="85"/>
      <c r="AM66" s="85"/>
    </row>
    <row r="67">
      <c r="A67" s="85"/>
      <c r="B67" s="84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85"/>
      <c r="AM67" s="85"/>
    </row>
    <row r="68">
      <c r="A68" s="85"/>
      <c r="B68" s="84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  <c r="AJ68" s="85"/>
      <c r="AK68" s="85"/>
      <c r="AL68" s="85"/>
      <c r="AM68" s="85"/>
    </row>
    <row r="69">
      <c r="A69" s="85"/>
      <c r="B69" s="84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5"/>
      <c r="AL69" s="85"/>
      <c r="AM69" s="85"/>
    </row>
    <row r="70">
      <c r="A70" s="85"/>
      <c r="B70" s="84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5"/>
      <c r="AL70" s="85"/>
      <c r="AM70" s="85"/>
    </row>
    <row r="71">
      <c r="A71" s="85"/>
      <c r="B71" s="84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5"/>
      <c r="AL71" s="85"/>
      <c r="AM71" s="85"/>
    </row>
    <row r="72">
      <c r="A72" s="85"/>
      <c r="B72" s="84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5"/>
      <c r="AL72" s="85"/>
      <c r="AM72" s="85"/>
    </row>
    <row r="73">
      <c r="A73" s="85"/>
      <c r="B73" s="84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85"/>
      <c r="AM73" s="85"/>
    </row>
    <row r="74">
      <c r="A74" s="85"/>
      <c r="B74" s="84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5"/>
      <c r="AL74" s="85"/>
      <c r="AM74" s="85"/>
    </row>
    <row r="75">
      <c r="A75" s="85"/>
      <c r="B75" s="84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5"/>
      <c r="AL75" s="85"/>
      <c r="AM75" s="85"/>
    </row>
    <row r="76">
      <c r="A76" s="85"/>
      <c r="B76" s="84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5"/>
      <c r="AL76" s="85"/>
      <c r="AM76" s="85"/>
    </row>
    <row r="77">
      <c r="A77" s="85"/>
      <c r="B77" s="84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  <c r="AK77" s="85"/>
      <c r="AL77" s="85"/>
      <c r="AM77" s="85"/>
    </row>
    <row r="78">
      <c r="A78" s="85"/>
      <c r="B78" s="84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  <c r="AK78" s="85"/>
      <c r="AL78" s="85"/>
      <c r="AM78" s="85"/>
    </row>
    <row r="79">
      <c r="A79" s="85"/>
      <c r="B79" s="84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</row>
    <row r="80">
      <c r="A80" s="85"/>
      <c r="B80" s="84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5"/>
      <c r="AK80" s="85"/>
      <c r="AL80" s="85"/>
      <c r="AM80" s="85"/>
    </row>
    <row r="81">
      <c r="A81" s="85"/>
      <c r="B81" s="84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5"/>
      <c r="AL81" s="85"/>
      <c r="AM81" s="85"/>
    </row>
    <row r="82">
      <c r="A82" s="85"/>
      <c r="B82" s="84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5"/>
      <c r="AL82" s="85"/>
      <c r="AM82" s="85"/>
    </row>
    <row r="83">
      <c r="A83" s="85"/>
      <c r="B83" s="84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5"/>
      <c r="AL83" s="85"/>
      <c r="AM83" s="85"/>
    </row>
    <row r="84">
      <c r="A84" s="85"/>
      <c r="B84" s="84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5"/>
      <c r="AL84" s="85"/>
      <c r="AM84" s="85"/>
    </row>
    <row r="85">
      <c r="A85" s="85"/>
      <c r="B85" s="84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5"/>
      <c r="AL85" s="85"/>
      <c r="AM85" s="85"/>
    </row>
    <row r="86">
      <c r="A86" s="85"/>
      <c r="B86" s="84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5"/>
      <c r="AL86" s="85"/>
      <c r="AM86" s="85"/>
    </row>
    <row r="87">
      <c r="A87" s="85"/>
      <c r="B87" s="84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  <c r="AK87" s="85"/>
      <c r="AL87" s="85"/>
      <c r="AM87" s="85"/>
    </row>
    <row r="88">
      <c r="A88" s="85"/>
      <c r="B88" s="84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5"/>
      <c r="AL88" s="85"/>
      <c r="AM88" s="85"/>
    </row>
    <row r="89">
      <c r="A89" s="85"/>
      <c r="B89" s="84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5"/>
      <c r="AL89" s="85"/>
      <c r="AM89" s="85"/>
    </row>
    <row r="90">
      <c r="A90" s="85"/>
      <c r="B90" s="84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5"/>
      <c r="AL90" s="85"/>
      <c r="AM90" s="85"/>
    </row>
    <row r="91">
      <c r="A91" s="85"/>
      <c r="B91" s="84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5"/>
      <c r="AL91" s="85"/>
      <c r="AM91" s="85"/>
    </row>
    <row r="92">
      <c r="A92" s="85"/>
      <c r="B92" s="84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5"/>
      <c r="AL92" s="85"/>
      <c r="AM92" s="85"/>
    </row>
    <row r="93">
      <c r="A93" s="85"/>
      <c r="B93" s="84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5"/>
      <c r="AL93" s="85"/>
      <c r="AM93" s="85"/>
    </row>
    <row r="94">
      <c r="A94" s="85"/>
      <c r="B94" s="84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5"/>
      <c r="AL94" s="85"/>
      <c r="AM94" s="85"/>
    </row>
    <row r="95">
      <c r="A95" s="85"/>
      <c r="B95" s="84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5"/>
      <c r="AL95" s="85"/>
      <c r="AM95" s="85"/>
    </row>
    <row r="96">
      <c r="A96" s="85"/>
      <c r="B96" s="84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5"/>
      <c r="AL96" s="85"/>
      <c r="AM96" s="85"/>
    </row>
    <row r="97">
      <c r="A97" s="85"/>
      <c r="B97" s="84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5"/>
      <c r="AL97" s="85"/>
      <c r="AM97" s="85"/>
    </row>
    <row r="98">
      <c r="A98" s="85"/>
      <c r="B98" s="84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5"/>
      <c r="AL98" s="85"/>
      <c r="AM98" s="85"/>
    </row>
    <row r="99">
      <c r="A99" s="85"/>
      <c r="B99" s="84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5"/>
      <c r="AL99" s="85"/>
      <c r="AM99" s="85"/>
    </row>
    <row r="100">
      <c r="A100" s="85"/>
      <c r="B100" s="84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5"/>
      <c r="AL100" s="85"/>
      <c r="AM100" s="85"/>
    </row>
    <row r="101">
      <c r="A101" s="85"/>
      <c r="B101" s="84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5"/>
      <c r="AL101" s="85"/>
      <c r="AM101" s="85"/>
    </row>
    <row r="102">
      <c r="A102" s="85"/>
      <c r="B102" s="84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5"/>
      <c r="AL102" s="85"/>
      <c r="AM102" s="85"/>
    </row>
    <row r="103">
      <c r="A103" s="85"/>
      <c r="B103" s="84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5"/>
      <c r="AL103" s="85"/>
      <c r="AM103" s="85"/>
    </row>
    <row r="104">
      <c r="A104" s="85"/>
      <c r="B104" s="84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  <c r="AM104" s="85"/>
    </row>
    <row r="105">
      <c r="A105" s="85"/>
      <c r="B105" s="84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5"/>
      <c r="AL105" s="85"/>
      <c r="AM105" s="85"/>
    </row>
    <row r="106">
      <c r="A106" s="85"/>
      <c r="B106" s="84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5"/>
      <c r="AL106" s="85"/>
      <c r="AM106" s="85"/>
    </row>
    <row r="107">
      <c r="A107" s="85"/>
      <c r="B107" s="84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5"/>
      <c r="AL107" s="85"/>
      <c r="AM107" s="85"/>
    </row>
    <row r="108">
      <c r="A108" s="85"/>
      <c r="B108" s="84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5"/>
      <c r="AL108" s="85"/>
      <c r="AM108" s="85"/>
    </row>
    <row r="109">
      <c r="A109" s="85"/>
      <c r="B109" s="84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5"/>
      <c r="AL109" s="85"/>
      <c r="AM109" s="85"/>
    </row>
    <row r="110">
      <c r="A110" s="85"/>
      <c r="B110" s="84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5"/>
      <c r="AL110" s="85"/>
      <c r="AM110" s="85"/>
    </row>
    <row r="111">
      <c r="A111" s="85"/>
      <c r="B111" s="84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5"/>
      <c r="AL111" s="85"/>
      <c r="AM111" s="85"/>
    </row>
    <row r="112">
      <c r="A112" s="85"/>
      <c r="B112" s="84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5"/>
      <c r="AL112" s="85"/>
      <c r="AM112" s="85"/>
    </row>
    <row r="113">
      <c r="A113" s="85"/>
      <c r="B113" s="84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5"/>
      <c r="AL113" s="85"/>
      <c r="AM113" s="85"/>
    </row>
    <row r="114">
      <c r="A114" s="85"/>
      <c r="B114" s="84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5"/>
      <c r="AL114" s="85"/>
      <c r="AM114" s="85"/>
    </row>
    <row r="115">
      <c r="A115" s="85"/>
      <c r="B115" s="84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5"/>
      <c r="AL115" s="85"/>
      <c r="AM115" s="85"/>
    </row>
    <row r="116">
      <c r="A116" s="85"/>
      <c r="B116" s="84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5"/>
      <c r="AL116" s="85"/>
      <c r="AM116" s="85"/>
    </row>
    <row r="117">
      <c r="A117" s="85"/>
      <c r="B117" s="84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</row>
    <row r="118">
      <c r="A118" s="85"/>
      <c r="B118" s="84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5"/>
      <c r="AL118" s="85"/>
      <c r="AM118" s="85"/>
    </row>
    <row r="119">
      <c r="A119" s="85"/>
      <c r="B119" s="84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5"/>
      <c r="AL119" s="85"/>
      <c r="AM119" s="85"/>
    </row>
    <row r="120">
      <c r="A120" s="85"/>
      <c r="B120" s="84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5"/>
      <c r="AL120" s="85"/>
      <c r="AM120" s="85"/>
    </row>
    <row r="121">
      <c r="A121" s="85"/>
      <c r="B121" s="84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5"/>
      <c r="AL121" s="85"/>
      <c r="AM121" s="85"/>
    </row>
    <row r="122">
      <c r="A122" s="85"/>
      <c r="B122" s="84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5"/>
      <c r="AL122" s="85"/>
      <c r="AM122" s="85"/>
    </row>
    <row r="123">
      <c r="A123" s="85"/>
      <c r="B123" s="84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5"/>
      <c r="AL123" s="85"/>
      <c r="AM123" s="85"/>
    </row>
    <row r="124">
      <c r="A124" s="85"/>
      <c r="B124" s="84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5"/>
      <c r="AL124" s="85"/>
      <c r="AM124" s="85"/>
    </row>
    <row r="125">
      <c r="A125" s="85"/>
      <c r="B125" s="84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5"/>
      <c r="AL125" s="85"/>
      <c r="AM125" s="85"/>
    </row>
    <row r="126">
      <c r="A126" s="85"/>
      <c r="B126" s="84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5"/>
      <c r="AL126" s="85"/>
      <c r="AM126" s="85"/>
    </row>
    <row r="127">
      <c r="A127" s="85"/>
      <c r="B127" s="84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5"/>
      <c r="AL127" s="85"/>
      <c r="AM127" s="85"/>
    </row>
    <row r="128">
      <c r="A128" s="85"/>
      <c r="B128" s="84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5"/>
      <c r="AL128" s="85"/>
      <c r="AM128" s="85"/>
    </row>
    <row r="129">
      <c r="A129" s="85"/>
      <c r="B129" s="84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5"/>
      <c r="AL129" s="85"/>
      <c r="AM129" s="85"/>
    </row>
    <row r="130">
      <c r="A130" s="85"/>
      <c r="B130" s="84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5"/>
      <c r="AL130" s="85"/>
      <c r="AM130" s="85"/>
    </row>
    <row r="131">
      <c r="A131" s="85"/>
      <c r="B131" s="84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5"/>
      <c r="AL131" s="85"/>
      <c r="AM131" s="85"/>
    </row>
    <row r="132">
      <c r="A132" s="85"/>
      <c r="B132" s="84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5"/>
      <c r="AL132" s="85"/>
      <c r="AM132" s="85"/>
    </row>
    <row r="133">
      <c r="A133" s="85"/>
      <c r="B133" s="84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5"/>
      <c r="AL133" s="85"/>
      <c r="AM133" s="85"/>
    </row>
    <row r="134">
      <c r="A134" s="85"/>
      <c r="B134" s="84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5"/>
      <c r="AL134" s="85"/>
      <c r="AM134" s="85"/>
    </row>
    <row r="135">
      <c r="A135" s="85"/>
      <c r="B135" s="84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5"/>
      <c r="AL135" s="85"/>
      <c r="AM135" s="85"/>
    </row>
    <row r="136">
      <c r="A136" s="85"/>
      <c r="B136" s="84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5"/>
      <c r="AL136" s="85"/>
      <c r="AM136" s="85"/>
    </row>
    <row r="137">
      <c r="A137" s="85"/>
      <c r="B137" s="84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5"/>
      <c r="AL137" s="85"/>
      <c r="AM137" s="85"/>
    </row>
    <row r="138">
      <c r="A138" s="85"/>
      <c r="B138" s="84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5"/>
      <c r="AL138" s="85"/>
      <c r="AM138" s="85"/>
    </row>
    <row r="139">
      <c r="A139" s="85"/>
      <c r="B139" s="84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5"/>
      <c r="AL139" s="85"/>
      <c r="AM139" s="85"/>
    </row>
    <row r="140">
      <c r="A140" s="85"/>
      <c r="B140" s="84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5"/>
      <c r="AL140" s="85"/>
      <c r="AM140" s="85"/>
    </row>
    <row r="141">
      <c r="A141" s="85"/>
      <c r="B141" s="84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  <c r="AG141" s="85"/>
      <c r="AH141" s="85"/>
      <c r="AI141" s="85"/>
      <c r="AJ141" s="85"/>
      <c r="AK141" s="85"/>
      <c r="AL141" s="85"/>
      <c r="AM141" s="85"/>
    </row>
    <row r="142">
      <c r="A142" s="85"/>
      <c r="B142" s="84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/>
      <c r="AG142" s="85"/>
      <c r="AH142" s="85"/>
      <c r="AI142" s="85"/>
      <c r="AJ142" s="85"/>
      <c r="AK142" s="85"/>
      <c r="AL142" s="85"/>
      <c r="AM142" s="85"/>
    </row>
    <row r="143">
      <c r="A143" s="85"/>
      <c r="B143" s="84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/>
      <c r="AG143" s="85"/>
      <c r="AH143" s="85"/>
      <c r="AI143" s="85"/>
      <c r="AJ143" s="85"/>
      <c r="AK143" s="85"/>
      <c r="AL143" s="85"/>
      <c r="AM143" s="85"/>
    </row>
    <row r="144">
      <c r="A144" s="85"/>
      <c r="B144" s="84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  <c r="AG144" s="85"/>
      <c r="AH144" s="85"/>
      <c r="AI144" s="85"/>
      <c r="AJ144" s="85"/>
      <c r="AK144" s="85"/>
      <c r="AL144" s="85"/>
      <c r="AM144" s="85"/>
    </row>
    <row r="145">
      <c r="A145" s="85"/>
      <c r="B145" s="84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  <c r="AG145" s="85"/>
      <c r="AH145" s="85"/>
      <c r="AI145" s="85"/>
      <c r="AJ145" s="85"/>
      <c r="AK145" s="85"/>
      <c r="AL145" s="85"/>
      <c r="AM145" s="85"/>
    </row>
    <row r="146">
      <c r="A146" s="85"/>
      <c r="B146" s="84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  <c r="AG146" s="85"/>
      <c r="AH146" s="85"/>
      <c r="AI146" s="85"/>
      <c r="AJ146" s="85"/>
      <c r="AK146" s="85"/>
      <c r="AL146" s="85"/>
      <c r="AM146" s="85"/>
    </row>
    <row r="147">
      <c r="A147" s="85"/>
      <c r="B147" s="84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  <c r="AG147" s="85"/>
      <c r="AH147" s="85"/>
      <c r="AI147" s="85"/>
      <c r="AJ147" s="85"/>
      <c r="AK147" s="85"/>
      <c r="AL147" s="85"/>
      <c r="AM147" s="85"/>
    </row>
    <row r="148">
      <c r="A148" s="85"/>
      <c r="B148" s="84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  <c r="AG148" s="85"/>
      <c r="AH148" s="85"/>
      <c r="AI148" s="85"/>
      <c r="AJ148" s="85"/>
      <c r="AK148" s="85"/>
      <c r="AL148" s="85"/>
      <c r="AM148" s="85"/>
    </row>
    <row r="149">
      <c r="A149" s="85"/>
      <c r="B149" s="84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  <c r="AM149" s="85"/>
    </row>
    <row r="150">
      <c r="A150" s="85"/>
      <c r="B150" s="84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  <c r="AG150" s="85"/>
      <c r="AH150" s="85"/>
      <c r="AI150" s="85"/>
      <c r="AJ150" s="85"/>
      <c r="AK150" s="85"/>
      <c r="AL150" s="85"/>
      <c r="AM150" s="85"/>
    </row>
    <row r="151">
      <c r="A151" s="85"/>
      <c r="B151" s="84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  <c r="AG151" s="85"/>
      <c r="AH151" s="85"/>
      <c r="AI151" s="85"/>
      <c r="AJ151" s="85"/>
      <c r="AK151" s="85"/>
      <c r="AL151" s="85"/>
      <c r="AM151" s="85"/>
    </row>
    <row r="152">
      <c r="A152" s="85"/>
      <c r="B152" s="84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</row>
    <row r="153">
      <c r="A153" s="85"/>
      <c r="B153" s="84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  <c r="AG153" s="85"/>
      <c r="AH153" s="85"/>
      <c r="AI153" s="85"/>
      <c r="AJ153" s="85"/>
      <c r="AK153" s="85"/>
      <c r="AL153" s="85"/>
      <c r="AM153" s="85"/>
    </row>
    <row r="154">
      <c r="A154" s="85"/>
      <c r="B154" s="84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5"/>
      <c r="AL154" s="85"/>
      <c r="AM154" s="85"/>
    </row>
    <row r="155">
      <c r="A155" s="85"/>
      <c r="B155" s="84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</row>
    <row r="156">
      <c r="A156" s="85"/>
      <c r="B156" s="84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  <c r="AF156" s="85"/>
      <c r="AG156" s="85"/>
      <c r="AH156" s="85"/>
      <c r="AI156" s="85"/>
      <c r="AJ156" s="85"/>
      <c r="AK156" s="85"/>
      <c r="AL156" s="85"/>
      <c r="AM156" s="85"/>
    </row>
    <row r="157">
      <c r="A157" s="85"/>
      <c r="B157" s="84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/>
      <c r="AK157" s="85"/>
      <c r="AL157" s="85"/>
      <c r="AM157" s="85"/>
    </row>
    <row r="158">
      <c r="A158" s="85"/>
      <c r="B158" s="84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  <c r="AF158" s="85"/>
      <c r="AG158" s="85"/>
      <c r="AH158" s="85"/>
      <c r="AI158" s="85"/>
      <c r="AJ158" s="85"/>
      <c r="AK158" s="85"/>
      <c r="AL158" s="85"/>
      <c r="AM158" s="85"/>
    </row>
    <row r="159">
      <c r="A159" s="85"/>
      <c r="B159" s="84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5"/>
      <c r="AL159" s="85"/>
      <c r="AM159" s="85"/>
    </row>
    <row r="160">
      <c r="A160" s="85"/>
      <c r="B160" s="84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5"/>
      <c r="AL160" s="85"/>
      <c r="AM160" s="85"/>
    </row>
    <row r="161">
      <c r="A161" s="85"/>
      <c r="B161" s="84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  <c r="AM161" s="85"/>
    </row>
    <row r="162">
      <c r="A162" s="85"/>
      <c r="B162" s="84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  <c r="AG162" s="85"/>
      <c r="AH162" s="85"/>
      <c r="AI162" s="85"/>
      <c r="AJ162" s="85"/>
      <c r="AK162" s="85"/>
      <c r="AL162" s="85"/>
      <c r="AM162" s="85"/>
    </row>
    <row r="163">
      <c r="A163" s="85"/>
      <c r="B163" s="84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5"/>
      <c r="AL163" s="85"/>
      <c r="AM163" s="85"/>
    </row>
    <row r="164">
      <c r="A164" s="85"/>
      <c r="B164" s="84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  <c r="AM164" s="85"/>
    </row>
    <row r="165">
      <c r="A165" s="85"/>
      <c r="B165" s="84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5"/>
      <c r="AL165" s="85"/>
      <c r="AM165" s="85"/>
    </row>
    <row r="166">
      <c r="A166" s="85"/>
      <c r="B166" s="84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5"/>
      <c r="AL166" s="85"/>
      <c r="AM166" s="85"/>
    </row>
    <row r="167">
      <c r="A167" s="85"/>
      <c r="B167" s="84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5"/>
      <c r="AL167" s="85"/>
      <c r="AM167" s="85"/>
    </row>
    <row r="168">
      <c r="A168" s="85"/>
      <c r="B168" s="84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  <c r="AG168" s="85"/>
      <c r="AH168" s="85"/>
      <c r="AI168" s="85"/>
      <c r="AJ168" s="85"/>
      <c r="AK168" s="85"/>
      <c r="AL168" s="85"/>
      <c r="AM168" s="85"/>
    </row>
    <row r="169">
      <c r="A169" s="85"/>
      <c r="B169" s="84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5"/>
      <c r="AL169" s="85"/>
      <c r="AM169" s="85"/>
    </row>
    <row r="170">
      <c r="A170" s="85"/>
      <c r="B170" s="84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  <c r="AG170" s="85"/>
      <c r="AH170" s="85"/>
      <c r="AI170" s="85"/>
      <c r="AJ170" s="85"/>
      <c r="AK170" s="85"/>
      <c r="AL170" s="85"/>
      <c r="AM170" s="85"/>
    </row>
    <row r="171">
      <c r="A171" s="85"/>
      <c r="B171" s="84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  <c r="AK171" s="85"/>
      <c r="AL171" s="85"/>
      <c r="AM171" s="85"/>
    </row>
    <row r="172">
      <c r="A172" s="85"/>
      <c r="B172" s="84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  <c r="AG172" s="85"/>
      <c r="AH172" s="85"/>
      <c r="AI172" s="85"/>
      <c r="AJ172" s="85"/>
      <c r="AK172" s="85"/>
      <c r="AL172" s="85"/>
      <c r="AM172" s="85"/>
    </row>
    <row r="173">
      <c r="A173" s="85"/>
      <c r="B173" s="84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  <c r="AK173" s="85"/>
      <c r="AL173" s="85"/>
      <c r="AM173" s="85"/>
    </row>
    <row r="174">
      <c r="A174" s="85"/>
      <c r="B174" s="84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  <c r="AK174" s="85"/>
      <c r="AL174" s="85"/>
      <c r="AM174" s="85"/>
    </row>
    <row r="175">
      <c r="A175" s="85"/>
      <c r="B175" s="84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5"/>
      <c r="AL175" s="85"/>
      <c r="AM175" s="85"/>
    </row>
    <row r="176">
      <c r="A176" s="85"/>
      <c r="B176" s="84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  <c r="AG176" s="85"/>
      <c r="AH176" s="85"/>
      <c r="AI176" s="85"/>
      <c r="AJ176" s="85"/>
      <c r="AK176" s="85"/>
      <c r="AL176" s="85"/>
      <c r="AM176" s="85"/>
    </row>
    <row r="177">
      <c r="A177" s="85"/>
      <c r="B177" s="84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  <c r="AG177" s="85"/>
      <c r="AH177" s="85"/>
      <c r="AI177" s="85"/>
      <c r="AJ177" s="85"/>
      <c r="AK177" s="85"/>
      <c r="AL177" s="85"/>
      <c r="AM177" s="85"/>
    </row>
    <row r="178">
      <c r="A178" s="85"/>
      <c r="B178" s="84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5"/>
      <c r="AL178" s="85"/>
      <c r="AM178" s="85"/>
    </row>
    <row r="179">
      <c r="A179" s="85"/>
      <c r="B179" s="84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  <c r="AG179" s="85"/>
      <c r="AH179" s="85"/>
      <c r="AI179" s="85"/>
      <c r="AJ179" s="85"/>
      <c r="AK179" s="85"/>
      <c r="AL179" s="85"/>
      <c r="AM179" s="85"/>
    </row>
    <row r="180">
      <c r="A180" s="85"/>
      <c r="B180" s="84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  <c r="AG180" s="85"/>
      <c r="AH180" s="85"/>
      <c r="AI180" s="85"/>
      <c r="AJ180" s="85"/>
      <c r="AK180" s="85"/>
      <c r="AL180" s="85"/>
      <c r="AM180" s="85"/>
    </row>
    <row r="181">
      <c r="A181" s="85"/>
      <c r="B181" s="84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85"/>
      <c r="AK181" s="85"/>
      <c r="AL181" s="85"/>
      <c r="AM181" s="85"/>
    </row>
    <row r="182">
      <c r="A182" s="85"/>
      <c r="B182" s="84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  <c r="AG182" s="85"/>
      <c r="AH182" s="85"/>
      <c r="AI182" s="85"/>
      <c r="AJ182" s="85"/>
      <c r="AK182" s="85"/>
      <c r="AL182" s="85"/>
      <c r="AM182" s="85"/>
    </row>
    <row r="183">
      <c r="A183" s="85"/>
      <c r="B183" s="84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  <c r="AG183" s="85"/>
      <c r="AH183" s="85"/>
      <c r="AI183" s="85"/>
      <c r="AJ183" s="85"/>
      <c r="AK183" s="85"/>
      <c r="AL183" s="85"/>
      <c r="AM183" s="85"/>
    </row>
    <row r="184">
      <c r="A184" s="85"/>
      <c r="B184" s="84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  <c r="AG184" s="85"/>
      <c r="AH184" s="85"/>
      <c r="AI184" s="85"/>
      <c r="AJ184" s="85"/>
      <c r="AK184" s="85"/>
      <c r="AL184" s="85"/>
      <c r="AM184" s="85"/>
    </row>
    <row r="185">
      <c r="A185" s="85"/>
      <c r="B185" s="84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85"/>
      <c r="AL185" s="85"/>
      <c r="AM185" s="85"/>
    </row>
    <row r="186">
      <c r="A186" s="85"/>
      <c r="B186" s="84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  <c r="AG186" s="85"/>
      <c r="AH186" s="85"/>
      <c r="AI186" s="85"/>
      <c r="AJ186" s="85"/>
      <c r="AK186" s="85"/>
      <c r="AL186" s="85"/>
      <c r="AM186" s="85"/>
    </row>
    <row r="187">
      <c r="A187" s="85"/>
      <c r="B187" s="84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/>
      <c r="AK187" s="85"/>
      <c r="AL187" s="85"/>
      <c r="AM187" s="85"/>
    </row>
    <row r="188">
      <c r="A188" s="85"/>
      <c r="B188" s="84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5"/>
      <c r="AL188" s="85"/>
      <c r="AM188" s="85"/>
    </row>
    <row r="189">
      <c r="A189" s="85"/>
      <c r="B189" s="84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  <c r="AG189" s="85"/>
      <c r="AH189" s="85"/>
      <c r="AI189" s="85"/>
      <c r="AJ189" s="85"/>
      <c r="AK189" s="85"/>
      <c r="AL189" s="85"/>
      <c r="AM189" s="85"/>
    </row>
    <row r="190">
      <c r="A190" s="85"/>
      <c r="B190" s="84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  <c r="AF190" s="85"/>
      <c r="AG190" s="85"/>
      <c r="AH190" s="85"/>
      <c r="AI190" s="85"/>
      <c r="AJ190" s="85"/>
      <c r="AK190" s="85"/>
      <c r="AL190" s="85"/>
      <c r="AM190" s="85"/>
    </row>
    <row r="191">
      <c r="A191" s="85"/>
      <c r="B191" s="84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  <c r="AG191" s="85"/>
      <c r="AH191" s="85"/>
      <c r="AI191" s="85"/>
      <c r="AJ191" s="85"/>
      <c r="AK191" s="85"/>
      <c r="AL191" s="85"/>
      <c r="AM191" s="85"/>
    </row>
    <row r="192">
      <c r="A192" s="85"/>
      <c r="B192" s="84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  <c r="AG192" s="85"/>
      <c r="AH192" s="85"/>
      <c r="AI192" s="85"/>
      <c r="AJ192" s="85"/>
      <c r="AK192" s="85"/>
      <c r="AL192" s="85"/>
      <c r="AM192" s="85"/>
    </row>
    <row r="193">
      <c r="A193" s="85"/>
      <c r="B193" s="84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</row>
    <row r="194">
      <c r="A194" s="85"/>
      <c r="B194" s="84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  <c r="AG194" s="85"/>
      <c r="AH194" s="85"/>
      <c r="AI194" s="85"/>
      <c r="AJ194" s="85"/>
      <c r="AK194" s="85"/>
      <c r="AL194" s="85"/>
      <c r="AM194" s="85"/>
    </row>
    <row r="195">
      <c r="A195" s="85"/>
      <c r="B195" s="84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  <c r="AG195" s="85"/>
      <c r="AH195" s="85"/>
      <c r="AI195" s="85"/>
      <c r="AJ195" s="85"/>
      <c r="AK195" s="85"/>
      <c r="AL195" s="85"/>
      <c r="AM195" s="85"/>
    </row>
    <row r="196">
      <c r="A196" s="85"/>
      <c r="B196" s="84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  <c r="AK196" s="85"/>
      <c r="AL196" s="85"/>
      <c r="AM196" s="85"/>
    </row>
    <row r="197">
      <c r="A197" s="85"/>
      <c r="B197" s="84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  <c r="AG197" s="85"/>
      <c r="AH197" s="85"/>
      <c r="AI197" s="85"/>
      <c r="AJ197" s="85"/>
      <c r="AK197" s="85"/>
      <c r="AL197" s="85"/>
      <c r="AM197" s="85"/>
    </row>
    <row r="198">
      <c r="A198" s="85"/>
      <c r="B198" s="84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  <c r="AG198" s="85"/>
      <c r="AH198" s="85"/>
      <c r="AI198" s="85"/>
      <c r="AJ198" s="85"/>
      <c r="AK198" s="85"/>
      <c r="AL198" s="85"/>
      <c r="AM198" s="85"/>
    </row>
    <row r="199">
      <c r="A199" s="85"/>
      <c r="B199" s="84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  <c r="AG199" s="85"/>
      <c r="AH199" s="85"/>
      <c r="AI199" s="85"/>
      <c r="AJ199" s="85"/>
      <c r="AK199" s="85"/>
      <c r="AL199" s="85"/>
      <c r="AM199" s="85"/>
    </row>
    <row r="200">
      <c r="A200" s="85"/>
      <c r="B200" s="84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  <c r="AG200" s="85"/>
      <c r="AH200" s="85"/>
      <c r="AI200" s="85"/>
      <c r="AJ200" s="85"/>
      <c r="AK200" s="85"/>
      <c r="AL200" s="85"/>
      <c r="AM200" s="85"/>
    </row>
    <row r="201">
      <c r="A201" s="85"/>
      <c r="B201" s="84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  <c r="AF201" s="85"/>
      <c r="AG201" s="85"/>
      <c r="AH201" s="85"/>
      <c r="AI201" s="85"/>
      <c r="AJ201" s="85"/>
      <c r="AK201" s="85"/>
      <c r="AL201" s="85"/>
      <c r="AM201" s="85"/>
    </row>
    <row r="202">
      <c r="A202" s="85"/>
      <c r="B202" s="84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  <c r="AG202" s="85"/>
      <c r="AH202" s="85"/>
      <c r="AI202" s="85"/>
      <c r="AJ202" s="85"/>
      <c r="AK202" s="85"/>
      <c r="AL202" s="85"/>
      <c r="AM202" s="85"/>
    </row>
    <row r="203">
      <c r="A203" s="85"/>
      <c r="B203" s="84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  <c r="AG203" s="85"/>
      <c r="AH203" s="85"/>
      <c r="AI203" s="85"/>
      <c r="AJ203" s="85"/>
      <c r="AK203" s="85"/>
      <c r="AL203" s="85"/>
      <c r="AM203" s="85"/>
    </row>
    <row r="204">
      <c r="A204" s="85"/>
      <c r="B204" s="84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  <c r="AG204" s="85"/>
      <c r="AH204" s="85"/>
      <c r="AI204" s="85"/>
      <c r="AJ204" s="85"/>
      <c r="AK204" s="85"/>
      <c r="AL204" s="85"/>
      <c r="AM204" s="85"/>
    </row>
    <row r="205">
      <c r="A205" s="85"/>
      <c r="B205" s="84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  <c r="AG205" s="85"/>
      <c r="AH205" s="85"/>
      <c r="AI205" s="85"/>
      <c r="AJ205" s="85"/>
      <c r="AK205" s="85"/>
      <c r="AL205" s="85"/>
      <c r="AM205" s="85"/>
    </row>
    <row r="206">
      <c r="A206" s="85"/>
      <c r="B206" s="84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  <c r="AG206" s="85"/>
      <c r="AH206" s="85"/>
      <c r="AI206" s="85"/>
      <c r="AJ206" s="85"/>
      <c r="AK206" s="85"/>
      <c r="AL206" s="85"/>
      <c r="AM206" s="85"/>
    </row>
    <row r="207">
      <c r="A207" s="85"/>
      <c r="B207" s="84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  <c r="AF207" s="85"/>
      <c r="AG207" s="85"/>
      <c r="AH207" s="85"/>
      <c r="AI207" s="85"/>
      <c r="AJ207" s="85"/>
      <c r="AK207" s="85"/>
      <c r="AL207" s="85"/>
      <c r="AM207" s="85"/>
    </row>
    <row r="208">
      <c r="A208" s="85"/>
      <c r="B208" s="84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5"/>
      <c r="AL208" s="85"/>
      <c r="AM208" s="85"/>
    </row>
    <row r="209">
      <c r="A209" s="85"/>
      <c r="B209" s="84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85"/>
      <c r="AK209" s="85"/>
      <c r="AL209" s="85"/>
      <c r="AM209" s="85"/>
    </row>
    <row r="210">
      <c r="A210" s="85"/>
      <c r="B210" s="84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  <c r="AG210" s="85"/>
      <c r="AH210" s="85"/>
      <c r="AI210" s="85"/>
      <c r="AJ210" s="85"/>
      <c r="AK210" s="85"/>
      <c r="AL210" s="85"/>
      <c r="AM210" s="85"/>
    </row>
    <row r="211">
      <c r="A211" s="85"/>
      <c r="B211" s="84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  <c r="AG211" s="85"/>
      <c r="AH211" s="85"/>
      <c r="AI211" s="85"/>
      <c r="AJ211" s="85"/>
      <c r="AK211" s="85"/>
      <c r="AL211" s="85"/>
      <c r="AM211" s="85"/>
    </row>
    <row r="212">
      <c r="A212" s="85"/>
      <c r="B212" s="84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  <c r="AG212" s="85"/>
      <c r="AH212" s="85"/>
      <c r="AI212" s="85"/>
      <c r="AJ212" s="85"/>
      <c r="AK212" s="85"/>
      <c r="AL212" s="85"/>
      <c r="AM212" s="85"/>
    </row>
    <row r="213">
      <c r="A213" s="85"/>
      <c r="B213" s="84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  <c r="AG213" s="85"/>
      <c r="AH213" s="85"/>
      <c r="AI213" s="85"/>
      <c r="AJ213" s="85"/>
      <c r="AK213" s="85"/>
      <c r="AL213" s="85"/>
      <c r="AM213" s="85"/>
    </row>
    <row r="214">
      <c r="A214" s="85"/>
      <c r="B214" s="84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  <c r="AG214" s="85"/>
      <c r="AH214" s="85"/>
      <c r="AI214" s="85"/>
      <c r="AJ214" s="85"/>
      <c r="AK214" s="85"/>
      <c r="AL214" s="85"/>
      <c r="AM214" s="85"/>
    </row>
    <row r="215">
      <c r="A215" s="85"/>
      <c r="B215" s="84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  <c r="AK215" s="85"/>
      <c r="AL215" s="85"/>
      <c r="AM215" s="85"/>
    </row>
    <row r="216">
      <c r="A216" s="85"/>
      <c r="B216" s="84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  <c r="AG216" s="85"/>
      <c r="AH216" s="85"/>
      <c r="AI216" s="85"/>
      <c r="AJ216" s="85"/>
      <c r="AK216" s="85"/>
      <c r="AL216" s="85"/>
      <c r="AM216" s="85"/>
    </row>
    <row r="217">
      <c r="A217" s="85"/>
      <c r="B217" s="84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  <c r="AF217" s="85"/>
      <c r="AG217" s="85"/>
      <c r="AH217" s="85"/>
      <c r="AI217" s="85"/>
      <c r="AJ217" s="85"/>
      <c r="AK217" s="85"/>
      <c r="AL217" s="85"/>
      <c r="AM217" s="85"/>
    </row>
    <row r="218">
      <c r="A218" s="85"/>
      <c r="B218" s="84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  <c r="AG218" s="85"/>
      <c r="AH218" s="85"/>
      <c r="AI218" s="85"/>
      <c r="AJ218" s="85"/>
      <c r="AK218" s="85"/>
      <c r="AL218" s="85"/>
      <c r="AM218" s="85"/>
    </row>
    <row r="219">
      <c r="A219" s="85"/>
      <c r="B219" s="84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  <c r="AG219" s="85"/>
      <c r="AH219" s="85"/>
      <c r="AI219" s="85"/>
      <c r="AJ219" s="85"/>
      <c r="AK219" s="85"/>
      <c r="AL219" s="85"/>
      <c r="AM219" s="85"/>
    </row>
    <row r="220">
      <c r="A220" s="85"/>
      <c r="B220" s="84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  <c r="AF220" s="85"/>
      <c r="AG220" s="85"/>
      <c r="AH220" s="85"/>
      <c r="AI220" s="85"/>
      <c r="AJ220" s="85"/>
      <c r="AK220" s="85"/>
      <c r="AL220" s="85"/>
      <c r="AM220" s="85"/>
    </row>
    <row r="221">
      <c r="A221" s="85"/>
      <c r="B221" s="84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  <c r="AG221" s="85"/>
      <c r="AH221" s="85"/>
      <c r="AI221" s="85"/>
      <c r="AJ221" s="85"/>
      <c r="AK221" s="85"/>
      <c r="AL221" s="85"/>
      <c r="AM221" s="85"/>
    </row>
    <row r="222">
      <c r="A222" s="85"/>
      <c r="B222" s="84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  <c r="AF222" s="85"/>
      <c r="AG222" s="85"/>
      <c r="AH222" s="85"/>
      <c r="AI222" s="85"/>
      <c r="AJ222" s="85"/>
      <c r="AK222" s="85"/>
      <c r="AL222" s="85"/>
      <c r="AM222" s="85"/>
    </row>
    <row r="223">
      <c r="A223" s="85"/>
      <c r="B223" s="84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  <c r="AG223" s="85"/>
      <c r="AH223" s="85"/>
      <c r="AI223" s="85"/>
      <c r="AJ223" s="85"/>
      <c r="AK223" s="85"/>
      <c r="AL223" s="85"/>
      <c r="AM223" s="85"/>
    </row>
    <row r="224">
      <c r="A224" s="85"/>
      <c r="B224" s="84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  <c r="AG224" s="85"/>
      <c r="AH224" s="85"/>
      <c r="AI224" s="85"/>
      <c r="AJ224" s="85"/>
      <c r="AK224" s="85"/>
      <c r="AL224" s="85"/>
      <c r="AM224" s="85"/>
    </row>
    <row r="225">
      <c r="A225" s="85"/>
      <c r="B225" s="84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  <c r="AG225" s="85"/>
      <c r="AH225" s="85"/>
      <c r="AI225" s="85"/>
      <c r="AJ225" s="85"/>
      <c r="AK225" s="85"/>
      <c r="AL225" s="85"/>
      <c r="AM225" s="85"/>
    </row>
    <row r="226">
      <c r="A226" s="85"/>
      <c r="B226" s="84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  <c r="AG226" s="85"/>
      <c r="AH226" s="85"/>
      <c r="AI226" s="85"/>
      <c r="AJ226" s="85"/>
      <c r="AK226" s="85"/>
      <c r="AL226" s="85"/>
      <c r="AM226" s="85"/>
    </row>
    <row r="227">
      <c r="A227" s="85"/>
      <c r="B227" s="84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  <c r="AG227" s="85"/>
      <c r="AH227" s="85"/>
      <c r="AI227" s="85"/>
      <c r="AJ227" s="85"/>
      <c r="AK227" s="85"/>
      <c r="AL227" s="85"/>
      <c r="AM227" s="85"/>
    </row>
    <row r="228">
      <c r="A228" s="85"/>
      <c r="B228" s="84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  <c r="AF228" s="85"/>
      <c r="AG228" s="85"/>
      <c r="AH228" s="85"/>
      <c r="AI228" s="85"/>
      <c r="AJ228" s="85"/>
      <c r="AK228" s="85"/>
      <c r="AL228" s="85"/>
      <c r="AM228" s="85"/>
    </row>
    <row r="229">
      <c r="A229" s="85"/>
      <c r="B229" s="84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  <c r="AG229" s="85"/>
      <c r="AH229" s="85"/>
      <c r="AI229" s="85"/>
      <c r="AJ229" s="85"/>
      <c r="AK229" s="85"/>
      <c r="AL229" s="85"/>
      <c r="AM229" s="85"/>
    </row>
    <row r="230">
      <c r="A230" s="85"/>
      <c r="B230" s="84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  <c r="AG230" s="85"/>
      <c r="AH230" s="85"/>
      <c r="AI230" s="85"/>
      <c r="AJ230" s="85"/>
      <c r="AK230" s="85"/>
      <c r="AL230" s="85"/>
      <c r="AM230" s="85"/>
    </row>
    <row r="231">
      <c r="A231" s="85"/>
      <c r="B231" s="84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</row>
    <row r="232">
      <c r="A232" s="85"/>
      <c r="B232" s="84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  <c r="AE232" s="85"/>
      <c r="AF232" s="85"/>
      <c r="AG232" s="85"/>
      <c r="AH232" s="85"/>
      <c r="AI232" s="85"/>
      <c r="AJ232" s="85"/>
      <c r="AK232" s="85"/>
      <c r="AL232" s="85"/>
      <c r="AM232" s="85"/>
    </row>
    <row r="233">
      <c r="A233" s="85"/>
      <c r="B233" s="84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  <c r="AG233" s="85"/>
      <c r="AH233" s="85"/>
      <c r="AI233" s="85"/>
      <c r="AJ233" s="85"/>
      <c r="AK233" s="85"/>
      <c r="AL233" s="85"/>
      <c r="AM233" s="85"/>
    </row>
    <row r="234">
      <c r="A234" s="85"/>
      <c r="B234" s="84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  <c r="AE234" s="85"/>
      <c r="AF234" s="85"/>
      <c r="AG234" s="85"/>
      <c r="AH234" s="85"/>
      <c r="AI234" s="85"/>
      <c r="AJ234" s="85"/>
      <c r="AK234" s="85"/>
      <c r="AL234" s="85"/>
      <c r="AM234" s="85"/>
    </row>
    <row r="235">
      <c r="A235" s="85"/>
      <c r="B235" s="84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  <c r="AF235" s="85"/>
      <c r="AG235" s="85"/>
      <c r="AH235" s="85"/>
      <c r="AI235" s="85"/>
      <c r="AJ235" s="85"/>
      <c r="AK235" s="85"/>
      <c r="AL235" s="85"/>
      <c r="AM235" s="85"/>
    </row>
    <row r="236">
      <c r="A236" s="85"/>
      <c r="B236" s="84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  <c r="AF236" s="85"/>
      <c r="AG236" s="85"/>
      <c r="AH236" s="85"/>
      <c r="AI236" s="85"/>
      <c r="AJ236" s="85"/>
      <c r="AK236" s="85"/>
      <c r="AL236" s="85"/>
      <c r="AM236" s="85"/>
    </row>
    <row r="237">
      <c r="A237" s="85"/>
      <c r="B237" s="84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85"/>
      <c r="AG237" s="85"/>
      <c r="AH237" s="85"/>
      <c r="AI237" s="85"/>
      <c r="AJ237" s="85"/>
      <c r="AK237" s="85"/>
      <c r="AL237" s="85"/>
      <c r="AM237" s="85"/>
    </row>
    <row r="238">
      <c r="A238" s="85"/>
      <c r="B238" s="84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  <c r="AF238" s="85"/>
      <c r="AG238" s="85"/>
      <c r="AH238" s="85"/>
      <c r="AI238" s="85"/>
      <c r="AJ238" s="85"/>
      <c r="AK238" s="85"/>
      <c r="AL238" s="85"/>
      <c r="AM238" s="85"/>
    </row>
    <row r="239">
      <c r="A239" s="85"/>
      <c r="B239" s="84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  <c r="AG239" s="85"/>
      <c r="AH239" s="85"/>
      <c r="AI239" s="85"/>
      <c r="AJ239" s="85"/>
      <c r="AK239" s="85"/>
      <c r="AL239" s="85"/>
      <c r="AM239" s="85"/>
    </row>
    <row r="240">
      <c r="A240" s="85"/>
      <c r="B240" s="84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  <c r="AF240" s="85"/>
      <c r="AG240" s="85"/>
      <c r="AH240" s="85"/>
      <c r="AI240" s="85"/>
      <c r="AJ240" s="85"/>
      <c r="AK240" s="85"/>
      <c r="AL240" s="85"/>
      <c r="AM240" s="85"/>
    </row>
    <row r="241">
      <c r="A241" s="85"/>
      <c r="B241" s="84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  <c r="AE241" s="85"/>
      <c r="AF241" s="85"/>
      <c r="AG241" s="85"/>
      <c r="AH241" s="85"/>
      <c r="AI241" s="85"/>
      <c r="AJ241" s="85"/>
      <c r="AK241" s="85"/>
      <c r="AL241" s="85"/>
      <c r="AM241" s="85"/>
    </row>
    <row r="242">
      <c r="A242" s="85"/>
      <c r="B242" s="84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  <c r="AF242" s="85"/>
      <c r="AG242" s="85"/>
      <c r="AH242" s="85"/>
      <c r="AI242" s="85"/>
      <c r="AJ242" s="85"/>
      <c r="AK242" s="85"/>
      <c r="AL242" s="85"/>
      <c r="AM242" s="85"/>
    </row>
    <row r="243">
      <c r="A243" s="85"/>
      <c r="B243" s="84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  <c r="AE243" s="85"/>
      <c r="AF243" s="85"/>
      <c r="AG243" s="85"/>
      <c r="AH243" s="85"/>
      <c r="AI243" s="85"/>
      <c r="AJ243" s="85"/>
      <c r="AK243" s="85"/>
      <c r="AL243" s="85"/>
      <c r="AM243" s="85"/>
    </row>
    <row r="244">
      <c r="A244" s="85"/>
      <c r="B244" s="84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  <c r="AF244" s="85"/>
      <c r="AG244" s="85"/>
      <c r="AH244" s="85"/>
      <c r="AI244" s="85"/>
      <c r="AJ244" s="85"/>
      <c r="AK244" s="85"/>
      <c r="AL244" s="85"/>
      <c r="AM244" s="85"/>
    </row>
    <row r="245">
      <c r="A245" s="85"/>
      <c r="B245" s="84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  <c r="AG245" s="85"/>
      <c r="AH245" s="85"/>
      <c r="AI245" s="85"/>
      <c r="AJ245" s="85"/>
      <c r="AK245" s="85"/>
      <c r="AL245" s="85"/>
      <c r="AM245" s="85"/>
    </row>
    <row r="246">
      <c r="A246" s="85"/>
      <c r="B246" s="84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  <c r="AE246" s="85"/>
      <c r="AF246" s="85"/>
      <c r="AG246" s="85"/>
      <c r="AH246" s="85"/>
      <c r="AI246" s="85"/>
      <c r="AJ246" s="85"/>
      <c r="AK246" s="85"/>
      <c r="AL246" s="85"/>
      <c r="AM246" s="85"/>
    </row>
    <row r="247">
      <c r="A247" s="85"/>
      <c r="B247" s="84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  <c r="AE247" s="85"/>
      <c r="AF247" s="85"/>
      <c r="AG247" s="85"/>
      <c r="AH247" s="85"/>
      <c r="AI247" s="85"/>
      <c r="AJ247" s="85"/>
      <c r="AK247" s="85"/>
      <c r="AL247" s="85"/>
      <c r="AM247" s="85"/>
    </row>
    <row r="248">
      <c r="A248" s="85"/>
      <c r="B248" s="84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  <c r="AE248" s="85"/>
      <c r="AF248" s="85"/>
      <c r="AG248" s="85"/>
      <c r="AH248" s="85"/>
      <c r="AI248" s="85"/>
      <c r="AJ248" s="85"/>
      <c r="AK248" s="85"/>
      <c r="AL248" s="85"/>
      <c r="AM248" s="85"/>
    </row>
    <row r="249">
      <c r="A249" s="85"/>
      <c r="B249" s="84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  <c r="AE249" s="85"/>
      <c r="AF249" s="85"/>
      <c r="AG249" s="85"/>
      <c r="AH249" s="85"/>
      <c r="AI249" s="85"/>
      <c r="AJ249" s="85"/>
      <c r="AK249" s="85"/>
      <c r="AL249" s="85"/>
      <c r="AM249" s="85"/>
    </row>
    <row r="250">
      <c r="A250" s="85"/>
      <c r="B250" s="84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  <c r="AE250" s="85"/>
      <c r="AF250" s="85"/>
      <c r="AG250" s="85"/>
      <c r="AH250" s="85"/>
      <c r="AI250" s="85"/>
      <c r="AJ250" s="85"/>
      <c r="AK250" s="85"/>
      <c r="AL250" s="85"/>
      <c r="AM250" s="85"/>
    </row>
    <row r="251">
      <c r="A251" s="85"/>
      <c r="B251" s="84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  <c r="AE251" s="85"/>
      <c r="AF251" s="85"/>
      <c r="AG251" s="85"/>
      <c r="AH251" s="85"/>
      <c r="AI251" s="85"/>
      <c r="AJ251" s="85"/>
      <c r="AK251" s="85"/>
      <c r="AL251" s="85"/>
      <c r="AM251" s="85"/>
    </row>
    <row r="252">
      <c r="A252" s="85"/>
      <c r="B252" s="84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  <c r="AF252" s="85"/>
      <c r="AG252" s="85"/>
      <c r="AH252" s="85"/>
      <c r="AI252" s="85"/>
      <c r="AJ252" s="85"/>
      <c r="AK252" s="85"/>
      <c r="AL252" s="85"/>
      <c r="AM252" s="85"/>
    </row>
    <row r="253">
      <c r="A253" s="85"/>
      <c r="B253" s="84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  <c r="AE253" s="85"/>
      <c r="AF253" s="85"/>
      <c r="AG253" s="85"/>
      <c r="AH253" s="85"/>
      <c r="AI253" s="85"/>
      <c r="AJ253" s="85"/>
      <c r="AK253" s="85"/>
      <c r="AL253" s="85"/>
      <c r="AM253" s="85"/>
    </row>
    <row r="254">
      <c r="A254" s="85"/>
      <c r="B254" s="84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  <c r="AE254" s="85"/>
      <c r="AF254" s="85"/>
      <c r="AG254" s="85"/>
      <c r="AH254" s="85"/>
      <c r="AI254" s="85"/>
      <c r="AJ254" s="85"/>
      <c r="AK254" s="85"/>
      <c r="AL254" s="85"/>
      <c r="AM254" s="85"/>
    </row>
    <row r="255">
      <c r="A255" s="85"/>
      <c r="B255" s="84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  <c r="AE255" s="85"/>
      <c r="AF255" s="85"/>
      <c r="AG255" s="85"/>
      <c r="AH255" s="85"/>
      <c r="AI255" s="85"/>
      <c r="AJ255" s="85"/>
      <c r="AK255" s="85"/>
      <c r="AL255" s="85"/>
      <c r="AM255" s="85"/>
    </row>
    <row r="256">
      <c r="A256" s="85"/>
      <c r="B256" s="84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  <c r="AE256" s="85"/>
      <c r="AF256" s="85"/>
      <c r="AG256" s="85"/>
      <c r="AH256" s="85"/>
      <c r="AI256" s="85"/>
      <c r="AJ256" s="85"/>
      <c r="AK256" s="85"/>
      <c r="AL256" s="85"/>
      <c r="AM256" s="85"/>
    </row>
    <row r="257">
      <c r="A257" s="85"/>
      <c r="B257" s="84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  <c r="AK257" s="85"/>
      <c r="AL257" s="85"/>
      <c r="AM257" s="85"/>
    </row>
    <row r="258">
      <c r="A258" s="85"/>
      <c r="B258" s="84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  <c r="AE258" s="85"/>
      <c r="AF258" s="85"/>
      <c r="AG258" s="85"/>
      <c r="AH258" s="85"/>
      <c r="AI258" s="85"/>
      <c r="AJ258" s="85"/>
      <c r="AK258" s="85"/>
      <c r="AL258" s="85"/>
      <c r="AM258" s="85"/>
    </row>
    <row r="259">
      <c r="A259" s="85"/>
      <c r="B259" s="84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  <c r="AF259" s="85"/>
      <c r="AG259" s="85"/>
      <c r="AH259" s="85"/>
      <c r="AI259" s="85"/>
      <c r="AJ259" s="85"/>
      <c r="AK259" s="85"/>
      <c r="AL259" s="85"/>
      <c r="AM259" s="85"/>
    </row>
    <row r="260">
      <c r="A260" s="85"/>
      <c r="B260" s="84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  <c r="AK260" s="85"/>
      <c r="AL260" s="85"/>
      <c r="AM260" s="85"/>
    </row>
    <row r="261">
      <c r="A261" s="85"/>
      <c r="B261" s="84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  <c r="AF261" s="85"/>
      <c r="AG261" s="85"/>
      <c r="AH261" s="85"/>
      <c r="AI261" s="85"/>
      <c r="AJ261" s="85"/>
      <c r="AK261" s="85"/>
      <c r="AL261" s="85"/>
      <c r="AM261" s="85"/>
    </row>
    <row r="262">
      <c r="A262" s="85"/>
      <c r="B262" s="84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  <c r="AF262" s="85"/>
      <c r="AG262" s="85"/>
      <c r="AH262" s="85"/>
      <c r="AI262" s="85"/>
      <c r="AJ262" s="85"/>
      <c r="AK262" s="85"/>
      <c r="AL262" s="85"/>
      <c r="AM262" s="85"/>
    </row>
    <row r="263">
      <c r="A263" s="85"/>
      <c r="B263" s="84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  <c r="AE263" s="85"/>
      <c r="AF263" s="85"/>
      <c r="AG263" s="85"/>
      <c r="AH263" s="85"/>
      <c r="AI263" s="85"/>
      <c r="AJ263" s="85"/>
      <c r="AK263" s="85"/>
      <c r="AL263" s="85"/>
      <c r="AM263" s="85"/>
    </row>
    <row r="264">
      <c r="A264" s="85"/>
      <c r="B264" s="84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85"/>
      <c r="AG264" s="85"/>
      <c r="AH264" s="85"/>
      <c r="AI264" s="85"/>
      <c r="AJ264" s="85"/>
      <c r="AK264" s="85"/>
      <c r="AL264" s="85"/>
      <c r="AM264" s="85"/>
    </row>
    <row r="265">
      <c r="A265" s="85"/>
      <c r="B265" s="84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  <c r="AE265" s="85"/>
      <c r="AF265" s="85"/>
      <c r="AG265" s="85"/>
      <c r="AH265" s="85"/>
      <c r="AI265" s="85"/>
      <c r="AJ265" s="85"/>
      <c r="AK265" s="85"/>
      <c r="AL265" s="85"/>
      <c r="AM265" s="85"/>
    </row>
    <row r="266">
      <c r="A266" s="85"/>
      <c r="B266" s="84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  <c r="AE266" s="85"/>
      <c r="AF266" s="85"/>
      <c r="AG266" s="85"/>
      <c r="AH266" s="85"/>
      <c r="AI266" s="85"/>
      <c r="AJ266" s="85"/>
      <c r="AK266" s="85"/>
      <c r="AL266" s="85"/>
      <c r="AM266" s="85"/>
    </row>
    <row r="267">
      <c r="A267" s="85"/>
      <c r="B267" s="84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  <c r="AE267" s="85"/>
      <c r="AF267" s="85"/>
      <c r="AG267" s="85"/>
      <c r="AH267" s="85"/>
      <c r="AI267" s="85"/>
      <c r="AJ267" s="85"/>
      <c r="AK267" s="85"/>
      <c r="AL267" s="85"/>
      <c r="AM267" s="85"/>
    </row>
    <row r="268">
      <c r="A268" s="85"/>
      <c r="B268" s="84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  <c r="AE268" s="85"/>
      <c r="AF268" s="85"/>
      <c r="AG268" s="85"/>
      <c r="AH268" s="85"/>
      <c r="AI268" s="85"/>
      <c r="AJ268" s="85"/>
      <c r="AK268" s="85"/>
      <c r="AL268" s="85"/>
      <c r="AM268" s="85"/>
    </row>
    <row r="269">
      <c r="A269" s="85"/>
      <c r="B269" s="84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</row>
    <row r="270">
      <c r="A270" s="85"/>
      <c r="B270" s="84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  <c r="AE270" s="85"/>
      <c r="AF270" s="85"/>
      <c r="AG270" s="85"/>
      <c r="AH270" s="85"/>
      <c r="AI270" s="85"/>
      <c r="AJ270" s="85"/>
      <c r="AK270" s="85"/>
      <c r="AL270" s="85"/>
      <c r="AM270" s="85"/>
    </row>
    <row r="271">
      <c r="A271" s="85"/>
      <c r="B271" s="84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  <c r="AE271" s="85"/>
      <c r="AF271" s="85"/>
      <c r="AG271" s="85"/>
      <c r="AH271" s="85"/>
      <c r="AI271" s="85"/>
      <c r="AJ271" s="85"/>
      <c r="AK271" s="85"/>
      <c r="AL271" s="85"/>
      <c r="AM271" s="85"/>
    </row>
    <row r="272">
      <c r="A272" s="85"/>
      <c r="B272" s="84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  <c r="AE272" s="85"/>
      <c r="AF272" s="85"/>
      <c r="AG272" s="85"/>
      <c r="AH272" s="85"/>
      <c r="AI272" s="85"/>
      <c r="AJ272" s="85"/>
      <c r="AK272" s="85"/>
      <c r="AL272" s="85"/>
      <c r="AM272" s="85"/>
    </row>
    <row r="273">
      <c r="A273" s="85"/>
      <c r="B273" s="84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  <c r="AE273" s="85"/>
      <c r="AF273" s="85"/>
      <c r="AG273" s="85"/>
      <c r="AH273" s="85"/>
      <c r="AI273" s="85"/>
      <c r="AJ273" s="85"/>
      <c r="AK273" s="85"/>
      <c r="AL273" s="85"/>
      <c r="AM273" s="85"/>
    </row>
    <row r="274">
      <c r="A274" s="85"/>
      <c r="B274" s="84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  <c r="AE274" s="85"/>
      <c r="AF274" s="85"/>
      <c r="AG274" s="85"/>
      <c r="AH274" s="85"/>
      <c r="AI274" s="85"/>
      <c r="AJ274" s="85"/>
      <c r="AK274" s="85"/>
      <c r="AL274" s="85"/>
      <c r="AM274" s="85"/>
    </row>
    <row r="275">
      <c r="A275" s="85"/>
      <c r="B275" s="84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  <c r="AE275" s="85"/>
      <c r="AF275" s="85"/>
      <c r="AG275" s="85"/>
      <c r="AH275" s="85"/>
      <c r="AI275" s="85"/>
      <c r="AJ275" s="85"/>
      <c r="AK275" s="85"/>
      <c r="AL275" s="85"/>
      <c r="AM275" s="85"/>
    </row>
    <row r="276">
      <c r="A276" s="85"/>
      <c r="B276" s="84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  <c r="AE276" s="85"/>
      <c r="AF276" s="85"/>
      <c r="AG276" s="85"/>
      <c r="AH276" s="85"/>
      <c r="AI276" s="85"/>
      <c r="AJ276" s="85"/>
      <c r="AK276" s="85"/>
      <c r="AL276" s="85"/>
      <c r="AM276" s="85"/>
    </row>
    <row r="277">
      <c r="A277" s="85"/>
      <c r="B277" s="84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  <c r="AE277" s="85"/>
      <c r="AF277" s="85"/>
      <c r="AG277" s="85"/>
      <c r="AH277" s="85"/>
      <c r="AI277" s="85"/>
      <c r="AJ277" s="85"/>
      <c r="AK277" s="85"/>
      <c r="AL277" s="85"/>
      <c r="AM277" s="85"/>
    </row>
    <row r="278">
      <c r="A278" s="85"/>
      <c r="B278" s="84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  <c r="AE278" s="85"/>
      <c r="AF278" s="85"/>
      <c r="AG278" s="85"/>
      <c r="AH278" s="85"/>
      <c r="AI278" s="85"/>
      <c r="AJ278" s="85"/>
      <c r="AK278" s="85"/>
      <c r="AL278" s="85"/>
      <c r="AM278" s="85"/>
    </row>
    <row r="279">
      <c r="A279" s="85"/>
      <c r="B279" s="84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  <c r="AE279" s="85"/>
      <c r="AF279" s="85"/>
      <c r="AG279" s="85"/>
      <c r="AH279" s="85"/>
      <c r="AI279" s="85"/>
      <c r="AJ279" s="85"/>
      <c r="AK279" s="85"/>
      <c r="AL279" s="85"/>
      <c r="AM279" s="85"/>
    </row>
    <row r="280">
      <c r="A280" s="85"/>
      <c r="B280" s="84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  <c r="AE280" s="85"/>
      <c r="AF280" s="85"/>
      <c r="AG280" s="85"/>
      <c r="AH280" s="85"/>
      <c r="AI280" s="85"/>
      <c r="AJ280" s="85"/>
      <c r="AK280" s="85"/>
      <c r="AL280" s="85"/>
      <c r="AM280" s="85"/>
    </row>
    <row r="281">
      <c r="A281" s="85"/>
      <c r="B281" s="84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  <c r="AE281" s="85"/>
      <c r="AF281" s="85"/>
      <c r="AG281" s="85"/>
      <c r="AH281" s="85"/>
      <c r="AI281" s="85"/>
      <c r="AJ281" s="85"/>
      <c r="AK281" s="85"/>
      <c r="AL281" s="85"/>
      <c r="AM281" s="85"/>
    </row>
    <row r="282">
      <c r="A282" s="85"/>
      <c r="B282" s="84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  <c r="AE282" s="85"/>
      <c r="AF282" s="85"/>
      <c r="AG282" s="85"/>
      <c r="AH282" s="85"/>
      <c r="AI282" s="85"/>
      <c r="AJ282" s="85"/>
      <c r="AK282" s="85"/>
      <c r="AL282" s="85"/>
      <c r="AM282" s="85"/>
    </row>
    <row r="283">
      <c r="A283" s="85"/>
      <c r="B283" s="84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  <c r="AE283" s="85"/>
      <c r="AF283" s="85"/>
      <c r="AG283" s="85"/>
      <c r="AH283" s="85"/>
      <c r="AI283" s="85"/>
      <c r="AJ283" s="85"/>
      <c r="AK283" s="85"/>
      <c r="AL283" s="85"/>
      <c r="AM283" s="85"/>
    </row>
    <row r="284">
      <c r="A284" s="85"/>
      <c r="B284" s="84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  <c r="AE284" s="85"/>
      <c r="AF284" s="85"/>
      <c r="AG284" s="85"/>
      <c r="AH284" s="85"/>
      <c r="AI284" s="85"/>
      <c r="AJ284" s="85"/>
      <c r="AK284" s="85"/>
      <c r="AL284" s="85"/>
      <c r="AM284" s="85"/>
    </row>
    <row r="285">
      <c r="A285" s="85"/>
      <c r="B285" s="84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  <c r="AF285" s="85"/>
      <c r="AG285" s="85"/>
      <c r="AH285" s="85"/>
      <c r="AI285" s="85"/>
      <c r="AJ285" s="85"/>
      <c r="AK285" s="85"/>
      <c r="AL285" s="85"/>
      <c r="AM285" s="85"/>
    </row>
    <row r="286">
      <c r="A286" s="85"/>
      <c r="B286" s="84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  <c r="AE286" s="85"/>
      <c r="AF286" s="85"/>
      <c r="AG286" s="85"/>
      <c r="AH286" s="85"/>
      <c r="AI286" s="85"/>
      <c r="AJ286" s="85"/>
      <c r="AK286" s="85"/>
      <c r="AL286" s="85"/>
      <c r="AM286" s="85"/>
    </row>
    <row r="287">
      <c r="A287" s="85"/>
      <c r="B287" s="84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  <c r="AE287" s="85"/>
      <c r="AF287" s="85"/>
      <c r="AG287" s="85"/>
      <c r="AH287" s="85"/>
      <c r="AI287" s="85"/>
      <c r="AJ287" s="85"/>
      <c r="AK287" s="85"/>
      <c r="AL287" s="85"/>
      <c r="AM287" s="85"/>
    </row>
    <row r="288">
      <c r="A288" s="85"/>
      <c r="B288" s="84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  <c r="AE288" s="85"/>
      <c r="AF288" s="85"/>
      <c r="AG288" s="85"/>
      <c r="AH288" s="85"/>
      <c r="AI288" s="85"/>
      <c r="AJ288" s="85"/>
      <c r="AK288" s="85"/>
      <c r="AL288" s="85"/>
      <c r="AM288" s="85"/>
    </row>
    <row r="289">
      <c r="A289" s="85"/>
      <c r="B289" s="84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  <c r="AE289" s="85"/>
      <c r="AF289" s="85"/>
      <c r="AG289" s="85"/>
      <c r="AH289" s="85"/>
      <c r="AI289" s="85"/>
      <c r="AJ289" s="85"/>
      <c r="AK289" s="85"/>
      <c r="AL289" s="85"/>
      <c r="AM289" s="85"/>
    </row>
    <row r="290">
      <c r="A290" s="85"/>
      <c r="B290" s="84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  <c r="AE290" s="85"/>
      <c r="AF290" s="85"/>
      <c r="AG290" s="85"/>
      <c r="AH290" s="85"/>
      <c r="AI290" s="85"/>
      <c r="AJ290" s="85"/>
      <c r="AK290" s="85"/>
      <c r="AL290" s="85"/>
      <c r="AM290" s="85"/>
    </row>
    <row r="291">
      <c r="A291" s="85"/>
      <c r="B291" s="84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  <c r="AE291" s="85"/>
      <c r="AF291" s="85"/>
      <c r="AG291" s="85"/>
      <c r="AH291" s="85"/>
      <c r="AI291" s="85"/>
      <c r="AJ291" s="85"/>
      <c r="AK291" s="85"/>
      <c r="AL291" s="85"/>
      <c r="AM291" s="85"/>
    </row>
    <row r="292">
      <c r="A292" s="85"/>
      <c r="B292" s="84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  <c r="AE292" s="85"/>
      <c r="AF292" s="85"/>
      <c r="AG292" s="85"/>
      <c r="AH292" s="85"/>
      <c r="AI292" s="85"/>
      <c r="AJ292" s="85"/>
      <c r="AK292" s="85"/>
      <c r="AL292" s="85"/>
      <c r="AM292" s="85"/>
    </row>
    <row r="293">
      <c r="A293" s="85"/>
      <c r="B293" s="84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  <c r="AE293" s="85"/>
      <c r="AF293" s="85"/>
      <c r="AG293" s="85"/>
      <c r="AH293" s="85"/>
      <c r="AI293" s="85"/>
      <c r="AJ293" s="85"/>
      <c r="AK293" s="85"/>
      <c r="AL293" s="85"/>
      <c r="AM293" s="85"/>
    </row>
    <row r="294">
      <c r="A294" s="85"/>
      <c r="B294" s="84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  <c r="AF294" s="85"/>
      <c r="AG294" s="85"/>
      <c r="AH294" s="85"/>
      <c r="AI294" s="85"/>
      <c r="AJ294" s="85"/>
      <c r="AK294" s="85"/>
      <c r="AL294" s="85"/>
      <c r="AM294" s="85"/>
    </row>
    <row r="295">
      <c r="A295" s="85"/>
      <c r="B295" s="84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  <c r="AE295" s="85"/>
      <c r="AF295" s="85"/>
      <c r="AG295" s="85"/>
      <c r="AH295" s="85"/>
      <c r="AI295" s="85"/>
      <c r="AJ295" s="85"/>
      <c r="AK295" s="85"/>
      <c r="AL295" s="85"/>
      <c r="AM295" s="85"/>
    </row>
    <row r="296">
      <c r="A296" s="85"/>
      <c r="B296" s="84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  <c r="AE296" s="85"/>
      <c r="AF296" s="85"/>
      <c r="AG296" s="85"/>
      <c r="AH296" s="85"/>
      <c r="AI296" s="85"/>
      <c r="AJ296" s="85"/>
      <c r="AK296" s="85"/>
      <c r="AL296" s="85"/>
      <c r="AM296" s="85"/>
    </row>
    <row r="297">
      <c r="A297" s="85"/>
      <c r="B297" s="84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  <c r="AE297" s="85"/>
      <c r="AF297" s="85"/>
      <c r="AG297" s="85"/>
      <c r="AH297" s="85"/>
      <c r="AI297" s="85"/>
      <c r="AJ297" s="85"/>
      <c r="AK297" s="85"/>
      <c r="AL297" s="85"/>
      <c r="AM297" s="85"/>
    </row>
    <row r="298">
      <c r="A298" s="85"/>
      <c r="B298" s="84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  <c r="AE298" s="85"/>
      <c r="AF298" s="85"/>
      <c r="AG298" s="85"/>
      <c r="AH298" s="85"/>
      <c r="AI298" s="85"/>
      <c r="AJ298" s="85"/>
      <c r="AK298" s="85"/>
      <c r="AL298" s="85"/>
      <c r="AM298" s="85"/>
    </row>
    <row r="299">
      <c r="A299" s="85"/>
      <c r="B299" s="84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  <c r="AE299" s="85"/>
      <c r="AF299" s="85"/>
      <c r="AG299" s="85"/>
      <c r="AH299" s="85"/>
      <c r="AI299" s="85"/>
      <c r="AJ299" s="85"/>
      <c r="AK299" s="85"/>
      <c r="AL299" s="85"/>
      <c r="AM299" s="85"/>
    </row>
    <row r="300">
      <c r="A300" s="85"/>
      <c r="B300" s="84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  <c r="AE300" s="85"/>
      <c r="AF300" s="85"/>
      <c r="AG300" s="85"/>
      <c r="AH300" s="85"/>
      <c r="AI300" s="85"/>
      <c r="AJ300" s="85"/>
      <c r="AK300" s="85"/>
      <c r="AL300" s="85"/>
      <c r="AM300" s="85"/>
    </row>
    <row r="301">
      <c r="A301" s="85"/>
      <c r="B301" s="84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  <c r="AE301" s="85"/>
      <c r="AF301" s="85"/>
      <c r="AG301" s="85"/>
      <c r="AH301" s="85"/>
      <c r="AI301" s="85"/>
      <c r="AJ301" s="85"/>
      <c r="AK301" s="85"/>
      <c r="AL301" s="85"/>
      <c r="AM301" s="85"/>
    </row>
    <row r="302">
      <c r="A302" s="85"/>
      <c r="B302" s="84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  <c r="AG302" s="85"/>
      <c r="AH302" s="85"/>
      <c r="AI302" s="85"/>
      <c r="AJ302" s="85"/>
      <c r="AK302" s="85"/>
      <c r="AL302" s="85"/>
      <c r="AM302" s="85"/>
    </row>
    <row r="303">
      <c r="A303" s="85"/>
      <c r="B303" s="84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  <c r="AE303" s="85"/>
      <c r="AF303" s="85"/>
      <c r="AG303" s="85"/>
      <c r="AH303" s="85"/>
      <c r="AI303" s="85"/>
      <c r="AJ303" s="85"/>
      <c r="AK303" s="85"/>
      <c r="AL303" s="85"/>
      <c r="AM303" s="85"/>
    </row>
    <row r="304">
      <c r="A304" s="85"/>
      <c r="B304" s="84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  <c r="AE304" s="85"/>
      <c r="AF304" s="85"/>
      <c r="AG304" s="85"/>
      <c r="AH304" s="85"/>
      <c r="AI304" s="85"/>
      <c r="AJ304" s="85"/>
      <c r="AK304" s="85"/>
      <c r="AL304" s="85"/>
      <c r="AM304" s="85"/>
    </row>
    <row r="305">
      <c r="A305" s="85"/>
      <c r="B305" s="84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  <c r="AE305" s="85"/>
      <c r="AF305" s="85"/>
      <c r="AG305" s="85"/>
      <c r="AH305" s="85"/>
      <c r="AI305" s="85"/>
      <c r="AJ305" s="85"/>
      <c r="AK305" s="85"/>
      <c r="AL305" s="85"/>
      <c r="AM305" s="85"/>
    </row>
    <row r="306">
      <c r="A306" s="85"/>
      <c r="B306" s="84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  <c r="AF306" s="85"/>
      <c r="AG306" s="85"/>
      <c r="AH306" s="85"/>
      <c r="AI306" s="85"/>
      <c r="AJ306" s="85"/>
      <c r="AK306" s="85"/>
      <c r="AL306" s="85"/>
      <c r="AM306" s="85"/>
    </row>
    <row r="307">
      <c r="A307" s="85"/>
      <c r="B307" s="84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</row>
    <row r="308">
      <c r="A308" s="85"/>
      <c r="B308" s="84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  <c r="AD308" s="85"/>
      <c r="AE308" s="85"/>
      <c r="AF308" s="85"/>
      <c r="AG308" s="85"/>
      <c r="AH308" s="85"/>
      <c r="AI308" s="85"/>
      <c r="AJ308" s="85"/>
      <c r="AK308" s="85"/>
      <c r="AL308" s="85"/>
      <c r="AM308" s="85"/>
    </row>
    <row r="309">
      <c r="A309" s="85"/>
      <c r="B309" s="84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  <c r="AD309" s="85"/>
      <c r="AE309" s="85"/>
      <c r="AF309" s="85"/>
      <c r="AG309" s="85"/>
      <c r="AH309" s="85"/>
      <c r="AI309" s="85"/>
      <c r="AJ309" s="85"/>
      <c r="AK309" s="85"/>
      <c r="AL309" s="85"/>
      <c r="AM309" s="85"/>
    </row>
    <row r="310">
      <c r="A310" s="85"/>
      <c r="B310" s="84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  <c r="AD310" s="85"/>
      <c r="AE310" s="85"/>
      <c r="AF310" s="85"/>
      <c r="AG310" s="85"/>
      <c r="AH310" s="85"/>
      <c r="AI310" s="85"/>
      <c r="AJ310" s="85"/>
      <c r="AK310" s="85"/>
      <c r="AL310" s="85"/>
      <c r="AM310" s="85"/>
    </row>
    <row r="311">
      <c r="A311" s="85"/>
      <c r="B311" s="84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  <c r="AD311" s="85"/>
      <c r="AE311" s="85"/>
      <c r="AF311" s="85"/>
      <c r="AG311" s="85"/>
      <c r="AH311" s="85"/>
      <c r="AI311" s="85"/>
      <c r="AJ311" s="85"/>
      <c r="AK311" s="85"/>
      <c r="AL311" s="85"/>
      <c r="AM311" s="85"/>
    </row>
    <row r="312">
      <c r="A312" s="85"/>
      <c r="B312" s="84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  <c r="AD312" s="85"/>
      <c r="AE312" s="85"/>
      <c r="AF312" s="85"/>
      <c r="AG312" s="85"/>
      <c r="AH312" s="85"/>
      <c r="AI312" s="85"/>
      <c r="AJ312" s="85"/>
      <c r="AK312" s="85"/>
      <c r="AL312" s="85"/>
      <c r="AM312" s="85"/>
    </row>
    <row r="313">
      <c r="A313" s="85"/>
      <c r="B313" s="84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  <c r="AD313" s="85"/>
      <c r="AE313" s="85"/>
      <c r="AF313" s="85"/>
      <c r="AG313" s="85"/>
      <c r="AH313" s="85"/>
      <c r="AI313" s="85"/>
      <c r="AJ313" s="85"/>
      <c r="AK313" s="85"/>
      <c r="AL313" s="85"/>
      <c r="AM313" s="85"/>
    </row>
    <row r="314">
      <c r="A314" s="85"/>
      <c r="B314" s="84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  <c r="AE314" s="85"/>
      <c r="AF314" s="85"/>
      <c r="AG314" s="85"/>
      <c r="AH314" s="85"/>
      <c r="AI314" s="85"/>
      <c r="AJ314" s="85"/>
      <c r="AK314" s="85"/>
      <c r="AL314" s="85"/>
      <c r="AM314" s="85"/>
    </row>
    <row r="315">
      <c r="A315" s="85"/>
      <c r="B315" s="84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  <c r="AE315" s="85"/>
      <c r="AF315" s="85"/>
      <c r="AG315" s="85"/>
      <c r="AH315" s="85"/>
      <c r="AI315" s="85"/>
      <c r="AJ315" s="85"/>
      <c r="AK315" s="85"/>
      <c r="AL315" s="85"/>
      <c r="AM315" s="85"/>
    </row>
    <row r="316">
      <c r="A316" s="85"/>
      <c r="B316" s="84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  <c r="AE316" s="85"/>
      <c r="AF316" s="85"/>
      <c r="AG316" s="85"/>
      <c r="AH316" s="85"/>
      <c r="AI316" s="85"/>
      <c r="AJ316" s="85"/>
      <c r="AK316" s="85"/>
      <c r="AL316" s="85"/>
      <c r="AM316" s="85"/>
    </row>
    <row r="317">
      <c r="A317" s="85"/>
      <c r="B317" s="84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  <c r="AE317" s="85"/>
      <c r="AF317" s="85"/>
      <c r="AG317" s="85"/>
      <c r="AH317" s="85"/>
      <c r="AI317" s="85"/>
      <c r="AJ317" s="85"/>
      <c r="AK317" s="85"/>
      <c r="AL317" s="85"/>
      <c r="AM317" s="85"/>
    </row>
    <row r="318">
      <c r="A318" s="85"/>
      <c r="B318" s="84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  <c r="AD318" s="85"/>
      <c r="AE318" s="85"/>
      <c r="AF318" s="85"/>
      <c r="AG318" s="85"/>
      <c r="AH318" s="85"/>
      <c r="AI318" s="85"/>
      <c r="AJ318" s="85"/>
      <c r="AK318" s="85"/>
      <c r="AL318" s="85"/>
      <c r="AM318" s="85"/>
    </row>
    <row r="319">
      <c r="A319" s="85"/>
      <c r="B319" s="84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5"/>
      <c r="AD319" s="85"/>
      <c r="AE319" s="85"/>
      <c r="AF319" s="85"/>
      <c r="AG319" s="85"/>
      <c r="AH319" s="85"/>
      <c r="AI319" s="85"/>
      <c r="AJ319" s="85"/>
      <c r="AK319" s="85"/>
      <c r="AL319" s="85"/>
      <c r="AM319" s="85"/>
    </row>
    <row r="320">
      <c r="A320" s="85"/>
      <c r="B320" s="84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5"/>
      <c r="AD320" s="85"/>
      <c r="AE320" s="85"/>
      <c r="AF320" s="85"/>
      <c r="AG320" s="85"/>
      <c r="AH320" s="85"/>
      <c r="AI320" s="85"/>
      <c r="AJ320" s="85"/>
      <c r="AK320" s="85"/>
      <c r="AL320" s="85"/>
      <c r="AM320" s="85"/>
    </row>
    <row r="321">
      <c r="A321" s="85"/>
      <c r="B321" s="84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  <c r="AD321" s="85"/>
      <c r="AE321" s="85"/>
      <c r="AF321" s="85"/>
      <c r="AG321" s="85"/>
      <c r="AH321" s="85"/>
      <c r="AI321" s="85"/>
      <c r="AJ321" s="85"/>
      <c r="AK321" s="85"/>
      <c r="AL321" s="85"/>
      <c r="AM321" s="85"/>
    </row>
    <row r="322">
      <c r="A322" s="85"/>
      <c r="B322" s="84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  <c r="AD322" s="85"/>
      <c r="AE322" s="85"/>
      <c r="AF322" s="85"/>
      <c r="AG322" s="85"/>
      <c r="AH322" s="85"/>
      <c r="AI322" s="85"/>
      <c r="AJ322" s="85"/>
      <c r="AK322" s="85"/>
      <c r="AL322" s="85"/>
      <c r="AM322" s="85"/>
    </row>
    <row r="323">
      <c r="A323" s="85"/>
      <c r="B323" s="84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5"/>
      <c r="AD323" s="85"/>
      <c r="AE323" s="85"/>
      <c r="AF323" s="85"/>
      <c r="AG323" s="85"/>
      <c r="AH323" s="85"/>
      <c r="AI323" s="85"/>
      <c r="AJ323" s="85"/>
      <c r="AK323" s="85"/>
      <c r="AL323" s="85"/>
      <c r="AM323" s="85"/>
    </row>
    <row r="324">
      <c r="A324" s="85"/>
      <c r="B324" s="84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5"/>
      <c r="AD324" s="85"/>
      <c r="AE324" s="85"/>
      <c r="AF324" s="85"/>
      <c r="AG324" s="85"/>
      <c r="AH324" s="85"/>
      <c r="AI324" s="85"/>
      <c r="AJ324" s="85"/>
      <c r="AK324" s="85"/>
      <c r="AL324" s="85"/>
      <c r="AM324" s="85"/>
    </row>
    <row r="325">
      <c r="A325" s="85"/>
      <c r="B325" s="84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  <c r="AD325" s="85"/>
      <c r="AE325" s="85"/>
      <c r="AF325" s="85"/>
      <c r="AG325" s="85"/>
      <c r="AH325" s="85"/>
      <c r="AI325" s="85"/>
      <c r="AJ325" s="85"/>
      <c r="AK325" s="85"/>
      <c r="AL325" s="85"/>
      <c r="AM325" s="85"/>
    </row>
    <row r="326">
      <c r="A326" s="85"/>
      <c r="B326" s="84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  <c r="AD326" s="85"/>
      <c r="AE326" s="85"/>
      <c r="AF326" s="85"/>
      <c r="AG326" s="85"/>
      <c r="AH326" s="85"/>
      <c r="AI326" s="85"/>
      <c r="AJ326" s="85"/>
      <c r="AK326" s="85"/>
      <c r="AL326" s="85"/>
      <c r="AM326" s="85"/>
    </row>
    <row r="327">
      <c r="A327" s="85"/>
      <c r="B327" s="84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  <c r="AD327" s="85"/>
      <c r="AE327" s="85"/>
      <c r="AF327" s="85"/>
      <c r="AG327" s="85"/>
      <c r="AH327" s="85"/>
      <c r="AI327" s="85"/>
      <c r="AJ327" s="85"/>
      <c r="AK327" s="85"/>
      <c r="AL327" s="85"/>
      <c r="AM327" s="85"/>
    </row>
    <row r="328">
      <c r="A328" s="85"/>
      <c r="B328" s="84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  <c r="AD328" s="85"/>
      <c r="AE328" s="85"/>
      <c r="AF328" s="85"/>
      <c r="AG328" s="85"/>
      <c r="AH328" s="85"/>
      <c r="AI328" s="85"/>
      <c r="AJ328" s="85"/>
      <c r="AK328" s="85"/>
      <c r="AL328" s="85"/>
      <c r="AM328" s="85"/>
    </row>
    <row r="329">
      <c r="A329" s="85"/>
      <c r="B329" s="84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5"/>
      <c r="AD329" s="85"/>
      <c r="AE329" s="85"/>
      <c r="AF329" s="85"/>
      <c r="AG329" s="85"/>
      <c r="AH329" s="85"/>
      <c r="AI329" s="85"/>
      <c r="AJ329" s="85"/>
      <c r="AK329" s="85"/>
      <c r="AL329" s="85"/>
      <c r="AM329" s="85"/>
    </row>
    <row r="330">
      <c r="A330" s="85"/>
      <c r="B330" s="84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5"/>
      <c r="AD330" s="85"/>
      <c r="AE330" s="85"/>
      <c r="AF330" s="85"/>
      <c r="AG330" s="85"/>
      <c r="AH330" s="85"/>
      <c r="AI330" s="85"/>
      <c r="AJ330" s="85"/>
      <c r="AK330" s="85"/>
      <c r="AL330" s="85"/>
      <c r="AM330" s="85"/>
    </row>
    <row r="331">
      <c r="A331" s="85"/>
      <c r="B331" s="84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  <c r="AC331" s="85"/>
      <c r="AD331" s="85"/>
      <c r="AE331" s="85"/>
      <c r="AF331" s="85"/>
      <c r="AG331" s="85"/>
      <c r="AH331" s="85"/>
      <c r="AI331" s="85"/>
      <c r="AJ331" s="85"/>
      <c r="AK331" s="85"/>
      <c r="AL331" s="85"/>
      <c r="AM331" s="85"/>
    </row>
    <row r="332">
      <c r="A332" s="85"/>
      <c r="B332" s="84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  <c r="AD332" s="85"/>
      <c r="AE332" s="85"/>
      <c r="AF332" s="85"/>
      <c r="AG332" s="85"/>
      <c r="AH332" s="85"/>
      <c r="AI332" s="85"/>
      <c r="AJ332" s="85"/>
      <c r="AK332" s="85"/>
      <c r="AL332" s="85"/>
      <c r="AM332" s="85"/>
    </row>
    <row r="333">
      <c r="A333" s="85"/>
      <c r="B333" s="84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  <c r="AD333" s="85"/>
      <c r="AE333" s="85"/>
      <c r="AF333" s="85"/>
      <c r="AG333" s="85"/>
      <c r="AH333" s="85"/>
      <c r="AI333" s="85"/>
      <c r="AJ333" s="85"/>
      <c r="AK333" s="85"/>
      <c r="AL333" s="85"/>
      <c r="AM333" s="85"/>
    </row>
    <row r="334">
      <c r="A334" s="85"/>
      <c r="B334" s="84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  <c r="AD334" s="85"/>
      <c r="AE334" s="85"/>
      <c r="AF334" s="85"/>
      <c r="AG334" s="85"/>
      <c r="AH334" s="85"/>
      <c r="AI334" s="85"/>
      <c r="AJ334" s="85"/>
      <c r="AK334" s="85"/>
      <c r="AL334" s="85"/>
      <c r="AM334" s="85"/>
    </row>
    <row r="335">
      <c r="A335" s="85"/>
      <c r="B335" s="84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5"/>
      <c r="AD335" s="85"/>
      <c r="AE335" s="85"/>
      <c r="AF335" s="85"/>
      <c r="AG335" s="85"/>
      <c r="AH335" s="85"/>
      <c r="AI335" s="85"/>
      <c r="AJ335" s="85"/>
      <c r="AK335" s="85"/>
      <c r="AL335" s="85"/>
      <c r="AM335" s="85"/>
    </row>
    <row r="336">
      <c r="A336" s="85"/>
      <c r="B336" s="84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5"/>
      <c r="AD336" s="85"/>
      <c r="AE336" s="85"/>
      <c r="AF336" s="85"/>
      <c r="AG336" s="85"/>
      <c r="AH336" s="85"/>
      <c r="AI336" s="85"/>
      <c r="AJ336" s="85"/>
      <c r="AK336" s="85"/>
      <c r="AL336" s="85"/>
      <c r="AM336" s="85"/>
    </row>
    <row r="337">
      <c r="A337" s="85"/>
      <c r="B337" s="84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5"/>
      <c r="AD337" s="85"/>
      <c r="AE337" s="85"/>
      <c r="AF337" s="85"/>
      <c r="AG337" s="85"/>
      <c r="AH337" s="85"/>
      <c r="AI337" s="85"/>
      <c r="AJ337" s="85"/>
      <c r="AK337" s="85"/>
      <c r="AL337" s="85"/>
      <c r="AM337" s="85"/>
    </row>
    <row r="338">
      <c r="A338" s="85"/>
      <c r="B338" s="84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5"/>
      <c r="AD338" s="85"/>
      <c r="AE338" s="85"/>
      <c r="AF338" s="85"/>
      <c r="AG338" s="85"/>
      <c r="AH338" s="85"/>
      <c r="AI338" s="85"/>
      <c r="AJ338" s="85"/>
      <c r="AK338" s="85"/>
      <c r="AL338" s="85"/>
      <c r="AM338" s="85"/>
    </row>
    <row r="339">
      <c r="A339" s="85"/>
      <c r="B339" s="84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  <c r="AD339" s="85"/>
      <c r="AE339" s="85"/>
      <c r="AF339" s="85"/>
      <c r="AG339" s="85"/>
      <c r="AH339" s="85"/>
      <c r="AI339" s="85"/>
      <c r="AJ339" s="85"/>
      <c r="AK339" s="85"/>
      <c r="AL339" s="85"/>
      <c r="AM339" s="85"/>
    </row>
    <row r="340">
      <c r="A340" s="85"/>
      <c r="B340" s="84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  <c r="AD340" s="85"/>
      <c r="AE340" s="85"/>
      <c r="AF340" s="85"/>
      <c r="AG340" s="85"/>
      <c r="AH340" s="85"/>
      <c r="AI340" s="85"/>
      <c r="AJ340" s="85"/>
      <c r="AK340" s="85"/>
      <c r="AL340" s="85"/>
      <c r="AM340" s="85"/>
    </row>
    <row r="341">
      <c r="A341" s="85"/>
      <c r="B341" s="84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  <c r="AD341" s="85"/>
      <c r="AE341" s="85"/>
      <c r="AF341" s="85"/>
      <c r="AG341" s="85"/>
      <c r="AH341" s="85"/>
      <c r="AI341" s="85"/>
      <c r="AJ341" s="85"/>
      <c r="AK341" s="85"/>
      <c r="AL341" s="85"/>
      <c r="AM341" s="85"/>
    </row>
    <row r="342">
      <c r="A342" s="85"/>
      <c r="B342" s="84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  <c r="AD342" s="85"/>
      <c r="AE342" s="85"/>
      <c r="AF342" s="85"/>
      <c r="AG342" s="85"/>
      <c r="AH342" s="85"/>
      <c r="AI342" s="85"/>
      <c r="AJ342" s="85"/>
      <c r="AK342" s="85"/>
      <c r="AL342" s="85"/>
      <c r="AM342" s="85"/>
    </row>
    <row r="343">
      <c r="A343" s="85"/>
      <c r="B343" s="84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  <c r="AD343" s="85"/>
      <c r="AE343" s="85"/>
      <c r="AF343" s="85"/>
      <c r="AG343" s="85"/>
      <c r="AH343" s="85"/>
      <c r="AI343" s="85"/>
      <c r="AJ343" s="85"/>
      <c r="AK343" s="85"/>
      <c r="AL343" s="85"/>
      <c r="AM343" s="85"/>
    </row>
    <row r="344">
      <c r="A344" s="85"/>
      <c r="B344" s="84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  <c r="AD344" s="85"/>
      <c r="AE344" s="85"/>
      <c r="AF344" s="85"/>
      <c r="AG344" s="85"/>
      <c r="AH344" s="85"/>
      <c r="AI344" s="85"/>
      <c r="AJ344" s="85"/>
      <c r="AK344" s="85"/>
      <c r="AL344" s="85"/>
      <c r="AM344" s="85"/>
    </row>
    <row r="345">
      <c r="A345" s="85"/>
      <c r="B345" s="84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</row>
    <row r="346">
      <c r="A346" s="85"/>
      <c r="B346" s="84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5"/>
      <c r="AD346" s="85"/>
      <c r="AE346" s="85"/>
      <c r="AF346" s="85"/>
      <c r="AG346" s="85"/>
      <c r="AH346" s="85"/>
      <c r="AI346" s="85"/>
      <c r="AJ346" s="85"/>
      <c r="AK346" s="85"/>
      <c r="AL346" s="85"/>
      <c r="AM346" s="85"/>
    </row>
    <row r="347">
      <c r="A347" s="85"/>
      <c r="B347" s="84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  <c r="AD347" s="85"/>
      <c r="AE347" s="85"/>
      <c r="AF347" s="85"/>
      <c r="AG347" s="85"/>
      <c r="AH347" s="85"/>
      <c r="AI347" s="85"/>
      <c r="AJ347" s="85"/>
      <c r="AK347" s="85"/>
      <c r="AL347" s="85"/>
      <c r="AM347" s="85"/>
    </row>
    <row r="348">
      <c r="A348" s="85"/>
      <c r="B348" s="84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  <c r="AD348" s="85"/>
      <c r="AE348" s="85"/>
      <c r="AF348" s="85"/>
      <c r="AG348" s="85"/>
      <c r="AH348" s="85"/>
      <c r="AI348" s="85"/>
      <c r="AJ348" s="85"/>
      <c r="AK348" s="85"/>
      <c r="AL348" s="85"/>
      <c r="AM348" s="85"/>
    </row>
    <row r="349">
      <c r="A349" s="85"/>
      <c r="B349" s="84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  <c r="AD349" s="85"/>
      <c r="AE349" s="85"/>
      <c r="AF349" s="85"/>
      <c r="AG349" s="85"/>
      <c r="AH349" s="85"/>
      <c r="AI349" s="85"/>
      <c r="AJ349" s="85"/>
      <c r="AK349" s="85"/>
      <c r="AL349" s="85"/>
      <c r="AM349" s="85"/>
    </row>
    <row r="350">
      <c r="A350" s="85"/>
      <c r="B350" s="84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  <c r="AD350" s="85"/>
      <c r="AE350" s="85"/>
      <c r="AF350" s="85"/>
      <c r="AG350" s="85"/>
      <c r="AH350" s="85"/>
      <c r="AI350" s="85"/>
      <c r="AJ350" s="85"/>
      <c r="AK350" s="85"/>
      <c r="AL350" s="85"/>
      <c r="AM350" s="85"/>
    </row>
    <row r="351">
      <c r="A351" s="85"/>
      <c r="B351" s="84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  <c r="AD351" s="85"/>
      <c r="AE351" s="85"/>
      <c r="AF351" s="85"/>
      <c r="AG351" s="85"/>
      <c r="AH351" s="85"/>
      <c r="AI351" s="85"/>
      <c r="AJ351" s="85"/>
      <c r="AK351" s="85"/>
      <c r="AL351" s="85"/>
      <c r="AM351" s="85"/>
    </row>
    <row r="352">
      <c r="A352" s="85"/>
      <c r="B352" s="84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5"/>
      <c r="AD352" s="85"/>
      <c r="AE352" s="85"/>
      <c r="AF352" s="85"/>
      <c r="AG352" s="85"/>
      <c r="AH352" s="85"/>
      <c r="AI352" s="85"/>
      <c r="AJ352" s="85"/>
      <c r="AK352" s="85"/>
      <c r="AL352" s="85"/>
      <c r="AM352" s="85"/>
    </row>
    <row r="353">
      <c r="A353" s="85"/>
      <c r="B353" s="84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  <c r="AD353" s="85"/>
      <c r="AE353" s="85"/>
      <c r="AF353" s="85"/>
      <c r="AG353" s="85"/>
      <c r="AH353" s="85"/>
      <c r="AI353" s="85"/>
      <c r="AJ353" s="85"/>
      <c r="AK353" s="85"/>
      <c r="AL353" s="85"/>
      <c r="AM353" s="85"/>
    </row>
    <row r="354">
      <c r="A354" s="85"/>
      <c r="B354" s="84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  <c r="AD354" s="85"/>
      <c r="AE354" s="85"/>
      <c r="AF354" s="85"/>
      <c r="AG354" s="85"/>
      <c r="AH354" s="85"/>
      <c r="AI354" s="85"/>
      <c r="AJ354" s="85"/>
      <c r="AK354" s="85"/>
      <c r="AL354" s="85"/>
      <c r="AM354" s="85"/>
    </row>
    <row r="355">
      <c r="A355" s="85"/>
      <c r="B355" s="84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5"/>
      <c r="AD355" s="85"/>
      <c r="AE355" s="85"/>
      <c r="AF355" s="85"/>
      <c r="AG355" s="85"/>
      <c r="AH355" s="85"/>
      <c r="AI355" s="85"/>
      <c r="AJ355" s="85"/>
      <c r="AK355" s="85"/>
      <c r="AL355" s="85"/>
      <c r="AM355" s="85"/>
    </row>
    <row r="356">
      <c r="A356" s="85"/>
      <c r="B356" s="84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  <c r="AD356" s="85"/>
      <c r="AE356" s="85"/>
      <c r="AF356" s="85"/>
      <c r="AG356" s="85"/>
      <c r="AH356" s="85"/>
      <c r="AI356" s="85"/>
      <c r="AJ356" s="85"/>
      <c r="AK356" s="85"/>
      <c r="AL356" s="85"/>
      <c r="AM356" s="85"/>
    </row>
    <row r="357">
      <c r="A357" s="85"/>
      <c r="B357" s="84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5"/>
      <c r="AD357" s="85"/>
      <c r="AE357" s="85"/>
      <c r="AF357" s="85"/>
      <c r="AG357" s="85"/>
      <c r="AH357" s="85"/>
      <c r="AI357" s="85"/>
      <c r="AJ357" s="85"/>
      <c r="AK357" s="85"/>
      <c r="AL357" s="85"/>
      <c r="AM357" s="85"/>
    </row>
    <row r="358">
      <c r="A358" s="85"/>
      <c r="B358" s="84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5"/>
      <c r="AD358" s="85"/>
      <c r="AE358" s="85"/>
      <c r="AF358" s="85"/>
      <c r="AG358" s="85"/>
      <c r="AH358" s="85"/>
      <c r="AI358" s="85"/>
      <c r="AJ358" s="85"/>
      <c r="AK358" s="85"/>
      <c r="AL358" s="85"/>
      <c r="AM358" s="85"/>
    </row>
    <row r="359">
      <c r="A359" s="85"/>
      <c r="B359" s="84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5"/>
      <c r="AD359" s="85"/>
      <c r="AE359" s="85"/>
      <c r="AF359" s="85"/>
      <c r="AG359" s="85"/>
      <c r="AH359" s="85"/>
      <c r="AI359" s="85"/>
      <c r="AJ359" s="85"/>
      <c r="AK359" s="85"/>
      <c r="AL359" s="85"/>
      <c r="AM359" s="85"/>
    </row>
    <row r="360">
      <c r="A360" s="85"/>
      <c r="B360" s="84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  <c r="AD360" s="85"/>
      <c r="AE360" s="85"/>
      <c r="AF360" s="85"/>
      <c r="AG360" s="85"/>
      <c r="AH360" s="85"/>
      <c r="AI360" s="85"/>
      <c r="AJ360" s="85"/>
      <c r="AK360" s="85"/>
      <c r="AL360" s="85"/>
      <c r="AM360" s="85"/>
    </row>
    <row r="361">
      <c r="A361" s="85"/>
      <c r="B361" s="84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  <c r="AD361" s="85"/>
      <c r="AE361" s="85"/>
      <c r="AF361" s="85"/>
      <c r="AG361" s="85"/>
      <c r="AH361" s="85"/>
      <c r="AI361" s="85"/>
      <c r="AJ361" s="85"/>
      <c r="AK361" s="85"/>
      <c r="AL361" s="85"/>
      <c r="AM361" s="85"/>
    </row>
    <row r="362">
      <c r="A362" s="85"/>
      <c r="B362" s="84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  <c r="AD362" s="85"/>
      <c r="AE362" s="85"/>
      <c r="AF362" s="85"/>
      <c r="AG362" s="85"/>
      <c r="AH362" s="85"/>
      <c r="AI362" s="85"/>
      <c r="AJ362" s="85"/>
      <c r="AK362" s="85"/>
      <c r="AL362" s="85"/>
      <c r="AM362" s="85"/>
    </row>
    <row r="363">
      <c r="A363" s="85"/>
      <c r="B363" s="84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5"/>
      <c r="AD363" s="85"/>
      <c r="AE363" s="85"/>
      <c r="AF363" s="85"/>
      <c r="AG363" s="85"/>
      <c r="AH363" s="85"/>
      <c r="AI363" s="85"/>
      <c r="AJ363" s="85"/>
      <c r="AK363" s="85"/>
      <c r="AL363" s="85"/>
      <c r="AM363" s="85"/>
    </row>
    <row r="364">
      <c r="A364" s="85"/>
      <c r="B364" s="84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5"/>
      <c r="AD364" s="85"/>
      <c r="AE364" s="85"/>
      <c r="AF364" s="85"/>
      <c r="AG364" s="85"/>
      <c r="AH364" s="85"/>
      <c r="AI364" s="85"/>
      <c r="AJ364" s="85"/>
      <c r="AK364" s="85"/>
      <c r="AL364" s="85"/>
      <c r="AM364" s="85"/>
    </row>
    <row r="365">
      <c r="A365" s="85"/>
      <c r="B365" s="84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5"/>
      <c r="AD365" s="85"/>
      <c r="AE365" s="85"/>
      <c r="AF365" s="85"/>
      <c r="AG365" s="85"/>
      <c r="AH365" s="85"/>
      <c r="AI365" s="85"/>
      <c r="AJ365" s="85"/>
      <c r="AK365" s="85"/>
      <c r="AL365" s="85"/>
      <c r="AM365" s="85"/>
    </row>
    <row r="366">
      <c r="A366" s="85"/>
      <c r="B366" s="84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  <c r="AD366" s="85"/>
      <c r="AE366" s="85"/>
      <c r="AF366" s="85"/>
      <c r="AG366" s="85"/>
      <c r="AH366" s="85"/>
      <c r="AI366" s="85"/>
      <c r="AJ366" s="85"/>
      <c r="AK366" s="85"/>
      <c r="AL366" s="85"/>
      <c r="AM366" s="85"/>
    </row>
    <row r="367">
      <c r="A367" s="85"/>
      <c r="B367" s="84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  <c r="AD367" s="85"/>
      <c r="AE367" s="85"/>
      <c r="AF367" s="85"/>
      <c r="AG367" s="85"/>
      <c r="AH367" s="85"/>
      <c r="AI367" s="85"/>
      <c r="AJ367" s="85"/>
      <c r="AK367" s="85"/>
      <c r="AL367" s="85"/>
      <c r="AM367" s="85"/>
    </row>
    <row r="368">
      <c r="A368" s="85"/>
      <c r="B368" s="84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  <c r="AD368" s="85"/>
      <c r="AE368" s="85"/>
      <c r="AF368" s="85"/>
      <c r="AG368" s="85"/>
      <c r="AH368" s="85"/>
      <c r="AI368" s="85"/>
      <c r="AJ368" s="85"/>
      <c r="AK368" s="85"/>
      <c r="AL368" s="85"/>
      <c r="AM368" s="85"/>
    </row>
    <row r="369">
      <c r="A369" s="85"/>
      <c r="B369" s="84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  <c r="AD369" s="85"/>
      <c r="AE369" s="85"/>
      <c r="AF369" s="85"/>
      <c r="AG369" s="85"/>
      <c r="AH369" s="85"/>
      <c r="AI369" s="85"/>
      <c r="AJ369" s="85"/>
      <c r="AK369" s="85"/>
      <c r="AL369" s="85"/>
      <c r="AM369" s="85"/>
    </row>
    <row r="370">
      <c r="A370" s="85"/>
      <c r="B370" s="84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5"/>
      <c r="AD370" s="85"/>
      <c r="AE370" s="85"/>
      <c r="AF370" s="85"/>
      <c r="AG370" s="85"/>
      <c r="AH370" s="85"/>
      <c r="AI370" s="85"/>
      <c r="AJ370" s="85"/>
      <c r="AK370" s="85"/>
      <c r="AL370" s="85"/>
      <c r="AM370" s="85"/>
    </row>
    <row r="371">
      <c r="A371" s="85"/>
      <c r="B371" s="84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5"/>
      <c r="AD371" s="85"/>
      <c r="AE371" s="85"/>
      <c r="AF371" s="85"/>
      <c r="AG371" s="85"/>
      <c r="AH371" s="85"/>
      <c r="AI371" s="85"/>
      <c r="AJ371" s="85"/>
      <c r="AK371" s="85"/>
      <c r="AL371" s="85"/>
      <c r="AM371" s="85"/>
    </row>
    <row r="372">
      <c r="A372" s="85"/>
      <c r="B372" s="84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5"/>
      <c r="AD372" s="85"/>
      <c r="AE372" s="85"/>
      <c r="AF372" s="85"/>
      <c r="AG372" s="85"/>
      <c r="AH372" s="85"/>
      <c r="AI372" s="85"/>
      <c r="AJ372" s="85"/>
      <c r="AK372" s="85"/>
      <c r="AL372" s="85"/>
      <c r="AM372" s="85"/>
    </row>
    <row r="373">
      <c r="A373" s="85"/>
      <c r="B373" s="84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5"/>
      <c r="AD373" s="85"/>
      <c r="AE373" s="85"/>
      <c r="AF373" s="85"/>
      <c r="AG373" s="85"/>
      <c r="AH373" s="85"/>
      <c r="AI373" s="85"/>
      <c r="AJ373" s="85"/>
      <c r="AK373" s="85"/>
      <c r="AL373" s="85"/>
      <c r="AM373" s="85"/>
    </row>
    <row r="374">
      <c r="A374" s="85"/>
      <c r="B374" s="84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  <c r="AD374" s="85"/>
      <c r="AE374" s="85"/>
      <c r="AF374" s="85"/>
      <c r="AG374" s="85"/>
      <c r="AH374" s="85"/>
      <c r="AI374" s="85"/>
      <c r="AJ374" s="85"/>
      <c r="AK374" s="85"/>
      <c r="AL374" s="85"/>
      <c r="AM374" s="85"/>
    </row>
    <row r="375">
      <c r="A375" s="85"/>
      <c r="B375" s="84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5"/>
      <c r="AD375" s="85"/>
      <c r="AE375" s="85"/>
      <c r="AF375" s="85"/>
      <c r="AG375" s="85"/>
      <c r="AH375" s="85"/>
      <c r="AI375" s="85"/>
      <c r="AJ375" s="85"/>
      <c r="AK375" s="85"/>
      <c r="AL375" s="85"/>
      <c r="AM375" s="85"/>
    </row>
    <row r="376">
      <c r="A376" s="85"/>
      <c r="B376" s="84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5"/>
      <c r="AD376" s="85"/>
      <c r="AE376" s="85"/>
      <c r="AF376" s="85"/>
      <c r="AG376" s="85"/>
      <c r="AH376" s="85"/>
      <c r="AI376" s="85"/>
      <c r="AJ376" s="85"/>
      <c r="AK376" s="85"/>
      <c r="AL376" s="85"/>
      <c r="AM376" s="85"/>
    </row>
    <row r="377">
      <c r="A377" s="85"/>
      <c r="B377" s="84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  <c r="AC377" s="85"/>
      <c r="AD377" s="85"/>
      <c r="AE377" s="85"/>
      <c r="AF377" s="85"/>
      <c r="AG377" s="85"/>
      <c r="AH377" s="85"/>
      <c r="AI377" s="85"/>
      <c r="AJ377" s="85"/>
      <c r="AK377" s="85"/>
      <c r="AL377" s="85"/>
      <c r="AM377" s="85"/>
    </row>
    <row r="378">
      <c r="A378" s="85"/>
      <c r="B378" s="84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  <c r="AC378" s="85"/>
      <c r="AD378" s="85"/>
      <c r="AE378" s="85"/>
      <c r="AF378" s="85"/>
      <c r="AG378" s="85"/>
      <c r="AH378" s="85"/>
      <c r="AI378" s="85"/>
      <c r="AJ378" s="85"/>
      <c r="AK378" s="85"/>
      <c r="AL378" s="85"/>
      <c r="AM378" s="85"/>
    </row>
    <row r="379">
      <c r="A379" s="85"/>
      <c r="B379" s="84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  <c r="AC379" s="85"/>
      <c r="AD379" s="85"/>
      <c r="AE379" s="85"/>
      <c r="AF379" s="85"/>
      <c r="AG379" s="85"/>
      <c r="AH379" s="85"/>
      <c r="AI379" s="85"/>
      <c r="AJ379" s="85"/>
      <c r="AK379" s="85"/>
      <c r="AL379" s="85"/>
      <c r="AM379" s="85"/>
    </row>
    <row r="380">
      <c r="A380" s="85"/>
      <c r="B380" s="84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5"/>
      <c r="AD380" s="85"/>
      <c r="AE380" s="85"/>
      <c r="AF380" s="85"/>
      <c r="AG380" s="85"/>
      <c r="AH380" s="85"/>
      <c r="AI380" s="85"/>
      <c r="AJ380" s="85"/>
      <c r="AK380" s="85"/>
      <c r="AL380" s="85"/>
      <c r="AM380" s="85"/>
    </row>
    <row r="381">
      <c r="A381" s="85"/>
      <c r="B381" s="84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5"/>
      <c r="AD381" s="85"/>
      <c r="AE381" s="85"/>
      <c r="AF381" s="85"/>
      <c r="AG381" s="85"/>
      <c r="AH381" s="85"/>
      <c r="AI381" s="85"/>
      <c r="AJ381" s="85"/>
      <c r="AK381" s="85"/>
      <c r="AL381" s="85"/>
      <c r="AM381" s="85"/>
    </row>
    <row r="382">
      <c r="A382" s="85"/>
      <c r="B382" s="84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5"/>
      <c r="AD382" s="85"/>
      <c r="AE382" s="85"/>
      <c r="AF382" s="85"/>
      <c r="AG382" s="85"/>
      <c r="AH382" s="85"/>
      <c r="AI382" s="85"/>
      <c r="AJ382" s="85"/>
      <c r="AK382" s="85"/>
      <c r="AL382" s="85"/>
      <c r="AM382" s="85"/>
    </row>
    <row r="383">
      <c r="A383" s="85"/>
      <c r="B383" s="84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</row>
    <row r="384">
      <c r="A384" s="85"/>
      <c r="B384" s="84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  <c r="AC384" s="85"/>
      <c r="AD384" s="85"/>
      <c r="AE384" s="85"/>
      <c r="AF384" s="85"/>
      <c r="AG384" s="85"/>
      <c r="AH384" s="85"/>
      <c r="AI384" s="85"/>
      <c r="AJ384" s="85"/>
      <c r="AK384" s="85"/>
      <c r="AL384" s="85"/>
      <c r="AM384" s="85"/>
    </row>
    <row r="385">
      <c r="A385" s="85"/>
      <c r="B385" s="84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  <c r="AC385" s="85"/>
      <c r="AD385" s="85"/>
      <c r="AE385" s="85"/>
      <c r="AF385" s="85"/>
      <c r="AG385" s="85"/>
      <c r="AH385" s="85"/>
      <c r="AI385" s="85"/>
      <c r="AJ385" s="85"/>
      <c r="AK385" s="85"/>
      <c r="AL385" s="85"/>
      <c r="AM385" s="85"/>
    </row>
    <row r="386">
      <c r="A386" s="85"/>
      <c r="B386" s="84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  <c r="AB386" s="85"/>
      <c r="AC386" s="85"/>
      <c r="AD386" s="85"/>
      <c r="AE386" s="85"/>
      <c r="AF386" s="85"/>
      <c r="AG386" s="85"/>
      <c r="AH386" s="85"/>
      <c r="AI386" s="85"/>
      <c r="AJ386" s="85"/>
      <c r="AK386" s="85"/>
      <c r="AL386" s="85"/>
      <c r="AM386" s="85"/>
    </row>
    <row r="387">
      <c r="A387" s="85"/>
      <c r="B387" s="84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  <c r="AC387" s="85"/>
      <c r="AD387" s="85"/>
      <c r="AE387" s="85"/>
      <c r="AF387" s="85"/>
      <c r="AG387" s="85"/>
      <c r="AH387" s="85"/>
      <c r="AI387" s="85"/>
      <c r="AJ387" s="85"/>
      <c r="AK387" s="85"/>
      <c r="AL387" s="85"/>
      <c r="AM387" s="85"/>
    </row>
    <row r="388">
      <c r="A388" s="85"/>
      <c r="B388" s="84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  <c r="AC388" s="85"/>
      <c r="AD388" s="85"/>
      <c r="AE388" s="85"/>
      <c r="AF388" s="85"/>
      <c r="AG388" s="85"/>
      <c r="AH388" s="85"/>
      <c r="AI388" s="85"/>
      <c r="AJ388" s="85"/>
      <c r="AK388" s="85"/>
      <c r="AL388" s="85"/>
      <c r="AM388" s="85"/>
    </row>
    <row r="389">
      <c r="A389" s="85"/>
      <c r="B389" s="84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5"/>
      <c r="AD389" s="85"/>
      <c r="AE389" s="85"/>
      <c r="AF389" s="85"/>
      <c r="AG389" s="85"/>
      <c r="AH389" s="85"/>
      <c r="AI389" s="85"/>
      <c r="AJ389" s="85"/>
      <c r="AK389" s="85"/>
      <c r="AL389" s="85"/>
      <c r="AM389" s="85"/>
    </row>
    <row r="390">
      <c r="A390" s="85"/>
      <c r="B390" s="84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5"/>
      <c r="AD390" s="85"/>
      <c r="AE390" s="85"/>
      <c r="AF390" s="85"/>
      <c r="AG390" s="85"/>
      <c r="AH390" s="85"/>
      <c r="AI390" s="85"/>
      <c r="AJ390" s="85"/>
      <c r="AK390" s="85"/>
      <c r="AL390" s="85"/>
      <c r="AM390" s="85"/>
    </row>
    <row r="391">
      <c r="A391" s="85"/>
      <c r="B391" s="84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5"/>
      <c r="AD391" s="85"/>
      <c r="AE391" s="85"/>
      <c r="AF391" s="85"/>
      <c r="AG391" s="85"/>
      <c r="AH391" s="85"/>
      <c r="AI391" s="85"/>
      <c r="AJ391" s="85"/>
      <c r="AK391" s="85"/>
      <c r="AL391" s="85"/>
      <c r="AM391" s="85"/>
    </row>
    <row r="392">
      <c r="A392" s="85"/>
      <c r="B392" s="84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  <c r="AC392" s="85"/>
      <c r="AD392" s="85"/>
      <c r="AE392" s="85"/>
      <c r="AF392" s="85"/>
      <c r="AG392" s="85"/>
      <c r="AH392" s="85"/>
      <c r="AI392" s="85"/>
      <c r="AJ392" s="85"/>
      <c r="AK392" s="85"/>
      <c r="AL392" s="85"/>
      <c r="AM392" s="85"/>
    </row>
    <row r="393">
      <c r="A393" s="85"/>
      <c r="B393" s="84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  <c r="AC393" s="85"/>
      <c r="AD393" s="85"/>
      <c r="AE393" s="85"/>
      <c r="AF393" s="85"/>
      <c r="AG393" s="85"/>
      <c r="AH393" s="85"/>
      <c r="AI393" s="85"/>
      <c r="AJ393" s="85"/>
      <c r="AK393" s="85"/>
      <c r="AL393" s="85"/>
      <c r="AM393" s="85"/>
    </row>
    <row r="394">
      <c r="A394" s="85"/>
      <c r="B394" s="84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  <c r="AC394" s="85"/>
      <c r="AD394" s="85"/>
      <c r="AE394" s="85"/>
      <c r="AF394" s="85"/>
      <c r="AG394" s="85"/>
      <c r="AH394" s="85"/>
      <c r="AI394" s="85"/>
      <c r="AJ394" s="85"/>
      <c r="AK394" s="85"/>
      <c r="AL394" s="85"/>
      <c r="AM394" s="85"/>
    </row>
    <row r="395">
      <c r="A395" s="85"/>
      <c r="B395" s="84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  <c r="AC395" s="85"/>
      <c r="AD395" s="85"/>
      <c r="AE395" s="85"/>
      <c r="AF395" s="85"/>
      <c r="AG395" s="85"/>
      <c r="AH395" s="85"/>
      <c r="AI395" s="85"/>
      <c r="AJ395" s="85"/>
      <c r="AK395" s="85"/>
      <c r="AL395" s="85"/>
      <c r="AM395" s="85"/>
    </row>
    <row r="396">
      <c r="A396" s="85"/>
      <c r="B396" s="84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  <c r="AC396" s="85"/>
      <c r="AD396" s="85"/>
      <c r="AE396" s="85"/>
      <c r="AF396" s="85"/>
      <c r="AG396" s="85"/>
      <c r="AH396" s="85"/>
      <c r="AI396" s="85"/>
      <c r="AJ396" s="85"/>
      <c r="AK396" s="85"/>
      <c r="AL396" s="85"/>
      <c r="AM396" s="85"/>
    </row>
    <row r="397">
      <c r="A397" s="85"/>
      <c r="B397" s="84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  <c r="AC397" s="85"/>
      <c r="AD397" s="85"/>
      <c r="AE397" s="85"/>
      <c r="AF397" s="85"/>
      <c r="AG397" s="85"/>
      <c r="AH397" s="85"/>
      <c r="AI397" s="85"/>
      <c r="AJ397" s="85"/>
      <c r="AK397" s="85"/>
      <c r="AL397" s="85"/>
      <c r="AM397" s="85"/>
    </row>
    <row r="398">
      <c r="A398" s="85"/>
      <c r="B398" s="84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  <c r="AC398" s="85"/>
      <c r="AD398" s="85"/>
      <c r="AE398" s="85"/>
      <c r="AF398" s="85"/>
      <c r="AG398" s="85"/>
      <c r="AH398" s="85"/>
      <c r="AI398" s="85"/>
      <c r="AJ398" s="85"/>
      <c r="AK398" s="85"/>
      <c r="AL398" s="85"/>
      <c r="AM398" s="85"/>
    </row>
    <row r="399">
      <c r="A399" s="85"/>
      <c r="B399" s="84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  <c r="AC399" s="85"/>
      <c r="AD399" s="85"/>
      <c r="AE399" s="85"/>
      <c r="AF399" s="85"/>
      <c r="AG399" s="85"/>
      <c r="AH399" s="85"/>
      <c r="AI399" s="85"/>
      <c r="AJ399" s="85"/>
      <c r="AK399" s="85"/>
      <c r="AL399" s="85"/>
      <c r="AM399" s="85"/>
    </row>
    <row r="400">
      <c r="A400" s="85"/>
      <c r="B400" s="84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  <c r="AC400" s="85"/>
      <c r="AD400" s="85"/>
      <c r="AE400" s="85"/>
      <c r="AF400" s="85"/>
      <c r="AG400" s="85"/>
      <c r="AH400" s="85"/>
      <c r="AI400" s="85"/>
      <c r="AJ400" s="85"/>
      <c r="AK400" s="85"/>
      <c r="AL400" s="85"/>
      <c r="AM400" s="85"/>
    </row>
    <row r="401">
      <c r="A401" s="85"/>
      <c r="B401" s="84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  <c r="AC401" s="85"/>
      <c r="AD401" s="85"/>
      <c r="AE401" s="85"/>
      <c r="AF401" s="85"/>
      <c r="AG401" s="85"/>
      <c r="AH401" s="85"/>
      <c r="AI401" s="85"/>
      <c r="AJ401" s="85"/>
      <c r="AK401" s="85"/>
      <c r="AL401" s="85"/>
      <c r="AM401" s="85"/>
    </row>
    <row r="402">
      <c r="A402" s="85"/>
      <c r="B402" s="84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  <c r="AC402" s="85"/>
      <c r="AD402" s="85"/>
      <c r="AE402" s="85"/>
      <c r="AF402" s="85"/>
      <c r="AG402" s="85"/>
      <c r="AH402" s="85"/>
      <c r="AI402" s="85"/>
      <c r="AJ402" s="85"/>
      <c r="AK402" s="85"/>
      <c r="AL402" s="85"/>
      <c r="AM402" s="85"/>
    </row>
    <row r="403">
      <c r="A403" s="85"/>
      <c r="B403" s="84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  <c r="AC403" s="85"/>
      <c r="AD403" s="85"/>
      <c r="AE403" s="85"/>
      <c r="AF403" s="85"/>
      <c r="AG403" s="85"/>
      <c r="AH403" s="85"/>
      <c r="AI403" s="85"/>
      <c r="AJ403" s="85"/>
      <c r="AK403" s="85"/>
      <c r="AL403" s="85"/>
      <c r="AM403" s="85"/>
    </row>
    <row r="404">
      <c r="A404" s="85"/>
      <c r="B404" s="84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C404" s="85"/>
      <c r="AD404" s="85"/>
      <c r="AE404" s="85"/>
      <c r="AF404" s="85"/>
      <c r="AG404" s="85"/>
      <c r="AH404" s="85"/>
      <c r="AI404" s="85"/>
      <c r="AJ404" s="85"/>
      <c r="AK404" s="85"/>
      <c r="AL404" s="85"/>
      <c r="AM404" s="85"/>
    </row>
    <row r="405">
      <c r="A405" s="85"/>
      <c r="B405" s="84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  <c r="AC405" s="85"/>
      <c r="AD405" s="85"/>
      <c r="AE405" s="85"/>
      <c r="AF405" s="85"/>
      <c r="AG405" s="85"/>
      <c r="AH405" s="85"/>
      <c r="AI405" s="85"/>
      <c r="AJ405" s="85"/>
      <c r="AK405" s="85"/>
      <c r="AL405" s="85"/>
      <c r="AM405" s="85"/>
    </row>
    <row r="406">
      <c r="A406" s="85"/>
      <c r="B406" s="84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  <c r="AC406" s="85"/>
      <c r="AD406" s="85"/>
      <c r="AE406" s="85"/>
      <c r="AF406" s="85"/>
      <c r="AG406" s="85"/>
      <c r="AH406" s="85"/>
      <c r="AI406" s="85"/>
      <c r="AJ406" s="85"/>
      <c r="AK406" s="85"/>
      <c r="AL406" s="85"/>
      <c r="AM406" s="85"/>
    </row>
    <row r="407">
      <c r="A407" s="85"/>
      <c r="B407" s="84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  <c r="AC407" s="85"/>
      <c r="AD407" s="85"/>
      <c r="AE407" s="85"/>
      <c r="AF407" s="85"/>
      <c r="AG407" s="85"/>
      <c r="AH407" s="85"/>
      <c r="AI407" s="85"/>
      <c r="AJ407" s="85"/>
      <c r="AK407" s="85"/>
      <c r="AL407" s="85"/>
      <c r="AM407" s="85"/>
    </row>
    <row r="408">
      <c r="A408" s="85"/>
      <c r="B408" s="84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  <c r="AC408" s="85"/>
      <c r="AD408" s="85"/>
      <c r="AE408" s="85"/>
      <c r="AF408" s="85"/>
      <c r="AG408" s="85"/>
      <c r="AH408" s="85"/>
      <c r="AI408" s="85"/>
      <c r="AJ408" s="85"/>
      <c r="AK408" s="85"/>
      <c r="AL408" s="85"/>
      <c r="AM408" s="85"/>
    </row>
    <row r="409">
      <c r="A409" s="85"/>
      <c r="B409" s="84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  <c r="AC409" s="85"/>
      <c r="AD409" s="85"/>
      <c r="AE409" s="85"/>
      <c r="AF409" s="85"/>
      <c r="AG409" s="85"/>
      <c r="AH409" s="85"/>
      <c r="AI409" s="85"/>
      <c r="AJ409" s="85"/>
      <c r="AK409" s="85"/>
      <c r="AL409" s="85"/>
      <c r="AM409" s="85"/>
    </row>
    <row r="410">
      <c r="A410" s="85"/>
      <c r="B410" s="84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  <c r="AC410" s="85"/>
      <c r="AD410" s="85"/>
      <c r="AE410" s="85"/>
      <c r="AF410" s="85"/>
      <c r="AG410" s="85"/>
      <c r="AH410" s="85"/>
      <c r="AI410" s="85"/>
      <c r="AJ410" s="85"/>
      <c r="AK410" s="85"/>
      <c r="AL410" s="85"/>
      <c r="AM410" s="85"/>
    </row>
    <row r="411">
      <c r="A411" s="85"/>
      <c r="B411" s="84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  <c r="AC411" s="85"/>
      <c r="AD411" s="85"/>
      <c r="AE411" s="85"/>
      <c r="AF411" s="85"/>
      <c r="AG411" s="85"/>
      <c r="AH411" s="85"/>
      <c r="AI411" s="85"/>
      <c r="AJ411" s="85"/>
      <c r="AK411" s="85"/>
      <c r="AL411" s="85"/>
      <c r="AM411" s="85"/>
    </row>
    <row r="412">
      <c r="A412" s="85"/>
      <c r="B412" s="84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  <c r="AC412" s="85"/>
      <c r="AD412" s="85"/>
      <c r="AE412" s="85"/>
      <c r="AF412" s="85"/>
      <c r="AG412" s="85"/>
      <c r="AH412" s="85"/>
      <c r="AI412" s="85"/>
      <c r="AJ412" s="85"/>
      <c r="AK412" s="85"/>
      <c r="AL412" s="85"/>
      <c r="AM412" s="85"/>
    </row>
    <row r="413">
      <c r="A413" s="85"/>
      <c r="B413" s="84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  <c r="AC413" s="85"/>
      <c r="AD413" s="85"/>
      <c r="AE413" s="85"/>
      <c r="AF413" s="85"/>
      <c r="AG413" s="85"/>
      <c r="AH413" s="85"/>
      <c r="AI413" s="85"/>
      <c r="AJ413" s="85"/>
      <c r="AK413" s="85"/>
      <c r="AL413" s="85"/>
      <c r="AM413" s="85"/>
    </row>
    <row r="414">
      <c r="A414" s="85"/>
      <c r="B414" s="84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  <c r="AC414" s="85"/>
      <c r="AD414" s="85"/>
      <c r="AE414" s="85"/>
      <c r="AF414" s="85"/>
      <c r="AG414" s="85"/>
      <c r="AH414" s="85"/>
      <c r="AI414" s="85"/>
      <c r="AJ414" s="85"/>
      <c r="AK414" s="85"/>
      <c r="AL414" s="85"/>
      <c r="AM414" s="85"/>
    </row>
    <row r="415">
      <c r="A415" s="85"/>
      <c r="B415" s="84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  <c r="AC415" s="85"/>
      <c r="AD415" s="85"/>
      <c r="AE415" s="85"/>
      <c r="AF415" s="85"/>
      <c r="AG415" s="85"/>
      <c r="AH415" s="85"/>
      <c r="AI415" s="85"/>
      <c r="AJ415" s="85"/>
      <c r="AK415" s="85"/>
      <c r="AL415" s="85"/>
      <c r="AM415" s="85"/>
    </row>
    <row r="416">
      <c r="A416" s="85"/>
      <c r="B416" s="84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5"/>
      <c r="AD416" s="85"/>
      <c r="AE416" s="85"/>
      <c r="AF416" s="85"/>
      <c r="AG416" s="85"/>
      <c r="AH416" s="85"/>
      <c r="AI416" s="85"/>
      <c r="AJ416" s="85"/>
      <c r="AK416" s="85"/>
      <c r="AL416" s="85"/>
      <c r="AM416" s="85"/>
    </row>
    <row r="417">
      <c r="A417" s="85"/>
      <c r="B417" s="84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  <c r="AC417" s="85"/>
      <c r="AD417" s="85"/>
      <c r="AE417" s="85"/>
      <c r="AF417" s="85"/>
      <c r="AG417" s="85"/>
      <c r="AH417" s="85"/>
      <c r="AI417" s="85"/>
      <c r="AJ417" s="85"/>
      <c r="AK417" s="85"/>
      <c r="AL417" s="85"/>
      <c r="AM417" s="85"/>
    </row>
    <row r="418">
      <c r="A418" s="85"/>
      <c r="B418" s="84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  <c r="AC418" s="85"/>
      <c r="AD418" s="85"/>
      <c r="AE418" s="85"/>
      <c r="AF418" s="85"/>
      <c r="AG418" s="85"/>
      <c r="AH418" s="85"/>
      <c r="AI418" s="85"/>
      <c r="AJ418" s="85"/>
      <c r="AK418" s="85"/>
      <c r="AL418" s="85"/>
      <c r="AM418" s="85"/>
    </row>
    <row r="419">
      <c r="A419" s="85"/>
      <c r="B419" s="84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  <c r="AC419" s="85"/>
      <c r="AD419" s="85"/>
      <c r="AE419" s="85"/>
      <c r="AF419" s="85"/>
      <c r="AG419" s="85"/>
      <c r="AH419" s="85"/>
      <c r="AI419" s="85"/>
      <c r="AJ419" s="85"/>
      <c r="AK419" s="85"/>
      <c r="AL419" s="85"/>
      <c r="AM419" s="85"/>
    </row>
    <row r="420">
      <c r="A420" s="85"/>
      <c r="B420" s="84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  <c r="AC420" s="85"/>
      <c r="AD420" s="85"/>
      <c r="AE420" s="85"/>
      <c r="AF420" s="85"/>
      <c r="AG420" s="85"/>
      <c r="AH420" s="85"/>
      <c r="AI420" s="85"/>
      <c r="AJ420" s="85"/>
      <c r="AK420" s="85"/>
      <c r="AL420" s="85"/>
      <c r="AM420" s="85"/>
    </row>
    <row r="421">
      <c r="A421" s="85"/>
      <c r="B421" s="84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</row>
    <row r="422">
      <c r="A422" s="85"/>
      <c r="B422" s="84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  <c r="AC422" s="85"/>
      <c r="AD422" s="85"/>
      <c r="AE422" s="85"/>
      <c r="AF422" s="85"/>
      <c r="AG422" s="85"/>
      <c r="AH422" s="85"/>
      <c r="AI422" s="85"/>
      <c r="AJ422" s="85"/>
      <c r="AK422" s="85"/>
      <c r="AL422" s="85"/>
      <c r="AM422" s="85"/>
    </row>
    <row r="423">
      <c r="A423" s="85"/>
      <c r="B423" s="84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  <c r="AC423" s="85"/>
      <c r="AD423" s="85"/>
      <c r="AE423" s="85"/>
      <c r="AF423" s="85"/>
      <c r="AG423" s="85"/>
      <c r="AH423" s="85"/>
      <c r="AI423" s="85"/>
      <c r="AJ423" s="85"/>
      <c r="AK423" s="85"/>
      <c r="AL423" s="85"/>
      <c r="AM423" s="85"/>
    </row>
    <row r="424">
      <c r="A424" s="85"/>
      <c r="B424" s="84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  <c r="AC424" s="85"/>
      <c r="AD424" s="85"/>
      <c r="AE424" s="85"/>
      <c r="AF424" s="85"/>
      <c r="AG424" s="85"/>
      <c r="AH424" s="85"/>
      <c r="AI424" s="85"/>
      <c r="AJ424" s="85"/>
      <c r="AK424" s="85"/>
      <c r="AL424" s="85"/>
      <c r="AM424" s="85"/>
    </row>
    <row r="425">
      <c r="A425" s="85"/>
      <c r="B425" s="84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  <c r="AC425" s="85"/>
      <c r="AD425" s="85"/>
      <c r="AE425" s="85"/>
      <c r="AF425" s="85"/>
      <c r="AG425" s="85"/>
      <c r="AH425" s="85"/>
      <c r="AI425" s="85"/>
      <c r="AJ425" s="85"/>
      <c r="AK425" s="85"/>
      <c r="AL425" s="85"/>
      <c r="AM425" s="85"/>
    </row>
    <row r="426">
      <c r="A426" s="85"/>
      <c r="B426" s="84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  <c r="AC426" s="85"/>
      <c r="AD426" s="85"/>
      <c r="AE426" s="85"/>
      <c r="AF426" s="85"/>
      <c r="AG426" s="85"/>
      <c r="AH426" s="85"/>
      <c r="AI426" s="85"/>
      <c r="AJ426" s="85"/>
      <c r="AK426" s="85"/>
      <c r="AL426" s="85"/>
      <c r="AM426" s="85"/>
    </row>
    <row r="427">
      <c r="A427" s="85"/>
      <c r="B427" s="84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  <c r="AC427" s="85"/>
      <c r="AD427" s="85"/>
      <c r="AE427" s="85"/>
      <c r="AF427" s="85"/>
      <c r="AG427" s="85"/>
      <c r="AH427" s="85"/>
      <c r="AI427" s="85"/>
      <c r="AJ427" s="85"/>
      <c r="AK427" s="85"/>
      <c r="AL427" s="85"/>
      <c r="AM427" s="85"/>
    </row>
    <row r="428">
      <c r="A428" s="85"/>
      <c r="B428" s="84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  <c r="AC428" s="85"/>
      <c r="AD428" s="85"/>
      <c r="AE428" s="85"/>
      <c r="AF428" s="85"/>
      <c r="AG428" s="85"/>
      <c r="AH428" s="85"/>
      <c r="AI428" s="85"/>
      <c r="AJ428" s="85"/>
      <c r="AK428" s="85"/>
      <c r="AL428" s="85"/>
      <c r="AM428" s="85"/>
    </row>
    <row r="429">
      <c r="A429" s="85"/>
      <c r="B429" s="84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  <c r="AC429" s="85"/>
      <c r="AD429" s="85"/>
      <c r="AE429" s="85"/>
      <c r="AF429" s="85"/>
      <c r="AG429" s="85"/>
      <c r="AH429" s="85"/>
      <c r="AI429" s="85"/>
      <c r="AJ429" s="85"/>
      <c r="AK429" s="85"/>
      <c r="AL429" s="85"/>
      <c r="AM429" s="85"/>
    </row>
    <row r="430">
      <c r="A430" s="85"/>
      <c r="B430" s="84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  <c r="AC430" s="85"/>
      <c r="AD430" s="85"/>
      <c r="AE430" s="85"/>
      <c r="AF430" s="85"/>
      <c r="AG430" s="85"/>
      <c r="AH430" s="85"/>
      <c r="AI430" s="85"/>
      <c r="AJ430" s="85"/>
      <c r="AK430" s="85"/>
      <c r="AL430" s="85"/>
      <c r="AM430" s="85"/>
    </row>
    <row r="431">
      <c r="A431" s="85"/>
      <c r="B431" s="84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  <c r="AC431" s="85"/>
      <c r="AD431" s="85"/>
      <c r="AE431" s="85"/>
      <c r="AF431" s="85"/>
      <c r="AG431" s="85"/>
      <c r="AH431" s="85"/>
      <c r="AI431" s="85"/>
      <c r="AJ431" s="85"/>
      <c r="AK431" s="85"/>
      <c r="AL431" s="85"/>
      <c r="AM431" s="85"/>
    </row>
    <row r="432">
      <c r="A432" s="85"/>
      <c r="B432" s="84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  <c r="AC432" s="85"/>
      <c r="AD432" s="85"/>
      <c r="AE432" s="85"/>
      <c r="AF432" s="85"/>
      <c r="AG432" s="85"/>
      <c r="AH432" s="85"/>
      <c r="AI432" s="85"/>
      <c r="AJ432" s="85"/>
      <c r="AK432" s="85"/>
      <c r="AL432" s="85"/>
      <c r="AM432" s="85"/>
    </row>
    <row r="433">
      <c r="A433" s="85"/>
      <c r="B433" s="84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  <c r="AC433" s="85"/>
      <c r="AD433" s="85"/>
      <c r="AE433" s="85"/>
      <c r="AF433" s="85"/>
      <c r="AG433" s="85"/>
      <c r="AH433" s="85"/>
      <c r="AI433" s="85"/>
      <c r="AJ433" s="85"/>
      <c r="AK433" s="85"/>
      <c r="AL433" s="85"/>
      <c r="AM433" s="85"/>
    </row>
    <row r="434">
      <c r="A434" s="85"/>
      <c r="B434" s="84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  <c r="AC434" s="85"/>
      <c r="AD434" s="85"/>
      <c r="AE434" s="85"/>
      <c r="AF434" s="85"/>
      <c r="AG434" s="85"/>
      <c r="AH434" s="85"/>
      <c r="AI434" s="85"/>
      <c r="AJ434" s="85"/>
      <c r="AK434" s="85"/>
      <c r="AL434" s="85"/>
      <c r="AM434" s="85"/>
    </row>
    <row r="435">
      <c r="A435" s="85"/>
      <c r="B435" s="84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5"/>
      <c r="AD435" s="85"/>
      <c r="AE435" s="85"/>
      <c r="AF435" s="85"/>
      <c r="AG435" s="85"/>
      <c r="AH435" s="85"/>
      <c r="AI435" s="85"/>
      <c r="AJ435" s="85"/>
      <c r="AK435" s="85"/>
      <c r="AL435" s="85"/>
      <c r="AM435" s="85"/>
    </row>
    <row r="436">
      <c r="A436" s="85"/>
      <c r="B436" s="84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  <c r="AC436" s="85"/>
      <c r="AD436" s="85"/>
      <c r="AE436" s="85"/>
      <c r="AF436" s="85"/>
      <c r="AG436" s="85"/>
      <c r="AH436" s="85"/>
      <c r="AI436" s="85"/>
      <c r="AJ436" s="85"/>
      <c r="AK436" s="85"/>
      <c r="AL436" s="85"/>
      <c r="AM436" s="85"/>
    </row>
    <row r="437">
      <c r="A437" s="85"/>
      <c r="B437" s="84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  <c r="AC437" s="85"/>
      <c r="AD437" s="85"/>
      <c r="AE437" s="85"/>
      <c r="AF437" s="85"/>
      <c r="AG437" s="85"/>
      <c r="AH437" s="85"/>
      <c r="AI437" s="85"/>
      <c r="AJ437" s="85"/>
      <c r="AK437" s="85"/>
      <c r="AL437" s="85"/>
      <c r="AM437" s="85"/>
    </row>
    <row r="438">
      <c r="A438" s="85"/>
      <c r="B438" s="84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  <c r="AC438" s="85"/>
      <c r="AD438" s="85"/>
      <c r="AE438" s="85"/>
      <c r="AF438" s="85"/>
      <c r="AG438" s="85"/>
      <c r="AH438" s="85"/>
      <c r="AI438" s="85"/>
      <c r="AJ438" s="85"/>
      <c r="AK438" s="85"/>
      <c r="AL438" s="85"/>
      <c r="AM438" s="85"/>
    </row>
    <row r="439">
      <c r="A439" s="85"/>
      <c r="B439" s="84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5"/>
      <c r="AD439" s="85"/>
      <c r="AE439" s="85"/>
      <c r="AF439" s="85"/>
      <c r="AG439" s="85"/>
      <c r="AH439" s="85"/>
      <c r="AI439" s="85"/>
      <c r="AJ439" s="85"/>
      <c r="AK439" s="85"/>
      <c r="AL439" s="85"/>
      <c r="AM439" s="85"/>
    </row>
    <row r="440">
      <c r="A440" s="85"/>
      <c r="B440" s="84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  <c r="AC440" s="85"/>
      <c r="AD440" s="85"/>
      <c r="AE440" s="85"/>
      <c r="AF440" s="85"/>
      <c r="AG440" s="85"/>
      <c r="AH440" s="85"/>
      <c r="AI440" s="85"/>
      <c r="AJ440" s="85"/>
      <c r="AK440" s="85"/>
      <c r="AL440" s="85"/>
      <c r="AM440" s="85"/>
    </row>
    <row r="441">
      <c r="A441" s="85"/>
      <c r="B441" s="84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  <c r="AC441" s="85"/>
      <c r="AD441" s="85"/>
      <c r="AE441" s="85"/>
      <c r="AF441" s="85"/>
      <c r="AG441" s="85"/>
      <c r="AH441" s="85"/>
      <c r="AI441" s="85"/>
      <c r="AJ441" s="85"/>
      <c r="AK441" s="85"/>
      <c r="AL441" s="85"/>
      <c r="AM441" s="85"/>
    </row>
    <row r="442">
      <c r="A442" s="85"/>
      <c r="B442" s="84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  <c r="AC442" s="85"/>
      <c r="AD442" s="85"/>
      <c r="AE442" s="85"/>
      <c r="AF442" s="85"/>
      <c r="AG442" s="85"/>
      <c r="AH442" s="85"/>
      <c r="AI442" s="85"/>
      <c r="AJ442" s="85"/>
      <c r="AK442" s="85"/>
      <c r="AL442" s="85"/>
      <c r="AM442" s="85"/>
    </row>
    <row r="443">
      <c r="A443" s="85"/>
      <c r="B443" s="84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  <c r="AC443" s="85"/>
      <c r="AD443" s="85"/>
      <c r="AE443" s="85"/>
      <c r="AF443" s="85"/>
      <c r="AG443" s="85"/>
      <c r="AH443" s="85"/>
      <c r="AI443" s="85"/>
      <c r="AJ443" s="85"/>
      <c r="AK443" s="85"/>
      <c r="AL443" s="85"/>
      <c r="AM443" s="85"/>
    </row>
    <row r="444">
      <c r="A444" s="85"/>
      <c r="B444" s="84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  <c r="AC444" s="85"/>
      <c r="AD444" s="85"/>
      <c r="AE444" s="85"/>
      <c r="AF444" s="85"/>
      <c r="AG444" s="85"/>
      <c r="AH444" s="85"/>
      <c r="AI444" s="85"/>
      <c r="AJ444" s="85"/>
      <c r="AK444" s="85"/>
      <c r="AL444" s="85"/>
      <c r="AM444" s="85"/>
    </row>
    <row r="445">
      <c r="A445" s="85"/>
      <c r="B445" s="84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  <c r="AC445" s="85"/>
      <c r="AD445" s="85"/>
      <c r="AE445" s="85"/>
      <c r="AF445" s="85"/>
      <c r="AG445" s="85"/>
      <c r="AH445" s="85"/>
      <c r="AI445" s="85"/>
      <c r="AJ445" s="85"/>
      <c r="AK445" s="85"/>
      <c r="AL445" s="85"/>
      <c r="AM445" s="85"/>
    </row>
    <row r="446">
      <c r="A446" s="85"/>
      <c r="B446" s="84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  <c r="AC446" s="85"/>
      <c r="AD446" s="85"/>
      <c r="AE446" s="85"/>
      <c r="AF446" s="85"/>
      <c r="AG446" s="85"/>
      <c r="AH446" s="85"/>
      <c r="AI446" s="85"/>
      <c r="AJ446" s="85"/>
      <c r="AK446" s="85"/>
      <c r="AL446" s="85"/>
      <c r="AM446" s="85"/>
    </row>
    <row r="447">
      <c r="A447" s="85"/>
      <c r="B447" s="84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  <c r="AC447" s="85"/>
      <c r="AD447" s="85"/>
      <c r="AE447" s="85"/>
      <c r="AF447" s="85"/>
      <c r="AG447" s="85"/>
      <c r="AH447" s="85"/>
      <c r="AI447" s="85"/>
      <c r="AJ447" s="85"/>
      <c r="AK447" s="85"/>
      <c r="AL447" s="85"/>
      <c r="AM447" s="85"/>
    </row>
    <row r="448">
      <c r="A448" s="85"/>
      <c r="B448" s="84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  <c r="AC448" s="85"/>
      <c r="AD448" s="85"/>
      <c r="AE448" s="85"/>
      <c r="AF448" s="85"/>
      <c r="AG448" s="85"/>
      <c r="AH448" s="85"/>
      <c r="AI448" s="85"/>
      <c r="AJ448" s="85"/>
      <c r="AK448" s="85"/>
      <c r="AL448" s="85"/>
      <c r="AM448" s="85"/>
    </row>
    <row r="449">
      <c r="A449" s="85"/>
      <c r="B449" s="84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  <c r="AC449" s="85"/>
      <c r="AD449" s="85"/>
      <c r="AE449" s="85"/>
      <c r="AF449" s="85"/>
      <c r="AG449" s="85"/>
      <c r="AH449" s="85"/>
      <c r="AI449" s="85"/>
      <c r="AJ449" s="85"/>
      <c r="AK449" s="85"/>
      <c r="AL449" s="85"/>
      <c r="AM449" s="85"/>
    </row>
    <row r="450">
      <c r="A450" s="85"/>
      <c r="B450" s="84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  <c r="AC450" s="85"/>
      <c r="AD450" s="85"/>
      <c r="AE450" s="85"/>
      <c r="AF450" s="85"/>
      <c r="AG450" s="85"/>
      <c r="AH450" s="85"/>
      <c r="AI450" s="85"/>
      <c r="AJ450" s="85"/>
      <c r="AK450" s="85"/>
      <c r="AL450" s="85"/>
      <c r="AM450" s="85"/>
    </row>
    <row r="451">
      <c r="A451" s="85"/>
      <c r="B451" s="84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  <c r="AC451" s="85"/>
      <c r="AD451" s="85"/>
      <c r="AE451" s="85"/>
      <c r="AF451" s="85"/>
      <c r="AG451" s="85"/>
      <c r="AH451" s="85"/>
      <c r="AI451" s="85"/>
      <c r="AJ451" s="85"/>
      <c r="AK451" s="85"/>
      <c r="AL451" s="85"/>
      <c r="AM451" s="85"/>
    </row>
    <row r="452">
      <c r="A452" s="85"/>
      <c r="B452" s="84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  <c r="AC452" s="85"/>
      <c r="AD452" s="85"/>
      <c r="AE452" s="85"/>
      <c r="AF452" s="85"/>
      <c r="AG452" s="85"/>
      <c r="AH452" s="85"/>
      <c r="AI452" s="85"/>
      <c r="AJ452" s="85"/>
      <c r="AK452" s="85"/>
      <c r="AL452" s="85"/>
      <c r="AM452" s="85"/>
    </row>
    <row r="453">
      <c r="A453" s="85"/>
      <c r="B453" s="84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  <c r="AC453" s="85"/>
      <c r="AD453" s="85"/>
      <c r="AE453" s="85"/>
      <c r="AF453" s="85"/>
      <c r="AG453" s="85"/>
      <c r="AH453" s="85"/>
      <c r="AI453" s="85"/>
      <c r="AJ453" s="85"/>
      <c r="AK453" s="85"/>
      <c r="AL453" s="85"/>
      <c r="AM453" s="85"/>
    </row>
    <row r="454">
      <c r="A454" s="85"/>
      <c r="B454" s="84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  <c r="AC454" s="85"/>
      <c r="AD454" s="85"/>
      <c r="AE454" s="85"/>
      <c r="AF454" s="85"/>
      <c r="AG454" s="85"/>
      <c r="AH454" s="85"/>
      <c r="AI454" s="85"/>
      <c r="AJ454" s="85"/>
      <c r="AK454" s="85"/>
      <c r="AL454" s="85"/>
      <c r="AM454" s="85"/>
    </row>
    <row r="455">
      <c r="A455" s="85"/>
      <c r="B455" s="84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  <c r="AC455" s="85"/>
      <c r="AD455" s="85"/>
      <c r="AE455" s="85"/>
      <c r="AF455" s="85"/>
      <c r="AG455" s="85"/>
      <c r="AH455" s="85"/>
      <c r="AI455" s="85"/>
      <c r="AJ455" s="85"/>
      <c r="AK455" s="85"/>
      <c r="AL455" s="85"/>
      <c r="AM455" s="85"/>
    </row>
    <row r="456">
      <c r="A456" s="85"/>
      <c r="B456" s="84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  <c r="AC456" s="85"/>
      <c r="AD456" s="85"/>
      <c r="AE456" s="85"/>
      <c r="AF456" s="85"/>
      <c r="AG456" s="85"/>
      <c r="AH456" s="85"/>
      <c r="AI456" s="85"/>
      <c r="AJ456" s="85"/>
      <c r="AK456" s="85"/>
      <c r="AL456" s="85"/>
      <c r="AM456" s="85"/>
    </row>
    <row r="457">
      <c r="A457" s="85"/>
      <c r="B457" s="84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  <c r="AC457" s="85"/>
      <c r="AD457" s="85"/>
      <c r="AE457" s="85"/>
      <c r="AF457" s="85"/>
      <c r="AG457" s="85"/>
      <c r="AH457" s="85"/>
      <c r="AI457" s="85"/>
      <c r="AJ457" s="85"/>
      <c r="AK457" s="85"/>
      <c r="AL457" s="85"/>
      <c r="AM457" s="85"/>
    </row>
    <row r="458">
      <c r="A458" s="85"/>
      <c r="B458" s="84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  <c r="AC458" s="85"/>
      <c r="AD458" s="85"/>
      <c r="AE458" s="85"/>
      <c r="AF458" s="85"/>
      <c r="AG458" s="85"/>
      <c r="AH458" s="85"/>
      <c r="AI458" s="85"/>
      <c r="AJ458" s="85"/>
      <c r="AK458" s="85"/>
      <c r="AL458" s="85"/>
      <c r="AM458" s="85"/>
    </row>
    <row r="459">
      <c r="A459" s="85"/>
      <c r="B459" s="84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</row>
    <row r="460">
      <c r="A460" s="85"/>
      <c r="B460" s="84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  <c r="AC460" s="85"/>
      <c r="AD460" s="85"/>
      <c r="AE460" s="85"/>
      <c r="AF460" s="85"/>
      <c r="AG460" s="85"/>
      <c r="AH460" s="85"/>
      <c r="AI460" s="85"/>
      <c r="AJ460" s="85"/>
      <c r="AK460" s="85"/>
      <c r="AL460" s="85"/>
      <c r="AM460" s="85"/>
    </row>
    <row r="461">
      <c r="A461" s="85"/>
      <c r="B461" s="84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  <c r="AC461" s="85"/>
      <c r="AD461" s="85"/>
      <c r="AE461" s="85"/>
      <c r="AF461" s="85"/>
      <c r="AG461" s="85"/>
      <c r="AH461" s="85"/>
      <c r="AI461" s="85"/>
      <c r="AJ461" s="85"/>
      <c r="AK461" s="85"/>
      <c r="AL461" s="85"/>
      <c r="AM461" s="85"/>
    </row>
    <row r="462">
      <c r="A462" s="85"/>
      <c r="B462" s="84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  <c r="AC462" s="85"/>
      <c r="AD462" s="85"/>
      <c r="AE462" s="85"/>
      <c r="AF462" s="85"/>
      <c r="AG462" s="85"/>
      <c r="AH462" s="85"/>
      <c r="AI462" s="85"/>
      <c r="AJ462" s="85"/>
      <c r="AK462" s="85"/>
      <c r="AL462" s="85"/>
      <c r="AM462" s="85"/>
    </row>
    <row r="463">
      <c r="A463" s="85"/>
      <c r="B463" s="84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  <c r="AC463" s="85"/>
      <c r="AD463" s="85"/>
      <c r="AE463" s="85"/>
      <c r="AF463" s="85"/>
      <c r="AG463" s="85"/>
      <c r="AH463" s="85"/>
      <c r="AI463" s="85"/>
      <c r="AJ463" s="85"/>
      <c r="AK463" s="85"/>
      <c r="AL463" s="85"/>
      <c r="AM463" s="85"/>
    </row>
    <row r="464">
      <c r="A464" s="85"/>
      <c r="B464" s="84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  <c r="AC464" s="85"/>
      <c r="AD464" s="85"/>
      <c r="AE464" s="85"/>
      <c r="AF464" s="85"/>
      <c r="AG464" s="85"/>
      <c r="AH464" s="85"/>
      <c r="AI464" s="85"/>
      <c r="AJ464" s="85"/>
      <c r="AK464" s="85"/>
      <c r="AL464" s="85"/>
      <c r="AM464" s="85"/>
    </row>
    <row r="465">
      <c r="A465" s="85"/>
      <c r="B465" s="84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  <c r="AC465" s="85"/>
      <c r="AD465" s="85"/>
      <c r="AE465" s="85"/>
      <c r="AF465" s="85"/>
      <c r="AG465" s="85"/>
      <c r="AH465" s="85"/>
      <c r="AI465" s="85"/>
      <c r="AJ465" s="85"/>
      <c r="AK465" s="85"/>
      <c r="AL465" s="85"/>
      <c r="AM465" s="85"/>
    </row>
    <row r="466">
      <c r="A466" s="85"/>
      <c r="B466" s="84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  <c r="AC466" s="85"/>
      <c r="AD466" s="85"/>
      <c r="AE466" s="85"/>
      <c r="AF466" s="85"/>
      <c r="AG466" s="85"/>
      <c r="AH466" s="85"/>
      <c r="AI466" s="85"/>
      <c r="AJ466" s="85"/>
      <c r="AK466" s="85"/>
      <c r="AL466" s="85"/>
      <c r="AM466" s="85"/>
    </row>
    <row r="467">
      <c r="A467" s="85"/>
      <c r="B467" s="84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  <c r="AC467" s="85"/>
      <c r="AD467" s="85"/>
      <c r="AE467" s="85"/>
      <c r="AF467" s="85"/>
      <c r="AG467" s="85"/>
      <c r="AH467" s="85"/>
      <c r="AI467" s="85"/>
      <c r="AJ467" s="85"/>
      <c r="AK467" s="85"/>
      <c r="AL467" s="85"/>
      <c r="AM467" s="85"/>
    </row>
    <row r="468">
      <c r="A468" s="85"/>
      <c r="B468" s="84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  <c r="AC468" s="85"/>
      <c r="AD468" s="85"/>
      <c r="AE468" s="85"/>
      <c r="AF468" s="85"/>
      <c r="AG468" s="85"/>
      <c r="AH468" s="85"/>
      <c r="AI468" s="85"/>
      <c r="AJ468" s="85"/>
      <c r="AK468" s="85"/>
      <c r="AL468" s="85"/>
      <c r="AM468" s="85"/>
    </row>
    <row r="469">
      <c r="A469" s="85"/>
      <c r="B469" s="84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  <c r="AC469" s="85"/>
      <c r="AD469" s="85"/>
      <c r="AE469" s="85"/>
      <c r="AF469" s="85"/>
      <c r="AG469" s="85"/>
      <c r="AH469" s="85"/>
      <c r="AI469" s="85"/>
      <c r="AJ469" s="85"/>
      <c r="AK469" s="85"/>
      <c r="AL469" s="85"/>
      <c r="AM469" s="85"/>
    </row>
    <row r="470">
      <c r="A470" s="85"/>
      <c r="B470" s="84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  <c r="AC470" s="85"/>
      <c r="AD470" s="85"/>
      <c r="AE470" s="85"/>
      <c r="AF470" s="85"/>
      <c r="AG470" s="85"/>
      <c r="AH470" s="85"/>
      <c r="AI470" s="85"/>
      <c r="AJ470" s="85"/>
      <c r="AK470" s="85"/>
      <c r="AL470" s="85"/>
      <c r="AM470" s="85"/>
    </row>
    <row r="471">
      <c r="A471" s="85"/>
      <c r="B471" s="84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  <c r="AC471" s="85"/>
      <c r="AD471" s="85"/>
      <c r="AE471" s="85"/>
      <c r="AF471" s="85"/>
      <c r="AG471" s="85"/>
      <c r="AH471" s="85"/>
      <c r="AI471" s="85"/>
      <c r="AJ471" s="85"/>
      <c r="AK471" s="85"/>
      <c r="AL471" s="85"/>
      <c r="AM471" s="85"/>
    </row>
    <row r="472">
      <c r="A472" s="85"/>
      <c r="B472" s="84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  <c r="AC472" s="85"/>
      <c r="AD472" s="85"/>
      <c r="AE472" s="85"/>
      <c r="AF472" s="85"/>
      <c r="AG472" s="85"/>
      <c r="AH472" s="85"/>
      <c r="AI472" s="85"/>
      <c r="AJ472" s="85"/>
      <c r="AK472" s="85"/>
      <c r="AL472" s="85"/>
      <c r="AM472" s="85"/>
    </row>
    <row r="473">
      <c r="A473" s="85"/>
      <c r="B473" s="84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5"/>
      <c r="AD473" s="85"/>
      <c r="AE473" s="85"/>
      <c r="AF473" s="85"/>
      <c r="AG473" s="85"/>
      <c r="AH473" s="85"/>
      <c r="AI473" s="85"/>
      <c r="AJ473" s="85"/>
      <c r="AK473" s="85"/>
      <c r="AL473" s="85"/>
      <c r="AM473" s="85"/>
    </row>
    <row r="474">
      <c r="A474" s="85"/>
      <c r="B474" s="84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  <c r="AC474" s="85"/>
      <c r="AD474" s="85"/>
      <c r="AE474" s="85"/>
      <c r="AF474" s="85"/>
      <c r="AG474" s="85"/>
      <c r="AH474" s="85"/>
      <c r="AI474" s="85"/>
      <c r="AJ474" s="85"/>
      <c r="AK474" s="85"/>
      <c r="AL474" s="85"/>
      <c r="AM474" s="85"/>
    </row>
    <row r="475">
      <c r="A475" s="85"/>
      <c r="B475" s="84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  <c r="AC475" s="85"/>
      <c r="AD475" s="85"/>
      <c r="AE475" s="85"/>
      <c r="AF475" s="85"/>
      <c r="AG475" s="85"/>
      <c r="AH475" s="85"/>
      <c r="AI475" s="85"/>
      <c r="AJ475" s="85"/>
      <c r="AK475" s="85"/>
      <c r="AL475" s="85"/>
      <c r="AM475" s="85"/>
    </row>
    <row r="476">
      <c r="A476" s="85"/>
      <c r="B476" s="84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  <c r="AC476" s="85"/>
      <c r="AD476" s="85"/>
      <c r="AE476" s="85"/>
      <c r="AF476" s="85"/>
      <c r="AG476" s="85"/>
      <c r="AH476" s="85"/>
      <c r="AI476" s="85"/>
      <c r="AJ476" s="85"/>
      <c r="AK476" s="85"/>
      <c r="AL476" s="85"/>
      <c r="AM476" s="85"/>
    </row>
    <row r="477">
      <c r="A477" s="85"/>
      <c r="B477" s="84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  <c r="AC477" s="85"/>
      <c r="AD477" s="85"/>
      <c r="AE477" s="85"/>
      <c r="AF477" s="85"/>
      <c r="AG477" s="85"/>
      <c r="AH477" s="85"/>
      <c r="AI477" s="85"/>
      <c r="AJ477" s="85"/>
      <c r="AK477" s="85"/>
      <c r="AL477" s="85"/>
      <c r="AM477" s="85"/>
    </row>
    <row r="478">
      <c r="A478" s="85"/>
      <c r="B478" s="84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  <c r="AC478" s="85"/>
      <c r="AD478" s="85"/>
      <c r="AE478" s="85"/>
      <c r="AF478" s="85"/>
      <c r="AG478" s="85"/>
      <c r="AH478" s="85"/>
      <c r="AI478" s="85"/>
      <c r="AJ478" s="85"/>
      <c r="AK478" s="85"/>
      <c r="AL478" s="85"/>
      <c r="AM478" s="85"/>
    </row>
    <row r="479">
      <c r="A479" s="85"/>
      <c r="B479" s="84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  <c r="AC479" s="85"/>
      <c r="AD479" s="85"/>
      <c r="AE479" s="85"/>
      <c r="AF479" s="85"/>
      <c r="AG479" s="85"/>
      <c r="AH479" s="85"/>
      <c r="AI479" s="85"/>
      <c r="AJ479" s="85"/>
      <c r="AK479" s="85"/>
      <c r="AL479" s="85"/>
      <c r="AM479" s="85"/>
    </row>
    <row r="480">
      <c r="A480" s="85"/>
      <c r="B480" s="84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  <c r="AC480" s="85"/>
      <c r="AD480" s="85"/>
      <c r="AE480" s="85"/>
      <c r="AF480" s="85"/>
      <c r="AG480" s="85"/>
      <c r="AH480" s="85"/>
      <c r="AI480" s="85"/>
      <c r="AJ480" s="85"/>
      <c r="AK480" s="85"/>
      <c r="AL480" s="85"/>
      <c r="AM480" s="85"/>
    </row>
    <row r="481">
      <c r="A481" s="85"/>
      <c r="B481" s="84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  <c r="AC481" s="85"/>
      <c r="AD481" s="85"/>
      <c r="AE481" s="85"/>
      <c r="AF481" s="85"/>
      <c r="AG481" s="85"/>
      <c r="AH481" s="85"/>
      <c r="AI481" s="85"/>
      <c r="AJ481" s="85"/>
      <c r="AK481" s="85"/>
      <c r="AL481" s="85"/>
      <c r="AM481" s="85"/>
    </row>
    <row r="482">
      <c r="A482" s="85"/>
      <c r="B482" s="84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  <c r="AC482" s="85"/>
      <c r="AD482" s="85"/>
      <c r="AE482" s="85"/>
      <c r="AF482" s="85"/>
      <c r="AG482" s="85"/>
      <c r="AH482" s="85"/>
      <c r="AI482" s="85"/>
      <c r="AJ482" s="85"/>
      <c r="AK482" s="85"/>
      <c r="AL482" s="85"/>
      <c r="AM482" s="85"/>
    </row>
    <row r="483">
      <c r="A483" s="85"/>
      <c r="B483" s="84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  <c r="AC483" s="85"/>
      <c r="AD483" s="85"/>
      <c r="AE483" s="85"/>
      <c r="AF483" s="85"/>
      <c r="AG483" s="85"/>
      <c r="AH483" s="85"/>
      <c r="AI483" s="85"/>
      <c r="AJ483" s="85"/>
      <c r="AK483" s="85"/>
      <c r="AL483" s="85"/>
      <c r="AM483" s="85"/>
    </row>
    <row r="484">
      <c r="A484" s="85"/>
      <c r="B484" s="84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  <c r="AC484" s="85"/>
      <c r="AD484" s="85"/>
      <c r="AE484" s="85"/>
      <c r="AF484" s="85"/>
      <c r="AG484" s="85"/>
      <c r="AH484" s="85"/>
      <c r="AI484" s="85"/>
      <c r="AJ484" s="85"/>
      <c r="AK484" s="85"/>
      <c r="AL484" s="85"/>
      <c r="AM484" s="85"/>
    </row>
    <row r="485">
      <c r="A485" s="85"/>
      <c r="B485" s="84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5"/>
      <c r="AD485" s="85"/>
      <c r="AE485" s="85"/>
      <c r="AF485" s="85"/>
      <c r="AG485" s="85"/>
      <c r="AH485" s="85"/>
      <c r="AI485" s="85"/>
      <c r="AJ485" s="85"/>
      <c r="AK485" s="85"/>
      <c r="AL485" s="85"/>
      <c r="AM485" s="85"/>
    </row>
    <row r="486">
      <c r="A486" s="85"/>
      <c r="B486" s="84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  <c r="AC486" s="85"/>
      <c r="AD486" s="85"/>
      <c r="AE486" s="85"/>
      <c r="AF486" s="85"/>
      <c r="AG486" s="85"/>
      <c r="AH486" s="85"/>
      <c r="AI486" s="85"/>
      <c r="AJ486" s="85"/>
      <c r="AK486" s="85"/>
      <c r="AL486" s="85"/>
      <c r="AM486" s="85"/>
    </row>
    <row r="487">
      <c r="A487" s="85"/>
      <c r="B487" s="84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  <c r="AC487" s="85"/>
      <c r="AD487" s="85"/>
      <c r="AE487" s="85"/>
      <c r="AF487" s="85"/>
      <c r="AG487" s="85"/>
      <c r="AH487" s="85"/>
      <c r="AI487" s="85"/>
      <c r="AJ487" s="85"/>
      <c r="AK487" s="85"/>
      <c r="AL487" s="85"/>
      <c r="AM487" s="85"/>
    </row>
    <row r="488">
      <c r="A488" s="85"/>
      <c r="B488" s="84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  <c r="AC488" s="85"/>
      <c r="AD488" s="85"/>
      <c r="AE488" s="85"/>
      <c r="AF488" s="85"/>
      <c r="AG488" s="85"/>
      <c r="AH488" s="85"/>
      <c r="AI488" s="85"/>
      <c r="AJ488" s="85"/>
      <c r="AK488" s="85"/>
      <c r="AL488" s="85"/>
      <c r="AM488" s="85"/>
    </row>
    <row r="489">
      <c r="A489" s="85"/>
      <c r="B489" s="84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  <c r="AC489" s="85"/>
      <c r="AD489" s="85"/>
      <c r="AE489" s="85"/>
      <c r="AF489" s="85"/>
      <c r="AG489" s="85"/>
      <c r="AH489" s="85"/>
      <c r="AI489" s="85"/>
      <c r="AJ489" s="85"/>
      <c r="AK489" s="85"/>
      <c r="AL489" s="85"/>
      <c r="AM489" s="85"/>
    </row>
    <row r="490">
      <c r="A490" s="85"/>
      <c r="B490" s="84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  <c r="AC490" s="85"/>
      <c r="AD490" s="85"/>
      <c r="AE490" s="85"/>
      <c r="AF490" s="85"/>
      <c r="AG490" s="85"/>
      <c r="AH490" s="85"/>
      <c r="AI490" s="85"/>
      <c r="AJ490" s="85"/>
      <c r="AK490" s="85"/>
      <c r="AL490" s="85"/>
      <c r="AM490" s="85"/>
    </row>
    <row r="491">
      <c r="A491" s="85"/>
      <c r="B491" s="84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  <c r="AC491" s="85"/>
      <c r="AD491" s="85"/>
      <c r="AE491" s="85"/>
      <c r="AF491" s="85"/>
      <c r="AG491" s="85"/>
      <c r="AH491" s="85"/>
      <c r="AI491" s="85"/>
      <c r="AJ491" s="85"/>
      <c r="AK491" s="85"/>
      <c r="AL491" s="85"/>
      <c r="AM491" s="85"/>
    </row>
    <row r="492">
      <c r="A492" s="85"/>
      <c r="B492" s="84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  <c r="AC492" s="85"/>
      <c r="AD492" s="85"/>
      <c r="AE492" s="85"/>
      <c r="AF492" s="85"/>
      <c r="AG492" s="85"/>
      <c r="AH492" s="85"/>
      <c r="AI492" s="85"/>
      <c r="AJ492" s="85"/>
      <c r="AK492" s="85"/>
      <c r="AL492" s="85"/>
      <c r="AM492" s="85"/>
    </row>
    <row r="493">
      <c r="A493" s="85"/>
      <c r="B493" s="84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  <c r="AC493" s="85"/>
      <c r="AD493" s="85"/>
      <c r="AE493" s="85"/>
      <c r="AF493" s="85"/>
      <c r="AG493" s="85"/>
      <c r="AH493" s="85"/>
      <c r="AI493" s="85"/>
      <c r="AJ493" s="85"/>
      <c r="AK493" s="85"/>
      <c r="AL493" s="85"/>
      <c r="AM493" s="85"/>
    </row>
    <row r="494">
      <c r="A494" s="85"/>
      <c r="B494" s="84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  <c r="AC494" s="85"/>
      <c r="AD494" s="85"/>
      <c r="AE494" s="85"/>
      <c r="AF494" s="85"/>
      <c r="AG494" s="85"/>
      <c r="AH494" s="85"/>
      <c r="AI494" s="85"/>
      <c r="AJ494" s="85"/>
      <c r="AK494" s="85"/>
      <c r="AL494" s="85"/>
      <c r="AM494" s="85"/>
    </row>
    <row r="495">
      <c r="A495" s="85"/>
      <c r="B495" s="84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  <c r="AC495" s="85"/>
      <c r="AD495" s="85"/>
      <c r="AE495" s="85"/>
      <c r="AF495" s="85"/>
      <c r="AG495" s="85"/>
      <c r="AH495" s="85"/>
      <c r="AI495" s="85"/>
      <c r="AJ495" s="85"/>
      <c r="AK495" s="85"/>
      <c r="AL495" s="85"/>
      <c r="AM495" s="85"/>
    </row>
    <row r="496">
      <c r="A496" s="85"/>
      <c r="B496" s="84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  <c r="AC496" s="85"/>
      <c r="AD496" s="85"/>
      <c r="AE496" s="85"/>
      <c r="AF496" s="85"/>
      <c r="AG496" s="85"/>
      <c r="AH496" s="85"/>
      <c r="AI496" s="85"/>
      <c r="AJ496" s="85"/>
      <c r="AK496" s="85"/>
      <c r="AL496" s="85"/>
      <c r="AM496" s="85"/>
    </row>
    <row r="497">
      <c r="A497" s="85"/>
      <c r="B497" s="84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</row>
    <row r="498">
      <c r="A498" s="85"/>
      <c r="B498" s="84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  <c r="AC498" s="85"/>
      <c r="AD498" s="85"/>
      <c r="AE498" s="85"/>
      <c r="AF498" s="85"/>
      <c r="AG498" s="85"/>
      <c r="AH498" s="85"/>
      <c r="AI498" s="85"/>
      <c r="AJ498" s="85"/>
      <c r="AK498" s="85"/>
      <c r="AL498" s="85"/>
      <c r="AM498" s="85"/>
    </row>
    <row r="499">
      <c r="A499" s="85"/>
      <c r="B499" s="84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  <c r="AG499" s="85"/>
      <c r="AH499" s="85"/>
      <c r="AI499" s="85"/>
      <c r="AJ499" s="85"/>
      <c r="AK499" s="85"/>
      <c r="AL499" s="85"/>
      <c r="AM499" s="85"/>
    </row>
    <row r="500">
      <c r="A500" s="85"/>
      <c r="B500" s="84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  <c r="AC500" s="85"/>
      <c r="AD500" s="85"/>
      <c r="AE500" s="85"/>
      <c r="AF500" s="85"/>
      <c r="AG500" s="85"/>
      <c r="AH500" s="85"/>
      <c r="AI500" s="85"/>
      <c r="AJ500" s="85"/>
      <c r="AK500" s="85"/>
      <c r="AL500" s="85"/>
      <c r="AM500" s="85"/>
    </row>
    <row r="501">
      <c r="A501" s="85"/>
      <c r="B501" s="84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  <c r="AC501" s="85"/>
      <c r="AD501" s="85"/>
      <c r="AE501" s="85"/>
      <c r="AF501" s="85"/>
      <c r="AG501" s="85"/>
      <c r="AH501" s="85"/>
      <c r="AI501" s="85"/>
      <c r="AJ501" s="85"/>
      <c r="AK501" s="85"/>
      <c r="AL501" s="85"/>
      <c r="AM501" s="85"/>
    </row>
    <row r="502">
      <c r="A502" s="85"/>
      <c r="B502" s="84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  <c r="AC502" s="85"/>
      <c r="AD502" s="85"/>
      <c r="AE502" s="85"/>
      <c r="AF502" s="85"/>
      <c r="AG502" s="85"/>
      <c r="AH502" s="85"/>
      <c r="AI502" s="85"/>
      <c r="AJ502" s="85"/>
      <c r="AK502" s="85"/>
      <c r="AL502" s="85"/>
      <c r="AM502" s="85"/>
    </row>
    <row r="503">
      <c r="A503" s="85"/>
      <c r="B503" s="84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  <c r="AC503" s="85"/>
      <c r="AD503" s="85"/>
      <c r="AE503" s="85"/>
      <c r="AF503" s="85"/>
      <c r="AG503" s="85"/>
      <c r="AH503" s="85"/>
      <c r="AI503" s="85"/>
      <c r="AJ503" s="85"/>
      <c r="AK503" s="85"/>
      <c r="AL503" s="85"/>
      <c r="AM503" s="85"/>
    </row>
    <row r="504">
      <c r="A504" s="85"/>
      <c r="B504" s="84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  <c r="AC504" s="85"/>
      <c r="AD504" s="85"/>
      <c r="AE504" s="85"/>
      <c r="AF504" s="85"/>
      <c r="AG504" s="85"/>
      <c r="AH504" s="85"/>
      <c r="AI504" s="85"/>
      <c r="AJ504" s="85"/>
      <c r="AK504" s="85"/>
      <c r="AL504" s="85"/>
      <c r="AM504" s="85"/>
    </row>
    <row r="505">
      <c r="A505" s="85"/>
      <c r="B505" s="84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  <c r="AC505" s="85"/>
      <c r="AD505" s="85"/>
      <c r="AE505" s="85"/>
      <c r="AF505" s="85"/>
      <c r="AG505" s="85"/>
      <c r="AH505" s="85"/>
      <c r="AI505" s="85"/>
      <c r="AJ505" s="85"/>
      <c r="AK505" s="85"/>
      <c r="AL505" s="85"/>
      <c r="AM505" s="85"/>
    </row>
    <row r="506">
      <c r="A506" s="85"/>
      <c r="B506" s="84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  <c r="AC506" s="85"/>
      <c r="AD506" s="85"/>
      <c r="AE506" s="85"/>
      <c r="AF506" s="85"/>
      <c r="AG506" s="85"/>
      <c r="AH506" s="85"/>
      <c r="AI506" s="85"/>
      <c r="AJ506" s="85"/>
      <c r="AK506" s="85"/>
      <c r="AL506" s="85"/>
      <c r="AM506" s="85"/>
    </row>
    <row r="507">
      <c r="A507" s="85"/>
      <c r="B507" s="84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  <c r="AC507" s="85"/>
      <c r="AD507" s="85"/>
      <c r="AE507" s="85"/>
      <c r="AF507" s="85"/>
      <c r="AG507" s="85"/>
      <c r="AH507" s="85"/>
      <c r="AI507" s="85"/>
      <c r="AJ507" s="85"/>
      <c r="AK507" s="85"/>
      <c r="AL507" s="85"/>
      <c r="AM507" s="85"/>
    </row>
    <row r="508">
      <c r="A508" s="85"/>
      <c r="B508" s="84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  <c r="AC508" s="85"/>
      <c r="AD508" s="85"/>
      <c r="AE508" s="85"/>
      <c r="AF508" s="85"/>
      <c r="AG508" s="85"/>
      <c r="AH508" s="85"/>
      <c r="AI508" s="85"/>
      <c r="AJ508" s="85"/>
      <c r="AK508" s="85"/>
      <c r="AL508" s="85"/>
      <c r="AM508" s="85"/>
    </row>
    <row r="509">
      <c r="A509" s="85"/>
      <c r="B509" s="84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  <c r="AG509" s="85"/>
      <c r="AH509" s="85"/>
      <c r="AI509" s="85"/>
      <c r="AJ509" s="85"/>
      <c r="AK509" s="85"/>
      <c r="AL509" s="85"/>
      <c r="AM509" s="85"/>
    </row>
    <row r="510">
      <c r="A510" s="85"/>
      <c r="B510" s="84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  <c r="AG510" s="85"/>
      <c r="AH510" s="85"/>
      <c r="AI510" s="85"/>
      <c r="AJ510" s="85"/>
      <c r="AK510" s="85"/>
      <c r="AL510" s="85"/>
      <c r="AM510" s="85"/>
    </row>
    <row r="511">
      <c r="A511" s="85"/>
      <c r="B511" s="84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  <c r="AC511" s="85"/>
      <c r="AD511" s="85"/>
      <c r="AE511" s="85"/>
      <c r="AF511" s="85"/>
      <c r="AG511" s="85"/>
      <c r="AH511" s="85"/>
      <c r="AI511" s="85"/>
      <c r="AJ511" s="85"/>
      <c r="AK511" s="85"/>
      <c r="AL511" s="85"/>
      <c r="AM511" s="85"/>
    </row>
    <row r="512">
      <c r="A512" s="85"/>
      <c r="B512" s="84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  <c r="AC512" s="85"/>
      <c r="AD512" s="85"/>
      <c r="AE512" s="85"/>
      <c r="AF512" s="85"/>
      <c r="AG512" s="85"/>
      <c r="AH512" s="85"/>
      <c r="AI512" s="85"/>
      <c r="AJ512" s="85"/>
      <c r="AK512" s="85"/>
      <c r="AL512" s="85"/>
      <c r="AM512" s="85"/>
    </row>
    <row r="513">
      <c r="A513" s="85"/>
      <c r="B513" s="84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  <c r="AC513" s="85"/>
      <c r="AD513" s="85"/>
      <c r="AE513" s="85"/>
      <c r="AF513" s="85"/>
      <c r="AG513" s="85"/>
      <c r="AH513" s="85"/>
      <c r="AI513" s="85"/>
      <c r="AJ513" s="85"/>
      <c r="AK513" s="85"/>
      <c r="AL513" s="85"/>
      <c r="AM513" s="85"/>
    </row>
    <row r="514">
      <c r="A514" s="85"/>
      <c r="B514" s="84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  <c r="AC514" s="85"/>
      <c r="AD514" s="85"/>
      <c r="AE514" s="85"/>
      <c r="AF514" s="85"/>
      <c r="AG514" s="85"/>
      <c r="AH514" s="85"/>
      <c r="AI514" s="85"/>
      <c r="AJ514" s="85"/>
      <c r="AK514" s="85"/>
      <c r="AL514" s="85"/>
      <c r="AM514" s="85"/>
    </row>
    <row r="515">
      <c r="A515" s="85"/>
      <c r="B515" s="84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  <c r="AC515" s="85"/>
      <c r="AD515" s="85"/>
      <c r="AE515" s="85"/>
      <c r="AF515" s="85"/>
      <c r="AG515" s="85"/>
      <c r="AH515" s="85"/>
      <c r="AI515" s="85"/>
      <c r="AJ515" s="85"/>
      <c r="AK515" s="85"/>
      <c r="AL515" s="85"/>
      <c r="AM515" s="85"/>
    </row>
    <row r="516">
      <c r="A516" s="85"/>
      <c r="B516" s="84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  <c r="AC516" s="85"/>
      <c r="AD516" s="85"/>
      <c r="AE516" s="85"/>
      <c r="AF516" s="85"/>
      <c r="AG516" s="85"/>
      <c r="AH516" s="85"/>
      <c r="AI516" s="85"/>
      <c r="AJ516" s="85"/>
      <c r="AK516" s="85"/>
      <c r="AL516" s="85"/>
      <c r="AM516" s="85"/>
    </row>
    <row r="517">
      <c r="A517" s="85"/>
      <c r="B517" s="84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  <c r="AC517" s="85"/>
      <c r="AD517" s="85"/>
      <c r="AE517" s="85"/>
      <c r="AF517" s="85"/>
      <c r="AG517" s="85"/>
      <c r="AH517" s="85"/>
      <c r="AI517" s="85"/>
      <c r="AJ517" s="85"/>
      <c r="AK517" s="85"/>
      <c r="AL517" s="85"/>
      <c r="AM517" s="85"/>
    </row>
    <row r="518">
      <c r="A518" s="85"/>
      <c r="B518" s="84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  <c r="AC518" s="85"/>
      <c r="AD518" s="85"/>
      <c r="AE518" s="85"/>
      <c r="AF518" s="85"/>
      <c r="AG518" s="85"/>
      <c r="AH518" s="85"/>
      <c r="AI518" s="85"/>
      <c r="AJ518" s="85"/>
      <c r="AK518" s="85"/>
      <c r="AL518" s="85"/>
      <c r="AM518" s="85"/>
    </row>
    <row r="519">
      <c r="A519" s="85"/>
      <c r="B519" s="84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  <c r="AC519" s="85"/>
      <c r="AD519" s="85"/>
      <c r="AE519" s="85"/>
      <c r="AF519" s="85"/>
      <c r="AG519" s="85"/>
      <c r="AH519" s="85"/>
      <c r="AI519" s="85"/>
      <c r="AJ519" s="85"/>
      <c r="AK519" s="85"/>
      <c r="AL519" s="85"/>
      <c r="AM519" s="85"/>
    </row>
    <row r="520">
      <c r="A520" s="85"/>
      <c r="B520" s="84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  <c r="AC520" s="85"/>
      <c r="AD520" s="85"/>
      <c r="AE520" s="85"/>
      <c r="AF520" s="85"/>
      <c r="AG520" s="85"/>
      <c r="AH520" s="85"/>
      <c r="AI520" s="85"/>
      <c r="AJ520" s="85"/>
      <c r="AK520" s="85"/>
      <c r="AL520" s="85"/>
      <c r="AM520" s="85"/>
    </row>
    <row r="521">
      <c r="A521" s="85"/>
      <c r="B521" s="84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  <c r="AC521" s="85"/>
      <c r="AD521" s="85"/>
      <c r="AE521" s="85"/>
      <c r="AF521" s="85"/>
      <c r="AG521" s="85"/>
      <c r="AH521" s="85"/>
      <c r="AI521" s="85"/>
      <c r="AJ521" s="85"/>
      <c r="AK521" s="85"/>
      <c r="AL521" s="85"/>
      <c r="AM521" s="85"/>
    </row>
    <row r="522">
      <c r="A522" s="85"/>
      <c r="B522" s="84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  <c r="AC522" s="85"/>
      <c r="AD522" s="85"/>
      <c r="AE522" s="85"/>
      <c r="AF522" s="85"/>
      <c r="AG522" s="85"/>
      <c r="AH522" s="85"/>
      <c r="AI522" s="85"/>
      <c r="AJ522" s="85"/>
      <c r="AK522" s="85"/>
      <c r="AL522" s="85"/>
      <c r="AM522" s="85"/>
    </row>
    <row r="523">
      <c r="A523" s="85"/>
      <c r="B523" s="84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  <c r="AC523" s="85"/>
      <c r="AD523" s="85"/>
      <c r="AE523" s="85"/>
      <c r="AF523" s="85"/>
      <c r="AG523" s="85"/>
      <c r="AH523" s="85"/>
      <c r="AI523" s="85"/>
      <c r="AJ523" s="85"/>
      <c r="AK523" s="85"/>
      <c r="AL523" s="85"/>
      <c r="AM523" s="85"/>
    </row>
    <row r="524">
      <c r="A524" s="85"/>
      <c r="B524" s="84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  <c r="AC524" s="85"/>
      <c r="AD524" s="85"/>
      <c r="AE524" s="85"/>
      <c r="AF524" s="85"/>
      <c r="AG524" s="85"/>
      <c r="AH524" s="85"/>
      <c r="AI524" s="85"/>
      <c r="AJ524" s="85"/>
      <c r="AK524" s="85"/>
      <c r="AL524" s="85"/>
      <c r="AM524" s="85"/>
    </row>
    <row r="525">
      <c r="A525" s="85"/>
      <c r="B525" s="84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  <c r="AC525" s="85"/>
      <c r="AD525" s="85"/>
      <c r="AE525" s="85"/>
      <c r="AF525" s="85"/>
      <c r="AG525" s="85"/>
      <c r="AH525" s="85"/>
      <c r="AI525" s="85"/>
      <c r="AJ525" s="85"/>
      <c r="AK525" s="85"/>
      <c r="AL525" s="85"/>
      <c r="AM525" s="85"/>
    </row>
    <row r="526">
      <c r="A526" s="85"/>
      <c r="B526" s="84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  <c r="AC526" s="85"/>
      <c r="AD526" s="85"/>
      <c r="AE526" s="85"/>
      <c r="AF526" s="85"/>
      <c r="AG526" s="85"/>
      <c r="AH526" s="85"/>
      <c r="AI526" s="85"/>
      <c r="AJ526" s="85"/>
      <c r="AK526" s="85"/>
      <c r="AL526" s="85"/>
      <c r="AM526" s="85"/>
    </row>
    <row r="527">
      <c r="A527" s="85"/>
      <c r="B527" s="84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  <c r="AC527" s="85"/>
      <c r="AD527" s="85"/>
      <c r="AE527" s="85"/>
      <c r="AF527" s="85"/>
      <c r="AG527" s="85"/>
      <c r="AH527" s="85"/>
      <c r="AI527" s="85"/>
      <c r="AJ527" s="85"/>
      <c r="AK527" s="85"/>
      <c r="AL527" s="85"/>
      <c r="AM527" s="85"/>
    </row>
    <row r="528">
      <c r="A528" s="85"/>
      <c r="B528" s="84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  <c r="AC528" s="85"/>
      <c r="AD528" s="85"/>
      <c r="AE528" s="85"/>
      <c r="AF528" s="85"/>
      <c r="AG528" s="85"/>
      <c r="AH528" s="85"/>
      <c r="AI528" s="85"/>
      <c r="AJ528" s="85"/>
      <c r="AK528" s="85"/>
      <c r="AL528" s="85"/>
      <c r="AM528" s="85"/>
    </row>
    <row r="529">
      <c r="A529" s="85"/>
      <c r="B529" s="84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  <c r="AC529" s="85"/>
      <c r="AD529" s="85"/>
      <c r="AE529" s="85"/>
      <c r="AF529" s="85"/>
      <c r="AG529" s="85"/>
      <c r="AH529" s="85"/>
      <c r="AI529" s="85"/>
      <c r="AJ529" s="85"/>
      <c r="AK529" s="85"/>
      <c r="AL529" s="85"/>
      <c r="AM529" s="85"/>
    </row>
    <row r="530">
      <c r="A530" s="85"/>
      <c r="B530" s="84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5"/>
      <c r="AD530" s="85"/>
      <c r="AE530" s="85"/>
      <c r="AF530" s="85"/>
      <c r="AG530" s="85"/>
      <c r="AH530" s="85"/>
      <c r="AI530" s="85"/>
      <c r="AJ530" s="85"/>
      <c r="AK530" s="85"/>
      <c r="AL530" s="85"/>
      <c r="AM530" s="85"/>
    </row>
    <row r="531">
      <c r="A531" s="85"/>
      <c r="B531" s="84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  <c r="AC531" s="85"/>
      <c r="AD531" s="85"/>
      <c r="AE531" s="85"/>
      <c r="AF531" s="85"/>
      <c r="AG531" s="85"/>
      <c r="AH531" s="85"/>
      <c r="AI531" s="85"/>
      <c r="AJ531" s="85"/>
      <c r="AK531" s="85"/>
      <c r="AL531" s="85"/>
      <c r="AM531" s="85"/>
    </row>
    <row r="532">
      <c r="A532" s="85"/>
      <c r="B532" s="84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  <c r="AC532" s="85"/>
      <c r="AD532" s="85"/>
      <c r="AE532" s="85"/>
      <c r="AF532" s="85"/>
      <c r="AG532" s="85"/>
      <c r="AH532" s="85"/>
      <c r="AI532" s="85"/>
      <c r="AJ532" s="85"/>
      <c r="AK532" s="85"/>
      <c r="AL532" s="85"/>
      <c r="AM532" s="85"/>
    </row>
    <row r="533">
      <c r="A533" s="85"/>
      <c r="B533" s="84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  <c r="AC533" s="85"/>
      <c r="AD533" s="85"/>
      <c r="AE533" s="85"/>
      <c r="AF533" s="85"/>
      <c r="AG533" s="85"/>
      <c r="AH533" s="85"/>
      <c r="AI533" s="85"/>
      <c r="AJ533" s="85"/>
      <c r="AK533" s="85"/>
      <c r="AL533" s="85"/>
      <c r="AM533" s="85"/>
    </row>
    <row r="534">
      <c r="A534" s="85"/>
      <c r="B534" s="84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  <c r="AC534" s="85"/>
      <c r="AD534" s="85"/>
      <c r="AE534" s="85"/>
      <c r="AF534" s="85"/>
      <c r="AG534" s="85"/>
      <c r="AH534" s="85"/>
      <c r="AI534" s="85"/>
      <c r="AJ534" s="85"/>
      <c r="AK534" s="85"/>
      <c r="AL534" s="85"/>
      <c r="AM534" s="85"/>
    </row>
    <row r="535">
      <c r="A535" s="85"/>
      <c r="B535" s="84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</row>
    <row r="536">
      <c r="A536" s="85"/>
      <c r="B536" s="84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  <c r="AC536" s="85"/>
      <c r="AD536" s="85"/>
      <c r="AE536" s="85"/>
      <c r="AF536" s="85"/>
      <c r="AG536" s="85"/>
      <c r="AH536" s="85"/>
      <c r="AI536" s="85"/>
      <c r="AJ536" s="85"/>
      <c r="AK536" s="85"/>
      <c r="AL536" s="85"/>
      <c r="AM536" s="85"/>
    </row>
    <row r="537">
      <c r="A537" s="85"/>
      <c r="B537" s="84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  <c r="AC537" s="85"/>
      <c r="AD537" s="85"/>
      <c r="AE537" s="85"/>
      <c r="AF537" s="85"/>
      <c r="AG537" s="85"/>
      <c r="AH537" s="85"/>
      <c r="AI537" s="85"/>
      <c r="AJ537" s="85"/>
      <c r="AK537" s="85"/>
      <c r="AL537" s="85"/>
      <c r="AM537" s="85"/>
    </row>
    <row r="538">
      <c r="A538" s="85"/>
      <c r="B538" s="84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  <c r="AC538" s="85"/>
      <c r="AD538" s="85"/>
      <c r="AE538" s="85"/>
      <c r="AF538" s="85"/>
      <c r="AG538" s="85"/>
      <c r="AH538" s="85"/>
      <c r="AI538" s="85"/>
      <c r="AJ538" s="85"/>
      <c r="AK538" s="85"/>
      <c r="AL538" s="85"/>
      <c r="AM538" s="85"/>
    </row>
    <row r="539">
      <c r="A539" s="85"/>
      <c r="B539" s="84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  <c r="AC539" s="85"/>
      <c r="AD539" s="85"/>
      <c r="AE539" s="85"/>
      <c r="AF539" s="85"/>
      <c r="AG539" s="85"/>
      <c r="AH539" s="85"/>
      <c r="AI539" s="85"/>
      <c r="AJ539" s="85"/>
      <c r="AK539" s="85"/>
      <c r="AL539" s="85"/>
      <c r="AM539" s="85"/>
    </row>
    <row r="540">
      <c r="A540" s="85"/>
      <c r="B540" s="84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  <c r="AB540" s="85"/>
      <c r="AC540" s="85"/>
      <c r="AD540" s="85"/>
      <c r="AE540" s="85"/>
      <c r="AF540" s="85"/>
      <c r="AG540" s="85"/>
      <c r="AH540" s="85"/>
      <c r="AI540" s="85"/>
      <c r="AJ540" s="85"/>
      <c r="AK540" s="85"/>
      <c r="AL540" s="85"/>
      <c r="AM540" s="85"/>
    </row>
    <row r="541">
      <c r="A541" s="85"/>
      <c r="B541" s="84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  <c r="AC541" s="85"/>
      <c r="AD541" s="85"/>
      <c r="AE541" s="85"/>
      <c r="AF541" s="85"/>
      <c r="AG541" s="85"/>
      <c r="AH541" s="85"/>
      <c r="AI541" s="85"/>
      <c r="AJ541" s="85"/>
      <c r="AK541" s="85"/>
      <c r="AL541" s="85"/>
      <c r="AM541" s="85"/>
    </row>
    <row r="542">
      <c r="A542" s="85"/>
      <c r="B542" s="84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  <c r="AC542" s="85"/>
      <c r="AD542" s="85"/>
      <c r="AE542" s="85"/>
      <c r="AF542" s="85"/>
      <c r="AG542" s="85"/>
      <c r="AH542" s="85"/>
      <c r="AI542" s="85"/>
      <c r="AJ542" s="85"/>
      <c r="AK542" s="85"/>
      <c r="AL542" s="85"/>
      <c r="AM542" s="85"/>
    </row>
    <row r="543">
      <c r="A543" s="85"/>
      <c r="B543" s="84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  <c r="AC543" s="85"/>
      <c r="AD543" s="85"/>
      <c r="AE543" s="85"/>
      <c r="AF543" s="85"/>
      <c r="AG543" s="85"/>
      <c r="AH543" s="85"/>
      <c r="AI543" s="85"/>
      <c r="AJ543" s="85"/>
      <c r="AK543" s="85"/>
      <c r="AL543" s="85"/>
      <c r="AM543" s="85"/>
    </row>
    <row r="544">
      <c r="A544" s="85"/>
      <c r="B544" s="84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  <c r="AC544" s="85"/>
      <c r="AD544" s="85"/>
      <c r="AE544" s="85"/>
      <c r="AF544" s="85"/>
      <c r="AG544" s="85"/>
      <c r="AH544" s="85"/>
      <c r="AI544" s="85"/>
      <c r="AJ544" s="85"/>
      <c r="AK544" s="85"/>
      <c r="AL544" s="85"/>
      <c r="AM544" s="85"/>
    </row>
    <row r="545">
      <c r="A545" s="85"/>
      <c r="B545" s="84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  <c r="AC545" s="85"/>
      <c r="AD545" s="85"/>
      <c r="AE545" s="85"/>
      <c r="AF545" s="85"/>
      <c r="AG545" s="85"/>
      <c r="AH545" s="85"/>
      <c r="AI545" s="85"/>
      <c r="AJ545" s="85"/>
      <c r="AK545" s="85"/>
      <c r="AL545" s="85"/>
      <c r="AM545" s="85"/>
    </row>
    <row r="546">
      <c r="A546" s="85"/>
      <c r="B546" s="84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  <c r="AC546" s="85"/>
      <c r="AD546" s="85"/>
      <c r="AE546" s="85"/>
      <c r="AF546" s="85"/>
      <c r="AG546" s="85"/>
      <c r="AH546" s="85"/>
      <c r="AI546" s="85"/>
      <c r="AJ546" s="85"/>
      <c r="AK546" s="85"/>
      <c r="AL546" s="85"/>
      <c r="AM546" s="85"/>
    </row>
    <row r="547">
      <c r="A547" s="85"/>
      <c r="B547" s="84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  <c r="AC547" s="85"/>
      <c r="AD547" s="85"/>
      <c r="AE547" s="85"/>
      <c r="AF547" s="85"/>
      <c r="AG547" s="85"/>
      <c r="AH547" s="85"/>
      <c r="AI547" s="85"/>
      <c r="AJ547" s="85"/>
      <c r="AK547" s="85"/>
      <c r="AL547" s="85"/>
      <c r="AM547" s="85"/>
    </row>
    <row r="548">
      <c r="A548" s="85"/>
      <c r="B548" s="84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  <c r="AC548" s="85"/>
      <c r="AD548" s="85"/>
      <c r="AE548" s="85"/>
      <c r="AF548" s="85"/>
      <c r="AG548" s="85"/>
      <c r="AH548" s="85"/>
      <c r="AI548" s="85"/>
      <c r="AJ548" s="85"/>
      <c r="AK548" s="85"/>
      <c r="AL548" s="85"/>
      <c r="AM548" s="85"/>
    </row>
    <row r="549">
      <c r="A549" s="85"/>
      <c r="B549" s="84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  <c r="AC549" s="85"/>
      <c r="AD549" s="85"/>
      <c r="AE549" s="85"/>
      <c r="AF549" s="85"/>
      <c r="AG549" s="85"/>
      <c r="AH549" s="85"/>
      <c r="AI549" s="85"/>
      <c r="AJ549" s="85"/>
      <c r="AK549" s="85"/>
      <c r="AL549" s="85"/>
      <c r="AM549" s="85"/>
    </row>
    <row r="550">
      <c r="A550" s="85"/>
      <c r="B550" s="84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  <c r="AC550" s="85"/>
      <c r="AD550" s="85"/>
      <c r="AE550" s="85"/>
      <c r="AF550" s="85"/>
      <c r="AG550" s="85"/>
      <c r="AH550" s="85"/>
      <c r="AI550" s="85"/>
      <c r="AJ550" s="85"/>
      <c r="AK550" s="85"/>
      <c r="AL550" s="85"/>
      <c r="AM550" s="85"/>
    </row>
    <row r="551">
      <c r="A551" s="85"/>
      <c r="B551" s="84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  <c r="AC551" s="85"/>
      <c r="AD551" s="85"/>
      <c r="AE551" s="85"/>
      <c r="AF551" s="85"/>
      <c r="AG551" s="85"/>
      <c r="AH551" s="85"/>
      <c r="AI551" s="85"/>
      <c r="AJ551" s="85"/>
      <c r="AK551" s="85"/>
      <c r="AL551" s="85"/>
      <c r="AM551" s="85"/>
    </row>
    <row r="552">
      <c r="A552" s="85"/>
      <c r="B552" s="84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  <c r="AC552" s="85"/>
      <c r="AD552" s="85"/>
      <c r="AE552" s="85"/>
      <c r="AF552" s="85"/>
      <c r="AG552" s="85"/>
      <c r="AH552" s="85"/>
      <c r="AI552" s="85"/>
      <c r="AJ552" s="85"/>
      <c r="AK552" s="85"/>
      <c r="AL552" s="85"/>
      <c r="AM552" s="85"/>
    </row>
    <row r="553">
      <c r="A553" s="85"/>
      <c r="B553" s="84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  <c r="AC553" s="85"/>
      <c r="AD553" s="85"/>
      <c r="AE553" s="85"/>
      <c r="AF553" s="85"/>
      <c r="AG553" s="85"/>
      <c r="AH553" s="85"/>
      <c r="AI553" s="85"/>
      <c r="AJ553" s="85"/>
      <c r="AK553" s="85"/>
      <c r="AL553" s="85"/>
      <c r="AM553" s="85"/>
    </row>
    <row r="554">
      <c r="A554" s="85"/>
      <c r="B554" s="84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  <c r="AC554" s="85"/>
      <c r="AD554" s="85"/>
      <c r="AE554" s="85"/>
      <c r="AF554" s="85"/>
      <c r="AG554" s="85"/>
      <c r="AH554" s="85"/>
      <c r="AI554" s="85"/>
      <c r="AJ554" s="85"/>
      <c r="AK554" s="85"/>
      <c r="AL554" s="85"/>
      <c r="AM554" s="85"/>
    </row>
    <row r="555">
      <c r="A555" s="85"/>
      <c r="B555" s="84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  <c r="AC555" s="85"/>
      <c r="AD555" s="85"/>
      <c r="AE555" s="85"/>
      <c r="AF555" s="85"/>
      <c r="AG555" s="85"/>
      <c r="AH555" s="85"/>
      <c r="AI555" s="85"/>
      <c r="AJ555" s="85"/>
      <c r="AK555" s="85"/>
      <c r="AL555" s="85"/>
      <c r="AM555" s="85"/>
    </row>
    <row r="556">
      <c r="A556" s="85"/>
      <c r="B556" s="84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  <c r="AC556" s="85"/>
      <c r="AD556" s="85"/>
      <c r="AE556" s="85"/>
      <c r="AF556" s="85"/>
      <c r="AG556" s="85"/>
      <c r="AH556" s="85"/>
      <c r="AI556" s="85"/>
      <c r="AJ556" s="85"/>
      <c r="AK556" s="85"/>
      <c r="AL556" s="85"/>
      <c r="AM556" s="85"/>
    </row>
    <row r="557">
      <c r="A557" s="85"/>
      <c r="B557" s="84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  <c r="AC557" s="85"/>
      <c r="AD557" s="85"/>
      <c r="AE557" s="85"/>
      <c r="AF557" s="85"/>
      <c r="AG557" s="85"/>
      <c r="AH557" s="85"/>
      <c r="AI557" s="85"/>
      <c r="AJ557" s="85"/>
      <c r="AK557" s="85"/>
      <c r="AL557" s="85"/>
      <c r="AM557" s="85"/>
    </row>
    <row r="558">
      <c r="A558" s="85"/>
      <c r="B558" s="84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  <c r="AC558" s="85"/>
      <c r="AD558" s="85"/>
      <c r="AE558" s="85"/>
      <c r="AF558" s="85"/>
      <c r="AG558" s="85"/>
      <c r="AH558" s="85"/>
      <c r="AI558" s="85"/>
      <c r="AJ558" s="85"/>
      <c r="AK558" s="85"/>
      <c r="AL558" s="85"/>
      <c r="AM558" s="85"/>
    </row>
    <row r="559">
      <c r="A559" s="85"/>
      <c r="B559" s="84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  <c r="AC559" s="85"/>
      <c r="AD559" s="85"/>
      <c r="AE559" s="85"/>
      <c r="AF559" s="85"/>
      <c r="AG559" s="85"/>
      <c r="AH559" s="85"/>
      <c r="AI559" s="85"/>
      <c r="AJ559" s="85"/>
      <c r="AK559" s="85"/>
      <c r="AL559" s="85"/>
      <c r="AM559" s="85"/>
    </row>
    <row r="560">
      <c r="A560" s="85"/>
      <c r="B560" s="84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  <c r="AC560" s="85"/>
      <c r="AD560" s="85"/>
      <c r="AE560" s="85"/>
      <c r="AF560" s="85"/>
      <c r="AG560" s="85"/>
      <c r="AH560" s="85"/>
      <c r="AI560" s="85"/>
      <c r="AJ560" s="85"/>
      <c r="AK560" s="85"/>
      <c r="AL560" s="85"/>
      <c r="AM560" s="85"/>
    </row>
    <row r="561">
      <c r="A561" s="85"/>
      <c r="B561" s="84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  <c r="AC561" s="85"/>
      <c r="AD561" s="85"/>
      <c r="AE561" s="85"/>
      <c r="AF561" s="85"/>
      <c r="AG561" s="85"/>
      <c r="AH561" s="85"/>
      <c r="AI561" s="85"/>
      <c r="AJ561" s="85"/>
      <c r="AK561" s="85"/>
      <c r="AL561" s="85"/>
      <c r="AM561" s="85"/>
    </row>
    <row r="562">
      <c r="A562" s="85"/>
      <c r="B562" s="84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  <c r="AC562" s="85"/>
      <c r="AD562" s="85"/>
      <c r="AE562" s="85"/>
      <c r="AF562" s="85"/>
      <c r="AG562" s="85"/>
      <c r="AH562" s="85"/>
      <c r="AI562" s="85"/>
      <c r="AJ562" s="85"/>
      <c r="AK562" s="85"/>
      <c r="AL562" s="85"/>
      <c r="AM562" s="85"/>
    </row>
    <row r="563">
      <c r="A563" s="85"/>
      <c r="B563" s="84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  <c r="AC563" s="85"/>
      <c r="AD563" s="85"/>
      <c r="AE563" s="85"/>
      <c r="AF563" s="85"/>
      <c r="AG563" s="85"/>
      <c r="AH563" s="85"/>
      <c r="AI563" s="85"/>
      <c r="AJ563" s="85"/>
      <c r="AK563" s="85"/>
      <c r="AL563" s="85"/>
      <c r="AM563" s="85"/>
    </row>
    <row r="564">
      <c r="A564" s="85"/>
      <c r="B564" s="84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  <c r="AC564" s="85"/>
      <c r="AD564" s="85"/>
      <c r="AE564" s="85"/>
      <c r="AF564" s="85"/>
      <c r="AG564" s="85"/>
      <c r="AH564" s="85"/>
      <c r="AI564" s="85"/>
      <c r="AJ564" s="85"/>
      <c r="AK564" s="85"/>
      <c r="AL564" s="85"/>
      <c r="AM564" s="85"/>
    </row>
    <row r="565">
      <c r="A565" s="85"/>
      <c r="B565" s="84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  <c r="AC565" s="85"/>
      <c r="AD565" s="85"/>
      <c r="AE565" s="85"/>
      <c r="AF565" s="85"/>
      <c r="AG565" s="85"/>
      <c r="AH565" s="85"/>
      <c r="AI565" s="85"/>
      <c r="AJ565" s="85"/>
      <c r="AK565" s="85"/>
      <c r="AL565" s="85"/>
      <c r="AM565" s="85"/>
    </row>
    <row r="566">
      <c r="A566" s="85"/>
      <c r="B566" s="84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  <c r="AB566" s="85"/>
      <c r="AC566" s="85"/>
      <c r="AD566" s="85"/>
      <c r="AE566" s="85"/>
      <c r="AF566" s="85"/>
      <c r="AG566" s="85"/>
      <c r="AH566" s="85"/>
      <c r="AI566" s="85"/>
      <c r="AJ566" s="85"/>
      <c r="AK566" s="85"/>
      <c r="AL566" s="85"/>
      <c r="AM566" s="85"/>
    </row>
    <row r="567">
      <c r="A567" s="85"/>
      <c r="B567" s="84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  <c r="AC567" s="85"/>
      <c r="AD567" s="85"/>
      <c r="AE567" s="85"/>
      <c r="AF567" s="85"/>
      <c r="AG567" s="85"/>
      <c r="AH567" s="85"/>
      <c r="AI567" s="85"/>
      <c r="AJ567" s="85"/>
      <c r="AK567" s="85"/>
      <c r="AL567" s="85"/>
      <c r="AM567" s="85"/>
    </row>
    <row r="568">
      <c r="A568" s="85"/>
      <c r="B568" s="84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  <c r="AB568" s="85"/>
      <c r="AC568" s="85"/>
      <c r="AD568" s="85"/>
      <c r="AE568" s="85"/>
      <c r="AF568" s="85"/>
      <c r="AG568" s="85"/>
      <c r="AH568" s="85"/>
      <c r="AI568" s="85"/>
      <c r="AJ568" s="85"/>
      <c r="AK568" s="85"/>
      <c r="AL568" s="85"/>
      <c r="AM568" s="85"/>
    </row>
    <row r="569">
      <c r="A569" s="85"/>
      <c r="B569" s="84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  <c r="AB569" s="85"/>
      <c r="AC569" s="85"/>
      <c r="AD569" s="85"/>
      <c r="AE569" s="85"/>
      <c r="AF569" s="85"/>
      <c r="AG569" s="85"/>
      <c r="AH569" s="85"/>
      <c r="AI569" s="85"/>
      <c r="AJ569" s="85"/>
      <c r="AK569" s="85"/>
      <c r="AL569" s="85"/>
      <c r="AM569" s="85"/>
    </row>
    <row r="570">
      <c r="A570" s="85"/>
      <c r="B570" s="84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  <c r="AC570" s="85"/>
      <c r="AD570" s="85"/>
      <c r="AE570" s="85"/>
      <c r="AF570" s="85"/>
      <c r="AG570" s="85"/>
      <c r="AH570" s="85"/>
      <c r="AI570" s="85"/>
      <c r="AJ570" s="85"/>
      <c r="AK570" s="85"/>
      <c r="AL570" s="85"/>
      <c r="AM570" s="85"/>
    </row>
    <row r="571">
      <c r="A571" s="85"/>
      <c r="B571" s="84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  <c r="AC571" s="85"/>
      <c r="AD571" s="85"/>
      <c r="AE571" s="85"/>
      <c r="AF571" s="85"/>
      <c r="AG571" s="85"/>
      <c r="AH571" s="85"/>
      <c r="AI571" s="85"/>
      <c r="AJ571" s="85"/>
      <c r="AK571" s="85"/>
      <c r="AL571" s="85"/>
      <c r="AM571" s="85"/>
    </row>
    <row r="572">
      <c r="A572" s="85"/>
      <c r="B572" s="84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  <c r="AC572" s="85"/>
      <c r="AD572" s="85"/>
      <c r="AE572" s="85"/>
      <c r="AF572" s="85"/>
      <c r="AG572" s="85"/>
      <c r="AH572" s="85"/>
      <c r="AI572" s="85"/>
      <c r="AJ572" s="85"/>
      <c r="AK572" s="85"/>
      <c r="AL572" s="85"/>
      <c r="AM572" s="85"/>
    </row>
    <row r="573">
      <c r="A573" s="85"/>
      <c r="B573" s="84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</row>
    <row r="574">
      <c r="A574" s="85"/>
      <c r="B574" s="84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  <c r="AC574" s="85"/>
      <c r="AD574" s="85"/>
      <c r="AE574" s="85"/>
      <c r="AF574" s="85"/>
      <c r="AG574" s="85"/>
      <c r="AH574" s="85"/>
      <c r="AI574" s="85"/>
      <c r="AJ574" s="85"/>
      <c r="AK574" s="85"/>
      <c r="AL574" s="85"/>
      <c r="AM574" s="85"/>
    </row>
    <row r="575">
      <c r="A575" s="85"/>
      <c r="B575" s="84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  <c r="AC575" s="85"/>
      <c r="AD575" s="85"/>
      <c r="AE575" s="85"/>
      <c r="AF575" s="85"/>
      <c r="AG575" s="85"/>
      <c r="AH575" s="85"/>
      <c r="AI575" s="85"/>
      <c r="AJ575" s="85"/>
      <c r="AK575" s="85"/>
      <c r="AL575" s="85"/>
      <c r="AM575" s="85"/>
    </row>
    <row r="576">
      <c r="A576" s="85"/>
      <c r="B576" s="84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  <c r="AC576" s="85"/>
      <c r="AD576" s="85"/>
      <c r="AE576" s="85"/>
      <c r="AF576" s="85"/>
      <c r="AG576" s="85"/>
      <c r="AH576" s="85"/>
      <c r="AI576" s="85"/>
      <c r="AJ576" s="85"/>
      <c r="AK576" s="85"/>
      <c r="AL576" s="85"/>
      <c r="AM576" s="85"/>
    </row>
    <row r="577">
      <c r="A577" s="85"/>
      <c r="B577" s="84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  <c r="AC577" s="85"/>
      <c r="AD577" s="85"/>
      <c r="AE577" s="85"/>
      <c r="AF577" s="85"/>
      <c r="AG577" s="85"/>
      <c r="AH577" s="85"/>
      <c r="AI577" s="85"/>
      <c r="AJ577" s="85"/>
      <c r="AK577" s="85"/>
      <c r="AL577" s="85"/>
      <c r="AM577" s="85"/>
    </row>
    <row r="578">
      <c r="A578" s="85"/>
      <c r="B578" s="84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  <c r="AC578" s="85"/>
      <c r="AD578" s="85"/>
      <c r="AE578" s="85"/>
      <c r="AF578" s="85"/>
      <c r="AG578" s="85"/>
      <c r="AH578" s="85"/>
      <c r="AI578" s="85"/>
      <c r="AJ578" s="85"/>
      <c r="AK578" s="85"/>
      <c r="AL578" s="85"/>
      <c r="AM578" s="85"/>
    </row>
    <row r="579">
      <c r="A579" s="85"/>
      <c r="B579" s="84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  <c r="AC579" s="85"/>
      <c r="AD579" s="85"/>
      <c r="AE579" s="85"/>
      <c r="AF579" s="85"/>
      <c r="AG579" s="85"/>
      <c r="AH579" s="85"/>
      <c r="AI579" s="85"/>
      <c r="AJ579" s="85"/>
      <c r="AK579" s="85"/>
      <c r="AL579" s="85"/>
      <c r="AM579" s="85"/>
    </row>
    <row r="580">
      <c r="A580" s="85"/>
      <c r="B580" s="84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  <c r="AC580" s="85"/>
      <c r="AD580" s="85"/>
      <c r="AE580" s="85"/>
      <c r="AF580" s="85"/>
      <c r="AG580" s="85"/>
      <c r="AH580" s="85"/>
      <c r="AI580" s="85"/>
      <c r="AJ580" s="85"/>
      <c r="AK580" s="85"/>
      <c r="AL580" s="85"/>
      <c r="AM580" s="85"/>
    </row>
    <row r="581">
      <c r="A581" s="85"/>
      <c r="B581" s="84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  <c r="AC581" s="85"/>
      <c r="AD581" s="85"/>
      <c r="AE581" s="85"/>
      <c r="AF581" s="85"/>
      <c r="AG581" s="85"/>
      <c r="AH581" s="85"/>
      <c r="AI581" s="85"/>
      <c r="AJ581" s="85"/>
      <c r="AK581" s="85"/>
      <c r="AL581" s="85"/>
      <c r="AM581" s="85"/>
    </row>
    <row r="582">
      <c r="A582" s="85"/>
      <c r="B582" s="84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  <c r="AC582" s="85"/>
      <c r="AD582" s="85"/>
      <c r="AE582" s="85"/>
      <c r="AF582" s="85"/>
      <c r="AG582" s="85"/>
      <c r="AH582" s="85"/>
      <c r="AI582" s="85"/>
      <c r="AJ582" s="85"/>
      <c r="AK582" s="85"/>
      <c r="AL582" s="85"/>
      <c r="AM582" s="85"/>
    </row>
    <row r="583">
      <c r="A583" s="85"/>
      <c r="B583" s="84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  <c r="AC583" s="85"/>
      <c r="AD583" s="85"/>
      <c r="AE583" s="85"/>
      <c r="AF583" s="85"/>
      <c r="AG583" s="85"/>
      <c r="AH583" s="85"/>
      <c r="AI583" s="85"/>
      <c r="AJ583" s="85"/>
      <c r="AK583" s="85"/>
      <c r="AL583" s="85"/>
      <c r="AM583" s="85"/>
    </row>
    <row r="584">
      <c r="A584" s="85"/>
      <c r="B584" s="84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  <c r="AC584" s="85"/>
      <c r="AD584" s="85"/>
      <c r="AE584" s="85"/>
      <c r="AF584" s="85"/>
      <c r="AG584" s="85"/>
      <c r="AH584" s="85"/>
      <c r="AI584" s="85"/>
      <c r="AJ584" s="85"/>
      <c r="AK584" s="85"/>
      <c r="AL584" s="85"/>
      <c r="AM584" s="85"/>
    </row>
    <row r="585">
      <c r="A585" s="85"/>
      <c r="B585" s="84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  <c r="AC585" s="85"/>
      <c r="AD585" s="85"/>
      <c r="AE585" s="85"/>
      <c r="AF585" s="85"/>
      <c r="AG585" s="85"/>
      <c r="AH585" s="85"/>
      <c r="AI585" s="85"/>
      <c r="AJ585" s="85"/>
      <c r="AK585" s="85"/>
      <c r="AL585" s="85"/>
      <c r="AM585" s="85"/>
    </row>
    <row r="586">
      <c r="A586" s="85"/>
      <c r="B586" s="84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  <c r="AC586" s="85"/>
      <c r="AD586" s="85"/>
      <c r="AE586" s="85"/>
      <c r="AF586" s="85"/>
      <c r="AG586" s="85"/>
      <c r="AH586" s="85"/>
      <c r="AI586" s="85"/>
      <c r="AJ586" s="85"/>
      <c r="AK586" s="85"/>
      <c r="AL586" s="85"/>
      <c r="AM586" s="85"/>
    </row>
    <row r="587">
      <c r="A587" s="85"/>
      <c r="B587" s="84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  <c r="AC587" s="85"/>
      <c r="AD587" s="85"/>
      <c r="AE587" s="85"/>
      <c r="AF587" s="85"/>
      <c r="AG587" s="85"/>
      <c r="AH587" s="85"/>
      <c r="AI587" s="85"/>
      <c r="AJ587" s="85"/>
      <c r="AK587" s="85"/>
      <c r="AL587" s="85"/>
      <c r="AM587" s="85"/>
    </row>
    <row r="588">
      <c r="A588" s="85"/>
      <c r="B588" s="84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  <c r="AC588" s="85"/>
      <c r="AD588" s="85"/>
      <c r="AE588" s="85"/>
      <c r="AF588" s="85"/>
      <c r="AG588" s="85"/>
      <c r="AH588" s="85"/>
      <c r="AI588" s="85"/>
      <c r="AJ588" s="85"/>
      <c r="AK588" s="85"/>
      <c r="AL588" s="85"/>
      <c r="AM588" s="85"/>
    </row>
    <row r="589">
      <c r="A589" s="85"/>
      <c r="B589" s="84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  <c r="AC589" s="85"/>
      <c r="AD589" s="85"/>
      <c r="AE589" s="85"/>
      <c r="AF589" s="85"/>
      <c r="AG589" s="85"/>
      <c r="AH589" s="85"/>
      <c r="AI589" s="85"/>
      <c r="AJ589" s="85"/>
      <c r="AK589" s="85"/>
      <c r="AL589" s="85"/>
      <c r="AM589" s="85"/>
    </row>
    <row r="590">
      <c r="A590" s="85"/>
      <c r="B590" s="84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  <c r="AC590" s="85"/>
      <c r="AD590" s="85"/>
      <c r="AE590" s="85"/>
      <c r="AF590" s="85"/>
      <c r="AG590" s="85"/>
      <c r="AH590" s="85"/>
      <c r="AI590" s="85"/>
      <c r="AJ590" s="85"/>
      <c r="AK590" s="85"/>
      <c r="AL590" s="85"/>
      <c r="AM590" s="85"/>
    </row>
    <row r="591">
      <c r="A591" s="85"/>
      <c r="B591" s="84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  <c r="AC591" s="85"/>
      <c r="AD591" s="85"/>
      <c r="AE591" s="85"/>
      <c r="AF591" s="85"/>
      <c r="AG591" s="85"/>
      <c r="AH591" s="85"/>
      <c r="AI591" s="85"/>
      <c r="AJ591" s="85"/>
      <c r="AK591" s="85"/>
      <c r="AL591" s="85"/>
      <c r="AM591" s="85"/>
    </row>
    <row r="592">
      <c r="A592" s="85"/>
      <c r="B592" s="84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  <c r="AC592" s="85"/>
      <c r="AD592" s="85"/>
      <c r="AE592" s="85"/>
      <c r="AF592" s="85"/>
      <c r="AG592" s="85"/>
      <c r="AH592" s="85"/>
      <c r="AI592" s="85"/>
      <c r="AJ592" s="85"/>
      <c r="AK592" s="85"/>
      <c r="AL592" s="85"/>
      <c r="AM592" s="85"/>
    </row>
    <row r="593">
      <c r="A593" s="85"/>
      <c r="B593" s="84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  <c r="AC593" s="85"/>
      <c r="AD593" s="85"/>
      <c r="AE593" s="85"/>
      <c r="AF593" s="85"/>
      <c r="AG593" s="85"/>
      <c r="AH593" s="85"/>
      <c r="AI593" s="85"/>
      <c r="AJ593" s="85"/>
      <c r="AK593" s="85"/>
      <c r="AL593" s="85"/>
      <c r="AM593" s="85"/>
    </row>
    <row r="594">
      <c r="A594" s="85"/>
      <c r="B594" s="84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  <c r="AB594" s="85"/>
      <c r="AC594" s="85"/>
      <c r="AD594" s="85"/>
      <c r="AE594" s="85"/>
      <c r="AF594" s="85"/>
      <c r="AG594" s="85"/>
      <c r="AH594" s="85"/>
      <c r="AI594" s="85"/>
      <c r="AJ594" s="85"/>
      <c r="AK594" s="85"/>
      <c r="AL594" s="85"/>
      <c r="AM594" s="85"/>
    </row>
    <row r="595">
      <c r="A595" s="85"/>
      <c r="B595" s="84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  <c r="AB595" s="85"/>
      <c r="AC595" s="85"/>
      <c r="AD595" s="85"/>
      <c r="AE595" s="85"/>
      <c r="AF595" s="85"/>
      <c r="AG595" s="85"/>
      <c r="AH595" s="85"/>
      <c r="AI595" s="85"/>
      <c r="AJ595" s="85"/>
      <c r="AK595" s="85"/>
      <c r="AL595" s="85"/>
      <c r="AM595" s="85"/>
    </row>
    <row r="596">
      <c r="A596" s="85"/>
      <c r="B596" s="84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  <c r="AB596" s="85"/>
      <c r="AC596" s="85"/>
      <c r="AD596" s="85"/>
      <c r="AE596" s="85"/>
      <c r="AF596" s="85"/>
      <c r="AG596" s="85"/>
      <c r="AH596" s="85"/>
      <c r="AI596" s="85"/>
      <c r="AJ596" s="85"/>
      <c r="AK596" s="85"/>
      <c r="AL596" s="85"/>
      <c r="AM596" s="85"/>
    </row>
    <row r="597">
      <c r="A597" s="85"/>
      <c r="B597" s="84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  <c r="AC597" s="85"/>
      <c r="AD597" s="85"/>
      <c r="AE597" s="85"/>
      <c r="AF597" s="85"/>
      <c r="AG597" s="85"/>
      <c r="AH597" s="85"/>
      <c r="AI597" s="85"/>
      <c r="AJ597" s="85"/>
      <c r="AK597" s="85"/>
      <c r="AL597" s="85"/>
      <c r="AM597" s="85"/>
    </row>
    <row r="598">
      <c r="A598" s="85"/>
      <c r="B598" s="84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  <c r="AB598" s="85"/>
      <c r="AC598" s="85"/>
      <c r="AD598" s="85"/>
      <c r="AE598" s="85"/>
      <c r="AF598" s="85"/>
      <c r="AG598" s="85"/>
      <c r="AH598" s="85"/>
      <c r="AI598" s="85"/>
      <c r="AJ598" s="85"/>
      <c r="AK598" s="85"/>
      <c r="AL598" s="85"/>
      <c r="AM598" s="85"/>
    </row>
    <row r="599">
      <c r="A599" s="85"/>
      <c r="B599" s="84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  <c r="AB599" s="85"/>
      <c r="AC599" s="85"/>
      <c r="AD599" s="85"/>
      <c r="AE599" s="85"/>
      <c r="AF599" s="85"/>
      <c r="AG599" s="85"/>
      <c r="AH599" s="85"/>
      <c r="AI599" s="85"/>
      <c r="AJ599" s="85"/>
      <c r="AK599" s="85"/>
      <c r="AL599" s="85"/>
      <c r="AM599" s="85"/>
    </row>
    <row r="600">
      <c r="A600" s="85"/>
      <c r="B600" s="84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  <c r="AB600" s="85"/>
      <c r="AC600" s="85"/>
      <c r="AD600" s="85"/>
      <c r="AE600" s="85"/>
      <c r="AF600" s="85"/>
      <c r="AG600" s="85"/>
      <c r="AH600" s="85"/>
      <c r="AI600" s="85"/>
      <c r="AJ600" s="85"/>
      <c r="AK600" s="85"/>
      <c r="AL600" s="85"/>
      <c r="AM600" s="85"/>
    </row>
    <row r="601">
      <c r="A601" s="85"/>
      <c r="B601" s="84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  <c r="AB601" s="85"/>
      <c r="AC601" s="85"/>
      <c r="AD601" s="85"/>
      <c r="AE601" s="85"/>
      <c r="AF601" s="85"/>
      <c r="AG601" s="85"/>
      <c r="AH601" s="85"/>
      <c r="AI601" s="85"/>
      <c r="AJ601" s="85"/>
      <c r="AK601" s="85"/>
      <c r="AL601" s="85"/>
      <c r="AM601" s="85"/>
    </row>
    <row r="602">
      <c r="A602" s="85"/>
      <c r="B602" s="84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  <c r="AB602" s="85"/>
      <c r="AC602" s="85"/>
      <c r="AD602" s="85"/>
      <c r="AE602" s="85"/>
      <c r="AF602" s="85"/>
      <c r="AG602" s="85"/>
      <c r="AH602" s="85"/>
      <c r="AI602" s="85"/>
      <c r="AJ602" s="85"/>
      <c r="AK602" s="85"/>
      <c r="AL602" s="85"/>
      <c r="AM602" s="85"/>
    </row>
    <row r="603">
      <c r="A603" s="85"/>
      <c r="B603" s="84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  <c r="AB603" s="85"/>
      <c r="AC603" s="85"/>
      <c r="AD603" s="85"/>
      <c r="AE603" s="85"/>
      <c r="AF603" s="85"/>
      <c r="AG603" s="85"/>
      <c r="AH603" s="85"/>
      <c r="AI603" s="85"/>
      <c r="AJ603" s="85"/>
      <c r="AK603" s="85"/>
      <c r="AL603" s="85"/>
      <c r="AM603" s="85"/>
    </row>
    <row r="604">
      <c r="A604" s="85"/>
      <c r="B604" s="84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  <c r="AB604" s="85"/>
      <c r="AC604" s="85"/>
      <c r="AD604" s="85"/>
      <c r="AE604" s="85"/>
      <c r="AF604" s="85"/>
      <c r="AG604" s="85"/>
      <c r="AH604" s="85"/>
      <c r="AI604" s="85"/>
      <c r="AJ604" s="85"/>
      <c r="AK604" s="85"/>
      <c r="AL604" s="85"/>
      <c r="AM604" s="85"/>
    </row>
    <row r="605">
      <c r="A605" s="85"/>
      <c r="B605" s="84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  <c r="AB605" s="85"/>
      <c r="AC605" s="85"/>
      <c r="AD605" s="85"/>
      <c r="AE605" s="85"/>
      <c r="AF605" s="85"/>
      <c r="AG605" s="85"/>
      <c r="AH605" s="85"/>
      <c r="AI605" s="85"/>
      <c r="AJ605" s="85"/>
      <c r="AK605" s="85"/>
      <c r="AL605" s="85"/>
      <c r="AM605" s="85"/>
    </row>
    <row r="606">
      <c r="A606" s="85"/>
      <c r="B606" s="84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  <c r="AB606" s="85"/>
      <c r="AC606" s="85"/>
      <c r="AD606" s="85"/>
      <c r="AE606" s="85"/>
      <c r="AF606" s="85"/>
      <c r="AG606" s="85"/>
      <c r="AH606" s="85"/>
      <c r="AI606" s="85"/>
      <c r="AJ606" s="85"/>
      <c r="AK606" s="85"/>
      <c r="AL606" s="85"/>
      <c r="AM606" s="85"/>
    </row>
    <row r="607">
      <c r="A607" s="85"/>
      <c r="B607" s="84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  <c r="AB607" s="85"/>
      <c r="AC607" s="85"/>
      <c r="AD607" s="85"/>
      <c r="AE607" s="85"/>
      <c r="AF607" s="85"/>
      <c r="AG607" s="85"/>
      <c r="AH607" s="85"/>
      <c r="AI607" s="85"/>
      <c r="AJ607" s="85"/>
      <c r="AK607" s="85"/>
      <c r="AL607" s="85"/>
      <c r="AM607" s="85"/>
    </row>
    <row r="608">
      <c r="A608" s="85"/>
      <c r="B608" s="84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  <c r="AB608" s="85"/>
      <c r="AC608" s="85"/>
      <c r="AD608" s="85"/>
      <c r="AE608" s="85"/>
      <c r="AF608" s="85"/>
      <c r="AG608" s="85"/>
      <c r="AH608" s="85"/>
      <c r="AI608" s="85"/>
      <c r="AJ608" s="85"/>
      <c r="AK608" s="85"/>
      <c r="AL608" s="85"/>
      <c r="AM608" s="85"/>
    </row>
    <row r="609">
      <c r="A609" s="85"/>
      <c r="B609" s="84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  <c r="AB609" s="85"/>
      <c r="AC609" s="85"/>
      <c r="AD609" s="85"/>
      <c r="AE609" s="85"/>
      <c r="AF609" s="85"/>
      <c r="AG609" s="85"/>
      <c r="AH609" s="85"/>
      <c r="AI609" s="85"/>
      <c r="AJ609" s="85"/>
      <c r="AK609" s="85"/>
      <c r="AL609" s="85"/>
      <c r="AM609" s="85"/>
    </row>
    <row r="610">
      <c r="A610" s="85"/>
      <c r="B610" s="84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  <c r="AB610" s="85"/>
      <c r="AC610" s="85"/>
      <c r="AD610" s="85"/>
      <c r="AE610" s="85"/>
      <c r="AF610" s="85"/>
      <c r="AG610" s="85"/>
      <c r="AH610" s="85"/>
      <c r="AI610" s="85"/>
      <c r="AJ610" s="85"/>
      <c r="AK610" s="85"/>
      <c r="AL610" s="85"/>
      <c r="AM610" s="85"/>
    </row>
    <row r="611">
      <c r="A611" s="85"/>
      <c r="B611" s="84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</row>
    <row r="612">
      <c r="A612" s="85"/>
      <c r="B612" s="84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  <c r="AB612" s="85"/>
      <c r="AC612" s="85"/>
      <c r="AD612" s="85"/>
      <c r="AE612" s="85"/>
      <c r="AF612" s="85"/>
      <c r="AG612" s="85"/>
      <c r="AH612" s="85"/>
      <c r="AI612" s="85"/>
      <c r="AJ612" s="85"/>
      <c r="AK612" s="85"/>
      <c r="AL612" s="85"/>
      <c r="AM612" s="85"/>
    </row>
    <row r="613">
      <c r="A613" s="85"/>
      <c r="B613" s="84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  <c r="AB613" s="85"/>
      <c r="AC613" s="85"/>
      <c r="AD613" s="85"/>
      <c r="AE613" s="85"/>
      <c r="AF613" s="85"/>
      <c r="AG613" s="85"/>
      <c r="AH613" s="85"/>
      <c r="AI613" s="85"/>
      <c r="AJ613" s="85"/>
      <c r="AK613" s="85"/>
      <c r="AL613" s="85"/>
      <c r="AM613" s="85"/>
    </row>
    <row r="614">
      <c r="A614" s="85"/>
      <c r="B614" s="84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  <c r="AB614" s="85"/>
      <c r="AC614" s="85"/>
      <c r="AD614" s="85"/>
      <c r="AE614" s="85"/>
      <c r="AF614" s="85"/>
      <c r="AG614" s="85"/>
      <c r="AH614" s="85"/>
      <c r="AI614" s="85"/>
      <c r="AJ614" s="85"/>
      <c r="AK614" s="85"/>
      <c r="AL614" s="85"/>
      <c r="AM614" s="85"/>
    </row>
    <row r="615">
      <c r="A615" s="85"/>
      <c r="B615" s="84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  <c r="AB615" s="85"/>
      <c r="AC615" s="85"/>
      <c r="AD615" s="85"/>
      <c r="AE615" s="85"/>
      <c r="AF615" s="85"/>
      <c r="AG615" s="85"/>
      <c r="AH615" s="85"/>
      <c r="AI615" s="85"/>
      <c r="AJ615" s="85"/>
      <c r="AK615" s="85"/>
      <c r="AL615" s="85"/>
      <c r="AM615" s="85"/>
    </row>
    <row r="616">
      <c r="A616" s="85"/>
      <c r="B616" s="84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  <c r="AB616" s="85"/>
      <c r="AC616" s="85"/>
      <c r="AD616" s="85"/>
      <c r="AE616" s="85"/>
      <c r="AF616" s="85"/>
      <c r="AG616" s="85"/>
      <c r="AH616" s="85"/>
      <c r="AI616" s="85"/>
      <c r="AJ616" s="85"/>
      <c r="AK616" s="85"/>
      <c r="AL616" s="85"/>
      <c r="AM616" s="85"/>
    </row>
    <row r="617">
      <c r="A617" s="85"/>
      <c r="B617" s="84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  <c r="AB617" s="85"/>
      <c r="AC617" s="85"/>
      <c r="AD617" s="85"/>
      <c r="AE617" s="85"/>
      <c r="AF617" s="85"/>
      <c r="AG617" s="85"/>
      <c r="AH617" s="85"/>
      <c r="AI617" s="85"/>
      <c r="AJ617" s="85"/>
      <c r="AK617" s="85"/>
      <c r="AL617" s="85"/>
      <c r="AM617" s="85"/>
    </row>
    <row r="618">
      <c r="A618" s="85"/>
      <c r="B618" s="84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  <c r="AB618" s="85"/>
      <c r="AC618" s="85"/>
      <c r="AD618" s="85"/>
      <c r="AE618" s="85"/>
      <c r="AF618" s="85"/>
      <c r="AG618" s="85"/>
      <c r="AH618" s="85"/>
      <c r="AI618" s="85"/>
      <c r="AJ618" s="85"/>
      <c r="AK618" s="85"/>
      <c r="AL618" s="85"/>
      <c r="AM618" s="85"/>
    </row>
    <row r="619">
      <c r="A619" s="85"/>
      <c r="B619" s="84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  <c r="AC619" s="85"/>
      <c r="AD619" s="85"/>
      <c r="AE619" s="85"/>
      <c r="AF619" s="85"/>
      <c r="AG619" s="85"/>
      <c r="AH619" s="85"/>
      <c r="AI619" s="85"/>
      <c r="AJ619" s="85"/>
      <c r="AK619" s="85"/>
      <c r="AL619" s="85"/>
      <c r="AM619" s="85"/>
    </row>
    <row r="620">
      <c r="A620" s="85"/>
      <c r="B620" s="84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  <c r="AB620" s="85"/>
      <c r="AC620" s="85"/>
      <c r="AD620" s="85"/>
      <c r="AE620" s="85"/>
      <c r="AF620" s="85"/>
      <c r="AG620" s="85"/>
      <c r="AH620" s="85"/>
      <c r="AI620" s="85"/>
      <c r="AJ620" s="85"/>
      <c r="AK620" s="85"/>
      <c r="AL620" s="85"/>
      <c r="AM620" s="85"/>
    </row>
    <row r="621">
      <c r="A621" s="85"/>
      <c r="B621" s="84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  <c r="AB621" s="85"/>
      <c r="AC621" s="85"/>
      <c r="AD621" s="85"/>
      <c r="AE621" s="85"/>
      <c r="AF621" s="85"/>
      <c r="AG621" s="85"/>
      <c r="AH621" s="85"/>
      <c r="AI621" s="85"/>
      <c r="AJ621" s="85"/>
      <c r="AK621" s="85"/>
      <c r="AL621" s="85"/>
      <c r="AM621" s="85"/>
    </row>
    <row r="622">
      <c r="A622" s="85"/>
      <c r="B622" s="84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  <c r="AB622" s="85"/>
      <c r="AC622" s="85"/>
      <c r="AD622" s="85"/>
      <c r="AE622" s="85"/>
      <c r="AF622" s="85"/>
      <c r="AG622" s="85"/>
      <c r="AH622" s="85"/>
      <c r="AI622" s="85"/>
      <c r="AJ622" s="85"/>
      <c r="AK622" s="85"/>
      <c r="AL622" s="85"/>
      <c r="AM622" s="85"/>
    </row>
    <row r="623">
      <c r="A623" s="85"/>
      <c r="B623" s="84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  <c r="AB623" s="85"/>
      <c r="AC623" s="85"/>
      <c r="AD623" s="85"/>
      <c r="AE623" s="85"/>
      <c r="AF623" s="85"/>
      <c r="AG623" s="85"/>
      <c r="AH623" s="85"/>
      <c r="AI623" s="85"/>
      <c r="AJ623" s="85"/>
      <c r="AK623" s="85"/>
      <c r="AL623" s="85"/>
      <c r="AM623" s="85"/>
    </row>
    <row r="624">
      <c r="A624" s="85"/>
      <c r="B624" s="84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  <c r="AB624" s="85"/>
      <c r="AC624" s="85"/>
      <c r="AD624" s="85"/>
      <c r="AE624" s="85"/>
      <c r="AF624" s="85"/>
      <c r="AG624" s="85"/>
      <c r="AH624" s="85"/>
      <c r="AI624" s="85"/>
      <c r="AJ624" s="85"/>
      <c r="AK624" s="85"/>
      <c r="AL624" s="85"/>
      <c r="AM624" s="85"/>
    </row>
    <row r="625">
      <c r="A625" s="85"/>
      <c r="B625" s="84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  <c r="AB625" s="85"/>
      <c r="AC625" s="85"/>
      <c r="AD625" s="85"/>
      <c r="AE625" s="85"/>
      <c r="AF625" s="85"/>
      <c r="AG625" s="85"/>
      <c r="AH625" s="85"/>
      <c r="AI625" s="85"/>
      <c r="AJ625" s="85"/>
      <c r="AK625" s="85"/>
      <c r="AL625" s="85"/>
      <c r="AM625" s="85"/>
    </row>
    <row r="626">
      <c r="A626" s="85"/>
      <c r="B626" s="84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  <c r="AB626" s="85"/>
      <c r="AC626" s="85"/>
      <c r="AD626" s="85"/>
      <c r="AE626" s="85"/>
      <c r="AF626" s="85"/>
      <c r="AG626" s="85"/>
      <c r="AH626" s="85"/>
      <c r="AI626" s="85"/>
      <c r="AJ626" s="85"/>
      <c r="AK626" s="85"/>
      <c r="AL626" s="85"/>
      <c r="AM626" s="85"/>
    </row>
    <row r="627">
      <c r="A627" s="85"/>
      <c r="B627" s="84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  <c r="AB627" s="85"/>
      <c r="AC627" s="85"/>
      <c r="AD627" s="85"/>
      <c r="AE627" s="85"/>
      <c r="AF627" s="85"/>
      <c r="AG627" s="85"/>
      <c r="AH627" s="85"/>
      <c r="AI627" s="85"/>
      <c r="AJ627" s="85"/>
      <c r="AK627" s="85"/>
      <c r="AL627" s="85"/>
      <c r="AM627" s="85"/>
    </row>
    <row r="628">
      <c r="A628" s="85"/>
      <c r="B628" s="84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  <c r="AB628" s="85"/>
      <c r="AC628" s="85"/>
      <c r="AD628" s="85"/>
      <c r="AE628" s="85"/>
      <c r="AF628" s="85"/>
      <c r="AG628" s="85"/>
      <c r="AH628" s="85"/>
      <c r="AI628" s="85"/>
      <c r="AJ628" s="85"/>
      <c r="AK628" s="85"/>
      <c r="AL628" s="85"/>
      <c r="AM628" s="85"/>
    </row>
    <row r="629">
      <c r="A629" s="85"/>
      <c r="B629" s="84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  <c r="AB629" s="85"/>
      <c r="AC629" s="85"/>
      <c r="AD629" s="85"/>
      <c r="AE629" s="85"/>
      <c r="AF629" s="85"/>
      <c r="AG629" s="85"/>
      <c r="AH629" s="85"/>
      <c r="AI629" s="85"/>
      <c r="AJ629" s="85"/>
      <c r="AK629" s="85"/>
      <c r="AL629" s="85"/>
      <c r="AM629" s="85"/>
    </row>
    <row r="630">
      <c r="A630" s="85"/>
      <c r="B630" s="84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  <c r="AB630" s="85"/>
      <c r="AC630" s="85"/>
      <c r="AD630" s="85"/>
      <c r="AE630" s="85"/>
      <c r="AF630" s="85"/>
      <c r="AG630" s="85"/>
      <c r="AH630" s="85"/>
      <c r="AI630" s="85"/>
      <c r="AJ630" s="85"/>
      <c r="AK630" s="85"/>
      <c r="AL630" s="85"/>
      <c r="AM630" s="85"/>
    </row>
    <row r="631">
      <c r="A631" s="85"/>
      <c r="B631" s="84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  <c r="AB631" s="85"/>
      <c r="AC631" s="85"/>
      <c r="AD631" s="85"/>
      <c r="AE631" s="85"/>
      <c r="AF631" s="85"/>
      <c r="AG631" s="85"/>
      <c r="AH631" s="85"/>
      <c r="AI631" s="85"/>
      <c r="AJ631" s="85"/>
      <c r="AK631" s="85"/>
      <c r="AL631" s="85"/>
      <c r="AM631" s="85"/>
    </row>
    <row r="632">
      <c r="A632" s="85"/>
      <c r="B632" s="84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  <c r="AB632" s="85"/>
      <c r="AC632" s="85"/>
      <c r="AD632" s="85"/>
      <c r="AE632" s="85"/>
      <c r="AF632" s="85"/>
      <c r="AG632" s="85"/>
      <c r="AH632" s="85"/>
      <c r="AI632" s="85"/>
      <c r="AJ632" s="85"/>
      <c r="AK632" s="85"/>
      <c r="AL632" s="85"/>
      <c r="AM632" s="85"/>
    </row>
    <row r="633">
      <c r="A633" s="85"/>
      <c r="B633" s="84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  <c r="AB633" s="85"/>
      <c r="AC633" s="85"/>
      <c r="AD633" s="85"/>
      <c r="AE633" s="85"/>
      <c r="AF633" s="85"/>
      <c r="AG633" s="85"/>
      <c r="AH633" s="85"/>
      <c r="AI633" s="85"/>
      <c r="AJ633" s="85"/>
      <c r="AK633" s="85"/>
      <c r="AL633" s="85"/>
      <c r="AM633" s="85"/>
    </row>
    <row r="634">
      <c r="A634" s="85"/>
      <c r="B634" s="84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  <c r="AB634" s="85"/>
      <c r="AC634" s="85"/>
      <c r="AD634" s="85"/>
      <c r="AE634" s="85"/>
      <c r="AF634" s="85"/>
      <c r="AG634" s="85"/>
      <c r="AH634" s="85"/>
      <c r="AI634" s="85"/>
      <c r="AJ634" s="85"/>
      <c r="AK634" s="85"/>
      <c r="AL634" s="85"/>
      <c r="AM634" s="85"/>
    </row>
    <row r="635">
      <c r="A635" s="85"/>
      <c r="B635" s="84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  <c r="AB635" s="85"/>
      <c r="AC635" s="85"/>
      <c r="AD635" s="85"/>
      <c r="AE635" s="85"/>
      <c r="AF635" s="85"/>
      <c r="AG635" s="85"/>
      <c r="AH635" s="85"/>
      <c r="AI635" s="85"/>
      <c r="AJ635" s="85"/>
      <c r="AK635" s="85"/>
      <c r="AL635" s="85"/>
      <c r="AM635" s="85"/>
    </row>
    <row r="636">
      <c r="A636" s="85"/>
      <c r="B636" s="84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  <c r="AB636" s="85"/>
      <c r="AC636" s="85"/>
      <c r="AD636" s="85"/>
      <c r="AE636" s="85"/>
      <c r="AF636" s="85"/>
      <c r="AG636" s="85"/>
      <c r="AH636" s="85"/>
      <c r="AI636" s="85"/>
      <c r="AJ636" s="85"/>
      <c r="AK636" s="85"/>
      <c r="AL636" s="85"/>
      <c r="AM636" s="85"/>
    </row>
    <row r="637">
      <c r="A637" s="85"/>
      <c r="B637" s="84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  <c r="AB637" s="85"/>
      <c r="AC637" s="85"/>
      <c r="AD637" s="85"/>
      <c r="AE637" s="85"/>
      <c r="AF637" s="85"/>
      <c r="AG637" s="85"/>
      <c r="AH637" s="85"/>
      <c r="AI637" s="85"/>
      <c r="AJ637" s="85"/>
      <c r="AK637" s="85"/>
      <c r="AL637" s="85"/>
      <c r="AM637" s="85"/>
    </row>
    <row r="638">
      <c r="A638" s="85"/>
      <c r="B638" s="84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  <c r="AB638" s="85"/>
      <c r="AC638" s="85"/>
      <c r="AD638" s="85"/>
      <c r="AE638" s="85"/>
      <c r="AF638" s="85"/>
      <c r="AG638" s="85"/>
      <c r="AH638" s="85"/>
      <c r="AI638" s="85"/>
      <c r="AJ638" s="85"/>
      <c r="AK638" s="85"/>
      <c r="AL638" s="85"/>
      <c r="AM638" s="85"/>
    </row>
    <row r="639">
      <c r="A639" s="85"/>
      <c r="B639" s="84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  <c r="AB639" s="85"/>
      <c r="AC639" s="85"/>
      <c r="AD639" s="85"/>
      <c r="AE639" s="85"/>
      <c r="AF639" s="85"/>
      <c r="AG639" s="85"/>
      <c r="AH639" s="85"/>
      <c r="AI639" s="85"/>
      <c r="AJ639" s="85"/>
      <c r="AK639" s="85"/>
      <c r="AL639" s="85"/>
      <c r="AM639" s="85"/>
    </row>
    <row r="640">
      <c r="A640" s="85"/>
      <c r="B640" s="84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  <c r="AB640" s="85"/>
      <c r="AC640" s="85"/>
      <c r="AD640" s="85"/>
      <c r="AE640" s="85"/>
      <c r="AF640" s="85"/>
      <c r="AG640" s="85"/>
      <c r="AH640" s="85"/>
      <c r="AI640" s="85"/>
      <c r="AJ640" s="85"/>
      <c r="AK640" s="85"/>
      <c r="AL640" s="85"/>
      <c r="AM640" s="85"/>
    </row>
    <row r="641">
      <c r="A641" s="85"/>
      <c r="B641" s="84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  <c r="AB641" s="85"/>
      <c r="AC641" s="85"/>
      <c r="AD641" s="85"/>
      <c r="AE641" s="85"/>
      <c r="AF641" s="85"/>
      <c r="AG641" s="85"/>
      <c r="AH641" s="85"/>
      <c r="AI641" s="85"/>
      <c r="AJ641" s="85"/>
      <c r="AK641" s="85"/>
      <c r="AL641" s="85"/>
      <c r="AM641" s="85"/>
    </row>
    <row r="642">
      <c r="A642" s="85"/>
      <c r="B642" s="84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  <c r="AB642" s="85"/>
      <c r="AC642" s="85"/>
      <c r="AD642" s="85"/>
      <c r="AE642" s="85"/>
      <c r="AF642" s="85"/>
      <c r="AG642" s="85"/>
      <c r="AH642" s="85"/>
      <c r="AI642" s="85"/>
      <c r="AJ642" s="85"/>
      <c r="AK642" s="85"/>
      <c r="AL642" s="85"/>
      <c r="AM642" s="85"/>
    </row>
    <row r="643">
      <c r="A643" s="85"/>
      <c r="B643" s="84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  <c r="AB643" s="85"/>
      <c r="AC643" s="85"/>
      <c r="AD643" s="85"/>
      <c r="AE643" s="85"/>
      <c r="AF643" s="85"/>
      <c r="AG643" s="85"/>
      <c r="AH643" s="85"/>
      <c r="AI643" s="85"/>
      <c r="AJ643" s="85"/>
      <c r="AK643" s="85"/>
      <c r="AL643" s="85"/>
      <c r="AM643" s="85"/>
    </row>
    <row r="644">
      <c r="A644" s="85"/>
      <c r="B644" s="84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  <c r="AB644" s="85"/>
      <c r="AC644" s="85"/>
      <c r="AD644" s="85"/>
      <c r="AE644" s="85"/>
      <c r="AF644" s="85"/>
      <c r="AG644" s="85"/>
      <c r="AH644" s="85"/>
      <c r="AI644" s="85"/>
      <c r="AJ644" s="85"/>
      <c r="AK644" s="85"/>
      <c r="AL644" s="85"/>
      <c r="AM644" s="85"/>
    </row>
    <row r="645">
      <c r="A645" s="85"/>
      <c r="B645" s="84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  <c r="AB645" s="85"/>
      <c r="AC645" s="85"/>
      <c r="AD645" s="85"/>
      <c r="AE645" s="85"/>
      <c r="AF645" s="85"/>
      <c r="AG645" s="85"/>
      <c r="AH645" s="85"/>
      <c r="AI645" s="85"/>
      <c r="AJ645" s="85"/>
      <c r="AK645" s="85"/>
      <c r="AL645" s="85"/>
      <c r="AM645" s="85"/>
    </row>
    <row r="646">
      <c r="A646" s="85"/>
      <c r="B646" s="84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  <c r="AB646" s="85"/>
      <c r="AC646" s="85"/>
      <c r="AD646" s="85"/>
      <c r="AE646" s="85"/>
      <c r="AF646" s="85"/>
      <c r="AG646" s="85"/>
      <c r="AH646" s="85"/>
      <c r="AI646" s="85"/>
      <c r="AJ646" s="85"/>
      <c r="AK646" s="85"/>
      <c r="AL646" s="85"/>
      <c r="AM646" s="85"/>
    </row>
    <row r="647">
      <c r="A647" s="85"/>
      <c r="B647" s="84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  <c r="AB647" s="85"/>
      <c r="AC647" s="85"/>
      <c r="AD647" s="85"/>
      <c r="AE647" s="85"/>
      <c r="AF647" s="85"/>
      <c r="AG647" s="85"/>
      <c r="AH647" s="85"/>
      <c r="AI647" s="85"/>
      <c r="AJ647" s="85"/>
      <c r="AK647" s="85"/>
      <c r="AL647" s="85"/>
      <c r="AM647" s="85"/>
    </row>
    <row r="648">
      <c r="A648" s="85"/>
      <c r="B648" s="84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  <c r="AB648" s="85"/>
      <c r="AC648" s="85"/>
      <c r="AD648" s="85"/>
      <c r="AE648" s="85"/>
      <c r="AF648" s="85"/>
      <c r="AG648" s="85"/>
      <c r="AH648" s="85"/>
      <c r="AI648" s="85"/>
      <c r="AJ648" s="85"/>
      <c r="AK648" s="85"/>
      <c r="AL648" s="85"/>
      <c r="AM648" s="85"/>
    </row>
    <row r="649">
      <c r="A649" s="85"/>
      <c r="B649" s="84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</row>
    <row r="650">
      <c r="A650" s="85"/>
      <c r="B650" s="84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  <c r="AC650" s="85"/>
      <c r="AD650" s="85"/>
      <c r="AE650" s="85"/>
      <c r="AF650" s="85"/>
      <c r="AG650" s="85"/>
      <c r="AH650" s="85"/>
      <c r="AI650" s="85"/>
      <c r="AJ650" s="85"/>
      <c r="AK650" s="85"/>
      <c r="AL650" s="85"/>
      <c r="AM650" s="85"/>
    </row>
    <row r="651">
      <c r="A651" s="85"/>
      <c r="B651" s="84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  <c r="AB651" s="85"/>
      <c r="AC651" s="85"/>
      <c r="AD651" s="85"/>
      <c r="AE651" s="85"/>
      <c r="AF651" s="85"/>
      <c r="AG651" s="85"/>
      <c r="AH651" s="85"/>
      <c r="AI651" s="85"/>
      <c r="AJ651" s="85"/>
      <c r="AK651" s="85"/>
      <c r="AL651" s="85"/>
      <c r="AM651" s="85"/>
    </row>
    <row r="652">
      <c r="A652" s="85"/>
      <c r="B652" s="84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  <c r="AB652" s="85"/>
      <c r="AC652" s="85"/>
      <c r="AD652" s="85"/>
      <c r="AE652" s="85"/>
      <c r="AF652" s="85"/>
      <c r="AG652" s="85"/>
      <c r="AH652" s="85"/>
      <c r="AI652" s="85"/>
      <c r="AJ652" s="85"/>
      <c r="AK652" s="85"/>
      <c r="AL652" s="85"/>
      <c r="AM652" s="85"/>
    </row>
    <row r="653">
      <c r="A653" s="85"/>
      <c r="B653" s="84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  <c r="AB653" s="85"/>
      <c r="AC653" s="85"/>
      <c r="AD653" s="85"/>
      <c r="AE653" s="85"/>
      <c r="AF653" s="85"/>
      <c r="AG653" s="85"/>
      <c r="AH653" s="85"/>
      <c r="AI653" s="85"/>
      <c r="AJ653" s="85"/>
      <c r="AK653" s="85"/>
      <c r="AL653" s="85"/>
      <c r="AM653" s="85"/>
    </row>
    <row r="654">
      <c r="A654" s="85"/>
      <c r="B654" s="84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  <c r="AB654" s="85"/>
      <c r="AC654" s="85"/>
      <c r="AD654" s="85"/>
      <c r="AE654" s="85"/>
      <c r="AF654" s="85"/>
      <c r="AG654" s="85"/>
      <c r="AH654" s="85"/>
      <c r="AI654" s="85"/>
      <c r="AJ654" s="85"/>
      <c r="AK654" s="85"/>
      <c r="AL654" s="85"/>
      <c r="AM654" s="85"/>
    </row>
    <row r="655">
      <c r="A655" s="85"/>
      <c r="B655" s="84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  <c r="AB655" s="85"/>
      <c r="AC655" s="85"/>
      <c r="AD655" s="85"/>
      <c r="AE655" s="85"/>
      <c r="AF655" s="85"/>
      <c r="AG655" s="85"/>
      <c r="AH655" s="85"/>
      <c r="AI655" s="85"/>
      <c r="AJ655" s="85"/>
      <c r="AK655" s="85"/>
      <c r="AL655" s="85"/>
      <c r="AM655" s="85"/>
    </row>
    <row r="656">
      <c r="A656" s="85"/>
      <c r="B656" s="84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  <c r="AB656" s="85"/>
      <c r="AC656" s="85"/>
      <c r="AD656" s="85"/>
      <c r="AE656" s="85"/>
      <c r="AF656" s="85"/>
      <c r="AG656" s="85"/>
      <c r="AH656" s="85"/>
      <c r="AI656" s="85"/>
      <c r="AJ656" s="85"/>
      <c r="AK656" s="85"/>
      <c r="AL656" s="85"/>
      <c r="AM656" s="85"/>
    </row>
    <row r="657">
      <c r="A657" s="85"/>
      <c r="B657" s="84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  <c r="AB657" s="85"/>
      <c r="AC657" s="85"/>
      <c r="AD657" s="85"/>
      <c r="AE657" s="85"/>
      <c r="AF657" s="85"/>
      <c r="AG657" s="85"/>
      <c r="AH657" s="85"/>
      <c r="AI657" s="85"/>
      <c r="AJ657" s="85"/>
      <c r="AK657" s="85"/>
      <c r="AL657" s="85"/>
      <c r="AM657" s="85"/>
    </row>
    <row r="658">
      <c r="A658" s="85"/>
      <c r="B658" s="84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  <c r="AB658" s="85"/>
      <c r="AC658" s="85"/>
      <c r="AD658" s="85"/>
      <c r="AE658" s="85"/>
      <c r="AF658" s="85"/>
      <c r="AG658" s="85"/>
      <c r="AH658" s="85"/>
      <c r="AI658" s="85"/>
      <c r="AJ658" s="85"/>
      <c r="AK658" s="85"/>
      <c r="AL658" s="85"/>
      <c r="AM658" s="85"/>
    </row>
    <row r="659">
      <c r="A659" s="85"/>
      <c r="B659" s="84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  <c r="AB659" s="85"/>
      <c r="AC659" s="85"/>
      <c r="AD659" s="85"/>
      <c r="AE659" s="85"/>
      <c r="AF659" s="85"/>
      <c r="AG659" s="85"/>
      <c r="AH659" s="85"/>
      <c r="AI659" s="85"/>
      <c r="AJ659" s="85"/>
      <c r="AK659" s="85"/>
      <c r="AL659" s="85"/>
      <c r="AM659" s="85"/>
    </row>
    <row r="660">
      <c r="A660" s="85"/>
      <c r="B660" s="84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  <c r="AB660" s="85"/>
      <c r="AC660" s="85"/>
      <c r="AD660" s="85"/>
      <c r="AE660" s="85"/>
      <c r="AF660" s="85"/>
      <c r="AG660" s="85"/>
      <c r="AH660" s="85"/>
      <c r="AI660" s="85"/>
      <c r="AJ660" s="85"/>
      <c r="AK660" s="85"/>
      <c r="AL660" s="85"/>
      <c r="AM660" s="85"/>
    </row>
    <row r="661">
      <c r="A661" s="85"/>
      <c r="B661" s="84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  <c r="AB661" s="85"/>
      <c r="AC661" s="85"/>
      <c r="AD661" s="85"/>
      <c r="AE661" s="85"/>
      <c r="AF661" s="85"/>
      <c r="AG661" s="85"/>
      <c r="AH661" s="85"/>
      <c r="AI661" s="85"/>
      <c r="AJ661" s="85"/>
      <c r="AK661" s="85"/>
      <c r="AL661" s="85"/>
      <c r="AM661" s="85"/>
    </row>
    <row r="662">
      <c r="A662" s="85"/>
      <c r="B662" s="84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  <c r="AB662" s="85"/>
      <c r="AC662" s="85"/>
      <c r="AD662" s="85"/>
      <c r="AE662" s="85"/>
      <c r="AF662" s="85"/>
      <c r="AG662" s="85"/>
      <c r="AH662" s="85"/>
      <c r="AI662" s="85"/>
      <c r="AJ662" s="85"/>
      <c r="AK662" s="85"/>
      <c r="AL662" s="85"/>
      <c r="AM662" s="85"/>
    </row>
    <row r="663">
      <c r="A663" s="85"/>
      <c r="B663" s="84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  <c r="AB663" s="85"/>
      <c r="AC663" s="85"/>
      <c r="AD663" s="85"/>
      <c r="AE663" s="85"/>
      <c r="AF663" s="85"/>
      <c r="AG663" s="85"/>
      <c r="AH663" s="85"/>
      <c r="AI663" s="85"/>
      <c r="AJ663" s="85"/>
      <c r="AK663" s="85"/>
      <c r="AL663" s="85"/>
      <c r="AM663" s="85"/>
    </row>
    <row r="664">
      <c r="A664" s="85"/>
      <c r="B664" s="84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  <c r="AB664" s="85"/>
      <c r="AC664" s="85"/>
      <c r="AD664" s="85"/>
      <c r="AE664" s="85"/>
      <c r="AF664" s="85"/>
      <c r="AG664" s="85"/>
      <c r="AH664" s="85"/>
      <c r="AI664" s="85"/>
      <c r="AJ664" s="85"/>
      <c r="AK664" s="85"/>
      <c r="AL664" s="85"/>
      <c r="AM664" s="85"/>
    </row>
    <row r="665">
      <c r="A665" s="85"/>
      <c r="B665" s="84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  <c r="AB665" s="85"/>
      <c r="AC665" s="85"/>
      <c r="AD665" s="85"/>
      <c r="AE665" s="85"/>
      <c r="AF665" s="85"/>
      <c r="AG665" s="85"/>
      <c r="AH665" s="85"/>
      <c r="AI665" s="85"/>
      <c r="AJ665" s="85"/>
      <c r="AK665" s="85"/>
      <c r="AL665" s="85"/>
      <c r="AM665" s="85"/>
    </row>
    <row r="666">
      <c r="A666" s="85"/>
      <c r="B666" s="84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  <c r="AB666" s="85"/>
      <c r="AC666" s="85"/>
      <c r="AD666" s="85"/>
      <c r="AE666" s="85"/>
      <c r="AF666" s="85"/>
      <c r="AG666" s="85"/>
      <c r="AH666" s="85"/>
      <c r="AI666" s="85"/>
      <c r="AJ666" s="85"/>
      <c r="AK666" s="85"/>
      <c r="AL666" s="85"/>
      <c r="AM666" s="85"/>
    </row>
    <row r="667">
      <c r="A667" s="85"/>
      <c r="B667" s="84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  <c r="AB667" s="85"/>
      <c r="AC667" s="85"/>
      <c r="AD667" s="85"/>
      <c r="AE667" s="85"/>
      <c r="AF667" s="85"/>
      <c r="AG667" s="85"/>
      <c r="AH667" s="85"/>
      <c r="AI667" s="85"/>
      <c r="AJ667" s="85"/>
      <c r="AK667" s="85"/>
      <c r="AL667" s="85"/>
      <c r="AM667" s="85"/>
    </row>
    <row r="668">
      <c r="A668" s="85"/>
      <c r="B668" s="84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  <c r="AC668" s="85"/>
      <c r="AD668" s="85"/>
      <c r="AE668" s="85"/>
      <c r="AF668" s="85"/>
      <c r="AG668" s="85"/>
      <c r="AH668" s="85"/>
      <c r="AI668" s="85"/>
      <c r="AJ668" s="85"/>
      <c r="AK668" s="85"/>
      <c r="AL668" s="85"/>
      <c r="AM668" s="85"/>
    </row>
    <row r="669">
      <c r="A669" s="85"/>
      <c r="B669" s="84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  <c r="AB669" s="85"/>
      <c r="AC669" s="85"/>
      <c r="AD669" s="85"/>
      <c r="AE669" s="85"/>
      <c r="AF669" s="85"/>
      <c r="AG669" s="85"/>
      <c r="AH669" s="85"/>
      <c r="AI669" s="85"/>
      <c r="AJ669" s="85"/>
      <c r="AK669" s="85"/>
      <c r="AL669" s="85"/>
      <c r="AM669" s="85"/>
    </row>
    <row r="670">
      <c r="A670" s="85"/>
      <c r="B670" s="84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  <c r="AB670" s="85"/>
      <c r="AC670" s="85"/>
      <c r="AD670" s="85"/>
      <c r="AE670" s="85"/>
      <c r="AF670" s="85"/>
      <c r="AG670" s="85"/>
      <c r="AH670" s="85"/>
      <c r="AI670" s="85"/>
      <c r="AJ670" s="85"/>
      <c r="AK670" s="85"/>
      <c r="AL670" s="85"/>
      <c r="AM670" s="85"/>
    </row>
    <row r="671">
      <c r="A671" s="85"/>
      <c r="B671" s="84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  <c r="AC671" s="85"/>
      <c r="AD671" s="85"/>
      <c r="AE671" s="85"/>
      <c r="AF671" s="85"/>
      <c r="AG671" s="85"/>
      <c r="AH671" s="85"/>
      <c r="AI671" s="85"/>
      <c r="AJ671" s="85"/>
      <c r="AK671" s="85"/>
      <c r="AL671" s="85"/>
      <c r="AM671" s="85"/>
    </row>
    <row r="672">
      <c r="A672" s="85"/>
      <c r="B672" s="84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  <c r="AB672" s="85"/>
      <c r="AC672" s="85"/>
      <c r="AD672" s="85"/>
      <c r="AE672" s="85"/>
      <c r="AF672" s="85"/>
      <c r="AG672" s="85"/>
      <c r="AH672" s="85"/>
      <c r="AI672" s="85"/>
      <c r="AJ672" s="85"/>
      <c r="AK672" s="85"/>
      <c r="AL672" s="85"/>
      <c r="AM672" s="85"/>
    </row>
    <row r="673">
      <c r="A673" s="85"/>
      <c r="B673" s="84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  <c r="AB673" s="85"/>
      <c r="AC673" s="85"/>
      <c r="AD673" s="85"/>
      <c r="AE673" s="85"/>
      <c r="AF673" s="85"/>
      <c r="AG673" s="85"/>
      <c r="AH673" s="85"/>
      <c r="AI673" s="85"/>
      <c r="AJ673" s="85"/>
      <c r="AK673" s="85"/>
      <c r="AL673" s="85"/>
      <c r="AM673" s="85"/>
    </row>
    <row r="674">
      <c r="A674" s="85"/>
      <c r="B674" s="84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  <c r="AB674" s="85"/>
      <c r="AC674" s="85"/>
      <c r="AD674" s="85"/>
      <c r="AE674" s="85"/>
      <c r="AF674" s="85"/>
      <c r="AG674" s="85"/>
      <c r="AH674" s="85"/>
      <c r="AI674" s="85"/>
      <c r="AJ674" s="85"/>
      <c r="AK674" s="85"/>
      <c r="AL674" s="85"/>
      <c r="AM674" s="85"/>
    </row>
    <row r="675">
      <c r="A675" s="85"/>
      <c r="B675" s="84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  <c r="AB675" s="85"/>
      <c r="AC675" s="85"/>
      <c r="AD675" s="85"/>
      <c r="AE675" s="85"/>
      <c r="AF675" s="85"/>
      <c r="AG675" s="85"/>
      <c r="AH675" s="85"/>
      <c r="AI675" s="85"/>
      <c r="AJ675" s="85"/>
      <c r="AK675" s="85"/>
      <c r="AL675" s="85"/>
      <c r="AM675" s="85"/>
    </row>
    <row r="676">
      <c r="A676" s="85"/>
      <c r="B676" s="84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  <c r="AB676" s="85"/>
      <c r="AC676" s="85"/>
      <c r="AD676" s="85"/>
      <c r="AE676" s="85"/>
      <c r="AF676" s="85"/>
      <c r="AG676" s="85"/>
      <c r="AH676" s="85"/>
      <c r="AI676" s="85"/>
      <c r="AJ676" s="85"/>
      <c r="AK676" s="85"/>
      <c r="AL676" s="85"/>
      <c r="AM676" s="85"/>
    </row>
    <row r="677">
      <c r="A677" s="85"/>
      <c r="B677" s="84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  <c r="AB677" s="85"/>
      <c r="AC677" s="85"/>
      <c r="AD677" s="85"/>
      <c r="AE677" s="85"/>
      <c r="AF677" s="85"/>
      <c r="AG677" s="85"/>
      <c r="AH677" s="85"/>
      <c r="AI677" s="85"/>
      <c r="AJ677" s="85"/>
      <c r="AK677" s="85"/>
      <c r="AL677" s="85"/>
      <c r="AM677" s="85"/>
    </row>
    <row r="678">
      <c r="A678" s="85"/>
      <c r="B678" s="84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  <c r="AB678" s="85"/>
      <c r="AC678" s="85"/>
      <c r="AD678" s="85"/>
      <c r="AE678" s="85"/>
      <c r="AF678" s="85"/>
      <c r="AG678" s="85"/>
      <c r="AH678" s="85"/>
      <c r="AI678" s="85"/>
      <c r="AJ678" s="85"/>
      <c r="AK678" s="85"/>
      <c r="AL678" s="85"/>
      <c r="AM678" s="85"/>
    </row>
    <row r="679">
      <c r="A679" s="85"/>
      <c r="B679" s="84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  <c r="AB679" s="85"/>
      <c r="AC679" s="85"/>
      <c r="AD679" s="85"/>
      <c r="AE679" s="85"/>
      <c r="AF679" s="85"/>
      <c r="AG679" s="85"/>
      <c r="AH679" s="85"/>
      <c r="AI679" s="85"/>
      <c r="AJ679" s="85"/>
      <c r="AK679" s="85"/>
      <c r="AL679" s="85"/>
      <c r="AM679" s="85"/>
    </row>
    <row r="680">
      <c r="A680" s="85"/>
      <c r="B680" s="84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  <c r="AB680" s="85"/>
      <c r="AC680" s="85"/>
      <c r="AD680" s="85"/>
      <c r="AE680" s="85"/>
      <c r="AF680" s="85"/>
      <c r="AG680" s="85"/>
      <c r="AH680" s="85"/>
      <c r="AI680" s="85"/>
      <c r="AJ680" s="85"/>
      <c r="AK680" s="85"/>
      <c r="AL680" s="85"/>
      <c r="AM680" s="85"/>
    </row>
    <row r="681">
      <c r="A681" s="85"/>
      <c r="B681" s="84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  <c r="AB681" s="85"/>
      <c r="AC681" s="85"/>
      <c r="AD681" s="85"/>
      <c r="AE681" s="85"/>
      <c r="AF681" s="85"/>
      <c r="AG681" s="85"/>
      <c r="AH681" s="85"/>
      <c r="AI681" s="85"/>
      <c r="AJ681" s="85"/>
      <c r="AK681" s="85"/>
      <c r="AL681" s="85"/>
      <c r="AM681" s="85"/>
    </row>
    <row r="682">
      <c r="A682" s="85"/>
      <c r="B682" s="84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  <c r="AB682" s="85"/>
      <c r="AC682" s="85"/>
      <c r="AD682" s="85"/>
      <c r="AE682" s="85"/>
      <c r="AF682" s="85"/>
      <c r="AG682" s="85"/>
      <c r="AH682" s="85"/>
      <c r="AI682" s="85"/>
      <c r="AJ682" s="85"/>
      <c r="AK682" s="85"/>
      <c r="AL682" s="85"/>
      <c r="AM682" s="85"/>
    </row>
    <row r="683">
      <c r="A683" s="85"/>
      <c r="B683" s="84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  <c r="AB683" s="85"/>
      <c r="AC683" s="85"/>
      <c r="AD683" s="85"/>
      <c r="AE683" s="85"/>
      <c r="AF683" s="85"/>
      <c r="AG683" s="85"/>
      <c r="AH683" s="85"/>
      <c r="AI683" s="85"/>
      <c r="AJ683" s="85"/>
      <c r="AK683" s="85"/>
      <c r="AL683" s="85"/>
      <c r="AM683" s="85"/>
    </row>
    <row r="684">
      <c r="A684" s="85"/>
      <c r="B684" s="84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  <c r="AB684" s="85"/>
      <c r="AC684" s="85"/>
      <c r="AD684" s="85"/>
      <c r="AE684" s="85"/>
      <c r="AF684" s="85"/>
      <c r="AG684" s="85"/>
      <c r="AH684" s="85"/>
      <c r="AI684" s="85"/>
      <c r="AJ684" s="85"/>
      <c r="AK684" s="85"/>
      <c r="AL684" s="85"/>
      <c r="AM684" s="85"/>
    </row>
    <row r="685">
      <c r="A685" s="85"/>
      <c r="B685" s="84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  <c r="AB685" s="85"/>
      <c r="AC685" s="85"/>
      <c r="AD685" s="85"/>
      <c r="AE685" s="85"/>
      <c r="AF685" s="85"/>
      <c r="AG685" s="85"/>
      <c r="AH685" s="85"/>
      <c r="AI685" s="85"/>
      <c r="AJ685" s="85"/>
      <c r="AK685" s="85"/>
      <c r="AL685" s="85"/>
      <c r="AM685" s="85"/>
    </row>
    <row r="686">
      <c r="A686" s="85"/>
      <c r="B686" s="84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  <c r="AB686" s="85"/>
      <c r="AC686" s="85"/>
      <c r="AD686" s="85"/>
      <c r="AE686" s="85"/>
      <c r="AF686" s="85"/>
      <c r="AG686" s="85"/>
      <c r="AH686" s="85"/>
      <c r="AI686" s="85"/>
      <c r="AJ686" s="85"/>
      <c r="AK686" s="85"/>
      <c r="AL686" s="85"/>
      <c r="AM686" s="85"/>
    </row>
    <row r="687">
      <c r="A687" s="85"/>
      <c r="B687" s="84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</row>
    <row r="688">
      <c r="A688" s="85"/>
      <c r="B688" s="84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  <c r="AB688" s="85"/>
      <c r="AC688" s="85"/>
      <c r="AD688" s="85"/>
      <c r="AE688" s="85"/>
      <c r="AF688" s="85"/>
      <c r="AG688" s="85"/>
      <c r="AH688" s="85"/>
      <c r="AI688" s="85"/>
      <c r="AJ688" s="85"/>
      <c r="AK688" s="85"/>
      <c r="AL688" s="85"/>
      <c r="AM688" s="85"/>
    </row>
    <row r="689">
      <c r="A689" s="85"/>
      <c r="B689" s="84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  <c r="AB689" s="85"/>
      <c r="AC689" s="85"/>
      <c r="AD689" s="85"/>
      <c r="AE689" s="85"/>
      <c r="AF689" s="85"/>
      <c r="AG689" s="85"/>
      <c r="AH689" s="85"/>
      <c r="AI689" s="85"/>
      <c r="AJ689" s="85"/>
      <c r="AK689" s="85"/>
      <c r="AL689" s="85"/>
      <c r="AM689" s="85"/>
    </row>
    <row r="690">
      <c r="A690" s="85"/>
      <c r="B690" s="84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  <c r="AB690" s="85"/>
      <c r="AC690" s="85"/>
      <c r="AD690" s="85"/>
      <c r="AE690" s="85"/>
      <c r="AF690" s="85"/>
      <c r="AG690" s="85"/>
      <c r="AH690" s="85"/>
      <c r="AI690" s="85"/>
      <c r="AJ690" s="85"/>
      <c r="AK690" s="85"/>
      <c r="AL690" s="85"/>
      <c r="AM690" s="85"/>
    </row>
    <row r="691">
      <c r="A691" s="85"/>
      <c r="B691" s="84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  <c r="AB691" s="85"/>
      <c r="AC691" s="85"/>
      <c r="AD691" s="85"/>
      <c r="AE691" s="85"/>
      <c r="AF691" s="85"/>
      <c r="AG691" s="85"/>
      <c r="AH691" s="85"/>
      <c r="AI691" s="85"/>
      <c r="AJ691" s="85"/>
      <c r="AK691" s="85"/>
      <c r="AL691" s="85"/>
      <c r="AM691" s="85"/>
    </row>
    <row r="692">
      <c r="A692" s="85"/>
      <c r="B692" s="84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  <c r="AB692" s="85"/>
      <c r="AC692" s="85"/>
      <c r="AD692" s="85"/>
      <c r="AE692" s="85"/>
      <c r="AF692" s="85"/>
      <c r="AG692" s="85"/>
      <c r="AH692" s="85"/>
      <c r="AI692" s="85"/>
      <c r="AJ692" s="85"/>
      <c r="AK692" s="85"/>
      <c r="AL692" s="85"/>
      <c r="AM692" s="85"/>
    </row>
    <row r="693">
      <c r="A693" s="85"/>
      <c r="B693" s="84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  <c r="AB693" s="85"/>
      <c r="AC693" s="85"/>
      <c r="AD693" s="85"/>
      <c r="AE693" s="85"/>
      <c r="AF693" s="85"/>
      <c r="AG693" s="85"/>
      <c r="AH693" s="85"/>
      <c r="AI693" s="85"/>
      <c r="AJ693" s="85"/>
      <c r="AK693" s="85"/>
      <c r="AL693" s="85"/>
      <c r="AM693" s="85"/>
    </row>
    <row r="694">
      <c r="A694" s="85"/>
      <c r="B694" s="84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  <c r="AB694" s="85"/>
      <c r="AC694" s="85"/>
      <c r="AD694" s="85"/>
      <c r="AE694" s="85"/>
      <c r="AF694" s="85"/>
      <c r="AG694" s="85"/>
      <c r="AH694" s="85"/>
      <c r="AI694" s="85"/>
      <c r="AJ694" s="85"/>
      <c r="AK694" s="85"/>
      <c r="AL694" s="85"/>
      <c r="AM694" s="85"/>
    </row>
    <row r="695">
      <c r="A695" s="85"/>
      <c r="B695" s="84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  <c r="AB695" s="85"/>
      <c r="AC695" s="85"/>
      <c r="AD695" s="85"/>
      <c r="AE695" s="85"/>
      <c r="AF695" s="85"/>
      <c r="AG695" s="85"/>
      <c r="AH695" s="85"/>
      <c r="AI695" s="85"/>
      <c r="AJ695" s="85"/>
      <c r="AK695" s="85"/>
      <c r="AL695" s="85"/>
      <c r="AM695" s="85"/>
    </row>
    <row r="696">
      <c r="A696" s="85"/>
      <c r="B696" s="84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  <c r="AB696" s="85"/>
      <c r="AC696" s="85"/>
      <c r="AD696" s="85"/>
      <c r="AE696" s="85"/>
      <c r="AF696" s="85"/>
      <c r="AG696" s="85"/>
      <c r="AH696" s="85"/>
      <c r="AI696" s="85"/>
      <c r="AJ696" s="85"/>
      <c r="AK696" s="85"/>
      <c r="AL696" s="85"/>
      <c r="AM696" s="85"/>
    </row>
    <row r="697">
      <c r="A697" s="85"/>
      <c r="B697" s="84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  <c r="AB697" s="85"/>
      <c r="AC697" s="85"/>
      <c r="AD697" s="85"/>
      <c r="AE697" s="85"/>
      <c r="AF697" s="85"/>
      <c r="AG697" s="85"/>
      <c r="AH697" s="85"/>
      <c r="AI697" s="85"/>
      <c r="AJ697" s="85"/>
      <c r="AK697" s="85"/>
      <c r="AL697" s="85"/>
      <c r="AM697" s="85"/>
    </row>
    <row r="698">
      <c r="A698" s="85"/>
      <c r="B698" s="84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  <c r="AB698" s="85"/>
      <c r="AC698" s="85"/>
      <c r="AD698" s="85"/>
      <c r="AE698" s="85"/>
      <c r="AF698" s="85"/>
      <c r="AG698" s="85"/>
      <c r="AH698" s="85"/>
      <c r="AI698" s="85"/>
      <c r="AJ698" s="85"/>
      <c r="AK698" s="85"/>
      <c r="AL698" s="85"/>
      <c r="AM698" s="85"/>
    </row>
    <row r="699">
      <c r="A699" s="85"/>
      <c r="B699" s="84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  <c r="AB699" s="85"/>
      <c r="AC699" s="85"/>
      <c r="AD699" s="85"/>
      <c r="AE699" s="85"/>
      <c r="AF699" s="85"/>
      <c r="AG699" s="85"/>
      <c r="AH699" s="85"/>
      <c r="AI699" s="85"/>
      <c r="AJ699" s="85"/>
      <c r="AK699" s="85"/>
      <c r="AL699" s="85"/>
      <c r="AM699" s="85"/>
    </row>
    <row r="700">
      <c r="A700" s="85"/>
      <c r="B700" s="84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  <c r="AB700" s="85"/>
      <c r="AC700" s="85"/>
      <c r="AD700" s="85"/>
      <c r="AE700" s="85"/>
      <c r="AF700" s="85"/>
      <c r="AG700" s="85"/>
      <c r="AH700" s="85"/>
      <c r="AI700" s="85"/>
      <c r="AJ700" s="85"/>
      <c r="AK700" s="85"/>
      <c r="AL700" s="85"/>
      <c r="AM700" s="85"/>
    </row>
    <row r="701">
      <c r="A701" s="85"/>
      <c r="B701" s="84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  <c r="AB701" s="85"/>
      <c r="AC701" s="85"/>
      <c r="AD701" s="85"/>
      <c r="AE701" s="85"/>
      <c r="AF701" s="85"/>
      <c r="AG701" s="85"/>
      <c r="AH701" s="85"/>
      <c r="AI701" s="85"/>
      <c r="AJ701" s="85"/>
      <c r="AK701" s="85"/>
      <c r="AL701" s="85"/>
      <c r="AM701" s="85"/>
    </row>
    <row r="702">
      <c r="A702" s="85"/>
      <c r="B702" s="84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  <c r="AB702" s="85"/>
      <c r="AC702" s="85"/>
      <c r="AD702" s="85"/>
      <c r="AE702" s="85"/>
      <c r="AF702" s="85"/>
      <c r="AG702" s="85"/>
      <c r="AH702" s="85"/>
      <c r="AI702" s="85"/>
      <c r="AJ702" s="85"/>
      <c r="AK702" s="85"/>
      <c r="AL702" s="85"/>
      <c r="AM702" s="85"/>
    </row>
    <row r="703">
      <c r="A703" s="85"/>
      <c r="B703" s="84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  <c r="AB703" s="85"/>
      <c r="AC703" s="85"/>
      <c r="AD703" s="85"/>
      <c r="AE703" s="85"/>
      <c r="AF703" s="85"/>
      <c r="AG703" s="85"/>
      <c r="AH703" s="85"/>
      <c r="AI703" s="85"/>
      <c r="AJ703" s="85"/>
      <c r="AK703" s="85"/>
      <c r="AL703" s="85"/>
      <c r="AM703" s="85"/>
    </row>
    <row r="704">
      <c r="A704" s="85"/>
      <c r="B704" s="84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  <c r="AB704" s="85"/>
      <c r="AC704" s="85"/>
      <c r="AD704" s="85"/>
      <c r="AE704" s="85"/>
      <c r="AF704" s="85"/>
      <c r="AG704" s="85"/>
      <c r="AH704" s="85"/>
      <c r="AI704" s="85"/>
      <c r="AJ704" s="85"/>
      <c r="AK704" s="85"/>
      <c r="AL704" s="85"/>
      <c r="AM704" s="85"/>
    </row>
    <row r="705">
      <c r="A705" s="85"/>
      <c r="B705" s="84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  <c r="AB705" s="85"/>
      <c r="AC705" s="85"/>
      <c r="AD705" s="85"/>
      <c r="AE705" s="85"/>
      <c r="AF705" s="85"/>
      <c r="AG705" s="85"/>
      <c r="AH705" s="85"/>
      <c r="AI705" s="85"/>
      <c r="AJ705" s="85"/>
      <c r="AK705" s="85"/>
      <c r="AL705" s="85"/>
      <c r="AM705" s="85"/>
    </row>
    <row r="706">
      <c r="A706" s="85"/>
      <c r="B706" s="84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  <c r="AB706" s="85"/>
      <c r="AC706" s="85"/>
      <c r="AD706" s="85"/>
      <c r="AE706" s="85"/>
      <c r="AF706" s="85"/>
      <c r="AG706" s="85"/>
      <c r="AH706" s="85"/>
      <c r="AI706" s="85"/>
      <c r="AJ706" s="85"/>
      <c r="AK706" s="85"/>
      <c r="AL706" s="85"/>
      <c r="AM706" s="85"/>
    </row>
    <row r="707">
      <c r="A707" s="85"/>
      <c r="B707" s="84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  <c r="AB707" s="85"/>
      <c r="AC707" s="85"/>
      <c r="AD707" s="85"/>
      <c r="AE707" s="85"/>
      <c r="AF707" s="85"/>
      <c r="AG707" s="85"/>
      <c r="AH707" s="85"/>
      <c r="AI707" s="85"/>
      <c r="AJ707" s="85"/>
      <c r="AK707" s="85"/>
      <c r="AL707" s="85"/>
      <c r="AM707" s="85"/>
    </row>
    <row r="708">
      <c r="A708" s="85"/>
      <c r="B708" s="84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  <c r="AB708" s="85"/>
      <c r="AC708" s="85"/>
      <c r="AD708" s="85"/>
      <c r="AE708" s="85"/>
      <c r="AF708" s="85"/>
      <c r="AG708" s="85"/>
      <c r="AH708" s="85"/>
      <c r="AI708" s="85"/>
      <c r="AJ708" s="85"/>
      <c r="AK708" s="85"/>
      <c r="AL708" s="85"/>
      <c r="AM708" s="85"/>
    </row>
    <row r="709">
      <c r="A709" s="85"/>
      <c r="B709" s="84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  <c r="AB709" s="85"/>
      <c r="AC709" s="85"/>
      <c r="AD709" s="85"/>
      <c r="AE709" s="85"/>
      <c r="AF709" s="85"/>
      <c r="AG709" s="85"/>
      <c r="AH709" s="85"/>
      <c r="AI709" s="85"/>
      <c r="AJ709" s="85"/>
      <c r="AK709" s="85"/>
      <c r="AL709" s="85"/>
      <c r="AM709" s="85"/>
    </row>
    <row r="710">
      <c r="A710" s="85"/>
      <c r="B710" s="84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  <c r="AC710" s="85"/>
      <c r="AD710" s="85"/>
      <c r="AE710" s="85"/>
      <c r="AF710" s="85"/>
      <c r="AG710" s="85"/>
      <c r="AH710" s="85"/>
      <c r="AI710" s="85"/>
      <c r="AJ710" s="85"/>
      <c r="AK710" s="85"/>
      <c r="AL710" s="85"/>
      <c r="AM710" s="85"/>
    </row>
    <row r="711">
      <c r="A711" s="85"/>
      <c r="B711" s="84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  <c r="AG711" s="85"/>
      <c r="AH711" s="85"/>
      <c r="AI711" s="85"/>
      <c r="AJ711" s="85"/>
      <c r="AK711" s="85"/>
      <c r="AL711" s="85"/>
      <c r="AM711" s="85"/>
    </row>
    <row r="712">
      <c r="A712" s="85"/>
      <c r="B712" s="84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  <c r="AB712" s="85"/>
      <c r="AC712" s="85"/>
      <c r="AD712" s="85"/>
      <c r="AE712" s="85"/>
      <c r="AF712" s="85"/>
      <c r="AG712" s="85"/>
      <c r="AH712" s="85"/>
      <c r="AI712" s="85"/>
      <c r="AJ712" s="85"/>
      <c r="AK712" s="85"/>
      <c r="AL712" s="85"/>
      <c r="AM712" s="85"/>
    </row>
    <row r="713">
      <c r="A713" s="85"/>
      <c r="B713" s="84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  <c r="AC713" s="85"/>
      <c r="AD713" s="85"/>
      <c r="AE713" s="85"/>
      <c r="AF713" s="85"/>
      <c r="AG713" s="85"/>
      <c r="AH713" s="85"/>
      <c r="AI713" s="85"/>
      <c r="AJ713" s="85"/>
      <c r="AK713" s="85"/>
      <c r="AL713" s="85"/>
      <c r="AM713" s="85"/>
    </row>
    <row r="714">
      <c r="A714" s="85"/>
      <c r="B714" s="84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  <c r="AC714" s="85"/>
      <c r="AD714" s="85"/>
      <c r="AE714" s="85"/>
      <c r="AF714" s="85"/>
      <c r="AG714" s="85"/>
      <c r="AH714" s="85"/>
      <c r="AI714" s="85"/>
      <c r="AJ714" s="85"/>
      <c r="AK714" s="85"/>
      <c r="AL714" s="85"/>
      <c r="AM714" s="85"/>
    </row>
    <row r="715">
      <c r="A715" s="85"/>
      <c r="B715" s="84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  <c r="AC715" s="85"/>
      <c r="AD715" s="85"/>
      <c r="AE715" s="85"/>
      <c r="AF715" s="85"/>
      <c r="AG715" s="85"/>
      <c r="AH715" s="85"/>
      <c r="AI715" s="85"/>
      <c r="AJ715" s="85"/>
      <c r="AK715" s="85"/>
      <c r="AL715" s="85"/>
      <c r="AM715" s="85"/>
    </row>
    <row r="716">
      <c r="A716" s="85"/>
      <c r="B716" s="84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  <c r="AC716" s="85"/>
      <c r="AD716" s="85"/>
      <c r="AE716" s="85"/>
      <c r="AF716" s="85"/>
      <c r="AG716" s="85"/>
      <c r="AH716" s="85"/>
      <c r="AI716" s="85"/>
      <c r="AJ716" s="85"/>
      <c r="AK716" s="85"/>
      <c r="AL716" s="85"/>
      <c r="AM716" s="85"/>
    </row>
    <row r="717">
      <c r="A717" s="85"/>
      <c r="B717" s="84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  <c r="AB717" s="85"/>
      <c r="AC717" s="85"/>
      <c r="AD717" s="85"/>
      <c r="AE717" s="85"/>
      <c r="AF717" s="85"/>
      <c r="AG717" s="85"/>
      <c r="AH717" s="85"/>
      <c r="AI717" s="85"/>
      <c r="AJ717" s="85"/>
      <c r="AK717" s="85"/>
      <c r="AL717" s="85"/>
      <c r="AM717" s="85"/>
    </row>
    <row r="718">
      <c r="A718" s="85"/>
      <c r="B718" s="84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  <c r="AB718" s="85"/>
      <c r="AC718" s="85"/>
      <c r="AD718" s="85"/>
      <c r="AE718" s="85"/>
      <c r="AF718" s="85"/>
      <c r="AG718" s="85"/>
      <c r="AH718" s="85"/>
      <c r="AI718" s="85"/>
      <c r="AJ718" s="85"/>
      <c r="AK718" s="85"/>
      <c r="AL718" s="85"/>
      <c r="AM718" s="85"/>
    </row>
    <row r="719">
      <c r="A719" s="85"/>
      <c r="B719" s="84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  <c r="AB719" s="85"/>
      <c r="AC719" s="85"/>
      <c r="AD719" s="85"/>
      <c r="AE719" s="85"/>
      <c r="AF719" s="85"/>
      <c r="AG719" s="85"/>
      <c r="AH719" s="85"/>
      <c r="AI719" s="85"/>
      <c r="AJ719" s="85"/>
      <c r="AK719" s="85"/>
      <c r="AL719" s="85"/>
      <c r="AM719" s="85"/>
    </row>
    <row r="720">
      <c r="A720" s="85"/>
      <c r="B720" s="84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  <c r="AC720" s="85"/>
      <c r="AD720" s="85"/>
      <c r="AE720" s="85"/>
      <c r="AF720" s="85"/>
      <c r="AG720" s="85"/>
      <c r="AH720" s="85"/>
      <c r="AI720" s="85"/>
      <c r="AJ720" s="85"/>
      <c r="AK720" s="85"/>
      <c r="AL720" s="85"/>
      <c r="AM720" s="85"/>
    </row>
    <row r="721">
      <c r="A721" s="85"/>
      <c r="B721" s="84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  <c r="AB721" s="85"/>
      <c r="AC721" s="85"/>
      <c r="AD721" s="85"/>
      <c r="AE721" s="85"/>
      <c r="AF721" s="85"/>
      <c r="AG721" s="85"/>
      <c r="AH721" s="85"/>
      <c r="AI721" s="85"/>
      <c r="AJ721" s="85"/>
      <c r="AK721" s="85"/>
      <c r="AL721" s="85"/>
      <c r="AM721" s="85"/>
    </row>
    <row r="722">
      <c r="A722" s="85"/>
      <c r="B722" s="84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  <c r="AB722" s="85"/>
      <c r="AC722" s="85"/>
      <c r="AD722" s="85"/>
      <c r="AE722" s="85"/>
      <c r="AF722" s="85"/>
      <c r="AG722" s="85"/>
      <c r="AH722" s="85"/>
      <c r="AI722" s="85"/>
      <c r="AJ722" s="85"/>
      <c r="AK722" s="85"/>
      <c r="AL722" s="85"/>
      <c r="AM722" s="85"/>
    </row>
    <row r="723">
      <c r="A723" s="85"/>
      <c r="B723" s="84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  <c r="AB723" s="85"/>
      <c r="AC723" s="85"/>
      <c r="AD723" s="85"/>
      <c r="AE723" s="85"/>
      <c r="AF723" s="85"/>
      <c r="AG723" s="85"/>
      <c r="AH723" s="85"/>
      <c r="AI723" s="85"/>
      <c r="AJ723" s="85"/>
      <c r="AK723" s="85"/>
      <c r="AL723" s="85"/>
      <c r="AM723" s="85"/>
    </row>
    <row r="724">
      <c r="A724" s="85"/>
      <c r="B724" s="84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  <c r="AB724" s="85"/>
      <c r="AC724" s="85"/>
      <c r="AD724" s="85"/>
      <c r="AE724" s="85"/>
      <c r="AF724" s="85"/>
      <c r="AG724" s="85"/>
      <c r="AH724" s="85"/>
      <c r="AI724" s="85"/>
      <c r="AJ724" s="85"/>
      <c r="AK724" s="85"/>
      <c r="AL724" s="85"/>
      <c r="AM724" s="85"/>
    </row>
    <row r="725">
      <c r="A725" s="85"/>
      <c r="B725" s="84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</row>
    <row r="726">
      <c r="A726" s="85"/>
      <c r="B726" s="84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  <c r="AB726" s="85"/>
      <c r="AC726" s="85"/>
      <c r="AD726" s="85"/>
      <c r="AE726" s="85"/>
      <c r="AF726" s="85"/>
      <c r="AG726" s="85"/>
      <c r="AH726" s="85"/>
      <c r="AI726" s="85"/>
      <c r="AJ726" s="85"/>
      <c r="AK726" s="85"/>
      <c r="AL726" s="85"/>
      <c r="AM726" s="85"/>
    </row>
    <row r="727">
      <c r="A727" s="85"/>
      <c r="B727" s="84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  <c r="AB727" s="85"/>
      <c r="AC727" s="85"/>
      <c r="AD727" s="85"/>
      <c r="AE727" s="85"/>
      <c r="AF727" s="85"/>
      <c r="AG727" s="85"/>
      <c r="AH727" s="85"/>
      <c r="AI727" s="85"/>
      <c r="AJ727" s="85"/>
      <c r="AK727" s="85"/>
      <c r="AL727" s="85"/>
      <c r="AM727" s="85"/>
    </row>
    <row r="728">
      <c r="A728" s="85"/>
      <c r="B728" s="84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  <c r="AB728" s="85"/>
      <c r="AC728" s="85"/>
      <c r="AD728" s="85"/>
      <c r="AE728" s="85"/>
      <c r="AF728" s="85"/>
      <c r="AG728" s="85"/>
      <c r="AH728" s="85"/>
      <c r="AI728" s="85"/>
      <c r="AJ728" s="85"/>
      <c r="AK728" s="85"/>
      <c r="AL728" s="85"/>
      <c r="AM728" s="85"/>
    </row>
    <row r="729">
      <c r="A729" s="85"/>
      <c r="B729" s="84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  <c r="AC729" s="85"/>
      <c r="AD729" s="85"/>
      <c r="AE729" s="85"/>
      <c r="AF729" s="85"/>
      <c r="AG729" s="85"/>
      <c r="AH729" s="85"/>
      <c r="AI729" s="85"/>
      <c r="AJ729" s="85"/>
      <c r="AK729" s="85"/>
      <c r="AL729" s="85"/>
      <c r="AM729" s="85"/>
    </row>
    <row r="730">
      <c r="A730" s="85"/>
      <c r="B730" s="84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  <c r="AB730" s="85"/>
      <c r="AC730" s="85"/>
      <c r="AD730" s="85"/>
      <c r="AE730" s="85"/>
      <c r="AF730" s="85"/>
      <c r="AG730" s="85"/>
      <c r="AH730" s="85"/>
      <c r="AI730" s="85"/>
      <c r="AJ730" s="85"/>
      <c r="AK730" s="85"/>
      <c r="AL730" s="85"/>
      <c r="AM730" s="85"/>
    </row>
    <row r="731">
      <c r="A731" s="85"/>
      <c r="B731" s="84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  <c r="AC731" s="85"/>
      <c r="AD731" s="85"/>
      <c r="AE731" s="85"/>
      <c r="AF731" s="85"/>
      <c r="AG731" s="85"/>
      <c r="AH731" s="85"/>
      <c r="AI731" s="85"/>
      <c r="AJ731" s="85"/>
      <c r="AK731" s="85"/>
      <c r="AL731" s="85"/>
      <c r="AM731" s="85"/>
    </row>
    <row r="732">
      <c r="A732" s="85"/>
      <c r="B732" s="84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  <c r="AB732" s="85"/>
      <c r="AC732" s="85"/>
      <c r="AD732" s="85"/>
      <c r="AE732" s="85"/>
      <c r="AF732" s="85"/>
      <c r="AG732" s="85"/>
      <c r="AH732" s="85"/>
      <c r="AI732" s="85"/>
      <c r="AJ732" s="85"/>
      <c r="AK732" s="85"/>
      <c r="AL732" s="85"/>
      <c r="AM732" s="85"/>
    </row>
    <row r="733">
      <c r="A733" s="85"/>
      <c r="B733" s="84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  <c r="AB733" s="85"/>
      <c r="AC733" s="85"/>
      <c r="AD733" s="85"/>
      <c r="AE733" s="85"/>
      <c r="AF733" s="85"/>
      <c r="AG733" s="85"/>
      <c r="AH733" s="85"/>
      <c r="AI733" s="85"/>
      <c r="AJ733" s="85"/>
      <c r="AK733" s="85"/>
      <c r="AL733" s="85"/>
      <c r="AM733" s="85"/>
    </row>
    <row r="734">
      <c r="A734" s="85"/>
      <c r="B734" s="84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  <c r="AB734" s="85"/>
      <c r="AC734" s="85"/>
      <c r="AD734" s="85"/>
      <c r="AE734" s="85"/>
      <c r="AF734" s="85"/>
      <c r="AG734" s="85"/>
      <c r="AH734" s="85"/>
      <c r="AI734" s="85"/>
      <c r="AJ734" s="85"/>
      <c r="AK734" s="85"/>
      <c r="AL734" s="85"/>
      <c r="AM734" s="85"/>
    </row>
    <row r="735">
      <c r="A735" s="85"/>
      <c r="B735" s="84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  <c r="AB735" s="85"/>
      <c r="AC735" s="85"/>
      <c r="AD735" s="85"/>
      <c r="AE735" s="85"/>
      <c r="AF735" s="85"/>
      <c r="AG735" s="85"/>
      <c r="AH735" s="85"/>
      <c r="AI735" s="85"/>
      <c r="AJ735" s="85"/>
      <c r="AK735" s="85"/>
      <c r="AL735" s="85"/>
      <c r="AM735" s="85"/>
    </row>
    <row r="736">
      <c r="A736" s="85"/>
      <c r="B736" s="84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  <c r="AB736" s="85"/>
      <c r="AC736" s="85"/>
      <c r="AD736" s="85"/>
      <c r="AE736" s="85"/>
      <c r="AF736" s="85"/>
      <c r="AG736" s="85"/>
      <c r="AH736" s="85"/>
      <c r="AI736" s="85"/>
      <c r="AJ736" s="85"/>
      <c r="AK736" s="85"/>
      <c r="AL736" s="85"/>
      <c r="AM736" s="85"/>
    </row>
    <row r="737">
      <c r="A737" s="85"/>
      <c r="B737" s="84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  <c r="AB737" s="85"/>
      <c r="AC737" s="85"/>
      <c r="AD737" s="85"/>
      <c r="AE737" s="85"/>
      <c r="AF737" s="85"/>
      <c r="AG737" s="85"/>
      <c r="AH737" s="85"/>
      <c r="AI737" s="85"/>
      <c r="AJ737" s="85"/>
      <c r="AK737" s="85"/>
      <c r="AL737" s="85"/>
      <c r="AM737" s="85"/>
    </row>
    <row r="738">
      <c r="A738" s="85"/>
      <c r="B738" s="84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  <c r="AB738" s="85"/>
      <c r="AC738" s="85"/>
      <c r="AD738" s="85"/>
      <c r="AE738" s="85"/>
      <c r="AF738" s="85"/>
      <c r="AG738" s="85"/>
      <c r="AH738" s="85"/>
      <c r="AI738" s="85"/>
      <c r="AJ738" s="85"/>
      <c r="AK738" s="85"/>
      <c r="AL738" s="85"/>
      <c r="AM738" s="85"/>
    </row>
    <row r="739">
      <c r="A739" s="85"/>
      <c r="B739" s="84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  <c r="AB739" s="85"/>
      <c r="AC739" s="85"/>
      <c r="AD739" s="85"/>
      <c r="AE739" s="85"/>
      <c r="AF739" s="85"/>
      <c r="AG739" s="85"/>
      <c r="AH739" s="85"/>
      <c r="AI739" s="85"/>
      <c r="AJ739" s="85"/>
      <c r="AK739" s="85"/>
      <c r="AL739" s="85"/>
      <c r="AM739" s="85"/>
    </row>
    <row r="740">
      <c r="A740" s="85"/>
      <c r="B740" s="84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  <c r="AB740" s="85"/>
      <c r="AC740" s="85"/>
      <c r="AD740" s="85"/>
      <c r="AE740" s="85"/>
      <c r="AF740" s="85"/>
      <c r="AG740" s="85"/>
      <c r="AH740" s="85"/>
      <c r="AI740" s="85"/>
      <c r="AJ740" s="85"/>
      <c r="AK740" s="85"/>
      <c r="AL740" s="85"/>
      <c r="AM740" s="85"/>
    </row>
    <row r="741">
      <c r="A741" s="85"/>
      <c r="B741" s="84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  <c r="AB741" s="85"/>
      <c r="AC741" s="85"/>
      <c r="AD741" s="85"/>
      <c r="AE741" s="85"/>
      <c r="AF741" s="85"/>
      <c r="AG741" s="85"/>
      <c r="AH741" s="85"/>
      <c r="AI741" s="85"/>
      <c r="AJ741" s="85"/>
      <c r="AK741" s="85"/>
      <c r="AL741" s="85"/>
      <c r="AM741" s="85"/>
    </row>
    <row r="742">
      <c r="A742" s="85"/>
      <c r="B742" s="84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  <c r="AC742" s="85"/>
      <c r="AD742" s="85"/>
      <c r="AE742" s="85"/>
      <c r="AF742" s="85"/>
      <c r="AG742" s="85"/>
      <c r="AH742" s="85"/>
      <c r="AI742" s="85"/>
      <c r="AJ742" s="85"/>
      <c r="AK742" s="85"/>
      <c r="AL742" s="85"/>
      <c r="AM742" s="85"/>
    </row>
    <row r="743">
      <c r="A743" s="85"/>
      <c r="B743" s="84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  <c r="AB743" s="85"/>
      <c r="AC743" s="85"/>
      <c r="AD743" s="85"/>
      <c r="AE743" s="85"/>
      <c r="AF743" s="85"/>
      <c r="AG743" s="85"/>
      <c r="AH743" s="85"/>
      <c r="AI743" s="85"/>
      <c r="AJ743" s="85"/>
      <c r="AK743" s="85"/>
      <c r="AL743" s="85"/>
      <c r="AM743" s="85"/>
    </row>
    <row r="744">
      <c r="A744" s="85"/>
      <c r="B744" s="84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  <c r="AB744" s="85"/>
      <c r="AC744" s="85"/>
      <c r="AD744" s="85"/>
      <c r="AE744" s="85"/>
      <c r="AF744" s="85"/>
      <c r="AG744" s="85"/>
      <c r="AH744" s="85"/>
      <c r="AI744" s="85"/>
      <c r="AJ744" s="85"/>
      <c r="AK744" s="85"/>
      <c r="AL744" s="85"/>
      <c r="AM744" s="85"/>
    </row>
    <row r="745">
      <c r="A745" s="85"/>
      <c r="B745" s="84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  <c r="AB745" s="85"/>
      <c r="AC745" s="85"/>
      <c r="AD745" s="85"/>
      <c r="AE745" s="85"/>
      <c r="AF745" s="85"/>
      <c r="AG745" s="85"/>
      <c r="AH745" s="85"/>
      <c r="AI745" s="85"/>
      <c r="AJ745" s="85"/>
      <c r="AK745" s="85"/>
      <c r="AL745" s="85"/>
      <c r="AM745" s="85"/>
    </row>
    <row r="746">
      <c r="A746" s="85"/>
      <c r="B746" s="84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  <c r="AB746" s="85"/>
      <c r="AC746" s="85"/>
      <c r="AD746" s="85"/>
      <c r="AE746" s="85"/>
      <c r="AF746" s="85"/>
      <c r="AG746" s="85"/>
      <c r="AH746" s="85"/>
      <c r="AI746" s="85"/>
      <c r="AJ746" s="85"/>
      <c r="AK746" s="85"/>
      <c r="AL746" s="85"/>
      <c r="AM746" s="85"/>
    </row>
    <row r="747">
      <c r="A747" s="85"/>
      <c r="B747" s="84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  <c r="AB747" s="85"/>
      <c r="AC747" s="85"/>
      <c r="AD747" s="85"/>
      <c r="AE747" s="85"/>
      <c r="AF747" s="85"/>
      <c r="AG747" s="85"/>
      <c r="AH747" s="85"/>
      <c r="AI747" s="85"/>
      <c r="AJ747" s="85"/>
      <c r="AK747" s="85"/>
      <c r="AL747" s="85"/>
      <c r="AM747" s="85"/>
    </row>
    <row r="748">
      <c r="A748" s="85"/>
      <c r="B748" s="84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  <c r="AB748" s="85"/>
      <c r="AC748" s="85"/>
      <c r="AD748" s="85"/>
      <c r="AE748" s="85"/>
      <c r="AF748" s="85"/>
      <c r="AG748" s="85"/>
      <c r="AH748" s="85"/>
      <c r="AI748" s="85"/>
      <c r="AJ748" s="85"/>
      <c r="AK748" s="85"/>
      <c r="AL748" s="85"/>
      <c r="AM748" s="85"/>
    </row>
    <row r="749">
      <c r="A749" s="85"/>
      <c r="B749" s="84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  <c r="AB749" s="85"/>
      <c r="AC749" s="85"/>
      <c r="AD749" s="85"/>
      <c r="AE749" s="85"/>
      <c r="AF749" s="85"/>
      <c r="AG749" s="85"/>
      <c r="AH749" s="85"/>
      <c r="AI749" s="85"/>
      <c r="AJ749" s="85"/>
      <c r="AK749" s="85"/>
      <c r="AL749" s="85"/>
      <c r="AM749" s="85"/>
    </row>
    <row r="750">
      <c r="A750" s="85"/>
      <c r="B750" s="84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  <c r="AB750" s="85"/>
      <c r="AC750" s="85"/>
      <c r="AD750" s="85"/>
      <c r="AE750" s="85"/>
      <c r="AF750" s="85"/>
      <c r="AG750" s="85"/>
      <c r="AH750" s="85"/>
      <c r="AI750" s="85"/>
      <c r="AJ750" s="85"/>
      <c r="AK750" s="85"/>
      <c r="AL750" s="85"/>
      <c r="AM750" s="85"/>
    </row>
    <row r="751">
      <c r="A751" s="85"/>
      <c r="B751" s="84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  <c r="AB751" s="85"/>
      <c r="AC751" s="85"/>
      <c r="AD751" s="85"/>
      <c r="AE751" s="85"/>
      <c r="AF751" s="85"/>
      <c r="AG751" s="85"/>
      <c r="AH751" s="85"/>
      <c r="AI751" s="85"/>
      <c r="AJ751" s="85"/>
      <c r="AK751" s="85"/>
      <c r="AL751" s="85"/>
      <c r="AM751" s="85"/>
    </row>
    <row r="752">
      <c r="A752" s="85"/>
      <c r="B752" s="84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  <c r="AB752" s="85"/>
      <c r="AC752" s="85"/>
      <c r="AD752" s="85"/>
      <c r="AE752" s="85"/>
      <c r="AF752" s="85"/>
      <c r="AG752" s="85"/>
      <c r="AH752" s="85"/>
      <c r="AI752" s="85"/>
      <c r="AJ752" s="85"/>
      <c r="AK752" s="85"/>
      <c r="AL752" s="85"/>
      <c r="AM752" s="85"/>
    </row>
    <row r="753">
      <c r="A753" s="85"/>
      <c r="B753" s="84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  <c r="AB753" s="85"/>
      <c r="AC753" s="85"/>
      <c r="AD753" s="85"/>
      <c r="AE753" s="85"/>
      <c r="AF753" s="85"/>
      <c r="AG753" s="85"/>
      <c r="AH753" s="85"/>
      <c r="AI753" s="85"/>
      <c r="AJ753" s="85"/>
      <c r="AK753" s="85"/>
      <c r="AL753" s="85"/>
      <c r="AM753" s="85"/>
    </row>
    <row r="754">
      <c r="A754" s="85"/>
      <c r="B754" s="84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  <c r="AB754" s="85"/>
      <c r="AC754" s="85"/>
      <c r="AD754" s="85"/>
      <c r="AE754" s="85"/>
      <c r="AF754" s="85"/>
      <c r="AG754" s="85"/>
      <c r="AH754" s="85"/>
      <c r="AI754" s="85"/>
      <c r="AJ754" s="85"/>
      <c r="AK754" s="85"/>
      <c r="AL754" s="85"/>
      <c r="AM754" s="85"/>
    </row>
    <row r="755">
      <c r="A755" s="85"/>
      <c r="B755" s="84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  <c r="AB755" s="85"/>
      <c r="AC755" s="85"/>
      <c r="AD755" s="85"/>
      <c r="AE755" s="85"/>
      <c r="AF755" s="85"/>
      <c r="AG755" s="85"/>
      <c r="AH755" s="85"/>
      <c r="AI755" s="85"/>
      <c r="AJ755" s="85"/>
      <c r="AK755" s="85"/>
      <c r="AL755" s="85"/>
      <c r="AM755" s="85"/>
    </row>
    <row r="756">
      <c r="A756" s="85"/>
      <c r="B756" s="84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  <c r="AB756" s="85"/>
      <c r="AC756" s="85"/>
      <c r="AD756" s="85"/>
      <c r="AE756" s="85"/>
      <c r="AF756" s="85"/>
      <c r="AG756" s="85"/>
      <c r="AH756" s="85"/>
      <c r="AI756" s="85"/>
      <c r="AJ756" s="85"/>
      <c r="AK756" s="85"/>
      <c r="AL756" s="85"/>
      <c r="AM756" s="85"/>
    </row>
    <row r="757">
      <c r="A757" s="85"/>
      <c r="B757" s="84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  <c r="AB757" s="85"/>
      <c r="AC757" s="85"/>
      <c r="AD757" s="85"/>
      <c r="AE757" s="85"/>
      <c r="AF757" s="85"/>
      <c r="AG757" s="85"/>
      <c r="AH757" s="85"/>
      <c r="AI757" s="85"/>
      <c r="AJ757" s="85"/>
      <c r="AK757" s="85"/>
      <c r="AL757" s="85"/>
      <c r="AM757" s="85"/>
    </row>
    <row r="758">
      <c r="A758" s="85"/>
      <c r="B758" s="84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  <c r="AB758" s="85"/>
      <c r="AC758" s="85"/>
      <c r="AD758" s="85"/>
      <c r="AE758" s="85"/>
      <c r="AF758" s="85"/>
      <c r="AG758" s="85"/>
      <c r="AH758" s="85"/>
      <c r="AI758" s="85"/>
      <c r="AJ758" s="85"/>
      <c r="AK758" s="85"/>
      <c r="AL758" s="85"/>
      <c r="AM758" s="85"/>
    </row>
    <row r="759">
      <c r="A759" s="85"/>
      <c r="B759" s="84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  <c r="AB759" s="85"/>
      <c r="AC759" s="85"/>
      <c r="AD759" s="85"/>
      <c r="AE759" s="85"/>
      <c r="AF759" s="85"/>
      <c r="AG759" s="85"/>
      <c r="AH759" s="85"/>
      <c r="AI759" s="85"/>
      <c r="AJ759" s="85"/>
      <c r="AK759" s="85"/>
      <c r="AL759" s="85"/>
      <c r="AM759" s="85"/>
    </row>
    <row r="760">
      <c r="A760" s="85"/>
      <c r="B760" s="84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  <c r="AB760" s="85"/>
      <c r="AC760" s="85"/>
      <c r="AD760" s="85"/>
      <c r="AE760" s="85"/>
      <c r="AF760" s="85"/>
      <c r="AG760" s="85"/>
      <c r="AH760" s="85"/>
      <c r="AI760" s="85"/>
      <c r="AJ760" s="85"/>
      <c r="AK760" s="85"/>
      <c r="AL760" s="85"/>
      <c r="AM760" s="85"/>
    </row>
    <row r="761">
      <c r="A761" s="85"/>
      <c r="B761" s="84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  <c r="AB761" s="85"/>
      <c r="AC761" s="85"/>
      <c r="AD761" s="85"/>
      <c r="AE761" s="85"/>
      <c r="AF761" s="85"/>
      <c r="AG761" s="85"/>
      <c r="AH761" s="85"/>
      <c r="AI761" s="85"/>
      <c r="AJ761" s="85"/>
      <c r="AK761" s="85"/>
      <c r="AL761" s="85"/>
      <c r="AM761" s="85"/>
    </row>
    <row r="762">
      <c r="A762" s="85"/>
      <c r="B762" s="84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  <c r="AB762" s="85"/>
      <c r="AC762" s="85"/>
      <c r="AD762" s="85"/>
      <c r="AE762" s="85"/>
      <c r="AF762" s="85"/>
      <c r="AG762" s="85"/>
      <c r="AH762" s="85"/>
      <c r="AI762" s="85"/>
      <c r="AJ762" s="85"/>
      <c r="AK762" s="85"/>
      <c r="AL762" s="85"/>
      <c r="AM762" s="85"/>
    </row>
    <row r="763">
      <c r="A763" s="85"/>
      <c r="B763" s="84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</row>
    <row r="764">
      <c r="A764" s="85"/>
      <c r="B764" s="84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  <c r="AB764" s="85"/>
      <c r="AC764" s="85"/>
      <c r="AD764" s="85"/>
      <c r="AE764" s="85"/>
      <c r="AF764" s="85"/>
      <c r="AG764" s="85"/>
      <c r="AH764" s="85"/>
      <c r="AI764" s="85"/>
      <c r="AJ764" s="85"/>
      <c r="AK764" s="85"/>
      <c r="AL764" s="85"/>
      <c r="AM764" s="85"/>
    </row>
    <row r="765">
      <c r="A765" s="85"/>
      <c r="B765" s="84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  <c r="AB765" s="85"/>
      <c r="AC765" s="85"/>
      <c r="AD765" s="85"/>
      <c r="AE765" s="85"/>
      <c r="AF765" s="85"/>
      <c r="AG765" s="85"/>
      <c r="AH765" s="85"/>
      <c r="AI765" s="85"/>
      <c r="AJ765" s="85"/>
      <c r="AK765" s="85"/>
      <c r="AL765" s="85"/>
      <c r="AM765" s="85"/>
    </row>
    <row r="766">
      <c r="A766" s="85"/>
      <c r="B766" s="84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  <c r="AB766" s="85"/>
      <c r="AC766" s="85"/>
      <c r="AD766" s="85"/>
      <c r="AE766" s="85"/>
      <c r="AF766" s="85"/>
      <c r="AG766" s="85"/>
      <c r="AH766" s="85"/>
      <c r="AI766" s="85"/>
      <c r="AJ766" s="85"/>
      <c r="AK766" s="85"/>
      <c r="AL766" s="85"/>
      <c r="AM766" s="85"/>
    </row>
    <row r="767">
      <c r="A767" s="85"/>
      <c r="B767" s="84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  <c r="AB767" s="85"/>
      <c r="AC767" s="85"/>
      <c r="AD767" s="85"/>
      <c r="AE767" s="85"/>
      <c r="AF767" s="85"/>
      <c r="AG767" s="85"/>
      <c r="AH767" s="85"/>
      <c r="AI767" s="85"/>
      <c r="AJ767" s="85"/>
      <c r="AK767" s="85"/>
      <c r="AL767" s="85"/>
      <c r="AM767" s="85"/>
    </row>
    <row r="768">
      <c r="A768" s="85"/>
      <c r="B768" s="84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  <c r="AB768" s="85"/>
      <c r="AC768" s="85"/>
      <c r="AD768" s="85"/>
      <c r="AE768" s="85"/>
      <c r="AF768" s="85"/>
      <c r="AG768" s="85"/>
      <c r="AH768" s="85"/>
      <c r="AI768" s="85"/>
      <c r="AJ768" s="85"/>
      <c r="AK768" s="85"/>
      <c r="AL768" s="85"/>
      <c r="AM768" s="85"/>
    </row>
    <row r="769">
      <c r="A769" s="85"/>
      <c r="B769" s="84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  <c r="AB769" s="85"/>
      <c r="AC769" s="85"/>
      <c r="AD769" s="85"/>
      <c r="AE769" s="85"/>
      <c r="AF769" s="85"/>
      <c r="AG769" s="85"/>
      <c r="AH769" s="85"/>
      <c r="AI769" s="85"/>
      <c r="AJ769" s="85"/>
      <c r="AK769" s="85"/>
      <c r="AL769" s="85"/>
      <c r="AM769" s="85"/>
    </row>
    <row r="770">
      <c r="A770" s="85"/>
      <c r="B770" s="84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  <c r="AB770" s="85"/>
      <c r="AC770" s="85"/>
      <c r="AD770" s="85"/>
      <c r="AE770" s="85"/>
      <c r="AF770" s="85"/>
      <c r="AG770" s="85"/>
      <c r="AH770" s="85"/>
      <c r="AI770" s="85"/>
      <c r="AJ770" s="85"/>
      <c r="AK770" s="85"/>
      <c r="AL770" s="85"/>
      <c r="AM770" s="85"/>
    </row>
    <row r="771">
      <c r="A771" s="85"/>
      <c r="B771" s="84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  <c r="AB771" s="85"/>
      <c r="AC771" s="85"/>
      <c r="AD771" s="85"/>
      <c r="AE771" s="85"/>
      <c r="AF771" s="85"/>
      <c r="AG771" s="85"/>
      <c r="AH771" s="85"/>
      <c r="AI771" s="85"/>
      <c r="AJ771" s="85"/>
      <c r="AK771" s="85"/>
      <c r="AL771" s="85"/>
      <c r="AM771" s="85"/>
    </row>
    <row r="772">
      <c r="A772" s="85"/>
      <c r="B772" s="84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  <c r="AB772" s="85"/>
      <c r="AC772" s="85"/>
      <c r="AD772" s="85"/>
      <c r="AE772" s="85"/>
      <c r="AF772" s="85"/>
      <c r="AG772" s="85"/>
      <c r="AH772" s="85"/>
      <c r="AI772" s="85"/>
      <c r="AJ772" s="85"/>
      <c r="AK772" s="85"/>
      <c r="AL772" s="85"/>
      <c r="AM772" s="85"/>
    </row>
    <row r="773">
      <c r="A773" s="85"/>
      <c r="B773" s="84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  <c r="AB773" s="85"/>
      <c r="AC773" s="85"/>
      <c r="AD773" s="85"/>
      <c r="AE773" s="85"/>
      <c r="AF773" s="85"/>
      <c r="AG773" s="85"/>
      <c r="AH773" s="85"/>
      <c r="AI773" s="85"/>
      <c r="AJ773" s="85"/>
      <c r="AK773" s="85"/>
      <c r="AL773" s="85"/>
      <c r="AM773" s="85"/>
    </row>
    <row r="774">
      <c r="A774" s="85"/>
      <c r="B774" s="84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  <c r="AB774" s="85"/>
      <c r="AC774" s="85"/>
      <c r="AD774" s="85"/>
      <c r="AE774" s="85"/>
      <c r="AF774" s="85"/>
      <c r="AG774" s="85"/>
      <c r="AH774" s="85"/>
      <c r="AI774" s="85"/>
      <c r="AJ774" s="85"/>
      <c r="AK774" s="85"/>
      <c r="AL774" s="85"/>
      <c r="AM774" s="85"/>
    </row>
    <row r="775">
      <c r="A775" s="85"/>
      <c r="B775" s="84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  <c r="AB775" s="85"/>
      <c r="AC775" s="85"/>
      <c r="AD775" s="85"/>
      <c r="AE775" s="85"/>
      <c r="AF775" s="85"/>
      <c r="AG775" s="85"/>
      <c r="AH775" s="85"/>
      <c r="AI775" s="85"/>
      <c r="AJ775" s="85"/>
      <c r="AK775" s="85"/>
      <c r="AL775" s="85"/>
      <c r="AM775" s="85"/>
    </row>
    <row r="776">
      <c r="A776" s="85"/>
      <c r="B776" s="84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  <c r="AB776" s="85"/>
      <c r="AC776" s="85"/>
      <c r="AD776" s="85"/>
      <c r="AE776" s="85"/>
      <c r="AF776" s="85"/>
      <c r="AG776" s="85"/>
      <c r="AH776" s="85"/>
      <c r="AI776" s="85"/>
      <c r="AJ776" s="85"/>
      <c r="AK776" s="85"/>
      <c r="AL776" s="85"/>
      <c r="AM776" s="85"/>
    </row>
    <row r="777">
      <c r="A777" s="85"/>
      <c r="B777" s="84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  <c r="AB777" s="85"/>
      <c r="AC777" s="85"/>
      <c r="AD777" s="85"/>
      <c r="AE777" s="85"/>
      <c r="AF777" s="85"/>
      <c r="AG777" s="85"/>
      <c r="AH777" s="85"/>
      <c r="AI777" s="85"/>
      <c r="AJ777" s="85"/>
      <c r="AK777" s="85"/>
      <c r="AL777" s="85"/>
      <c r="AM777" s="85"/>
    </row>
    <row r="778">
      <c r="A778" s="85"/>
      <c r="B778" s="84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  <c r="AC778" s="85"/>
      <c r="AD778" s="85"/>
      <c r="AE778" s="85"/>
      <c r="AF778" s="85"/>
      <c r="AG778" s="85"/>
      <c r="AH778" s="85"/>
      <c r="AI778" s="85"/>
      <c r="AJ778" s="85"/>
      <c r="AK778" s="85"/>
      <c r="AL778" s="85"/>
      <c r="AM778" s="85"/>
    </row>
    <row r="779">
      <c r="A779" s="85"/>
      <c r="B779" s="84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  <c r="AB779" s="85"/>
      <c r="AC779" s="85"/>
      <c r="AD779" s="85"/>
      <c r="AE779" s="85"/>
      <c r="AF779" s="85"/>
      <c r="AG779" s="85"/>
      <c r="AH779" s="85"/>
      <c r="AI779" s="85"/>
      <c r="AJ779" s="85"/>
      <c r="AK779" s="85"/>
      <c r="AL779" s="85"/>
      <c r="AM779" s="85"/>
    </row>
    <row r="780">
      <c r="A780" s="85"/>
      <c r="B780" s="84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  <c r="AB780" s="85"/>
      <c r="AC780" s="85"/>
      <c r="AD780" s="85"/>
      <c r="AE780" s="85"/>
      <c r="AF780" s="85"/>
      <c r="AG780" s="85"/>
      <c r="AH780" s="85"/>
      <c r="AI780" s="85"/>
      <c r="AJ780" s="85"/>
      <c r="AK780" s="85"/>
      <c r="AL780" s="85"/>
      <c r="AM780" s="85"/>
    </row>
    <row r="781">
      <c r="A781" s="85"/>
      <c r="B781" s="84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  <c r="AB781" s="85"/>
      <c r="AC781" s="85"/>
      <c r="AD781" s="85"/>
      <c r="AE781" s="85"/>
      <c r="AF781" s="85"/>
      <c r="AG781" s="85"/>
      <c r="AH781" s="85"/>
      <c r="AI781" s="85"/>
      <c r="AJ781" s="85"/>
      <c r="AK781" s="85"/>
      <c r="AL781" s="85"/>
      <c r="AM781" s="85"/>
    </row>
    <row r="782">
      <c r="A782" s="85"/>
      <c r="B782" s="84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  <c r="AB782" s="85"/>
      <c r="AC782" s="85"/>
      <c r="AD782" s="85"/>
      <c r="AE782" s="85"/>
      <c r="AF782" s="85"/>
      <c r="AG782" s="85"/>
      <c r="AH782" s="85"/>
      <c r="AI782" s="85"/>
      <c r="AJ782" s="85"/>
      <c r="AK782" s="85"/>
      <c r="AL782" s="85"/>
      <c r="AM782" s="85"/>
    </row>
    <row r="783">
      <c r="A783" s="85"/>
      <c r="B783" s="84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  <c r="AB783" s="85"/>
      <c r="AC783" s="85"/>
      <c r="AD783" s="85"/>
      <c r="AE783" s="85"/>
      <c r="AF783" s="85"/>
      <c r="AG783" s="85"/>
      <c r="AH783" s="85"/>
      <c r="AI783" s="85"/>
      <c r="AJ783" s="85"/>
      <c r="AK783" s="85"/>
      <c r="AL783" s="85"/>
      <c r="AM783" s="85"/>
    </row>
    <row r="784">
      <c r="A784" s="85"/>
      <c r="B784" s="84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  <c r="AB784" s="85"/>
      <c r="AC784" s="85"/>
      <c r="AD784" s="85"/>
      <c r="AE784" s="85"/>
      <c r="AF784" s="85"/>
      <c r="AG784" s="85"/>
      <c r="AH784" s="85"/>
      <c r="AI784" s="85"/>
      <c r="AJ784" s="85"/>
      <c r="AK784" s="85"/>
      <c r="AL784" s="85"/>
      <c r="AM784" s="85"/>
    </row>
    <row r="785">
      <c r="A785" s="85"/>
      <c r="B785" s="84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  <c r="AB785" s="85"/>
      <c r="AC785" s="85"/>
      <c r="AD785" s="85"/>
      <c r="AE785" s="85"/>
      <c r="AF785" s="85"/>
      <c r="AG785" s="85"/>
      <c r="AH785" s="85"/>
      <c r="AI785" s="85"/>
      <c r="AJ785" s="85"/>
      <c r="AK785" s="85"/>
      <c r="AL785" s="85"/>
      <c r="AM785" s="85"/>
    </row>
    <row r="786">
      <c r="A786" s="85"/>
      <c r="B786" s="84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  <c r="AB786" s="85"/>
      <c r="AC786" s="85"/>
      <c r="AD786" s="85"/>
      <c r="AE786" s="85"/>
      <c r="AF786" s="85"/>
      <c r="AG786" s="85"/>
      <c r="AH786" s="85"/>
      <c r="AI786" s="85"/>
      <c r="AJ786" s="85"/>
      <c r="AK786" s="85"/>
      <c r="AL786" s="85"/>
      <c r="AM786" s="85"/>
    </row>
    <row r="787">
      <c r="A787" s="85"/>
      <c r="B787" s="84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  <c r="AB787" s="85"/>
      <c r="AC787" s="85"/>
      <c r="AD787" s="85"/>
      <c r="AE787" s="85"/>
      <c r="AF787" s="85"/>
      <c r="AG787" s="85"/>
      <c r="AH787" s="85"/>
      <c r="AI787" s="85"/>
      <c r="AJ787" s="85"/>
      <c r="AK787" s="85"/>
      <c r="AL787" s="85"/>
      <c r="AM787" s="85"/>
    </row>
    <row r="788">
      <c r="A788" s="85"/>
      <c r="B788" s="84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  <c r="AB788" s="85"/>
      <c r="AC788" s="85"/>
      <c r="AD788" s="85"/>
      <c r="AE788" s="85"/>
      <c r="AF788" s="85"/>
      <c r="AG788" s="85"/>
      <c r="AH788" s="85"/>
      <c r="AI788" s="85"/>
      <c r="AJ788" s="85"/>
      <c r="AK788" s="85"/>
      <c r="AL788" s="85"/>
      <c r="AM788" s="85"/>
    </row>
    <row r="789">
      <c r="A789" s="85"/>
      <c r="B789" s="84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  <c r="AB789" s="85"/>
      <c r="AC789" s="85"/>
      <c r="AD789" s="85"/>
      <c r="AE789" s="85"/>
      <c r="AF789" s="85"/>
      <c r="AG789" s="85"/>
      <c r="AH789" s="85"/>
      <c r="AI789" s="85"/>
      <c r="AJ789" s="85"/>
      <c r="AK789" s="85"/>
      <c r="AL789" s="85"/>
      <c r="AM789" s="85"/>
    </row>
    <row r="790">
      <c r="A790" s="85"/>
      <c r="B790" s="84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  <c r="AB790" s="85"/>
      <c r="AC790" s="85"/>
      <c r="AD790" s="85"/>
      <c r="AE790" s="85"/>
      <c r="AF790" s="85"/>
      <c r="AG790" s="85"/>
      <c r="AH790" s="85"/>
      <c r="AI790" s="85"/>
      <c r="AJ790" s="85"/>
      <c r="AK790" s="85"/>
      <c r="AL790" s="85"/>
      <c r="AM790" s="85"/>
    </row>
    <row r="791">
      <c r="A791" s="85"/>
      <c r="B791" s="84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  <c r="AB791" s="85"/>
      <c r="AC791" s="85"/>
      <c r="AD791" s="85"/>
      <c r="AE791" s="85"/>
      <c r="AF791" s="85"/>
      <c r="AG791" s="85"/>
      <c r="AH791" s="85"/>
      <c r="AI791" s="85"/>
      <c r="AJ791" s="85"/>
      <c r="AK791" s="85"/>
      <c r="AL791" s="85"/>
      <c r="AM791" s="85"/>
    </row>
    <row r="792">
      <c r="A792" s="85"/>
      <c r="B792" s="84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  <c r="AC792" s="85"/>
      <c r="AD792" s="85"/>
      <c r="AE792" s="85"/>
      <c r="AF792" s="85"/>
      <c r="AG792" s="85"/>
      <c r="AH792" s="85"/>
      <c r="AI792" s="85"/>
      <c r="AJ792" s="85"/>
      <c r="AK792" s="85"/>
      <c r="AL792" s="85"/>
      <c r="AM792" s="85"/>
    </row>
    <row r="793">
      <c r="A793" s="85"/>
      <c r="B793" s="84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  <c r="AB793" s="85"/>
      <c r="AC793" s="85"/>
      <c r="AD793" s="85"/>
      <c r="AE793" s="85"/>
      <c r="AF793" s="85"/>
      <c r="AG793" s="85"/>
      <c r="AH793" s="85"/>
      <c r="AI793" s="85"/>
      <c r="AJ793" s="85"/>
      <c r="AK793" s="85"/>
      <c r="AL793" s="85"/>
      <c r="AM793" s="85"/>
    </row>
    <row r="794">
      <c r="A794" s="85"/>
      <c r="B794" s="84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  <c r="AB794" s="85"/>
      <c r="AC794" s="85"/>
      <c r="AD794" s="85"/>
      <c r="AE794" s="85"/>
      <c r="AF794" s="85"/>
      <c r="AG794" s="85"/>
      <c r="AH794" s="85"/>
      <c r="AI794" s="85"/>
      <c r="AJ794" s="85"/>
      <c r="AK794" s="85"/>
      <c r="AL794" s="85"/>
      <c r="AM794" s="85"/>
    </row>
    <row r="795">
      <c r="A795" s="85"/>
      <c r="B795" s="84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  <c r="AB795" s="85"/>
      <c r="AC795" s="85"/>
      <c r="AD795" s="85"/>
      <c r="AE795" s="85"/>
      <c r="AF795" s="85"/>
      <c r="AG795" s="85"/>
      <c r="AH795" s="85"/>
      <c r="AI795" s="85"/>
      <c r="AJ795" s="85"/>
      <c r="AK795" s="85"/>
      <c r="AL795" s="85"/>
      <c r="AM795" s="85"/>
    </row>
    <row r="796">
      <c r="A796" s="85"/>
      <c r="B796" s="84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  <c r="AB796" s="85"/>
      <c r="AC796" s="85"/>
      <c r="AD796" s="85"/>
      <c r="AE796" s="85"/>
      <c r="AF796" s="85"/>
      <c r="AG796" s="85"/>
      <c r="AH796" s="85"/>
      <c r="AI796" s="85"/>
      <c r="AJ796" s="85"/>
      <c r="AK796" s="85"/>
      <c r="AL796" s="85"/>
      <c r="AM796" s="85"/>
    </row>
    <row r="797">
      <c r="A797" s="85"/>
      <c r="B797" s="84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  <c r="AB797" s="85"/>
      <c r="AC797" s="85"/>
      <c r="AD797" s="85"/>
      <c r="AE797" s="85"/>
      <c r="AF797" s="85"/>
      <c r="AG797" s="85"/>
      <c r="AH797" s="85"/>
      <c r="AI797" s="85"/>
      <c r="AJ797" s="85"/>
      <c r="AK797" s="85"/>
      <c r="AL797" s="85"/>
      <c r="AM797" s="85"/>
    </row>
    <row r="798">
      <c r="A798" s="85"/>
      <c r="B798" s="84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  <c r="AB798" s="85"/>
      <c r="AC798" s="85"/>
      <c r="AD798" s="85"/>
      <c r="AE798" s="85"/>
      <c r="AF798" s="85"/>
      <c r="AG798" s="85"/>
      <c r="AH798" s="85"/>
      <c r="AI798" s="85"/>
      <c r="AJ798" s="85"/>
      <c r="AK798" s="85"/>
      <c r="AL798" s="85"/>
      <c r="AM798" s="85"/>
    </row>
    <row r="799">
      <c r="A799" s="85"/>
      <c r="B799" s="84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  <c r="AB799" s="85"/>
      <c r="AC799" s="85"/>
      <c r="AD799" s="85"/>
      <c r="AE799" s="85"/>
      <c r="AF799" s="85"/>
      <c r="AG799" s="85"/>
      <c r="AH799" s="85"/>
      <c r="AI799" s="85"/>
      <c r="AJ799" s="85"/>
      <c r="AK799" s="85"/>
      <c r="AL799" s="85"/>
      <c r="AM799" s="85"/>
    </row>
    <row r="800">
      <c r="A800" s="85"/>
      <c r="B800" s="84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  <c r="AB800" s="85"/>
      <c r="AC800" s="85"/>
      <c r="AD800" s="85"/>
      <c r="AE800" s="85"/>
      <c r="AF800" s="85"/>
      <c r="AG800" s="85"/>
      <c r="AH800" s="85"/>
      <c r="AI800" s="85"/>
      <c r="AJ800" s="85"/>
      <c r="AK800" s="85"/>
      <c r="AL800" s="85"/>
      <c r="AM800" s="85"/>
    </row>
    <row r="801">
      <c r="A801" s="85"/>
      <c r="B801" s="84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</row>
    <row r="802">
      <c r="A802" s="85"/>
      <c r="B802" s="84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  <c r="AC802" s="85"/>
      <c r="AD802" s="85"/>
      <c r="AE802" s="85"/>
      <c r="AF802" s="85"/>
      <c r="AG802" s="85"/>
      <c r="AH802" s="85"/>
      <c r="AI802" s="85"/>
      <c r="AJ802" s="85"/>
      <c r="AK802" s="85"/>
      <c r="AL802" s="85"/>
      <c r="AM802" s="85"/>
    </row>
    <row r="803">
      <c r="A803" s="85"/>
      <c r="B803" s="84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  <c r="AB803" s="85"/>
      <c r="AC803" s="85"/>
      <c r="AD803" s="85"/>
      <c r="AE803" s="85"/>
      <c r="AF803" s="85"/>
      <c r="AG803" s="85"/>
      <c r="AH803" s="85"/>
      <c r="AI803" s="85"/>
      <c r="AJ803" s="85"/>
      <c r="AK803" s="85"/>
      <c r="AL803" s="85"/>
      <c r="AM803" s="85"/>
    </row>
    <row r="804">
      <c r="A804" s="85"/>
      <c r="B804" s="84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  <c r="AB804" s="85"/>
      <c r="AC804" s="85"/>
      <c r="AD804" s="85"/>
      <c r="AE804" s="85"/>
      <c r="AF804" s="85"/>
      <c r="AG804" s="85"/>
      <c r="AH804" s="85"/>
      <c r="AI804" s="85"/>
      <c r="AJ804" s="85"/>
      <c r="AK804" s="85"/>
      <c r="AL804" s="85"/>
      <c r="AM804" s="85"/>
    </row>
    <row r="805">
      <c r="A805" s="85"/>
      <c r="B805" s="84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  <c r="AB805" s="85"/>
      <c r="AC805" s="85"/>
      <c r="AD805" s="85"/>
      <c r="AE805" s="85"/>
      <c r="AF805" s="85"/>
      <c r="AG805" s="85"/>
      <c r="AH805" s="85"/>
      <c r="AI805" s="85"/>
      <c r="AJ805" s="85"/>
      <c r="AK805" s="85"/>
      <c r="AL805" s="85"/>
      <c r="AM805" s="85"/>
    </row>
    <row r="806">
      <c r="A806" s="85"/>
      <c r="B806" s="84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  <c r="AB806" s="85"/>
      <c r="AC806" s="85"/>
      <c r="AD806" s="85"/>
      <c r="AE806" s="85"/>
      <c r="AF806" s="85"/>
      <c r="AG806" s="85"/>
      <c r="AH806" s="85"/>
      <c r="AI806" s="85"/>
      <c r="AJ806" s="85"/>
      <c r="AK806" s="85"/>
      <c r="AL806" s="85"/>
      <c r="AM806" s="85"/>
    </row>
    <row r="807">
      <c r="A807" s="85"/>
      <c r="B807" s="84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  <c r="AB807" s="85"/>
      <c r="AC807" s="85"/>
      <c r="AD807" s="85"/>
      <c r="AE807" s="85"/>
      <c r="AF807" s="85"/>
      <c r="AG807" s="85"/>
      <c r="AH807" s="85"/>
      <c r="AI807" s="85"/>
      <c r="AJ807" s="85"/>
      <c r="AK807" s="85"/>
      <c r="AL807" s="85"/>
      <c r="AM807" s="85"/>
    </row>
    <row r="808">
      <c r="A808" s="85"/>
      <c r="B808" s="84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  <c r="AB808" s="85"/>
      <c r="AC808" s="85"/>
      <c r="AD808" s="85"/>
      <c r="AE808" s="85"/>
      <c r="AF808" s="85"/>
      <c r="AG808" s="85"/>
      <c r="AH808" s="85"/>
      <c r="AI808" s="85"/>
      <c r="AJ808" s="85"/>
      <c r="AK808" s="85"/>
      <c r="AL808" s="85"/>
      <c r="AM808" s="85"/>
    </row>
    <row r="809">
      <c r="A809" s="85"/>
      <c r="B809" s="84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  <c r="AB809" s="85"/>
      <c r="AC809" s="85"/>
      <c r="AD809" s="85"/>
      <c r="AE809" s="85"/>
      <c r="AF809" s="85"/>
      <c r="AG809" s="85"/>
      <c r="AH809" s="85"/>
      <c r="AI809" s="85"/>
      <c r="AJ809" s="85"/>
      <c r="AK809" s="85"/>
      <c r="AL809" s="85"/>
      <c r="AM809" s="85"/>
    </row>
    <row r="810">
      <c r="A810" s="85"/>
      <c r="B810" s="84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  <c r="AB810" s="85"/>
      <c r="AC810" s="85"/>
      <c r="AD810" s="85"/>
      <c r="AE810" s="85"/>
      <c r="AF810" s="85"/>
      <c r="AG810" s="85"/>
      <c r="AH810" s="85"/>
      <c r="AI810" s="85"/>
      <c r="AJ810" s="85"/>
      <c r="AK810" s="85"/>
      <c r="AL810" s="85"/>
      <c r="AM810" s="85"/>
    </row>
    <row r="811">
      <c r="A811" s="85"/>
      <c r="B811" s="84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  <c r="AB811" s="85"/>
      <c r="AC811" s="85"/>
      <c r="AD811" s="85"/>
      <c r="AE811" s="85"/>
      <c r="AF811" s="85"/>
      <c r="AG811" s="85"/>
      <c r="AH811" s="85"/>
      <c r="AI811" s="85"/>
      <c r="AJ811" s="85"/>
      <c r="AK811" s="85"/>
      <c r="AL811" s="85"/>
      <c r="AM811" s="85"/>
    </row>
    <row r="812">
      <c r="A812" s="85"/>
      <c r="B812" s="84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  <c r="AB812" s="85"/>
      <c r="AC812" s="85"/>
      <c r="AD812" s="85"/>
      <c r="AE812" s="85"/>
      <c r="AF812" s="85"/>
      <c r="AG812" s="85"/>
      <c r="AH812" s="85"/>
      <c r="AI812" s="85"/>
      <c r="AJ812" s="85"/>
      <c r="AK812" s="85"/>
      <c r="AL812" s="85"/>
      <c r="AM812" s="85"/>
    </row>
    <row r="813">
      <c r="A813" s="85"/>
      <c r="B813" s="84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  <c r="AB813" s="85"/>
      <c r="AC813" s="85"/>
      <c r="AD813" s="85"/>
      <c r="AE813" s="85"/>
      <c r="AF813" s="85"/>
      <c r="AG813" s="85"/>
      <c r="AH813" s="85"/>
      <c r="AI813" s="85"/>
      <c r="AJ813" s="85"/>
      <c r="AK813" s="85"/>
      <c r="AL813" s="85"/>
      <c r="AM813" s="85"/>
    </row>
    <row r="814">
      <c r="A814" s="85"/>
      <c r="B814" s="84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  <c r="AB814" s="85"/>
      <c r="AC814" s="85"/>
      <c r="AD814" s="85"/>
      <c r="AE814" s="85"/>
      <c r="AF814" s="85"/>
      <c r="AG814" s="85"/>
      <c r="AH814" s="85"/>
      <c r="AI814" s="85"/>
      <c r="AJ814" s="85"/>
      <c r="AK814" s="85"/>
      <c r="AL814" s="85"/>
      <c r="AM814" s="85"/>
    </row>
    <row r="815">
      <c r="A815" s="85"/>
      <c r="B815" s="84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  <c r="AB815" s="85"/>
      <c r="AC815" s="85"/>
      <c r="AD815" s="85"/>
      <c r="AE815" s="85"/>
      <c r="AF815" s="85"/>
      <c r="AG815" s="85"/>
      <c r="AH815" s="85"/>
      <c r="AI815" s="85"/>
      <c r="AJ815" s="85"/>
      <c r="AK815" s="85"/>
      <c r="AL815" s="85"/>
      <c r="AM815" s="85"/>
    </row>
    <row r="816">
      <c r="A816" s="85"/>
      <c r="B816" s="84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  <c r="AB816" s="85"/>
      <c r="AC816" s="85"/>
      <c r="AD816" s="85"/>
      <c r="AE816" s="85"/>
      <c r="AF816" s="85"/>
      <c r="AG816" s="85"/>
      <c r="AH816" s="85"/>
      <c r="AI816" s="85"/>
      <c r="AJ816" s="85"/>
      <c r="AK816" s="85"/>
      <c r="AL816" s="85"/>
      <c r="AM816" s="85"/>
    </row>
    <row r="817">
      <c r="A817" s="85"/>
      <c r="B817" s="84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  <c r="AB817" s="85"/>
      <c r="AC817" s="85"/>
      <c r="AD817" s="85"/>
      <c r="AE817" s="85"/>
      <c r="AF817" s="85"/>
      <c r="AG817" s="85"/>
      <c r="AH817" s="85"/>
      <c r="AI817" s="85"/>
      <c r="AJ817" s="85"/>
      <c r="AK817" s="85"/>
      <c r="AL817" s="85"/>
      <c r="AM817" s="85"/>
    </row>
    <row r="818">
      <c r="A818" s="85"/>
      <c r="B818" s="84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  <c r="AB818" s="85"/>
      <c r="AC818" s="85"/>
      <c r="AD818" s="85"/>
      <c r="AE818" s="85"/>
      <c r="AF818" s="85"/>
      <c r="AG818" s="85"/>
      <c r="AH818" s="85"/>
      <c r="AI818" s="85"/>
      <c r="AJ818" s="85"/>
      <c r="AK818" s="85"/>
      <c r="AL818" s="85"/>
      <c r="AM818" s="85"/>
    </row>
    <row r="819">
      <c r="A819" s="85"/>
      <c r="B819" s="84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  <c r="AB819" s="85"/>
      <c r="AC819" s="85"/>
      <c r="AD819" s="85"/>
      <c r="AE819" s="85"/>
      <c r="AF819" s="85"/>
      <c r="AG819" s="85"/>
      <c r="AH819" s="85"/>
      <c r="AI819" s="85"/>
      <c r="AJ819" s="85"/>
      <c r="AK819" s="85"/>
      <c r="AL819" s="85"/>
      <c r="AM819" s="85"/>
    </row>
    <row r="820">
      <c r="A820" s="85"/>
      <c r="B820" s="84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  <c r="AB820" s="85"/>
      <c r="AC820" s="85"/>
      <c r="AD820" s="85"/>
      <c r="AE820" s="85"/>
      <c r="AF820" s="85"/>
      <c r="AG820" s="85"/>
      <c r="AH820" s="85"/>
      <c r="AI820" s="85"/>
      <c r="AJ820" s="85"/>
      <c r="AK820" s="85"/>
      <c r="AL820" s="85"/>
      <c r="AM820" s="85"/>
    </row>
    <row r="821">
      <c r="A821" s="85"/>
      <c r="B821" s="84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  <c r="AB821" s="85"/>
      <c r="AC821" s="85"/>
      <c r="AD821" s="85"/>
      <c r="AE821" s="85"/>
      <c r="AF821" s="85"/>
      <c r="AG821" s="85"/>
      <c r="AH821" s="85"/>
      <c r="AI821" s="85"/>
      <c r="AJ821" s="85"/>
      <c r="AK821" s="85"/>
      <c r="AL821" s="85"/>
      <c r="AM821" s="85"/>
    </row>
    <row r="822">
      <c r="A822" s="85"/>
      <c r="B822" s="84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  <c r="AB822" s="85"/>
      <c r="AC822" s="85"/>
      <c r="AD822" s="85"/>
      <c r="AE822" s="85"/>
      <c r="AF822" s="85"/>
      <c r="AG822" s="85"/>
      <c r="AH822" s="85"/>
      <c r="AI822" s="85"/>
      <c r="AJ822" s="85"/>
      <c r="AK822" s="85"/>
      <c r="AL822" s="85"/>
      <c r="AM822" s="85"/>
    </row>
    <row r="823">
      <c r="A823" s="85"/>
      <c r="B823" s="84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  <c r="AB823" s="85"/>
      <c r="AC823" s="85"/>
      <c r="AD823" s="85"/>
      <c r="AE823" s="85"/>
      <c r="AF823" s="85"/>
      <c r="AG823" s="85"/>
      <c r="AH823" s="85"/>
      <c r="AI823" s="85"/>
      <c r="AJ823" s="85"/>
      <c r="AK823" s="85"/>
      <c r="AL823" s="85"/>
      <c r="AM823" s="85"/>
    </row>
    <row r="824">
      <c r="A824" s="85"/>
      <c r="B824" s="84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  <c r="AB824" s="85"/>
      <c r="AC824" s="85"/>
      <c r="AD824" s="85"/>
      <c r="AE824" s="85"/>
      <c r="AF824" s="85"/>
      <c r="AG824" s="85"/>
      <c r="AH824" s="85"/>
      <c r="AI824" s="85"/>
      <c r="AJ824" s="85"/>
      <c r="AK824" s="85"/>
      <c r="AL824" s="85"/>
      <c r="AM824" s="85"/>
    </row>
    <row r="825">
      <c r="A825" s="85"/>
      <c r="B825" s="84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  <c r="AB825" s="85"/>
      <c r="AC825" s="85"/>
      <c r="AD825" s="85"/>
      <c r="AE825" s="85"/>
      <c r="AF825" s="85"/>
      <c r="AG825" s="85"/>
      <c r="AH825" s="85"/>
      <c r="AI825" s="85"/>
      <c r="AJ825" s="85"/>
      <c r="AK825" s="85"/>
      <c r="AL825" s="85"/>
      <c r="AM825" s="85"/>
    </row>
    <row r="826">
      <c r="A826" s="85"/>
      <c r="B826" s="84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  <c r="AB826" s="85"/>
      <c r="AC826" s="85"/>
      <c r="AD826" s="85"/>
      <c r="AE826" s="85"/>
      <c r="AF826" s="85"/>
      <c r="AG826" s="85"/>
      <c r="AH826" s="85"/>
      <c r="AI826" s="85"/>
      <c r="AJ826" s="85"/>
      <c r="AK826" s="85"/>
      <c r="AL826" s="85"/>
      <c r="AM826" s="85"/>
    </row>
    <row r="827">
      <c r="A827" s="85"/>
      <c r="B827" s="84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  <c r="AB827" s="85"/>
      <c r="AC827" s="85"/>
      <c r="AD827" s="85"/>
      <c r="AE827" s="85"/>
      <c r="AF827" s="85"/>
      <c r="AG827" s="85"/>
      <c r="AH827" s="85"/>
      <c r="AI827" s="85"/>
      <c r="AJ827" s="85"/>
      <c r="AK827" s="85"/>
      <c r="AL827" s="85"/>
      <c r="AM827" s="85"/>
    </row>
    <row r="828">
      <c r="A828" s="85"/>
      <c r="B828" s="84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  <c r="AB828" s="85"/>
      <c r="AC828" s="85"/>
      <c r="AD828" s="85"/>
      <c r="AE828" s="85"/>
      <c r="AF828" s="85"/>
      <c r="AG828" s="85"/>
      <c r="AH828" s="85"/>
      <c r="AI828" s="85"/>
      <c r="AJ828" s="85"/>
      <c r="AK828" s="85"/>
      <c r="AL828" s="85"/>
      <c r="AM828" s="85"/>
    </row>
    <row r="829">
      <c r="A829" s="85"/>
      <c r="B829" s="84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  <c r="AB829" s="85"/>
      <c r="AC829" s="85"/>
      <c r="AD829" s="85"/>
      <c r="AE829" s="85"/>
      <c r="AF829" s="85"/>
      <c r="AG829" s="85"/>
      <c r="AH829" s="85"/>
      <c r="AI829" s="85"/>
      <c r="AJ829" s="85"/>
      <c r="AK829" s="85"/>
      <c r="AL829" s="85"/>
      <c r="AM829" s="85"/>
    </row>
    <row r="830">
      <c r="A830" s="85"/>
      <c r="B830" s="84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  <c r="AB830" s="85"/>
      <c r="AC830" s="85"/>
      <c r="AD830" s="85"/>
      <c r="AE830" s="85"/>
      <c r="AF830" s="85"/>
      <c r="AG830" s="85"/>
      <c r="AH830" s="85"/>
      <c r="AI830" s="85"/>
      <c r="AJ830" s="85"/>
      <c r="AK830" s="85"/>
      <c r="AL830" s="85"/>
      <c r="AM830" s="85"/>
    </row>
    <row r="831">
      <c r="A831" s="85"/>
      <c r="B831" s="84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  <c r="AB831" s="85"/>
      <c r="AC831" s="85"/>
      <c r="AD831" s="85"/>
      <c r="AE831" s="85"/>
      <c r="AF831" s="85"/>
      <c r="AG831" s="85"/>
      <c r="AH831" s="85"/>
      <c r="AI831" s="85"/>
      <c r="AJ831" s="85"/>
      <c r="AK831" s="85"/>
      <c r="AL831" s="85"/>
      <c r="AM831" s="85"/>
    </row>
    <row r="832">
      <c r="A832" s="85"/>
      <c r="B832" s="84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  <c r="AB832" s="85"/>
      <c r="AC832" s="85"/>
      <c r="AD832" s="85"/>
      <c r="AE832" s="85"/>
      <c r="AF832" s="85"/>
      <c r="AG832" s="85"/>
      <c r="AH832" s="85"/>
      <c r="AI832" s="85"/>
      <c r="AJ832" s="85"/>
      <c r="AK832" s="85"/>
      <c r="AL832" s="85"/>
      <c r="AM832" s="85"/>
    </row>
    <row r="833">
      <c r="A833" s="85"/>
      <c r="B833" s="84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  <c r="AB833" s="85"/>
      <c r="AC833" s="85"/>
      <c r="AD833" s="85"/>
      <c r="AE833" s="85"/>
      <c r="AF833" s="85"/>
      <c r="AG833" s="85"/>
      <c r="AH833" s="85"/>
      <c r="AI833" s="85"/>
      <c r="AJ833" s="85"/>
      <c r="AK833" s="85"/>
      <c r="AL833" s="85"/>
      <c r="AM833" s="85"/>
    </row>
    <row r="834">
      <c r="A834" s="85"/>
      <c r="B834" s="84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  <c r="AB834" s="85"/>
      <c r="AC834" s="85"/>
      <c r="AD834" s="85"/>
      <c r="AE834" s="85"/>
      <c r="AF834" s="85"/>
      <c r="AG834" s="85"/>
      <c r="AH834" s="85"/>
      <c r="AI834" s="85"/>
      <c r="AJ834" s="85"/>
      <c r="AK834" s="85"/>
      <c r="AL834" s="85"/>
      <c r="AM834" s="85"/>
    </row>
    <row r="835">
      <c r="A835" s="85"/>
      <c r="B835" s="84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  <c r="AB835" s="85"/>
      <c r="AC835" s="85"/>
      <c r="AD835" s="85"/>
      <c r="AE835" s="85"/>
      <c r="AF835" s="85"/>
      <c r="AG835" s="85"/>
      <c r="AH835" s="85"/>
      <c r="AI835" s="85"/>
      <c r="AJ835" s="85"/>
      <c r="AK835" s="85"/>
      <c r="AL835" s="85"/>
      <c r="AM835" s="85"/>
    </row>
    <row r="836">
      <c r="A836" s="85"/>
      <c r="B836" s="84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  <c r="AB836" s="85"/>
      <c r="AC836" s="85"/>
      <c r="AD836" s="85"/>
      <c r="AE836" s="85"/>
      <c r="AF836" s="85"/>
      <c r="AG836" s="85"/>
      <c r="AH836" s="85"/>
      <c r="AI836" s="85"/>
      <c r="AJ836" s="85"/>
      <c r="AK836" s="85"/>
      <c r="AL836" s="85"/>
      <c r="AM836" s="85"/>
    </row>
    <row r="837">
      <c r="A837" s="85"/>
      <c r="B837" s="84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  <c r="AB837" s="85"/>
      <c r="AC837" s="85"/>
      <c r="AD837" s="85"/>
      <c r="AE837" s="85"/>
      <c r="AF837" s="85"/>
      <c r="AG837" s="85"/>
      <c r="AH837" s="85"/>
      <c r="AI837" s="85"/>
      <c r="AJ837" s="85"/>
      <c r="AK837" s="85"/>
      <c r="AL837" s="85"/>
      <c r="AM837" s="85"/>
    </row>
    <row r="838">
      <c r="A838" s="85"/>
      <c r="B838" s="84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  <c r="AB838" s="85"/>
      <c r="AC838" s="85"/>
      <c r="AD838" s="85"/>
      <c r="AE838" s="85"/>
      <c r="AF838" s="85"/>
      <c r="AG838" s="85"/>
      <c r="AH838" s="85"/>
      <c r="AI838" s="85"/>
      <c r="AJ838" s="85"/>
      <c r="AK838" s="85"/>
      <c r="AL838" s="85"/>
      <c r="AM838" s="85"/>
    </row>
    <row r="839">
      <c r="A839" s="85"/>
      <c r="B839" s="84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</row>
    <row r="840">
      <c r="A840" s="85"/>
      <c r="B840" s="84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  <c r="AB840" s="85"/>
      <c r="AC840" s="85"/>
      <c r="AD840" s="85"/>
      <c r="AE840" s="85"/>
      <c r="AF840" s="85"/>
      <c r="AG840" s="85"/>
      <c r="AH840" s="85"/>
      <c r="AI840" s="85"/>
      <c r="AJ840" s="85"/>
      <c r="AK840" s="85"/>
      <c r="AL840" s="85"/>
      <c r="AM840" s="85"/>
    </row>
    <row r="841">
      <c r="A841" s="85"/>
      <c r="B841" s="84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  <c r="AB841" s="85"/>
      <c r="AC841" s="85"/>
      <c r="AD841" s="85"/>
      <c r="AE841" s="85"/>
      <c r="AF841" s="85"/>
      <c r="AG841" s="85"/>
      <c r="AH841" s="85"/>
      <c r="AI841" s="85"/>
      <c r="AJ841" s="85"/>
      <c r="AK841" s="85"/>
      <c r="AL841" s="85"/>
      <c r="AM841" s="85"/>
    </row>
    <row r="842">
      <c r="A842" s="85"/>
      <c r="B842" s="84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  <c r="AB842" s="85"/>
      <c r="AC842" s="85"/>
      <c r="AD842" s="85"/>
      <c r="AE842" s="85"/>
      <c r="AF842" s="85"/>
      <c r="AG842" s="85"/>
      <c r="AH842" s="85"/>
      <c r="AI842" s="85"/>
      <c r="AJ842" s="85"/>
      <c r="AK842" s="85"/>
      <c r="AL842" s="85"/>
      <c r="AM842" s="85"/>
    </row>
    <row r="843">
      <c r="A843" s="85"/>
      <c r="B843" s="84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  <c r="AB843" s="85"/>
      <c r="AC843" s="85"/>
      <c r="AD843" s="85"/>
      <c r="AE843" s="85"/>
      <c r="AF843" s="85"/>
      <c r="AG843" s="85"/>
      <c r="AH843" s="85"/>
      <c r="AI843" s="85"/>
      <c r="AJ843" s="85"/>
      <c r="AK843" s="85"/>
      <c r="AL843" s="85"/>
      <c r="AM843" s="85"/>
    </row>
    <row r="844">
      <c r="A844" s="85"/>
      <c r="B844" s="84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  <c r="AB844" s="85"/>
      <c r="AC844" s="85"/>
      <c r="AD844" s="85"/>
      <c r="AE844" s="85"/>
      <c r="AF844" s="85"/>
      <c r="AG844" s="85"/>
      <c r="AH844" s="85"/>
      <c r="AI844" s="85"/>
      <c r="AJ844" s="85"/>
      <c r="AK844" s="85"/>
      <c r="AL844" s="85"/>
      <c r="AM844" s="85"/>
    </row>
    <row r="845">
      <c r="A845" s="85"/>
      <c r="B845" s="84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  <c r="AB845" s="85"/>
      <c r="AC845" s="85"/>
      <c r="AD845" s="85"/>
      <c r="AE845" s="85"/>
      <c r="AF845" s="85"/>
      <c r="AG845" s="85"/>
      <c r="AH845" s="85"/>
      <c r="AI845" s="85"/>
      <c r="AJ845" s="85"/>
      <c r="AK845" s="85"/>
      <c r="AL845" s="85"/>
      <c r="AM845" s="85"/>
    </row>
    <row r="846">
      <c r="A846" s="85"/>
      <c r="B846" s="84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  <c r="AB846" s="85"/>
      <c r="AC846" s="85"/>
      <c r="AD846" s="85"/>
      <c r="AE846" s="85"/>
      <c r="AF846" s="85"/>
      <c r="AG846" s="85"/>
      <c r="AH846" s="85"/>
      <c r="AI846" s="85"/>
      <c r="AJ846" s="85"/>
      <c r="AK846" s="85"/>
      <c r="AL846" s="85"/>
      <c r="AM846" s="85"/>
    </row>
    <row r="847">
      <c r="A847" s="85"/>
      <c r="B847" s="84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  <c r="AB847" s="85"/>
      <c r="AC847" s="85"/>
      <c r="AD847" s="85"/>
      <c r="AE847" s="85"/>
      <c r="AF847" s="85"/>
      <c r="AG847" s="85"/>
      <c r="AH847" s="85"/>
      <c r="AI847" s="85"/>
      <c r="AJ847" s="85"/>
      <c r="AK847" s="85"/>
      <c r="AL847" s="85"/>
      <c r="AM847" s="85"/>
    </row>
    <row r="848">
      <c r="A848" s="85"/>
      <c r="B848" s="84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  <c r="AB848" s="85"/>
      <c r="AC848" s="85"/>
      <c r="AD848" s="85"/>
      <c r="AE848" s="85"/>
      <c r="AF848" s="85"/>
      <c r="AG848" s="85"/>
      <c r="AH848" s="85"/>
      <c r="AI848" s="85"/>
      <c r="AJ848" s="85"/>
      <c r="AK848" s="85"/>
      <c r="AL848" s="85"/>
      <c r="AM848" s="85"/>
    </row>
    <row r="849">
      <c r="A849" s="85"/>
      <c r="B849" s="84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  <c r="AB849" s="85"/>
      <c r="AC849" s="85"/>
      <c r="AD849" s="85"/>
      <c r="AE849" s="85"/>
      <c r="AF849" s="85"/>
      <c r="AG849" s="85"/>
      <c r="AH849" s="85"/>
      <c r="AI849" s="85"/>
      <c r="AJ849" s="85"/>
      <c r="AK849" s="85"/>
      <c r="AL849" s="85"/>
      <c r="AM849" s="85"/>
    </row>
    <row r="850">
      <c r="A850" s="85"/>
      <c r="B850" s="84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  <c r="AB850" s="85"/>
      <c r="AC850" s="85"/>
      <c r="AD850" s="85"/>
      <c r="AE850" s="85"/>
      <c r="AF850" s="85"/>
      <c r="AG850" s="85"/>
      <c r="AH850" s="85"/>
      <c r="AI850" s="85"/>
      <c r="AJ850" s="85"/>
      <c r="AK850" s="85"/>
      <c r="AL850" s="85"/>
      <c r="AM850" s="85"/>
    </row>
    <row r="851">
      <c r="A851" s="85"/>
      <c r="B851" s="84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  <c r="AB851" s="85"/>
      <c r="AC851" s="85"/>
      <c r="AD851" s="85"/>
      <c r="AE851" s="85"/>
      <c r="AF851" s="85"/>
      <c r="AG851" s="85"/>
      <c r="AH851" s="85"/>
      <c r="AI851" s="85"/>
      <c r="AJ851" s="85"/>
      <c r="AK851" s="85"/>
      <c r="AL851" s="85"/>
      <c r="AM851" s="85"/>
    </row>
    <row r="852">
      <c r="A852" s="85"/>
      <c r="B852" s="84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  <c r="AB852" s="85"/>
      <c r="AC852" s="85"/>
      <c r="AD852" s="85"/>
      <c r="AE852" s="85"/>
      <c r="AF852" s="85"/>
      <c r="AG852" s="85"/>
      <c r="AH852" s="85"/>
      <c r="AI852" s="85"/>
      <c r="AJ852" s="85"/>
      <c r="AK852" s="85"/>
      <c r="AL852" s="85"/>
      <c r="AM852" s="85"/>
    </row>
    <row r="853">
      <c r="A853" s="85"/>
      <c r="B853" s="84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  <c r="AB853" s="85"/>
      <c r="AC853" s="85"/>
      <c r="AD853" s="85"/>
      <c r="AE853" s="85"/>
      <c r="AF853" s="85"/>
      <c r="AG853" s="85"/>
      <c r="AH853" s="85"/>
      <c r="AI853" s="85"/>
      <c r="AJ853" s="85"/>
      <c r="AK853" s="85"/>
      <c r="AL853" s="85"/>
      <c r="AM853" s="85"/>
    </row>
    <row r="854">
      <c r="A854" s="85"/>
      <c r="B854" s="84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  <c r="AB854" s="85"/>
      <c r="AC854" s="85"/>
      <c r="AD854" s="85"/>
      <c r="AE854" s="85"/>
      <c r="AF854" s="85"/>
      <c r="AG854" s="85"/>
      <c r="AH854" s="85"/>
      <c r="AI854" s="85"/>
      <c r="AJ854" s="85"/>
      <c r="AK854" s="85"/>
      <c r="AL854" s="85"/>
      <c r="AM854" s="85"/>
    </row>
    <row r="855">
      <c r="A855" s="85"/>
      <c r="B855" s="84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  <c r="AB855" s="85"/>
      <c r="AC855" s="85"/>
      <c r="AD855" s="85"/>
      <c r="AE855" s="85"/>
      <c r="AF855" s="85"/>
      <c r="AG855" s="85"/>
      <c r="AH855" s="85"/>
      <c r="AI855" s="85"/>
      <c r="AJ855" s="85"/>
      <c r="AK855" s="85"/>
      <c r="AL855" s="85"/>
      <c r="AM855" s="85"/>
    </row>
    <row r="856">
      <c r="A856" s="85"/>
      <c r="B856" s="84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  <c r="AB856" s="85"/>
      <c r="AC856" s="85"/>
      <c r="AD856" s="85"/>
      <c r="AE856" s="85"/>
      <c r="AF856" s="85"/>
      <c r="AG856" s="85"/>
      <c r="AH856" s="85"/>
      <c r="AI856" s="85"/>
      <c r="AJ856" s="85"/>
      <c r="AK856" s="85"/>
      <c r="AL856" s="85"/>
      <c r="AM856" s="85"/>
    </row>
    <row r="857">
      <c r="A857" s="85"/>
      <c r="B857" s="84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  <c r="AB857" s="85"/>
      <c r="AC857" s="85"/>
      <c r="AD857" s="85"/>
      <c r="AE857" s="85"/>
      <c r="AF857" s="85"/>
      <c r="AG857" s="85"/>
      <c r="AH857" s="85"/>
      <c r="AI857" s="85"/>
      <c r="AJ857" s="85"/>
      <c r="AK857" s="85"/>
      <c r="AL857" s="85"/>
      <c r="AM857" s="85"/>
    </row>
    <row r="858">
      <c r="A858" s="85"/>
      <c r="B858" s="84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  <c r="AB858" s="85"/>
      <c r="AC858" s="85"/>
      <c r="AD858" s="85"/>
      <c r="AE858" s="85"/>
      <c r="AF858" s="85"/>
      <c r="AG858" s="85"/>
      <c r="AH858" s="85"/>
      <c r="AI858" s="85"/>
      <c r="AJ858" s="85"/>
      <c r="AK858" s="85"/>
      <c r="AL858" s="85"/>
      <c r="AM858" s="85"/>
    </row>
    <row r="859">
      <c r="A859" s="85"/>
      <c r="B859" s="84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  <c r="AB859" s="85"/>
      <c r="AC859" s="85"/>
      <c r="AD859" s="85"/>
      <c r="AE859" s="85"/>
      <c r="AF859" s="85"/>
      <c r="AG859" s="85"/>
      <c r="AH859" s="85"/>
      <c r="AI859" s="85"/>
      <c r="AJ859" s="85"/>
      <c r="AK859" s="85"/>
      <c r="AL859" s="85"/>
      <c r="AM859" s="85"/>
    </row>
    <row r="860">
      <c r="A860" s="85"/>
      <c r="B860" s="84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  <c r="AB860" s="85"/>
      <c r="AC860" s="85"/>
      <c r="AD860" s="85"/>
      <c r="AE860" s="85"/>
      <c r="AF860" s="85"/>
      <c r="AG860" s="85"/>
      <c r="AH860" s="85"/>
      <c r="AI860" s="85"/>
      <c r="AJ860" s="85"/>
      <c r="AK860" s="85"/>
      <c r="AL860" s="85"/>
      <c r="AM860" s="85"/>
    </row>
    <row r="861">
      <c r="A861" s="85"/>
      <c r="B861" s="84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  <c r="AB861" s="85"/>
      <c r="AC861" s="85"/>
      <c r="AD861" s="85"/>
      <c r="AE861" s="85"/>
      <c r="AF861" s="85"/>
      <c r="AG861" s="85"/>
      <c r="AH861" s="85"/>
      <c r="AI861" s="85"/>
      <c r="AJ861" s="85"/>
      <c r="AK861" s="85"/>
      <c r="AL861" s="85"/>
      <c r="AM861" s="85"/>
    </row>
    <row r="862">
      <c r="A862" s="85"/>
      <c r="B862" s="84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  <c r="AB862" s="85"/>
      <c r="AC862" s="85"/>
      <c r="AD862" s="85"/>
      <c r="AE862" s="85"/>
      <c r="AF862" s="85"/>
      <c r="AG862" s="85"/>
      <c r="AH862" s="85"/>
      <c r="AI862" s="85"/>
      <c r="AJ862" s="85"/>
      <c r="AK862" s="85"/>
      <c r="AL862" s="85"/>
      <c r="AM862" s="85"/>
    </row>
    <row r="863">
      <c r="A863" s="85"/>
      <c r="B863" s="84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  <c r="AB863" s="85"/>
      <c r="AC863" s="85"/>
      <c r="AD863" s="85"/>
      <c r="AE863" s="85"/>
      <c r="AF863" s="85"/>
      <c r="AG863" s="85"/>
      <c r="AH863" s="85"/>
      <c r="AI863" s="85"/>
      <c r="AJ863" s="85"/>
      <c r="AK863" s="85"/>
      <c r="AL863" s="85"/>
      <c r="AM863" s="85"/>
    </row>
    <row r="864">
      <c r="A864" s="85"/>
      <c r="B864" s="84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  <c r="AB864" s="85"/>
      <c r="AC864" s="85"/>
      <c r="AD864" s="85"/>
      <c r="AE864" s="85"/>
      <c r="AF864" s="85"/>
      <c r="AG864" s="85"/>
      <c r="AH864" s="85"/>
      <c r="AI864" s="85"/>
      <c r="AJ864" s="85"/>
      <c r="AK864" s="85"/>
      <c r="AL864" s="85"/>
      <c r="AM864" s="85"/>
    </row>
    <row r="865">
      <c r="A865" s="85"/>
      <c r="B865" s="84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  <c r="AB865" s="85"/>
      <c r="AC865" s="85"/>
      <c r="AD865" s="85"/>
      <c r="AE865" s="85"/>
      <c r="AF865" s="85"/>
      <c r="AG865" s="85"/>
      <c r="AH865" s="85"/>
      <c r="AI865" s="85"/>
      <c r="AJ865" s="85"/>
      <c r="AK865" s="85"/>
      <c r="AL865" s="85"/>
      <c r="AM865" s="85"/>
    </row>
    <row r="866">
      <c r="A866" s="85"/>
      <c r="B866" s="84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  <c r="AB866" s="85"/>
      <c r="AC866" s="85"/>
      <c r="AD866" s="85"/>
      <c r="AE866" s="85"/>
      <c r="AF866" s="85"/>
      <c r="AG866" s="85"/>
      <c r="AH866" s="85"/>
      <c r="AI866" s="85"/>
      <c r="AJ866" s="85"/>
      <c r="AK866" s="85"/>
      <c r="AL866" s="85"/>
      <c r="AM866" s="85"/>
    </row>
    <row r="867">
      <c r="A867" s="85"/>
      <c r="B867" s="84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  <c r="AB867" s="85"/>
      <c r="AC867" s="85"/>
      <c r="AD867" s="85"/>
      <c r="AE867" s="85"/>
      <c r="AF867" s="85"/>
      <c r="AG867" s="85"/>
      <c r="AH867" s="85"/>
      <c r="AI867" s="85"/>
      <c r="AJ867" s="85"/>
      <c r="AK867" s="85"/>
      <c r="AL867" s="85"/>
      <c r="AM867" s="85"/>
    </row>
    <row r="868">
      <c r="A868" s="85"/>
      <c r="B868" s="84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  <c r="AB868" s="85"/>
      <c r="AC868" s="85"/>
      <c r="AD868" s="85"/>
      <c r="AE868" s="85"/>
      <c r="AF868" s="85"/>
      <c r="AG868" s="85"/>
      <c r="AH868" s="85"/>
      <c r="AI868" s="85"/>
      <c r="AJ868" s="85"/>
      <c r="AK868" s="85"/>
      <c r="AL868" s="85"/>
      <c r="AM868" s="85"/>
    </row>
    <row r="869">
      <c r="A869" s="85"/>
      <c r="B869" s="84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  <c r="AB869" s="85"/>
      <c r="AC869" s="85"/>
      <c r="AD869" s="85"/>
      <c r="AE869" s="85"/>
      <c r="AF869" s="85"/>
      <c r="AG869" s="85"/>
      <c r="AH869" s="85"/>
      <c r="AI869" s="85"/>
      <c r="AJ869" s="85"/>
      <c r="AK869" s="85"/>
      <c r="AL869" s="85"/>
      <c r="AM869" s="85"/>
    </row>
    <row r="870">
      <c r="A870" s="85"/>
      <c r="B870" s="84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  <c r="AB870" s="85"/>
      <c r="AC870" s="85"/>
      <c r="AD870" s="85"/>
      <c r="AE870" s="85"/>
      <c r="AF870" s="85"/>
      <c r="AG870" s="85"/>
      <c r="AH870" s="85"/>
      <c r="AI870" s="85"/>
      <c r="AJ870" s="85"/>
      <c r="AK870" s="85"/>
      <c r="AL870" s="85"/>
      <c r="AM870" s="85"/>
    </row>
    <row r="871">
      <c r="A871" s="85"/>
      <c r="B871" s="84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  <c r="AB871" s="85"/>
      <c r="AC871" s="85"/>
      <c r="AD871" s="85"/>
      <c r="AE871" s="85"/>
      <c r="AF871" s="85"/>
      <c r="AG871" s="85"/>
      <c r="AH871" s="85"/>
      <c r="AI871" s="85"/>
      <c r="AJ871" s="85"/>
      <c r="AK871" s="85"/>
      <c r="AL871" s="85"/>
      <c r="AM871" s="85"/>
    </row>
    <row r="872">
      <c r="A872" s="85"/>
      <c r="B872" s="84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  <c r="AB872" s="85"/>
      <c r="AC872" s="85"/>
      <c r="AD872" s="85"/>
      <c r="AE872" s="85"/>
      <c r="AF872" s="85"/>
      <c r="AG872" s="85"/>
      <c r="AH872" s="85"/>
      <c r="AI872" s="85"/>
      <c r="AJ872" s="85"/>
      <c r="AK872" s="85"/>
      <c r="AL872" s="85"/>
      <c r="AM872" s="85"/>
    </row>
    <row r="873">
      <c r="A873" s="85"/>
      <c r="B873" s="84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  <c r="AB873" s="85"/>
      <c r="AC873" s="85"/>
      <c r="AD873" s="85"/>
      <c r="AE873" s="85"/>
      <c r="AF873" s="85"/>
      <c r="AG873" s="85"/>
      <c r="AH873" s="85"/>
      <c r="AI873" s="85"/>
      <c r="AJ873" s="85"/>
      <c r="AK873" s="85"/>
      <c r="AL873" s="85"/>
      <c r="AM873" s="85"/>
    </row>
    <row r="874">
      <c r="A874" s="85"/>
      <c r="B874" s="84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  <c r="AB874" s="85"/>
      <c r="AC874" s="85"/>
      <c r="AD874" s="85"/>
      <c r="AE874" s="85"/>
      <c r="AF874" s="85"/>
      <c r="AG874" s="85"/>
      <c r="AH874" s="85"/>
      <c r="AI874" s="85"/>
      <c r="AJ874" s="85"/>
      <c r="AK874" s="85"/>
      <c r="AL874" s="85"/>
      <c r="AM874" s="85"/>
    </row>
    <row r="875">
      <c r="A875" s="85"/>
      <c r="B875" s="84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  <c r="AB875" s="85"/>
      <c r="AC875" s="85"/>
      <c r="AD875" s="85"/>
      <c r="AE875" s="85"/>
      <c r="AF875" s="85"/>
      <c r="AG875" s="85"/>
      <c r="AH875" s="85"/>
      <c r="AI875" s="85"/>
      <c r="AJ875" s="85"/>
      <c r="AK875" s="85"/>
      <c r="AL875" s="85"/>
      <c r="AM875" s="85"/>
    </row>
    <row r="876">
      <c r="A876" s="85"/>
      <c r="B876" s="84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  <c r="AB876" s="85"/>
      <c r="AC876" s="85"/>
      <c r="AD876" s="85"/>
      <c r="AE876" s="85"/>
      <c r="AF876" s="85"/>
      <c r="AG876" s="85"/>
      <c r="AH876" s="85"/>
      <c r="AI876" s="85"/>
      <c r="AJ876" s="85"/>
      <c r="AK876" s="85"/>
      <c r="AL876" s="85"/>
      <c r="AM876" s="85"/>
    </row>
    <row r="877">
      <c r="A877" s="85"/>
      <c r="B877" s="84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</row>
    <row r="878">
      <c r="A878" s="85"/>
      <c r="B878" s="84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  <c r="AB878" s="85"/>
      <c r="AC878" s="85"/>
      <c r="AD878" s="85"/>
      <c r="AE878" s="85"/>
      <c r="AF878" s="85"/>
      <c r="AG878" s="85"/>
      <c r="AH878" s="85"/>
      <c r="AI878" s="85"/>
      <c r="AJ878" s="85"/>
      <c r="AK878" s="85"/>
      <c r="AL878" s="85"/>
      <c r="AM878" s="85"/>
    </row>
    <row r="879">
      <c r="A879" s="85"/>
      <c r="B879" s="84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  <c r="AB879" s="85"/>
      <c r="AC879" s="85"/>
      <c r="AD879" s="85"/>
      <c r="AE879" s="85"/>
      <c r="AF879" s="85"/>
      <c r="AG879" s="85"/>
      <c r="AH879" s="85"/>
      <c r="AI879" s="85"/>
      <c r="AJ879" s="85"/>
      <c r="AK879" s="85"/>
      <c r="AL879" s="85"/>
      <c r="AM879" s="85"/>
    </row>
    <row r="880">
      <c r="A880" s="85"/>
      <c r="B880" s="84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  <c r="AB880" s="85"/>
      <c r="AC880" s="85"/>
      <c r="AD880" s="85"/>
      <c r="AE880" s="85"/>
      <c r="AF880" s="85"/>
      <c r="AG880" s="85"/>
      <c r="AH880" s="85"/>
      <c r="AI880" s="85"/>
      <c r="AJ880" s="85"/>
      <c r="AK880" s="85"/>
      <c r="AL880" s="85"/>
      <c r="AM880" s="85"/>
    </row>
    <row r="881">
      <c r="A881" s="85"/>
      <c r="B881" s="84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  <c r="AB881" s="85"/>
      <c r="AC881" s="85"/>
      <c r="AD881" s="85"/>
      <c r="AE881" s="85"/>
      <c r="AF881" s="85"/>
      <c r="AG881" s="85"/>
      <c r="AH881" s="85"/>
      <c r="AI881" s="85"/>
      <c r="AJ881" s="85"/>
      <c r="AK881" s="85"/>
      <c r="AL881" s="85"/>
      <c r="AM881" s="85"/>
    </row>
    <row r="882">
      <c r="A882" s="85"/>
      <c r="B882" s="84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  <c r="AB882" s="85"/>
      <c r="AC882" s="85"/>
      <c r="AD882" s="85"/>
      <c r="AE882" s="85"/>
      <c r="AF882" s="85"/>
      <c r="AG882" s="85"/>
      <c r="AH882" s="85"/>
      <c r="AI882" s="85"/>
      <c r="AJ882" s="85"/>
      <c r="AK882" s="85"/>
      <c r="AL882" s="85"/>
      <c r="AM882" s="85"/>
    </row>
    <row r="883">
      <c r="A883" s="85"/>
      <c r="B883" s="84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  <c r="AB883" s="85"/>
      <c r="AC883" s="85"/>
      <c r="AD883" s="85"/>
      <c r="AE883" s="85"/>
      <c r="AF883" s="85"/>
      <c r="AG883" s="85"/>
      <c r="AH883" s="85"/>
      <c r="AI883" s="85"/>
      <c r="AJ883" s="85"/>
      <c r="AK883" s="85"/>
      <c r="AL883" s="85"/>
      <c r="AM883" s="85"/>
    </row>
    <row r="884">
      <c r="A884" s="85"/>
      <c r="B884" s="84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  <c r="AB884" s="85"/>
      <c r="AC884" s="85"/>
      <c r="AD884" s="85"/>
      <c r="AE884" s="85"/>
      <c r="AF884" s="85"/>
      <c r="AG884" s="85"/>
      <c r="AH884" s="85"/>
      <c r="AI884" s="85"/>
      <c r="AJ884" s="85"/>
      <c r="AK884" s="85"/>
      <c r="AL884" s="85"/>
      <c r="AM884" s="85"/>
    </row>
    <row r="885">
      <c r="A885" s="85"/>
      <c r="B885" s="84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  <c r="AB885" s="85"/>
      <c r="AC885" s="85"/>
      <c r="AD885" s="85"/>
      <c r="AE885" s="85"/>
      <c r="AF885" s="85"/>
      <c r="AG885" s="85"/>
      <c r="AH885" s="85"/>
      <c r="AI885" s="85"/>
      <c r="AJ885" s="85"/>
      <c r="AK885" s="85"/>
      <c r="AL885" s="85"/>
      <c r="AM885" s="85"/>
    </row>
    <row r="886">
      <c r="A886" s="85"/>
      <c r="B886" s="84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  <c r="AG886" s="85"/>
      <c r="AH886" s="85"/>
      <c r="AI886" s="85"/>
      <c r="AJ886" s="85"/>
      <c r="AK886" s="85"/>
      <c r="AL886" s="85"/>
      <c r="AM886" s="85"/>
    </row>
    <row r="887">
      <c r="A887" s="85"/>
      <c r="B887" s="84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  <c r="AB887" s="85"/>
      <c r="AC887" s="85"/>
      <c r="AD887" s="85"/>
      <c r="AE887" s="85"/>
      <c r="AF887" s="85"/>
      <c r="AG887" s="85"/>
      <c r="AH887" s="85"/>
      <c r="AI887" s="85"/>
      <c r="AJ887" s="85"/>
      <c r="AK887" s="85"/>
      <c r="AL887" s="85"/>
      <c r="AM887" s="85"/>
    </row>
    <row r="888">
      <c r="A888" s="85"/>
      <c r="B888" s="84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  <c r="AB888" s="85"/>
      <c r="AC888" s="85"/>
      <c r="AD888" s="85"/>
      <c r="AE888" s="85"/>
      <c r="AF888" s="85"/>
      <c r="AG888" s="85"/>
      <c r="AH888" s="85"/>
      <c r="AI888" s="85"/>
      <c r="AJ888" s="85"/>
      <c r="AK888" s="85"/>
      <c r="AL888" s="85"/>
      <c r="AM888" s="85"/>
    </row>
    <row r="889">
      <c r="A889" s="85"/>
      <c r="B889" s="84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  <c r="AB889" s="85"/>
      <c r="AC889" s="85"/>
      <c r="AD889" s="85"/>
      <c r="AE889" s="85"/>
      <c r="AF889" s="85"/>
      <c r="AG889" s="85"/>
      <c r="AH889" s="85"/>
      <c r="AI889" s="85"/>
      <c r="AJ889" s="85"/>
      <c r="AK889" s="85"/>
      <c r="AL889" s="85"/>
      <c r="AM889" s="85"/>
    </row>
    <row r="890">
      <c r="A890" s="85"/>
      <c r="B890" s="84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  <c r="AB890" s="85"/>
      <c r="AC890" s="85"/>
      <c r="AD890" s="85"/>
      <c r="AE890" s="85"/>
      <c r="AF890" s="85"/>
      <c r="AG890" s="85"/>
      <c r="AH890" s="85"/>
      <c r="AI890" s="85"/>
      <c r="AJ890" s="85"/>
      <c r="AK890" s="85"/>
      <c r="AL890" s="85"/>
      <c r="AM890" s="85"/>
    </row>
    <row r="891">
      <c r="A891" s="85"/>
      <c r="B891" s="84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  <c r="AB891" s="85"/>
      <c r="AC891" s="85"/>
      <c r="AD891" s="85"/>
      <c r="AE891" s="85"/>
      <c r="AF891" s="85"/>
      <c r="AG891" s="85"/>
      <c r="AH891" s="85"/>
      <c r="AI891" s="85"/>
      <c r="AJ891" s="85"/>
      <c r="AK891" s="85"/>
      <c r="AL891" s="85"/>
      <c r="AM891" s="85"/>
    </row>
    <row r="892">
      <c r="A892" s="85"/>
      <c r="B892" s="84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  <c r="AB892" s="85"/>
      <c r="AC892" s="85"/>
      <c r="AD892" s="85"/>
      <c r="AE892" s="85"/>
      <c r="AF892" s="85"/>
      <c r="AG892" s="85"/>
      <c r="AH892" s="85"/>
      <c r="AI892" s="85"/>
      <c r="AJ892" s="85"/>
      <c r="AK892" s="85"/>
      <c r="AL892" s="85"/>
      <c r="AM892" s="85"/>
    </row>
    <row r="893">
      <c r="A893" s="85"/>
      <c r="B893" s="84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  <c r="AB893" s="85"/>
      <c r="AC893" s="85"/>
      <c r="AD893" s="85"/>
      <c r="AE893" s="85"/>
      <c r="AF893" s="85"/>
      <c r="AG893" s="85"/>
      <c r="AH893" s="85"/>
      <c r="AI893" s="85"/>
      <c r="AJ893" s="85"/>
      <c r="AK893" s="85"/>
      <c r="AL893" s="85"/>
      <c r="AM893" s="85"/>
    </row>
    <row r="894">
      <c r="A894" s="85"/>
      <c r="B894" s="84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  <c r="AB894" s="85"/>
      <c r="AC894" s="85"/>
      <c r="AD894" s="85"/>
      <c r="AE894" s="85"/>
      <c r="AF894" s="85"/>
      <c r="AG894" s="85"/>
      <c r="AH894" s="85"/>
      <c r="AI894" s="85"/>
      <c r="AJ894" s="85"/>
      <c r="AK894" s="85"/>
      <c r="AL894" s="85"/>
      <c r="AM894" s="85"/>
    </row>
    <row r="895">
      <c r="A895" s="85"/>
      <c r="B895" s="84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  <c r="AB895" s="85"/>
      <c r="AC895" s="85"/>
      <c r="AD895" s="85"/>
      <c r="AE895" s="85"/>
      <c r="AF895" s="85"/>
      <c r="AG895" s="85"/>
      <c r="AH895" s="85"/>
      <c r="AI895" s="85"/>
      <c r="AJ895" s="85"/>
      <c r="AK895" s="85"/>
      <c r="AL895" s="85"/>
      <c r="AM895" s="85"/>
    </row>
    <row r="896">
      <c r="A896" s="85"/>
      <c r="B896" s="84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  <c r="AB896" s="85"/>
      <c r="AC896" s="85"/>
      <c r="AD896" s="85"/>
      <c r="AE896" s="85"/>
      <c r="AF896" s="85"/>
      <c r="AG896" s="85"/>
      <c r="AH896" s="85"/>
      <c r="AI896" s="85"/>
      <c r="AJ896" s="85"/>
      <c r="AK896" s="85"/>
      <c r="AL896" s="85"/>
      <c r="AM896" s="85"/>
    </row>
    <row r="897">
      <c r="A897" s="85"/>
      <c r="B897" s="84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  <c r="AB897" s="85"/>
      <c r="AC897" s="85"/>
      <c r="AD897" s="85"/>
      <c r="AE897" s="85"/>
      <c r="AF897" s="85"/>
      <c r="AG897" s="85"/>
      <c r="AH897" s="85"/>
      <c r="AI897" s="85"/>
      <c r="AJ897" s="85"/>
      <c r="AK897" s="85"/>
      <c r="AL897" s="85"/>
      <c r="AM897" s="85"/>
    </row>
    <row r="898">
      <c r="A898" s="85"/>
      <c r="B898" s="84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  <c r="AB898" s="85"/>
      <c r="AC898" s="85"/>
      <c r="AD898" s="85"/>
      <c r="AE898" s="85"/>
      <c r="AF898" s="85"/>
      <c r="AG898" s="85"/>
      <c r="AH898" s="85"/>
      <c r="AI898" s="85"/>
      <c r="AJ898" s="85"/>
      <c r="AK898" s="85"/>
      <c r="AL898" s="85"/>
      <c r="AM898" s="85"/>
    </row>
    <row r="899">
      <c r="A899" s="85"/>
      <c r="B899" s="84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  <c r="AB899" s="85"/>
      <c r="AC899" s="85"/>
      <c r="AD899" s="85"/>
      <c r="AE899" s="85"/>
      <c r="AF899" s="85"/>
      <c r="AG899" s="85"/>
      <c r="AH899" s="85"/>
      <c r="AI899" s="85"/>
      <c r="AJ899" s="85"/>
      <c r="AK899" s="85"/>
      <c r="AL899" s="85"/>
      <c r="AM899" s="85"/>
    </row>
    <row r="900">
      <c r="A900" s="85"/>
      <c r="B900" s="84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  <c r="AB900" s="85"/>
      <c r="AC900" s="85"/>
      <c r="AD900" s="85"/>
      <c r="AE900" s="85"/>
      <c r="AF900" s="85"/>
      <c r="AG900" s="85"/>
      <c r="AH900" s="85"/>
      <c r="AI900" s="85"/>
      <c r="AJ900" s="85"/>
      <c r="AK900" s="85"/>
      <c r="AL900" s="85"/>
      <c r="AM900" s="85"/>
    </row>
    <row r="901">
      <c r="A901" s="85"/>
      <c r="B901" s="84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  <c r="AB901" s="85"/>
      <c r="AC901" s="85"/>
      <c r="AD901" s="85"/>
      <c r="AE901" s="85"/>
      <c r="AF901" s="85"/>
      <c r="AG901" s="85"/>
      <c r="AH901" s="85"/>
      <c r="AI901" s="85"/>
      <c r="AJ901" s="85"/>
      <c r="AK901" s="85"/>
      <c r="AL901" s="85"/>
      <c r="AM901" s="85"/>
    </row>
    <row r="902">
      <c r="A902" s="85"/>
      <c r="B902" s="84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  <c r="AB902" s="85"/>
      <c r="AC902" s="85"/>
      <c r="AD902" s="85"/>
      <c r="AE902" s="85"/>
      <c r="AF902" s="85"/>
      <c r="AG902" s="85"/>
      <c r="AH902" s="85"/>
      <c r="AI902" s="85"/>
      <c r="AJ902" s="85"/>
      <c r="AK902" s="85"/>
      <c r="AL902" s="85"/>
      <c r="AM902" s="85"/>
    </row>
    <row r="903">
      <c r="A903" s="85"/>
      <c r="B903" s="84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  <c r="AB903" s="85"/>
      <c r="AC903" s="85"/>
      <c r="AD903" s="85"/>
      <c r="AE903" s="85"/>
      <c r="AF903" s="85"/>
      <c r="AG903" s="85"/>
      <c r="AH903" s="85"/>
      <c r="AI903" s="85"/>
      <c r="AJ903" s="85"/>
      <c r="AK903" s="85"/>
      <c r="AL903" s="85"/>
      <c r="AM903" s="85"/>
    </row>
    <row r="904">
      <c r="A904" s="85"/>
      <c r="B904" s="84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  <c r="AB904" s="85"/>
      <c r="AC904" s="85"/>
      <c r="AD904" s="85"/>
      <c r="AE904" s="85"/>
      <c r="AF904" s="85"/>
      <c r="AG904" s="85"/>
      <c r="AH904" s="85"/>
      <c r="AI904" s="85"/>
      <c r="AJ904" s="85"/>
      <c r="AK904" s="85"/>
      <c r="AL904" s="85"/>
      <c r="AM904" s="85"/>
    </row>
    <row r="905">
      <c r="A905" s="85"/>
      <c r="B905" s="84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  <c r="AB905" s="85"/>
      <c r="AC905" s="85"/>
      <c r="AD905" s="85"/>
      <c r="AE905" s="85"/>
      <c r="AF905" s="85"/>
      <c r="AG905" s="85"/>
      <c r="AH905" s="85"/>
      <c r="AI905" s="85"/>
      <c r="AJ905" s="85"/>
      <c r="AK905" s="85"/>
      <c r="AL905" s="85"/>
      <c r="AM905" s="85"/>
    </row>
    <row r="906">
      <c r="A906" s="85"/>
      <c r="B906" s="84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  <c r="AB906" s="85"/>
      <c r="AC906" s="85"/>
      <c r="AD906" s="85"/>
      <c r="AE906" s="85"/>
      <c r="AF906" s="85"/>
      <c r="AG906" s="85"/>
      <c r="AH906" s="85"/>
      <c r="AI906" s="85"/>
      <c r="AJ906" s="85"/>
      <c r="AK906" s="85"/>
      <c r="AL906" s="85"/>
      <c r="AM906" s="85"/>
    </row>
    <row r="907">
      <c r="A907" s="85"/>
      <c r="B907" s="84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  <c r="AB907" s="85"/>
      <c r="AC907" s="85"/>
      <c r="AD907" s="85"/>
      <c r="AE907" s="85"/>
      <c r="AF907" s="85"/>
      <c r="AG907" s="85"/>
      <c r="AH907" s="85"/>
      <c r="AI907" s="85"/>
      <c r="AJ907" s="85"/>
      <c r="AK907" s="85"/>
      <c r="AL907" s="85"/>
      <c r="AM907" s="85"/>
    </row>
    <row r="908">
      <c r="A908" s="85"/>
      <c r="B908" s="84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  <c r="AB908" s="85"/>
      <c r="AC908" s="85"/>
      <c r="AD908" s="85"/>
      <c r="AE908" s="85"/>
      <c r="AF908" s="85"/>
      <c r="AG908" s="85"/>
      <c r="AH908" s="85"/>
      <c r="AI908" s="85"/>
      <c r="AJ908" s="85"/>
      <c r="AK908" s="85"/>
      <c r="AL908" s="85"/>
      <c r="AM908" s="85"/>
    </row>
    <row r="909">
      <c r="A909" s="85"/>
      <c r="B909" s="84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  <c r="AB909" s="85"/>
      <c r="AC909" s="85"/>
      <c r="AD909" s="85"/>
      <c r="AE909" s="85"/>
      <c r="AF909" s="85"/>
      <c r="AG909" s="85"/>
      <c r="AH909" s="85"/>
      <c r="AI909" s="85"/>
      <c r="AJ909" s="85"/>
      <c r="AK909" s="85"/>
      <c r="AL909" s="85"/>
      <c r="AM909" s="85"/>
    </row>
    <row r="910">
      <c r="A910" s="85"/>
      <c r="B910" s="84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  <c r="AB910" s="85"/>
      <c r="AC910" s="85"/>
      <c r="AD910" s="85"/>
      <c r="AE910" s="85"/>
      <c r="AF910" s="85"/>
      <c r="AG910" s="85"/>
      <c r="AH910" s="85"/>
      <c r="AI910" s="85"/>
      <c r="AJ910" s="85"/>
      <c r="AK910" s="85"/>
      <c r="AL910" s="85"/>
      <c r="AM910" s="85"/>
    </row>
    <row r="911">
      <c r="A911" s="85"/>
      <c r="B911" s="84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  <c r="AB911" s="85"/>
      <c r="AC911" s="85"/>
      <c r="AD911" s="85"/>
      <c r="AE911" s="85"/>
      <c r="AF911" s="85"/>
      <c r="AG911" s="85"/>
      <c r="AH911" s="85"/>
      <c r="AI911" s="85"/>
      <c r="AJ911" s="85"/>
      <c r="AK911" s="85"/>
      <c r="AL911" s="85"/>
      <c r="AM911" s="85"/>
    </row>
    <row r="912">
      <c r="A912" s="85"/>
      <c r="B912" s="84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  <c r="AB912" s="85"/>
      <c r="AC912" s="85"/>
      <c r="AD912" s="85"/>
      <c r="AE912" s="85"/>
      <c r="AF912" s="85"/>
      <c r="AG912" s="85"/>
      <c r="AH912" s="85"/>
      <c r="AI912" s="85"/>
      <c r="AJ912" s="85"/>
      <c r="AK912" s="85"/>
      <c r="AL912" s="85"/>
      <c r="AM912" s="85"/>
    </row>
    <row r="913">
      <c r="A913" s="85"/>
      <c r="B913" s="84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  <c r="AB913" s="85"/>
      <c r="AC913" s="85"/>
      <c r="AD913" s="85"/>
      <c r="AE913" s="85"/>
      <c r="AF913" s="85"/>
      <c r="AG913" s="85"/>
      <c r="AH913" s="85"/>
      <c r="AI913" s="85"/>
      <c r="AJ913" s="85"/>
      <c r="AK913" s="85"/>
      <c r="AL913" s="85"/>
      <c r="AM913" s="85"/>
    </row>
    <row r="914">
      <c r="A914" s="85"/>
      <c r="B914" s="84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  <c r="AB914" s="85"/>
      <c r="AC914" s="85"/>
      <c r="AD914" s="85"/>
      <c r="AE914" s="85"/>
      <c r="AF914" s="85"/>
      <c r="AG914" s="85"/>
      <c r="AH914" s="85"/>
      <c r="AI914" s="85"/>
      <c r="AJ914" s="85"/>
      <c r="AK914" s="85"/>
      <c r="AL914" s="85"/>
      <c r="AM914" s="85"/>
    </row>
    <row r="915">
      <c r="A915" s="85"/>
      <c r="B915" s="84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</row>
    <row r="916">
      <c r="A916" s="85"/>
      <c r="B916" s="84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  <c r="AB916" s="85"/>
      <c r="AC916" s="85"/>
      <c r="AD916" s="85"/>
      <c r="AE916" s="85"/>
      <c r="AF916" s="85"/>
      <c r="AG916" s="85"/>
      <c r="AH916" s="85"/>
      <c r="AI916" s="85"/>
      <c r="AJ916" s="85"/>
      <c r="AK916" s="85"/>
      <c r="AL916" s="85"/>
      <c r="AM916" s="85"/>
    </row>
    <row r="917">
      <c r="A917" s="85"/>
      <c r="B917" s="84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  <c r="AB917" s="85"/>
      <c r="AC917" s="85"/>
      <c r="AD917" s="85"/>
      <c r="AE917" s="85"/>
      <c r="AF917" s="85"/>
      <c r="AG917" s="85"/>
      <c r="AH917" s="85"/>
      <c r="AI917" s="85"/>
      <c r="AJ917" s="85"/>
      <c r="AK917" s="85"/>
      <c r="AL917" s="85"/>
      <c r="AM917" s="85"/>
    </row>
    <row r="918">
      <c r="A918" s="85"/>
      <c r="B918" s="84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  <c r="AB918" s="85"/>
      <c r="AC918" s="85"/>
      <c r="AD918" s="85"/>
      <c r="AE918" s="85"/>
      <c r="AF918" s="85"/>
      <c r="AG918" s="85"/>
      <c r="AH918" s="85"/>
      <c r="AI918" s="85"/>
      <c r="AJ918" s="85"/>
      <c r="AK918" s="85"/>
      <c r="AL918" s="85"/>
      <c r="AM918" s="85"/>
    </row>
    <row r="919">
      <c r="A919" s="85"/>
      <c r="B919" s="84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  <c r="AB919" s="85"/>
      <c r="AC919" s="85"/>
      <c r="AD919" s="85"/>
      <c r="AE919" s="85"/>
      <c r="AF919" s="85"/>
      <c r="AG919" s="85"/>
      <c r="AH919" s="85"/>
      <c r="AI919" s="85"/>
      <c r="AJ919" s="85"/>
      <c r="AK919" s="85"/>
      <c r="AL919" s="85"/>
      <c r="AM919" s="85"/>
    </row>
    <row r="920">
      <c r="A920" s="85"/>
      <c r="B920" s="84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  <c r="AB920" s="85"/>
      <c r="AC920" s="85"/>
      <c r="AD920" s="85"/>
      <c r="AE920" s="85"/>
      <c r="AF920" s="85"/>
      <c r="AG920" s="85"/>
      <c r="AH920" s="85"/>
      <c r="AI920" s="85"/>
      <c r="AJ920" s="85"/>
      <c r="AK920" s="85"/>
      <c r="AL920" s="85"/>
      <c r="AM920" s="85"/>
    </row>
    <row r="921">
      <c r="A921" s="85"/>
      <c r="B921" s="84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  <c r="AB921" s="85"/>
      <c r="AC921" s="85"/>
      <c r="AD921" s="85"/>
      <c r="AE921" s="85"/>
      <c r="AF921" s="85"/>
      <c r="AG921" s="85"/>
      <c r="AH921" s="85"/>
      <c r="AI921" s="85"/>
      <c r="AJ921" s="85"/>
      <c r="AK921" s="85"/>
      <c r="AL921" s="85"/>
      <c r="AM921" s="85"/>
    </row>
    <row r="922">
      <c r="A922" s="85"/>
      <c r="B922" s="84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  <c r="AB922" s="85"/>
      <c r="AC922" s="85"/>
      <c r="AD922" s="85"/>
      <c r="AE922" s="85"/>
      <c r="AF922" s="85"/>
      <c r="AG922" s="85"/>
      <c r="AH922" s="85"/>
      <c r="AI922" s="85"/>
      <c r="AJ922" s="85"/>
      <c r="AK922" s="85"/>
      <c r="AL922" s="85"/>
      <c r="AM922" s="85"/>
    </row>
    <row r="923">
      <c r="A923" s="85"/>
      <c r="B923" s="84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  <c r="AB923" s="85"/>
      <c r="AC923" s="85"/>
      <c r="AD923" s="85"/>
      <c r="AE923" s="85"/>
      <c r="AF923" s="85"/>
      <c r="AG923" s="85"/>
      <c r="AH923" s="85"/>
      <c r="AI923" s="85"/>
      <c r="AJ923" s="85"/>
      <c r="AK923" s="85"/>
      <c r="AL923" s="85"/>
      <c r="AM923" s="85"/>
    </row>
    <row r="924">
      <c r="A924" s="85"/>
      <c r="B924" s="84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  <c r="AB924" s="85"/>
      <c r="AC924" s="85"/>
      <c r="AD924" s="85"/>
      <c r="AE924" s="85"/>
      <c r="AF924" s="85"/>
      <c r="AG924" s="85"/>
      <c r="AH924" s="85"/>
      <c r="AI924" s="85"/>
      <c r="AJ924" s="85"/>
      <c r="AK924" s="85"/>
      <c r="AL924" s="85"/>
      <c r="AM924" s="85"/>
    </row>
    <row r="925">
      <c r="A925" s="85"/>
      <c r="B925" s="84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  <c r="AB925" s="85"/>
      <c r="AC925" s="85"/>
      <c r="AD925" s="85"/>
      <c r="AE925" s="85"/>
      <c r="AF925" s="85"/>
      <c r="AG925" s="85"/>
      <c r="AH925" s="85"/>
      <c r="AI925" s="85"/>
      <c r="AJ925" s="85"/>
      <c r="AK925" s="85"/>
      <c r="AL925" s="85"/>
      <c r="AM925" s="85"/>
    </row>
    <row r="926">
      <c r="A926" s="85"/>
      <c r="B926" s="84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  <c r="AB926" s="85"/>
      <c r="AC926" s="85"/>
      <c r="AD926" s="85"/>
      <c r="AE926" s="85"/>
      <c r="AF926" s="85"/>
      <c r="AG926" s="85"/>
      <c r="AH926" s="85"/>
      <c r="AI926" s="85"/>
      <c r="AJ926" s="85"/>
      <c r="AK926" s="85"/>
      <c r="AL926" s="85"/>
      <c r="AM926" s="85"/>
    </row>
    <row r="927">
      <c r="A927" s="85"/>
      <c r="B927" s="84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  <c r="AB927" s="85"/>
      <c r="AC927" s="85"/>
      <c r="AD927" s="85"/>
      <c r="AE927" s="85"/>
      <c r="AF927" s="85"/>
      <c r="AG927" s="85"/>
      <c r="AH927" s="85"/>
      <c r="AI927" s="85"/>
      <c r="AJ927" s="85"/>
      <c r="AK927" s="85"/>
      <c r="AL927" s="85"/>
      <c r="AM927" s="85"/>
    </row>
    <row r="928">
      <c r="A928" s="85"/>
      <c r="B928" s="84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  <c r="AB928" s="85"/>
      <c r="AC928" s="85"/>
      <c r="AD928" s="85"/>
      <c r="AE928" s="85"/>
      <c r="AF928" s="85"/>
      <c r="AG928" s="85"/>
      <c r="AH928" s="85"/>
      <c r="AI928" s="85"/>
      <c r="AJ928" s="85"/>
      <c r="AK928" s="85"/>
      <c r="AL928" s="85"/>
      <c r="AM928" s="85"/>
    </row>
    <row r="929">
      <c r="A929" s="85"/>
      <c r="B929" s="84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  <c r="AB929" s="85"/>
      <c r="AC929" s="85"/>
      <c r="AD929" s="85"/>
      <c r="AE929" s="85"/>
      <c r="AF929" s="85"/>
      <c r="AG929" s="85"/>
      <c r="AH929" s="85"/>
      <c r="AI929" s="85"/>
      <c r="AJ929" s="85"/>
      <c r="AK929" s="85"/>
      <c r="AL929" s="85"/>
      <c r="AM929" s="85"/>
    </row>
    <row r="930">
      <c r="A930" s="85"/>
      <c r="B930" s="84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  <c r="AB930" s="85"/>
      <c r="AC930" s="85"/>
      <c r="AD930" s="85"/>
      <c r="AE930" s="85"/>
      <c r="AF930" s="85"/>
      <c r="AG930" s="85"/>
      <c r="AH930" s="85"/>
      <c r="AI930" s="85"/>
      <c r="AJ930" s="85"/>
      <c r="AK930" s="85"/>
      <c r="AL930" s="85"/>
      <c r="AM930" s="85"/>
    </row>
    <row r="931">
      <c r="A931" s="85"/>
      <c r="B931" s="84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  <c r="AB931" s="85"/>
      <c r="AC931" s="85"/>
      <c r="AD931" s="85"/>
      <c r="AE931" s="85"/>
      <c r="AF931" s="85"/>
      <c r="AG931" s="85"/>
      <c r="AH931" s="85"/>
      <c r="AI931" s="85"/>
      <c r="AJ931" s="85"/>
      <c r="AK931" s="85"/>
      <c r="AL931" s="85"/>
      <c r="AM931" s="85"/>
    </row>
    <row r="932">
      <c r="A932" s="85"/>
      <c r="B932" s="84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  <c r="AB932" s="85"/>
      <c r="AC932" s="85"/>
      <c r="AD932" s="85"/>
      <c r="AE932" s="85"/>
      <c r="AF932" s="85"/>
      <c r="AG932" s="85"/>
      <c r="AH932" s="85"/>
      <c r="AI932" s="85"/>
      <c r="AJ932" s="85"/>
      <c r="AK932" s="85"/>
      <c r="AL932" s="85"/>
      <c r="AM932" s="85"/>
    </row>
    <row r="933">
      <c r="A933" s="85"/>
      <c r="B933" s="84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  <c r="AB933" s="85"/>
      <c r="AC933" s="85"/>
      <c r="AD933" s="85"/>
      <c r="AE933" s="85"/>
      <c r="AF933" s="85"/>
      <c r="AG933" s="85"/>
      <c r="AH933" s="85"/>
      <c r="AI933" s="85"/>
      <c r="AJ933" s="85"/>
      <c r="AK933" s="85"/>
      <c r="AL933" s="85"/>
      <c r="AM933" s="85"/>
    </row>
    <row r="934">
      <c r="A934" s="85"/>
      <c r="B934" s="84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  <c r="AB934" s="85"/>
      <c r="AC934" s="85"/>
      <c r="AD934" s="85"/>
      <c r="AE934" s="85"/>
      <c r="AF934" s="85"/>
      <c r="AG934" s="85"/>
      <c r="AH934" s="85"/>
      <c r="AI934" s="85"/>
      <c r="AJ934" s="85"/>
      <c r="AK934" s="85"/>
      <c r="AL934" s="85"/>
      <c r="AM934" s="85"/>
    </row>
    <row r="935">
      <c r="A935" s="85"/>
      <c r="B935" s="84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  <c r="AB935" s="85"/>
      <c r="AC935" s="85"/>
      <c r="AD935" s="85"/>
      <c r="AE935" s="85"/>
      <c r="AF935" s="85"/>
      <c r="AG935" s="85"/>
      <c r="AH935" s="85"/>
      <c r="AI935" s="85"/>
      <c r="AJ935" s="85"/>
      <c r="AK935" s="85"/>
      <c r="AL935" s="85"/>
      <c r="AM935" s="85"/>
    </row>
    <row r="936">
      <c r="A936" s="85"/>
      <c r="B936" s="84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  <c r="AB936" s="85"/>
      <c r="AC936" s="85"/>
      <c r="AD936" s="85"/>
      <c r="AE936" s="85"/>
      <c r="AF936" s="85"/>
      <c r="AG936" s="85"/>
      <c r="AH936" s="85"/>
      <c r="AI936" s="85"/>
      <c r="AJ936" s="85"/>
      <c r="AK936" s="85"/>
      <c r="AL936" s="85"/>
      <c r="AM936" s="85"/>
    </row>
    <row r="937">
      <c r="A937" s="85"/>
      <c r="B937" s="84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  <c r="AA937" s="85"/>
      <c r="AB937" s="85"/>
      <c r="AC937" s="85"/>
      <c r="AD937" s="85"/>
      <c r="AE937" s="85"/>
      <c r="AF937" s="85"/>
      <c r="AG937" s="85"/>
      <c r="AH937" s="85"/>
      <c r="AI937" s="85"/>
      <c r="AJ937" s="85"/>
      <c r="AK937" s="85"/>
      <c r="AL937" s="85"/>
      <c r="AM937" s="85"/>
    </row>
    <row r="938">
      <c r="A938" s="85"/>
      <c r="B938" s="84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  <c r="AA938" s="85"/>
      <c r="AB938" s="85"/>
      <c r="AC938" s="85"/>
      <c r="AD938" s="85"/>
      <c r="AE938" s="85"/>
      <c r="AF938" s="85"/>
      <c r="AG938" s="85"/>
      <c r="AH938" s="85"/>
      <c r="AI938" s="85"/>
      <c r="AJ938" s="85"/>
      <c r="AK938" s="85"/>
      <c r="AL938" s="85"/>
      <c r="AM938" s="85"/>
    </row>
    <row r="939">
      <c r="A939" s="85"/>
      <c r="B939" s="84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85"/>
      <c r="AB939" s="85"/>
      <c r="AC939" s="85"/>
      <c r="AD939" s="85"/>
      <c r="AE939" s="85"/>
      <c r="AF939" s="85"/>
      <c r="AG939" s="85"/>
      <c r="AH939" s="85"/>
      <c r="AI939" s="85"/>
      <c r="AJ939" s="85"/>
      <c r="AK939" s="85"/>
      <c r="AL939" s="85"/>
      <c r="AM939" s="85"/>
    </row>
    <row r="940">
      <c r="A940" s="85"/>
      <c r="B940" s="84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  <c r="AA940" s="85"/>
      <c r="AB940" s="85"/>
      <c r="AC940" s="85"/>
      <c r="AD940" s="85"/>
      <c r="AE940" s="85"/>
      <c r="AF940" s="85"/>
      <c r="AG940" s="85"/>
      <c r="AH940" s="85"/>
      <c r="AI940" s="85"/>
      <c r="AJ940" s="85"/>
      <c r="AK940" s="85"/>
      <c r="AL940" s="85"/>
      <c r="AM940" s="85"/>
    </row>
    <row r="941">
      <c r="A941" s="85"/>
      <c r="B941" s="84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85"/>
      <c r="AB941" s="85"/>
      <c r="AC941" s="85"/>
      <c r="AD941" s="85"/>
      <c r="AE941" s="85"/>
      <c r="AF941" s="85"/>
      <c r="AG941" s="85"/>
      <c r="AH941" s="85"/>
      <c r="AI941" s="85"/>
      <c r="AJ941" s="85"/>
      <c r="AK941" s="85"/>
      <c r="AL941" s="85"/>
      <c r="AM941" s="85"/>
    </row>
    <row r="942">
      <c r="A942" s="85"/>
      <c r="B942" s="84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  <c r="AA942" s="85"/>
      <c r="AB942" s="85"/>
      <c r="AC942" s="85"/>
      <c r="AD942" s="85"/>
      <c r="AE942" s="85"/>
      <c r="AF942" s="85"/>
      <c r="AG942" s="85"/>
      <c r="AH942" s="85"/>
      <c r="AI942" s="85"/>
      <c r="AJ942" s="85"/>
      <c r="AK942" s="85"/>
      <c r="AL942" s="85"/>
      <c r="AM942" s="85"/>
    </row>
    <row r="943">
      <c r="A943" s="85"/>
      <c r="B943" s="84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85"/>
      <c r="AB943" s="85"/>
      <c r="AC943" s="85"/>
      <c r="AD943" s="85"/>
      <c r="AE943" s="85"/>
      <c r="AF943" s="85"/>
      <c r="AG943" s="85"/>
      <c r="AH943" s="85"/>
      <c r="AI943" s="85"/>
      <c r="AJ943" s="85"/>
      <c r="AK943" s="85"/>
      <c r="AL943" s="85"/>
      <c r="AM943" s="85"/>
    </row>
    <row r="944">
      <c r="A944" s="85"/>
      <c r="B944" s="84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  <c r="AA944" s="85"/>
      <c r="AB944" s="85"/>
      <c r="AC944" s="85"/>
      <c r="AD944" s="85"/>
      <c r="AE944" s="85"/>
      <c r="AF944" s="85"/>
      <c r="AG944" s="85"/>
      <c r="AH944" s="85"/>
      <c r="AI944" s="85"/>
      <c r="AJ944" s="85"/>
      <c r="AK944" s="85"/>
      <c r="AL944" s="85"/>
      <c r="AM944" s="85"/>
    </row>
    <row r="945">
      <c r="A945" s="85"/>
      <c r="B945" s="84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85"/>
      <c r="AB945" s="85"/>
      <c r="AC945" s="85"/>
      <c r="AD945" s="85"/>
      <c r="AE945" s="85"/>
      <c r="AF945" s="85"/>
      <c r="AG945" s="85"/>
      <c r="AH945" s="85"/>
      <c r="AI945" s="85"/>
      <c r="AJ945" s="85"/>
      <c r="AK945" s="85"/>
      <c r="AL945" s="85"/>
      <c r="AM945" s="85"/>
    </row>
    <row r="946">
      <c r="A946" s="85"/>
      <c r="B946" s="84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  <c r="AA946" s="85"/>
      <c r="AB946" s="85"/>
      <c r="AC946" s="85"/>
      <c r="AD946" s="85"/>
      <c r="AE946" s="85"/>
      <c r="AF946" s="85"/>
      <c r="AG946" s="85"/>
      <c r="AH946" s="85"/>
      <c r="AI946" s="85"/>
      <c r="AJ946" s="85"/>
      <c r="AK946" s="85"/>
      <c r="AL946" s="85"/>
      <c r="AM946" s="85"/>
    </row>
    <row r="947">
      <c r="A947" s="85"/>
      <c r="B947" s="84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  <c r="AA947" s="85"/>
      <c r="AB947" s="85"/>
      <c r="AC947" s="85"/>
      <c r="AD947" s="85"/>
      <c r="AE947" s="85"/>
      <c r="AF947" s="85"/>
      <c r="AG947" s="85"/>
      <c r="AH947" s="85"/>
      <c r="AI947" s="85"/>
      <c r="AJ947" s="85"/>
      <c r="AK947" s="85"/>
      <c r="AL947" s="85"/>
      <c r="AM947" s="85"/>
    </row>
    <row r="948">
      <c r="A948" s="85"/>
      <c r="B948" s="84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  <c r="AA948" s="85"/>
      <c r="AB948" s="85"/>
      <c r="AC948" s="85"/>
      <c r="AD948" s="85"/>
      <c r="AE948" s="85"/>
      <c r="AF948" s="85"/>
      <c r="AG948" s="85"/>
      <c r="AH948" s="85"/>
      <c r="AI948" s="85"/>
      <c r="AJ948" s="85"/>
      <c r="AK948" s="85"/>
      <c r="AL948" s="85"/>
      <c r="AM948" s="85"/>
    </row>
    <row r="949">
      <c r="A949" s="85"/>
      <c r="B949" s="84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  <c r="AA949" s="85"/>
      <c r="AB949" s="85"/>
      <c r="AC949" s="85"/>
      <c r="AD949" s="85"/>
      <c r="AE949" s="85"/>
      <c r="AF949" s="85"/>
      <c r="AG949" s="85"/>
      <c r="AH949" s="85"/>
      <c r="AI949" s="85"/>
      <c r="AJ949" s="85"/>
      <c r="AK949" s="85"/>
      <c r="AL949" s="85"/>
      <c r="AM949" s="85"/>
    </row>
    <row r="950">
      <c r="A950" s="85"/>
      <c r="B950" s="84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  <c r="AB950" s="85"/>
      <c r="AC950" s="85"/>
      <c r="AD950" s="85"/>
      <c r="AE950" s="85"/>
      <c r="AF950" s="85"/>
      <c r="AG950" s="85"/>
      <c r="AH950" s="85"/>
      <c r="AI950" s="85"/>
      <c r="AJ950" s="85"/>
      <c r="AK950" s="85"/>
      <c r="AL950" s="85"/>
      <c r="AM950" s="85"/>
    </row>
    <row r="951">
      <c r="A951" s="85"/>
      <c r="B951" s="84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85"/>
      <c r="AB951" s="85"/>
      <c r="AC951" s="85"/>
      <c r="AD951" s="85"/>
      <c r="AE951" s="85"/>
      <c r="AF951" s="85"/>
      <c r="AG951" s="85"/>
      <c r="AH951" s="85"/>
      <c r="AI951" s="85"/>
      <c r="AJ951" s="85"/>
      <c r="AK951" s="85"/>
      <c r="AL951" s="85"/>
      <c r="AM951" s="85"/>
    </row>
    <row r="952">
      <c r="A952" s="85"/>
      <c r="B952" s="84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  <c r="AA952" s="85"/>
      <c r="AB952" s="85"/>
      <c r="AC952" s="85"/>
      <c r="AD952" s="85"/>
      <c r="AE952" s="85"/>
      <c r="AF952" s="85"/>
      <c r="AG952" s="85"/>
      <c r="AH952" s="85"/>
      <c r="AI952" s="85"/>
      <c r="AJ952" s="85"/>
      <c r="AK952" s="85"/>
      <c r="AL952" s="85"/>
      <c r="AM952" s="85"/>
    </row>
    <row r="953">
      <c r="A953" s="85"/>
      <c r="B953" s="84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</row>
    <row r="954">
      <c r="A954" s="85"/>
      <c r="B954" s="84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  <c r="AA954" s="85"/>
      <c r="AB954" s="85"/>
      <c r="AC954" s="85"/>
      <c r="AD954" s="85"/>
      <c r="AE954" s="85"/>
      <c r="AF954" s="85"/>
      <c r="AG954" s="85"/>
      <c r="AH954" s="85"/>
      <c r="AI954" s="85"/>
      <c r="AJ954" s="85"/>
      <c r="AK954" s="85"/>
      <c r="AL954" s="85"/>
      <c r="AM954" s="85"/>
    </row>
    <row r="955">
      <c r="A955" s="85"/>
      <c r="B955" s="84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85"/>
      <c r="AB955" s="85"/>
      <c r="AC955" s="85"/>
      <c r="AD955" s="85"/>
      <c r="AE955" s="85"/>
      <c r="AF955" s="85"/>
      <c r="AG955" s="85"/>
      <c r="AH955" s="85"/>
      <c r="AI955" s="85"/>
      <c r="AJ955" s="85"/>
      <c r="AK955" s="85"/>
      <c r="AL955" s="85"/>
      <c r="AM955" s="85"/>
    </row>
    <row r="956">
      <c r="A956" s="85"/>
      <c r="B956" s="84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  <c r="AA956" s="85"/>
      <c r="AB956" s="85"/>
      <c r="AC956" s="85"/>
      <c r="AD956" s="85"/>
      <c r="AE956" s="85"/>
      <c r="AF956" s="85"/>
      <c r="AG956" s="85"/>
      <c r="AH956" s="85"/>
      <c r="AI956" s="85"/>
      <c r="AJ956" s="85"/>
      <c r="AK956" s="85"/>
      <c r="AL956" s="85"/>
      <c r="AM956" s="85"/>
    </row>
    <row r="957">
      <c r="A957" s="85"/>
      <c r="B957" s="84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85"/>
      <c r="AB957" s="85"/>
      <c r="AC957" s="85"/>
      <c r="AD957" s="85"/>
      <c r="AE957" s="85"/>
      <c r="AF957" s="85"/>
      <c r="AG957" s="85"/>
      <c r="AH957" s="85"/>
      <c r="AI957" s="85"/>
      <c r="AJ957" s="85"/>
      <c r="AK957" s="85"/>
      <c r="AL957" s="85"/>
      <c r="AM957" s="85"/>
    </row>
    <row r="958">
      <c r="A958" s="85"/>
      <c r="B958" s="84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  <c r="AA958" s="85"/>
      <c r="AB958" s="85"/>
      <c r="AC958" s="85"/>
      <c r="AD958" s="85"/>
      <c r="AE958" s="85"/>
      <c r="AF958" s="85"/>
      <c r="AG958" s="85"/>
      <c r="AH958" s="85"/>
      <c r="AI958" s="85"/>
      <c r="AJ958" s="85"/>
      <c r="AK958" s="85"/>
      <c r="AL958" s="85"/>
      <c r="AM958" s="85"/>
    </row>
    <row r="959">
      <c r="A959" s="85"/>
      <c r="B959" s="84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  <c r="AA959" s="85"/>
      <c r="AB959" s="85"/>
      <c r="AC959" s="85"/>
      <c r="AD959" s="85"/>
      <c r="AE959" s="85"/>
      <c r="AF959" s="85"/>
      <c r="AG959" s="85"/>
      <c r="AH959" s="85"/>
      <c r="AI959" s="85"/>
      <c r="AJ959" s="85"/>
      <c r="AK959" s="85"/>
      <c r="AL959" s="85"/>
      <c r="AM959" s="85"/>
    </row>
    <row r="960">
      <c r="A960" s="85"/>
      <c r="B960" s="84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  <c r="AA960" s="85"/>
      <c r="AB960" s="85"/>
      <c r="AC960" s="85"/>
      <c r="AD960" s="85"/>
      <c r="AE960" s="85"/>
      <c r="AF960" s="85"/>
      <c r="AG960" s="85"/>
      <c r="AH960" s="85"/>
      <c r="AI960" s="85"/>
      <c r="AJ960" s="85"/>
      <c r="AK960" s="85"/>
      <c r="AL960" s="85"/>
      <c r="AM960" s="85"/>
    </row>
    <row r="961">
      <c r="A961" s="85"/>
      <c r="B961" s="84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  <c r="AA961" s="85"/>
      <c r="AB961" s="85"/>
      <c r="AC961" s="85"/>
      <c r="AD961" s="85"/>
      <c r="AE961" s="85"/>
      <c r="AF961" s="85"/>
      <c r="AG961" s="85"/>
      <c r="AH961" s="85"/>
      <c r="AI961" s="85"/>
      <c r="AJ961" s="85"/>
      <c r="AK961" s="85"/>
      <c r="AL961" s="85"/>
      <c r="AM961" s="85"/>
    </row>
    <row r="962">
      <c r="A962" s="85"/>
      <c r="B962" s="84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  <c r="AB962" s="85"/>
      <c r="AC962" s="85"/>
      <c r="AD962" s="85"/>
      <c r="AE962" s="85"/>
      <c r="AF962" s="85"/>
      <c r="AG962" s="85"/>
      <c r="AH962" s="85"/>
      <c r="AI962" s="85"/>
      <c r="AJ962" s="85"/>
      <c r="AK962" s="85"/>
      <c r="AL962" s="85"/>
      <c r="AM962" s="85"/>
    </row>
    <row r="963">
      <c r="A963" s="85"/>
      <c r="B963" s="84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  <c r="AA963" s="85"/>
      <c r="AB963" s="85"/>
      <c r="AC963" s="85"/>
      <c r="AD963" s="85"/>
      <c r="AE963" s="85"/>
      <c r="AF963" s="85"/>
      <c r="AG963" s="85"/>
      <c r="AH963" s="85"/>
      <c r="AI963" s="85"/>
      <c r="AJ963" s="85"/>
      <c r="AK963" s="85"/>
      <c r="AL963" s="85"/>
      <c r="AM963" s="85"/>
    </row>
    <row r="964">
      <c r="A964" s="85"/>
      <c r="B964" s="84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  <c r="AB964" s="85"/>
      <c r="AC964" s="85"/>
      <c r="AD964" s="85"/>
      <c r="AE964" s="85"/>
      <c r="AF964" s="85"/>
      <c r="AG964" s="85"/>
      <c r="AH964" s="85"/>
      <c r="AI964" s="85"/>
      <c r="AJ964" s="85"/>
      <c r="AK964" s="85"/>
      <c r="AL964" s="85"/>
      <c r="AM964" s="85"/>
    </row>
    <row r="965">
      <c r="A965" s="85"/>
      <c r="B965" s="84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  <c r="AA965" s="85"/>
      <c r="AB965" s="85"/>
      <c r="AC965" s="85"/>
      <c r="AD965" s="85"/>
      <c r="AE965" s="85"/>
      <c r="AF965" s="85"/>
      <c r="AG965" s="85"/>
      <c r="AH965" s="85"/>
      <c r="AI965" s="85"/>
      <c r="AJ965" s="85"/>
      <c r="AK965" s="85"/>
      <c r="AL965" s="85"/>
      <c r="AM965" s="85"/>
    </row>
    <row r="966">
      <c r="A966" s="85"/>
      <c r="B966" s="84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  <c r="AA966" s="85"/>
      <c r="AB966" s="85"/>
      <c r="AC966" s="85"/>
      <c r="AD966" s="85"/>
      <c r="AE966" s="85"/>
      <c r="AF966" s="85"/>
      <c r="AG966" s="85"/>
      <c r="AH966" s="85"/>
      <c r="AI966" s="85"/>
      <c r="AJ966" s="85"/>
      <c r="AK966" s="85"/>
      <c r="AL966" s="85"/>
      <c r="AM966" s="85"/>
    </row>
    <row r="967">
      <c r="A967" s="85"/>
      <c r="B967" s="84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  <c r="AA967" s="85"/>
      <c r="AB967" s="85"/>
      <c r="AC967" s="85"/>
      <c r="AD967" s="85"/>
      <c r="AE967" s="85"/>
      <c r="AF967" s="85"/>
      <c r="AG967" s="85"/>
      <c r="AH967" s="85"/>
      <c r="AI967" s="85"/>
      <c r="AJ967" s="85"/>
      <c r="AK967" s="85"/>
      <c r="AL967" s="85"/>
      <c r="AM967" s="85"/>
    </row>
    <row r="968">
      <c r="A968" s="85"/>
      <c r="B968" s="84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  <c r="AA968" s="85"/>
      <c r="AB968" s="85"/>
      <c r="AC968" s="85"/>
      <c r="AD968" s="85"/>
      <c r="AE968" s="85"/>
      <c r="AF968" s="85"/>
      <c r="AG968" s="85"/>
      <c r="AH968" s="85"/>
      <c r="AI968" s="85"/>
      <c r="AJ968" s="85"/>
      <c r="AK968" s="85"/>
      <c r="AL968" s="85"/>
      <c r="AM968" s="85"/>
    </row>
    <row r="969">
      <c r="A969" s="85"/>
      <c r="B969" s="84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  <c r="AA969" s="85"/>
      <c r="AB969" s="85"/>
      <c r="AC969" s="85"/>
      <c r="AD969" s="85"/>
      <c r="AE969" s="85"/>
      <c r="AF969" s="85"/>
      <c r="AG969" s="85"/>
      <c r="AH969" s="85"/>
      <c r="AI969" s="85"/>
      <c r="AJ969" s="85"/>
      <c r="AK969" s="85"/>
      <c r="AL969" s="85"/>
      <c r="AM969" s="85"/>
    </row>
    <row r="970">
      <c r="A970" s="85"/>
      <c r="B970" s="84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  <c r="AA970" s="85"/>
      <c r="AB970" s="85"/>
      <c r="AC970" s="85"/>
      <c r="AD970" s="85"/>
      <c r="AE970" s="85"/>
      <c r="AF970" s="85"/>
      <c r="AG970" s="85"/>
      <c r="AH970" s="85"/>
      <c r="AI970" s="85"/>
      <c r="AJ970" s="85"/>
      <c r="AK970" s="85"/>
      <c r="AL970" s="85"/>
      <c r="AM970" s="85"/>
    </row>
    <row r="971">
      <c r="A971" s="85"/>
      <c r="B971" s="84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  <c r="AA971" s="85"/>
      <c r="AB971" s="85"/>
      <c r="AC971" s="85"/>
      <c r="AD971" s="85"/>
      <c r="AE971" s="85"/>
      <c r="AF971" s="85"/>
      <c r="AG971" s="85"/>
      <c r="AH971" s="85"/>
      <c r="AI971" s="85"/>
      <c r="AJ971" s="85"/>
      <c r="AK971" s="85"/>
      <c r="AL971" s="85"/>
      <c r="AM971" s="85"/>
    </row>
    <row r="972">
      <c r="A972" s="85"/>
      <c r="B972" s="84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  <c r="AA972" s="85"/>
      <c r="AB972" s="85"/>
      <c r="AC972" s="85"/>
      <c r="AD972" s="85"/>
      <c r="AE972" s="85"/>
      <c r="AF972" s="85"/>
      <c r="AG972" s="85"/>
      <c r="AH972" s="85"/>
      <c r="AI972" s="85"/>
      <c r="AJ972" s="85"/>
      <c r="AK972" s="85"/>
      <c r="AL972" s="85"/>
      <c r="AM972" s="85"/>
    </row>
    <row r="973">
      <c r="A973" s="85"/>
      <c r="B973" s="84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  <c r="AA973" s="85"/>
      <c r="AB973" s="85"/>
      <c r="AC973" s="85"/>
      <c r="AD973" s="85"/>
      <c r="AE973" s="85"/>
      <c r="AF973" s="85"/>
      <c r="AG973" s="85"/>
      <c r="AH973" s="85"/>
      <c r="AI973" s="85"/>
      <c r="AJ973" s="85"/>
      <c r="AK973" s="85"/>
      <c r="AL973" s="85"/>
      <c r="AM973" s="85"/>
    </row>
    <row r="974">
      <c r="A974" s="85"/>
      <c r="B974" s="84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  <c r="AA974" s="85"/>
      <c r="AB974" s="85"/>
      <c r="AC974" s="85"/>
      <c r="AD974" s="85"/>
      <c r="AE974" s="85"/>
      <c r="AF974" s="85"/>
      <c r="AG974" s="85"/>
      <c r="AH974" s="85"/>
      <c r="AI974" s="85"/>
      <c r="AJ974" s="85"/>
      <c r="AK974" s="85"/>
      <c r="AL974" s="85"/>
      <c r="AM974" s="85"/>
    </row>
    <row r="975">
      <c r="A975" s="85"/>
      <c r="B975" s="84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  <c r="AA975" s="85"/>
      <c r="AB975" s="85"/>
      <c r="AC975" s="85"/>
      <c r="AD975" s="85"/>
      <c r="AE975" s="85"/>
      <c r="AF975" s="85"/>
      <c r="AG975" s="85"/>
      <c r="AH975" s="85"/>
      <c r="AI975" s="85"/>
      <c r="AJ975" s="85"/>
      <c r="AK975" s="85"/>
      <c r="AL975" s="85"/>
      <c r="AM975" s="85"/>
    </row>
    <row r="976">
      <c r="A976" s="85"/>
      <c r="B976" s="84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  <c r="AA976" s="85"/>
      <c r="AB976" s="85"/>
      <c r="AC976" s="85"/>
      <c r="AD976" s="85"/>
      <c r="AE976" s="85"/>
      <c r="AF976" s="85"/>
      <c r="AG976" s="85"/>
      <c r="AH976" s="85"/>
      <c r="AI976" s="85"/>
      <c r="AJ976" s="85"/>
      <c r="AK976" s="85"/>
      <c r="AL976" s="85"/>
      <c r="AM976" s="85"/>
    </row>
    <row r="977">
      <c r="A977" s="85"/>
      <c r="B977" s="84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  <c r="AA977" s="85"/>
      <c r="AB977" s="85"/>
      <c r="AC977" s="85"/>
      <c r="AD977" s="85"/>
      <c r="AE977" s="85"/>
      <c r="AF977" s="85"/>
      <c r="AG977" s="85"/>
      <c r="AH977" s="85"/>
      <c r="AI977" s="85"/>
      <c r="AJ977" s="85"/>
      <c r="AK977" s="85"/>
      <c r="AL977" s="85"/>
      <c r="AM977" s="85"/>
    </row>
    <row r="978">
      <c r="A978" s="85"/>
      <c r="B978" s="84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  <c r="AA978" s="85"/>
      <c r="AB978" s="85"/>
      <c r="AC978" s="85"/>
      <c r="AD978" s="85"/>
      <c r="AE978" s="85"/>
      <c r="AF978" s="85"/>
      <c r="AG978" s="85"/>
      <c r="AH978" s="85"/>
      <c r="AI978" s="85"/>
      <c r="AJ978" s="85"/>
      <c r="AK978" s="85"/>
      <c r="AL978" s="85"/>
      <c r="AM978" s="85"/>
    </row>
    <row r="979">
      <c r="A979" s="85"/>
      <c r="B979" s="84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  <c r="AA979" s="85"/>
      <c r="AB979" s="85"/>
      <c r="AC979" s="85"/>
      <c r="AD979" s="85"/>
      <c r="AE979" s="85"/>
      <c r="AF979" s="85"/>
      <c r="AG979" s="85"/>
      <c r="AH979" s="85"/>
      <c r="AI979" s="85"/>
      <c r="AJ979" s="85"/>
      <c r="AK979" s="85"/>
      <c r="AL979" s="85"/>
      <c r="AM979" s="85"/>
    </row>
    <row r="980">
      <c r="A980" s="85"/>
      <c r="B980" s="84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  <c r="AA980" s="85"/>
      <c r="AB980" s="85"/>
      <c r="AC980" s="85"/>
      <c r="AD980" s="85"/>
      <c r="AE980" s="85"/>
      <c r="AF980" s="85"/>
      <c r="AG980" s="85"/>
      <c r="AH980" s="85"/>
      <c r="AI980" s="85"/>
      <c r="AJ980" s="85"/>
      <c r="AK980" s="85"/>
      <c r="AL980" s="85"/>
      <c r="AM980" s="85"/>
    </row>
    <row r="981">
      <c r="A981" s="85"/>
      <c r="B981" s="84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  <c r="AA981" s="85"/>
      <c r="AB981" s="85"/>
      <c r="AC981" s="85"/>
      <c r="AD981" s="85"/>
      <c r="AE981" s="85"/>
      <c r="AF981" s="85"/>
      <c r="AG981" s="85"/>
      <c r="AH981" s="85"/>
      <c r="AI981" s="85"/>
      <c r="AJ981" s="85"/>
      <c r="AK981" s="85"/>
      <c r="AL981" s="85"/>
      <c r="AM981" s="85"/>
    </row>
    <row r="982">
      <c r="A982" s="85"/>
      <c r="B982" s="84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  <c r="AA982" s="85"/>
      <c r="AB982" s="85"/>
      <c r="AC982" s="85"/>
      <c r="AD982" s="85"/>
      <c r="AE982" s="85"/>
      <c r="AF982" s="85"/>
      <c r="AG982" s="85"/>
      <c r="AH982" s="85"/>
      <c r="AI982" s="85"/>
      <c r="AJ982" s="85"/>
      <c r="AK982" s="85"/>
      <c r="AL982" s="85"/>
      <c r="AM982" s="85"/>
    </row>
    <row r="983">
      <c r="A983" s="85"/>
      <c r="B983" s="84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  <c r="AA983" s="85"/>
      <c r="AB983" s="85"/>
      <c r="AC983" s="85"/>
      <c r="AD983" s="85"/>
      <c r="AE983" s="85"/>
      <c r="AF983" s="85"/>
      <c r="AG983" s="85"/>
      <c r="AH983" s="85"/>
      <c r="AI983" s="85"/>
      <c r="AJ983" s="85"/>
      <c r="AK983" s="85"/>
      <c r="AL983" s="85"/>
      <c r="AM983" s="85"/>
    </row>
    <row r="984">
      <c r="A984" s="85"/>
      <c r="B984" s="84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  <c r="AA984" s="85"/>
      <c r="AB984" s="85"/>
      <c r="AC984" s="85"/>
      <c r="AD984" s="85"/>
      <c r="AE984" s="85"/>
      <c r="AF984" s="85"/>
      <c r="AG984" s="85"/>
      <c r="AH984" s="85"/>
      <c r="AI984" s="85"/>
      <c r="AJ984" s="85"/>
      <c r="AK984" s="85"/>
      <c r="AL984" s="85"/>
      <c r="AM984" s="85"/>
    </row>
    <row r="985">
      <c r="A985" s="85"/>
      <c r="B985" s="84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  <c r="AA985" s="85"/>
      <c r="AB985" s="85"/>
      <c r="AC985" s="85"/>
      <c r="AD985" s="85"/>
      <c r="AE985" s="85"/>
      <c r="AF985" s="85"/>
      <c r="AG985" s="85"/>
      <c r="AH985" s="85"/>
      <c r="AI985" s="85"/>
      <c r="AJ985" s="85"/>
      <c r="AK985" s="85"/>
      <c r="AL985" s="85"/>
      <c r="AM985" s="85"/>
    </row>
    <row r="986">
      <c r="A986" s="85"/>
      <c r="B986" s="84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  <c r="AA986" s="85"/>
      <c r="AB986" s="85"/>
      <c r="AC986" s="85"/>
      <c r="AD986" s="85"/>
      <c r="AE986" s="85"/>
      <c r="AF986" s="85"/>
      <c r="AG986" s="85"/>
      <c r="AH986" s="85"/>
      <c r="AI986" s="85"/>
      <c r="AJ986" s="85"/>
      <c r="AK986" s="85"/>
      <c r="AL986" s="85"/>
      <c r="AM986" s="85"/>
    </row>
    <row r="987">
      <c r="A987" s="85"/>
      <c r="B987" s="84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  <c r="AA987" s="85"/>
      <c r="AB987" s="85"/>
      <c r="AC987" s="85"/>
      <c r="AD987" s="85"/>
      <c r="AE987" s="85"/>
      <c r="AF987" s="85"/>
      <c r="AG987" s="85"/>
      <c r="AH987" s="85"/>
      <c r="AI987" s="85"/>
      <c r="AJ987" s="85"/>
      <c r="AK987" s="85"/>
      <c r="AL987" s="85"/>
      <c r="AM987" s="85"/>
    </row>
    <row r="988">
      <c r="A988" s="85"/>
      <c r="B988" s="84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  <c r="AA988" s="85"/>
      <c r="AB988" s="85"/>
      <c r="AC988" s="85"/>
      <c r="AD988" s="85"/>
      <c r="AE988" s="85"/>
      <c r="AF988" s="85"/>
      <c r="AG988" s="85"/>
      <c r="AH988" s="85"/>
      <c r="AI988" s="85"/>
      <c r="AJ988" s="85"/>
      <c r="AK988" s="85"/>
      <c r="AL988" s="85"/>
      <c r="AM988" s="85"/>
    </row>
    <row r="989">
      <c r="A989" s="85"/>
      <c r="B989" s="84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  <c r="AA989" s="85"/>
      <c r="AB989" s="85"/>
      <c r="AC989" s="85"/>
      <c r="AD989" s="85"/>
      <c r="AE989" s="85"/>
      <c r="AF989" s="85"/>
      <c r="AG989" s="85"/>
      <c r="AH989" s="85"/>
      <c r="AI989" s="85"/>
      <c r="AJ989" s="85"/>
      <c r="AK989" s="85"/>
      <c r="AL989" s="85"/>
      <c r="AM989" s="85"/>
    </row>
    <row r="990">
      <c r="A990" s="85"/>
      <c r="B990" s="84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  <c r="AA990" s="85"/>
      <c r="AB990" s="85"/>
      <c r="AC990" s="85"/>
      <c r="AD990" s="85"/>
      <c r="AE990" s="85"/>
      <c r="AF990" s="85"/>
      <c r="AG990" s="85"/>
      <c r="AH990" s="85"/>
      <c r="AI990" s="85"/>
      <c r="AJ990" s="85"/>
      <c r="AK990" s="85"/>
      <c r="AL990" s="85"/>
      <c r="AM990" s="85"/>
    </row>
    <row r="991">
      <c r="A991" s="85"/>
      <c r="B991" s="84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</row>
    <row r="992">
      <c r="A992" s="85"/>
      <c r="B992" s="84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  <c r="AA992" s="85"/>
      <c r="AB992" s="85"/>
      <c r="AC992" s="85"/>
      <c r="AD992" s="85"/>
      <c r="AE992" s="85"/>
      <c r="AF992" s="85"/>
      <c r="AG992" s="85"/>
      <c r="AH992" s="85"/>
      <c r="AI992" s="85"/>
      <c r="AJ992" s="85"/>
      <c r="AK992" s="85"/>
      <c r="AL992" s="85"/>
      <c r="AM992" s="85"/>
    </row>
    <row r="993">
      <c r="A993" s="85"/>
      <c r="B993" s="84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  <c r="AA993" s="85"/>
      <c r="AB993" s="85"/>
      <c r="AC993" s="85"/>
      <c r="AD993" s="85"/>
      <c r="AE993" s="85"/>
      <c r="AF993" s="85"/>
      <c r="AG993" s="85"/>
      <c r="AH993" s="85"/>
      <c r="AI993" s="85"/>
      <c r="AJ993" s="85"/>
      <c r="AK993" s="85"/>
      <c r="AL993" s="85"/>
      <c r="AM993" s="85"/>
    </row>
    <row r="994">
      <c r="A994" s="85"/>
      <c r="B994" s="84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  <c r="AA994" s="85"/>
      <c r="AB994" s="85"/>
      <c r="AC994" s="85"/>
      <c r="AD994" s="85"/>
      <c r="AE994" s="85"/>
      <c r="AF994" s="85"/>
      <c r="AG994" s="85"/>
      <c r="AH994" s="85"/>
      <c r="AI994" s="85"/>
      <c r="AJ994" s="85"/>
      <c r="AK994" s="85"/>
      <c r="AL994" s="85"/>
      <c r="AM994" s="85"/>
    </row>
    <row r="995">
      <c r="A995" s="85"/>
      <c r="B995" s="84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  <c r="AA995" s="85"/>
      <c r="AB995" s="85"/>
      <c r="AC995" s="85"/>
      <c r="AD995" s="85"/>
      <c r="AE995" s="85"/>
      <c r="AF995" s="85"/>
      <c r="AG995" s="85"/>
      <c r="AH995" s="85"/>
      <c r="AI995" s="85"/>
      <c r="AJ995" s="85"/>
      <c r="AK995" s="85"/>
      <c r="AL995" s="85"/>
      <c r="AM995" s="85"/>
    </row>
    <row r="996">
      <c r="A996" s="85"/>
      <c r="B996" s="84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  <c r="AA996" s="85"/>
      <c r="AB996" s="85"/>
      <c r="AC996" s="85"/>
      <c r="AD996" s="85"/>
      <c r="AE996" s="85"/>
      <c r="AF996" s="85"/>
      <c r="AG996" s="85"/>
      <c r="AH996" s="85"/>
      <c r="AI996" s="85"/>
      <c r="AJ996" s="85"/>
      <c r="AK996" s="85"/>
      <c r="AL996" s="85"/>
      <c r="AM996" s="85"/>
    </row>
    <row r="997">
      <c r="A997" s="85"/>
      <c r="B997" s="84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  <c r="AA997" s="85"/>
      <c r="AB997" s="85"/>
      <c r="AC997" s="85"/>
      <c r="AD997" s="85"/>
      <c r="AE997" s="85"/>
      <c r="AF997" s="85"/>
      <c r="AG997" s="85"/>
      <c r="AH997" s="85"/>
      <c r="AI997" s="85"/>
      <c r="AJ997" s="85"/>
      <c r="AK997" s="85"/>
      <c r="AL997" s="85"/>
      <c r="AM997" s="85"/>
    </row>
    <row r="998">
      <c r="A998" s="85"/>
      <c r="B998" s="84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  <c r="AA998" s="85"/>
      <c r="AB998" s="85"/>
      <c r="AC998" s="85"/>
      <c r="AD998" s="85"/>
      <c r="AE998" s="85"/>
      <c r="AF998" s="85"/>
      <c r="AG998" s="85"/>
      <c r="AH998" s="85"/>
      <c r="AI998" s="85"/>
      <c r="AJ998" s="85"/>
      <c r="AK998" s="85"/>
      <c r="AL998" s="85"/>
      <c r="AM998" s="85"/>
    </row>
    <row r="999">
      <c r="A999" s="85"/>
      <c r="B999" s="84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  <c r="AA999" s="85"/>
      <c r="AB999" s="85"/>
      <c r="AC999" s="85"/>
      <c r="AD999" s="85"/>
      <c r="AE999" s="85"/>
      <c r="AF999" s="85"/>
      <c r="AG999" s="85"/>
      <c r="AH999" s="85"/>
      <c r="AI999" s="85"/>
      <c r="AJ999" s="85"/>
      <c r="AK999" s="85"/>
      <c r="AL999" s="85"/>
      <c r="AM999" s="85"/>
    </row>
    <row r="1000">
      <c r="A1000" s="85"/>
      <c r="B1000" s="84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  <c r="AA1000" s="85"/>
      <c r="AB1000" s="85"/>
      <c r="AC1000" s="85"/>
      <c r="AD1000" s="85"/>
      <c r="AE1000" s="85"/>
      <c r="AF1000" s="85"/>
      <c r="AG1000" s="85"/>
      <c r="AH1000" s="85"/>
      <c r="AI1000" s="85"/>
      <c r="AJ1000" s="85"/>
      <c r="AK1000" s="85"/>
      <c r="AL1000" s="85"/>
      <c r="AM1000" s="85"/>
    </row>
    <row r="1001">
      <c r="A1001" s="85"/>
      <c r="B1001" s="84"/>
      <c r="C1001" s="85"/>
      <c r="D1001" s="85"/>
      <c r="E1001" s="85"/>
      <c r="F1001" s="85"/>
      <c r="G1001" s="85"/>
      <c r="H1001" s="85"/>
      <c r="I1001" s="85"/>
      <c r="J1001" s="85"/>
      <c r="K1001" s="85"/>
      <c r="L1001" s="85"/>
      <c r="M1001" s="85"/>
      <c r="N1001" s="85"/>
      <c r="O1001" s="85"/>
      <c r="P1001" s="85"/>
      <c r="Q1001" s="85"/>
      <c r="R1001" s="85"/>
      <c r="S1001" s="85"/>
      <c r="T1001" s="85"/>
      <c r="U1001" s="85"/>
      <c r="V1001" s="85"/>
      <c r="W1001" s="85"/>
      <c r="X1001" s="85"/>
      <c r="Y1001" s="85"/>
      <c r="Z1001" s="85"/>
      <c r="AA1001" s="85"/>
      <c r="AB1001" s="85"/>
      <c r="AC1001" s="85"/>
      <c r="AD1001" s="85"/>
      <c r="AE1001" s="85"/>
      <c r="AF1001" s="85"/>
      <c r="AG1001" s="85"/>
      <c r="AH1001" s="85"/>
      <c r="AI1001" s="85"/>
      <c r="AJ1001" s="85"/>
      <c r="AK1001" s="85"/>
      <c r="AL1001" s="85"/>
      <c r="AM1001" s="85"/>
    </row>
    <row r="1002">
      <c r="A1002" s="85"/>
      <c r="B1002" s="84"/>
      <c r="C1002" s="85"/>
      <c r="D1002" s="85"/>
      <c r="E1002" s="85"/>
      <c r="F1002" s="85"/>
      <c r="G1002" s="85"/>
      <c r="H1002" s="85"/>
      <c r="I1002" s="85"/>
      <c r="J1002" s="85"/>
      <c r="K1002" s="85"/>
      <c r="L1002" s="85"/>
      <c r="M1002" s="85"/>
      <c r="N1002" s="85"/>
      <c r="O1002" s="85"/>
      <c r="P1002" s="85"/>
      <c r="Q1002" s="85"/>
      <c r="R1002" s="85"/>
      <c r="S1002" s="85"/>
      <c r="T1002" s="85"/>
      <c r="U1002" s="85"/>
      <c r="V1002" s="85"/>
      <c r="W1002" s="85"/>
      <c r="X1002" s="85"/>
      <c r="Y1002" s="85"/>
      <c r="Z1002" s="85"/>
      <c r="AA1002" s="85"/>
      <c r="AB1002" s="85"/>
      <c r="AC1002" s="85"/>
      <c r="AD1002" s="85"/>
      <c r="AE1002" s="85"/>
      <c r="AF1002" s="85"/>
      <c r="AG1002" s="85"/>
      <c r="AH1002" s="85"/>
      <c r="AI1002" s="85"/>
      <c r="AJ1002" s="85"/>
      <c r="AK1002" s="85"/>
      <c r="AL1002" s="85"/>
      <c r="AM1002" s="85"/>
    </row>
    <row r="1003">
      <c r="A1003" s="85"/>
      <c r="B1003" s="84"/>
      <c r="C1003" s="85"/>
      <c r="D1003" s="85"/>
      <c r="E1003" s="85"/>
      <c r="F1003" s="85"/>
      <c r="G1003" s="85"/>
      <c r="H1003" s="85"/>
      <c r="I1003" s="85"/>
      <c r="J1003" s="85"/>
      <c r="K1003" s="85"/>
      <c r="L1003" s="85"/>
      <c r="M1003" s="85"/>
      <c r="N1003" s="85"/>
      <c r="O1003" s="85"/>
      <c r="P1003" s="85"/>
      <c r="Q1003" s="85"/>
      <c r="R1003" s="85"/>
      <c r="S1003" s="85"/>
      <c r="T1003" s="85"/>
      <c r="U1003" s="85"/>
      <c r="V1003" s="85"/>
      <c r="W1003" s="85"/>
      <c r="X1003" s="85"/>
      <c r="Y1003" s="85"/>
      <c r="Z1003" s="85"/>
      <c r="AA1003" s="85"/>
      <c r="AB1003" s="85"/>
      <c r="AC1003" s="85"/>
      <c r="AD1003" s="85"/>
      <c r="AE1003" s="85"/>
      <c r="AF1003" s="85"/>
      <c r="AG1003" s="85"/>
      <c r="AH1003" s="85"/>
      <c r="AI1003" s="85"/>
      <c r="AJ1003" s="85"/>
      <c r="AK1003" s="85"/>
      <c r="AL1003" s="85"/>
      <c r="AM1003" s="85"/>
    </row>
    <row r="1004">
      <c r="A1004" s="85"/>
      <c r="B1004" s="84"/>
      <c r="C1004" s="85"/>
      <c r="D1004" s="85"/>
      <c r="E1004" s="85"/>
      <c r="F1004" s="85"/>
      <c r="G1004" s="85"/>
      <c r="H1004" s="85"/>
      <c r="I1004" s="85"/>
      <c r="J1004" s="85"/>
      <c r="K1004" s="85"/>
      <c r="L1004" s="85"/>
      <c r="M1004" s="85"/>
      <c r="N1004" s="85"/>
      <c r="O1004" s="85"/>
      <c r="P1004" s="85"/>
      <c r="Q1004" s="85"/>
      <c r="R1004" s="85"/>
      <c r="S1004" s="85"/>
      <c r="T1004" s="85"/>
      <c r="U1004" s="85"/>
      <c r="V1004" s="85"/>
      <c r="W1004" s="85"/>
      <c r="X1004" s="85"/>
      <c r="Y1004" s="85"/>
      <c r="Z1004" s="85"/>
      <c r="AA1004" s="85"/>
      <c r="AB1004" s="85"/>
      <c r="AC1004" s="85"/>
      <c r="AD1004" s="85"/>
      <c r="AE1004" s="85"/>
      <c r="AF1004" s="85"/>
      <c r="AG1004" s="85"/>
      <c r="AH1004" s="85"/>
      <c r="AI1004" s="85"/>
      <c r="AJ1004" s="85"/>
      <c r="AK1004" s="85"/>
      <c r="AL1004" s="85"/>
      <c r="AM1004" s="85"/>
    </row>
    <row r="1005">
      <c r="A1005" s="85"/>
      <c r="B1005" s="84"/>
      <c r="C1005" s="85"/>
      <c r="D1005" s="85"/>
      <c r="E1005" s="85"/>
      <c r="F1005" s="85"/>
      <c r="G1005" s="85"/>
      <c r="H1005" s="85"/>
      <c r="I1005" s="85"/>
      <c r="J1005" s="85"/>
      <c r="K1005" s="85"/>
      <c r="L1005" s="85"/>
      <c r="M1005" s="85"/>
      <c r="N1005" s="85"/>
      <c r="O1005" s="85"/>
      <c r="P1005" s="85"/>
      <c r="Q1005" s="85"/>
      <c r="R1005" s="85"/>
      <c r="S1005" s="85"/>
      <c r="T1005" s="85"/>
      <c r="U1005" s="85"/>
      <c r="V1005" s="85"/>
      <c r="W1005" s="85"/>
      <c r="X1005" s="85"/>
      <c r="Y1005" s="85"/>
      <c r="Z1005" s="85"/>
      <c r="AA1005" s="85"/>
      <c r="AB1005" s="85"/>
      <c r="AC1005" s="85"/>
      <c r="AD1005" s="85"/>
      <c r="AE1005" s="85"/>
      <c r="AF1005" s="85"/>
      <c r="AG1005" s="85"/>
      <c r="AH1005" s="85"/>
      <c r="AI1005" s="85"/>
      <c r="AJ1005" s="85"/>
      <c r="AK1005" s="85"/>
      <c r="AL1005" s="85"/>
      <c r="AM1005" s="85"/>
    </row>
    <row r="1006">
      <c r="A1006" s="85"/>
      <c r="B1006" s="84"/>
      <c r="C1006" s="85"/>
      <c r="D1006" s="85"/>
      <c r="E1006" s="85"/>
      <c r="F1006" s="85"/>
      <c r="G1006" s="85"/>
      <c r="H1006" s="85"/>
      <c r="I1006" s="85"/>
      <c r="J1006" s="85"/>
      <c r="K1006" s="85"/>
      <c r="L1006" s="85"/>
      <c r="M1006" s="85"/>
      <c r="N1006" s="85"/>
      <c r="O1006" s="85"/>
      <c r="P1006" s="85"/>
      <c r="Q1006" s="85"/>
      <c r="R1006" s="85"/>
      <c r="S1006" s="85"/>
      <c r="T1006" s="85"/>
      <c r="U1006" s="85"/>
      <c r="V1006" s="85"/>
      <c r="W1006" s="85"/>
      <c r="X1006" s="85"/>
      <c r="Y1006" s="85"/>
      <c r="Z1006" s="85"/>
      <c r="AA1006" s="85"/>
      <c r="AB1006" s="85"/>
      <c r="AC1006" s="85"/>
      <c r="AD1006" s="85"/>
      <c r="AE1006" s="85"/>
      <c r="AF1006" s="85"/>
      <c r="AG1006" s="85"/>
      <c r="AH1006" s="85"/>
      <c r="AI1006" s="85"/>
      <c r="AJ1006" s="85"/>
      <c r="AK1006" s="85"/>
      <c r="AL1006" s="85"/>
      <c r="AM1006" s="85"/>
    </row>
  </sheetData>
  <mergeCells count="14">
    <mergeCell ref="N3:R3"/>
    <mergeCell ref="S3:V3"/>
    <mergeCell ref="W3:AA3"/>
    <mergeCell ref="AB3:AE3"/>
    <mergeCell ref="AF3:AI3"/>
    <mergeCell ref="AJ3:AM3"/>
    <mergeCell ref="A3:A4"/>
    <mergeCell ref="B3:B4"/>
    <mergeCell ref="C3:C4"/>
    <mergeCell ref="D3:D4"/>
    <mergeCell ref="E3:E4"/>
    <mergeCell ref="F3:I3"/>
    <mergeCell ref="J3:M3"/>
    <mergeCell ref="A27:B2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86"/>
    <col customWidth="1" min="3" max="3" width="6.43"/>
    <col customWidth="1" min="4" max="4" width="7.57"/>
    <col customWidth="1" min="5" max="5" width="7.0"/>
    <col customWidth="1" min="6" max="6" width="7.29"/>
    <col customWidth="1" min="7" max="8" width="6.14"/>
    <col customWidth="1" min="9" max="9" width="6.57"/>
    <col customWidth="1" min="10" max="10" width="5.71"/>
    <col customWidth="1" min="11" max="11" width="6.57"/>
    <col customWidth="1" min="12" max="12" width="6.0"/>
    <col customWidth="1" min="13" max="13" width="7.14"/>
    <col customWidth="1" min="14" max="14" width="5.86"/>
    <col customWidth="1" min="15" max="15" width="7.14"/>
    <col customWidth="1" min="16" max="16" width="6.71"/>
    <col customWidth="1" min="17" max="18" width="6.43"/>
    <col customWidth="1" min="19" max="19" width="7.86"/>
    <col customWidth="1" min="20" max="27" width="8.86"/>
  </cols>
  <sheetData>
    <row r="3">
      <c r="R3" s="82" t="s">
        <v>127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>
      <c r="B29" s="156"/>
      <c r="C29" s="157" t="s">
        <v>66</v>
      </c>
      <c r="D29" s="157" t="s">
        <v>67</v>
      </c>
      <c r="E29" s="157" t="s">
        <v>68</v>
      </c>
      <c r="F29" s="157" t="s">
        <v>69</v>
      </c>
      <c r="G29" s="157" t="s">
        <v>70</v>
      </c>
      <c r="H29" s="157" t="s">
        <v>71</v>
      </c>
      <c r="I29" s="157" t="s">
        <v>72</v>
      </c>
      <c r="J29" s="157" t="s">
        <v>73</v>
      </c>
      <c r="K29" s="157" t="s">
        <v>74</v>
      </c>
      <c r="L29" s="157" t="s">
        <v>75</v>
      </c>
      <c r="M29" s="157" t="s">
        <v>76</v>
      </c>
      <c r="N29" s="157" t="s">
        <v>77</v>
      </c>
      <c r="O29" s="157" t="s">
        <v>78</v>
      </c>
      <c r="P29" s="157" t="s">
        <v>79</v>
      </c>
      <c r="Q29" s="157" t="s">
        <v>80</v>
      </c>
      <c r="R29" s="157" t="s">
        <v>81</v>
      </c>
      <c r="S29" s="158" t="s">
        <v>82</v>
      </c>
      <c r="T29" s="158" t="s">
        <v>83</v>
      </c>
      <c r="U29" s="158" t="s">
        <v>84</v>
      </c>
      <c r="V29" s="158" t="s">
        <v>85</v>
      </c>
      <c r="W29" s="158" t="s">
        <v>86</v>
      </c>
      <c r="X29" s="158" t="s">
        <v>87</v>
      </c>
      <c r="Y29" s="158" t="s">
        <v>88</v>
      </c>
      <c r="Z29" s="158" t="s">
        <v>89</v>
      </c>
      <c r="AA29" s="159" t="s">
        <v>90</v>
      </c>
    </row>
    <row r="30" ht="15.75" customHeight="1">
      <c r="B30" s="160" t="s">
        <v>32</v>
      </c>
      <c r="C30" s="161">
        <v>9.0</v>
      </c>
      <c r="D30" s="161">
        <v>24.0</v>
      </c>
      <c r="E30" s="161">
        <v>39.0</v>
      </c>
      <c r="F30" s="161">
        <f>Task_Table!AE53</f>
        <v>32</v>
      </c>
      <c r="G30" s="161">
        <f>Task_Table!AM53</f>
        <v>33</v>
      </c>
      <c r="H30" s="162"/>
      <c r="I30" s="161">
        <v>56.0</v>
      </c>
      <c r="J30" s="161">
        <v>62.0</v>
      </c>
      <c r="K30" s="161">
        <v>66.0</v>
      </c>
      <c r="L30" s="161">
        <v>76.0</v>
      </c>
      <c r="M30" s="161">
        <v>76.0</v>
      </c>
      <c r="N30" s="53">
        <v>76.0</v>
      </c>
      <c r="O30" s="161">
        <v>76.0</v>
      </c>
      <c r="P30" s="161">
        <v>84.0</v>
      </c>
      <c r="Q30" s="161">
        <v>89.0</v>
      </c>
      <c r="R30" s="161">
        <v>90.0</v>
      </c>
      <c r="S30" s="163" t="str">
        <f t="shared" ref="S30:T30" si="1">#REF!</f>
        <v>#REF!</v>
      </c>
      <c r="T30" s="163" t="str">
        <f t="shared" si="1"/>
        <v>#REF!</v>
      </c>
      <c r="U30" s="163">
        <v>93.0</v>
      </c>
      <c r="V30" s="163">
        <v>94.0</v>
      </c>
      <c r="W30" s="163">
        <v>96.0</v>
      </c>
      <c r="X30" s="163">
        <v>97.0</v>
      </c>
      <c r="Y30" s="163">
        <v>98.0</v>
      </c>
      <c r="Z30" s="163">
        <v>98.0</v>
      </c>
      <c r="AA30" s="164">
        <v>99.0</v>
      </c>
    </row>
    <row r="31" ht="15.75" customHeight="1">
      <c r="B31" s="160" t="s">
        <v>128</v>
      </c>
      <c r="C31" s="161">
        <v>6.5</v>
      </c>
      <c r="D31" s="161">
        <v>14.0</v>
      </c>
      <c r="E31" s="161">
        <v>31.0</v>
      </c>
      <c r="F31" s="161" t="str">
        <f>#REF!</f>
        <v>#REF!</v>
      </c>
      <c r="G31" s="161">
        <v>38.0</v>
      </c>
      <c r="H31" s="162"/>
      <c r="I31" s="161">
        <v>50.7</v>
      </c>
      <c r="J31" s="161">
        <v>56.5</v>
      </c>
      <c r="K31" s="161">
        <v>60.5</v>
      </c>
      <c r="L31" s="161">
        <v>68.3</v>
      </c>
      <c r="M31" s="161">
        <v>72.7</v>
      </c>
      <c r="N31" s="53">
        <v>72.7</v>
      </c>
      <c r="O31" s="161">
        <v>73.2</v>
      </c>
      <c r="P31" s="161">
        <v>79.7</v>
      </c>
      <c r="Q31" s="161">
        <v>82.0</v>
      </c>
      <c r="R31" s="161">
        <v>83.0</v>
      </c>
      <c r="S31" s="163" t="str">
        <f t="shared" ref="S31:T31" si="2">#REF!</f>
        <v>#REF!</v>
      </c>
      <c r="T31" s="163" t="str">
        <f t="shared" si="2"/>
        <v>#REF!</v>
      </c>
      <c r="U31" s="163">
        <v>89.7</v>
      </c>
      <c r="V31" s="163">
        <v>90.9</v>
      </c>
      <c r="W31" s="163">
        <v>93.2</v>
      </c>
      <c r="X31" s="163">
        <v>95.5</v>
      </c>
      <c r="Y31" s="163">
        <v>96.5</v>
      </c>
      <c r="Z31" s="163">
        <v>97.0</v>
      </c>
      <c r="AA31" s="164">
        <v>99.0</v>
      </c>
    </row>
    <row r="32" ht="15.75" customHeight="1">
      <c r="B32" s="165" t="s">
        <v>34</v>
      </c>
      <c r="C32" s="163">
        <f t="shared" ref="C32:G32" si="3">C30-C31</f>
        <v>2.5</v>
      </c>
      <c r="D32" s="163">
        <f t="shared" si="3"/>
        <v>10</v>
      </c>
      <c r="E32" s="163">
        <f t="shared" si="3"/>
        <v>8</v>
      </c>
      <c r="F32" s="163" t="str">
        <f t="shared" si="3"/>
        <v>#REF!</v>
      </c>
      <c r="G32" s="163">
        <f t="shared" si="3"/>
        <v>-5</v>
      </c>
      <c r="H32" s="166"/>
      <c r="I32" s="163">
        <f t="shared" ref="I32:M32" si="4">I30-I31</f>
        <v>5.3</v>
      </c>
      <c r="J32" s="163">
        <f t="shared" si="4"/>
        <v>5.5</v>
      </c>
      <c r="K32" s="163">
        <f t="shared" si="4"/>
        <v>5.5</v>
      </c>
      <c r="L32" s="163">
        <f t="shared" si="4"/>
        <v>7.7</v>
      </c>
      <c r="M32" s="163">
        <f t="shared" si="4"/>
        <v>3.3</v>
      </c>
      <c r="N32" s="163">
        <f>M30-M31</f>
        <v>3.3</v>
      </c>
      <c r="O32" s="163">
        <f t="shared" ref="O32:AA32" si="5">O30-O31</f>
        <v>2.8</v>
      </c>
      <c r="P32" s="163">
        <f t="shared" si="5"/>
        <v>4.3</v>
      </c>
      <c r="Q32" s="163">
        <f t="shared" si="5"/>
        <v>7</v>
      </c>
      <c r="R32" s="163">
        <f t="shared" si="5"/>
        <v>7</v>
      </c>
      <c r="S32" s="163" t="str">
        <f t="shared" si="5"/>
        <v>#REF!</v>
      </c>
      <c r="T32" s="163" t="str">
        <f t="shared" si="5"/>
        <v>#REF!</v>
      </c>
      <c r="U32" s="163">
        <f t="shared" si="5"/>
        <v>3.3</v>
      </c>
      <c r="V32" s="163">
        <f t="shared" si="5"/>
        <v>3.1</v>
      </c>
      <c r="W32" s="163">
        <f t="shared" si="5"/>
        <v>2.8</v>
      </c>
      <c r="X32" s="163">
        <f t="shared" si="5"/>
        <v>1.5</v>
      </c>
      <c r="Y32" s="163">
        <f t="shared" si="5"/>
        <v>1.5</v>
      </c>
      <c r="Z32" s="163">
        <f t="shared" si="5"/>
        <v>1</v>
      </c>
      <c r="AA32" s="164">
        <f t="shared" si="5"/>
        <v>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>
      <c r="I40" s="82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86"/>
    <col customWidth="1" min="3" max="3" width="6.43"/>
    <col customWidth="1" min="4" max="4" width="7.57"/>
    <col customWidth="1" min="5" max="5" width="7.0"/>
    <col customWidth="1" min="6" max="6" width="7.29"/>
    <col customWidth="1" min="7" max="8" width="6.14"/>
    <col customWidth="1" min="9" max="9" width="6.57"/>
    <col customWidth="1" min="10" max="10" width="5.71"/>
    <col customWidth="1" min="11" max="11" width="6.57"/>
    <col customWidth="1" min="12" max="12" width="6.0"/>
    <col customWidth="1" min="13" max="13" width="7.14"/>
    <col customWidth="1" min="14" max="14" width="5.86"/>
    <col customWidth="1" min="15" max="15" width="7.14"/>
    <col customWidth="1" min="16" max="16" width="6.71"/>
    <col customWidth="1" min="17" max="18" width="6.43"/>
    <col customWidth="1" min="19" max="19" width="7.86"/>
    <col customWidth="1" min="20" max="26" width="8.86"/>
  </cols>
  <sheetData>
    <row r="3">
      <c r="R3" s="82" t="s">
        <v>127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>
      <c r="B29" s="156"/>
      <c r="C29" s="157" t="s">
        <v>66</v>
      </c>
      <c r="D29" s="157" t="s">
        <v>67</v>
      </c>
      <c r="E29" s="157" t="s">
        <v>68</v>
      </c>
      <c r="F29" s="157" t="s">
        <v>69</v>
      </c>
      <c r="G29" s="157" t="s">
        <v>70</v>
      </c>
      <c r="H29" s="157" t="s">
        <v>71</v>
      </c>
      <c r="I29" s="157" t="s">
        <v>72</v>
      </c>
      <c r="J29" s="157" t="s">
        <v>73</v>
      </c>
      <c r="K29" s="157" t="s">
        <v>74</v>
      </c>
      <c r="L29" s="157" t="s">
        <v>75</v>
      </c>
      <c r="M29" s="157" t="s">
        <v>76</v>
      </c>
      <c r="N29" s="157" t="s">
        <v>77</v>
      </c>
      <c r="O29" s="157" t="s">
        <v>78</v>
      </c>
      <c r="P29" s="157" t="s">
        <v>79</v>
      </c>
      <c r="Q29" s="157" t="s">
        <v>80</v>
      </c>
      <c r="R29" s="157" t="s">
        <v>81</v>
      </c>
      <c r="S29" s="158" t="s">
        <v>82</v>
      </c>
      <c r="T29" s="158" t="s">
        <v>83</v>
      </c>
      <c r="U29" s="158" t="s">
        <v>84</v>
      </c>
      <c r="V29" s="158" t="s">
        <v>85</v>
      </c>
      <c r="W29" s="167" t="s">
        <v>86</v>
      </c>
    </row>
    <row r="30" ht="15.75" customHeight="1">
      <c r="B30" s="160" t="s">
        <v>32</v>
      </c>
      <c r="C30" s="161">
        <v>9.0</v>
      </c>
      <c r="D30" s="161">
        <v>24.0</v>
      </c>
      <c r="E30" s="161">
        <v>39.0</v>
      </c>
      <c r="F30" s="161">
        <f>Task_Table!AE53</f>
        <v>32</v>
      </c>
      <c r="G30" s="161">
        <f>Task_Table!AM53</f>
        <v>33</v>
      </c>
      <c r="H30" s="162"/>
      <c r="I30" s="161">
        <v>56.0</v>
      </c>
      <c r="J30" s="161">
        <v>62.0</v>
      </c>
      <c r="K30" s="161">
        <v>66.0</v>
      </c>
      <c r="L30" s="161">
        <v>76.0</v>
      </c>
      <c r="M30" s="161">
        <v>76.0</v>
      </c>
      <c r="N30" s="53">
        <v>76.0</v>
      </c>
      <c r="O30" s="161">
        <v>76.0</v>
      </c>
      <c r="P30" s="161">
        <v>84.0</v>
      </c>
      <c r="Q30" s="161">
        <v>89.0</v>
      </c>
      <c r="R30" s="161">
        <v>90.0</v>
      </c>
      <c r="S30" s="163" t="str">
        <f t="shared" ref="S30:T30" si="1">#REF!</f>
        <v>#REF!</v>
      </c>
      <c r="T30" s="163" t="str">
        <f t="shared" si="1"/>
        <v>#REF!</v>
      </c>
      <c r="U30" s="163">
        <v>93.0</v>
      </c>
      <c r="V30" s="163">
        <v>94.0</v>
      </c>
      <c r="W30" s="163">
        <v>95.0</v>
      </c>
    </row>
    <row r="31" ht="15.75" customHeight="1">
      <c r="B31" s="160" t="s">
        <v>128</v>
      </c>
      <c r="C31" s="161">
        <v>6.5</v>
      </c>
      <c r="D31" s="161">
        <v>14.0</v>
      </c>
      <c r="E31" s="161">
        <v>31.0</v>
      </c>
      <c r="F31" s="161" t="str">
        <f>#REF!</f>
        <v>#REF!</v>
      </c>
      <c r="G31" s="161">
        <v>38.0</v>
      </c>
      <c r="H31" s="162"/>
      <c r="I31" s="161">
        <v>50.7</v>
      </c>
      <c r="J31" s="161">
        <v>56.5</v>
      </c>
      <c r="K31" s="161">
        <v>60.5</v>
      </c>
      <c r="L31" s="161">
        <v>68.3</v>
      </c>
      <c r="M31" s="161">
        <v>72.7</v>
      </c>
      <c r="N31" s="53">
        <v>72.7</v>
      </c>
      <c r="O31" s="161">
        <v>73.2</v>
      </c>
      <c r="P31" s="161">
        <v>79.7</v>
      </c>
      <c r="Q31" s="161">
        <v>82.0</v>
      </c>
      <c r="R31" s="161">
        <v>83.0</v>
      </c>
      <c r="S31" s="163" t="str">
        <f t="shared" ref="S31:T31" si="2">#REF!</f>
        <v>#REF!</v>
      </c>
      <c r="T31" s="163" t="str">
        <f t="shared" si="2"/>
        <v>#REF!</v>
      </c>
      <c r="U31" s="163">
        <v>89.7</v>
      </c>
      <c r="V31" s="163">
        <v>90.9</v>
      </c>
      <c r="W31" s="163">
        <v>92.3</v>
      </c>
    </row>
    <row r="32" ht="15.75" customHeight="1">
      <c r="B32" s="165" t="s">
        <v>34</v>
      </c>
      <c r="C32" s="163">
        <f t="shared" ref="C32:G32" si="3">C30-C31</f>
        <v>2.5</v>
      </c>
      <c r="D32" s="163">
        <f t="shared" si="3"/>
        <v>10</v>
      </c>
      <c r="E32" s="163">
        <f t="shared" si="3"/>
        <v>8</v>
      </c>
      <c r="F32" s="163" t="str">
        <f t="shared" si="3"/>
        <v>#REF!</v>
      </c>
      <c r="G32" s="163">
        <f t="shared" si="3"/>
        <v>-5</v>
      </c>
      <c r="H32" s="166"/>
      <c r="I32" s="163">
        <f t="shared" ref="I32:M32" si="4">I30-I31</f>
        <v>5.3</v>
      </c>
      <c r="J32" s="163">
        <f t="shared" si="4"/>
        <v>5.5</v>
      </c>
      <c r="K32" s="163">
        <f t="shared" si="4"/>
        <v>5.5</v>
      </c>
      <c r="L32" s="163">
        <f t="shared" si="4"/>
        <v>7.7</v>
      </c>
      <c r="M32" s="163">
        <f t="shared" si="4"/>
        <v>3.3</v>
      </c>
      <c r="N32" s="163">
        <f>M30-M31</f>
        <v>3.3</v>
      </c>
      <c r="O32" s="163">
        <f t="shared" ref="O32:W32" si="5">O30-O31</f>
        <v>2.8</v>
      </c>
      <c r="P32" s="163">
        <f t="shared" si="5"/>
        <v>4.3</v>
      </c>
      <c r="Q32" s="163">
        <f t="shared" si="5"/>
        <v>7</v>
      </c>
      <c r="R32" s="163">
        <f t="shared" si="5"/>
        <v>7</v>
      </c>
      <c r="S32" s="163" t="str">
        <f t="shared" si="5"/>
        <v>#REF!</v>
      </c>
      <c r="T32" s="163" t="str">
        <f t="shared" si="5"/>
        <v>#REF!</v>
      </c>
      <c r="U32" s="163">
        <f t="shared" si="5"/>
        <v>3.3</v>
      </c>
      <c r="V32" s="163">
        <f t="shared" si="5"/>
        <v>3.1</v>
      </c>
      <c r="W32" s="163">
        <f t="shared" si="5"/>
        <v>2.7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>
      <c r="I40" s="82" t="s">
        <v>129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9.86"/>
    <col customWidth="1" min="3" max="6" width="4.14"/>
    <col customWidth="1" min="7" max="26" width="4.43"/>
  </cols>
  <sheetData>
    <row r="2">
      <c r="B2" s="156" t="s">
        <v>130</v>
      </c>
      <c r="C2" s="157"/>
      <c r="D2" s="157">
        <v>1.0</v>
      </c>
      <c r="E2" s="157">
        <v>2.0</v>
      </c>
      <c r="F2" s="157">
        <v>3.0</v>
      </c>
      <c r="G2" s="157">
        <v>4.0</v>
      </c>
      <c r="H2" s="157">
        <v>5.0</v>
      </c>
      <c r="I2" s="157">
        <v>6.0</v>
      </c>
      <c r="J2" s="157">
        <v>7.0</v>
      </c>
      <c r="K2" s="157">
        <v>8.0</v>
      </c>
      <c r="L2" s="157">
        <v>9.0</v>
      </c>
      <c r="M2" s="157">
        <v>10.0</v>
      </c>
      <c r="N2" s="157">
        <v>11.0</v>
      </c>
      <c r="O2" s="157">
        <v>12.0</v>
      </c>
      <c r="P2" s="157">
        <v>13.0</v>
      </c>
      <c r="Q2" s="157">
        <v>14.0</v>
      </c>
      <c r="R2" s="157">
        <v>15.0</v>
      </c>
      <c r="S2" s="157">
        <v>16.0</v>
      </c>
      <c r="T2" s="157">
        <v>17.0</v>
      </c>
      <c r="U2" s="157">
        <v>18.0</v>
      </c>
      <c r="V2" s="157">
        <v>19.0</v>
      </c>
      <c r="W2" s="157">
        <v>20.0</v>
      </c>
      <c r="X2" s="157">
        <v>21.0</v>
      </c>
      <c r="Y2" s="157">
        <v>22.0</v>
      </c>
      <c r="Z2" s="157">
        <v>23.0</v>
      </c>
    </row>
    <row r="3">
      <c r="B3" s="160" t="s">
        <v>131</v>
      </c>
      <c r="C3" s="161"/>
      <c r="D3" s="161"/>
      <c r="E3" s="161"/>
      <c r="F3" s="161"/>
      <c r="G3" s="161"/>
      <c r="H3" s="162"/>
      <c r="I3" s="161"/>
      <c r="J3" s="161"/>
      <c r="K3" s="161"/>
      <c r="L3" s="161"/>
      <c r="M3" s="161"/>
      <c r="N3" s="53"/>
      <c r="O3" s="161"/>
      <c r="P3" s="161"/>
      <c r="Q3" s="161"/>
      <c r="R3" s="161"/>
      <c r="S3" s="163"/>
      <c r="T3" s="163"/>
      <c r="U3" s="163"/>
      <c r="V3" s="163"/>
    </row>
    <row r="4">
      <c r="B4" s="160" t="s">
        <v>132</v>
      </c>
      <c r="C4" s="161"/>
      <c r="D4" s="161"/>
      <c r="E4" s="161"/>
      <c r="F4" s="161"/>
      <c r="G4" s="161"/>
      <c r="H4" s="162"/>
      <c r="I4" s="161"/>
      <c r="J4" s="161"/>
      <c r="K4" s="161"/>
      <c r="L4" s="161"/>
      <c r="M4" s="161"/>
      <c r="N4" s="53"/>
      <c r="O4" s="161"/>
      <c r="P4" s="161"/>
      <c r="Q4" s="161"/>
      <c r="R4" s="161"/>
      <c r="S4" s="163"/>
      <c r="T4" s="163"/>
      <c r="U4" s="163"/>
      <c r="V4" s="163"/>
    </row>
    <row r="5">
      <c r="B5" s="165" t="s">
        <v>133</v>
      </c>
      <c r="C5" s="163"/>
      <c r="D5" s="163"/>
      <c r="E5" s="163"/>
      <c r="F5" s="163"/>
      <c r="G5" s="163"/>
      <c r="H5" s="166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</row>
    <row r="6">
      <c r="B6" s="82" t="s">
        <v>134</v>
      </c>
    </row>
    <row r="7">
      <c r="B7" s="82" t="s">
        <v>135</v>
      </c>
    </row>
    <row r="8">
      <c r="B8" s="82" t="s">
        <v>136</v>
      </c>
    </row>
    <row r="9">
      <c r="B9" s="82" t="s">
        <v>137</v>
      </c>
    </row>
    <row r="10">
      <c r="B10" s="82" t="s">
        <v>138</v>
      </c>
    </row>
    <row r="11">
      <c r="B11" s="82" t="s">
        <v>139</v>
      </c>
    </row>
    <row r="12">
      <c r="B12" s="82" t="s">
        <v>140</v>
      </c>
    </row>
    <row r="13">
      <c r="B13" s="82" t="s">
        <v>141</v>
      </c>
    </row>
    <row r="14">
      <c r="B14" s="82" t="s">
        <v>142</v>
      </c>
    </row>
    <row r="15">
      <c r="B15" s="82" t="s">
        <v>143</v>
      </c>
    </row>
    <row r="16">
      <c r="B16" s="82" t="s">
        <v>144</v>
      </c>
    </row>
    <row r="17">
      <c r="B17" s="82" t="s">
        <v>145</v>
      </c>
    </row>
    <row r="18">
      <c r="B18" s="82" t="s">
        <v>146</v>
      </c>
    </row>
    <row r="19">
      <c r="B19" s="82" t="s">
        <v>147</v>
      </c>
    </row>
    <row r="20">
      <c r="B20" s="82" t="s">
        <v>148</v>
      </c>
    </row>
    <row r="21">
      <c r="B21" s="82" t="s">
        <v>149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2017-11-22T03:37:25Z</dcterms:created>
  <dc:creator>Miftachur Rozaq</dc:creator>
</cp:coreProperties>
</file>