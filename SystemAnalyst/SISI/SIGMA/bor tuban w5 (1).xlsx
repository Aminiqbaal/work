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emenindonesia-my.sharepoint.com/personal/erfan_afandi_sig_id/Documents/015 SCM INFRA DEV &amp; PERFORM/02. LAPORAN/04. OKTOBER 2022/01. Weekly/"/>
    </mc:Choice>
  </mc:AlternateContent>
  <xr:revisionPtr revIDLastSave="2" documentId="11_F5A12A97C8DBD2F77AE10A2D7CAD47F71398C9E8" xr6:coauthVersionLast="47" xr6:coauthVersionMax="47" xr10:uidLastSave="{01ABD577-DA71-4006-91BD-ADBEE6C4AA54}"/>
  <bookViews>
    <workbookView xWindow="8680" yWindow="450" windowWidth="10740" windowHeight="9880" tabRatio="500" firstSheet="2" activeTab="2" xr2:uid="{00000000-000D-0000-FFFF-FFFF00000000}"/>
  </bookViews>
  <sheets>
    <sheet name="Sheet1" sheetId="1" r:id="rId1"/>
    <sheet name="Sheet1 (2)" sheetId="2" r:id="rId2"/>
    <sheet name="ja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3" l="1"/>
  <c r="D53" i="3"/>
  <c r="J52" i="3"/>
  <c r="D52" i="3"/>
  <c r="D51" i="3"/>
  <c r="J51" i="3" s="1"/>
  <c r="D50" i="3"/>
  <c r="J50" i="3" s="1"/>
  <c r="D49" i="3"/>
  <c r="J49" i="3" s="1"/>
  <c r="D48" i="3"/>
  <c r="J48" i="3" s="1"/>
  <c r="S9" i="3"/>
  <c r="R9" i="3"/>
  <c r="Q9" i="3"/>
  <c r="P9" i="3"/>
  <c r="T9" i="3" s="1"/>
  <c r="M9" i="3"/>
  <c r="S8" i="3"/>
  <c r="R8" i="3"/>
  <c r="Q8" i="3"/>
  <c r="P8" i="3"/>
  <c r="T8" i="3" s="1"/>
  <c r="M8" i="3"/>
  <c r="S7" i="3"/>
  <c r="R7" i="3"/>
  <c r="Q7" i="3"/>
  <c r="P7" i="3"/>
  <c r="T7" i="3" s="1"/>
  <c r="M7" i="3"/>
  <c r="S6" i="3"/>
  <c r="R6" i="3"/>
  <c r="Q6" i="3"/>
  <c r="P6" i="3"/>
  <c r="T6" i="3" s="1"/>
  <c r="S5" i="3"/>
  <c r="R5" i="3"/>
  <c r="Q5" i="3"/>
  <c r="P5" i="3"/>
  <c r="T5" i="3" s="1"/>
  <c r="S4" i="3"/>
  <c r="R4" i="3"/>
  <c r="Q4" i="3"/>
  <c r="P4" i="3"/>
  <c r="T4" i="3" s="1"/>
  <c r="M4" i="3"/>
  <c r="S3" i="3"/>
  <c r="R3" i="3"/>
  <c r="Q3" i="3"/>
  <c r="P3" i="3"/>
  <c r="T3" i="3" s="1"/>
  <c r="M3" i="3"/>
  <c r="J52" i="2"/>
  <c r="J49" i="2"/>
  <c r="J48" i="2"/>
  <c r="D53" i="2"/>
  <c r="J53" i="2" s="1"/>
  <c r="D52" i="2"/>
  <c r="D51" i="2"/>
  <c r="J51" i="2" s="1"/>
  <c r="D50" i="2"/>
  <c r="J50" i="2" s="1"/>
  <c r="D49" i="2"/>
  <c r="D48" i="2"/>
  <c r="U3" i="3" l="1"/>
  <c r="M5" i="3"/>
  <c r="N3" i="3" s="1"/>
  <c r="M6" i="3"/>
  <c r="S9" i="2"/>
  <c r="R9" i="2"/>
  <c r="Q9" i="2"/>
  <c r="P9" i="2"/>
  <c r="S8" i="2"/>
  <c r="R8" i="2"/>
  <c r="Q8" i="2"/>
  <c r="P8" i="2"/>
  <c r="S7" i="2"/>
  <c r="R7" i="2"/>
  <c r="Q7" i="2"/>
  <c r="P7" i="2"/>
  <c r="S6" i="2"/>
  <c r="R6" i="2"/>
  <c r="Q6" i="2"/>
  <c r="P6" i="2"/>
  <c r="S5" i="2"/>
  <c r="R5" i="2"/>
  <c r="Q5" i="2"/>
  <c r="P5" i="2"/>
  <c r="S4" i="2"/>
  <c r="R4" i="2"/>
  <c r="Q4" i="2"/>
  <c r="P4" i="2"/>
  <c r="S3" i="2"/>
  <c r="R3" i="2"/>
  <c r="Q3" i="2"/>
  <c r="P3" i="2"/>
  <c r="M3" i="2"/>
  <c r="S10" i="1"/>
  <c r="S9" i="1"/>
  <c r="S8" i="1"/>
  <c r="S7" i="1"/>
  <c r="S6" i="1"/>
  <c r="S5" i="1"/>
  <c r="S4" i="1"/>
  <c r="S3" i="1"/>
  <c r="R10" i="1"/>
  <c r="R9" i="1"/>
  <c r="R8" i="1"/>
  <c r="R7" i="1"/>
  <c r="R6" i="1"/>
  <c r="R5" i="1"/>
  <c r="R4" i="1"/>
  <c r="R3" i="1"/>
  <c r="Q10" i="1"/>
  <c r="Q9" i="1"/>
  <c r="Q8" i="1"/>
  <c r="Q7" i="1"/>
  <c r="Q6" i="1"/>
  <c r="Q5" i="1"/>
  <c r="Q4" i="1"/>
  <c r="Q3" i="1"/>
  <c r="P10" i="1"/>
  <c r="P9" i="1"/>
  <c r="T9" i="1" s="1"/>
  <c r="P8" i="1"/>
  <c r="T8" i="1" s="1"/>
  <c r="P7" i="1"/>
  <c r="T7" i="1" s="1"/>
  <c r="P6" i="1"/>
  <c r="T6" i="1" s="1"/>
  <c r="P5" i="1"/>
  <c r="P4" i="1"/>
  <c r="P3" i="1"/>
  <c r="M9" i="2"/>
  <c r="M8" i="2"/>
  <c r="M7" i="2"/>
  <c r="M6" i="2"/>
  <c r="M5" i="2"/>
  <c r="M4" i="2"/>
  <c r="M10" i="1"/>
  <c r="M9" i="1"/>
  <c r="M8" i="1"/>
  <c r="M7" i="1"/>
  <c r="M6" i="1"/>
  <c r="M5" i="1"/>
  <c r="M3" i="1"/>
  <c r="M4" i="1"/>
  <c r="T4" i="1" l="1"/>
  <c r="T5" i="1"/>
  <c r="T10" i="1"/>
  <c r="T3" i="1"/>
  <c r="T3" i="2"/>
  <c r="T4" i="2"/>
  <c r="T5" i="2"/>
  <c r="T6" i="2"/>
  <c r="T8" i="2"/>
  <c r="T9" i="2"/>
  <c r="T7" i="2"/>
  <c r="N3" i="2"/>
  <c r="N3" i="1"/>
  <c r="U3" i="2" l="1"/>
  <c r="U3" i="1"/>
</calcChain>
</file>

<file path=xl/sharedStrings.xml><?xml version="1.0" encoding="utf-8"?>
<sst xmlns="http://schemas.openxmlformats.org/spreadsheetml/2006/main" count="835" uniqueCount="205">
  <si>
    <t>SIG - Maritime Analytic</t>
  </si>
  <si>
    <t>No</t>
  </si>
  <si>
    <t>Vessel ID</t>
  </si>
  <si>
    <t>Vessel Name</t>
  </si>
  <si>
    <t>LOA</t>
  </si>
  <si>
    <t>Kade</t>
  </si>
  <si>
    <t>Panjang Kade</t>
  </si>
  <si>
    <t>Mulai Tambat</t>
  </si>
  <si>
    <t>Selesai Tambat</t>
  </si>
  <si>
    <t>Waktu Sandar (jam)</t>
  </si>
  <si>
    <t>BOR (%)</t>
  </si>
  <si>
    <t>TG350003</t>
  </si>
  <si>
    <t>TB. GONAYA XX / BG. MJL 335</t>
  </si>
  <si>
    <t>DERMAGA B1</t>
  </si>
  <si>
    <t>16/10/2022 05:20</t>
  </si>
  <si>
    <t>17/10/2022 21:20</t>
  </si>
  <si>
    <t>SS960002</t>
  </si>
  <si>
    <t>SATIA SAMUDERA 09/SATIA SAMUDERA 06</t>
  </si>
  <si>
    <t>11/10/2022 20:10</t>
  </si>
  <si>
    <t>14/10/2022 16:45</t>
  </si>
  <si>
    <t>MGL10003</t>
  </si>
  <si>
    <t>TB. MANGALA / BG. MJL 301</t>
  </si>
  <si>
    <t>06/10/2022 17:30</t>
  </si>
  <si>
    <t>08/10/2022 06:50</t>
  </si>
  <si>
    <t>VCT10005</t>
  </si>
  <si>
    <t>TB. VINCENT 1/BG. MJL 309</t>
  </si>
  <si>
    <t>08/10/2022 07:20</t>
  </si>
  <si>
    <t>11/10/2022 18:10</t>
  </si>
  <si>
    <t>TL060001</t>
  </si>
  <si>
    <t>TB. LIBERTY 9/BG. AZAMARA 6</t>
  </si>
  <si>
    <t>DERMAGA B2</t>
  </si>
  <si>
    <t>08/10/2022 13:30</t>
  </si>
  <si>
    <t>11/10/2022 13:00</t>
  </si>
  <si>
    <t>BSJ80010</t>
  </si>
  <si>
    <t>KM. BINTANG SEJAHTERA 8</t>
  </si>
  <si>
    <t>05/10/2022 11:00</t>
  </si>
  <si>
    <t>08/10/2022 11:30</t>
  </si>
  <si>
    <t>TV310002</t>
  </si>
  <si>
    <t>TB. VOYAGER 2/BG. AZAMARA 31</t>
  </si>
  <si>
    <t>11/10/2022 13:50</t>
  </si>
  <si>
    <t>13/10/2022 03:40</t>
  </si>
  <si>
    <t>TV090005</t>
  </si>
  <si>
    <t>TB. VARIA USAHA 9 / BG. LINTAS SEGARA 9</t>
  </si>
  <si>
    <t>01/10/2022 22:00</t>
  </si>
  <si>
    <t>04/10/2022 19:30</t>
  </si>
  <si>
    <t>TL180001</t>
  </si>
  <si>
    <t>TB. LLB SUKSES 17/BG. LLB SUKSES 18</t>
  </si>
  <si>
    <t>DERMAGA B3</t>
  </si>
  <si>
    <t>09/10/2022 12:30</t>
  </si>
  <si>
    <t>12/10/2022 16:30</t>
  </si>
  <si>
    <t>KMB20002</t>
  </si>
  <si>
    <t>KM. ST. KAMBRIA. 2</t>
  </si>
  <si>
    <t>07/10/2022 15:00</t>
  </si>
  <si>
    <t>08/10/2022 11:40</t>
  </si>
  <si>
    <t>OPMV0014</t>
  </si>
  <si>
    <t>MV. OCEANIC PROGRESS</t>
  </si>
  <si>
    <t>DERMAGA B4</t>
  </si>
  <si>
    <t>19/10/2022 12:57</t>
  </si>
  <si>
    <t>20/10/2022 20:08</t>
  </si>
  <si>
    <t>MVCD0010</t>
  </si>
  <si>
    <t>MV. CERDAS</t>
  </si>
  <si>
    <t>07/10/2022 22:30</t>
  </si>
  <si>
    <t>09/10/2022 11:40</t>
  </si>
  <si>
    <t>KSMR0002</t>
  </si>
  <si>
    <t>KM. KASAMIRA</t>
  </si>
  <si>
    <t>DERMAGA T1</t>
  </si>
  <si>
    <t>02/10/2022 23:20</t>
  </si>
  <si>
    <t>09/10/2022 19:40</t>
  </si>
  <si>
    <t>PVO60005</t>
  </si>
  <si>
    <t>PB.BELINI VII / BG.BELINI 6</t>
  </si>
  <si>
    <t>DERMAGA T2</t>
  </si>
  <si>
    <t>16/10/2022 19:25</t>
  </si>
  <si>
    <t>17/10/2022 16:00</t>
  </si>
  <si>
    <t>GNYI0001</t>
  </si>
  <si>
    <t>TB. GONAYA II / BG. SATRIA LAUT 3028</t>
  </si>
  <si>
    <t>09/10/2022 21:10</t>
  </si>
  <si>
    <t>13/10/2022 16:05</t>
  </si>
  <si>
    <t>FRS20002</t>
  </si>
  <si>
    <t>TB. FRANSISCUS 02 / BG. AL MANAR</t>
  </si>
  <si>
    <t>07/10/2022 06:45</t>
  </si>
  <si>
    <t>09/10/2022 19:55</t>
  </si>
  <si>
    <t>KTXI0009</t>
  </si>
  <si>
    <t>KM. TL XI</t>
  </si>
  <si>
    <t>01/10/2022 16:40</t>
  </si>
  <si>
    <t>02/10/2022 21:40</t>
  </si>
  <si>
    <t>TJLX0004</t>
  </si>
  <si>
    <t>TB. JHONI LIII / BG. LIANA LX</t>
  </si>
  <si>
    <t>13/10/2022 17:30</t>
  </si>
  <si>
    <t>16/10/2022 18:35</t>
  </si>
  <si>
    <t>PVO60004</t>
  </si>
  <si>
    <t>05/10/2022 01:00</t>
  </si>
  <si>
    <t>06/10/2022 00:05</t>
  </si>
  <si>
    <t>CMTR0012</t>
  </si>
  <si>
    <t>MV. CEMTRANS</t>
  </si>
  <si>
    <t>DERMAGA T3</t>
  </si>
  <si>
    <t>16/10/2022 01:40</t>
  </si>
  <si>
    <t>17/10/2022 01:20</t>
  </si>
  <si>
    <t>MVGE0020</t>
  </si>
  <si>
    <t>MV. GESIT</t>
  </si>
  <si>
    <t>18/10/2022 11:58</t>
  </si>
  <si>
    <t>19/10/2022 19:10</t>
  </si>
  <si>
    <t>MS010013</t>
  </si>
  <si>
    <t>MV. SWADAYA LESTARI 1</t>
  </si>
  <si>
    <t>17/10/2022 02:40</t>
  </si>
  <si>
    <t>18/10/2022 10:05</t>
  </si>
  <si>
    <t>VSFG0007</t>
  </si>
  <si>
    <t>MV OCEANIC SUCCESS</t>
  </si>
  <si>
    <t>01/10/2022 19:50</t>
  </si>
  <si>
    <t>03/10/2022 06:30</t>
  </si>
  <si>
    <t>YCGY0034</t>
  </si>
  <si>
    <t>MV. BAIK</t>
  </si>
  <si>
    <t>05/10/2022 16:00</t>
  </si>
  <si>
    <t>06/10/2022 12:10</t>
  </si>
  <si>
    <t>CMTR0011</t>
  </si>
  <si>
    <t>03/10/2022 07:35</t>
  </si>
  <si>
    <t>04/10/2022 12:35</t>
  </si>
  <si>
    <t>MVIA0002</t>
  </si>
  <si>
    <t>MV.SOPHIA</t>
  </si>
  <si>
    <t>13/10/2022 19:57</t>
  </si>
  <si>
    <t>14/10/2022 14:15</t>
  </si>
  <si>
    <t>CEPA0002</t>
  </si>
  <si>
    <t>MV. CEPAT</t>
  </si>
  <si>
    <t>11/10/2022 21:25</t>
  </si>
  <si>
    <t>13/10/2022 03:05</t>
  </si>
  <si>
    <t>ROYY0016</t>
  </si>
  <si>
    <t>ROYAL PEACE</t>
  </si>
  <si>
    <t>10/10/2022 08:50</t>
  </si>
  <si>
    <t>11/10/2022 09:00</t>
  </si>
  <si>
    <t>MJNE0001</t>
  </si>
  <si>
    <t>MV. JOCELINE</t>
  </si>
  <si>
    <t>08/10/2022 03:10</t>
  </si>
  <si>
    <t>10/10/2022 07:45</t>
  </si>
  <si>
    <t>TLXV0021</t>
  </si>
  <si>
    <t>KM. TONASA LINE XVIII</t>
  </si>
  <si>
    <t>06/10/2022 13:20</t>
  </si>
  <si>
    <t>08/10/2022 00:25</t>
  </si>
  <si>
    <t>MMSA0004</t>
  </si>
  <si>
    <t>MV. MANALAGI YASA</t>
  </si>
  <si>
    <t>DERMAGA B3 &amp; B4</t>
  </si>
  <si>
    <t>02/10/2022 13:50</t>
  </si>
  <si>
    <t>07/10/2022 05:40</t>
  </si>
  <si>
    <t>MWER0001</t>
  </si>
  <si>
    <t>MV WATTLE TIGER</t>
  </si>
  <si>
    <t>15/10/2022 07:55</t>
  </si>
  <si>
    <t>19/10/2022 07:25</t>
  </si>
  <si>
    <t>∑BOR (%)</t>
  </si>
  <si>
    <t>Avg ∑BOR (%)</t>
  </si>
  <si>
    <t>AVG LOA</t>
  </si>
  <si>
    <t>∑KAPAL</t>
  </si>
  <si>
    <t>AVG Waktu Sandar (jam)</t>
  </si>
  <si>
    <t>∑Waktu Sandar (jam)</t>
  </si>
  <si>
    <t>TLXV0022</t>
  </si>
  <si>
    <t>19/10/2022 20:30</t>
  </si>
  <si>
    <t>22/10/2022 16:20</t>
  </si>
  <si>
    <t>ROYY0017</t>
  </si>
  <si>
    <t>24/10/2022 06:30</t>
  </si>
  <si>
    <t>25/10/2022 12:00</t>
  </si>
  <si>
    <t>SWJM0002</t>
  </si>
  <si>
    <t>MV. SJW MOUNTAIN</t>
  </si>
  <si>
    <t>22/10/2022 05:40</t>
  </si>
  <si>
    <t>23/10/2022 14:50</t>
  </si>
  <si>
    <t>18/10/2022 21:50</t>
  </si>
  <si>
    <t>22/10/2022 05:02</t>
  </si>
  <si>
    <t>MVCD0011</t>
  </si>
  <si>
    <t>25/10/2022 13:20</t>
  </si>
  <si>
    <t>27/10/2022 02:50</t>
  </si>
  <si>
    <t>GOKM0006</t>
  </si>
  <si>
    <t>GALATIA 05, KM</t>
  </si>
  <si>
    <t>15/10/2022 16:00</t>
  </si>
  <si>
    <t>22/10/2022 02:45</t>
  </si>
  <si>
    <t>MVIA0003</t>
  </si>
  <si>
    <t>21/10/2022 22:40</t>
  </si>
  <si>
    <t>22/10/2022 23:30</t>
  </si>
  <si>
    <t>MDTY0002</t>
  </si>
  <si>
    <t>MV. DIAN PROSPERITY</t>
  </si>
  <si>
    <t>23/10/2022 10:30</t>
  </si>
  <si>
    <t>24/10/2022 05:35</t>
  </si>
  <si>
    <t>KRIP0010</t>
  </si>
  <si>
    <t>KM. ROYAL SHIP</t>
  </si>
  <si>
    <t>24/10/2022 09:20</t>
  </si>
  <si>
    <t>26/10/2022 16:30</t>
  </si>
  <si>
    <t>GNYX0003</t>
  </si>
  <si>
    <t>TB. GONAYA XXI / BG. INTAN 7505</t>
  </si>
  <si>
    <t>25/10/2022 22:58</t>
  </si>
  <si>
    <t>30/10/2022 01:40</t>
  </si>
  <si>
    <t>TM030001</t>
  </si>
  <si>
    <t>TB. MARINA 2218 / BG. BEE POWER 3003</t>
  </si>
  <si>
    <t>30/10/2022 02:40</t>
  </si>
  <si>
    <t>31/10/2022 20:20</t>
  </si>
  <si>
    <t>TV350001</t>
  </si>
  <si>
    <t>TB. VOYAGER 16/BG. AZAMARA 3035</t>
  </si>
  <si>
    <t>29/10/2022 19:15</t>
  </si>
  <si>
    <t>31/10/2022 01:48</t>
  </si>
  <si>
    <t>BSJ80011</t>
  </si>
  <si>
    <t>27/10/2022 17:40</t>
  </si>
  <si>
    <t>30/10/2022 01:30</t>
  </si>
  <si>
    <t>PVO60006</t>
  </si>
  <si>
    <t>27/10/2022 22:10</t>
  </si>
  <si>
    <t>28/10/2022 19:50</t>
  </si>
  <si>
    <t>CMTR0013</t>
  </si>
  <si>
    <t>29/10/2022 11:40</t>
  </si>
  <si>
    <t>30/10/2022 21:45</t>
  </si>
  <si>
    <t>MMSA0005</t>
  </si>
  <si>
    <t>25/10/2022 21:47</t>
  </si>
  <si>
    <t>29/10/2022 18:10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</si>
</sst>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3" fillId="0" borderId="2" xfId="0" applyFont="1" applyBorder="1"/>
    <xf numFmtId="0" fontId="4" fillId="2" borderId="3" xfId="0" applyFont="1" applyFill="1" applyBorder="1" applyAlignment="1">
      <alignment wrapText="1"/>
    </xf>
    <xf numFmtId="0" fontId="2" fillId="0" borderId="3" xfId="0" applyFont="1" applyBorder="1"/>
    <xf numFmtId="2" fontId="0" fillId="0" borderId="3" xfId="0" applyNumberFormat="1" applyBorder="1"/>
    <xf numFmtId="2" fontId="2" fillId="0" borderId="3" xfId="0" applyNumberFormat="1" applyFont="1" applyBorder="1"/>
    <xf numFmtId="0" fontId="0" fillId="0" borderId="3" xfId="0" applyBorder="1"/>
    <xf numFmtId="2" fontId="5" fillId="0" borderId="5" xfId="0" applyNumberFormat="1" applyFont="1" applyBorder="1"/>
    <xf numFmtId="1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J54" totalsRowShown="0" headerRowDxfId="17" dataDxfId="16">
  <autoFilter ref="A2:J54" xr:uid="{00000000-0009-0000-0100-000001000000}"/>
  <sortState xmlns:xlrd2="http://schemas.microsoft.com/office/spreadsheetml/2017/richdata2" ref="A3:J54">
    <sortCondition ref="E2:E54"/>
  </sortState>
  <tableColumns count="10">
    <tableColumn id="1" xr3:uid="{00000000-0010-0000-0000-000001000000}" name="No" dataDxfId="15"/>
    <tableColumn id="2" xr3:uid="{00000000-0010-0000-0000-000002000000}" name="Vessel ID"/>
    <tableColumn id="3" xr3:uid="{00000000-0010-0000-0000-000003000000}" name="Vessel Name"/>
    <tableColumn id="4" xr3:uid="{00000000-0010-0000-0000-000004000000}" name="LOA"/>
    <tableColumn id="5" xr3:uid="{00000000-0010-0000-0000-000005000000}" name="Kade"/>
    <tableColumn id="6" xr3:uid="{00000000-0010-0000-0000-000006000000}" name="Panjang Kade" dataDxfId="14"/>
    <tableColumn id="7" xr3:uid="{00000000-0010-0000-0000-000007000000}" name="Mulai Tambat"/>
    <tableColumn id="8" xr3:uid="{00000000-0010-0000-0000-000008000000}" name="Selesai Tambat"/>
    <tableColumn id="9" xr3:uid="{00000000-0010-0000-0000-000009000000}" name="Waktu Sandar (jam)" dataDxfId="13"/>
    <tableColumn id="10" xr3:uid="{00000000-0010-0000-0000-00000A000000}" name="BOR (%)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2:J63" totalsRowShown="0" headerRowDxfId="11" dataDxfId="10">
  <autoFilter ref="A2:J63" xr:uid="{00000000-0009-0000-0100-000002000000}"/>
  <sortState xmlns:xlrd2="http://schemas.microsoft.com/office/spreadsheetml/2017/richdata2" ref="A3:J59">
    <sortCondition ref="E2:E59"/>
  </sortState>
  <tableColumns count="10">
    <tableColumn id="1" xr3:uid="{00000000-0010-0000-0100-000001000000}" name="No" dataDxfId="9"/>
    <tableColumn id="2" xr3:uid="{00000000-0010-0000-0100-000002000000}" name="Vessel ID"/>
    <tableColumn id="3" xr3:uid="{00000000-0010-0000-0100-000003000000}" name="Vessel Name"/>
    <tableColumn id="4" xr3:uid="{00000000-0010-0000-0100-000004000000}" name="LOA"/>
    <tableColumn id="5" xr3:uid="{00000000-0010-0000-0100-000005000000}" name="Kade"/>
    <tableColumn id="6" xr3:uid="{00000000-0010-0000-0100-000006000000}" name="Panjang Kade" dataDxfId="8"/>
    <tableColumn id="7" xr3:uid="{00000000-0010-0000-0100-000007000000}" name="Mulai Tambat"/>
    <tableColumn id="8" xr3:uid="{00000000-0010-0000-0100-000008000000}" name="Selesai Tambat"/>
    <tableColumn id="9" xr3:uid="{00000000-0010-0000-0100-000009000000}" name="Waktu Sandar (jam)" dataDxfId="7"/>
    <tableColumn id="10" xr3:uid="{00000000-0010-0000-0100-00000A000000}" name="BOR (%)" dataDxfId="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EB2B9B-7E37-4F2F-B373-3F8E4750A355}" name="Table134" displayName="Table134" ref="A2:J63" totalsRowShown="0" headerRowDxfId="5" dataDxfId="4">
  <autoFilter ref="A2:J63" xr:uid="{00000000-0009-0000-0100-000002000000}"/>
  <sortState xmlns:xlrd2="http://schemas.microsoft.com/office/spreadsheetml/2017/richdata2" ref="A3:J59">
    <sortCondition ref="E2:E59"/>
  </sortState>
  <tableColumns count="10">
    <tableColumn id="1" xr3:uid="{9631FC9D-83B5-4961-A4CA-DD51240218BE}" name="No" dataDxfId="3"/>
    <tableColumn id="2" xr3:uid="{37BF4FA4-A5C5-4DBD-9550-1D65E777394F}" name="Vessel ID"/>
    <tableColumn id="3" xr3:uid="{7D3BA5E8-DE6D-40C8-8271-012C5FC7C950}" name="Vessel Name"/>
    <tableColumn id="4" xr3:uid="{0F2501F5-CCD0-4708-8F70-3A830BDF2291}" name="LOA"/>
    <tableColumn id="5" xr3:uid="{8D551D16-CEA5-479D-B114-D4DB9BF365C2}" name="Kade"/>
    <tableColumn id="6" xr3:uid="{D105F9E3-F63D-4B38-8379-9B7EB961D774}" name="Panjang Kade" dataDxfId="2"/>
    <tableColumn id="7" xr3:uid="{763B086C-1E48-4729-BEE4-C563544392A3}" name="Mulai Tambat"/>
    <tableColumn id="8" xr3:uid="{BE5A3186-5347-43E5-BBDA-A37DD63C9042}" name="Selesai Tambat"/>
    <tableColumn id="9" xr3:uid="{51982490-F5C4-42B5-BE5D-5010674A4926}" name="Waktu Sandar (jam)" dataDxfId="1"/>
    <tableColumn id="10" xr3:uid="{B363A803-2723-4E82-BE14-8A39C6914392}" name="BOR (%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>
      <selection activeCell="J3" sqref="A3:J50"/>
    </sheetView>
  </sheetViews>
  <sheetFormatPr defaultRowHeight="14.5" x14ac:dyDescent="0.35"/>
  <cols>
    <col min="1" max="1" width="6" customWidth="1"/>
    <col min="2" max="2" width="12.1796875" customWidth="1"/>
    <col min="3" max="3" width="52.6328125" customWidth="1"/>
    <col min="4" max="4" width="8.08984375" customWidth="1"/>
    <col min="5" max="5" width="20.26953125" customWidth="1"/>
    <col min="6" max="6" width="16.1796875" customWidth="1"/>
    <col min="7" max="8" width="21.54296875" customWidth="1"/>
    <col min="9" max="9" width="24.26953125" customWidth="1"/>
    <col min="10" max="10" width="9.453125" customWidth="1"/>
    <col min="11" max="11" width="4.81640625" customWidth="1"/>
    <col min="12" max="12" width="18.08984375" customWidth="1"/>
  </cols>
  <sheetData>
    <row r="1" spans="1:2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L1">
        <v>31</v>
      </c>
    </row>
    <row r="2" spans="1:21" ht="58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L2" s="5" t="s">
        <v>5</v>
      </c>
      <c r="M2" s="5" t="s">
        <v>145</v>
      </c>
      <c r="N2" s="5" t="s">
        <v>146</v>
      </c>
      <c r="O2" s="5" t="s">
        <v>6</v>
      </c>
      <c r="P2" s="5" t="s">
        <v>147</v>
      </c>
      <c r="Q2" s="5" t="s">
        <v>148</v>
      </c>
      <c r="R2" s="5" t="s">
        <v>149</v>
      </c>
      <c r="S2" s="5" t="s">
        <v>150</v>
      </c>
      <c r="T2" s="5" t="s">
        <v>10</v>
      </c>
      <c r="U2" s="5" t="s">
        <v>146</v>
      </c>
    </row>
    <row r="3" spans="1:21" x14ac:dyDescent="0.35">
      <c r="A3" s="2">
        <v>1</v>
      </c>
      <c r="B3" t="s">
        <v>181</v>
      </c>
      <c r="C3" t="s">
        <v>182</v>
      </c>
      <c r="D3" s="3">
        <v>87.78</v>
      </c>
      <c r="E3" t="s">
        <v>13</v>
      </c>
      <c r="F3" s="2">
        <v>100</v>
      </c>
      <c r="G3" t="s">
        <v>183</v>
      </c>
      <c r="H3" t="s">
        <v>184</v>
      </c>
      <c r="I3">
        <v>98.7</v>
      </c>
      <c r="J3" s="3">
        <v>12.31</v>
      </c>
      <c r="L3" s="6" t="s">
        <v>13</v>
      </c>
      <c r="M3" s="7">
        <f>SUMIF(Table1[Kade],L3,Table1[BOR (%)])</f>
        <v>47.239999999999995</v>
      </c>
      <c r="N3" s="16">
        <f>AVERAGE(M3:M10)</f>
        <v>36.501249999999999</v>
      </c>
      <c r="O3" s="6">
        <v>100</v>
      </c>
      <c r="P3" s="8">
        <f>AVERAGEIF(Table1[Kade],L3,Table1[LOA])</f>
        <v>91.036666666666676</v>
      </c>
      <c r="Q3" s="6">
        <f>COUNTIF(Table1[Kade],L3)</f>
        <v>6</v>
      </c>
      <c r="R3" s="8">
        <f>AVERAGEIF(Table1[Kade],L3,Table1[Waktu Sandar (jam)])</f>
        <v>61.518333333333324</v>
      </c>
      <c r="S3" s="9">
        <f>SUMIF(Table1[Kade],L3,Table1[Waktu Sandar (jam)])</f>
        <v>369.10999999999996</v>
      </c>
      <c r="T3" s="7">
        <f>((P3+5)*Q3*R3)/(O3*24*$L$1)*100</f>
        <v>47.645287679211464</v>
      </c>
      <c r="U3" s="16">
        <f>AVERAGE(T3:T10)</f>
        <v>36.269571493698777</v>
      </c>
    </row>
    <row r="4" spans="1:21" x14ac:dyDescent="0.35">
      <c r="A4" s="2">
        <v>2</v>
      </c>
      <c r="B4" t="s">
        <v>185</v>
      </c>
      <c r="C4" t="s">
        <v>186</v>
      </c>
      <c r="D4" s="3">
        <v>91.44</v>
      </c>
      <c r="E4" t="s">
        <v>13</v>
      </c>
      <c r="F4" s="2">
        <v>100</v>
      </c>
      <c r="G4" t="s">
        <v>187</v>
      </c>
      <c r="H4" t="s">
        <v>188</v>
      </c>
      <c r="I4" s="3">
        <v>41.67</v>
      </c>
      <c r="J4">
        <v>5.4</v>
      </c>
      <c r="L4" s="6" t="s">
        <v>30</v>
      </c>
      <c r="M4" s="7">
        <f>SUMIF(Table1[Kade],L4,Table1[BOR (%)])</f>
        <v>45.460000000000008</v>
      </c>
      <c r="N4" s="17"/>
      <c r="O4" s="6">
        <v>99</v>
      </c>
      <c r="P4" s="8">
        <f>AVERAGEIF(Table1[Kade],L4,Table1[LOA])</f>
        <v>87.473333333333343</v>
      </c>
      <c r="Q4" s="6">
        <f>COUNTIF(Table1[Kade],L4)</f>
        <v>6</v>
      </c>
      <c r="R4" s="8">
        <f>AVERAGEIF(Table1[Kade],L4,Table1[Waktu Sandar (jam)])</f>
        <v>60.18</v>
      </c>
      <c r="S4" s="9">
        <f>SUMIF(Table1[Kade],L4,Table1[Waktu Sandar (jam)])</f>
        <v>361.08</v>
      </c>
      <c r="T4" s="7">
        <f t="shared" ref="T4:T10" si="0">((P4+5)*Q4*R4)/(O4*24*$L$1)*100</f>
        <v>45.332724014336925</v>
      </c>
      <c r="U4" s="17"/>
    </row>
    <row r="5" spans="1:21" x14ac:dyDescent="0.35">
      <c r="A5" s="2">
        <v>3</v>
      </c>
      <c r="B5" t="s">
        <v>11</v>
      </c>
      <c r="C5" t="s">
        <v>12</v>
      </c>
      <c r="D5" s="2">
        <v>100</v>
      </c>
      <c r="E5" t="s">
        <v>13</v>
      </c>
      <c r="F5" s="2">
        <v>100</v>
      </c>
      <c r="G5" t="s">
        <v>14</v>
      </c>
      <c r="H5" t="s">
        <v>15</v>
      </c>
      <c r="I5" s="2">
        <v>40</v>
      </c>
      <c r="J5" s="3">
        <v>5.65</v>
      </c>
      <c r="L5" s="6" t="s">
        <v>47</v>
      </c>
      <c r="M5" s="7">
        <f>SUMIF(Table1[Kade],L5,Table1[BOR (%)])</f>
        <v>15.459999999999999</v>
      </c>
      <c r="N5" s="17"/>
      <c r="O5" s="6">
        <v>99</v>
      </c>
      <c r="P5" s="8">
        <f>AVERAGEIF(Table1[Kade],L5,Table1[LOA])</f>
        <v>82.693333333333328</v>
      </c>
      <c r="Q5" s="6">
        <f>COUNTIF(Table1[Kade],L5)</f>
        <v>3</v>
      </c>
      <c r="R5" s="8">
        <f>AVERAGEIF(Table1[Kade],L5,Table1[Waktu Sandar (jam)])</f>
        <v>43.28</v>
      </c>
      <c r="S5" s="9">
        <f>SUMIF(Table1[Kade],L5,Table1[Waktu Sandar (jam)])</f>
        <v>129.84</v>
      </c>
      <c r="T5" s="7">
        <f t="shared" si="0"/>
        <v>15.458485934614966</v>
      </c>
      <c r="U5" s="17"/>
    </row>
    <row r="6" spans="1:21" x14ac:dyDescent="0.35">
      <c r="A6" s="2">
        <v>4</v>
      </c>
      <c r="B6" t="s">
        <v>16</v>
      </c>
      <c r="C6" t="s">
        <v>17</v>
      </c>
      <c r="D6" s="3">
        <v>91.44</v>
      </c>
      <c r="E6" t="s">
        <v>13</v>
      </c>
      <c r="F6" s="2">
        <v>100</v>
      </c>
      <c r="G6" t="s">
        <v>18</v>
      </c>
      <c r="H6" t="s">
        <v>19</v>
      </c>
      <c r="I6" s="3">
        <v>68.58</v>
      </c>
      <c r="J6" s="3">
        <v>8.89</v>
      </c>
      <c r="L6" s="6" t="s">
        <v>56</v>
      </c>
      <c r="M6" s="7">
        <f>SUMIF(Table1[Kade],L6,Table1[BOR (%)])</f>
        <v>14.52</v>
      </c>
      <c r="N6" s="17"/>
      <c r="O6" s="6">
        <v>99</v>
      </c>
      <c r="P6" s="8">
        <f>AVERAGEIF(Table1[Kade],L6,Table1[LOA])</f>
        <v>107.63333333333333</v>
      </c>
      <c r="Q6" s="6">
        <f>COUNTIF(Table1[Kade],L6)</f>
        <v>3</v>
      </c>
      <c r="R6" s="8">
        <f>AVERAGEIF(Table1[Kade],L6,Table1[Waktu Sandar (jam)])</f>
        <v>31.060000000000002</v>
      </c>
      <c r="S6" s="9">
        <f>SUMIF(Table1[Kade],L6,Table1[Waktu Sandar (jam)])</f>
        <v>93.18</v>
      </c>
      <c r="T6" s="7">
        <f t="shared" si="0"/>
        <v>14.248905723905725</v>
      </c>
      <c r="U6" s="17"/>
    </row>
    <row r="7" spans="1:21" x14ac:dyDescent="0.35">
      <c r="A7" s="2">
        <v>5</v>
      </c>
      <c r="B7" t="s">
        <v>20</v>
      </c>
      <c r="C7" t="s">
        <v>21</v>
      </c>
      <c r="D7" s="3">
        <v>87.78</v>
      </c>
      <c r="E7" t="s">
        <v>13</v>
      </c>
      <c r="F7" s="2">
        <v>100</v>
      </c>
      <c r="G7" t="s">
        <v>22</v>
      </c>
      <c r="H7" t="s">
        <v>23</v>
      </c>
      <c r="I7" s="3">
        <v>37.33</v>
      </c>
      <c r="J7" s="3">
        <v>4.66</v>
      </c>
      <c r="L7" s="6" t="s">
        <v>65</v>
      </c>
      <c r="M7" s="7">
        <f>SUMIF(Table1[Kade],L7,Table1[BOR (%)])</f>
        <v>50.03</v>
      </c>
      <c r="N7" s="17"/>
      <c r="O7" s="6">
        <v>100</v>
      </c>
      <c r="P7" s="8">
        <f>AVERAGEIF(Table1[Kade],L7,Table1[LOA])</f>
        <v>80.094999999999999</v>
      </c>
      <c r="Q7" s="6">
        <f>COUNTIF(Table1[Kade],L7)</f>
        <v>4</v>
      </c>
      <c r="R7" s="8">
        <f>AVERAGEIF(Table1[Kade],L7,Table1[Waktu Sandar (jam)])</f>
        <v>107.52000000000001</v>
      </c>
      <c r="S7" s="9">
        <f>SUMIF(Table1[Kade],L7,Table1[Waktu Sandar (jam)])</f>
        <v>430.08000000000004</v>
      </c>
      <c r="T7" s="7">
        <f t="shared" si="0"/>
        <v>49.190400000000004</v>
      </c>
      <c r="U7" s="17"/>
    </row>
    <row r="8" spans="1:21" x14ac:dyDescent="0.35">
      <c r="A8" s="2">
        <v>6</v>
      </c>
      <c r="B8" t="s">
        <v>24</v>
      </c>
      <c r="C8" t="s">
        <v>25</v>
      </c>
      <c r="D8" s="3">
        <v>87.78</v>
      </c>
      <c r="E8" t="s">
        <v>13</v>
      </c>
      <c r="F8" s="2">
        <v>100</v>
      </c>
      <c r="G8" t="s">
        <v>26</v>
      </c>
      <c r="H8" t="s">
        <v>27</v>
      </c>
      <c r="I8" s="3">
        <v>82.83</v>
      </c>
      <c r="J8" s="3">
        <v>10.33</v>
      </c>
      <c r="L8" s="6" t="s">
        <v>70</v>
      </c>
      <c r="M8" s="7">
        <f>SUMIF(Table1[Kade],L8,Table1[BOR (%)])</f>
        <v>27.12</v>
      </c>
      <c r="N8" s="17"/>
      <c r="O8" s="6">
        <v>149</v>
      </c>
      <c r="P8" s="8">
        <f>AVERAGEIF(Table1[Kade],L8,Table1[LOA])</f>
        <v>87.374285714285719</v>
      </c>
      <c r="Q8" s="6">
        <f>COUNTIF(Table1[Kade],L8)</f>
        <v>7</v>
      </c>
      <c r="R8" s="8">
        <f>AVERAGEIF(Table1[Kade],L8,Table1[Waktu Sandar (jam)])</f>
        <v>45.642857142857146</v>
      </c>
      <c r="S8" s="9">
        <f>SUMIF(Table1[Kade],L8,Table1[Waktu Sandar (jam)])</f>
        <v>319.5</v>
      </c>
      <c r="T8" s="7">
        <f t="shared" si="0"/>
        <v>26.623353075804907</v>
      </c>
      <c r="U8" s="17"/>
    </row>
    <row r="9" spans="1:21" x14ac:dyDescent="0.35">
      <c r="A9" s="2">
        <v>7</v>
      </c>
      <c r="B9" t="s">
        <v>189</v>
      </c>
      <c r="C9" t="s">
        <v>190</v>
      </c>
      <c r="D9" s="2">
        <v>87</v>
      </c>
      <c r="E9" t="s">
        <v>30</v>
      </c>
      <c r="F9" s="2">
        <v>99</v>
      </c>
      <c r="G9" t="s">
        <v>191</v>
      </c>
      <c r="H9" t="s">
        <v>192</v>
      </c>
      <c r="I9" s="3">
        <v>30.55</v>
      </c>
      <c r="J9" s="3">
        <v>3.82</v>
      </c>
      <c r="L9" s="6" t="s">
        <v>94</v>
      </c>
      <c r="M9" s="7">
        <f>SUMIF(Table1[Kade],L9,Table1[BOR (%)])</f>
        <v>54.25</v>
      </c>
      <c r="N9" s="17"/>
      <c r="O9" s="6">
        <v>149</v>
      </c>
      <c r="P9" s="8">
        <f>AVERAGEIF(Table1[Kade],L9,Table1[LOA])</f>
        <v>109.935</v>
      </c>
      <c r="Q9" s="6">
        <f>COUNTIF(Table1[Kade],L9)</f>
        <v>16</v>
      </c>
      <c r="R9" s="8">
        <f>AVERAGEIF(Table1[Kade],L9,Table1[Waktu Sandar (jam)])</f>
        <v>32.370000000000005</v>
      </c>
      <c r="S9" s="9">
        <f>SUMIF(Table1[Kade],L9,Table1[Waktu Sandar (jam)])</f>
        <v>517.92000000000007</v>
      </c>
      <c r="T9" s="7">
        <f t="shared" si="0"/>
        <v>53.697711625893064</v>
      </c>
      <c r="U9" s="17"/>
    </row>
    <row r="10" spans="1:21" x14ac:dyDescent="0.35">
      <c r="A10" s="2">
        <v>8</v>
      </c>
      <c r="B10" t="s">
        <v>157</v>
      </c>
      <c r="C10" t="s">
        <v>158</v>
      </c>
      <c r="D10" s="2">
        <v>99</v>
      </c>
      <c r="E10" t="s">
        <v>30</v>
      </c>
      <c r="F10" s="2">
        <v>99</v>
      </c>
      <c r="G10" t="s">
        <v>161</v>
      </c>
      <c r="H10" t="s">
        <v>162</v>
      </c>
      <c r="I10">
        <v>79.2</v>
      </c>
      <c r="J10" s="3">
        <v>11.18</v>
      </c>
      <c r="L10" s="4" t="s">
        <v>138</v>
      </c>
      <c r="M10" s="7">
        <f>SUMIF(Table1[Kade],L10,Table1[BOR (%)])</f>
        <v>37.93</v>
      </c>
      <c r="N10" s="17"/>
      <c r="O10" s="6">
        <v>199</v>
      </c>
      <c r="P10" s="8">
        <f>AVERAGEIF(Table1[Kade],L10,Table1[LOA])</f>
        <v>182.51999999999998</v>
      </c>
      <c r="Q10" s="6">
        <f>COUNTIF(Table1[Kade],L10)</f>
        <v>3</v>
      </c>
      <c r="R10" s="8">
        <f>AVERAGEIF(Table1[Kade],L10,Table1[Waktu Sandar (jam)])</f>
        <v>99.903333333333322</v>
      </c>
      <c r="S10" s="9">
        <f>SUMIF(Table1[Kade],L10,Table1[Waktu Sandar (jam)])</f>
        <v>299.70999999999998</v>
      </c>
      <c r="T10" s="7">
        <f t="shared" si="0"/>
        <v>37.959703895823196</v>
      </c>
      <c r="U10" s="17"/>
    </row>
    <row r="11" spans="1:21" x14ac:dyDescent="0.35">
      <c r="A11" s="2">
        <v>9</v>
      </c>
      <c r="B11" t="s">
        <v>28</v>
      </c>
      <c r="C11" t="s">
        <v>29</v>
      </c>
      <c r="D11" s="2">
        <v>98</v>
      </c>
      <c r="E11" t="s">
        <v>30</v>
      </c>
      <c r="F11" s="2">
        <v>99</v>
      </c>
      <c r="G11" t="s">
        <v>31</v>
      </c>
      <c r="H11" t="s">
        <v>32</v>
      </c>
      <c r="I11">
        <v>71.5</v>
      </c>
      <c r="J11" s="2">
        <v>10</v>
      </c>
    </row>
    <row r="12" spans="1:21" x14ac:dyDescent="0.35">
      <c r="A12" s="2">
        <v>10</v>
      </c>
      <c r="B12" t="s">
        <v>33</v>
      </c>
      <c r="C12" t="s">
        <v>34</v>
      </c>
      <c r="D12" s="3">
        <v>72.06</v>
      </c>
      <c r="E12" t="s">
        <v>30</v>
      </c>
      <c r="F12" s="2">
        <v>99</v>
      </c>
      <c r="G12" t="s">
        <v>35</v>
      </c>
      <c r="H12" t="s">
        <v>36</v>
      </c>
      <c r="I12">
        <v>72.5</v>
      </c>
      <c r="J12" s="3">
        <v>7.59</v>
      </c>
    </row>
    <row r="13" spans="1:21" x14ac:dyDescent="0.35">
      <c r="A13" s="2">
        <v>11</v>
      </c>
      <c r="B13" t="s">
        <v>37</v>
      </c>
      <c r="C13" t="s">
        <v>38</v>
      </c>
      <c r="D13" s="2">
        <v>88</v>
      </c>
      <c r="E13" t="s">
        <v>30</v>
      </c>
      <c r="F13" s="2">
        <v>99</v>
      </c>
      <c r="G13" t="s">
        <v>39</v>
      </c>
      <c r="H13" t="s">
        <v>40</v>
      </c>
      <c r="I13" s="3">
        <v>37.83</v>
      </c>
      <c r="J13" s="3">
        <v>4.78</v>
      </c>
    </row>
    <row r="14" spans="1:21" x14ac:dyDescent="0.35">
      <c r="A14" s="2">
        <v>12</v>
      </c>
      <c r="B14" t="s">
        <v>41</v>
      </c>
      <c r="C14" t="s">
        <v>42</v>
      </c>
      <c r="D14" s="3">
        <v>80.78</v>
      </c>
      <c r="E14" t="s">
        <v>30</v>
      </c>
      <c r="F14" s="2">
        <v>99</v>
      </c>
      <c r="G14" t="s">
        <v>43</v>
      </c>
      <c r="H14" t="s">
        <v>44</v>
      </c>
      <c r="I14">
        <v>69.5</v>
      </c>
      <c r="J14" s="3">
        <v>8.09</v>
      </c>
    </row>
    <row r="15" spans="1:21" x14ac:dyDescent="0.35">
      <c r="A15" s="2">
        <v>13</v>
      </c>
      <c r="B15" t="s">
        <v>157</v>
      </c>
      <c r="C15" t="s">
        <v>158</v>
      </c>
      <c r="D15" s="2">
        <v>99</v>
      </c>
      <c r="E15" t="s">
        <v>47</v>
      </c>
      <c r="F15" s="2">
        <v>99</v>
      </c>
      <c r="G15" t="s">
        <v>159</v>
      </c>
      <c r="H15" t="s">
        <v>160</v>
      </c>
      <c r="I15" s="3">
        <v>33.17</v>
      </c>
      <c r="J15" s="3">
        <v>4.68</v>
      </c>
    </row>
    <row r="16" spans="1:21" x14ac:dyDescent="0.35">
      <c r="A16" s="2">
        <v>14</v>
      </c>
      <c r="B16" t="s">
        <v>45</v>
      </c>
      <c r="C16" t="s">
        <v>46</v>
      </c>
      <c r="D16">
        <v>79.099999999999994</v>
      </c>
      <c r="E16" t="s">
        <v>47</v>
      </c>
      <c r="F16" s="2">
        <v>99</v>
      </c>
      <c r="G16" t="s">
        <v>48</v>
      </c>
      <c r="H16" t="s">
        <v>49</v>
      </c>
      <c r="I16" s="2">
        <v>76</v>
      </c>
      <c r="J16" s="3">
        <v>8.68</v>
      </c>
    </row>
    <row r="17" spans="1:10" x14ac:dyDescent="0.35">
      <c r="A17" s="2">
        <v>15</v>
      </c>
      <c r="B17" t="s">
        <v>50</v>
      </c>
      <c r="C17" t="s">
        <v>51</v>
      </c>
      <c r="D17" s="3">
        <v>69.98</v>
      </c>
      <c r="E17" t="s">
        <v>47</v>
      </c>
      <c r="F17" s="2">
        <v>99</v>
      </c>
      <c r="G17" t="s">
        <v>52</v>
      </c>
      <c r="H17" t="s">
        <v>53</v>
      </c>
      <c r="I17" s="3">
        <v>20.67</v>
      </c>
      <c r="J17">
        <v>2.1</v>
      </c>
    </row>
    <row r="18" spans="1:10" x14ac:dyDescent="0.35">
      <c r="A18" s="2">
        <v>16</v>
      </c>
      <c r="B18" t="s">
        <v>170</v>
      </c>
      <c r="C18" t="s">
        <v>117</v>
      </c>
      <c r="D18" s="2">
        <v>90</v>
      </c>
      <c r="E18" t="s">
        <v>56</v>
      </c>
      <c r="F18" s="2">
        <v>99</v>
      </c>
      <c r="G18" t="s">
        <v>171</v>
      </c>
      <c r="H18" t="s">
        <v>172</v>
      </c>
      <c r="I18" s="3">
        <v>24.83</v>
      </c>
      <c r="J18">
        <v>3.2</v>
      </c>
    </row>
    <row r="19" spans="1:10" x14ac:dyDescent="0.35">
      <c r="A19" s="2">
        <v>17</v>
      </c>
      <c r="B19" t="s">
        <v>54</v>
      </c>
      <c r="C19" t="s">
        <v>55</v>
      </c>
      <c r="D19">
        <v>109.9</v>
      </c>
      <c r="E19" t="s">
        <v>56</v>
      </c>
      <c r="F19" s="2">
        <v>99</v>
      </c>
      <c r="G19" t="s">
        <v>57</v>
      </c>
      <c r="H19" t="s">
        <v>58</v>
      </c>
      <c r="I19" s="3">
        <v>31.18</v>
      </c>
      <c r="J19" s="3">
        <v>4.8600000000000003</v>
      </c>
    </row>
    <row r="20" spans="1:10" x14ac:dyDescent="0.35">
      <c r="A20" s="2">
        <v>18</v>
      </c>
      <c r="B20" t="s">
        <v>59</v>
      </c>
      <c r="C20" t="s">
        <v>60</v>
      </c>
      <c r="D20" s="2">
        <v>123</v>
      </c>
      <c r="E20" t="s">
        <v>56</v>
      </c>
      <c r="F20" s="2">
        <v>99</v>
      </c>
      <c r="G20" t="s">
        <v>61</v>
      </c>
      <c r="H20" t="s">
        <v>62</v>
      </c>
      <c r="I20" s="3">
        <v>37.17</v>
      </c>
      <c r="J20" s="3">
        <v>6.46</v>
      </c>
    </row>
    <row r="21" spans="1:10" x14ac:dyDescent="0.35">
      <c r="A21" s="2">
        <v>19</v>
      </c>
      <c r="B21" t="s">
        <v>177</v>
      </c>
      <c r="C21" t="s">
        <v>178</v>
      </c>
      <c r="D21" s="3">
        <v>81.02</v>
      </c>
      <c r="E21" t="s">
        <v>65</v>
      </c>
      <c r="F21" s="2">
        <v>100</v>
      </c>
      <c r="G21" t="s">
        <v>179</v>
      </c>
      <c r="H21" t="s">
        <v>180</v>
      </c>
      <c r="I21" s="3">
        <v>55.17</v>
      </c>
      <c r="J21" s="3">
        <v>6.38</v>
      </c>
    </row>
    <row r="22" spans="1:10" x14ac:dyDescent="0.35">
      <c r="A22" s="2">
        <v>20</v>
      </c>
      <c r="B22" t="s">
        <v>166</v>
      </c>
      <c r="C22" t="s">
        <v>167</v>
      </c>
      <c r="D22">
        <v>95.3</v>
      </c>
      <c r="E22" t="s">
        <v>65</v>
      </c>
      <c r="F22" s="2">
        <v>100</v>
      </c>
      <c r="G22" t="s">
        <v>168</v>
      </c>
      <c r="H22" t="s">
        <v>169</v>
      </c>
      <c r="I22" s="3">
        <v>154.75</v>
      </c>
      <c r="J22" s="3">
        <v>20.86</v>
      </c>
    </row>
    <row r="23" spans="1:10" x14ac:dyDescent="0.35">
      <c r="A23" s="2">
        <v>21</v>
      </c>
      <c r="B23" t="s">
        <v>193</v>
      </c>
      <c r="C23" t="s">
        <v>34</v>
      </c>
      <c r="D23" s="3">
        <v>72.06</v>
      </c>
      <c r="E23" t="s">
        <v>65</v>
      </c>
      <c r="F23" s="2">
        <v>100</v>
      </c>
      <c r="G23" t="s">
        <v>194</v>
      </c>
      <c r="H23" t="s">
        <v>195</v>
      </c>
      <c r="I23" s="3">
        <v>55.83</v>
      </c>
      <c r="J23" s="3">
        <v>5.78</v>
      </c>
    </row>
    <row r="24" spans="1:10" x14ac:dyDescent="0.35">
      <c r="A24" s="2">
        <v>22</v>
      </c>
      <c r="B24" t="s">
        <v>63</v>
      </c>
      <c r="C24" t="s">
        <v>64</v>
      </c>
      <c r="D24" s="2">
        <v>72</v>
      </c>
      <c r="E24" t="s">
        <v>65</v>
      </c>
      <c r="F24" s="2">
        <v>100</v>
      </c>
      <c r="G24" t="s">
        <v>66</v>
      </c>
      <c r="H24" t="s">
        <v>67</v>
      </c>
      <c r="I24" s="3">
        <v>164.33</v>
      </c>
      <c r="J24" s="3">
        <v>17.010000000000002</v>
      </c>
    </row>
    <row r="25" spans="1:10" x14ac:dyDescent="0.35">
      <c r="A25" s="2">
        <v>23</v>
      </c>
      <c r="B25" t="s">
        <v>68</v>
      </c>
      <c r="C25" t="s">
        <v>69</v>
      </c>
      <c r="D25">
        <v>82.5</v>
      </c>
      <c r="E25" t="s">
        <v>70</v>
      </c>
      <c r="F25" s="2">
        <v>149</v>
      </c>
      <c r="G25" t="s">
        <v>71</v>
      </c>
      <c r="H25" t="s">
        <v>72</v>
      </c>
      <c r="I25" s="3">
        <v>20.58</v>
      </c>
      <c r="J25" s="3">
        <v>1.62</v>
      </c>
    </row>
    <row r="26" spans="1:10" x14ac:dyDescent="0.35">
      <c r="A26" s="2">
        <v>24</v>
      </c>
      <c r="B26" t="s">
        <v>196</v>
      </c>
      <c r="C26" t="s">
        <v>69</v>
      </c>
      <c r="D26">
        <v>82.5</v>
      </c>
      <c r="E26" t="s">
        <v>70</v>
      </c>
      <c r="F26" s="2">
        <v>149</v>
      </c>
      <c r="G26" t="s">
        <v>197</v>
      </c>
      <c r="H26" t="s">
        <v>198</v>
      </c>
      <c r="I26" s="3">
        <v>21.67</v>
      </c>
      <c r="J26" s="3">
        <v>1.71</v>
      </c>
    </row>
    <row r="27" spans="1:10" x14ac:dyDescent="0.35">
      <c r="A27" s="2">
        <v>25</v>
      </c>
      <c r="B27" t="s">
        <v>73</v>
      </c>
      <c r="C27" t="s">
        <v>74</v>
      </c>
      <c r="D27" s="3">
        <v>87.78</v>
      </c>
      <c r="E27" t="s">
        <v>70</v>
      </c>
      <c r="F27" s="2">
        <v>149</v>
      </c>
      <c r="G27" t="s">
        <v>75</v>
      </c>
      <c r="H27" t="s">
        <v>76</v>
      </c>
      <c r="I27" s="3">
        <v>90.92</v>
      </c>
      <c r="J27" s="3">
        <v>7.61</v>
      </c>
    </row>
    <row r="28" spans="1:10" x14ac:dyDescent="0.35">
      <c r="A28" s="2">
        <v>26</v>
      </c>
      <c r="B28" t="s">
        <v>77</v>
      </c>
      <c r="C28" t="s">
        <v>78</v>
      </c>
      <c r="D28" s="3">
        <v>87.78</v>
      </c>
      <c r="E28" t="s">
        <v>70</v>
      </c>
      <c r="F28" s="2">
        <v>149</v>
      </c>
      <c r="G28" t="s">
        <v>79</v>
      </c>
      <c r="H28" t="s">
        <v>80</v>
      </c>
      <c r="I28" s="3">
        <v>61.17</v>
      </c>
      <c r="J28" s="3">
        <v>5.12</v>
      </c>
    </row>
    <row r="29" spans="1:10" x14ac:dyDescent="0.35">
      <c r="A29" s="2">
        <v>27</v>
      </c>
      <c r="B29" t="s">
        <v>81</v>
      </c>
      <c r="C29" t="s">
        <v>82</v>
      </c>
      <c r="D29" s="2">
        <v>92</v>
      </c>
      <c r="E29" t="s">
        <v>70</v>
      </c>
      <c r="F29" s="2">
        <v>149</v>
      </c>
      <c r="G29" t="s">
        <v>83</v>
      </c>
      <c r="H29" t="s">
        <v>84</v>
      </c>
      <c r="I29" s="2">
        <v>29</v>
      </c>
      <c r="J29" s="3">
        <v>2.54</v>
      </c>
    </row>
    <row r="30" spans="1:10" x14ac:dyDescent="0.35">
      <c r="A30" s="2">
        <v>28</v>
      </c>
      <c r="B30" t="s">
        <v>85</v>
      </c>
      <c r="C30" t="s">
        <v>86</v>
      </c>
      <c r="D30" s="3">
        <v>96.56</v>
      </c>
      <c r="E30" t="s">
        <v>70</v>
      </c>
      <c r="F30" s="2">
        <v>149</v>
      </c>
      <c r="G30" t="s">
        <v>87</v>
      </c>
      <c r="H30" t="s">
        <v>88</v>
      </c>
      <c r="I30" s="3">
        <v>73.08</v>
      </c>
      <c r="J30">
        <v>6.7</v>
      </c>
    </row>
    <row r="31" spans="1:10" x14ac:dyDescent="0.35">
      <c r="A31" s="2">
        <v>29</v>
      </c>
      <c r="B31" t="s">
        <v>89</v>
      </c>
      <c r="C31" t="s">
        <v>69</v>
      </c>
      <c r="D31">
        <v>82.5</v>
      </c>
      <c r="E31" t="s">
        <v>70</v>
      </c>
      <c r="F31" s="2">
        <v>149</v>
      </c>
      <c r="G31" t="s">
        <v>90</v>
      </c>
      <c r="H31" t="s">
        <v>91</v>
      </c>
      <c r="I31" s="3">
        <v>23.08</v>
      </c>
      <c r="J31" s="3">
        <v>1.82</v>
      </c>
    </row>
    <row r="32" spans="1:10" x14ac:dyDescent="0.35">
      <c r="A32" s="2">
        <v>30</v>
      </c>
      <c r="B32" t="s">
        <v>173</v>
      </c>
      <c r="C32" t="s">
        <v>174</v>
      </c>
      <c r="D32">
        <v>124.7</v>
      </c>
      <c r="E32" t="s">
        <v>94</v>
      </c>
      <c r="F32" s="2">
        <v>149</v>
      </c>
      <c r="G32" t="s">
        <v>175</v>
      </c>
      <c r="H32" t="s">
        <v>176</v>
      </c>
      <c r="I32" s="3">
        <v>19.079999999999998</v>
      </c>
      <c r="J32" s="3">
        <v>2.23</v>
      </c>
    </row>
    <row r="33" spans="1:10" x14ac:dyDescent="0.35">
      <c r="A33" s="2">
        <v>31</v>
      </c>
      <c r="B33" t="s">
        <v>92</v>
      </c>
      <c r="C33" t="s">
        <v>93</v>
      </c>
      <c r="D33" s="3">
        <v>109.75</v>
      </c>
      <c r="E33" t="s">
        <v>94</v>
      </c>
      <c r="F33" s="2">
        <v>149</v>
      </c>
      <c r="G33" t="s">
        <v>95</v>
      </c>
      <c r="H33" t="s">
        <v>96</v>
      </c>
      <c r="I33" s="3">
        <v>23.67</v>
      </c>
      <c r="J33" s="3">
        <v>2.4500000000000002</v>
      </c>
    </row>
    <row r="34" spans="1:10" x14ac:dyDescent="0.35">
      <c r="A34" s="2">
        <v>32</v>
      </c>
      <c r="B34" t="s">
        <v>97</v>
      </c>
      <c r="C34" t="s">
        <v>98</v>
      </c>
      <c r="D34" s="3">
        <v>114.13</v>
      </c>
      <c r="E34" t="s">
        <v>94</v>
      </c>
      <c r="F34" s="2">
        <v>149</v>
      </c>
      <c r="G34" t="s">
        <v>99</v>
      </c>
      <c r="H34" t="s">
        <v>100</v>
      </c>
      <c r="I34">
        <v>31.2</v>
      </c>
      <c r="J34" s="3">
        <v>3.35</v>
      </c>
    </row>
    <row r="35" spans="1:10" x14ac:dyDescent="0.35">
      <c r="A35" s="2">
        <v>33</v>
      </c>
      <c r="B35" t="s">
        <v>163</v>
      </c>
      <c r="C35" t="s">
        <v>60</v>
      </c>
      <c r="D35" s="2">
        <v>123</v>
      </c>
      <c r="E35" t="s">
        <v>94</v>
      </c>
      <c r="F35" s="2">
        <v>149</v>
      </c>
      <c r="G35" t="s">
        <v>164</v>
      </c>
      <c r="H35" t="s">
        <v>165</v>
      </c>
      <c r="I35">
        <v>37.5</v>
      </c>
      <c r="J35" s="3">
        <v>4.33</v>
      </c>
    </row>
    <row r="36" spans="1:10" x14ac:dyDescent="0.35">
      <c r="A36" s="2">
        <v>34</v>
      </c>
      <c r="B36" t="s">
        <v>154</v>
      </c>
      <c r="C36" t="s">
        <v>125</v>
      </c>
      <c r="D36" s="3">
        <v>105.69</v>
      </c>
      <c r="E36" t="s">
        <v>94</v>
      </c>
      <c r="F36" s="2">
        <v>149</v>
      </c>
      <c r="G36" t="s">
        <v>155</v>
      </c>
      <c r="H36" t="s">
        <v>156</v>
      </c>
      <c r="I36">
        <v>29.5</v>
      </c>
      <c r="J36" s="3">
        <v>2.95</v>
      </c>
    </row>
    <row r="37" spans="1:10" x14ac:dyDescent="0.35">
      <c r="A37" s="2">
        <v>35</v>
      </c>
      <c r="B37" t="s">
        <v>199</v>
      </c>
      <c r="C37" t="s">
        <v>93</v>
      </c>
      <c r="D37" s="3">
        <v>109.75</v>
      </c>
      <c r="E37" t="s">
        <v>94</v>
      </c>
      <c r="F37" s="2">
        <v>149</v>
      </c>
      <c r="G37" t="s">
        <v>200</v>
      </c>
      <c r="H37" t="s">
        <v>201</v>
      </c>
      <c r="I37" s="3">
        <v>34.08</v>
      </c>
      <c r="J37" s="3">
        <v>3.53</v>
      </c>
    </row>
    <row r="38" spans="1:10" x14ac:dyDescent="0.35">
      <c r="A38" s="2">
        <v>36</v>
      </c>
      <c r="B38" t="s">
        <v>151</v>
      </c>
      <c r="C38" t="s">
        <v>133</v>
      </c>
      <c r="D38">
        <v>113.2</v>
      </c>
      <c r="E38" t="s">
        <v>94</v>
      </c>
      <c r="F38" s="2">
        <v>149</v>
      </c>
      <c r="G38" t="s">
        <v>152</v>
      </c>
      <c r="H38" t="s">
        <v>153</v>
      </c>
      <c r="I38" s="3">
        <v>67.83</v>
      </c>
      <c r="J38" s="3">
        <v>7.23</v>
      </c>
    </row>
    <row r="39" spans="1:10" x14ac:dyDescent="0.35">
      <c r="A39" s="2">
        <v>37</v>
      </c>
      <c r="B39" t="s">
        <v>101</v>
      </c>
      <c r="C39" t="s">
        <v>102</v>
      </c>
      <c r="D39">
        <v>113.2</v>
      </c>
      <c r="E39" t="s">
        <v>94</v>
      </c>
      <c r="F39" s="2">
        <v>149</v>
      </c>
      <c r="G39" t="s">
        <v>103</v>
      </c>
      <c r="H39" t="s">
        <v>104</v>
      </c>
      <c r="I39" s="3">
        <v>31.42</v>
      </c>
      <c r="J39" s="3">
        <v>3.35</v>
      </c>
    </row>
    <row r="40" spans="1:10" x14ac:dyDescent="0.35">
      <c r="A40" s="2">
        <v>38</v>
      </c>
      <c r="B40" t="s">
        <v>105</v>
      </c>
      <c r="C40" t="s">
        <v>106</v>
      </c>
      <c r="D40">
        <v>109.9</v>
      </c>
      <c r="E40" t="s">
        <v>94</v>
      </c>
      <c r="F40" s="2">
        <v>149</v>
      </c>
      <c r="G40" t="s">
        <v>107</v>
      </c>
      <c r="H40" t="s">
        <v>108</v>
      </c>
      <c r="I40" s="3">
        <v>34.67</v>
      </c>
      <c r="J40" s="3">
        <v>3.59</v>
      </c>
    </row>
    <row r="41" spans="1:10" x14ac:dyDescent="0.35">
      <c r="A41" s="2">
        <v>39</v>
      </c>
      <c r="B41" t="s">
        <v>109</v>
      </c>
      <c r="C41" t="s">
        <v>110</v>
      </c>
      <c r="D41">
        <v>93.2</v>
      </c>
      <c r="E41" t="s">
        <v>94</v>
      </c>
      <c r="F41" s="2">
        <v>149</v>
      </c>
      <c r="G41" t="s">
        <v>111</v>
      </c>
      <c r="H41" t="s">
        <v>112</v>
      </c>
      <c r="I41" s="3">
        <v>20.170000000000002</v>
      </c>
      <c r="J41" s="3">
        <v>1.79</v>
      </c>
    </row>
    <row r="42" spans="1:10" x14ac:dyDescent="0.35">
      <c r="A42" s="2">
        <v>40</v>
      </c>
      <c r="B42" t="s">
        <v>113</v>
      </c>
      <c r="C42" t="s">
        <v>93</v>
      </c>
      <c r="D42" s="3">
        <v>109.75</v>
      </c>
      <c r="E42" t="s">
        <v>94</v>
      </c>
      <c r="F42" s="2">
        <v>149</v>
      </c>
      <c r="G42" t="s">
        <v>114</v>
      </c>
      <c r="H42" t="s">
        <v>115</v>
      </c>
      <c r="I42" s="2">
        <v>29</v>
      </c>
      <c r="J42" s="2">
        <v>3</v>
      </c>
    </row>
    <row r="43" spans="1:10" x14ac:dyDescent="0.35">
      <c r="A43" s="2">
        <v>41</v>
      </c>
      <c r="B43" t="s">
        <v>116</v>
      </c>
      <c r="C43" t="s">
        <v>117</v>
      </c>
      <c r="D43" s="2">
        <v>90</v>
      </c>
      <c r="E43" t="s">
        <v>94</v>
      </c>
      <c r="F43" s="2">
        <v>149</v>
      </c>
      <c r="G43" t="s">
        <v>118</v>
      </c>
      <c r="H43" t="s">
        <v>119</v>
      </c>
      <c r="I43">
        <v>18.3</v>
      </c>
      <c r="J43" s="3">
        <v>1.57</v>
      </c>
    </row>
    <row r="44" spans="1:10" x14ac:dyDescent="0.35">
      <c r="A44" s="2"/>
      <c r="B44" t="s">
        <v>120</v>
      </c>
      <c r="C44" t="s">
        <v>121</v>
      </c>
      <c r="D44" s="2">
        <v>109</v>
      </c>
      <c r="E44" t="s">
        <v>94</v>
      </c>
      <c r="F44" s="2">
        <v>149</v>
      </c>
      <c r="G44" t="s">
        <v>122</v>
      </c>
      <c r="H44" t="s">
        <v>123</v>
      </c>
      <c r="I44" s="3">
        <v>29.67</v>
      </c>
      <c r="J44" s="3">
        <v>3.05</v>
      </c>
    </row>
    <row r="45" spans="1:10" x14ac:dyDescent="0.35">
      <c r="A45" s="2"/>
      <c r="B45" t="s">
        <v>124</v>
      </c>
      <c r="C45" t="s">
        <v>125</v>
      </c>
      <c r="D45" s="3">
        <v>105.69</v>
      </c>
      <c r="E45" t="s">
        <v>94</v>
      </c>
      <c r="F45" s="2">
        <v>149</v>
      </c>
      <c r="G45" t="s">
        <v>126</v>
      </c>
      <c r="H45" t="s">
        <v>127</v>
      </c>
      <c r="I45" s="3">
        <v>24.17</v>
      </c>
      <c r="J45" s="3">
        <v>2.41</v>
      </c>
    </row>
    <row r="46" spans="1:10" x14ac:dyDescent="0.35">
      <c r="A46" s="2"/>
      <c r="B46" t="s">
        <v>128</v>
      </c>
      <c r="C46" t="s">
        <v>129</v>
      </c>
      <c r="D46">
        <v>114.8</v>
      </c>
      <c r="E46" t="s">
        <v>94</v>
      </c>
      <c r="F46" s="2">
        <v>149</v>
      </c>
      <c r="G46" t="s">
        <v>130</v>
      </c>
      <c r="H46" t="s">
        <v>131</v>
      </c>
      <c r="I46" s="3">
        <v>52.58</v>
      </c>
      <c r="J46" s="3">
        <v>5.68</v>
      </c>
    </row>
    <row r="47" spans="1:10" x14ac:dyDescent="0.35">
      <c r="A47" s="2"/>
      <c r="B47" t="s">
        <v>132</v>
      </c>
      <c r="C47" t="s">
        <v>133</v>
      </c>
      <c r="D47">
        <v>113.2</v>
      </c>
      <c r="E47" t="s">
        <v>94</v>
      </c>
      <c r="F47" s="2">
        <v>149</v>
      </c>
      <c r="G47" t="s">
        <v>134</v>
      </c>
      <c r="H47" t="s">
        <v>135</v>
      </c>
      <c r="I47" s="3">
        <v>35.08</v>
      </c>
      <c r="J47" s="3">
        <v>3.74</v>
      </c>
    </row>
    <row r="48" spans="1:10" x14ac:dyDescent="0.35">
      <c r="A48" s="2"/>
      <c r="B48" t="s">
        <v>202</v>
      </c>
      <c r="C48" t="s">
        <v>137</v>
      </c>
      <c r="D48" s="3">
        <v>179.28</v>
      </c>
      <c r="E48" t="s">
        <v>138</v>
      </c>
      <c r="F48" s="2">
        <v>199</v>
      </c>
      <c r="G48" t="s">
        <v>203</v>
      </c>
      <c r="H48" t="s">
        <v>204</v>
      </c>
      <c r="I48" s="3">
        <v>92.38</v>
      </c>
      <c r="J48">
        <v>11.5</v>
      </c>
    </row>
    <row r="49" spans="1:10" x14ac:dyDescent="0.35">
      <c r="A49" s="2"/>
      <c r="B49" t="s">
        <v>136</v>
      </c>
      <c r="C49" t="s">
        <v>137</v>
      </c>
      <c r="D49" s="3">
        <v>179.28</v>
      </c>
      <c r="E49" t="s">
        <v>138</v>
      </c>
      <c r="F49" s="2">
        <v>199</v>
      </c>
      <c r="G49" t="s">
        <v>139</v>
      </c>
      <c r="H49" t="s">
        <v>140</v>
      </c>
      <c r="I49" s="3">
        <v>111.83</v>
      </c>
      <c r="J49" s="3">
        <v>13.92</v>
      </c>
    </row>
    <row r="50" spans="1:10" x14ac:dyDescent="0.35">
      <c r="A50" s="2"/>
      <c r="B50" t="s">
        <v>141</v>
      </c>
      <c r="C50" t="s">
        <v>142</v>
      </c>
      <c r="D50" s="2">
        <v>189</v>
      </c>
      <c r="E50" t="s">
        <v>138</v>
      </c>
      <c r="F50" s="2">
        <v>199</v>
      </c>
      <c r="G50" t="s">
        <v>143</v>
      </c>
      <c r="H50" t="s">
        <v>144</v>
      </c>
      <c r="I50">
        <v>95.5</v>
      </c>
      <c r="J50" s="3">
        <v>12.51</v>
      </c>
    </row>
    <row r="51" spans="1:10" x14ac:dyDescent="0.35">
      <c r="A51" s="2"/>
      <c r="F51" s="2"/>
      <c r="I51" s="3"/>
      <c r="J51" s="3"/>
    </row>
    <row r="52" spans="1:10" x14ac:dyDescent="0.35">
      <c r="A52" s="2"/>
      <c r="F52" s="2"/>
      <c r="I52" s="3"/>
    </row>
    <row r="53" spans="1:10" x14ac:dyDescent="0.35">
      <c r="A53" s="2"/>
      <c r="D53" s="3"/>
      <c r="F53" s="2"/>
      <c r="I53" s="3"/>
      <c r="J53" s="3"/>
    </row>
    <row r="54" spans="1:10" x14ac:dyDescent="0.35">
      <c r="A54" s="2"/>
      <c r="D54" s="2"/>
      <c r="F54" s="2"/>
    </row>
  </sheetData>
  <mergeCells count="3">
    <mergeCell ref="A1:J1"/>
    <mergeCell ref="N3:N10"/>
    <mergeCell ref="U3:U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3"/>
  <sheetViews>
    <sheetView zoomScale="94" workbookViewId="0">
      <selection activeCell="M16" sqref="M16"/>
    </sheetView>
  </sheetViews>
  <sheetFormatPr defaultRowHeight="14.5" x14ac:dyDescent="0.35"/>
  <cols>
    <col min="1" max="1" width="6" customWidth="1"/>
    <col min="2" max="2" width="12.1796875" customWidth="1"/>
    <col min="3" max="3" width="52.6328125" customWidth="1"/>
    <col min="4" max="4" width="8.08984375" customWidth="1"/>
    <col min="5" max="5" width="20.26953125" customWidth="1"/>
    <col min="6" max="6" width="16.1796875" customWidth="1"/>
    <col min="7" max="8" width="21.54296875" customWidth="1"/>
    <col min="9" max="9" width="24.26953125" customWidth="1"/>
    <col min="10" max="10" width="9.453125" customWidth="1"/>
    <col min="11" max="11" width="4.81640625" customWidth="1"/>
    <col min="12" max="12" width="18.08984375" customWidth="1"/>
  </cols>
  <sheetData>
    <row r="1" spans="1:2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L1">
        <v>31</v>
      </c>
    </row>
    <row r="2" spans="1:21" ht="58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L2" s="5" t="s">
        <v>5</v>
      </c>
      <c r="M2" s="5" t="s">
        <v>145</v>
      </c>
      <c r="N2" s="5" t="s">
        <v>146</v>
      </c>
      <c r="O2" s="5" t="s">
        <v>6</v>
      </c>
      <c r="P2" s="5" t="s">
        <v>147</v>
      </c>
      <c r="Q2" s="5" t="s">
        <v>148</v>
      </c>
      <c r="R2" s="5" t="s">
        <v>149</v>
      </c>
      <c r="S2" s="5" t="s">
        <v>150</v>
      </c>
      <c r="T2" s="5" t="s">
        <v>10</v>
      </c>
      <c r="U2" s="5" t="s">
        <v>146</v>
      </c>
    </row>
    <row r="3" spans="1:21" x14ac:dyDescent="0.35">
      <c r="A3" s="2">
        <v>1</v>
      </c>
      <c r="B3" t="s">
        <v>181</v>
      </c>
      <c r="C3" t="s">
        <v>182</v>
      </c>
      <c r="D3" s="3">
        <v>87.78</v>
      </c>
      <c r="E3" t="s">
        <v>13</v>
      </c>
      <c r="F3" s="2">
        <v>100</v>
      </c>
      <c r="G3" t="s">
        <v>183</v>
      </c>
      <c r="H3" t="s">
        <v>184</v>
      </c>
      <c r="I3">
        <v>98.7</v>
      </c>
      <c r="J3" s="3">
        <v>12.31</v>
      </c>
      <c r="L3" s="6" t="s">
        <v>13</v>
      </c>
      <c r="M3" s="7">
        <f>SUMIF(Table1[Kade],L3,Table1[BOR (%)])</f>
        <v>47.239999999999995</v>
      </c>
      <c r="N3" s="16">
        <f>AVERAGE(M3:M9)</f>
        <v>47.47989371440984</v>
      </c>
      <c r="O3" s="6">
        <v>100</v>
      </c>
      <c r="P3" s="8">
        <f>AVERAGEIF(Table13[Kade],L3,Table13[LOA])</f>
        <v>91.036666666666676</v>
      </c>
      <c r="Q3" s="6">
        <f>COUNTIF(Table13[Kade],L3)</f>
        <v>6</v>
      </c>
      <c r="R3" s="8">
        <f>AVERAGEIF(Table13[Kade],L3,Table13[Waktu Sandar (jam)])</f>
        <v>61.518333333333324</v>
      </c>
      <c r="S3" s="9">
        <f>SUMIF(Table13[Kade],L3,Table13[Waktu Sandar (jam)])</f>
        <v>369.10999999999996</v>
      </c>
      <c r="T3" s="7">
        <f>((P3+5)*Q3*R3)/(O3*24*$L$1)*100</f>
        <v>47.645287679211464</v>
      </c>
      <c r="U3" s="16">
        <f>AVERAGE(T3:T9)</f>
        <v>47.405987053138141</v>
      </c>
    </row>
    <row r="4" spans="1:21" x14ac:dyDescent="0.35">
      <c r="A4" s="2">
        <v>2</v>
      </c>
      <c r="B4" t="s">
        <v>185</v>
      </c>
      <c r="C4" t="s">
        <v>186</v>
      </c>
      <c r="D4" s="3">
        <v>91.44</v>
      </c>
      <c r="E4" t="s">
        <v>13</v>
      </c>
      <c r="F4" s="2">
        <v>100</v>
      </c>
      <c r="G4" t="s">
        <v>187</v>
      </c>
      <c r="H4" t="s">
        <v>188</v>
      </c>
      <c r="I4" s="3">
        <v>41.67</v>
      </c>
      <c r="J4">
        <v>5.4</v>
      </c>
      <c r="L4" s="6" t="s">
        <v>30</v>
      </c>
      <c r="M4" s="7">
        <f>SUMIF(Table13[Kade],L4,Table13[BOR (%)])</f>
        <v>45.460000000000008</v>
      </c>
      <c r="N4" s="17"/>
      <c r="O4" s="6">
        <v>99</v>
      </c>
      <c r="P4" s="8">
        <f>AVERAGEIF(Table13[Kade],L4,Table13[LOA])</f>
        <v>87.473333333333343</v>
      </c>
      <c r="Q4" s="6">
        <f>COUNTIF(Table13[Kade],L4)</f>
        <v>6</v>
      </c>
      <c r="R4" s="8">
        <f>AVERAGEIF(Table13[Kade],L4,Table13[Waktu Sandar (jam)])</f>
        <v>60.18</v>
      </c>
      <c r="S4" s="9">
        <f>SUMIF(Table13[Kade],L4,Table13[Waktu Sandar (jam)])</f>
        <v>361.08</v>
      </c>
      <c r="T4" s="7">
        <f t="shared" ref="T4:T9" si="0">((P4+5)*Q4*R4)/(O4*24*$L$1)*100</f>
        <v>45.332724014336925</v>
      </c>
      <c r="U4" s="17"/>
    </row>
    <row r="5" spans="1:21" x14ac:dyDescent="0.35">
      <c r="A5" s="2">
        <v>3</v>
      </c>
      <c r="B5" t="s">
        <v>11</v>
      </c>
      <c r="C5" t="s">
        <v>12</v>
      </c>
      <c r="D5" s="2">
        <v>100</v>
      </c>
      <c r="E5" t="s">
        <v>13</v>
      </c>
      <c r="F5" s="2">
        <v>100</v>
      </c>
      <c r="G5" t="s">
        <v>14</v>
      </c>
      <c r="H5" t="s">
        <v>15</v>
      </c>
      <c r="I5" s="2">
        <v>40</v>
      </c>
      <c r="J5" s="3">
        <v>5.65</v>
      </c>
      <c r="L5" s="6" t="s">
        <v>47</v>
      </c>
      <c r="M5" s="7">
        <f>SUMIF(Table13[Kade],L5,Table13[BOR (%)])</f>
        <v>54.59962800043445</v>
      </c>
      <c r="N5" s="17"/>
      <c r="O5" s="6">
        <v>99</v>
      </c>
      <c r="P5" s="8">
        <f>AVERAGEIF(Table13[Kade],L5,Table13[LOA])</f>
        <v>86.976666666666645</v>
      </c>
      <c r="Q5" s="6">
        <f>COUNTIF(Table13[Kade],L5)</f>
        <v>6</v>
      </c>
      <c r="R5" s="8">
        <f>AVERAGEIF(Table13[Kade],L5,Table13[Waktu Sandar (jam)])</f>
        <v>71.591666666666669</v>
      </c>
      <c r="S5" s="9">
        <f>SUMIF(Table13[Kade],L5,Table13[Waktu Sandar (jam)])</f>
        <v>429.55</v>
      </c>
      <c r="T5" s="7">
        <f t="shared" si="0"/>
        <v>53.639319494225404</v>
      </c>
      <c r="U5" s="17"/>
    </row>
    <row r="6" spans="1:21" x14ac:dyDescent="0.35">
      <c r="A6" s="2">
        <v>4</v>
      </c>
      <c r="B6" t="s">
        <v>16</v>
      </c>
      <c r="C6" t="s">
        <v>17</v>
      </c>
      <c r="D6" s="3">
        <v>91.44</v>
      </c>
      <c r="E6" t="s">
        <v>13</v>
      </c>
      <c r="F6" s="2">
        <v>100</v>
      </c>
      <c r="G6" t="s">
        <v>18</v>
      </c>
      <c r="H6" t="s">
        <v>19</v>
      </c>
      <c r="I6" s="3">
        <v>68.58</v>
      </c>
      <c r="J6" s="3">
        <v>8.89</v>
      </c>
      <c r="L6" s="6" t="s">
        <v>56</v>
      </c>
      <c r="M6" s="7">
        <f>SUMIF(Table13[Kade],L6,Table13[BOR (%)])</f>
        <v>53.659628000434452</v>
      </c>
      <c r="N6" s="17"/>
      <c r="O6" s="6">
        <v>99</v>
      </c>
      <c r="P6" s="8">
        <f>AVERAGEIF(Table13[Kade],L6,Table13[LOA])</f>
        <v>99.446666666666658</v>
      </c>
      <c r="Q6" s="6">
        <f>COUNTIF(Table13[Kade],L6)</f>
        <v>6</v>
      </c>
      <c r="R6" s="8">
        <f>AVERAGEIF(Table13[Kade],L6,Table13[Waktu Sandar (jam)])</f>
        <v>65.481666666666669</v>
      </c>
      <c r="S6" s="9">
        <f>SUMIF(Table13[Kade],L6,Table13[Waktu Sandar (jam)])</f>
        <v>392.89</v>
      </c>
      <c r="T6" s="7">
        <f t="shared" si="0"/>
        <v>55.713113482495203</v>
      </c>
      <c r="U6" s="17"/>
    </row>
    <row r="7" spans="1:21" x14ac:dyDescent="0.35">
      <c r="A7" s="2">
        <v>5</v>
      </c>
      <c r="B7" t="s">
        <v>20</v>
      </c>
      <c r="C7" t="s">
        <v>21</v>
      </c>
      <c r="D7" s="3">
        <v>87.78</v>
      </c>
      <c r="E7" t="s">
        <v>13</v>
      </c>
      <c r="F7" s="2">
        <v>100</v>
      </c>
      <c r="G7" t="s">
        <v>22</v>
      </c>
      <c r="H7" t="s">
        <v>23</v>
      </c>
      <c r="I7" s="3">
        <v>37.33</v>
      </c>
      <c r="J7" s="3">
        <v>4.66</v>
      </c>
      <c r="L7" s="6" t="s">
        <v>65</v>
      </c>
      <c r="M7" s="7">
        <f>SUMIF(Table13[Kade],L7,Table13[BOR (%)])</f>
        <v>50.03</v>
      </c>
      <c r="N7" s="17"/>
      <c r="O7" s="6">
        <v>100</v>
      </c>
      <c r="P7" s="8">
        <f>AVERAGEIF(Table13[Kade],L7,Table13[LOA])</f>
        <v>80.094999999999999</v>
      </c>
      <c r="Q7" s="6">
        <f>COUNTIF(Table13[Kade],L7)</f>
        <v>4</v>
      </c>
      <c r="R7" s="8">
        <f>AVERAGEIF(Table13[Kade],L7,Table13[Waktu Sandar (jam)])</f>
        <v>107.52000000000001</v>
      </c>
      <c r="S7" s="9">
        <f>SUMIF(Table13[Kade],L7,Table13[Waktu Sandar (jam)])</f>
        <v>430.08000000000004</v>
      </c>
      <c r="T7" s="7">
        <f t="shared" si="0"/>
        <v>49.190400000000004</v>
      </c>
      <c r="U7" s="17"/>
    </row>
    <row r="8" spans="1:21" x14ac:dyDescent="0.35">
      <c r="A8" s="2">
        <v>6</v>
      </c>
      <c r="B8" t="s">
        <v>24</v>
      </c>
      <c r="C8" t="s">
        <v>25</v>
      </c>
      <c r="D8" s="3">
        <v>87.78</v>
      </c>
      <c r="E8" t="s">
        <v>13</v>
      </c>
      <c r="F8" s="2">
        <v>100</v>
      </c>
      <c r="G8" t="s">
        <v>26</v>
      </c>
      <c r="H8" t="s">
        <v>27</v>
      </c>
      <c r="I8" s="3">
        <v>82.83</v>
      </c>
      <c r="J8" s="3">
        <v>10.33</v>
      </c>
      <c r="L8" s="6" t="s">
        <v>70</v>
      </c>
      <c r="M8" s="7">
        <f>SUMIF(Table13[Kade],L8,Table13[BOR (%)])</f>
        <v>27.12</v>
      </c>
      <c r="N8" s="17"/>
      <c r="O8" s="6">
        <v>149</v>
      </c>
      <c r="P8" s="8">
        <f>AVERAGEIF(Table13[Kade],L8,Table13[LOA])</f>
        <v>87.374285714285719</v>
      </c>
      <c r="Q8" s="6">
        <f>COUNTIF(Table13[Kade],L8)</f>
        <v>7</v>
      </c>
      <c r="R8" s="8">
        <f>AVERAGEIF(Table13[Kade],L8,Table13[Waktu Sandar (jam)])</f>
        <v>45.642857142857146</v>
      </c>
      <c r="S8" s="9">
        <f>SUMIF(Table13[Kade],L8,Table13[Waktu Sandar (jam)])</f>
        <v>319.5</v>
      </c>
      <c r="T8" s="7">
        <f t="shared" si="0"/>
        <v>26.623353075804907</v>
      </c>
      <c r="U8" s="17"/>
    </row>
    <row r="9" spans="1:21" x14ac:dyDescent="0.35">
      <c r="A9" s="2">
        <v>7</v>
      </c>
      <c r="B9" t="s">
        <v>189</v>
      </c>
      <c r="C9" t="s">
        <v>190</v>
      </c>
      <c r="D9" s="2">
        <v>87</v>
      </c>
      <c r="E9" t="s">
        <v>30</v>
      </c>
      <c r="F9" s="2">
        <v>99</v>
      </c>
      <c r="G9" t="s">
        <v>191</v>
      </c>
      <c r="H9" t="s">
        <v>192</v>
      </c>
      <c r="I9" s="3">
        <v>30.55</v>
      </c>
      <c r="J9" s="3">
        <v>3.82</v>
      </c>
      <c r="L9" s="6" t="s">
        <v>94</v>
      </c>
      <c r="M9" s="7">
        <f>SUMIF(Table13[Kade],L9,Table13[BOR (%)])</f>
        <v>54.25</v>
      </c>
      <c r="N9" s="17"/>
      <c r="O9" s="6">
        <v>149</v>
      </c>
      <c r="P9" s="8">
        <f>AVERAGEIF(Table13[Kade],L9,Table13[LOA])</f>
        <v>109.935</v>
      </c>
      <c r="Q9" s="6">
        <f>COUNTIF(Table13[Kade],L9)</f>
        <v>16</v>
      </c>
      <c r="R9" s="8">
        <f>AVERAGEIF(Table13[Kade],L9,Table13[Waktu Sandar (jam)])</f>
        <v>32.370000000000005</v>
      </c>
      <c r="S9" s="9">
        <f>SUMIF(Table13[Kade],L9,Table13[Waktu Sandar (jam)])</f>
        <v>517.92000000000007</v>
      </c>
      <c r="T9" s="7">
        <f t="shared" si="0"/>
        <v>53.697711625893064</v>
      </c>
      <c r="U9" s="17"/>
    </row>
    <row r="10" spans="1:21" x14ac:dyDescent="0.35">
      <c r="A10" s="2">
        <v>8</v>
      </c>
      <c r="B10" t="s">
        <v>157</v>
      </c>
      <c r="C10" t="s">
        <v>158</v>
      </c>
      <c r="D10" s="2">
        <v>99</v>
      </c>
      <c r="E10" t="s">
        <v>30</v>
      </c>
      <c r="F10" s="2">
        <v>99</v>
      </c>
      <c r="G10" t="s">
        <v>161</v>
      </c>
      <c r="H10" t="s">
        <v>162</v>
      </c>
      <c r="I10">
        <v>79.2</v>
      </c>
      <c r="J10" s="3">
        <v>11.18</v>
      </c>
      <c r="L10" s="4"/>
      <c r="M10" s="7"/>
      <c r="N10" s="17"/>
      <c r="O10" s="6"/>
      <c r="P10" s="8"/>
      <c r="Q10" s="6"/>
      <c r="R10" s="8"/>
      <c r="S10" s="9"/>
      <c r="T10" s="7"/>
      <c r="U10" s="17"/>
    </row>
    <row r="11" spans="1:21" x14ac:dyDescent="0.35">
      <c r="A11" s="2">
        <v>9</v>
      </c>
      <c r="B11" t="s">
        <v>28</v>
      </c>
      <c r="C11" t="s">
        <v>29</v>
      </c>
      <c r="D11" s="2">
        <v>98</v>
      </c>
      <c r="E11" t="s">
        <v>30</v>
      </c>
      <c r="F11" s="2">
        <v>99</v>
      </c>
      <c r="G11" t="s">
        <v>31</v>
      </c>
      <c r="H11" t="s">
        <v>32</v>
      </c>
      <c r="I11">
        <v>71.5</v>
      </c>
      <c r="J11" s="2">
        <v>10</v>
      </c>
    </row>
    <row r="12" spans="1:21" x14ac:dyDescent="0.35">
      <c r="A12" s="2">
        <v>10</v>
      </c>
      <c r="B12" t="s">
        <v>33</v>
      </c>
      <c r="C12" t="s">
        <v>34</v>
      </c>
      <c r="D12" s="3">
        <v>72.06</v>
      </c>
      <c r="E12" t="s">
        <v>30</v>
      </c>
      <c r="F12" s="2">
        <v>99</v>
      </c>
      <c r="G12" t="s">
        <v>35</v>
      </c>
      <c r="H12" t="s">
        <v>36</v>
      </c>
      <c r="I12">
        <v>72.5</v>
      </c>
      <c r="J12" s="3">
        <v>7.59</v>
      </c>
    </row>
    <row r="13" spans="1:21" x14ac:dyDescent="0.35">
      <c r="A13" s="2">
        <v>11</v>
      </c>
      <c r="B13" t="s">
        <v>37</v>
      </c>
      <c r="C13" t="s">
        <v>38</v>
      </c>
      <c r="D13" s="2">
        <v>88</v>
      </c>
      <c r="E13" t="s">
        <v>30</v>
      </c>
      <c r="F13" s="2">
        <v>99</v>
      </c>
      <c r="G13" t="s">
        <v>39</v>
      </c>
      <c r="H13" t="s">
        <v>40</v>
      </c>
      <c r="I13" s="3">
        <v>37.83</v>
      </c>
      <c r="J13" s="3">
        <v>4.78</v>
      </c>
    </row>
    <row r="14" spans="1:21" x14ac:dyDescent="0.35">
      <c r="A14" s="2">
        <v>12</v>
      </c>
      <c r="B14" t="s">
        <v>41</v>
      </c>
      <c r="C14" t="s">
        <v>42</v>
      </c>
      <c r="D14" s="3">
        <v>80.78</v>
      </c>
      <c r="E14" t="s">
        <v>30</v>
      </c>
      <c r="F14" s="2">
        <v>99</v>
      </c>
      <c r="G14" t="s">
        <v>43</v>
      </c>
      <c r="H14" t="s">
        <v>44</v>
      </c>
      <c r="I14">
        <v>69.5</v>
      </c>
      <c r="J14" s="3">
        <v>8.09</v>
      </c>
      <c r="L14" s="10"/>
    </row>
    <row r="15" spans="1:21" x14ac:dyDescent="0.35">
      <c r="A15" s="2">
        <v>13</v>
      </c>
      <c r="B15" t="s">
        <v>157</v>
      </c>
      <c r="C15" t="s">
        <v>158</v>
      </c>
      <c r="D15" s="2">
        <v>99</v>
      </c>
      <c r="E15" t="s">
        <v>47</v>
      </c>
      <c r="F15" s="2">
        <v>99</v>
      </c>
      <c r="G15" t="s">
        <v>159</v>
      </c>
      <c r="H15" t="s">
        <v>160</v>
      </c>
      <c r="I15" s="3">
        <v>33.17</v>
      </c>
      <c r="J15" s="3">
        <v>4.68</v>
      </c>
    </row>
    <row r="16" spans="1:21" x14ac:dyDescent="0.35">
      <c r="A16" s="2">
        <v>14</v>
      </c>
      <c r="B16" t="s">
        <v>45</v>
      </c>
      <c r="C16" t="s">
        <v>46</v>
      </c>
      <c r="D16">
        <v>79.099999999999994</v>
      </c>
      <c r="E16" t="s">
        <v>47</v>
      </c>
      <c r="F16" s="2">
        <v>99</v>
      </c>
      <c r="G16" t="s">
        <v>48</v>
      </c>
      <c r="H16" t="s">
        <v>49</v>
      </c>
      <c r="I16" s="2">
        <v>76</v>
      </c>
      <c r="J16" s="3">
        <v>8.68</v>
      </c>
    </row>
    <row r="17" spans="1:10" x14ac:dyDescent="0.35">
      <c r="A17" s="2">
        <v>15</v>
      </c>
      <c r="B17" t="s">
        <v>50</v>
      </c>
      <c r="C17" t="s">
        <v>51</v>
      </c>
      <c r="D17" s="3">
        <v>69.98</v>
      </c>
      <c r="E17" t="s">
        <v>47</v>
      </c>
      <c r="F17" s="2">
        <v>99</v>
      </c>
      <c r="G17" t="s">
        <v>52</v>
      </c>
      <c r="H17" t="s">
        <v>53</v>
      </c>
      <c r="I17" s="3">
        <v>20.67</v>
      </c>
      <c r="J17">
        <v>2.1</v>
      </c>
    </row>
    <row r="18" spans="1:10" x14ac:dyDescent="0.35">
      <c r="A18" s="2">
        <v>16</v>
      </c>
      <c r="B18" t="s">
        <v>170</v>
      </c>
      <c r="C18" t="s">
        <v>117</v>
      </c>
      <c r="D18" s="2">
        <v>90</v>
      </c>
      <c r="E18" t="s">
        <v>56</v>
      </c>
      <c r="F18" s="2">
        <v>99</v>
      </c>
      <c r="G18" t="s">
        <v>171</v>
      </c>
      <c r="H18" t="s">
        <v>172</v>
      </c>
      <c r="I18" s="3">
        <v>24.83</v>
      </c>
      <c r="J18">
        <v>3.2</v>
      </c>
    </row>
    <row r="19" spans="1:10" x14ac:dyDescent="0.35">
      <c r="A19" s="2">
        <v>17</v>
      </c>
      <c r="B19" t="s">
        <v>54</v>
      </c>
      <c r="C19" t="s">
        <v>55</v>
      </c>
      <c r="D19">
        <v>109.9</v>
      </c>
      <c r="E19" t="s">
        <v>56</v>
      </c>
      <c r="F19" s="2">
        <v>99</v>
      </c>
      <c r="G19" t="s">
        <v>57</v>
      </c>
      <c r="H19" t="s">
        <v>58</v>
      </c>
      <c r="I19" s="3">
        <v>31.18</v>
      </c>
      <c r="J19" s="3">
        <v>4.8600000000000003</v>
      </c>
    </row>
    <row r="20" spans="1:10" x14ac:dyDescent="0.35">
      <c r="A20" s="2">
        <v>18</v>
      </c>
      <c r="B20" t="s">
        <v>59</v>
      </c>
      <c r="C20" t="s">
        <v>60</v>
      </c>
      <c r="D20" s="2">
        <v>123</v>
      </c>
      <c r="E20" t="s">
        <v>56</v>
      </c>
      <c r="F20" s="2">
        <v>99</v>
      </c>
      <c r="G20" t="s">
        <v>61</v>
      </c>
      <c r="H20" t="s">
        <v>62</v>
      </c>
      <c r="I20" s="3">
        <v>37.17</v>
      </c>
      <c r="J20" s="3">
        <v>6.46</v>
      </c>
    </row>
    <row r="21" spans="1:10" x14ac:dyDescent="0.35">
      <c r="A21" s="2">
        <v>19</v>
      </c>
      <c r="B21" t="s">
        <v>177</v>
      </c>
      <c r="C21" t="s">
        <v>178</v>
      </c>
      <c r="D21" s="3">
        <v>81.02</v>
      </c>
      <c r="E21" t="s">
        <v>65</v>
      </c>
      <c r="F21" s="2">
        <v>100</v>
      </c>
      <c r="G21" t="s">
        <v>179</v>
      </c>
      <c r="H21" t="s">
        <v>180</v>
      </c>
      <c r="I21" s="3">
        <v>55.17</v>
      </c>
      <c r="J21" s="3">
        <v>6.38</v>
      </c>
    </row>
    <row r="22" spans="1:10" x14ac:dyDescent="0.35">
      <c r="A22" s="2">
        <v>20</v>
      </c>
      <c r="B22" t="s">
        <v>166</v>
      </c>
      <c r="C22" t="s">
        <v>167</v>
      </c>
      <c r="D22">
        <v>95.3</v>
      </c>
      <c r="E22" t="s">
        <v>65</v>
      </c>
      <c r="F22" s="2">
        <v>100</v>
      </c>
      <c r="G22" t="s">
        <v>168</v>
      </c>
      <c r="H22" t="s">
        <v>169</v>
      </c>
      <c r="I22" s="3">
        <v>154.75</v>
      </c>
      <c r="J22" s="3">
        <v>20.86</v>
      </c>
    </row>
    <row r="23" spans="1:10" x14ac:dyDescent="0.35">
      <c r="A23" s="2">
        <v>21</v>
      </c>
      <c r="B23" t="s">
        <v>193</v>
      </c>
      <c r="C23" t="s">
        <v>34</v>
      </c>
      <c r="D23" s="3">
        <v>72.06</v>
      </c>
      <c r="E23" t="s">
        <v>65</v>
      </c>
      <c r="F23" s="2">
        <v>100</v>
      </c>
      <c r="G23" t="s">
        <v>194</v>
      </c>
      <c r="H23" t="s">
        <v>195</v>
      </c>
      <c r="I23" s="3">
        <v>55.83</v>
      </c>
      <c r="J23" s="3">
        <v>5.78</v>
      </c>
    </row>
    <row r="24" spans="1:10" x14ac:dyDescent="0.35">
      <c r="A24" s="2">
        <v>22</v>
      </c>
      <c r="B24" t="s">
        <v>63</v>
      </c>
      <c r="C24" t="s">
        <v>64</v>
      </c>
      <c r="D24" s="2">
        <v>72</v>
      </c>
      <c r="E24" t="s">
        <v>65</v>
      </c>
      <c r="F24" s="2">
        <v>100</v>
      </c>
      <c r="G24" t="s">
        <v>66</v>
      </c>
      <c r="H24" t="s">
        <v>67</v>
      </c>
      <c r="I24" s="3">
        <v>164.33</v>
      </c>
      <c r="J24" s="3">
        <v>17.010000000000002</v>
      </c>
    </row>
    <row r="25" spans="1:10" x14ac:dyDescent="0.35">
      <c r="A25" s="2">
        <v>23</v>
      </c>
      <c r="B25" t="s">
        <v>68</v>
      </c>
      <c r="C25" t="s">
        <v>69</v>
      </c>
      <c r="D25">
        <v>82.5</v>
      </c>
      <c r="E25" t="s">
        <v>70</v>
      </c>
      <c r="F25" s="2">
        <v>149</v>
      </c>
      <c r="G25" t="s">
        <v>71</v>
      </c>
      <c r="H25" t="s">
        <v>72</v>
      </c>
      <c r="I25" s="3">
        <v>20.58</v>
      </c>
      <c r="J25" s="3">
        <v>1.62</v>
      </c>
    </row>
    <row r="26" spans="1:10" x14ac:dyDescent="0.35">
      <c r="A26" s="2">
        <v>24</v>
      </c>
      <c r="B26" t="s">
        <v>196</v>
      </c>
      <c r="C26" t="s">
        <v>69</v>
      </c>
      <c r="D26">
        <v>82.5</v>
      </c>
      <c r="E26" t="s">
        <v>70</v>
      </c>
      <c r="F26" s="2">
        <v>149</v>
      </c>
      <c r="G26" t="s">
        <v>197</v>
      </c>
      <c r="H26" t="s">
        <v>198</v>
      </c>
      <c r="I26" s="3">
        <v>21.67</v>
      </c>
      <c r="J26" s="3">
        <v>1.71</v>
      </c>
    </row>
    <row r="27" spans="1:10" x14ac:dyDescent="0.35">
      <c r="A27" s="2">
        <v>25</v>
      </c>
      <c r="B27" t="s">
        <v>73</v>
      </c>
      <c r="C27" t="s">
        <v>74</v>
      </c>
      <c r="D27" s="3">
        <v>87.78</v>
      </c>
      <c r="E27" t="s">
        <v>70</v>
      </c>
      <c r="F27" s="2">
        <v>149</v>
      </c>
      <c r="G27" t="s">
        <v>75</v>
      </c>
      <c r="H27" t="s">
        <v>76</v>
      </c>
      <c r="I27" s="3">
        <v>90.92</v>
      </c>
      <c r="J27" s="3">
        <v>7.61</v>
      </c>
    </row>
    <row r="28" spans="1:10" x14ac:dyDescent="0.35">
      <c r="A28" s="2">
        <v>26</v>
      </c>
      <c r="B28" t="s">
        <v>77</v>
      </c>
      <c r="C28" t="s">
        <v>78</v>
      </c>
      <c r="D28" s="3">
        <v>87.78</v>
      </c>
      <c r="E28" t="s">
        <v>70</v>
      </c>
      <c r="F28" s="2">
        <v>149</v>
      </c>
      <c r="G28" t="s">
        <v>79</v>
      </c>
      <c r="H28" t="s">
        <v>80</v>
      </c>
      <c r="I28" s="3">
        <v>61.17</v>
      </c>
      <c r="J28" s="3">
        <v>5.12</v>
      </c>
    </row>
    <row r="29" spans="1:10" x14ac:dyDescent="0.35">
      <c r="A29" s="2">
        <v>27</v>
      </c>
      <c r="B29" t="s">
        <v>81</v>
      </c>
      <c r="C29" t="s">
        <v>82</v>
      </c>
      <c r="D29" s="2">
        <v>92</v>
      </c>
      <c r="E29" t="s">
        <v>70</v>
      </c>
      <c r="F29" s="2">
        <v>149</v>
      </c>
      <c r="G29" t="s">
        <v>83</v>
      </c>
      <c r="H29" t="s">
        <v>84</v>
      </c>
      <c r="I29" s="2">
        <v>29</v>
      </c>
      <c r="J29" s="3">
        <v>2.54</v>
      </c>
    </row>
    <row r="30" spans="1:10" x14ac:dyDescent="0.35">
      <c r="A30" s="2">
        <v>28</v>
      </c>
      <c r="B30" t="s">
        <v>85</v>
      </c>
      <c r="C30" t="s">
        <v>86</v>
      </c>
      <c r="D30" s="3">
        <v>96.56</v>
      </c>
      <c r="E30" t="s">
        <v>70</v>
      </c>
      <c r="F30" s="2">
        <v>149</v>
      </c>
      <c r="G30" t="s">
        <v>87</v>
      </c>
      <c r="H30" t="s">
        <v>88</v>
      </c>
      <c r="I30" s="3">
        <v>73.08</v>
      </c>
      <c r="J30">
        <v>6.7</v>
      </c>
    </row>
    <row r="31" spans="1:10" x14ac:dyDescent="0.35">
      <c r="A31" s="2">
        <v>29</v>
      </c>
      <c r="B31" t="s">
        <v>89</v>
      </c>
      <c r="C31" t="s">
        <v>69</v>
      </c>
      <c r="D31">
        <v>82.5</v>
      </c>
      <c r="E31" t="s">
        <v>70</v>
      </c>
      <c r="F31" s="2">
        <v>149</v>
      </c>
      <c r="G31" t="s">
        <v>90</v>
      </c>
      <c r="H31" t="s">
        <v>91</v>
      </c>
      <c r="I31" s="3">
        <v>23.08</v>
      </c>
      <c r="J31" s="3">
        <v>1.82</v>
      </c>
    </row>
    <row r="32" spans="1:10" x14ac:dyDescent="0.35">
      <c r="A32" s="2">
        <v>30</v>
      </c>
      <c r="B32" t="s">
        <v>173</v>
      </c>
      <c r="C32" t="s">
        <v>174</v>
      </c>
      <c r="D32">
        <v>124.7</v>
      </c>
      <c r="E32" t="s">
        <v>94</v>
      </c>
      <c r="F32" s="2">
        <v>149</v>
      </c>
      <c r="G32" t="s">
        <v>175</v>
      </c>
      <c r="H32" t="s">
        <v>176</v>
      </c>
      <c r="I32" s="3">
        <v>19.079999999999998</v>
      </c>
      <c r="J32" s="3">
        <v>2.23</v>
      </c>
    </row>
    <row r="33" spans="1:10" x14ac:dyDescent="0.35">
      <c r="A33" s="2">
        <v>31</v>
      </c>
      <c r="B33" t="s">
        <v>92</v>
      </c>
      <c r="C33" t="s">
        <v>93</v>
      </c>
      <c r="D33" s="3">
        <v>109.75</v>
      </c>
      <c r="E33" t="s">
        <v>94</v>
      </c>
      <c r="F33" s="2">
        <v>149</v>
      </c>
      <c r="G33" t="s">
        <v>95</v>
      </c>
      <c r="H33" t="s">
        <v>96</v>
      </c>
      <c r="I33" s="3">
        <v>23.67</v>
      </c>
      <c r="J33" s="3">
        <v>2.4500000000000002</v>
      </c>
    </row>
    <row r="34" spans="1:10" x14ac:dyDescent="0.35">
      <c r="A34" s="2">
        <v>32</v>
      </c>
      <c r="B34" t="s">
        <v>97</v>
      </c>
      <c r="C34" t="s">
        <v>98</v>
      </c>
      <c r="D34" s="3">
        <v>114.13</v>
      </c>
      <c r="E34" t="s">
        <v>94</v>
      </c>
      <c r="F34" s="2">
        <v>149</v>
      </c>
      <c r="G34" t="s">
        <v>99</v>
      </c>
      <c r="H34" t="s">
        <v>100</v>
      </c>
      <c r="I34">
        <v>31.2</v>
      </c>
      <c r="J34" s="3">
        <v>3.35</v>
      </c>
    </row>
    <row r="35" spans="1:10" x14ac:dyDescent="0.35">
      <c r="A35" s="2">
        <v>33</v>
      </c>
      <c r="B35" t="s">
        <v>163</v>
      </c>
      <c r="C35" t="s">
        <v>60</v>
      </c>
      <c r="D35" s="2">
        <v>123</v>
      </c>
      <c r="E35" t="s">
        <v>94</v>
      </c>
      <c r="F35" s="2">
        <v>149</v>
      </c>
      <c r="G35" t="s">
        <v>164</v>
      </c>
      <c r="H35" t="s">
        <v>165</v>
      </c>
      <c r="I35">
        <v>37.5</v>
      </c>
      <c r="J35" s="3">
        <v>4.33</v>
      </c>
    </row>
    <row r="36" spans="1:10" x14ac:dyDescent="0.35">
      <c r="A36" s="2">
        <v>34</v>
      </c>
      <c r="B36" t="s">
        <v>154</v>
      </c>
      <c r="C36" t="s">
        <v>125</v>
      </c>
      <c r="D36" s="3">
        <v>105.69</v>
      </c>
      <c r="E36" t="s">
        <v>94</v>
      </c>
      <c r="F36" s="2">
        <v>149</v>
      </c>
      <c r="G36" t="s">
        <v>155</v>
      </c>
      <c r="H36" t="s">
        <v>156</v>
      </c>
      <c r="I36">
        <v>29.5</v>
      </c>
      <c r="J36" s="3">
        <v>2.95</v>
      </c>
    </row>
    <row r="37" spans="1:10" x14ac:dyDescent="0.35">
      <c r="A37" s="2">
        <v>35</v>
      </c>
      <c r="B37" t="s">
        <v>199</v>
      </c>
      <c r="C37" t="s">
        <v>93</v>
      </c>
      <c r="D37" s="3">
        <v>109.75</v>
      </c>
      <c r="E37" t="s">
        <v>94</v>
      </c>
      <c r="F37" s="2">
        <v>149</v>
      </c>
      <c r="G37" t="s">
        <v>200</v>
      </c>
      <c r="H37" t="s">
        <v>201</v>
      </c>
      <c r="I37" s="3">
        <v>34.08</v>
      </c>
      <c r="J37" s="3">
        <v>3.53</v>
      </c>
    </row>
    <row r="38" spans="1:10" x14ac:dyDescent="0.35">
      <c r="A38" s="2">
        <v>36</v>
      </c>
      <c r="B38" t="s">
        <v>151</v>
      </c>
      <c r="C38" t="s">
        <v>133</v>
      </c>
      <c r="D38">
        <v>113.2</v>
      </c>
      <c r="E38" t="s">
        <v>94</v>
      </c>
      <c r="F38" s="2">
        <v>149</v>
      </c>
      <c r="G38" t="s">
        <v>152</v>
      </c>
      <c r="H38" t="s">
        <v>153</v>
      </c>
      <c r="I38" s="3">
        <v>67.83</v>
      </c>
      <c r="J38" s="3">
        <v>7.23</v>
      </c>
    </row>
    <row r="39" spans="1:10" x14ac:dyDescent="0.35">
      <c r="A39" s="2">
        <v>37</v>
      </c>
      <c r="B39" t="s">
        <v>101</v>
      </c>
      <c r="C39" t="s">
        <v>102</v>
      </c>
      <c r="D39">
        <v>113.2</v>
      </c>
      <c r="E39" t="s">
        <v>94</v>
      </c>
      <c r="F39" s="2">
        <v>149</v>
      </c>
      <c r="G39" t="s">
        <v>103</v>
      </c>
      <c r="H39" t="s">
        <v>104</v>
      </c>
      <c r="I39" s="3">
        <v>31.42</v>
      </c>
      <c r="J39" s="3">
        <v>3.35</v>
      </c>
    </row>
    <row r="40" spans="1:10" x14ac:dyDescent="0.35">
      <c r="A40" s="2">
        <v>38</v>
      </c>
      <c r="B40" t="s">
        <v>105</v>
      </c>
      <c r="C40" t="s">
        <v>106</v>
      </c>
      <c r="D40">
        <v>109.9</v>
      </c>
      <c r="E40" t="s">
        <v>94</v>
      </c>
      <c r="F40" s="2">
        <v>149</v>
      </c>
      <c r="G40" t="s">
        <v>107</v>
      </c>
      <c r="H40" t="s">
        <v>108</v>
      </c>
      <c r="I40" s="3">
        <v>34.67</v>
      </c>
      <c r="J40" s="3">
        <v>3.59</v>
      </c>
    </row>
    <row r="41" spans="1:10" x14ac:dyDescent="0.35">
      <c r="A41" s="2">
        <v>39</v>
      </c>
      <c r="B41" t="s">
        <v>109</v>
      </c>
      <c r="C41" t="s">
        <v>110</v>
      </c>
      <c r="D41">
        <v>93.2</v>
      </c>
      <c r="E41" t="s">
        <v>94</v>
      </c>
      <c r="F41" s="2">
        <v>149</v>
      </c>
      <c r="G41" t="s">
        <v>111</v>
      </c>
      <c r="H41" t="s">
        <v>112</v>
      </c>
      <c r="I41" s="3">
        <v>20.170000000000002</v>
      </c>
      <c r="J41" s="3">
        <v>1.79</v>
      </c>
    </row>
    <row r="42" spans="1:10" x14ac:dyDescent="0.35">
      <c r="A42" s="2">
        <v>40</v>
      </c>
      <c r="B42" t="s">
        <v>113</v>
      </c>
      <c r="C42" t="s">
        <v>93</v>
      </c>
      <c r="D42" s="3">
        <v>109.75</v>
      </c>
      <c r="E42" t="s">
        <v>94</v>
      </c>
      <c r="F42" s="2">
        <v>149</v>
      </c>
      <c r="G42" t="s">
        <v>114</v>
      </c>
      <c r="H42" t="s">
        <v>115</v>
      </c>
      <c r="I42" s="2">
        <v>29</v>
      </c>
      <c r="J42" s="2">
        <v>3</v>
      </c>
    </row>
    <row r="43" spans="1:10" x14ac:dyDescent="0.35">
      <c r="A43" s="2">
        <v>41</v>
      </c>
      <c r="B43" t="s">
        <v>116</v>
      </c>
      <c r="C43" t="s">
        <v>117</v>
      </c>
      <c r="D43" s="2">
        <v>90</v>
      </c>
      <c r="E43" t="s">
        <v>94</v>
      </c>
      <c r="F43" s="2">
        <v>149</v>
      </c>
      <c r="G43" t="s">
        <v>118</v>
      </c>
      <c r="H43" t="s">
        <v>119</v>
      </c>
      <c r="I43">
        <v>18.3</v>
      </c>
      <c r="J43" s="3">
        <v>1.57</v>
      </c>
    </row>
    <row r="44" spans="1:10" x14ac:dyDescent="0.35">
      <c r="A44" s="2"/>
      <c r="B44" t="s">
        <v>120</v>
      </c>
      <c r="C44" t="s">
        <v>121</v>
      </c>
      <c r="D44" s="2">
        <v>109</v>
      </c>
      <c r="E44" t="s">
        <v>94</v>
      </c>
      <c r="F44" s="2">
        <v>149</v>
      </c>
      <c r="G44" t="s">
        <v>122</v>
      </c>
      <c r="H44" t="s">
        <v>123</v>
      </c>
      <c r="I44" s="3">
        <v>29.67</v>
      </c>
      <c r="J44" s="3">
        <v>3.05</v>
      </c>
    </row>
    <row r="45" spans="1:10" x14ac:dyDescent="0.35">
      <c r="A45" s="2"/>
      <c r="B45" t="s">
        <v>124</v>
      </c>
      <c r="C45" t="s">
        <v>125</v>
      </c>
      <c r="D45" s="3">
        <v>105.69</v>
      </c>
      <c r="E45" t="s">
        <v>94</v>
      </c>
      <c r="F45" s="2">
        <v>149</v>
      </c>
      <c r="G45" t="s">
        <v>126</v>
      </c>
      <c r="H45" t="s">
        <v>127</v>
      </c>
      <c r="I45" s="3">
        <v>24.17</v>
      </c>
      <c r="J45" s="3">
        <v>2.41</v>
      </c>
    </row>
    <row r="46" spans="1:10" x14ac:dyDescent="0.35">
      <c r="A46" s="2"/>
      <c r="B46" t="s">
        <v>128</v>
      </c>
      <c r="C46" t="s">
        <v>129</v>
      </c>
      <c r="D46">
        <v>114.8</v>
      </c>
      <c r="E46" t="s">
        <v>94</v>
      </c>
      <c r="F46" s="2">
        <v>149</v>
      </c>
      <c r="G46" t="s">
        <v>130</v>
      </c>
      <c r="H46" t="s">
        <v>131</v>
      </c>
      <c r="I46" s="3">
        <v>52.58</v>
      </c>
      <c r="J46" s="3">
        <v>5.68</v>
      </c>
    </row>
    <row r="47" spans="1:10" x14ac:dyDescent="0.35">
      <c r="A47" s="2"/>
      <c r="B47" t="s">
        <v>132</v>
      </c>
      <c r="C47" t="s">
        <v>133</v>
      </c>
      <c r="D47">
        <v>113.2</v>
      </c>
      <c r="E47" t="s">
        <v>94</v>
      </c>
      <c r="F47" s="2">
        <v>149</v>
      </c>
      <c r="G47" t="s">
        <v>134</v>
      </c>
      <c r="H47" t="s">
        <v>135</v>
      </c>
      <c r="I47" s="3">
        <v>35.08</v>
      </c>
      <c r="J47" s="3">
        <v>3.74</v>
      </c>
    </row>
    <row r="48" spans="1:10" x14ac:dyDescent="0.35">
      <c r="A48" s="2"/>
      <c r="B48" t="s">
        <v>202</v>
      </c>
      <c r="C48" t="s">
        <v>137</v>
      </c>
      <c r="D48" s="3">
        <f>179.28/2</f>
        <v>89.64</v>
      </c>
      <c r="E48" s="12" t="s">
        <v>47</v>
      </c>
      <c r="F48" s="2">
        <v>99</v>
      </c>
      <c r="G48" t="s">
        <v>203</v>
      </c>
      <c r="H48" t="s">
        <v>204</v>
      </c>
      <c r="I48" s="3">
        <v>92.38</v>
      </c>
      <c r="J48" s="13">
        <f>((Table13[[#This Row],[LOA]]+5)*Table13[[#This Row],[Waktu Sandar (jam)]])/(Table13[[#This Row],[Panjang Kade]]*24*$L$1)*100</f>
        <v>11.869831649831648</v>
      </c>
    </row>
    <row r="49" spans="1:10" x14ac:dyDescent="0.35">
      <c r="A49" s="11"/>
      <c r="B49" t="s">
        <v>202</v>
      </c>
      <c r="C49" t="s">
        <v>137</v>
      </c>
      <c r="D49" s="3">
        <f>179.28/2</f>
        <v>89.64</v>
      </c>
      <c r="E49" s="12" t="s">
        <v>56</v>
      </c>
      <c r="F49" s="2">
        <v>99</v>
      </c>
      <c r="G49" t="s">
        <v>203</v>
      </c>
      <c r="H49" t="s">
        <v>204</v>
      </c>
      <c r="I49" s="3">
        <v>92.38</v>
      </c>
      <c r="J49" s="13">
        <f>((Table13[[#This Row],[LOA]]+5)*Table13[[#This Row],[Waktu Sandar (jam)]])/(Table13[[#This Row],[Panjang Kade]]*24*$L$1)*100</f>
        <v>11.869831649831648</v>
      </c>
    </row>
    <row r="50" spans="1:10" x14ac:dyDescent="0.35">
      <c r="A50" s="2"/>
      <c r="B50" t="s">
        <v>136</v>
      </c>
      <c r="C50" t="s">
        <v>137</v>
      </c>
      <c r="D50" s="3">
        <f>179.28/2</f>
        <v>89.64</v>
      </c>
      <c r="E50" s="12" t="s">
        <v>47</v>
      </c>
      <c r="F50" s="2">
        <v>99</v>
      </c>
      <c r="G50" t="s">
        <v>139</v>
      </c>
      <c r="H50" t="s">
        <v>140</v>
      </c>
      <c r="I50" s="3">
        <v>111.83</v>
      </c>
      <c r="J50" s="13">
        <f>((Table13[[#This Row],[LOA]]+5)*Table13[[#This Row],[Waktu Sandar (jam)]])/(Table13[[#This Row],[Panjang Kade]]*24*$L$1)*100</f>
        <v>14.368946453785163</v>
      </c>
    </row>
    <row r="51" spans="1:10" x14ac:dyDescent="0.35">
      <c r="A51" s="11"/>
      <c r="B51" t="s">
        <v>136</v>
      </c>
      <c r="C51" t="s">
        <v>137</v>
      </c>
      <c r="D51" s="3">
        <f>179.28/2</f>
        <v>89.64</v>
      </c>
      <c r="E51" s="12" t="s">
        <v>56</v>
      </c>
      <c r="F51" s="2">
        <v>99</v>
      </c>
      <c r="G51" t="s">
        <v>139</v>
      </c>
      <c r="H51" t="s">
        <v>140</v>
      </c>
      <c r="I51" s="3">
        <v>111.83</v>
      </c>
      <c r="J51" s="13">
        <f>((Table13[[#This Row],[LOA]]+5)*Table13[[#This Row],[Waktu Sandar (jam)]])/(Table13[[#This Row],[Panjang Kade]]*24*$L$1)*100</f>
        <v>14.368946453785163</v>
      </c>
    </row>
    <row r="52" spans="1:10" x14ac:dyDescent="0.35">
      <c r="A52" s="2"/>
      <c r="B52" t="s">
        <v>141</v>
      </c>
      <c r="C52" t="s">
        <v>142</v>
      </c>
      <c r="D52" s="2">
        <f>189/2</f>
        <v>94.5</v>
      </c>
      <c r="E52" s="12" t="s">
        <v>47</v>
      </c>
      <c r="F52" s="2">
        <v>99</v>
      </c>
      <c r="G52" t="s">
        <v>143</v>
      </c>
      <c r="H52" t="s">
        <v>144</v>
      </c>
      <c r="I52">
        <v>95.5</v>
      </c>
      <c r="J52" s="13">
        <f>((Table13[[#This Row],[LOA]]+5)*Table13[[#This Row],[Waktu Sandar (jam)]])/(Table13[[#This Row],[Panjang Kade]]*24*$L$1)*100</f>
        <v>12.90084989681764</v>
      </c>
    </row>
    <row r="53" spans="1:10" x14ac:dyDescent="0.35">
      <c r="A53" s="2"/>
      <c r="B53" t="s">
        <v>141</v>
      </c>
      <c r="C53" t="s">
        <v>142</v>
      </c>
      <c r="D53" s="2">
        <f>189/2</f>
        <v>94.5</v>
      </c>
      <c r="E53" s="12" t="s">
        <v>56</v>
      </c>
      <c r="F53" s="2">
        <v>99</v>
      </c>
      <c r="G53" t="s">
        <v>143</v>
      </c>
      <c r="H53" t="s">
        <v>144</v>
      </c>
      <c r="I53">
        <v>95.5</v>
      </c>
      <c r="J53" s="13">
        <f>((Table13[[#This Row],[LOA]]+5)*Table13[[#This Row],[Waktu Sandar (jam)]])/(Table13[[#This Row],[Panjang Kade]]*24*$L$1)*100</f>
        <v>12.90084989681764</v>
      </c>
    </row>
    <row r="54" spans="1:10" x14ac:dyDescent="0.35">
      <c r="A54" s="2"/>
      <c r="D54" s="3"/>
      <c r="F54" s="2"/>
    </row>
    <row r="55" spans="1:10" x14ac:dyDescent="0.35">
      <c r="A55" s="2"/>
      <c r="F55" s="2"/>
      <c r="I55" s="3"/>
      <c r="J55" s="3"/>
    </row>
    <row r="56" spans="1:10" x14ac:dyDescent="0.35">
      <c r="A56" s="2"/>
      <c r="F56" s="2"/>
      <c r="I56" s="3"/>
      <c r="J56" s="3"/>
    </row>
    <row r="57" spans="1:10" x14ac:dyDescent="0.35">
      <c r="A57" s="2"/>
      <c r="F57" s="2"/>
      <c r="I57" s="3"/>
      <c r="J57" s="3"/>
    </row>
    <row r="58" spans="1:10" x14ac:dyDescent="0.35">
      <c r="A58" s="2"/>
      <c r="D58" s="3"/>
      <c r="F58" s="2"/>
      <c r="I58" s="2"/>
      <c r="J58" s="3"/>
    </row>
    <row r="59" spans="1:10" x14ac:dyDescent="0.35">
      <c r="A59" s="2"/>
      <c r="D59" s="2"/>
      <c r="F59" s="2"/>
      <c r="J59" s="3"/>
    </row>
    <row r="60" spans="1:10" x14ac:dyDescent="0.35">
      <c r="A60" s="2"/>
      <c r="D60" s="2"/>
      <c r="F60" s="2"/>
      <c r="I60" s="3"/>
      <c r="J60" s="3"/>
    </row>
    <row r="61" spans="1:10" x14ac:dyDescent="0.35">
      <c r="A61" s="2"/>
      <c r="D61" s="3"/>
      <c r="F61" s="2"/>
      <c r="I61" s="3"/>
      <c r="J61" s="3"/>
    </row>
    <row r="62" spans="1:10" x14ac:dyDescent="0.35">
      <c r="A62" s="2"/>
      <c r="F62" s="2"/>
      <c r="I62" s="3"/>
      <c r="J62" s="3"/>
    </row>
    <row r="63" spans="1:10" x14ac:dyDescent="0.35">
      <c r="A63" s="2"/>
      <c r="F63" s="2"/>
      <c r="I63" s="3"/>
    </row>
  </sheetData>
  <mergeCells count="3">
    <mergeCell ref="A1:J1"/>
    <mergeCell ref="N3:N10"/>
    <mergeCell ref="U3:U1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58F6-C3A4-4001-86C3-5B9A7A6D2D0C}">
  <dimension ref="A1:U63"/>
  <sheetViews>
    <sheetView tabSelected="1" topLeftCell="L1" zoomScale="94" workbookViewId="0">
      <selection activeCell="U3" sqref="U3:U10"/>
    </sheetView>
  </sheetViews>
  <sheetFormatPr defaultRowHeight="14.5" x14ac:dyDescent="0.35"/>
  <cols>
    <col min="1" max="1" width="6" customWidth="1"/>
    <col min="2" max="2" width="12.1796875" customWidth="1"/>
    <col min="3" max="3" width="52.6328125" customWidth="1"/>
    <col min="4" max="4" width="8.08984375" customWidth="1"/>
    <col min="5" max="5" width="20.26953125" customWidth="1"/>
    <col min="6" max="6" width="16.1796875" customWidth="1"/>
    <col min="7" max="8" width="21.54296875" customWidth="1"/>
    <col min="9" max="9" width="24.26953125" customWidth="1"/>
    <col min="10" max="10" width="9.453125" customWidth="1"/>
    <col min="11" max="11" width="4.81640625" customWidth="1"/>
    <col min="12" max="12" width="18.08984375" customWidth="1"/>
  </cols>
  <sheetData>
    <row r="1" spans="1:2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L1">
        <v>31</v>
      </c>
    </row>
    <row r="2" spans="1:21" ht="58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L2" s="5" t="s">
        <v>5</v>
      </c>
      <c r="M2" s="5" t="s">
        <v>145</v>
      </c>
      <c r="N2" s="5" t="s">
        <v>146</v>
      </c>
      <c r="O2" s="5" t="s">
        <v>6</v>
      </c>
      <c r="P2" s="5" t="s">
        <v>147</v>
      </c>
      <c r="Q2" s="5" t="s">
        <v>148</v>
      </c>
      <c r="R2" s="5" t="s">
        <v>149</v>
      </c>
      <c r="S2" s="5" t="s">
        <v>150</v>
      </c>
      <c r="T2" s="5" t="s">
        <v>10</v>
      </c>
      <c r="U2" s="5" t="s">
        <v>146</v>
      </c>
    </row>
    <row r="3" spans="1:21" x14ac:dyDescent="0.35">
      <c r="A3" s="2">
        <v>1</v>
      </c>
      <c r="B3" t="s">
        <v>181</v>
      </c>
      <c r="C3" t="s">
        <v>182</v>
      </c>
      <c r="D3" s="3">
        <v>87.78</v>
      </c>
      <c r="E3" t="s">
        <v>13</v>
      </c>
      <c r="F3" s="2">
        <v>100</v>
      </c>
      <c r="G3" t="s">
        <v>183</v>
      </c>
      <c r="H3" t="s">
        <v>184</v>
      </c>
      <c r="I3">
        <v>98.7</v>
      </c>
      <c r="J3" s="3">
        <v>12.31</v>
      </c>
      <c r="L3" s="6" t="s">
        <v>13</v>
      </c>
      <c r="M3" s="7">
        <f>SUMIF(Table1[Kade],L3,Table1[BOR (%)])</f>
        <v>47.239999999999995</v>
      </c>
      <c r="N3" s="16">
        <f>AVERAGE(M3:M9)</f>
        <v>47.47989371440984</v>
      </c>
      <c r="O3" s="6">
        <v>100</v>
      </c>
      <c r="P3" s="8">
        <f>AVERAGEIF(Table134[Kade],L3,Table134[LOA])</f>
        <v>91.036666666666676</v>
      </c>
      <c r="Q3" s="6">
        <f>COUNTIF(Table134[Kade],L3)</f>
        <v>6</v>
      </c>
      <c r="R3" s="8">
        <f>AVERAGEIF(Table134[Kade],L3,Table134[Waktu Sandar (jam)])</f>
        <v>61.518333333333324</v>
      </c>
      <c r="S3" s="9">
        <f>SUMIF(Table134[Kade],L3,Table134[Waktu Sandar (jam)])</f>
        <v>369.10999999999996</v>
      </c>
      <c r="T3" s="7">
        <f>((P3+5)*Q3*R3)/(O3*24*$L$1)*100</f>
        <v>47.645287679211464</v>
      </c>
      <c r="U3" s="16">
        <f>AVERAGE(T3:T9)</f>
        <v>47.405987053138141</v>
      </c>
    </row>
    <row r="4" spans="1:21" x14ac:dyDescent="0.35">
      <c r="A4" s="2">
        <v>2</v>
      </c>
      <c r="B4" t="s">
        <v>185</v>
      </c>
      <c r="C4" t="s">
        <v>186</v>
      </c>
      <c r="D4" s="3">
        <v>91.44</v>
      </c>
      <c r="E4" t="s">
        <v>13</v>
      </c>
      <c r="F4" s="2">
        <v>100</v>
      </c>
      <c r="G4" t="s">
        <v>187</v>
      </c>
      <c r="H4" t="s">
        <v>188</v>
      </c>
      <c r="I4" s="3">
        <v>41.67</v>
      </c>
      <c r="J4">
        <v>5.4</v>
      </c>
      <c r="L4" s="6" t="s">
        <v>30</v>
      </c>
      <c r="M4" s="7">
        <f>SUMIF(Table134[Kade],L4,Table134[BOR (%)])</f>
        <v>45.460000000000008</v>
      </c>
      <c r="N4" s="17"/>
      <c r="O4" s="6">
        <v>99</v>
      </c>
      <c r="P4" s="8">
        <f>AVERAGEIF(Table134[Kade],L4,Table134[LOA])</f>
        <v>87.473333333333343</v>
      </c>
      <c r="Q4" s="6">
        <f>COUNTIF(Table134[Kade],L4)</f>
        <v>6</v>
      </c>
      <c r="R4" s="8">
        <f>AVERAGEIF(Table134[Kade],L4,Table134[Waktu Sandar (jam)])</f>
        <v>60.18</v>
      </c>
      <c r="S4" s="9">
        <f>SUMIF(Table134[Kade],L4,Table134[Waktu Sandar (jam)])</f>
        <v>361.08</v>
      </c>
      <c r="T4" s="7">
        <f t="shared" ref="T4:T9" si="0">((P4+5)*Q4*R4)/(O4*24*$L$1)*100</f>
        <v>45.332724014336925</v>
      </c>
      <c r="U4" s="17"/>
    </row>
    <row r="5" spans="1:21" x14ac:dyDescent="0.35">
      <c r="A5" s="2">
        <v>3</v>
      </c>
      <c r="B5" t="s">
        <v>11</v>
      </c>
      <c r="C5" t="s">
        <v>12</v>
      </c>
      <c r="D5" s="2">
        <v>100</v>
      </c>
      <c r="E5" t="s">
        <v>13</v>
      </c>
      <c r="F5" s="2">
        <v>100</v>
      </c>
      <c r="G5" t="s">
        <v>14</v>
      </c>
      <c r="H5" t="s">
        <v>15</v>
      </c>
      <c r="I5" s="2">
        <v>40</v>
      </c>
      <c r="J5" s="3">
        <v>5.65</v>
      </c>
      <c r="L5" s="6" t="s">
        <v>47</v>
      </c>
      <c r="M5" s="7">
        <f>SUMIF(Table134[Kade],L5,Table134[BOR (%)])</f>
        <v>54.59962800043445</v>
      </c>
      <c r="N5" s="17"/>
      <c r="O5" s="6">
        <v>99</v>
      </c>
      <c r="P5" s="8">
        <f>AVERAGEIF(Table134[Kade],L5,Table134[LOA])</f>
        <v>86.976666666666645</v>
      </c>
      <c r="Q5" s="6">
        <f>COUNTIF(Table134[Kade],L5)</f>
        <v>6</v>
      </c>
      <c r="R5" s="8">
        <f>AVERAGEIF(Table134[Kade],L5,Table134[Waktu Sandar (jam)])</f>
        <v>71.591666666666669</v>
      </c>
      <c r="S5" s="9">
        <f>SUMIF(Table134[Kade],L5,Table134[Waktu Sandar (jam)])</f>
        <v>429.55</v>
      </c>
      <c r="T5" s="7">
        <f t="shared" si="0"/>
        <v>53.639319494225404</v>
      </c>
      <c r="U5" s="17"/>
    </row>
    <row r="6" spans="1:21" x14ac:dyDescent="0.35">
      <c r="A6" s="2">
        <v>4</v>
      </c>
      <c r="B6" t="s">
        <v>16</v>
      </c>
      <c r="C6" t="s">
        <v>17</v>
      </c>
      <c r="D6" s="3">
        <v>91.44</v>
      </c>
      <c r="E6" t="s">
        <v>13</v>
      </c>
      <c r="F6" s="2">
        <v>100</v>
      </c>
      <c r="G6" t="s">
        <v>18</v>
      </c>
      <c r="H6" t="s">
        <v>19</v>
      </c>
      <c r="I6" s="3">
        <v>68.58</v>
      </c>
      <c r="J6" s="3">
        <v>8.89</v>
      </c>
      <c r="L6" s="6" t="s">
        <v>56</v>
      </c>
      <c r="M6" s="7">
        <f>SUMIF(Table134[Kade],L6,Table134[BOR (%)])</f>
        <v>53.659628000434452</v>
      </c>
      <c r="N6" s="17"/>
      <c r="O6" s="6">
        <v>99</v>
      </c>
      <c r="P6" s="8">
        <f>AVERAGEIF(Table134[Kade],L6,Table134[LOA])</f>
        <v>99.446666666666658</v>
      </c>
      <c r="Q6" s="6">
        <f>COUNTIF(Table134[Kade],L6)</f>
        <v>6</v>
      </c>
      <c r="R6" s="8">
        <f>AVERAGEIF(Table134[Kade],L6,Table134[Waktu Sandar (jam)])</f>
        <v>65.481666666666669</v>
      </c>
      <c r="S6" s="9">
        <f>SUMIF(Table134[Kade],L6,Table134[Waktu Sandar (jam)])</f>
        <v>392.89</v>
      </c>
      <c r="T6" s="7">
        <f t="shared" si="0"/>
        <v>55.713113482495203</v>
      </c>
      <c r="U6" s="17"/>
    </row>
    <row r="7" spans="1:21" x14ac:dyDescent="0.35">
      <c r="A7" s="2">
        <v>5</v>
      </c>
      <c r="B7" t="s">
        <v>20</v>
      </c>
      <c r="C7" t="s">
        <v>21</v>
      </c>
      <c r="D7" s="3">
        <v>87.78</v>
      </c>
      <c r="E7" t="s">
        <v>13</v>
      </c>
      <c r="F7" s="2">
        <v>100</v>
      </c>
      <c r="G7" t="s">
        <v>22</v>
      </c>
      <c r="H7" t="s">
        <v>23</v>
      </c>
      <c r="I7" s="3">
        <v>37.33</v>
      </c>
      <c r="J7" s="3">
        <v>4.66</v>
      </c>
      <c r="L7" s="6" t="s">
        <v>65</v>
      </c>
      <c r="M7" s="7">
        <f>SUMIF(Table134[Kade],L7,Table134[BOR (%)])</f>
        <v>50.03</v>
      </c>
      <c r="N7" s="17"/>
      <c r="O7" s="6">
        <v>100</v>
      </c>
      <c r="P7" s="8">
        <f>AVERAGEIF(Table134[Kade],L7,Table134[LOA])</f>
        <v>80.094999999999999</v>
      </c>
      <c r="Q7" s="6">
        <f>COUNTIF(Table134[Kade],L7)</f>
        <v>4</v>
      </c>
      <c r="R7" s="8">
        <f>AVERAGEIF(Table134[Kade],L7,Table134[Waktu Sandar (jam)])</f>
        <v>107.52000000000001</v>
      </c>
      <c r="S7" s="9">
        <f>SUMIF(Table134[Kade],L7,Table134[Waktu Sandar (jam)])</f>
        <v>430.08000000000004</v>
      </c>
      <c r="T7" s="7">
        <f t="shared" si="0"/>
        <v>49.190400000000004</v>
      </c>
      <c r="U7" s="17"/>
    </row>
    <row r="8" spans="1:21" x14ac:dyDescent="0.35">
      <c r="A8" s="2">
        <v>6</v>
      </c>
      <c r="B8" t="s">
        <v>24</v>
      </c>
      <c r="C8" t="s">
        <v>25</v>
      </c>
      <c r="D8" s="3">
        <v>87.78</v>
      </c>
      <c r="E8" t="s">
        <v>13</v>
      </c>
      <c r="F8" s="2">
        <v>100</v>
      </c>
      <c r="G8" t="s">
        <v>26</v>
      </c>
      <c r="H8" t="s">
        <v>27</v>
      </c>
      <c r="I8" s="3">
        <v>82.83</v>
      </c>
      <c r="J8" s="3">
        <v>10.33</v>
      </c>
      <c r="L8" s="6" t="s">
        <v>70</v>
      </c>
      <c r="M8" s="7">
        <f>SUMIF(Table134[Kade],L8,Table134[BOR (%)])</f>
        <v>27.12</v>
      </c>
      <c r="N8" s="17"/>
      <c r="O8" s="6">
        <v>149</v>
      </c>
      <c r="P8" s="8">
        <f>AVERAGEIF(Table134[Kade],L8,Table134[LOA])</f>
        <v>87.374285714285719</v>
      </c>
      <c r="Q8" s="6">
        <f>COUNTIF(Table134[Kade],L8)</f>
        <v>7</v>
      </c>
      <c r="R8" s="8">
        <f>AVERAGEIF(Table134[Kade],L8,Table134[Waktu Sandar (jam)])</f>
        <v>45.642857142857146</v>
      </c>
      <c r="S8" s="9">
        <f>SUMIF(Table134[Kade],L8,Table134[Waktu Sandar (jam)])</f>
        <v>319.5</v>
      </c>
      <c r="T8" s="7">
        <f t="shared" si="0"/>
        <v>26.623353075804907</v>
      </c>
      <c r="U8" s="17"/>
    </row>
    <row r="9" spans="1:21" x14ac:dyDescent="0.35">
      <c r="A9" s="2">
        <v>7</v>
      </c>
      <c r="B9" t="s">
        <v>189</v>
      </c>
      <c r="C9" t="s">
        <v>190</v>
      </c>
      <c r="D9" s="2">
        <v>87</v>
      </c>
      <c r="E9" t="s">
        <v>30</v>
      </c>
      <c r="F9" s="2">
        <v>99</v>
      </c>
      <c r="G9" t="s">
        <v>191</v>
      </c>
      <c r="H9" t="s">
        <v>192</v>
      </c>
      <c r="I9" s="3">
        <v>30.55</v>
      </c>
      <c r="J9" s="3">
        <v>3.82</v>
      </c>
      <c r="L9" s="6" t="s">
        <v>94</v>
      </c>
      <c r="M9" s="7">
        <f>SUMIF(Table134[Kade],L9,Table134[BOR (%)])</f>
        <v>54.25</v>
      </c>
      <c r="N9" s="17"/>
      <c r="O9" s="6">
        <v>149</v>
      </c>
      <c r="P9" s="8">
        <f>AVERAGEIF(Table134[Kade],L9,Table134[LOA])</f>
        <v>109.935</v>
      </c>
      <c r="Q9" s="6">
        <f>COUNTIF(Table134[Kade],L9)</f>
        <v>16</v>
      </c>
      <c r="R9" s="8">
        <f>AVERAGEIF(Table134[Kade],L9,Table134[Waktu Sandar (jam)])</f>
        <v>32.370000000000005</v>
      </c>
      <c r="S9" s="9">
        <f>SUMIF(Table134[Kade],L9,Table134[Waktu Sandar (jam)])</f>
        <v>517.92000000000007</v>
      </c>
      <c r="T9" s="7">
        <f t="shared" si="0"/>
        <v>53.697711625893064</v>
      </c>
      <c r="U9" s="17"/>
    </row>
    <row r="10" spans="1:21" x14ac:dyDescent="0.35">
      <c r="A10" s="2">
        <v>8</v>
      </c>
      <c r="B10" t="s">
        <v>157</v>
      </c>
      <c r="C10" t="s">
        <v>158</v>
      </c>
      <c r="D10" s="2">
        <v>99</v>
      </c>
      <c r="E10" t="s">
        <v>30</v>
      </c>
      <c r="F10" s="2">
        <v>99</v>
      </c>
      <c r="G10" t="s">
        <v>161</v>
      </c>
      <c r="H10" t="s">
        <v>162</v>
      </c>
      <c r="I10">
        <v>79.2</v>
      </c>
      <c r="J10" s="3">
        <v>11.18</v>
      </c>
      <c r="L10" s="4"/>
      <c r="M10" s="7"/>
      <c r="N10" s="17"/>
      <c r="O10" s="6"/>
      <c r="P10" s="8"/>
      <c r="Q10" s="6"/>
      <c r="R10" s="8"/>
      <c r="S10" s="9"/>
      <c r="T10" s="7"/>
      <c r="U10" s="17"/>
    </row>
    <row r="11" spans="1:21" x14ac:dyDescent="0.35">
      <c r="A11" s="2">
        <v>9</v>
      </c>
      <c r="B11" t="s">
        <v>28</v>
      </c>
      <c r="C11" t="s">
        <v>29</v>
      </c>
      <c r="D11" s="2">
        <v>98</v>
      </c>
      <c r="E11" t="s">
        <v>30</v>
      </c>
      <c r="F11" s="2">
        <v>99</v>
      </c>
      <c r="G11" t="s">
        <v>31</v>
      </c>
      <c r="H11" t="s">
        <v>32</v>
      </c>
      <c r="I11">
        <v>71.5</v>
      </c>
      <c r="J11" s="2">
        <v>10</v>
      </c>
    </row>
    <row r="12" spans="1:21" x14ac:dyDescent="0.35">
      <c r="A12" s="2">
        <v>10</v>
      </c>
      <c r="B12" t="s">
        <v>33</v>
      </c>
      <c r="C12" t="s">
        <v>34</v>
      </c>
      <c r="D12" s="3">
        <v>72.06</v>
      </c>
      <c r="E12" t="s">
        <v>30</v>
      </c>
      <c r="F12" s="2">
        <v>99</v>
      </c>
      <c r="G12" t="s">
        <v>35</v>
      </c>
      <c r="H12" t="s">
        <v>36</v>
      </c>
      <c r="I12">
        <v>72.5</v>
      </c>
      <c r="J12" s="3">
        <v>7.59</v>
      </c>
    </row>
    <row r="13" spans="1:21" x14ac:dyDescent="0.35">
      <c r="A13" s="2">
        <v>11</v>
      </c>
      <c r="B13" t="s">
        <v>37</v>
      </c>
      <c r="C13" t="s">
        <v>38</v>
      </c>
      <c r="D13" s="2">
        <v>88</v>
      </c>
      <c r="E13" t="s">
        <v>30</v>
      </c>
      <c r="F13" s="2">
        <v>99</v>
      </c>
      <c r="G13" t="s">
        <v>39</v>
      </c>
      <c r="H13" t="s">
        <v>40</v>
      </c>
      <c r="I13" s="3">
        <v>37.83</v>
      </c>
      <c r="J13" s="3">
        <v>4.78</v>
      </c>
    </row>
    <row r="14" spans="1:21" x14ac:dyDescent="0.35">
      <c r="A14" s="2">
        <v>12</v>
      </c>
      <c r="B14" t="s">
        <v>41</v>
      </c>
      <c r="C14" t="s">
        <v>42</v>
      </c>
      <c r="D14" s="3">
        <v>80.78</v>
      </c>
      <c r="E14" t="s">
        <v>30</v>
      </c>
      <c r="F14" s="2">
        <v>99</v>
      </c>
      <c r="G14" t="s">
        <v>43</v>
      </c>
      <c r="H14" t="s">
        <v>44</v>
      </c>
      <c r="I14">
        <v>69.5</v>
      </c>
      <c r="J14" s="3">
        <v>8.09</v>
      </c>
      <c r="L14" s="10"/>
    </row>
    <row r="15" spans="1:21" x14ac:dyDescent="0.35">
      <c r="A15" s="2">
        <v>13</v>
      </c>
      <c r="B15" t="s">
        <v>157</v>
      </c>
      <c r="C15" t="s">
        <v>158</v>
      </c>
      <c r="D15" s="2">
        <v>99</v>
      </c>
      <c r="E15" t="s">
        <v>47</v>
      </c>
      <c r="F15" s="2">
        <v>99</v>
      </c>
      <c r="G15" t="s">
        <v>159</v>
      </c>
      <c r="H15" t="s">
        <v>160</v>
      </c>
      <c r="I15" s="3">
        <v>33.17</v>
      </c>
      <c r="J15" s="3">
        <v>4.68</v>
      </c>
    </row>
    <row r="16" spans="1:21" x14ac:dyDescent="0.35">
      <c r="A16" s="2">
        <v>14</v>
      </c>
      <c r="B16" t="s">
        <v>45</v>
      </c>
      <c r="C16" t="s">
        <v>46</v>
      </c>
      <c r="D16">
        <v>79.099999999999994</v>
      </c>
      <c r="E16" t="s">
        <v>47</v>
      </c>
      <c r="F16" s="2">
        <v>99</v>
      </c>
      <c r="G16" t="s">
        <v>48</v>
      </c>
      <c r="H16" t="s">
        <v>49</v>
      </c>
      <c r="I16" s="2">
        <v>76</v>
      </c>
      <c r="J16" s="3">
        <v>8.68</v>
      </c>
    </row>
    <row r="17" spans="1:10" x14ac:dyDescent="0.35">
      <c r="A17" s="2">
        <v>15</v>
      </c>
      <c r="B17" t="s">
        <v>50</v>
      </c>
      <c r="C17" t="s">
        <v>51</v>
      </c>
      <c r="D17" s="3">
        <v>69.98</v>
      </c>
      <c r="E17" t="s">
        <v>47</v>
      </c>
      <c r="F17" s="2">
        <v>99</v>
      </c>
      <c r="G17" t="s">
        <v>52</v>
      </c>
      <c r="H17" t="s">
        <v>53</v>
      </c>
      <c r="I17" s="3">
        <v>20.67</v>
      </c>
      <c r="J17">
        <v>2.1</v>
      </c>
    </row>
    <row r="18" spans="1:10" x14ac:dyDescent="0.35">
      <c r="A18" s="2">
        <v>16</v>
      </c>
      <c r="B18" t="s">
        <v>170</v>
      </c>
      <c r="C18" t="s">
        <v>117</v>
      </c>
      <c r="D18" s="2">
        <v>90</v>
      </c>
      <c r="E18" t="s">
        <v>56</v>
      </c>
      <c r="F18" s="2">
        <v>99</v>
      </c>
      <c r="G18" t="s">
        <v>171</v>
      </c>
      <c r="H18" t="s">
        <v>172</v>
      </c>
      <c r="I18" s="3">
        <v>24.83</v>
      </c>
      <c r="J18">
        <v>3.2</v>
      </c>
    </row>
    <row r="19" spans="1:10" x14ac:dyDescent="0.35">
      <c r="A19" s="2">
        <v>17</v>
      </c>
      <c r="B19" t="s">
        <v>54</v>
      </c>
      <c r="C19" t="s">
        <v>55</v>
      </c>
      <c r="D19">
        <v>109.9</v>
      </c>
      <c r="E19" t="s">
        <v>56</v>
      </c>
      <c r="F19" s="2">
        <v>99</v>
      </c>
      <c r="G19" t="s">
        <v>57</v>
      </c>
      <c r="H19" t="s">
        <v>58</v>
      </c>
      <c r="I19" s="3">
        <v>31.18</v>
      </c>
      <c r="J19" s="3">
        <v>4.8600000000000003</v>
      </c>
    </row>
    <row r="20" spans="1:10" x14ac:dyDescent="0.35">
      <c r="A20" s="2">
        <v>18</v>
      </c>
      <c r="B20" t="s">
        <v>59</v>
      </c>
      <c r="C20" t="s">
        <v>60</v>
      </c>
      <c r="D20" s="2">
        <v>123</v>
      </c>
      <c r="E20" t="s">
        <v>56</v>
      </c>
      <c r="F20" s="2">
        <v>99</v>
      </c>
      <c r="G20" t="s">
        <v>61</v>
      </c>
      <c r="H20" t="s">
        <v>62</v>
      </c>
      <c r="I20" s="3">
        <v>37.17</v>
      </c>
      <c r="J20" s="3">
        <v>6.46</v>
      </c>
    </row>
    <row r="21" spans="1:10" x14ac:dyDescent="0.35">
      <c r="A21" s="2">
        <v>19</v>
      </c>
      <c r="B21" t="s">
        <v>177</v>
      </c>
      <c r="C21" t="s">
        <v>178</v>
      </c>
      <c r="D21" s="3">
        <v>81.02</v>
      </c>
      <c r="E21" t="s">
        <v>65</v>
      </c>
      <c r="F21" s="2">
        <v>100</v>
      </c>
      <c r="G21" t="s">
        <v>179</v>
      </c>
      <c r="H21" t="s">
        <v>180</v>
      </c>
      <c r="I21" s="3">
        <v>55.17</v>
      </c>
      <c r="J21" s="3">
        <v>6.38</v>
      </c>
    </row>
    <row r="22" spans="1:10" x14ac:dyDescent="0.35">
      <c r="A22" s="2">
        <v>20</v>
      </c>
      <c r="B22" t="s">
        <v>166</v>
      </c>
      <c r="C22" t="s">
        <v>167</v>
      </c>
      <c r="D22">
        <v>95.3</v>
      </c>
      <c r="E22" t="s">
        <v>65</v>
      </c>
      <c r="F22" s="2">
        <v>100</v>
      </c>
      <c r="G22" t="s">
        <v>168</v>
      </c>
      <c r="H22" t="s">
        <v>169</v>
      </c>
      <c r="I22" s="3">
        <v>154.75</v>
      </c>
      <c r="J22" s="3">
        <v>20.86</v>
      </c>
    </row>
    <row r="23" spans="1:10" x14ac:dyDescent="0.35">
      <c r="A23" s="2">
        <v>21</v>
      </c>
      <c r="B23" t="s">
        <v>193</v>
      </c>
      <c r="C23" t="s">
        <v>34</v>
      </c>
      <c r="D23" s="3">
        <v>72.06</v>
      </c>
      <c r="E23" t="s">
        <v>65</v>
      </c>
      <c r="F23" s="2">
        <v>100</v>
      </c>
      <c r="G23" t="s">
        <v>194</v>
      </c>
      <c r="H23" t="s">
        <v>195</v>
      </c>
      <c r="I23" s="3">
        <v>55.83</v>
      </c>
      <c r="J23" s="3">
        <v>5.78</v>
      </c>
    </row>
    <row r="24" spans="1:10" x14ac:dyDescent="0.35">
      <c r="A24" s="2">
        <v>22</v>
      </c>
      <c r="B24" t="s">
        <v>63</v>
      </c>
      <c r="C24" t="s">
        <v>64</v>
      </c>
      <c r="D24" s="2">
        <v>72</v>
      </c>
      <c r="E24" t="s">
        <v>65</v>
      </c>
      <c r="F24" s="2">
        <v>100</v>
      </c>
      <c r="G24" t="s">
        <v>66</v>
      </c>
      <c r="H24" t="s">
        <v>67</v>
      </c>
      <c r="I24" s="3">
        <v>164.33</v>
      </c>
      <c r="J24" s="3">
        <v>17.010000000000002</v>
      </c>
    </row>
    <row r="25" spans="1:10" x14ac:dyDescent="0.35">
      <c r="A25" s="2">
        <v>23</v>
      </c>
      <c r="B25" t="s">
        <v>68</v>
      </c>
      <c r="C25" t="s">
        <v>69</v>
      </c>
      <c r="D25">
        <v>82.5</v>
      </c>
      <c r="E25" t="s">
        <v>70</v>
      </c>
      <c r="F25" s="2">
        <v>149</v>
      </c>
      <c r="G25" t="s">
        <v>71</v>
      </c>
      <c r="H25" t="s">
        <v>72</v>
      </c>
      <c r="I25" s="3">
        <v>20.58</v>
      </c>
      <c r="J25" s="3">
        <v>1.62</v>
      </c>
    </row>
    <row r="26" spans="1:10" x14ac:dyDescent="0.35">
      <c r="A26" s="2">
        <v>24</v>
      </c>
      <c r="B26" t="s">
        <v>196</v>
      </c>
      <c r="C26" t="s">
        <v>69</v>
      </c>
      <c r="D26">
        <v>82.5</v>
      </c>
      <c r="E26" t="s">
        <v>70</v>
      </c>
      <c r="F26" s="2">
        <v>149</v>
      </c>
      <c r="G26" t="s">
        <v>197</v>
      </c>
      <c r="H26" t="s">
        <v>198</v>
      </c>
      <c r="I26" s="3">
        <v>21.67</v>
      </c>
      <c r="J26" s="3">
        <v>1.71</v>
      </c>
    </row>
    <row r="27" spans="1:10" x14ac:dyDescent="0.35">
      <c r="A27" s="2">
        <v>25</v>
      </c>
      <c r="B27" t="s">
        <v>73</v>
      </c>
      <c r="C27" t="s">
        <v>74</v>
      </c>
      <c r="D27" s="3">
        <v>87.78</v>
      </c>
      <c r="E27" t="s">
        <v>70</v>
      </c>
      <c r="F27" s="2">
        <v>149</v>
      </c>
      <c r="G27" t="s">
        <v>75</v>
      </c>
      <c r="H27" t="s">
        <v>76</v>
      </c>
      <c r="I27" s="3">
        <v>90.92</v>
      </c>
      <c r="J27" s="3">
        <v>7.61</v>
      </c>
    </row>
    <row r="28" spans="1:10" x14ac:dyDescent="0.35">
      <c r="A28" s="2">
        <v>26</v>
      </c>
      <c r="B28" t="s">
        <v>77</v>
      </c>
      <c r="C28" t="s">
        <v>78</v>
      </c>
      <c r="D28" s="3">
        <v>87.78</v>
      </c>
      <c r="E28" t="s">
        <v>70</v>
      </c>
      <c r="F28" s="2">
        <v>149</v>
      </c>
      <c r="G28" t="s">
        <v>79</v>
      </c>
      <c r="H28" t="s">
        <v>80</v>
      </c>
      <c r="I28" s="3">
        <v>61.17</v>
      </c>
      <c r="J28" s="3">
        <v>5.12</v>
      </c>
    </row>
    <row r="29" spans="1:10" x14ac:dyDescent="0.35">
      <c r="A29" s="2">
        <v>27</v>
      </c>
      <c r="B29" t="s">
        <v>81</v>
      </c>
      <c r="C29" t="s">
        <v>82</v>
      </c>
      <c r="D29" s="2">
        <v>92</v>
      </c>
      <c r="E29" t="s">
        <v>70</v>
      </c>
      <c r="F29" s="2">
        <v>149</v>
      </c>
      <c r="G29" t="s">
        <v>83</v>
      </c>
      <c r="H29" t="s">
        <v>84</v>
      </c>
      <c r="I29" s="2">
        <v>29</v>
      </c>
      <c r="J29" s="3">
        <v>2.54</v>
      </c>
    </row>
    <row r="30" spans="1:10" x14ac:dyDescent="0.35">
      <c r="A30" s="2">
        <v>28</v>
      </c>
      <c r="B30" t="s">
        <v>85</v>
      </c>
      <c r="C30" t="s">
        <v>86</v>
      </c>
      <c r="D30" s="3">
        <v>96.56</v>
      </c>
      <c r="E30" t="s">
        <v>70</v>
      </c>
      <c r="F30" s="2">
        <v>149</v>
      </c>
      <c r="G30" t="s">
        <v>87</v>
      </c>
      <c r="H30" t="s">
        <v>88</v>
      </c>
      <c r="I30" s="3">
        <v>73.08</v>
      </c>
      <c r="J30">
        <v>6.7</v>
      </c>
    </row>
    <row r="31" spans="1:10" x14ac:dyDescent="0.35">
      <c r="A31" s="2">
        <v>29</v>
      </c>
      <c r="B31" t="s">
        <v>89</v>
      </c>
      <c r="C31" t="s">
        <v>69</v>
      </c>
      <c r="D31">
        <v>82.5</v>
      </c>
      <c r="E31" t="s">
        <v>70</v>
      </c>
      <c r="F31" s="2">
        <v>149</v>
      </c>
      <c r="G31" t="s">
        <v>90</v>
      </c>
      <c r="H31" t="s">
        <v>91</v>
      </c>
      <c r="I31" s="3">
        <v>23.08</v>
      </c>
      <c r="J31" s="3">
        <v>1.82</v>
      </c>
    </row>
    <row r="32" spans="1:10" x14ac:dyDescent="0.35">
      <c r="A32" s="2">
        <v>30</v>
      </c>
      <c r="B32" t="s">
        <v>173</v>
      </c>
      <c r="C32" t="s">
        <v>174</v>
      </c>
      <c r="D32">
        <v>124.7</v>
      </c>
      <c r="E32" t="s">
        <v>94</v>
      </c>
      <c r="F32" s="2">
        <v>149</v>
      </c>
      <c r="G32" t="s">
        <v>175</v>
      </c>
      <c r="H32" t="s">
        <v>176</v>
      </c>
      <c r="I32" s="3">
        <v>19.079999999999998</v>
      </c>
      <c r="J32" s="3">
        <v>2.23</v>
      </c>
    </row>
    <row r="33" spans="1:10" x14ac:dyDescent="0.35">
      <c r="A33" s="2">
        <v>31</v>
      </c>
      <c r="B33" t="s">
        <v>92</v>
      </c>
      <c r="C33" t="s">
        <v>93</v>
      </c>
      <c r="D33" s="3">
        <v>109.75</v>
      </c>
      <c r="E33" t="s">
        <v>94</v>
      </c>
      <c r="F33" s="2">
        <v>149</v>
      </c>
      <c r="G33" t="s">
        <v>95</v>
      </c>
      <c r="H33" t="s">
        <v>96</v>
      </c>
      <c r="I33" s="3">
        <v>23.67</v>
      </c>
      <c r="J33" s="3">
        <v>2.4500000000000002</v>
      </c>
    </row>
    <row r="34" spans="1:10" x14ac:dyDescent="0.35">
      <c r="A34" s="2">
        <v>32</v>
      </c>
      <c r="B34" t="s">
        <v>97</v>
      </c>
      <c r="C34" t="s">
        <v>98</v>
      </c>
      <c r="D34" s="3">
        <v>114.13</v>
      </c>
      <c r="E34" t="s">
        <v>94</v>
      </c>
      <c r="F34" s="2">
        <v>149</v>
      </c>
      <c r="G34" t="s">
        <v>99</v>
      </c>
      <c r="H34" t="s">
        <v>100</v>
      </c>
      <c r="I34">
        <v>31.2</v>
      </c>
      <c r="J34" s="3">
        <v>3.35</v>
      </c>
    </row>
    <row r="35" spans="1:10" x14ac:dyDescent="0.35">
      <c r="A35" s="2">
        <v>33</v>
      </c>
      <c r="B35" t="s">
        <v>163</v>
      </c>
      <c r="C35" t="s">
        <v>60</v>
      </c>
      <c r="D35" s="2">
        <v>123</v>
      </c>
      <c r="E35" t="s">
        <v>94</v>
      </c>
      <c r="F35" s="2">
        <v>149</v>
      </c>
      <c r="G35" t="s">
        <v>164</v>
      </c>
      <c r="H35" t="s">
        <v>165</v>
      </c>
      <c r="I35">
        <v>37.5</v>
      </c>
      <c r="J35" s="3">
        <v>4.33</v>
      </c>
    </row>
    <row r="36" spans="1:10" x14ac:dyDescent="0.35">
      <c r="A36" s="2">
        <v>34</v>
      </c>
      <c r="B36" t="s">
        <v>154</v>
      </c>
      <c r="C36" t="s">
        <v>125</v>
      </c>
      <c r="D36" s="3">
        <v>105.69</v>
      </c>
      <c r="E36" t="s">
        <v>94</v>
      </c>
      <c r="F36" s="2">
        <v>149</v>
      </c>
      <c r="G36" t="s">
        <v>155</v>
      </c>
      <c r="H36" t="s">
        <v>156</v>
      </c>
      <c r="I36">
        <v>29.5</v>
      </c>
      <c r="J36" s="3">
        <v>2.95</v>
      </c>
    </row>
    <row r="37" spans="1:10" x14ac:dyDescent="0.35">
      <c r="A37" s="2">
        <v>35</v>
      </c>
      <c r="B37" t="s">
        <v>199</v>
      </c>
      <c r="C37" t="s">
        <v>93</v>
      </c>
      <c r="D37" s="3">
        <v>109.75</v>
      </c>
      <c r="E37" t="s">
        <v>94</v>
      </c>
      <c r="F37" s="2">
        <v>149</v>
      </c>
      <c r="G37" t="s">
        <v>200</v>
      </c>
      <c r="H37" t="s">
        <v>201</v>
      </c>
      <c r="I37" s="3">
        <v>34.08</v>
      </c>
      <c r="J37" s="3">
        <v>3.53</v>
      </c>
    </row>
    <row r="38" spans="1:10" x14ac:dyDescent="0.35">
      <c r="A38" s="2">
        <v>36</v>
      </c>
      <c r="B38" t="s">
        <v>151</v>
      </c>
      <c r="C38" t="s">
        <v>133</v>
      </c>
      <c r="D38">
        <v>113.2</v>
      </c>
      <c r="E38" t="s">
        <v>94</v>
      </c>
      <c r="F38" s="2">
        <v>149</v>
      </c>
      <c r="G38" t="s">
        <v>152</v>
      </c>
      <c r="H38" t="s">
        <v>153</v>
      </c>
      <c r="I38" s="3">
        <v>67.83</v>
      </c>
      <c r="J38" s="3">
        <v>7.23</v>
      </c>
    </row>
    <row r="39" spans="1:10" x14ac:dyDescent="0.35">
      <c r="A39" s="2">
        <v>37</v>
      </c>
      <c r="B39" t="s">
        <v>101</v>
      </c>
      <c r="C39" t="s">
        <v>102</v>
      </c>
      <c r="D39">
        <v>113.2</v>
      </c>
      <c r="E39" t="s">
        <v>94</v>
      </c>
      <c r="F39" s="2">
        <v>149</v>
      </c>
      <c r="G39" t="s">
        <v>103</v>
      </c>
      <c r="H39" t="s">
        <v>104</v>
      </c>
      <c r="I39" s="3">
        <v>31.42</v>
      </c>
      <c r="J39" s="3">
        <v>3.35</v>
      </c>
    </row>
    <row r="40" spans="1:10" x14ac:dyDescent="0.35">
      <c r="A40" s="2">
        <v>38</v>
      </c>
      <c r="B40" t="s">
        <v>105</v>
      </c>
      <c r="C40" t="s">
        <v>106</v>
      </c>
      <c r="D40">
        <v>109.9</v>
      </c>
      <c r="E40" t="s">
        <v>94</v>
      </c>
      <c r="F40" s="2">
        <v>149</v>
      </c>
      <c r="G40" t="s">
        <v>107</v>
      </c>
      <c r="H40" t="s">
        <v>108</v>
      </c>
      <c r="I40" s="3">
        <v>34.67</v>
      </c>
      <c r="J40" s="3">
        <v>3.59</v>
      </c>
    </row>
    <row r="41" spans="1:10" x14ac:dyDescent="0.35">
      <c r="A41" s="2">
        <v>39</v>
      </c>
      <c r="B41" t="s">
        <v>109</v>
      </c>
      <c r="C41" t="s">
        <v>110</v>
      </c>
      <c r="D41">
        <v>93.2</v>
      </c>
      <c r="E41" t="s">
        <v>94</v>
      </c>
      <c r="F41" s="2">
        <v>149</v>
      </c>
      <c r="G41" t="s">
        <v>111</v>
      </c>
      <c r="H41" t="s">
        <v>112</v>
      </c>
      <c r="I41" s="3">
        <v>20.170000000000002</v>
      </c>
      <c r="J41" s="3">
        <v>1.79</v>
      </c>
    </row>
    <row r="42" spans="1:10" x14ac:dyDescent="0.35">
      <c r="A42" s="2">
        <v>40</v>
      </c>
      <c r="B42" t="s">
        <v>113</v>
      </c>
      <c r="C42" t="s">
        <v>93</v>
      </c>
      <c r="D42" s="3">
        <v>109.75</v>
      </c>
      <c r="E42" t="s">
        <v>94</v>
      </c>
      <c r="F42" s="2">
        <v>149</v>
      </c>
      <c r="G42" t="s">
        <v>114</v>
      </c>
      <c r="H42" t="s">
        <v>115</v>
      </c>
      <c r="I42" s="2">
        <v>29</v>
      </c>
      <c r="J42" s="2">
        <v>3</v>
      </c>
    </row>
    <row r="43" spans="1:10" x14ac:dyDescent="0.35">
      <c r="A43" s="2">
        <v>41</v>
      </c>
      <c r="B43" t="s">
        <v>116</v>
      </c>
      <c r="C43" t="s">
        <v>117</v>
      </c>
      <c r="D43" s="2">
        <v>90</v>
      </c>
      <c r="E43" t="s">
        <v>94</v>
      </c>
      <c r="F43" s="2">
        <v>149</v>
      </c>
      <c r="G43" t="s">
        <v>118</v>
      </c>
      <c r="H43" t="s">
        <v>119</v>
      </c>
      <c r="I43">
        <v>18.3</v>
      </c>
      <c r="J43" s="3">
        <v>1.57</v>
      </c>
    </row>
    <row r="44" spans="1:10" x14ac:dyDescent="0.35">
      <c r="A44" s="2"/>
      <c r="B44" t="s">
        <v>120</v>
      </c>
      <c r="C44" t="s">
        <v>121</v>
      </c>
      <c r="D44" s="2">
        <v>109</v>
      </c>
      <c r="E44" t="s">
        <v>94</v>
      </c>
      <c r="F44" s="2">
        <v>149</v>
      </c>
      <c r="G44" t="s">
        <v>122</v>
      </c>
      <c r="H44" t="s">
        <v>123</v>
      </c>
      <c r="I44" s="3">
        <v>29.67</v>
      </c>
      <c r="J44" s="3">
        <v>3.05</v>
      </c>
    </row>
    <row r="45" spans="1:10" x14ac:dyDescent="0.35">
      <c r="A45" s="2"/>
      <c r="B45" t="s">
        <v>124</v>
      </c>
      <c r="C45" t="s">
        <v>125</v>
      </c>
      <c r="D45" s="3">
        <v>105.69</v>
      </c>
      <c r="E45" t="s">
        <v>94</v>
      </c>
      <c r="F45" s="2">
        <v>149</v>
      </c>
      <c r="G45" t="s">
        <v>126</v>
      </c>
      <c r="H45" t="s">
        <v>127</v>
      </c>
      <c r="I45" s="3">
        <v>24.17</v>
      </c>
      <c r="J45" s="3">
        <v>2.41</v>
      </c>
    </row>
    <row r="46" spans="1:10" x14ac:dyDescent="0.35">
      <c r="A46" s="2"/>
      <c r="B46" t="s">
        <v>128</v>
      </c>
      <c r="C46" t="s">
        <v>129</v>
      </c>
      <c r="D46">
        <v>114.8</v>
      </c>
      <c r="E46" t="s">
        <v>94</v>
      </c>
      <c r="F46" s="2">
        <v>149</v>
      </c>
      <c r="G46" t="s">
        <v>130</v>
      </c>
      <c r="H46" t="s">
        <v>131</v>
      </c>
      <c r="I46" s="3">
        <v>52.58</v>
      </c>
      <c r="J46" s="3">
        <v>5.68</v>
      </c>
    </row>
    <row r="47" spans="1:10" x14ac:dyDescent="0.35">
      <c r="A47" s="2"/>
      <c r="B47" t="s">
        <v>132</v>
      </c>
      <c r="C47" t="s">
        <v>133</v>
      </c>
      <c r="D47">
        <v>113.2</v>
      </c>
      <c r="E47" t="s">
        <v>94</v>
      </c>
      <c r="F47" s="2">
        <v>149</v>
      </c>
      <c r="G47" t="s">
        <v>134</v>
      </c>
      <c r="H47" t="s">
        <v>135</v>
      </c>
      <c r="I47" s="3">
        <v>35.08</v>
      </c>
      <c r="J47" s="3">
        <v>3.74</v>
      </c>
    </row>
    <row r="48" spans="1:10" x14ac:dyDescent="0.35">
      <c r="A48" s="2"/>
      <c r="B48" t="s">
        <v>202</v>
      </c>
      <c r="C48" t="s">
        <v>137</v>
      </c>
      <c r="D48" s="3">
        <f>179.28/2</f>
        <v>89.64</v>
      </c>
      <c r="E48" s="12" t="s">
        <v>47</v>
      </c>
      <c r="F48" s="2">
        <v>99</v>
      </c>
      <c r="G48" t="s">
        <v>203</v>
      </c>
      <c r="H48" t="s">
        <v>204</v>
      </c>
      <c r="I48" s="3">
        <v>92.38</v>
      </c>
      <c r="J48" s="13">
        <f>((Table134[[#This Row],[LOA]]+5)*Table134[[#This Row],[Waktu Sandar (jam)]])/(Table134[[#This Row],[Panjang Kade]]*24*$L$1)*100</f>
        <v>11.869831649831648</v>
      </c>
    </row>
    <row r="49" spans="1:10" x14ac:dyDescent="0.35">
      <c r="A49" s="11"/>
      <c r="B49" t="s">
        <v>202</v>
      </c>
      <c r="C49" t="s">
        <v>137</v>
      </c>
      <c r="D49" s="3">
        <f>179.28/2</f>
        <v>89.64</v>
      </c>
      <c r="E49" s="12" t="s">
        <v>56</v>
      </c>
      <c r="F49" s="2">
        <v>99</v>
      </c>
      <c r="G49" t="s">
        <v>203</v>
      </c>
      <c r="H49" t="s">
        <v>204</v>
      </c>
      <c r="I49" s="3">
        <v>92.38</v>
      </c>
      <c r="J49" s="13">
        <f>((Table134[[#This Row],[LOA]]+5)*Table134[[#This Row],[Waktu Sandar (jam)]])/(Table134[[#This Row],[Panjang Kade]]*24*$L$1)*100</f>
        <v>11.869831649831648</v>
      </c>
    </row>
    <row r="50" spans="1:10" x14ac:dyDescent="0.35">
      <c r="A50" s="2"/>
      <c r="B50" t="s">
        <v>136</v>
      </c>
      <c r="C50" t="s">
        <v>137</v>
      </c>
      <c r="D50" s="3">
        <f>179.28/2</f>
        <v>89.64</v>
      </c>
      <c r="E50" s="12" t="s">
        <v>47</v>
      </c>
      <c r="F50" s="2">
        <v>99</v>
      </c>
      <c r="G50" t="s">
        <v>139</v>
      </c>
      <c r="H50" t="s">
        <v>140</v>
      </c>
      <c r="I50" s="3">
        <v>111.83</v>
      </c>
      <c r="J50" s="13">
        <f>((Table134[[#This Row],[LOA]]+5)*Table134[[#This Row],[Waktu Sandar (jam)]])/(Table134[[#This Row],[Panjang Kade]]*24*$L$1)*100</f>
        <v>14.368946453785163</v>
      </c>
    </row>
    <row r="51" spans="1:10" x14ac:dyDescent="0.35">
      <c r="A51" s="11"/>
      <c r="B51" t="s">
        <v>136</v>
      </c>
      <c r="C51" t="s">
        <v>137</v>
      </c>
      <c r="D51" s="3">
        <f>179.28/2</f>
        <v>89.64</v>
      </c>
      <c r="E51" s="12" t="s">
        <v>56</v>
      </c>
      <c r="F51" s="2">
        <v>99</v>
      </c>
      <c r="G51" t="s">
        <v>139</v>
      </c>
      <c r="H51" t="s">
        <v>140</v>
      </c>
      <c r="I51" s="3">
        <v>111.83</v>
      </c>
      <c r="J51" s="13">
        <f>((Table134[[#This Row],[LOA]]+5)*Table134[[#This Row],[Waktu Sandar (jam)]])/(Table134[[#This Row],[Panjang Kade]]*24*$L$1)*100</f>
        <v>14.368946453785163</v>
      </c>
    </row>
    <row r="52" spans="1:10" x14ac:dyDescent="0.35">
      <c r="A52" s="2"/>
      <c r="B52" t="s">
        <v>141</v>
      </c>
      <c r="C52" t="s">
        <v>142</v>
      </c>
      <c r="D52" s="2">
        <f>189/2</f>
        <v>94.5</v>
      </c>
      <c r="E52" s="12" t="s">
        <v>47</v>
      </c>
      <c r="F52" s="2">
        <v>99</v>
      </c>
      <c r="G52" t="s">
        <v>143</v>
      </c>
      <c r="H52" t="s">
        <v>144</v>
      </c>
      <c r="I52">
        <v>95.5</v>
      </c>
      <c r="J52" s="13">
        <f>((Table134[[#This Row],[LOA]]+5)*Table134[[#This Row],[Waktu Sandar (jam)]])/(Table134[[#This Row],[Panjang Kade]]*24*$L$1)*100</f>
        <v>12.90084989681764</v>
      </c>
    </row>
    <row r="53" spans="1:10" x14ac:dyDescent="0.35">
      <c r="A53" s="2"/>
      <c r="B53" t="s">
        <v>141</v>
      </c>
      <c r="C53" t="s">
        <v>142</v>
      </c>
      <c r="D53" s="2">
        <f>189/2</f>
        <v>94.5</v>
      </c>
      <c r="E53" s="12" t="s">
        <v>56</v>
      </c>
      <c r="F53" s="2">
        <v>99</v>
      </c>
      <c r="G53" t="s">
        <v>143</v>
      </c>
      <c r="H53" t="s">
        <v>144</v>
      </c>
      <c r="I53">
        <v>95.5</v>
      </c>
      <c r="J53" s="13">
        <f>((Table134[[#This Row],[LOA]]+5)*Table134[[#This Row],[Waktu Sandar (jam)]])/(Table134[[#This Row],[Panjang Kade]]*24*$L$1)*100</f>
        <v>12.90084989681764</v>
      </c>
    </row>
    <row r="54" spans="1:10" x14ac:dyDescent="0.35">
      <c r="A54" s="2"/>
      <c r="D54" s="3"/>
      <c r="F54" s="2"/>
    </row>
    <row r="55" spans="1:10" x14ac:dyDescent="0.35">
      <c r="A55" s="2"/>
      <c r="F55" s="2"/>
      <c r="I55" s="3"/>
      <c r="J55" s="3"/>
    </row>
    <row r="56" spans="1:10" x14ac:dyDescent="0.35">
      <c r="A56" s="2"/>
      <c r="F56" s="2"/>
      <c r="I56" s="3"/>
      <c r="J56" s="3"/>
    </row>
    <row r="57" spans="1:10" x14ac:dyDescent="0.35">
      <c r="A57" s="2"/>
      <c r="F57" s="2"/>
      <c r="I57" s="3"/>
      <c r="J57" s="3"/>
    </row>
    <row r="58" spans="1:10" x14ac:dyDescent="0.35">
      <c r="A58" s="2"/>
      <c r="D58" s="3"/>
      <c r="F58" s="2"/>
      <c r="I58" s="2"/>
      <c r="J58" s="3"/>
    </row>
    <row r="59" spans="1:10" x14ac:dyDescent="0.35">
      <c r="A59" s="2"/>
      <c r="D59" s="2"/>
      <c r="F59" s="2"/>
      <c r="J59" s="3"/>
    </row>
    <row r="60" spans="1:10" x14ac:dyDescent="0.35">
      <c r="A60" s="2"/>
      <c r="D60" s="2"/>
      <c r="F60" s="2"/>
      <c r="I60" s="3"/>
      <c r="J60" s="3"/>
    </row>
    <row r="61" spans="1:10" x14ac:dyDescent="0.35">
      <c r="A61" s="2"/>
      <c r="D61" s="3"/>
      <c r="F61" s="2"/>
      <c r="I61" s="3"/>
      <c r="J61" s="3"/>
    </row>
    <row r="62" spans="1:10" x14ac:dyDescent="0.35">
      <c r="A62" s="2"/>
      <c r="F62" s="2"/>
      <c r="I62" s="3"/>
      <c r="J62" s="3"/>
    </row>
    <row r="63" spans="1:10" x14ac:dyDescent="0.35">
      <c r="A63" s="2"/>
      <c r="F63" s="2"/>
      <c r="I63" s="3"/>
    </row>
  </sheetData>
  <mergeCells count="3">
    <mergeCell ref="A1:J1"/>
    <mergeCell ref="N3:N10"/>
    <mergeCell ref="U3:U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Sheet1</vt:lpstr>
      <vt:lpstr>Sheet1 (2)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ERFAN AFANDI, ST.</dc:creator>
  <cp:lastModifiedBy>M. ERFAN AFANDI, ST.</cp:lastModifiedBy>
  <dcterms:created xsi:type="dcterms:W3CDTF">2022-10-21T07:20:00Z</dcterms:created>
  <dcterms:modified xsi:type="dcterms:W3CDTF">2024-07-22T15:17:22Z</dcterms:modified>
</cp:coreProperties>
</file>