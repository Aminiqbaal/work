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7987BE-164D-44A0-86C9-225147F2142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Sheet1!$A$1:$AA$1815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2" i="1"/>
</calcChain>
</file>

<file path=xl/sharedStrings.xml><?xml version="1.0" encoding="utf-8"?>
<sst xmlns="http://schemas.openxmlformats.org/spreadsheetml/2006/main" count="25624" uniqueCount="6443">
  <si>
    <t>Vessel Code</t>
  </si>
  <si>
    <t>Vessel Name</t>
  </si>
  <si>
    <t>MMSI</t>
  </si>
  <si>
    <t>Type</t>
  </si>
  <si>
    <t>Status</t>
  </si>
  <si>
    <t>Agent</t>
  </si>
  <si>
    <t>Principal</t>
  </si>
  <si>
    <t>Flag</t>
  </si>
  <si>
    <t>DWT</t>
  </si>
  <si>
    <t>Length</t>
  </si>
  <si>
    <t>Gross Ton</t>
  </si>
  <si>
    <t>Horsepower</t>
  </si>
  <si>
    <t>Draft</t>
  </si>
  <si>
    <t>LOP</t>
  </si>
  <si>
    <t>Call Sign</t>
  </si>
  <si>
    <t>Direct Call</t>
  </si>
  <si>
    <t>Country Made</t>
  </si>
  <si>
    <t>Liner/Tramper</t>
  </si>
  <si>
    <t>Profile</t>
  </si>
  <si>
    <t>Hatch Type</t>
  </si>
  <si>
    <t>Total Hatch</t>
  </si>
  <si>
    <t>Branch</t>
  </si>
  <si>
    <t>Status Active</t>
  </si>
  <si>
    <t>Update By</t>
  </si>
  <si>
    <t>Update Ts</t>
  </si>
  <si>
    <t>Document</t>
  </si>
  <si>
    <t>MV. PORT PEGASUS</t>
  </si>
  <si>
    <t>CARGO</t>
  </si>
  <si>
    <t>I</t>
  </si>
  <si>
    <t>TONASA LINES PT</t>
  </si>
  <si>
    <t>Hongkong</t>
  </si>
  <si>
    <t>VRAA8</t>
  </si>
  <si>
    <t>Japan</t>
  </si>
  <si>
    <t>TRAMPER</t>
  </si>
  <si>
    <t>Y</t>
  </si>
  <si>
    <t>MAC GREGOR</t>
  </si>
  <si>
    <t>scm_darat1@demo.com</t>
  </si>
  <si>
    <t>14/01/2022 12:42</t>
  </si>
  <si>
    <t>Open</t>
  </si>
  <si>
    <t>TB. BLORO 1603 / BG. ROBBY 320</t>
  </si>
  <si>
    <t>TUG BOAT / TONGKANG</t>
  </si>
  <si>
    <t>D</t>
  </si>
  <si>
    <t>Indonesia</t>
  </si>
  <si>
    <t>YDC6525</t>
  </si>
  <si>
    <t>PONTHON</t>
  </si>
  <si>
    <t>mursida.h@sig.id</t>
  </si>
  <si>
    <t>09/03/2025 21:09</t>
  </si>
  <si>
    <t>TB. KALTIM DOLPHIN 17-09 / BG. KALTIM FT 80-11</t>
  </si>
  <si>
    <t>YDA6386</t>
  </si>
  <si>
    <t>05/12/2024 19:39</t>
  </si>
  <si>
    <t>4RDI</t>
  </si>
  <si>
    <t>MV MOHAR</t>
  </si>
  <si>
    <t>BULK CARRIER</t>
  </si>
  <si>
    <t>KARYA MUDA AGENCY PT</t>
  </si>
  <si>
    <t>Srilangka</t>
  </si>
  <si>
    <t>farizd@primus.co.id</t>
  </si>
  <si>
    <t>25/04/2022 10:50</t>
  </si>
  <si>
    <t>4SSM</t>
  </si>
  <si>
    <t>MV. MEGHNA HARMONY</t>
  </si>
  <si>
    <t>VARIA USAHA LINTAS SEGARA, PT</t>
  </si>
  <si>
    <t>Bangladesh</t>
  </si>
  <si>
    <t>VUS</t>
  </si>
  <si>
    <t>S2BD4</t>
  </si>
  <si>
    <t>TUBAN</t>
  </si>
  <si>
    <t>bupvuba@gmail.com</t>
  </si>
  <si>
    <t>14/11/2024 09:58</t>
  </si>
  <si>
    <t>4SST</t>
  </si>
  <si>
    <t>TB. ASIA TIRTA 1601 / BG. ASIA PERDANA 2706</t>
  </si>
  <si>
    <t>YDA 3115</t>
  </si>
  <si>
    <t>07/01/2025 18:14</t>
  </si>
  <si>
    <t>A-05</t>
  </si>
  <si>
    <t>ASIABAY - 105</t>
  </si>
  <si>
    <t>TONGKANG</t>
  </si>
  <si>
    <t>PELAYARAN SEMOGA SUKSES, PT</t>
  </si>
  <si>
    <t>-</t>
  </si>
  <si>
    <t>A003</t>
  </si>
  <si>
    <t>ADAS 03</t>
  </si>
  <si>
    <t>ADAS SEJAHTERA SAMUDRA LINES, PT</t>
  </si>
  <si>
    <t>YD6566</t>
  </si>
  <si>
    <t>A007</t>
  </si>
  <si>
    <t>TB. ASINDO 007 / BG. ASINDO 010</t>
  </si>
  <si>
    <t>YDA3618</t>
  </si>
  <si>
    <t>27/01/2025 18:08</t>
  </si>
  <si>
    <t>A103</t>
  </si>
  <si>
    <t>TB. MAHESA 104 / BG. ALIKA 103</t>
  </si>
  <si>
    <t>YDA6596</t>
  </si>
  <si>
    <t>11/10/2024 18:38</t>
  </si>
  <si>
    <t>A111</t>
  </si>
  <si>
    <t>ANUGRAH 11</t>
  </si>
  <si>
    <t>DUTA BAHTERA LINE, PT</t>
  </si>
  <si>
    <t>YDB 4455</t>
  </si>
  <si>
    <t>A138</t>
  </si>
  <si>
    <t>AYU 138</t>
  </si>
  <si>
    <t>LCT</t>
  </si>
  <si>
    <t>BUNGA NUSA MAHAKAM, PT</t>
  </si>
  <si>
    <t>PNRU</t>
  </si>
  <si>
    <t>WSDL</t>
  </si>
  <si>
    <t>06/12/2017 14:47</t>
  </si>
  <si>
    <t>A230</t>
  </si>
  <si>
    <t>ASIAPRIDE 23130</t>
  </si>
  <si>
    <t>ASIA TIRTA PERDANA, PT</t>
  </si>
  <si>
    <t>16/11/2017 16:54</t>
  </si>
  <si>
    <t>A404</t>
  </si>
  <si>
    <t>ABADI 4</t>
  </si>
  <si>
    <t>BAHARI TIRTA JAYA, PT</t>
  </si>
  <si>
    <t>YDA 6178</t>
  </si>
  <si>
    <t>N</t>
  </si>
  <si>
    <t>4ndi.4rnold@gmail.com</t>
  </si>
  <si>
    <t>11/12/2017 11:36</t>
  </si>
  <si>
    <t>A618</t>
  </si>
  <si>
    <t>AYU 618</t>
  </si>
  <si>
    <t>YHWO</t>
  </si>
  <si>
    <t>A808</t>
  </si>
  <si>
    <t>ARIN 8</t>
  </si>
  <si>
    <t>CURAH CAIR</t>
  </si>
  <si>
    <t>PERTAMINA TRANS KONTINENTAL, PT</t>
  </si>
  <si>
    <t>JZAR</t>
  </si>
  <si>
    <t>mambrasar.saint@gmail.com</t>
  </si>
  <si>
    <t>24/11/2017 21:32</t>
  </si>
  <si>
    <t>A881</t>
  </si>
  <si>
    <t>ANINDHITA 81</t>
  </si>
  <si>
    <t>SPOB/BUNKER</t>
  </si>
  <si>
    <t>JZVX</t>
  </si>
  <si>
    <t>A888</t>
  </si>
  <si>
    <t>ATMANIWEDHANA 88</t>
  </si>
  <si>
    <t>SINAR PASIFIC, PT</t>
  </si>
  <si>
    <t>JZPX</t>
  </si>
  <si>
    <t>A889</t>
  </si>
  <si>
    <t>ARWANA 88</t>
  </si>
  <si>
    <t>PELAYARAN SKREN SARANA SMD, PT</t>
  </si>
  <si>
    <t>SES</t>
  </si>
  <si>
    <t>YDA 6755</t>
  </si>
  <si>
    <t>arifpelindo4bpp@gmail.com</t>
  </si>
  <si>
    <t>07/12/2017 14:47</t>
  </si>
  <si>
    <t>AA03</t>
  </si>
  <si>
    <t>ADMIRAL AMIR 2</t>
  </si>
  <si>
    <t>PELAYARAN LESTARI ABADI SAKTI, PT</t>
  </si>
  <si>
    <t>J Z X G</t>
  </si>
  <si>
    <t>AB09</t>
  </si>
  <si>
    <t>ASIA BAY 109</t>
  </si>
  <si>
    <t>ABBA</t>
  </si>
  <si>
    <t>ABBA MV</t>
  </si>
  <si>
    <t>henky@primus.co.id</t>
  </si>
  <si>
    <t>18/12/2021 22:12</t>
  </si>
  <si>
    <t>ABII</t>
  </si>
  <si>
    <t>KM ANUGERAH BUANA III</t>
  </si>
  <si>
    <t>YHXK</t>
  </si>
  <si>
    <t>R</t>
  </si>
  <si>
    <t>23/04/2025 09:04</t>
  </si>
  <si>
    <t>ABLH</t>
  </si>
  <si>
    <t>MV. ABDULLAH</t>
  </si>
  <si>
    <t>WAHYU SAMUDRO MULYO PADANG PT</t>
  </si>
  <si>
    <t>WSM</t>
  </si>
  <si>
    <t>S2CW</t>
  </si>
  <si>
    <t>panji.agrama@sig.id</t>
  </si>
  <si>
    <t>08/04/2023 11:50</t>
  </si>
  <si>
    <t>ABVI</t>
  </si>
  <si>
    <t>KM ANUGRAH BUANA VI</t>
  </si>
  <si>
    <t>ELANO KUSUMA SHIPPING, PT</t>
  </si>
  <si>
    <t>EKS</t>
  </si>
  <si>
    <t>PMIE</t>
  </si>
  <si>
    <t>22/12/2022 09:21</t>
  </si>
  <si>
    <t>ADRW</t>
  </si>
  <si>
    <t>KM. ANDREW</t>
  </si>
  <si>
    <t>PNPS</t>
  </si>
  <si>
    <t>BIRINGKASSI</t>
  </si>
  <si>
    <t>wellem.ariance@sig.id</t>
  </si>
  <si>
    <t>13/07/2022 20:00</t>
  </si>
  <si>
    <t>AENT</t>
  </si>
  <si>
    <t>ANGGRAINI EXCELLENT</t>
  </si>
  <si>
    <t>TANKER</t>
  </si>
  <si>
    <t>PNDK</t>
  </si>
  <si>
    <t>AFSA</t>
  </si>
  <si>
    <t>SOECHI PRESTASI III</t>
  </si>
  <si>
    <t>YHCO</t>
  </si>
  <si>
    <t>AGAG</t>
  </si>
  <si>
    <t>KM. ANUGRAH AGUNG</t>
  </si>
  <si>
    <t>POYZ</t>
  </si>
  <si>
    <t>29/08/2023 07:19</t>
  </si>
  <si>
    <t>AGAL</t>
  </si>
  <si>
    <t>ASIKE GLOBAL</t>
  </si>
  <si>
    <t>KARANA LINE, PT</t>
  </si>
  <si>
    <t>POOT</t>
  </si>
  <si>
    <t>AGR8</t>
  </si>
  <si>
    <t>KM. ANUGERAH VIII</t>
  </si>
  <si>
    <t>0000</t>
  </si>
  <si>
    <t>13/03/2025 07:54</t>
  </si>
  <si>
    <t>AI09</t>
  </si>
  <si>
    <t>TB. ARMADA INTAN 09 / BG. SMR 2509</t>
  </si>
  <si>
    <t>YDA 0918</t>
  </si>
  <si>
    <t>19/03/2022 15:46</t>
  </si>
  <si>
    <t>AILM</t>
  </si>
  <si>
    <t>KLM. ANUGRAH INDAH</t>
  </si>
  <si>
    <t>08/04/2024 17:58</t>
  </si>
  <si>
    <t>AITA</t>
  </si>
  <si>
    <t>MV ADVAITA</t>
  </si>
  <si>
    <t>CEMENT CARRIER</t>
  </si>
  <si>
    <t>India</t>
  </si>
  <si>
    <t>VTHA</t>
  </si>
  <si>
    <t>26/03/2022 21:48</t>
  </si>
  <si>
    <t>AJ07</t>
  </si>
  <si>
    <t>AS JAYA - 7</t>
  </si>
  <si>
    <t>ANDALAN LANCAR BAHARI, PT</t>
  </si>
  <si>
    <t>YDB4832</t>
  </si>
  <si>
    <t>AJLM</t>
  </si>
  <si>
    <t>KLM. ASRI INDAH II</t>
  </si>
  <si>
    <t>PLM/KLM</t>
  </si>
  <si>
    <t>08/04/2024 17:59</t>
  </si>
  <si>
    <t>AJY1</t>
  </si>
  <si>
    <t>ARKA JAYA</t>
  </si>
  <si>
    <t>ARGHANIAGA PANCATUNGGAL, PT</t>
  </si>
  <si>
    <t>YB 6411</t>
  </si>
  <si>
    <t>AKHG</t>
  </si>
  <si>
    <t>MV AKIJ HERITAGE</t>
  </si>
  <si>
    <t>S2ACS</t>
  </si>
  <si>
    <t>18/02/2025 08:25</t>
  </si>
  <si>
    <t>AKIO</t>
  </si>
  <si>
    <t>MV. AKIJ OCEAN</t>
  </si>
  <si>
    <t>S2AE6</t>
  </si>
  <si>
    <t>01/01/2025 16:36</t>
  </si>
  <si>
    <t>AKNA</t>
  </si>
  <si>
    <t>MV. AKUNA</t>
  </si>
  <si>
    <t>UNGGUL SEJAHTERA RAYA PT</t>
  </si>
  <si>
    <t>USR</t>
  </si>
  <si>
    <t>C6DW3</t>
  </si>
  <si>
    <t>Bahamas Island</t>
  </si>
  <si>
    <t>07/02/2024 15:14</t>
  </si>
  <si>
    <t>AKTR</t>
  </si>
  <si>
    <t>MV AKIJ STAR</t>
  </si>
  <si>
    <t>S2BB7</t>
  </si>
  <si>
    <t>16/04/2025 23:34</t>
  </si>
  <si>
    <t>ALDA</t>
  </si>
  <si>
    <t>ALTAMANDA</t>
  </si>
  <si>
    <t>YFIF</t>
  </si>
  <si>
    <t>AM09</t>
  </si>
  <si>
    <t>TB. SAFARI 09 / BG. ANUGERAH MULIA 09</t>
  </si>
  <si>
    <t>YDB6289</t>
  </si>
  <si>
    <t>04/12/2024 12:26</t>
  </si>
  <si>
    <t>AM11</t>
  </si>
  <si>
    <t>AS MARINA - 11</t>
  </si>
  <si>
    <t>YDB4258</t>
  </si>
  <si>
    <t>AMA8</t>
  </si>
  <si>
    <t>KM. ANUGERAH MANDIRI 8</t>
  </si>
  <si>
    <t>PMQT</t>
  </si>
  <si>
    <t>Korea Republlic Of</t>
  </si>
  <si>
    <t>miftahuljannah@pelsindo.co.id</t>
  </si>
  <si>
    <t>21/03/2022 11:49</t>
  </si>
  <si>
    <t>AMAS</t>
  </si>
  <si>
    <t>AYER MAS</t>
  </si>
  <si>
    <t>CONTAINER</t>
  </si>
  <si>
    <t>ARMADA SAMUDERA RAYA, PT</t>
  </si>
  <si>
    <t>YBOU2</t>
  </si>
  <si>
    <t>AMIA</t>
  </si>
  <si>
    <t>KM. ARTHA MULIA</t>
  </si>
  <si>
    <t>BRR</t>
  </si>
  <si>
    <t>ANA1</t>
  </si>
  <si>
    <t>KM. ANUGERAH ABADI 1</t>
  </si>
  <si>
    <t>YHKT</t>
  </si>
  <si>
    <t>01/04/2022 12:48</t>
  </si>
  <si>
    <t>ANGR</t>
  </si>
  <si>
    <t>KM. ANUGERAH BUANA III</t>
  </si>
  <si>
    <t>YD124</t>
  </si>
  <si>
    <t>13/08/2024 14:26</t>
  </si>
  <si>
    <t>ANIA</t>
  </si>
  <si>
    <t>ANGELIA</t>
  </si>
  <si>
    <t>PMXH</t>
  </si>
  <si>
    <t>AP01</t>
  </si>
  <si>
    <t>ASIA PERDANA 2301</t>
  </si>
  <si>
    <t>AP02</t>
  </si>
  <si>
    <t>ASIA PERDANA 2302</t>
  </si>
  <si>
    <t>AP05</t>
  </si>
  <si>
    <t>TB. ASIA TIRTA 2005 / BG. ASIA PERDANA 3005</t>
  </si>
  <si>
    <t>YDB6929</t>
  </si>
  <si>
    <t>26/09/2024 15:27</t>
  </si>
  <si>
    <t>AP07</t>
  </si>
  <si>
    <t>AS POWER 7</t>
  </si>
  <si>
    <t>AP32</t>
  </si>
  <si>
    <t>TB. ASIA TIRTA 2001 / BG. ASIA PERDANA 3002</t>
  </si>
  <si>
    <t>09/06/2023 12:37</t>
  </si>
  <si>
    <t>APDA</t>
  </si>
  <si>
    <t>KM. ASIA PERSADA</t>
  </si>
  <si>
    <t>BSJ</t>
  </si>
  <si>
    <t>PMRS</t>
  </si>
  <si>
    <t>08/04/2024 18:00</t>
  </si>
  <si>
    <t>APER</t>
  </si>
  <si>
    <t>AE PIONEER</t>
  </si>
  <si>
    <t>PNAR</t>
  </si>
  <si>
    <t>APMA</t>
  </si>
  <si>
    <t>KM. ASIA PRATAMA</t>
  </si>
  <si>
    <t>PMIY</t>
  </si>
  <si>
    <t>03/07/2024 08:19</t>
  </si>
  <si>
    <t>APU8</t>
  </si>
  <si>
    <t>TB. APURA 88 / BG. APURA 087</t>
  </si>
  <si>
    <t>MUTIARA ATLANTIK  JAWADWIPA, PT</t>
  </si>
  <si>
    <t>MAJ</t>
  </si>
  <si>
    <t>YDB6444</t>
  </si>
  <si>
    <t>12/10/2024 08:36</t>
  </si>
  <si>
    <t>AR01</t>
  </si>
  <si>
    <t>ASIA RIDER 201</t>
  </si>
  <si>
    <t>ARMO</t>
  </si>
  <si>
    <t>MV AROMO</t>
  </si>
  <si>
    <t>Panama</t>
  </si>
  <si>
    <t>3FNO9</t>
  </si>
  <si>
    <t>07/04/2025 17:59</t>
  </si>
  <si>
    <t>ARTA</t>
  </si>
  <si>
    <t>KM. ARTHA PRIMA</t>
  </si>
  <si>
    <t>08/04/2024 18:01</t>
  </si>
  <si>
    <t>AS02</t>
  </si>
  <si>
    <t>ASIA STAR 202</t>
  </si>
  <si>
    <t>AS05</t>
  </si>
  <si>
    <t>ASIA STAR 505</t>
  </si>
  <si>
    <t>AS14</t>
  </si>
  <si>
    <t>TB. ASIA TIRTA 1201/BG. ASIA PERDANA 2401</t>
  </si>
  <si>
    <t>YDA 6080</t>
  </si>
  <si>
    <t>09/11/2024 08:08</t>
  </si>
  <si>
    <t>AS33</t>
  </si>
  <si>
    <t>TB. ASP 33 / BG. PERSADA 2733</t>
  </si>
  <si>
    <t>YDA 2321</t>
  </si>
  <si>
    <t>01/06/2024 17:55</t>
  </si>
  <si>
    <t>ASLM</t>
  </si>
  <si>
    <t>KLM. AMANAH SELEBES</t>
  </si>
  <si>
    <t>08/04/2024 18:02</t>
  </si>
  <si>
    <t>ASOR</t>
  </si>
  <si>
    <t>AC SPLENDOR</t>
  </si>
  <si>
    <t>3EAE9</t>
  </si>
  <si>
    <t>22/12/2022 13:16</t>
  </si>
  <si>
    <t>ASPN</t>
  </si>
  <si>
    <t>KM. ASIA PIONERR</t>
  </si>
  <si>
    <t>JHZV</t>
  </si>
  <si>
    <t>22/08/2024 06:20</t>
  </si>
  <si>
    <t>ASPU</t>
  </si>
  <si>
    <t>KM. ASIA PUTRA</t>
  </si>
  <si>
    <t>YDHK</t>
  </si>
  <si>
    <t>12/10/2022 09:11</t>
  </si>
  <si>
    <t>ASTI</t>
  </si>
  <si>
    <t>ARMADA SEJATI</t>
  </si>
  <si>
    <t>SALAM PACIFIC BPPN, PT</t>
  </si>
  <si>
    <t>PMUJ</t>
  </si>
  <si>
    <t>ASZU</t>
  </si>
  <si>
    <t>MV. ASAZURU</t>
  </si>
  <si>
    <t>TENDRI DHARMA SAMUDERA PT</t>
  </si>
  <si>
    <t>TDS</t>
  </si>
  <si>
    <t>YCPW2</t>
  </si>
  <si>
    <t>15/09/2022 13:44</t>
  </si>
  <si>
    <t>AT02</t>
  </si>
  <si>
    <t>ASIA TIRTA - 1201</t>
  </si>
  <si>
    <t>AT03</t>
  </si>
  <si>
    <t>ASIA TIRTA 1202</t>
  </si>
  <si>
    <t>YD 6554</t>
  </si>
  <si>
    <t>AT08</t>
  </si>
  <si>
    <t>MV. AN THINH PHU 08</t>
  </si>
  <si>
    <t>XVNG</t>
  </si>
  <si>
    <t>Vietnam Soc Ref Of</t>
  </si>
  <si>
    <t>AT0I</t>
  </si>
  <si>
    <t>ARCINDO TB - I</t>
  </si>
  <si>
    <t>BINTANG SAMUDRA UTAMA.PT</t>
  </si>
  <si>
    <t>YDB 6406</t>
  </si>
  <si>
    <t>AT71</t>
  </si>
  <si>
    <t>ASIA TRANS 271</t>
  </si>
  <si>
    <t>ATHR</t>
  </si>
  <si>
    <t>KM. ARTHUR</t>
  </si>
  <si>
    <t>POTI</t>
  </si>
  <si>
    <t>15/07/2023 13:56</t>
  </si>
  <si>
    <t>ATK1</t>
  </si>
  <si>
    <t>ARCINDO TK.1</t>
  </si>
  <si>
    <t>ATNA</t>
  </si>
  <si>
    <t>ATHENA</t>
  </si>
  <si>
    <t>POHB</t>
  </si>
  <si>
    <t>ATR6</t>
  </si>
  <si>
    <t>TB. ALBATROSS 6 - BG. PELICAN 305</t>
  </si>
  <si>
    <t>19/12/2023 14:14</t>
  </si>
  <si>
    <t>ATR7</t>
  </si>
  <si>
    <t>TB. ALBATROSS 7 / BG. PELICAN 306</t>
  </si>
  <si>
    <t>AUGA</t>
  </si>
  <si>
    <t>AURIGA</t>
  </si>
  <si>
    <t>AVII</t>
  </si>
  <si>
    <t>MV. AMRTA - VII</t>
  </si>
  <si>
    <t>PMQZ</t>
  </si>
  <si>
    <t>ambo.masse@sig.id</t>
  </si>
  <si>
    <t>11/05/2022 08:19</t>
  </si>
  <si>
    <t>AVNA</t>
  </si>
  <si>
    <t>TB. AVERY / BG. NAOMI</t>
  </si>
  <si>
    <t>GLOBAL LOGISTIK AGENSI ,PT</t>
  </si>
  <si>
    <t>GLA</t>
  </si>
  <si>
    <t>YDB4335</t>
  </si>
  <si>
    <t>08/03/2025 11:21</t>
  </si>
  <si>
    <t>AW01</t>
  </si>
  <si>
    <t>AS WARRIOR - 1</t>
  </si>
  <si>
    <t>MARITEL BAHTERA ABADI, PT</t>
  </si>
  <si>
    <t>YDA4926</t>
  </si>
  <si>
    <t>AW02</t>
  </si>
  <si>
    <t>AS WARRIOR 2</t>
  </si>
  <si>
    <t>---</t>
  </si>
  <si>
    <t>AXVI</t>
  </si>
  <si>
    <t>ASUMI XXVI</t>
  </si>
  <si>
    <t>PNWR</t>
  </si>
  <si>
    <t>AXX1</t>
  </si>
  <si>
    <t>ALICE XXV</t>
  </si>
  <si>
    <t>PNBW</t>
  </si>
  <si>
    <t>AZ18</t>
  </si>
  <si>
    <t>TB. LIBERTY 5 / BG. AZAMARA 18</t>
  </si>
  <si>
    <t>YDC4306</t>
  </si>
  <si>
    <t>04/09/2023 09:30</t>
  </si>
  <si>
    <t>AZ27</t>
  </si>
  <si>
    <t>TB. VOYAGER 5 / BG. AZAMARA 27</t>
  </si>
  <si>
    <t>YDA6914</t>
  </si>
  <si>
    <t>03/10/2024 21:01</t>
  </si>
  <si>
    <t>AZ28</t>
  </si>
  <si>
    <t>TB. OCEAN MASTER 102 / BG. AZAMARA 28</t>
  </si>
  <si>
    <t>25/09/2023 10:45</t>
  </si>
  <si>
    <t>AZ31</t>
  </si>
  <si>
    <t>TB. LIBERTY 7 / BG. AZAMARA 31</t>
  </si>
  <si>
    <t>24/07/2023 13:12</t>
  </si>
  <si>
    <t>AZ39</t>
  </si>
  <si>
    <t>TB. LIBERTY 10 / BG. AZAMARA 3039</t>
  </si>
  <si>
    <t>PANCA GLOBAL ENERGI, PT</t>
  </si>
  <si>
    <t>YD5332</t>
  </si>
  <si>
    <t>21/05/2024 14:34</t>
  </si>
  <si>
    <t>B001</t>
  </si>
  <si>
    <t>BMB 01</t>
  </si>
  <si>
    <t>FB1</t>
  </si>
  <si>
    <t>30/11/2017 19:39</t>
  </si>
  <si>
    <t>B212</t>
  </si>
  <si>
    <t>BARAMAR 2712</t>
  </si>
  <si>
    <t>PELAYARAN MARINDO PACIFIC, PT</t>
  </si>
  <si>
    <t>B301</t>
  </si>
  <si>
    <t>BAIDURI 30301</t>
  </si>
  <si>
    <t>BUANA LISTYA TAMA TBK. PT</t>
  </si>
  <si>
    <t>B909</t>
  </si>
  <si>
    <t>BBSAS 9</t>
  </si>
  <si>
    <t>BA02</t>
  </si>
  <si>
    <t>TB. FRANSISCUS 02 / BG. ALMANAR</t>
  </si>
  <si>
    <t>YD 6072</t>
  </si>
  <si>
    <t>15/12/2022 12:29</t>
  </si>
  <si>
    <t>BA0X</t>
  </si>
  <si>
    <t>BG. ALMANAR / TB. GONAYA X</t>
  </si>
  <si>
    <t>YDB6145</t>
  </si>
  <si>
    <t>18/02/2022 13:23</t>
  </si>
  <si>
    <t>BA12</t>
  </si>
  <si>
    <t>TB. ARTHA KALTIM 12 / BG. ASK XII</t>
  </si>
  <si>
    <t>YD5346</t>
  </si>
  <si>
    <t>11/04/2025 16:27</t>
  </si>
  <si>
    <t>BAAH</t>
  </si>
  <si>
    <t>KLM. BUKIT AMANAH</t>
  </si>
  <si>
    <t>08/04/2024 18:04</t>
  </si>
  <si>
    <t>BAAN</t>
  </si>
  <si>
    <t>BALONGAN</t>
  </si>
  <si>
    <t>YDUO</t>
  </si>
  <si>
    <t>BACG</t>
  </si>
  <si>
    <t>KM. BAHTERA CEMERLANG</t>
  </si>
  <si>
    <t>PLEF</t>
  </si>
  <si>
    <t>10/11/2023 19:43</t>
  </si>
  <si>
    <t>BAMA</t>
  </si>
  <si>
    <t>BG. ADITAMA</t>
  </si>
  <si>
    <t>10/02/2022 10:11</t>
  </si>
  <si>
    <t>BASE</t>
  </si>
  <si>
    <t>KM. BAHTERA SEJATI</t>
  </si>
  <si>
    <t>29/08/2022 09:31</t>
  </si>
  <si>
    <t>BB02</t>
  </si>
  <si>
    <t>BG. BAP 231/TB. BAP 2</t>
  </si>
  <si>
    <t>SIG</t>
  </si>
  <si>
    <t>YD 5128</t>
  </si>
  <si>
    <t>30/03/2022 15:38</t>
  </si>
  <si>
    <t>BB03</t>
  </si>
  <si>
    <t>BG. BAP 321 - TB. BAP 2</t>
  </si>
  <si>
    <t>30/03/2022 16:15</t>
  </si>
  <si>
    <t>BB09</t>
  </si>
  <si>
    <t>BG. BORNEO 3103 / TB. BSP 09</t>
  </si>
  <si>
    <t>YDA6477</t>
  </si>
  <si>
    <t>15/08/2022 09:23</t>
  </si>
  <si>
    <t>BB11</t>
  </si>
  <si>
    <t>BG. BULESKO VI / TB. MARC ALEXANDRO 11</t>
  </si>
  <si>
    <t>YDA4231</t>
  </si>
  <si>
    <t>17/02/2022 16:34</t>
  </si>
  <si>
    <t>BBP3</t>
  </si>
  <si>
    <t>BG. BENTLEY PUTRA 300</t>
  </si>
  <si>
    <t>BBRI</t>
  </si>
  <si>
    <t>BG. BAIDURI 30297 /TB. KOMPAS 02</t>
  </si>
  <si>
    <t>YD6963</t>
  </si>
  <si>
    <t>21/05/2022 21:08</t>
  </si>
  <si>
    <t>BC60</t>
  </si>
  <si>
    <t>TB. BERAU COAL 60 / BG. ROBBY 202</t>
  </si>
  <si>
    <t>TNS</t>
  </si>
  <si>
    <t>YDA 6528</t>
  </si>
  <si>
    <t>24/07/2024 07:56</t>
  </si>
  <si>
    <t>BDR6</t>
  </si>
  <si>
    <t>TB. GRACE 02 / BG. BAIDURI 30306</t>
  </si>
  <si>
    <t>YDB6142</t>
  </si>
  <si>
    <t>05/09/2024 16:22</t>
  </si>
  <si>
    <t>BF25</t>
  </si>
  <si>
    <t>TB. EMILY / BG. GRACE</t>
  </si>
  <si>
    <t>YDB4279</t>
  </si>
  <si>
    <t>23/01/2025 09:59</t>
  </si>
  <si>
    <t>BF28</t>
  </si>
  <si>
    <t>BG. FINACIA 89 / TB. ENTEBE STAR 28</t>
  </si>
  <si>
    <t>YDA 6272</t>
  </si>
  <si>
    <t>13/12/2024 18:36</t>
  </si>
  <si>
    <t>BF40</t>
  </si>
  <si>
    <t>TB. SYUKUR 54 / BG. SYUKUR 49</t>
  </si>
  <si>
    <t>YDB6766</t>
  </si>
  <si>
    <t>26/01/2025 22:23</t>
  </si>
  <si>
    <t>BGAR</t>
  </si>
  <si>
    <t>BALI GIANYAR</t>
  </si>
  <si>
    <t>PMFL</t>
  </si>
  <si>
    <t>BGRM</t>
  </si>
  <si>
    <t>BG. RMN 359 / TB. KSA 50</t>
  </si>
  <si>
    <t>10/02/2022 12:58</t>
  </si>
  <si>
    <t>BH01</t>
  </si>
  <si>
    <t>BG. HASNUR 309 / TB. HASNUR 01</t>
  </si>
  <si>
    <t>YD3709</t>
  </si>
  <si>
    <t>12/05/2022 14:16</t>
  </si>
  <si>
    <t>BH02</t>
  </si>
  <si>
    <t>BG. HASNUR 302 / TB. HASNUR 02</t>
  </si>
  <si>
    <t>YD3710</t>
  </si>
  <si>
    <t>23/02/2022 10:29</t>
  </si>
  <si>
    <t>BH03</t>
  </si>
  <si>
    <t>BG. HASNUR 03 / TB. HASNUR 303</t>
  </si>
  <si>
    <t>YD3746</t>
  </si>
  <si>
    <t>TELUKBAYUR</t>
  </si>
  <si>
    <t>yuli.ananto@sig.id</t>
  </si>
  <si>
    <t>28/03/2022 13:41</t>
  </si>
  <si>
    <t>BH05</t>
  </si>
  <si>
    <t>BG. HASNUR 305 / TB. HASNUR 05</t>
  </si>
  <si>
    <t>YD3747</t>
  </si>
  <si>
    <t>23/02/2022 10:30</t>
  </si>
  <si>
    <t>BH06</t>
  </si>
  <si>
    <t>BG. HASNUR 307 / TB. HASNUR 06</t>
  </si>
  <si>
    <t>YD3748</t>
  </si>
  <si>
    <t>26/02/2022 01:34</t>
  </si>
  <si>
    <t>BH13</t>
  </si>
  <si>
    <t>BG. HASNUR 333 / TB. HASNUR 113</t>
  </si>
  <si>
    <t>YDC3377</t>
  </si>
  <si>
    <t>20/02/2022 06:53</t>
  </si>
  <si>
    <t>BH35</t>
  </si>
  <si>
    <t>KM. BAHARI 35</t>
  </si>
  <si>
    <t>POTT</t>
  </si>
  <si>
    <t>22/10/2024 10:41</t>
  </si>
  <si>
    <t>BH38</t>
  </si>
  <si>
    <t>MV. BAHARI 38</t>
  </si>
  <si>
    <t>YCRX2</t>
  </si>
  <si>
    <t>15/05/2022 13:50</t>
  </si>
  <si>
    <t>BHOR</t>
  </si>
  <si>
    <t>BEST HONOR</t>
  </si>
  <si>
    <t>3FPP7</t>
  </si>
  <si>
    <t>28/04/2022 10:52</t>
  </si>
  <si>
    <t>BHSJ</t>
  </si>
  <si>
    <t>KM. BAHAGIA SEJAHTERA</t>
  </si>
  <si>
    <t>JZJR</t>
  </si>
  <si>
    <t>04/08/2023 13:55</t>
  </si>
  <si>
    <t>BI04</t>
  </si>
  <si>
    <t>BG. ISA 304 / TB. KSA 104</t>
  </si>
  <si>
    <t>YDB6801</t>
  </si>
  <si>
    <t>19/04/2022 23:23</t>
  </si>
  <si>
    <t>BI0I</t>
  </si>
  <si>
    <t>BERJAYA I</t>
  </si>
  <si>
    <t>SAMUDRA ENERGI TANGGUH, PT</t>
  </si>
  <si>
    <t>JZVI</t>
  </si>
  <si>
    <t>BII1</t>
  </si>
  <si>
    <t>BINA INDO BAHARI  II</t>
  </si>
  <si>
    <t>BIII</t>
  </si>
  <si>
    <t>BARAKUDA II</t>
  </si>
  <si>
    <t>YDA 6533</t>
  </si>
  <si>
    <t>BISA</t>
  </si>
  <si>
    <t>BERSAMA INDAH SENTOSA</t>
  </si>
  <si>
    <t>YGRL</t>
  </si>
  <si>
    <t>BKII</t>
  </si>
  <si>
    <t>TB. BARAKUDA II / BG. MARITIM PERKASA 3021</t>
  </si>
  <si>
    <t>29/12/2023 14:26</t>
  </si>
  <si>
    <t>BKTA</t>
  </si>
  <si>
    <t>BALI KUTA</t>
  </si>
  <si>
    <t>PKRZ</t>
  </si>
  <si>
    <t>BL05</t>
  </si>
  <si>
    <t>BARA LAUT 2705</t>
  </si>
  <si>
    <t>BL07</t>
  </si>
  <si>
    <t>BARA LAUT 2707</t>
  </si>
  <si>
    <t>BL18</t>
  </si>
  <si>
    <t>TB. VARIA USAHA 18 / BG. LINTAS SEGARA 10</t>
  </si>
  <si>
    <t>YDB6219</t>
  </si>
  <si>
    <t>03/06/2025 12:20</t>
  </si>
  <si>
    <t>BLB1</t>
  </si>
  <si>
    <t>TB. BELIBIS I / BG. HM 308</t>
  </si>
  <si>
    <t>China</t>
  </si>
  <si>
    <t>11/06/2024 12:18</t>
  </si>
  <si>
    <t>BLIN</t>
  </si>
  <si>
    <t>KM. BERLIAN INDAH</t>
  </si>
  <si>
    <t>DWI ARTHA SAMUDERA PT</t>
  </si>
  <si>
    <t>YBYK</t>
  </si>
  <si>
    <t>28/04/2022 04:14</t>
  </si>
  <si>
    <t>BLK3</t>
  </si>
  <si>
    <t>TB. HARRY 01 / BG. BULESKO III</t>
  </si>
  <si>
    <t>YDC4814</t>
  </si>
  <si>
    <t>14/04/2025 18:36</t>
  </si>
  <si>
    <t>BM01</t>
  </si>
  <si>
    <t>BG. MASADA 10/TB. PM 1</t>
  </si>
  <si>
    <t>10/02/2022 13:52</t>
  </si>
  <si>
    <t>BM02</t>
  </si>
  <si>
    <t>BG. MARINA POWER 3016/TB. GRACE 02</t>
  </si>
  <si>
    <t>10/02/2022 13:41</t>
  </si>
  <si>
    <t>BM08</t>
  </si>
  <si>
    <t>BERKAT MAKMUR 8</t>
  </si>
  <si>
    <t>YDKR3</t>
  </si>
  <si>
    <t>26/03/2025 12:29</t>
  </si>
  <si>
    <t>BM20</t>
  </si>
  <si>
    <t>BG. MANNA LINES 9002/TB. TOB 20</t>
  </si>
  <si>
    <t>BM21</t>
  </si>
  <si>
    <t>BG. MITRA 01/TB. MITRA SAMUDERA 28</t>
  </si>
  <si>
    <t>YDB6327</t>
  </si>
  <si>
    <t>07/03/2022 11:28</t>
  </si>
  <si>
    <t>BM25</t>
  </si>
  <si>
    <t>TB. MARINA 1625 / BG. MARINE POWER 3061</t>
  </si>
  <si>
    <t>TERA LOGISTIC, PT</t>
  </si>
  <si>
    <t>YDB3092</t>
  </si>
  <si>
    <t>22/03/2023 12:15</t>
  </si>
  <si>
    <t>BM28</t>
  </si>
  <si>
    <t>BG. MITRA 01 / TB. MITRA SAMUDERA 28</t>
  </si>
  <si>
    <t>24/02/2023 17:24</t>
  </si>
  <si>
    <t>BM51</t>
  </si>
  <si>
    <t>KM. BUNGA MELATI 51</t>
  </si>
  <si>
    <t>YBGS2</t>
  </si>
  <si>
    <t>10/06/2023 13:20</t>
  </si>
  <si>
    <t>BM68</t>
  </si>
  <si>
    <t>KM. BUDI MULIA 68</t>
  </si>
  <si>
    <t>JZHX</t>
  </si>
  <si>
    <t>31/03/2025 20:01</t>
  </si>
  <si>
    <t>BMAS</t>
  </si>
  <si>
    <t>BELIK MAS</t>
  </si>
  <si>
    <t>POYH</t>
  </si>
  <si>
    <t>BMII</t>
  </si>
  <si>
    <t>BINTANG MUTIARA XXXII</t>
  </si>
  <si>
    <t>USDA SEROJA JAYA, PT</t>
  </si>
  <si>
    <t>YD 4956</t>
  </si>
  <si>
    <t>BMIV</t>
  </si>
  <si>
    <t>BINTANG MUTIARA XXIV</t>
  </si>
  <si>
    <t>YDA3567</t>
  </si>
  <si>
    <t>BMTI</t>
  </si>
  <si>
    <t>KM. BUNGA MELATI</t>
  </si>
  <si>
    <t>08/04/2024 18:06</t>
  </si>
  <si>
    <t>BNOC</t>
  </si>
  <si>
    <t>TB. BUANA CHAMPION / BG. BUANA OCEAN 14</t>
  </si>
  <si>
    <t>29/02/2024 15:02</t>
  </si>
  <si>
    <t>BO07</t>
  </si>
  <si>
    <t>BG. OCEANUS 32 TB. MHKL 207</t>
  </si>
  <si>
    <t>17/05/2025 11:34</t>
  </si>
  <si>
    <t>BPEN</t>
  </si>
  <si>
    <t>TB. PACIFIC EIGHTEEN / BG. PACIFIC 3018</t>
  </si>
  <si>
    <t>YDC 3493</t>
  </si>
  <si>
    <t>22/08/2023 09:04</t>
  </si>
  <si>
    <t>BPHT</t>
  </si>
  <si>
    <t>BG. PACIFIC 3012 / TB. PACIFIC EIGHT</t>
  </si>
  <si>
    <t>YDA 3486</t>
  </si>
  <si>
    <t>14/11/2022 10:30</t>
  </si>
  <si>
    <t>BPIN</t>
  </si>
  <si>
    <t>TB. STAR DOLPHIN / BG. PARTA JAYA 3008</t>
  </si>
  <si>
    <t>YDA6318</t>
  </si>
  <si>
    <t>11/01/2025 00:07</t>
  </si>
  <si>
    <t>BPIX</t>
  </si>
  <si>
    <t>TB. PACIFIC SIX / BG. PACIFIC 3006</t>
  </si>
  <si>
    <t>YDA 3369</t>
  </si>
  <si>
    <t>23/10/2024 17:22</t>
  </si>
  <si>
    <t>BR22</t>
  </si>
  <si>
    <t>TB. BERAU 22 / BG. PSPM 22</t>
  </si>
  <si>
    <t>YDB4830</t>
  </si>
  <si>
    <t>19/09/2023 09:34</t>
  </si>
  <si>
    <t>BR68</t>
  </si>
  <si>
    <t>BG. RMN 316/ TB. KSA 68</t>
  </si>
  <si>
    <t>YDB6207</t>
  </si>
  <si>
    <t>17/02/2022 18:25</t>
  </si>
  <si>
    <t>BRF1</t>
  </si>
  <si>
    <t>KM. BARUNA FORTUNA I</t>
  </si>
  <si>
    <t>YLGS</t>
  </si>
  <si>
    <t>30/10/2023 20:34</t>
  </si>
  <si>
    <t>BRII</t>
  </si>
  <si>
    <t>BENUA RAYA VIII</t>
  </si>
  <si>
    <t>BENUA RAYA KATULISTIWA, PT</t>
  </si>
  <si>
    <t>POBW</t>
  </si>
  <si>
    <t>27/11/2017 10:51</t>
  </si>
  <si>
    <t>BRLM</t>
  </si>
  <si>
    <t>KLM. BINA RAYA INDAH</t>
  </si>
  <si>
    <t>08/04/2024 18:05</t>
  </si>
  <si>
    <t>BRM2</t>
  </si>
  <si>
    <t>TB. MAHKOTA VI / BG. BARAMAR 2712</t>
  </si>
  <si>
    <t>YDB6004</t>
  </si>
  <si>
    <t>28/10/2023 15:49</t>
  </si>
  <si>
    <t>BRNE</t>
  </si>
  <si>
    <t>MV. BARANEE NAREE</t>
  </si>
  <si>
    <t>Singapore</t>
  </si>
  <si>
    <t>S6EP8</t>
  </si>
  <si>
    <t>25/07/2022 12:07</t>
  </si>
  <si>
    <t>BRRY</t>
  </si>
  <si>
    <t>KM. BARUNA RAYA</t>
  </si>
  <si>
    <t>YGKD</t>
  </si>
  <si>
    <t>18/07/2023 14:13</t>
  </si>
  <si>
    <t>BS01</t>
  </si>
  <si>
    <t>BG. SENTOSA JAYA 3002 / TB. ERINA 1601</t>
  </si>
  <si>
    <t>Malaysia</t>
  </si>
  <si>
    <t>19/02/2022 14:21</t>
  </si>
  <si>
    <t>BS06</t>
  </si>
  <si>
    <t>TB. SAFARI 06 / BG. SEKAR SAMUDERA 06</t>
  </si>
  <si>
    <t>06/12/2022 19:42</t>
  </si>
  <si>
    <t>BS08</t>
  </si>
  <si>
    <t>BINTANG SAMUDRA 8</t>
  </si>
  <si>
    <t>YBCY2</t>
  </si>
  <si>
    <t>BS10</t>
  </si>
  <si>
    <t>TB. SMS 160 10 / BG. SMS 10</t>
  </si>
  <si>
    <t>YDC4738</t>
  </si>
  <si>
    <t>26/12/2024 11:02</t>
  </si>
  <si>
    <t>BS32</t>
  </si>
  <si>
    <t>BG. SYUKUR 09 / TB. SYUKUR 32</t>
  </si>
  <si>
    <t>BS52</t>
  </si>
  <si>
    <t>BG. SYUKUR 53 / TB. SYUKUR 52</t>
  </si>
  <si>
    <t>YDB6886</t>
  </si>
  <si>
    <t>24/02/2022 10:43</t>
  </si>
  <si>
    <t>BS56</t>
  </si>
  <si>
    <t>BG. SYUKUR 55 / TB. SYUKUR 56</t>
  </si>
  <si>
    <t>25/02/2022 09:51</t>
  </si>
  <si>
    <t>BS58</t>
  </si>
  <si>
    <t>BG. SEA DRAGON 3068 / TB. BLUE DRAGON 58</t>
  </si>
  <si>
    <t>YDB6191</t>
  </si>
  <si>
    <t>20/02/2022 06:54</t>
  </si>
  <si>
    <t>BS68</t>
  </si>
  <si>
    <t>BG. SATRIA LAUT 3/TB. SATRIA LAKSANA 68</t>
  </si>
  <si>
    <t>BS98</t>
  </si>
  <si>
    <t>BINTANG SETIAWAN 98</t>
  </si>
  <si>
    <t>AB 1234</t>
  </si>
  <si>
    <t>BSJ8</t>
  </si>
  <si>
    <t>KM. BINTANG SEJAHTERA 8</t>
  </si>
  <si>
    <t>P N R W</t>
  </si>
  <si>
    <t>13/09/2022 08:32</t>
  </si>
  <si>
    <t>BSLM</t>
  </si>
  <si>
    <t>BERKAH SELEBES, KLM</t>
  </si>
  <si>
    <t>14/01/2023 10:26</t>
  </si>
  <si>
    <t>BSNG</t>
  </si>
  <si>
    <t>BUKIT SIGUNTANG</t>
  </si>
  <si>
    <t>PENUMPANG</t>
  </si>
  <si>
    <t>PELNI BALIKPAPAN, PT</t>
  </si>
  <si>
    <t>YFGS</t>
  </si>
  <si>
    <t>BSRA</t>
  </si>
  <si>
    <t>BULL SUMATERA</t>
  </si>
  <si>
    <t>YBVV2</t>
  </si>
  <si>
    <t>BSS8</t>
  </si>
  <si>
    <t>BG. SEKAR SAMUDERA/TB. SAFARI 08</t>
  </si>
  <si>
    <t>10/02/2022 13:53</t>
  </si>
  <si>
    <t>BSSI</t>
  </si>
  <si>
    <t>BULL SULAWESI</t>
  </si>
  <si>
    <t>JZYR</t>
  </si>
  <si>
    <t>BT02</t>
  </si>
  <si>
    <t>BINTANG TIMUR 1202</t>
  </si>
  <si>
    <t>MERATUS LINE, PT</t>
  </si>
  <si>
    <t>BT22</t>
  </si>
  <si>
    <t>BG. TSM 25 / TB. TRANS 22</t>
  </si>
  <si>
    <t>BT28</t>
  </si>
  <si>
    <t>KM. BINTANG 28</t>
  </si>
  <si>
    <t>YDHE</t>
  </si>
  <si>
    <t>21/03/2025 09:32</t>
  </si>
  <si>
    <t>BT29</t>
  </si>
  <si>
    <t>TB KARYA STAR 59 / BG TELAGA MAKMUR 29</t>
  </si>
  <si>
    <t>GURITA LINTAS SAMUDERA, PT</t>
  </si>
  <si>
    <t>GLS</t>
  </si>
  <si>
    <t>YDC6348</t>
  </si>
  <si>
    <t>02/09/2024 13:21</t>
  </si>
  <si>
    <t>BT64</t>
  </si>
  <si>
    <t>TB. KARYA STAR 80 / BG. TELAGA MAKMUR 30</t>
  </si>
  <si>
    <t>YDC6415</t>
  </si>
  <si>
    <t>27/05/2025 12:24</t>
  </si>
  <si>
    <t>BTEA</t>
  </si>
  <si>
    <t>BG. TONASA LINES XX / TB. BULU CINDEA</t>
  </si>
  <si>
    <t>TLXX</t>
  </si>
  <si>
    <t>15/02/2022 12:25</t>
  </si>
  <si>
    <t>BTNG</t>
  </si>
  <si>
    <t>BG. TONASA LINES XXIII / TB. LABBAKKANG</t>
  </si>
  <si>
    <t>TLXXIII</t>
  </si>
  <si>
    <t>BTNT</t>
  </si>
  <si>
    <t>BG. TONASA LINES XXII / TB. BONTOA</t>
  </si>
  <si>
    <t>TLXXII</t>
  </si>
  <si>
    <t>BTOA</t>
  </si>
  <si>
    <t>BG. TONASA LINES XXIV / TB. BONTOA</t>
  </si>
  <si>
    <t>TLXXIV</t>
  </si>
  <si>
    <t>BTSJ</t>
  </si>
  <si>
    <t>KM BAHTERA SEJATI</t>
  </si>
  <si>
    <t>YCVX</t>
  </si>
  <si>
    <t>01/02/2024 12:50</t>
  </si>
  <si>
    <t>BTSS</t>
  </si>
  <si>
    <t>KM. BAHTERA SUKSES</t>
  </si>
  <si>
    <t>JZDV</t>
  </si>
  <si>
    <t>14/03/2022 10:36</t>
  </si>
  <si>
    <t>BTUT</t>
  </si>
  <si>
    <t>KM. BINTAN UTAMA</t>
  </si>
  <si>
    <t>JZTH</t>
  </si>
  <si>
    <t>18/11/2023 14:56</t>
  </si>
  <si>
    <t>BTWA</t>
  </si>
  <si>
    <t>BG. TONASA LINES XXI / TB. SAMALEWA</t>
  </si>
  <si>
    <t>TLXXI</t>
  </si>
  <si>
    <t>BTXI</t>
  </si>
  <si>
    <t>BG. TERANG 319/TB. FERY XXI</t>
  </si>
  <si>
    <t>10/02/2022 13:19</t>
  </si>
  <si>
    <t>BTXX</t>
  </si>
  <si>
    <t>KM. BUNGA TERATAI XXI</t>
  </si>
  <si>
    <t>PNQZ</t>
  </si>
  <si>
    <t>10/03/2023 13:47</t>
  </si>
  <si>
    <t>BV0V</t>
  </si>
  <si>
    <t>BARAKUDA V</t>
  </si>
  <si>
    <t>YDA 6639</t>
  </si>
  <si>
    <t>BVGE</t>
  </si>
  <si>
    <t>BLUE VOYAGE</t>
  </si>
  <si>
    <t>S2CF7</t>
  </si>
  <si>
    <t>02/09/2022 10:34</t>
  </si>
  <si>
    <t>BVII</t>
  </si>
  <si>
    <t>BARAKUDA VII</t>
  </si>
  <si>
    <t>yda 6711</t>
  </si>
  <si>
    <t>BVVI</t>
  </si>
  <si>
    <t>BARAKUDA VI</t>
  </si>
  <si>
    <t>YDA 6688</t>
  </si>
  <si>
    <t>BX0X</t>
  </si>
  <si>
    <t>BARAKUDA X</t>
  </si>
  <si>
    <t>YDA 6870</t>
  </si>
  <si>
    <t>C110</t>
  </si>
  <si>
    <t>CAMAR 10</t>
  </si>
  <si>
    <t>YDB 4117</t>
  </si>
  <si>
    <t>C228</t>
  </si>
  <si>
    <t>COASTWAY 2027</t>
  </si>
  <si>
    <t>C301</t>
  </si>
  <si>
    <t>CL. 3001</t>
  </si>
  <si>
    <t>C303</t>
  </si>
  <si>
    <t>CAMAR 3</t>
  </si>
  <si>
    <t>YD3362</t>
  </si>
  <si>
    <t>C339</t>
  </si>
  <si>
    <t>CAPRICORN 39</t>
  </si>
  <si>
    <t>ARJUNA MANDIRI.CV</t>
  </si>
  <si>
    <t>30/08/2021 13:31</t>
  </si>
  <si>
    <t>C442</t>
  </si>
  <si>
    <t>CAPRICORN 42</t>
  </si>
  <si>
    <t>BAHTERA ADHIGUNA BALIKPAPAN, PT</t>
  </si>
  <si>
    <t>YD 3589</t>
  </si>
  <si>
    <t>C808</t>
  </si>
  <si>
    <t>COMET  8</t>
  </si>
  <si>
    <t>C909</t>
  </si>
  <si>
    <t>CAMAR 9</t>
  </si>
  <si>
    <t>YDB 4116</t>
  </si>
  <si>
    <t>C999</t>
  </si>
  <si>
    <t>CLARA 99</t>
  </si>
  <si>
    <t>CAB1</t>
  </si>
  <si>
    <t>KM.CAHAYA BARU NO.1</t>
  </si>
  <si>
    <t>CAHAYA JAYA CEMERLANG PT</t>
  </si>
  <si>
    <t>PMWJ</t>
  </si>
  <si>
    <t>23/03/2022 12:08</t>
  </si>
  <si>
    <t>CAB3</t>
  </si>
  <si>
    <t>KM.CAHAYA BARU NO.3</t>
  </si>
  <si>
    <t>RAMAJAYA SAMUDRA SEJATI, PT</t>
  </si>
  <si>
    <t>RSS</t>
  </si>
  <si>
    <t>PNTX</t>
  </si>
  <si>
    <t>14/11/2023 16:54</t>
  </si>
  <si>
    <t>CCLK</t>
  </si>
  <si>
    <t>KM. CICALENGKA</t>
  </si>
  <si>
    <t>PNIR</t>
  </si>
  <si>
    <t>15/08/2022 09:24</t>
  </si>
  <si>
    <t>CEIA</t>
  </si>
  <si>
    <t>CERIA</t>
  </si>
  <si>
    <t>BAMA BAKTI SAMUDRA, PT</t>
  </si>
  <si>
    <t>YD 6888</t>
  </si>
  <si>
    <t>CEMC</t>
  </si>
  <si>
    <t>KM. CEMCON</t>
  </si>
  <si>
    <t>POPZ</t>
  </si>
  <si>
    <t>04/10/2024 08:55</t>
  </si>
  <si>
    <t>CEMU</t>
  </si>
  <si>
    <t>MV.CEMENT SUCCESS</t>
  </si>
  <si>
    <t>YBOX2</t>
  </si>
  <si>
    <t>04/12/2024 10:14</t>
  </si>
  <si>
    <t>CEPA</t>
  </si>
  <si>
    <t>KM. CEPAT</t>
  </si>
  <si>
    <t>JZDX</t>
  </si>
  <si>
    <t>08/04/2024 18:07</t>
  </si>
  <si>
    <t>CGK2</t>
  </si>
  <si>
    <t>KM. CENGKEH 02</t>
  </si>
  <si>
    <t>YHIR</t>
  </si>
  <si>
    <t>19/11/2023 09:26</t>
  </si>
  <si>
    <t>CHSL</t>
  </si>
  <si>
    <t>MV. CHIEF SEATLE</t>
  </si>
  <si>
    <t>3E3755</t>
  </si>
  <si>
    <t>28/03/2025 10:11</t>
  </si>
  <si>
    <t>CIES</t>
  </si>
  <si>
    <t>CAHAYA INTAN SELEBES, KLM</t>
  </si>
  <si>
    <t>02/12/2022 20:59</t>
  </si>
  <si>
    <t>CJ11</t>
  </si>
  <si>
    <t>KM. CARAKA JAYA NIAGA III-11</t>
  </si>
  <si>
    <t>YEWT</t>
  </si>
  <si>
    <t>28/12/2023 10:21</t>
  </si>
  <si>
    <t>CKPP</t>
  </si>
  <si>
    <t>KM. CITRA KARYA PAPUA</t>
  </si>
  <si>
    <t>PNVH</t>
  </si>
  <si>
    <t>07/03/2022 14:34</t>
  </si>
  <si>
    <t>CL01</t>
  </si>
  <si>
    <t>CAMAR LAUT 2701</t>
  </si>
  <si>
    <t>CL02</t>
  </si>
  <si>
    <t>CAMAR LAUT 2702</t>
  </si>
  <si>
    <t>CMCN</t>
  </si>
  <si>
    <t>MV. CEMCON</t>
  </si>
  <si>
    <t>23/07/2024 10:19</t>
  </si>
  <si>
    <t>CMLA</t>
  </si>
  <si>
    <t>KM. CAHAYA MANGGALA</t>
  </si>
  <si>
    <t>PMYQ</t>
  </si>
  <si>
    <t>20/09/2024 07:45</t>
  </si>
  <si>
    <t>CMRY</t>
  </si>
  <si>
    <t>KM. CAMRY</t>
  </si>
  <si>
    <t>JZPO</t>
  </si>
  <si>
    <t>10/06/2022 11:17</t>
  </si>
  <si>
    <t>CMSC</t>
  </si>
  <si>
    <t>MV CEMENT SUCCESS</t>
  </si>
  <si>
    <t>INDOBARUNA BULK TRANSPORT PT</t>
  </si>
  <si>
    <t>25/11/2024 13:54</t>
  </si>
  <si>
    <t>CMTR</t>
  </si>
  <si>
    <t>MV. CEMTRANS</t>
  </si>
  <si>
    <t>JZIB</t>
  </si>
  <si>
    <t>10/03/2025 15:57</t>
  </si>
  <si>
    <t>CN 0</t>
  </si>
  <si>
    <t>CITRA NUSANTARA 01</t>
  </si>
  <si>
    <t>YBXI</t>
  </si>
  <si>
    <t>08/05/2025 09:11</t>
  </si>
  <si>
    <t>CNRA</t>
  </si>
  <si>
    <t>CENDERAWASIH NUSANTARA</t>
  </si>
  <si>
    <t>YDB 6663</t>
  </si>
  <si>
    <t>CODO</t>
  </si>
  <si>
    <t>COLORADO</t>
  </si>
  <si>
    <t>IMAKO PERKASA LINES, PT</t>
  </si>
  <si>
    <t>29/11/2017 16:11</t>
  </si>
  <si>
    <t>CONE</t>
  </si>
  <si>
    <t>CHAMPION ONE</t>
  </si>
  <si>
    <t>YFPG</t>
  </si>
  <si>
    <t>CPMA</t>
  </si>
  <si>
    <t>CINTIANA PRATAMA</t>
  </si>
  <si>
    <t>PNKC</t>
  </si>
  <si>
    <t>CPOT</t>
  </si>
  <si>
    <t>CAKRA PATRIOT</t>
  </si>
  <si>
    <t>YBG12</t>
  </si>
  <si>
    <t>CR08</t>
  </si>
  <si>
    <t>MV CLARITY 08</t>
  </si>
  <si>
    <t>03/07/2023 15:32</t>
  </si>
  <si>
    <t>CU02</t>
  </si>
  <si>
    <t>KM.CAHAYA BARU NO.2</t>
  </si>
  <si>
    <t>CJC</t>
  </si>
  <si>
    <t>23/03/2022 17:20</t>
  </si>
  <si>
    <t>CVN1</t>
  </si>
  <si>
    <t>CSK VALIANT</t>
  </si>
  <si>
    <t>YBOZ2</t>
  </si>
  <si>
    <t>15/11/2017 09:15</t>
  </si>
  <si>
    <t>D-06</t>
  </si>
  <si>
    <t>DANNY - 6</t>
  </si>
  <si>
    <t>YD 6298</t>
  </si>
  <si>
    <t>D-08</t>
  </si>
  <si>
    <t>DANNY - 8</t>
  </si>
  <si>
    <t>/</t>
  </si>
  <si>
    <t>D-0A</t>
  </si>
  <si>
    <t>DANNY - A</t>
  </si>
  <si>
    <t>YD 6343</t>
  </si>
  <si>
    <t>D-10</t>
  </si>
  <si>
    <t>DANNY - 10</t>
  </si>
  <si>
    <t>YD 6748</t>
  </si>
  <si>
    <t>D-11</t>
  </si>
  <si>
    <t>DANNY - 11</t>
  </si>
  <si>
    <t>D-12</t>
  </si>
  <si>
    <t>DANNY - 12</t>
  </si>
  <si>
    <t>YD 6625</t>
  </si>
  <si>
    <t>D-14</t>
  </si>
  <si>
    <t>DANNY - 14</t>
  </si>
  <si>
    <t>D-16</t>
  </si>
  <si>
    <t>DANNY - 16</t>
  </si>
  <si>
    <t>D-30</t>
  </si>
  <si>
    <t>DANNY - 30</t>
  </si>
  <si>
    <t>YDB-6002</t>
  </si>
  <si>
    <t>D113</t>
  </si>
  <si>
    <t>DANNY 13</t>
  </si>
  <si>
    <t>ALA</t>
  </si>
  <si>
    <t>23/01/2025 13:33</t>
  </si>
  <si>
    <t>D115</t>
  </si>
  <si>
    <t>DANNY 15</t>
  </si>
  <si>
    <t>YDA 6064</t>
  </si>
  <si>
    <t>D118</t>
  </si>
  <si>
    <t>DANNY 18</t>
  </si>
  <si>
    <t>YDA 6287</t>
  </si>
  <si>
    <t>D119</t>
  </si>
  <si>
    <t>DANNY 19</t>
  </si>
  <si>
    <t>D220</t>
  </si>
  <si>
    <t>DANNY 20</t>
  </si>
  <si>
    <t>YDA 6712</t>
  </si>
  <si>
    <t>D221</t>
  </si>
  <si>
    <t>DANNY 21</t>
  </si>
  <si>
    <t>D222</t>
  </si>
  <si>
    <t>DANNY 22</t>
  </si>
  <si>
    <t>YDA 6708</t>
  </si>
  <si>
    <t>D223</t>
  </si>
  <si>
    <t>DANNY 23</t>
  </si>
  <si>
    <t>D224</t>
  </si>
  <si>
    <t>DANNY 24</t>
  </si>
  <si>
    <t>YDA 6766</t>
  </si>
  <si>
    <t>D225</t>
  </si>
  <si>
    <t>DANNY 25</t>
  </si>
  <si>
    <t>D226</t>
  </si>
  <si>
    <t>DANNY 26</t>
  </si>
  <si>
    <t>YDA 6807</t>
  </si>
  <si>
    <t>D227</t>
  </si>
  <si>
    <t>DANNY 27</t>
  </si>
  <si>
    <t>D228</t>
  </si>
  <si>
    <t>DANNY 28</t>
  </si>
  <si>
    <t>YDA 6838</t>
  </si>
  <si>
    <t>D229</t>
  </si>
  <si>
    <t>DANNY 29</t>
  </si>
  <si>
    <t>D331</t>
  </si>
  <si>
    <t>DANNY 31</t>
  </si>
  <si>
    <t>D332</t>
  </si>
  <si>
    <t>DANNY 32</t>
  </si>
  <si>
    <t>YDB 6079</t>
  </si>
  <si>
    <t>D333</t>
  </si>
  <si>
    <t>DANNY 33</t>
  </si>
  <si>
    <t>D334</t>
  </si>
  <si>
    <t>DANNY 34</t>
  </si>
  <si>
    <t>YDB 6080</t>
  </si>
  <si>
    <t>dedy.ganden@gmail.com</t>
  </si>
  <si>
    <t>19/10/2017 23:40</t>
  </si>
  <si>
    <t>D335</t>
  </si>
  <si>
    <t>DANNY 35</t>
  </si>
  <si>
    <t>D336</t>
  </si>
  <si>
    <t>DANNY 36</t>
  </si>
  <si>
    <t>YDB 6250</t>
  </si>
  <si>
    <t>D337</t>
  </si>
  <si>
    <t>DANNY 37</t>
  </si>
  <si>
    <t>D440</t>
  </si>
  <si>
    <t>DANNY 40</t>
  </si>
  <si>
    <t>YDB 6570</t>
  </si>
  <si>
    <t>D441</t>
  </si>
  <si>
    <t>DANNY 41</t>
  </si>
  <si>
    <t>D550</t>
  </si>
  <si>
    <t>DANNY 50</t>
  </si>
  <si>
    <t>YDB 6677</t>
  </si>
  <si>
    <t>D551</t>
  </si>
  <si>
    <t>DANNY 51</t>
  </si>
  <si>
    <t>DA05</t>
  </si>
  <si>
    <t>DELTA AA - 5</t>
  </si>
  <si>
    <t>YB 6604</t>
  </si>
  <si>
    <t>DA28</t>
  </si>
  <si>
    <t>DELTA ABADI 28</t>
  </si>
  <si>
    <t>PANCARAN SAMUDRA TRANSPORT, PT</t>
  </si>
  <si>
    <t>YDA 6152</t>
  </si>
  <si>
    <t>DANO</t>
  </si>
  <si>
    <t>KM DAN NO 1</t>
  </si>
  <si>
    <t>POJC</t>
  </si>
  <si>
    <t>16/02/2023 11:50</t>
  </si>
  <si>
    <t>DASN</t>
  </si>
  <si>
    <t>MV. DARYA SHAAN</t>
  </si>
  <si>
    <t>VTAI</t>
  </si>
  <si>
    <t>19/03/2024 06:38</t>
  </si>
  <si>
    <t>DBII</t>
  </si>
  <si>
    <t>KM. DEWI BULAN II</t>
  </si>
  <si>
    <t>PMIW</t>
  </si>
  <si>
    <t>20/05/2022 14:54</t>
  </si>
  <si>
    <t>DENI</t>
  </si>
  <si>
    <t>DEWAYANI</t>
  </si>
  <si>
    <t>PMVT</t>
  </si>
  <si>
    <t>DESE</t>
  </si>
  <si>
    <t>KM. DEWI SENTOSA</t>
  </si>
  <si>
    <t>DAS</t>
  </si>
  <si>
    <t>YDFY</t>
  </si>
  <si>
    <t>29/05/2023 09:13</t>
  </si>
  <si>
    <t>DF03</t>
  </si>
  <si>
    <t>KM. DHARMA FERRY 3</t>
  </si>
  <si>
    <t>RORO</t>
  </si>
  <si>
    <t>DHARMA LAUTAN UTAMA, PT</t>
  </si>
  <si>
    <t>YBXH</t>
  </si>
  <si>
    <t>24/08/2017 18:27</t>
  </si>
  <si>
    <t>DGGL</t>
  </si>
  <si>
    <t>MV. DONGGALA</t>
  </si>
  <si>
    <t>YFNW</t>
  </si>
  <si>
    <t>22/07/2023 21:30</t>
  </si>
  <si>
    <t>DGL8</t>
  </si>
  <si>
    <t>MV. DONGGALA VIII</t>
  </si>
  <si>
    <t>06/10/2023 19:22</t>
  </si>
  <si>
    <t>DK07</t>
  </si>
  <si>
    <t>DUTA KAPUAS - 07</t>
  </si>
  <si>
    <t>YD.4352</t>
  </si>
  <si>
    <t>DKIX</t>
  </si>
  <si>
    <t>DHARMA KARTIKA IX</t>
  </si>
  <si>
    <t>POXQ</t>
  </si>
  <si>
    <t>DKKK</t>
  </si>
  <si>
    <t>TB. DUTA KAPUAS 10/BG. KAPUAS 312</t>
  </si>
  <si>
    <t>YD3553</t>
  </si>
  <si>
    <t>07/03/2025 13:08</t>
  </si>
  <si>
    <t>DL02</t>
  </si>
  <si>
    <t>TB. DEL 02 / BG. BKT 305</t>
  </si>
  <si>
    <t>YDB4046</t>
  </si>
  <si>
    <t>17/02/2025 19:24</t>
  </si>
  <si>
    <t>DM10</t>
  </si>
  <si>
    <t>TB. DHARMA 10 / BG. HM 308</t>
  </si>
  <si>
    <t>YDB6322</t>
  </si>
  <si>
    <t>01/09/2024 14:58</t>
  </si>
  <si>
    <t>DMS5</t>
  </si>
  <si>
    <t>KM. DAMAI SEJAHTERA 5</t>
  </si>
  <si>
    <t>YBHT2</t>
  </si>
  <si>
    <t>31/03/2025 13:37</t>
  </si>
  <si>
    <t>DMS6</t>
  </si>
  <si>
    <t>KM DAMAI SEJAHTERA 6</t>
  </si>
  <si>
    <t>POVV</t>
  </si>
  <si>
    <t>14/06/2025 05:40</t>
  </si>
  <si>
    <t>DNKM</t>
  </si>
  <si>
    <t>DJO NO.1,  KM</t>
  </si>
  <si>
    <t>PNJE</t>
  </si>
  <si>
    <t>17/02/2022 20:42</t>
  </si>
  <si>
    <t>DP0X</t>
  </si>
  <si>
    <t>DUTA PERTIWI X</t>
  </si>
  <si>
    <t>YB 6574</t>
  </si>
  <si>
    <t>25/10/2017 21:49</t>
  </si>
  <si>
    <t>DPI1</t>
  </si>
  <si>
    <t>DUTA PERTIWI VIII</t>
  </si>
  <si>
    <t>JZWG</t>
  </si>
  <si>
    <t>DRSY</t>
  </si>
  <si>
    <t>MV. DARYA SATYA</t>
  </si>
  <si>
    <t>Marshall Islands</t>
  </si>
  <si>
    <t>V7A6367</t>
  </si>
  <si>
    <t>07/02/2025 12:12</t>
  </si>
  <si>
    <t>DS88</t>
  </si>
  <si>
    <t>KM. DAMAI SEJAHTERA 88</t>
  </si>
  <si>
    <t>PLMC</t>
  </si>
  <si>
    <t>13/02/2024 16:55</t>
  </si>
  <si>
    <t>DSCV</t>
  </si>
  <si>
    <t>MV. DISCOVERY</t>
  </si>
  <si>
    <t>V7K69</t>
  </si>
  <si>
    <t>23/09/2022 20:44</t>
  </si>
  <si>
    <t>DSJ7</t>
  </si>
  <si>
    <t>KM. DAMAI SEJAHTERA 7</t>
  </si>
  <si>
    <t>JZBO</t>
  </si>
  <si>
    <t>08/09/2023 15:44</t>
  </si>
  <si>
    <t>DTE1</t>
  </si>
  <si>
    <t>DAWI TANKER</t>
  </si>
  <si>
    <t>POZS</t>
  </si>
  <si>
    <t>DWSA</t>
  </si>
  <si>
    <t>LCT. DEWA SAMUDERA ABADI</t>
  </si>
  <si>
    <t>JZWJ</t>
  </si>
  <si>
    <t>15/04/2025 15:15</t>
  </si>
  <si>
    <t>E-05</t>
  </si>
  <si>
    <t>ESP - 2205</t>
  </si>
  <si>
    <t>E112</t>
  </si>
  <si>
    <t>ERAWAN 12</t>
  </si>
  <si>
    <t>YBJM2</t>
  </si>
  <si>
    <t>E207</t>
  </si>
  <si>
    <t>ESP 2707</t>
  </si>
  <si>
    <t>E999</t>
  </si>
  <si>
    <t>ERAWAN 99</t>
  </si>
  <si>
    <t>YBES2</t>
  </si>
  <si>
    <t>EB02</t>
  </si>
  <si>
    <t>ELANG BIRU - 502</t>
  </si>
  <si>
    <t>EB05</t>
  </si>
  <si>
    <t>ELANG BIRU 505</t>
  </si>
  <si>
    <t>EC11</t>
  </si>
  <si>
    <t>TB. HARRY 09 / BG. ELECTRA 11</t>
  </si>
  <si>
    <t>YDA 6641</t>
  </si>
  <si>
    <t>17/02/2024 16:21</t>
  </si>
  <si>
    <t>EC17</t>
  </si>
  <si>
    <t>TB. TMH 12 / BG. ELECTRA 17</t>
  </si>
  <si>
    <t>09/10/2023 09:09</t>
  </si>
  <si>
    <t>EC18</t>
  </si>
  <si>
    <t>TB. TOB 20 / BG. ELECTRA 17</t>
  </si>
  <si>
    <t>EDEN</t>
  </si>
  <si>
    <t>KM. EDEN</t>
  </si>
  <si>
    <t>28/06/2024 16:33</t>
  </si>
  <si>
    <t>EE59</t>
  </si>
  <si>
    <t>ENTEBE EMERALD 59</t>
  </si>
  <si>
    <t>YDA6370</t>
  </si>
  <si>
    <t>EL15</t>
  </si>
  <si>
    <t>TB. TMH 10 / BG. ELECTRA 15</t>
  </si>
  <si>
    <t>YDA 6996</t>
  </si>
  <si>
    <t>17/04/2024 08:14</t>
  </si>
  <si>
    <t>EL16</t>
  </si>
  <si>
    <t>TB. HARRY 09 / BG. ELECTRA 16</t>
  </si>
  <si>
    <t>18/03/2024 12:04</t>
  </si>
  <si>
    <t>EL17</t>
  </si>
  <si>
    <t>TB. TMH 18 / BG. ELECTRA 17</t>
  </si>
  <si>
    <t>YDC6419</t>
  </si>
  <si>
    <t>20/06/2024 12:37</t>
  </si>
  <si>
    <t>EL18</t>
  </si>
  <si>
    <t>TB. TMH 17 / BG. ELECTRA 18</t>
  </si>
  <si>
    <t>YDB 6930</t>
  </si>
  <si>
    <t>15/01/2024 21:00</t>
  </si>
  <si>
    <t>EM02</t>
  </si>
  <si>
    <t>ECO MARINE 02</t>
  </si>
  <si>
    <t>YD 6881</t>
  </si>
  <si>
    <t>EM10</t>
  </si>
  <si>
    <t>TB. ECO MARINE 10 / BG. MARITIM PERKASA 2720</t>
  </si>
  <si>
    <t>06/01/2023 17:52</t>
  </si>
  <si>
    <t>EMIM</t>
  </si>
  <si>
    <t>ERA MARITIM</t>
  </si>
  <si>
    <t>ORELA BAHARI, PT</t>
  </si>
  <si>
    <t>ORE</t>
  </si>
  <si>
    <t>PMWW</t>
  </si>
  <si>
    <t>23/11/2017 14:30</t>
  </si>
  <si>
    <t>EMRI</t>
  </si>
  <si>
    <t>ELLE MANDIRI</t>
  </si>
  <si>
    <t>YBHQ2</t>
  </si>
  <si>
    <t>EMSP</t>
  </si>
  <si>
    <t>MV. EM SAPPHIRE</t>
  </si>
  <si>
    <t>3FXT4</t>
  </si>
  <si>
    <t>04/03/2023 13:10</t>
  </si>
  <si>
    <t>ENRA</t>
  </si>
  <si>
    <t>ELANG NUSANTARA</t>
  </si>
  <si>
    <t>YDB 6672</t>
  </si>
  <si>
    <t>EOIS</t>
  </si>
  <si>
    <t>ERSIHAN OASIS</t>
  </si>
  <si>
    <t>YDB 4090</t>
  </si>
  <si>
    <t>ERAN</t>
  </si>
  <si>
    <t>ERSIHAN</t>
  </si>
  <si>
    <t>AGF</t>
  </si>
  <si>
    <t>YD 6304</t>
  </si>
  <si>
    <t>arieskahasan04@gmail.com</t>
  </si>
  <si>
    <t>22/11/2017 17:25</t>
  </si>
  <si>
    <t>ES03</t>
  </si>
  <si>
    <t>EKA SAMUDRA 103</t>
  </si>
  <si>
    <t>SPARTA SAMUDRA INDONESIA, PT</t>
  </si>
  <si>
    <t>YDA 6983</t>
  </si>
  <si>
    <t>09/12/2017 11:17</t>
  </si>
  <si>
    <t>ES05</t>
  </si>
  <si>
    <t>EKA SAMUDRA 105</t>
  </si>
  <si>
    <t>YDA3923</t>
  </si>
  <si>
    <t>ES31</t>
  </si>
  <si>
    <t>ENTEBE STAR 31</t>
  </si>
  <si>
    <t>YD6774</t>
  </si>
  <si>
    <t>ET01</t>
  </si>
  <si>
    <t>ELANG TANGGUH 101</t>
  </si>
  <si>
    <t>YDA 4597</t>
  </si>
  <si>
    <t>ET16</t>
  </si>
  <si>
    <t>TB. TMH 10 / BG. ELECTRA 16</t>
  </si>
  <si>
    <t>YDA6996</t>
  </si>
  <si>
    <t>24/06/2024 15:41</t>
  </si>
  <si>
    <t>ETP3</t>
  </si>
  <si>
    <t>TB. ENTERPRISE 3 / BG. SEAGATE 2506</t>
  </si>
  <si>
    <t>YDA3717</t>
  </si>
  <si>
    <t>15/12/2023 16:22</t>
  </si>
  <si>
    <t>EVUS</t>
  </si>
  <si>
    <t>ERSIHAN VENUS</t>
  </si>
  <si>
    <t>YD 5068</t>
  </si>
  <si>
    <t>F-38</t>
  </si>
  <si>
    <t>FINACIA - 38</t>
  </si>
  <si>
    <t>--</t>
  </si>
  <si>
    <t>F002</t>
  </si>
  <si>
    <t>KM. FU NO.2</t>
  </si>
  <si>
    <t>PNXJ</t>
  </si>
  <si>
    <t>mike@primus.co.id</t>
  </si>
  <si>
    <t>14/06/2022 11:05</t>
  </si>
  <si>
    <t>F100</t>
  </si>
  <si>
    <t>FINACIA 100</t>
  </si>
  <si>
    <t>F119</t>
  </si>
  <si>
    <t>FINACIA 19</t>
  </si>
  <si>
    <t>F223</t>
  </si>
  <si>
    <t>FORTUNA 23</t>
  </si>
  <si>
    <t>AJF</t>
  </si>
  <si>
    <t>26/10/2017 21:42</t>
  </si>
  <si>
    <t>F227</t>
  </si>
  <si>
    <t>FAWWAZ 227</t>
  </si>
  <si>
    <t>YDA 6973</t>
  </si>
  <si>
    <t>F505</t>
  </si>
  <si>
    <t>FORTUNA 5</t>
  </si>
  <si>
    <t>YDA 6540</t>
  </si>
  <si>
    <t>F551</t>
  </si>
  <si>
    <t>FINACIA 51</t>
  </si>
  <si>
    <t>F907</t>
  </si>
  <si>
    <t>FADLUN 99 - 07</t>
  </si>
  <si>
    <t>KASAU SINAR SAMUDERA, PT</t>
  </si>
  <si>
    <t>YDB 6172</t>
  </si>
  <si>
    <t>FAO1</t>
  </si>
  <si>
    <t>FASTRON</t>
  </si>
  <si>
    <t>YDZH</t>
  </si>
  <si>
    <t>FC81</t>
  </si>
  <si>
    <t>TB. ENTEBE STAR 30 / BG. FINACIA 81</t>
  </si>
  <si>
    <t>01/07/2023 13:56</t>
  </si>
  <si>
    <t>FIND</t>
  </si>
  <si>
    <t>FORTUNE ISLAND</t>
  </si>
  <si>
    <t>YBFT2</t>
  </si>
  <si>
    <t>21/11/2022 10:14</t>
  </si>
  <si>
    <t>FKHO</t>
  </si>
  <si>
    <t>KM. FUKUHO</t>
  </si>
  <si>
    <t>00000</t>
  </si>
  <si>
    <t>17/06/2022 10:18</t>
  </si>
  <si>
    <t>FMJN</t>
  </si>
  <si>
    <t>MV. FATEMA JAHAN</t>
  </si>
  <si>
    <t>S2PF</t>
  </si>
  <si>
    <t>17/04/2023 20:04</t>
  </si>
  <si>
    <t>FONE</t>
  </si>
  <si>
    <t>FORTUNE</t>
  </si>
  <si>
    <t>PMPJ</t>
  </si>
  <si>
    <t>FR02</t>
  </si>
  <si>
    <t>TB. FRANSISCUS 02 / BG. MJL 3015</t>
  </si>
  <si>
    <t>YD6072</t>
  </si>
  <si>
    <t>01/04/2025 20:33</t>
  </si>
  <si>
    <t>FRS2</t>
  </si>
  <si>
    <t>TB. FRANSISCUS 02 / BG. AL MANAR</t>
  </si>
  <si>
    <t>04/07/2022 16:46</t>
  </si>
  <si>
    <t>FRSY</t>
  </si>
  <si>
    <t>MV. FAREAST HARMONY</t>
  </si>
  <si>
    <t>VRKC9</t>
  </si>
  <si>
    <t>08/03/2023 16:07</t>
  </si>
  <si>
    <t>FRY9</t>
  </si>
  <si>
    <t>TB. SETIA ABADI / BG. FERY 9</t>
  </si>
  <si>
    <t>YD6987</t>
  </si>
  <si>
    <t>15/02/2025 22:59</t>
  </si>
  <si>
    <t>FSRA</t>
  </si>
  <si>
    <t>FORTUNA SAMUDRA</t>
  </si>
  <si>
    <t>PELAYARAN TARJUN JAYA, PT</t>
  </si>
  <si>
    <t>YDB6171</t>
  </si>
  <si>
    <t>09/12/2017 18:00</t>
  </si>
  <si>
    <t>FUEN</t>
  </si>
  <si>
    <t>KM FUEN 7</t>
  </si>
  <si>
    <t>10/02/2022 09:45</t>
  </si>
  <si>
    <t>FUMA</t>
  </si>
  <si>
    <t>KM. FUKU</t>
  </si>
  <si>
    <t>YBEA2</t>
  </si>
  <si>
    <t>20/09/2023 14:04</t>
  </si>
  <si>
    <t>FVII</t>
  </si>
  <si>
    <t>FERY VII</t>
  </si>
  <si>
    <t>MASADA JAYA LINE, PT</t>
  </si>
  <si>
    <t>YCOA</t>
  </si>
  <si>
    <t>G-08</t>
  </si>
  <si>
    <t>GALAXY - 8</t>
  </si>
  <si>
    <t>JZMM</t>
  </si>
  <si>
    <t>G101</t>
  </si>
  <si>
    <t>GANDAWATI 1</t>
  </si>
  <si>
    <t>YBVH2</t>
  </si>
  <si>
    <t>G290</t>
  </si>
  <si>
    <t>GEMILANG 2590</t>
  </si>
  <si>
    <t>G304</t>
  </si>
  <si>
    <t>TB. TRANS POWER 215/ BG. GOLD TRAN 304</t>
  </si>
  <si>
    <t>YDB6259</t>
  </si>
  <si>
    <t>02/12/2023 08:17</t>
  </si>
  <si>
    <t>G321</t>
  </si>
  <si>
    <t>TB. TRANS POWER 207 / BG. GOLD TRANS 321</t>
  </si>
  <si>
    <t>YDA4309</t>
  </si>
  <si>
    <t>17/05/2024 12:14</t>
  </si>
  <si>
    <t>G323</t>
  </si>
  <si>
    <t>TB. TRANS POWER 165 / BG. GOLD TRANS 323</t>
  </si>
  <si>
    <t>YDA4723</t>
  </si>
  <si>
    <t>24/01/2025 12:18</t>
  </si>
  <si>
    <t>GAK1</t>
  </si>
  <si>
    <t>GAS ATTAKA</t>
  </si>
  <si>
    <t>KAPAL GAS</t>
  </si>
  <si>
    <t>PORJ</t>
  </si>
  <si>
    <t>GAMA</t>
  </si>
  <si>
    <t>GAMALAMA</t>
  </si>
  <si>
    <t>POFX</t>
  </si>
  <si>
    <t>GANI</t>
  </si>
  <si>
    <t>GANDINI</t>
  </si>
  <si>
    <t>PNGS</t>
  </si>
  <si>
    <t>GARO</t>
  </si>
  <si>
    <t>GAMSUNORO</t>
  </si>
  <si>
    <t>YDPV</t>
  </si>
  <si>
    <t>GCON</t>
  </si>
  <si>
    <t>GRIYA CIREBON</t>
  </si>
  <si>
    <t>YBNG2</t>
  </si>
  <si>
    <t>GDA1</t>
  </si>
  <si>
    <t>GRIYA DAYAK</t>
  </si>
  <si>
    <t>YHSZ</t>
  </si>
  <si>
    <t>GEIT</t>
  </si>
  <si>
    <t>MV. GESIT</t>
  </si>
  <si>
    <t>INT</t>
  </si>
  <si>
    <t>PNOL</t>
  </si>
  <si>
    <t>24/10/2022 08:47</t>
  </si>
  <si>
    <t>GEST</t>
  </si>
  <si>
    <t>GESIT</t>
  </si>
  <si>
    <t>10/02/2022 10:08</t>
  </si>
  <si>
    <t>GFDO</t>
  </si>
  <si>
    <t>KM. GULF DAOUD</t>
  </si>
  <si>
    <t>YDQH</t>
  </si>
  <si>
    <t>20/10/2023 09:44</t>
  </si>
  <si>
    <t>GFNE</t>
  </si>
  <si>
    <t>KM. GRAND FORTUNE</t>
  </si>
  <si>
    <t>YDYR2</t>
  </si>
  <si>
    <t>20/04/2024 13:28</t>
  </si>
  <si>
    <t>GG04</t>
  </si>
  <si>
    <t>GUNUNG GEULIS PERTAMINA 8004</t>
  </si>
  <si>
    <t>PNIY</t>
  </si>
  <si>
    <t>GJWA</t>
  </si>
  <si>
    <t>GRIYA JAWA</t>
  </si>
  <si>
    <t>YBWZ2</t>
  </si>
  <si>
    <t>GMAS</t>
  </si>
  <si>
    <t>GULF MAS</t>
  </si>
  <si>
    <t>YBJE2</t>
  </si>
  <si>
    <t>GNNA</t>
  </si>
  <si>
    <t>GAS NATUNA</t>
  </si>
  <si>
    <t>PNAN</t>
  </si>
  <si>
    <t>GNY2</t>
  </si>
  <si>
    <t>TB. GONAYA XIX / BG. MJL 3012</t>
  </si>
  <si>
    <t>YDA1119</t>
  </si>
  <si>
    <t>29/07/2022 13:12</t>
  </si>
  <si>
    <t>GNY6</t>
  </si>
  <si>
    <t>TB. GONAYA XVI / BG. MJL 302</t>
  </si>
  <si>
    <t>YDB 6630</t>
  </si>
  <si>
    <t>28/10/2022 19:51</t>
  </si>
  <si>
    <t>GNYI</t>
  </si>
  <si>
    <t>TB. GONAYA II / BG. SATRIA LAUT 3028</t>
  </si>
  <si>
    <t>YDA 3190</t>
  </si>
  <si>
    <t>07/12/2022 11:50</t>
  </si>
  <si>
    <t>GNYX</t>
  </si>
  <si>
    <t>TB. GONAYA XXI / BG. INTAN 7505</t>
  </si>
  <si>
    <t>YDC 6150</t>
  </si>
  <si>
    <t>01/01/2024 18:47</t>
  </si>
  <si>
    <t>GOKM</t>
  </si>
  <si>
    <t>KM. GALATIA 05</t>
  </si>
  <si>
    <t>19/01/2025 05:26</t>
  </si>
  <si>
    <t>GOYA</t>
  </si>
  <si>
    <t>GONAYA</t>
  </si>
  <si>
    <t>YDA 6575</t>
  </si>
  <si>
    <t>GPD1</t>
  </si>
  <si>
    <t>GARUDA PERSADA</t>
  </si>
  <si>
    <t>YD 3342</t>
  </si>
  <si>
    <t>GPIV</t>
  </si>
  <si>
    <t>GOLDEN PEARL - XIV</t>
  </si>
  <si>
    <t>YYFDE</t>
  </si>
  <si>
    <t>GPMA</t>
  </si>
  <si>
    <t>GOLDEN PUMA</t>
  </si>
  <si>
    <t>PNDT</t>
  </si>
  <si>
    <t>GRAS</t>
  </si>
  <si>
    <t>GRACIA 18</t>
  </si>
  <si>
    <t>GRAS18</t>
  </si>
  <si>
    <t>02/07/2023 14:16</t>
  </si>
  <si>
    <t>GREM</t>
  </si>
  <si>
    <t>KM GRAND EMERALD</t>
  </si>
  <si>
    <t>YDEI3</t>
  </si>
  <si>
    <t>25/10/2023 11:17</t>
  </si>
  <si>
    <t>GRNG</t>
  </si>
  <si>
    <t>KM. GRESIK NIAGA</t>
  </si>
  <si>
    <t>JZHO</t>
  </si>
  <si>
    <t>GSRA</t>
  </si>
  <si>
    <t>GEORGIA SEJAHTERA</t>
  </si>
  <si>
    <t>YBIP2</t>
  </si>
  <si>
    <t>23/11/2023 09:16</t>
  </si>
  <si>
    <t>GSRS</t>
  </si>
  <si>
    <t>GREEN STARS</t>
  </si>
  <si>
    <t>PKPE</t>
  </si>
  <si>
    <t>GT18</t>
  </si>
  <si>
    <t>TB. TRANS POWER 166 / BG. GOLD TRANS 318</t>
  </si>
  <si>
    <t>YDA4724</t>
  </si>
  <si>
    <t>25/06/2024 19:33</t>
  </si>
  <si>
    <t>GT23</t>
  </si>
  <si>
    <t>TB. TRANS POWER 207 / BG. GOLD TRANS 323</t>
  </si>
  <si>
    <t>YDA 4309</t>
  </si>
  <si>
    <t>14/07/2023 12:31</t>
  </si>
  <si>
    <t>GTOP</t>
  </si>
  <si>
    <t>GLOBAL TOP</t>
  </si>
  <si>
    <t>YBVK</t>
  </si>
  <si>
    <t>GV0V</t>
  </si>
  <si>
    <t>GRACE V</t>
  </si>
  <si>
    <t>YBEL2</t>
  </si>
  <si>
    <t>GXII</t>
  </si>
  <si>
    <t>TB. GONAYA XII / BG. MJL 3016</t>
  </si>
  <si>
    <t>YDB 6189</t>
  </si>
  <si>
    <t>19/11/2024 11:54</t>
  </si>
  <si>
    <t>GXIV</t>
  </si>
  <si>
    <t>TB. GONAYA XIV / BG. MJL 303</t>
  </si>
  <si>
    <t>YDB6716</t>
  </si>
  <si>
    <t>30/04/2024 10:13</t>
  </si>
  <si>
    <t>H107</t>
  </si>
  <si>
    <t>HECTOR 107</t>
  </si>
  <si>
    <t>YDA6960</t>
  </si>
  <si>
    <t>07/12/2017 09:56</t>
  </si>
  <si>
    <t>H118</t>
  </si>
  <si>
    <t>TB. HASNUR 11 / BG. HASNUR 308</t>
  </si>
  <si>
    <t>YDA3970</t>
  </si>
  <si>
    <t>24/01/2024 19:45</t>
  </si>
  <si>
    <t>H270</t>
  </si>
  <si>
    <t>HL 270</t>
  </si>
  <si>
    <t>H305</t>
  </si>
  <si>
    <t>TB. HASNUR 06 / BG. HASNUR 305</t>
  </si>
  <si>
    <t>YD 3748</t>
  </si>
  <si>
    <t>03/12/2023 10:34</t>
  </si>
  <si>
    <t>H307</t>
  </si>
  <si>
    <t>TB. HASNUR 07 / BG. HASNUR 307</t>
  </si>
  <si>
    <t>YD3826</t>
  </si>
  <si>
    <t>11/12/2024 15:33</t>
  </si>
  <si>
    <t>H308</t>
  </si>
  <si>
    <t>BG. HASNUR 308 / TB. HASNUR 07</t>
  </si>
  <si>
    <t>05/04/2022 09:13</t>
  </si>
  <si>
    <t>H309</t>
  </si>
  <si>
    <t>TB. HASNUR 09 / BG. HASNUR 309</t>
  </si>
  <si>
    <t>YDB 4051</t>
  </si>
  <si>
    <t>12/02/2024 13:35</t>
  </si>
  <si>
    <t>H310</t>
  </si>
  <si>
    <t>TB. HASNUR 11 / BG. HASNUR 310</t>
  </si>
  <si>
    <t>YDA 3970</t>
  </si>
  <si>
    <t>26/06/2022 09:46</t>
  </si>
  <si>
    <t>H311</t>
  </si>
  <si>
    <t>TB. BSP 09 / BG. HASNUR 311</t>
  </si>
  <si>
    <t>YDB6477</t>
  </si>
  <si>
    <t>02/06/2024 20:36</t>
  </si>
  <si>
    <t>H331</t>
  </si>
  <si>
    <t>TB. HASNUR 10 / BG. HASNUR 331</t>
  </si>
  <si>
    <t>YDA3111</t>
  </si>
  <si>
    <t>06/05/2022 15:41</t>
  </si>
  <si>
    <t>H335</t>
  </si>
  <si>
    <t>TB. NJS 01 / BG. HASNUR 335</t>
  </si>
  <si>
    <t>YDC3447</t>
  </si>
  <si>
    <t>04/07/2024 12:38</t>
  </si>
  <si>
    <t>H337</t>
  </si>
  <si>
    <t>TB. NJS 01 / BG. HASNUR 337</t>
  </si>
  <si>
    <t>04/07/2024 12:56</t>
  </si>
  <si>
    <t>H779</t>
  </si>
  <si>
    <t>HARLINA 79</t>
  </si>
  <si>
    <t>YDB 4305</t>
  </si>
  <si>
    <t>HA03</t>
  </si>
  <si>
    <t>TB. HARRY 03 / BG. LMN 306</t>
  </si>
  <si>
    <t>HAR03</t>
  </si>
  <si>
    <t>21/10/2024 21:37</t>
  </si>
  <si>
    <t>HAHA</t>
  </si>
  <si>
    <t>HASNUR 301, TK / HASNUR 01, TB</t>
  </si>
  <si>
    <t>13/02/2022 15:11</t>
  </si>
  <si>
    <t>HARU</t>
  </si>
  <si>
    <t>KM. HARU</t>
  </si>
  <si>
    <t>YDOO2</t>
  </si>
  <si>
    <t>22/06/2022 20:02</t>
  </si>
  <si>
    <t>HASE</t>
  </si>
  <si>
    <t>MV. HALUAN SENTOSA</t>
  </si>
  <si>
    <t>SEA ASIH LINES PT</t>
  </si>
  <si>
    <t>YEOL</t>
  </si>
  <si>
    <t>28/04/2024 07:24</t>
  </si>
  <si>
    <t>HB54</t>
  </si>
  <si>
    <t>HOA BINH 54</t>
  </si>
  <si>
    <t>3WMS9</t>
  </si>
  <si>
    <t>09/12/2022 16:20</t>
  </si>
  <si>
    <t>HBT1</t>
  </si>
  <si>
    <t>KM. HEBAT</t>
  </si>
  <si>
    <t>YDVY3</t>
  </si>
  <si>
    <t>09/05/2025 08:21</t>
  </si>
  <si>
    <t>HDLM</t>
  </si>
  <si>
    <t>HARAPAN DAERAH, KLM</t>
  </si>
  <si>
    <t>23/04/2025 08:10</t>
  </si>
  <si>
    <t>HELI</t>
  </si>
  <si>
    <t>MV. HELI</t>
  </si>
  <si>
    <t>3E4948</t>
  </si>
  <si>
    <t>04/05/2025 14:41</t>
  </si>
  <si>
    <t>HGHG</t>
  </si>
  <si>
    <t>KM. HENG HENG</t>
  </si>
  <si>
    <t>YGVT</t>
  </si>
  <si>
    <t>15/09/2022 10:38</t>
  </si>
  <si>
    <t>HGLM</t>
  </si>
  <si>
    <t>MV. HANGLIMA</t>
  </si>
  <si>
    <t>PLHK</t>
  </si>
  <si>
    <t>HHNG</t>
  </si>
  <si>
    <t>Y G V T</t>
  </si>
  <si>
    <t>10/12/2023 10:49</t>
  </si>
  <si>
    <t>HKST</t>
  </si>
  <si>
    <t>KLM. HIKMA SETIA</t>
  </si>
  <si>
    <t>20/01/2023 15:50</t>
  </si>
  <si>
    <t>HL66</t>
  </si>
  <si>
    <t>KM. HALMAHERA 66</t>
  </si>
  <si>
    <t>YDPM3</t>
  </si>
  <si>
    <t>16/10/2024 10:41</t>
  </si>
  <si>
    <t>HLMN</t>
  </si>
  <si>
    <t>HARAPAN INDAH, KLM</t>
  </si>
  <si>
    <t>11/12/2022 19:16</t>
  </si>
  <si>
    <t>HMAS</t>
  </si>
  <si>
    <t>HILIR MAS</t>
  </si>
  <si>
    <t>POYK</t>
  </si>
  <si>
    <t>HNEI</t>
  </si>
  <si>
    <t>MV. HANEI</t>
  </si>
  <si>
    <t>POWT</t>
  </si>
  <si>
    <t>13/12/2024 15:25</t>
  </si>
  <si>
    <t>HP99</t>
  </si>
  <si>
    <t>HARAPAN PERDANA 99</t>
  </si>
  <si>
    <t>POCB</t>
  </si>
  <si>
    <t>HRB2</t>
  </si>
  <si>
    <t>TB. HARBI 2 / BG. BAIDURI 27259</t>
  </si>
  <si>
    <t>YDB6218</t>
  </si>
  <si>
    <t>28/04/2025 18:09</t>
  </si>
  <si>
    <t>HS06</t>
  </si>
  <si>
    <t>TB. HASNUR 06 / BG. HASNUR 306</t>
  </si>
  <si>
    <t>05/07/2024 09:32</t>
  </si>
  <si>
    <t>HS12</t>
  </si>
  <si>
    <t>TB. HASNUR 12 / BG. HASNUR 332</t>
  </si>
  <si>
    <t>YDB3217</t>
  </si>
  <si>
    <t>30/04/2023 19:28</t>
  </si>
  <si>
    <t>HS20</t>
  </si>
  <si>
    <t>TB. HASNUR 20 / BG. HASNUR 3310</t>
  </si>
  <si>
    <t>YDC3873</t>
  </si>
  <si>
    <t>04/11/2024 15:31</t>
  </si>
  <si>
    <t>HS85</t>
  </si>
  <si>
    <t>TB. HASNUR 08 / BG. HASNUR 305</t>
  </si>
  <si>
    <t>18/04/2023 10:54</t>
  </si>
  <si>
    <t>HSIN</t>
  </si>
  <si>
    <t>KLM. HUSNA INDAH</t>
  </si>
  <si>
    <t>22/12/2022 16:08</t>
  </si>
  <si>
    <t>HSLM</t>
  </si>
  <si>
    <t>HIKMA SETIA. KLM</t>
  </si>
  <si>
    <t>20/05/2022 12:20</t>
  </si>
  <si>
    <t>HSN2</t>
  </si>
  <si>
    <t>TB. HASNUR 02 / BG. HASNUR 303</t>
  </si>
  <si>
    <t>YD 3710</t>
  </si>
  <si>
    <t>19/04/2025 10:18</t>
  </si>
  <si>
    <t>HSN9</t>
  </si>
  <si>
    <t>TB. HASNUR 09 / BG. HASNUR 308</t>
  </si>
  <si>
    <t>YDB4051</t>
  </si>
  <si>
    <t>19/09/2024 18:09</t>
  </si>
  <si>
    <t>HSNR</t>
  </si>
  <si>
    <t>TB. HASNUR 02/BG HASNUR 303</t>
  </si>
  <si>
    <t>YDA 3303</t>
  </si>
  <si>
    <t>23/04/2025 08:33</t>
  </si>
  <si>
    <t>HT06</t>
  </si>
  <si>
    <t>TB. HECTOR 106</t>
  </si>
  <si>
    <t>YDB6991</t>
  </si>
  <si>
    <t>20/09/2024 10:20</t>
  </si>
  <si>
    <t>HT07</t>
  </si>
  <si>
    <t>BG. PMS 201</t>
  </si>
  <si>
    <t>20/09/2024 10:19</t>
  </si>
  <si>
    <t>HT38</t>
  </si>
  <si>
    <t>HTS 38</t>
  </si>
  <si>
    <t>PGE</t>
  </si>
  <si>
    <t>YCWE2</t>
  </si>
  <si>
    <t>13/02/2025 08:47</t>
  </si>
  <si>
    <t>HTNG</t>
  </si>
  <si>
    <t>HIJAU TERANG</t>
  </si>
  <si>
    <t>PNVK</t>
  </si>
  <si>
    <t>I305</t>
  </si>
  <si>
    <t>INDOTRANS 3005</t>
  </si>
  <si>
    <t>I306</t>
  </si>
  <si>
    <t>TB ARMADA KALTIM 08 / BG. ISA 306</t>
  </si>
  <si>
    <t>YDB6464</t>
  </si>
  <si>
    <t>29/10/2023 20:52</t>
  </si>
  <si>
    <t>ICRS</t>
  </si>
  <si>
    <t>MV ICARIUS</t>
  </si>
  <si>
    <t>V7EX4</t>
  </si>
  <si>
    <t>11/01/2025 19:29</t>
  </si>
  <si>
    <t>ID11</t>
  </si>
  <si>
    <t>INTAN DAYA 11</t>
  </si>
  <si>
    <t>JZHB</t>
  </si>
  <si>
    <t>ID28</t>
  </si>
  <si>
    <t>INTAN DAYA 228</t>
  </si>
  <si>
    <t>TIRTA SAMUDRA CARAKA.PT</t>
  </si>
  <si>
    <t>POQK</t>
  </si>
  <si>
    <t>ID68</t>
  </si>
  <si>
    <t>INTAN DAYA 368</t>
  </si>
  <si>
    <t>JZJM</t>
  </si>
  <si>
    <t>IDMT</t>
  </si>
  <si>
    <t>KM. INDIMATAM</t>
  </si>
  <si>
    <t>YHGX</t>
  </si>
  <si>
    <t>22/06/2022 21:48</t>
  </si>
  <si>
    <t>IDTM</t>
  </si>
  <si>
    <t>KM. INDOTIM</t>
  </si>
  <si>
    <t>PKSN</t>
  </si>
  <si>
    <t>14/07/2024 09:48</t>
  </si>
  <si>
    <t>IK23</t>
  </si>
  <si>
    <t>TB. INTAN MEGAH 14 / BG. INTAN KELANA 23</t>
  </si>
  <si>
    <t>11/06/2023 20:35</t>
  </si>
  <si>
    <t>ILSA</t>
  </si>
  <si>
    <t>MV. INLAND SEA</t>
  </si>
  <si>
    <t>V7D59</t>
  </si>
  <si>
    <t>08/05/2024 18:08</t>
  </si>
  <si>
    <t>IM01</t>
  </si>
  <si>
    <t>TB. ATLANTIC / BG. INDOMARINA 3001</t>
  </si>
  <si>
    <t>14/11/2023 09:40</t>
  </si>
  <si>
    <t>IM23</t>
  </si>
  <si>
    <t>TB. INTAN KELANA 14 / BG. INTAN MEGAH 23</t>
  </si>
  <si>
    <t>YDA 4592</t>
  </si>
  <si>
    <t>05/06/2023 09:20</t>
  </si>
  <si>
    <t>IMRI</t>
  </si>
  <si>
    <t>IRIS MANDIRI</t>
  </si>
  <si>
    <t>YBEC2</t>
  </si>
  <si>
    <t>15/11/2017 15:27</t>
  </si>
  <si>
    <t>IN07</t>
  </si>
  <si>
    <t>KM. INDI NURMATALIA 07</t>
  </si>
  <si>
    <t>YCZS2</t>
  </si>
  <si>
    <t>15/06/2022 08:54</t>
  </si>
  <si>
    <t>INDI</t>
  </si>
  <si>
    <t>INDRADI</t>
  </si>
  <si>
    <t>YBHI2</t>
  </si>
  <si>
    <t>INPE</t>
  </si>
  <si>
    <t>KM INTI PERSADA</t>
  </si>
  <si>
    <t>PNOD</t>
  </si>
  <si>
    <t>INTI</t>
  </si>
  <si>
    <t>KM. INTI</t>
  </si>
  <si>
    <t>YFZI</t>
  </si>
  <si>
    <t>20/06/2023 13:08</t>
  </si>
  <si>
    <t>IOND</t>
  </si>
  <si>
    <t>MV. IONA ISLAND</t>
  </si>
  <si>
    <t>QW43R</t>
  </si>
  <si>
    <t>07/06/2023 10:20</t>
  </si>
  <si>
    <t>IP08</t>
  </si>
  <si>
    <t>INDO POWER 08</t>
  </si>
  <si>
    <t>YDA 4888</t>
  </si>
  <si>
    <t>IRAM</t>
  </si>
  <si>
    <t>KM. IRAMA</t>
  </si>
  <si>
    <t>13/01/2023 13:50</t>
  </si>
  <si>
    <t>IRAN</t>
  </si>
  <si>
    <t>MV IRIANA</t>
  </si>
  <si>
    <t>YBWX2</t>
  </si>
  <si>
    <t>15/02/2024 16:03</t>
  </si>
  <si>
    <t>ISCY</t>
  </si>
  <si>
    <t>MV. ISA CLARITY</t>
  </si>
  <si>
    <t>PKSF</t>
  </si>
  <si>
    <t>17/03/2023 07:38</t>
  </si>
  <si>
    <t>ISLD</t>
  </si>
  <si>
    <t>MV. ISOLDA D</t>
  </si>
  <si>
    <t>Malta</t>
  </si>
  <si>
    <t>V7UL7</t>
  </si>
  <si>
    <t>ISVC</t>
  </si>
  <si>
    <t>KM. ISA VICTORY</t>
  </si>
  <si>
    <t>JZJX</t>
  </si>
  <si>
    <t>14/04/2022 13:55</t>
  </si>
  <si>
    <t>ITML</t>
  </si>
  <si>
    <t>KM. INTI MULIA</t>
  </si>
  <si>
    <t>POJL</t>
  </si>
  <si>
    <t>03/06/2022 20:10</t>
  </si>
  <si>
    <t>ITPT</t>
  </si>
  <si>
    <t>KM. INTI PRATAMA</t>
  </si>
  <si>
    <t>POGR</t>
  </si>
  <si>
    <t>19/03/2025 16:56</t>
  </si>
  <si>
    <t>JAHA</t>
  </si>
  <si>
    <t>JAHAN SISTERS</t>
  </si>
  <si>
    <t>SAL</t>
  </si>
  <si>
    <t>S2AW</t>
  </si>
  <si>
    <t>21/03/2025 07:16</t>
  </si>
  <si>
    <t>JAVA</t>
  </si>
  <si>
    <t>JALESVEVA</t>
  </si>
  <si>
    <t>YDA 6930</t>
  </si>
  <si>
    <t>JBRS</t>
  </si>
  <si>
    <t>JAHAN BROTHERS</t>
  </si>
  <si>
    <t>S2SA</t>
  </si>
  <si>
    <t>26/08/2023 08:42</t>
  </si>
  <si>
    <t>JGER</t>
  </si>
  <si>
    <t>MV JAGUAR</t>
  </si>
  <si>
    <t>V7A6903</t>
  </si>
  <si>
    <t>07/05/2025 09:11</t>
  </si>
  <si>
    <t>JJ06</t>
  </si>
  <si>
    <t>JOHAN JAYA 106</t>
  </si>
  <si>
    <t>YDA4312</t>
  </si>
  <si>
    <t>JJ07</t>
  </si>
  <si>
    <t>JOHAN JAYA 107</t>
  </si>
  <si>
    <t>YDA 4354</t>
  </si>
  <si>
    <t>JLLA</t>
  </si>
  <si>
    <t>JAG LEELA</t>
  </si>
  <si>
    <t>JZNA</t>
  </si>
  <si>
    <t>JMAS</t>
  </si>
  <si>
    <t>JALES MAS</t>
  </si>
  <si>
    <t>PNQT</t>
  </si>
  <si>
    <t>JPLM</t>
  </si>
  <si>
    <t>JAVA PALM</t>
  </si>
  <si>
    <t>JZAE</t>
  </si>
  <si>
    <t>JSES</t>
  </si>
  <si>
    <t>JAYA SELEBES, KLM</t>
  </si>
  <si>
    <t>09/01/2023 08:39</t>
  </si>
  <si>
    <t>JUHR</t>
  </si>
  <si>
    <t>TB. MASADA 29 / BG. JAUHAR</t>
  </si>
  <si>
    <t>YDC6085</t>
  </si>
  <si>
    <t>02/12/2024 13:29</t>
  </si>
  <si>
    <t>JYMG</t>
  </si>
  <si>
    <t>KM. JAYA MANGGALA</t>
  </si>
  <si>
    <t>PMOU</t>
  </si>
  <si>
    <t>16/06/2022 17:20</t>
  </si>
  <si>
    <t>JYND</t>
  </si>
  <si>
    <t>KM. JAYANANDA</t>
  </si>
  <si>
    <t>YGLB</t>
  </si>
  <si>
    <t>12/11/2024 09:11</t>
  </si>
  <si>
    <t>K-08</t>
  </si>
  <si>
    <t>KSA - 08</t>
  </si>
  <si>
    <t>YD6958</t>
  </si>
  <si>
    <t>K-58</t>
  </si>
  <si>
    <t>KARMILA/PERTAMINA - 58</t>
  </si>
  <si>
    <t>YDXN</t>
  </si>
  <si>
    <t>27/10/2017 15:03</t>
  </si>
  <si>
    <t>K-VI</t>
  </si>
  <si>
    <t>KAN - VI</t>
  </si>
  <si>
    <t>YDA 4093</t>
  </si>
  <si>
    <t>K003</t>
  </si>
  <si>
    <t>TB. KIETRANS 3 / BG. STAR MARINE 3003</t>
  </si>
  <si>
    <t>31/01/2023 15:09</t>
  </si>
  <si>
    <t>K006</t>
  </si>
  <si>
    <t>KT 06</t>
  </si>
  <si>
    <t>YBWY2</t>
  </si>
  <si>
    <t>12/11/2017 11:29</t>
  </si>
  <si>
    <t>K102</t>
  </si>
  <si>
    <t>TB. PANCARAN 811 / BG. KALYA 102</t>
  </si>
  <si>
    <t>YDA6945</t>
  </si>
  <si>
    <t>09/10/2024 07:41</t>
  </si>
  <si>
    <t>K202</t>
  </si>
  <si>
    <t>KARUNIA 2</t>
  </si>
  <si>
    <t>K203</t>
  </si>
  <si>
    <t>KINGSTON 202</t>
  </si>
  <si>
    <t>YDA6321</t>
  </si>
  <si>
    <t>K212</t>
  </si>
  <si>
    <t>KINGSTON 212</t>
  </si>
  <si>
    <t>YDB6701</t>
  </si>
  <si>
    <t>K303</t>
  </si>
  <si>
    <t>KINGSTON 303</t>
  </si>
  <si>
    <t>YDA6229</t>
  </si>
  <si>
    <t>K312</t>
  </si>
  <si>
    <t>TB. DUTA KAPUAS 10 / BG. KAPUAS 312</t>
  </si>
  <si>
    <t>21/03/2025 00:00</t>
  </si>
  <si>
    <t>K404</t>
  </si>
  <si>
    <t>KSB 4</t>
  </si>
  <si>
    <t>K501</t>
  </si>
  <si>
    <t>KINGFISHER 501</t>
  </si>
  <si>
    <t>YD 6887</t>
  </si>
  <si>
    <t>K771</t>
  </si>
  <si>
    <t>KSA 71</t>
  </si>
  <si>
    <t>YDB 6209</t>
  </si>
  <si>
    <t>K808</t>
  </si>
  <si>
    <t>KHATULISTIWA 8</t>
  </si>
  <si>
    <t>YHIS</t>
  </si>
  <si>
    <t>12/09/2023 12:20</t>
  </si>
  <si>
    <t>KA01</t>
  </si>
  <si>
    <t>KM. ASIA PACIFIC 1</t>
  </si>
  <si>
    <t>11/03/2023 13:23</t>
  </si>
  <si>
    <t>KA06</t>
  </si>
  <si>
    <t>KM. ASIA GLORY 6</t>
  </si>
  <si>
    <t>05/05/2023 10:31</t>
  </si>
  <si>
    <t>KAAN</t>
  </si>
  <si>
    <t>KAHAYAN</t>
  </si>
  <si>
    <t>YEXN</t>
  </si>
  <si>
    <t>KADA</t>
  </si>
  <si>
    <t>P M R S</t>
  </si>
  <si>
    <t>21/11/2022 12:19</t>
  </si>
  <si>
    <t>KAII</t>
  </si>
  <si>
    <t>KLM. KARYA ABADI II</t>
  </si>
  <si>
    <t>26/01/2023 16:39</t>
  </si>
  <si>
    <t>KAIM</t>
  </si>
  <si>
    <t>KASIM</t>
  </si>
  <si>
    <t>JZHQ</t>
  </si>
  <si>
    <t>KAIV</t>
  </si>
  <si>
    <t>KLM. KARYA ABADI IV</t>
  </si>
  <si>
    <t>08/04/2024 18:08</t>
  </si>
  <si>
    <t>KALM</t>
  </si>
  <si>
    <t>KARYA ABADI INDAH. KLM</t>
  </si>
  <si>
    <t>26/01/2023 16:38</t>
  </si>
  <si>
    <t>KANA</t>
  </si>
  <si>
    <t>KM. ASIA PESONA</t>
  </si>
  <si>
    <t>PMUB</t>
  </si>
  <si>
    <t>22/04/2025 09:44</t>
  </si>
  <si>
    <t>KARA</t>
  </si>
  <si>
    <t>KM. ARTHA SAMUDERA</t>
  </si>
  <si>
    <t>YENZ</t>
  </si>
  <si>
    <t>26/09/2022 12:20</t>
  </si>
  <si>
    <t>KASA</t>
  </si>
  <si>
    <t>KM. ARTHA SENTOSA</t>
  </si>
  <si>
    <t>YDHV2</t>
  </si>
  <si>
    <t>11/03/2022 13:30</t>
  </si>
  <si>
    <t>KAVI</t>
  </si>
  <si>
    <t>KM. AJENG VI</t>
  </si>
  <si>
    <t>PNNJ</t>
  </si>
  <si>
    <t>KB01</t>
  </si>
  <si>
    <t>KLM. BONERATE JAYA 01</t>
  </si>
  <si>
    <t>30/05/2022 11:03</t>
  </si>
  <si>
    <t>KB09</t>
  </si>
  <si>
    <t>KM. BUNGA MELATI 91</t>
  </si>
  <si>
    <t>YHET</t>
  </si>
  <si>
    <t>19/12/2022 10:41</t>
  </si>
  <si>
    <t>KB0I</t>
  </si>
  <si>
    <t>KLM. BINTANG SEROJA I</t>
  </si>
  <si>
    <t>06/02/2023 08:40</t>
  </si>
  <si>
    <t>KB27</t>
  </si>
  <si>
    <t>TB. PUTRA LAUTAN VII / BG. KABA PERKASA 2701</t>
  </si>
  <si>
    <t>11/02/2023 10:19</t>
  </si>
  <si>
    <t>KB36</t>
  </si>
  <si>
    <t>KM STB 36</t>
  </si>
  <si>
    <t>JZQG</t>
  </si>
  <si>
    <t>30/11/2024 09:07</t>
  </si>
  <si>
    <t>KBAH</t>
  </si>
  <si>
    <t>KLM. BERKAH INAYAH</t>
  </si>
  <si>
    <t>12/01/2023 09:42</t>
  </si>
  <si>
    <t>KBAN</t>
  </si>
  <si>
    <t>KM. BERLIAN</t>
  </si>
  <si>
    <t>YHLM</t>
  </si>
  <si>
    <t>KBB2</t>
  </si>
  <si>
    <t>MV. KABONGA BARU II</t>
  </si>
  <si>
    <t>YHSP</t>
  </si>
  <si>
    <t>Denmark</t>
  </si>
  <si>
    <t>01/04/2024 20:41</t>
  </si>
  <si>
    <t>KBII</t>
  </si>
  <si>
    <t>KM. BAHARI II</t>
  </si>
  <si>
    <t>YEZB</t>
  </si>
  <si>
    <t>19/08/2022 10:24</t>
  </si>
  <si>
    <t>KBKU</t>
  </si>
  <si>
    <t>KLM. BERKAT SAUDARAKU</t>
  </si>
  <si>
    <t>18/12/2023 07:47</t>
  </si>
  <si>
    <t>KBNG</t>
  </si>
  <si>
    <t>KM. KABONGA BARU II</t>
  </si>
  <si>
    <t>01/04/2024 20:44</t>
  </si>
  <si>
    <t>KBOI</t>
  </si>
  <si>
    <t>KLM. BUDI SETIA I</t>
  </si>
  <si>
    <t>02/11/2022 16:14</t>
  </si>
  <si>
    <t>KBRA</t>
  </si>
  <si>
    <t>KM. BIMA PUTRA</t>
  </si>
  <si>
    <t>PMYR</t>
  </si>
  <si>
    <t>16/03/2023 15:01</t>
  </si>
  <si>
    <t>KBRI</t>
  </si>
  <si>
    <t>KLM. BERDIKARI</t>
  </si>
  <si>
    <t>JZFH</t>
  </si>
  <si>
    <t>25/11/2023 09:16</t>
  </si>
  <si>
    <t>KBVI</t>
  </si>
  <si>
    <t>KLM. BINA SURGA VI</t>
  </si>
  <si>
    <t>22/06/2022 14:02</t>
  </si>
  <si>
    <t>KBYA</t>
  </si>
  <si>
    <t>KLM. BUNGA RAYA</t>
  </si>
  <si>
    <t>24/05/2024 17:29</t>
  </si>
  <si>
    <t>KC02</t>
  </si>
  <si>
    <t>KM. CHUO NO. 2</t>
  </si>
  <si>
    <t>PNZZ</t>
  </si>
  <si>
    <t>25/03/2022 14:48</t>
  </si>
  <si>
    <t>KC06</t>
  </si>
  <si>
    <t>KM. CENGKEH 06</t>
  </si>
  <si>
    <t>YHNM</t>
  </si>
  <si>
    <t>01/11/2023 12:31</t>
  </si>
  <si>
    <t>KCAI</t>
  </si>
  <si>
    <t>KLM. CAHAYA SETIA</t>
  </si>
  <si>
    <t>20/09/2024 08:49</t>
  </si>
  <si>
    <t>KCNA</t>
  </si>
  <si>
    <t>KM. KENCANA</t>
  </si>
  <si>
    <t>YCZR</t>
  </si>
  <si>
    <t>28/10/2024 08:44</t>
  </si>
  <si>
    <t>KCNJ</t>
  </si>
  <si>
    <t>KM CAHAYA SENJA</t>
  </si>
  <si>
    <t>YHPV</t>
  </si>
  <si>
    <t>17/02/2023 12:19</t>
  </si>
  <si>
    <t>KCUR</t>
  </si>
  <si>
    <t>KLM. CITRA MAKMUR</t>
  </si>
  <si>
    <t>05/12/2023 09:55</t>
  </si>
  <si>
    <t>KD02</t>
  </si>
  <si>
    <t>KALTIM DOLPHIN 17 - 02</t>
  </si>
  <si>
    <t>YDA 6399</t>
  </si>
  <si>
    <t>KD06</t>
  </si>
  <si>
    <t>KM. DAMAI SEJAHTERA 6</t>
  </si>
  <si>
    <t>25/05/2024 17:24</t>
  </si>
  <si>
    <t>KDES</t>
  </si>
  <si>
    <t>KEN DEDES</t>
  </si>
  <si>
    <t>KDII</t>
  </si>
  <si>
    <t>KLM. DANIA INDAH II</t>
  </si>
  <si>
    <t>04/04/2023 11:51</t>
  </si>
  <si>
    <t>KDON</t>
  </si>
  <si>
    <t>KM. DANDELION</t>
  </si>
  <si>
    <t>YCGJ</t>
  </si>
  <si>
    <t>15/04/2022 20:59</t>
  </si>
  <si>
    <t>KDRA</t>
  </si>
  <si>
    <t>KLM. DUTA BAHTERA</t>
  </si>
  <si>
    <t>11/04/2022 13:06</t>
  </si>
  <si>
    <t>KDYA</t>
  </si>
  <si>
    <t>KIRANA DWITYA</t>
  </si>
  <si>
    <t>JZGQ</t>
  </si>
  <si>
    <t>KENA</t>
  </si>
  <si>
    <t>Y C Z R</t>
  </si>
  <si>
    <t>15/08/2024 08:22</t>
  </si>
  <si>
    <t>KENG</t>
  </si>
  <si>
    <t>KETALING</t>
  </si>
  <si>
    <t>PNGF</t>
  </si>
  <si>
    <t>KEOP</t>
  </si>
  <si>
    <t>KM. EVER TOP</t>
  </si>
  <si>
    <t>16/04/2022 13:34</t>
  </si>
  <si>
    <t>KF02</t>
  </si>
  <si>
    <t>KALTIM FT 80-02</t>
  </si>
  <si>
    <t>KF07</t>
  </si>
  <si>
    <t>KLM. FITRI 07</t>
  </si>
  <si>
    <t>10/10/2022 09:07</t>
  </si>
  <si>
    <t>KF38</t>
  </si>
  <si>
    <t>KING FISHER 838</t>
  </si>
  <si>
    <t>YD 6950</t>
  </si>
  <si>
    <t>KFN2</t>
  </si>
  <si>
    <t>#KM. FU NO 2</t>
  </si>
  <si>
    <t>01/02/2024 15:04</t>
  </si>
  <si>
    <t>KFNA</t>
  </si>
  <si>
    <t>KARYA FORTUNA</t>
  </si>
  <si>
    <t>PMWR</t>
  </si>
  <si>
    <t>KFPD</t>
  </si>
  <si>
    <t>KM. KUNGFU PANDA</t>
  </si>
  <si>
    <t>13/06/2022 09:19</t>
  </si>
  <si>
    <t>KFYA</t>
  </si>
  <si>
    <t>KM. FELYA</t>
  </si>
  <si>
    <t>YEEU</t>
  </si>
  <si>
    <t>10/11/2023 07:23</t>
  </si>
  <si>
    <t>KGIP</t>
  </si>
  <si>
    <t>KM. GRAND SHIP</t>
  </si>
  <si>
    <t>BUDI SAMUDRA JAYA ABADI, PT</t>
  </si>
  <si>
    <t>13/06/2025 22:14</t>
  </si>
  <si>
    <t>KGIT</t>
  </si>
  <si>
    <t>KM. GESIT</t>
  </si>
  <si>
    <t>23/02/2023 13:08</t>
  </si>
  <si>
    <t>KGRA</t>
  </si>
  <si>
    <t>KM. GEORGIA SEJAHTERA</t>
  </si>
  <si>
    <t>26/11/2023 09:01</t>
  </si>
  <si>
    <t>KH03</t>
  </si>
  <si>
    <t>KLM. HARAPAN MAJU 03</t>
  </si>
  <si>
    <t>07/04/2023 20:32</t>
  </si>
  <si>
    <t>KH19</t>
  </si>
  <si>
    <t>KM. HODASCO 19</t>
  </si>
  <si>
    <t>POVK</t>
  </si>
  <si>
    <t>03/02/2024 09:01</t>
  </si>
  <si>
    <t>KH23</t>
  </si>
  <si>
    <t>KM. HARAPAN BERSAMA 323</t>
  </si>
  <si>
    <t>PMQC</t>
  </si>
  <si>
    <t>12/09/2023 14:01</t>
  </si>
  <si>
    <t>KH38</t>
  </si>
  <si>
    <t>KM. HTS 38</t>
  </si>
  <si>
    <t>KHAH</t>
  </si>
  <si>
    <t>KLM. HIKMAH INDAH</t>
  </si>
  <si>
    <t>02/11/2022 15:45</t>
  </si>
  <si>
    <t>KHII</t>
  </si>
  <si>
    <t>KM. HOKKY VIII</t>
  </si>
  <si>
    <t>02/09/2022 12:29</t>
  </si>
  <si>
    <t>KHMA</t>
  </si>
  <si>
    <t>KM. HANGLIMA</t>
  </si>
  <si>
    <t>09/10/2022 10:19</t>
  </si>
  <si>
    <t>KHRU</t>
  </si>
  <si>
    <t>KM. HARI BARU</t>
  </si>
  <si>
    <t>YHYF</t>
  </si>
  <si>
    <t>19/02/2022 14:53</t>
  </si>
  <si>
    <t>KIAN</t>
  </si>
  <si>
    <t>KLM. ICHSAN</t>
  </si>
  <si>
    <t>21/05/2024 08:26</t>
  </si>
  <si>
    <t>KIIX</t>
  </si>
  <si>
    <t>KIRANA IX</t>
  </si>
  <si>
    <t>YBLY</t>
  </si>
  <si>
    <t>KIKE</t>
  </si>
  <si>
    <t>KITTIWAKE</t>
  </si>
  <si>
    <t>POAH</t>
  </si>
  <si>
    <t>KINA</t>
  </si>
  <si>
    <t>KIRANA</t>
  </si>
  <si>
    <t>YGPB</t>
  </si>
  <si>
    <t>KINO</t>
  </si>
  <si>
    <t>KM BIN NO 2</t>
  </si>
  <si>
    <t>PNJD</t>
  </si>
  <si>
    <t>31/03/2022 12:46</t>
  </si>
  <si>
    <t>KIRY</t>
  </si>
  <si>
    <t>KM. INTI GLORY</t>
  </si>
  <si>
    <t>11/02/2022 14:36</t>
  </si>
  <si>
    <t>KIUR</t>
  </si>
  <si>
    <t>KM. ILLANNUR</t>
  </si>
  <si>
    <t>P O L P</t>
  </si>
  <si>
    <t>15/05/2023 15:07</t>
  </si>
  <si>
    <t>KIVA</t>
  </si>
  <si>
    <t>KM. INNOVA</t>
  </si>
  <si>
    <t>YDWF</t>
  </si>
  <si>
    <t>KJ03</t>
  </si>
  <si>
    <t>KARYA JAYA 3, KLM</t>
  </si>
  <si>
    <t>KJ33</t>
  </si>
  <si>
    <t>KAPUAS JAYA 233</t>
  </si>
  <si>
    <t>KJ35</t>
  </si>
  <si>
    <t>KAPUAS JAYA 235</t>
  </si>
  <si>
    <t>KJLM</t>
  </si>
  <si>
    <t>KARYA JAYA 77, KLM</t>
  </si>
  <si>
    <t>19/01/2023 11:56</t>
  </si>
  <si>
    <t>KJMN</t>
  </si>
  <si>
    <t>MV AKIJ MOON</t>
  </si>
  <si>
    <t>52BB6</t>
  </si>
  <si>
    <t>15/12/2024 11:27</t>
  </si>
  <si>
    <t>KJOV</t>
  </si>
  <si>
    <t>KARYA JAYA V, KLM</t>
  </si>
  <si>
    <t>29/12/2022 08:54</t>
  </si>
  <si>
    <t>KK0V</t>
  </si>
  <si>
    <t>KAWAN KITA - V</t>
  </si>
  <si>
    <t>WASESA LINE, PT</t>
  </si>
  <si>
    <t>YDB4711</t>
  </si>
  <si>
    <t>KK77</t>
  </si>
  <si>
    <t>KLM. KARYA ILAHI 77</t>
  </si>
  <si>
    <t>25/01/2023 09:23</t>
  </si>
  <si>
    <t>KKAH</t>
  </si>
  <si>
    <t>KLM. KARYA ABADI INDAH</t>
  </si>
  <si>
    <t>20/07/2022 11:36</t>
  </si>
  <si>
    <t>KKGA</t>
  </si>
  <si>
    <t>KM. KAHING TIGA</t>
  </si>
  <si>
    <t>PNQW</t>
  </si>
  <si>
    <t>23/11/2023 09:18</t>
  </si>
  <si>
    <t>KKIN</t>
  </si>
  <si>
    <t>KM. KIN</t>
  </si>
  <si>
    <t>JZMB</t>
  </si>
  <si>
    <t>19/09/2024 19:00</t>
  </si>
  <si>
    <t>KKMA</t>
  </si>
  <si>
    <t>KM. KALIMAS UTAMA</t>
  </si>
  <si>
    <t>JZEQ</t>
  </si>
  <si>
    <t>KKON</t>
  </si>
  <si>
    <t>KM. KANNON MOON</t>
  </si>
  <si>
    <t>BERKAT ABADI JAYA MAKMUR PT</t>
  </si>
  <si>
    <t>YDVA</t>
  </si>
  <si>
    <t>03/06/2024 13:08</t>
  </si>
  <si>
    <t>KKYO</t>
  </si>
  <si>
    <t>KM KOYO</t>
  </si>
  <si>
    <t>PLGF</t>
  </si>
  <si>
    <t>18/06/2024 11:56</t>
  </si>
  <si>
    <t>KL02</t>
  </si>
  <si>
    <t>KM. LINTAS SAHABAT 2</t>
  </si>
  <si>
    <t>JZCE</t>
  </si>
  <si>
    <t>11/04/2022 10:04</t>
  </si>
  <si>
    <t>KL03</t>
  </si>
  <si>
    <t>KM. LINTAS DAMAI 3</t>
  </si>
  <si>
    <t>POJQ</t>
  </si>
  <si>
    <t>11/06/2024 10:18</t>
  </si>
  <si>
    <t>KL16</t>
  </si>
  <si>
    <t>KM. LINTAS BAHARI 16</t>
  </si>
  <si>
    <t>11/02/2022 10:07</t>
  </si>
  <si>
    <t>KL19</t>
  </si>
  <si>
    <t>KM. LINTAS BAHARI 19</t>
  </si>
  <si>
    <t>PMSM</t>
  </si>
  <si>
    <t>17/02/2022 16:35</t>
  </si>
  <si>
    <t>KL66</t>
  </si>
  <si>
    <t>KM LINTAS BAHARI 66</t>
  </si>
  <si>
    <t>PNLF</t>
  </si>
  <si>
    <t>01/06/2024 16:24</t>
  </si>
  <si>
    <t>KL88</t>
  </si>
  <si>
    <t>KM. LUCKY STAR 88</t>
  </si>
  <si>
    <t>YEDI</t>
  </si>
  <si>
    <t>02/02/2023 13:22</t>
  </si>
  <si>
    <t>KLER</t>
  </si>
  <si>
    <t>KALIMANTAN LEADER</t>
  </si>
  <si>
    <t>POWN</t>
  </si>
  <si>
    <t>18/10/2017 12:11</t>
  </si>
  <si>
    <t>KLIA</t>
  </si>
  <si>
    <t>KM. LINTAS BAHARI INDONESIA</t>
  </si>
  <si>
    <t>22/06/2022 10:43</t>
  </si>
  <si>
    <t>KLTI</t>
  </si>
  <si>
    <t>KM. LINDIAWATI</t>
  </si>
  <si>
    <t>KTLI</t>
  </si>
  <si>
    <t>08/05/2023 09:44</t>
  </si>
  <si>
    <t>KLUA</t>
  </si>
  <si>
    <t>KM. LINTAS PAPUA</t>
  </si>
  <si>
    <t>YHWF</t>
  </si>
  <si>
    <t>29/11/2022 10:33</t>
  </si>
  <si>
    <t>KM01</t>
  </si>
  <si>
    <t>KM. MUJUR 1</t>
  </si>
  <si>
    <t>10/02/2022 10:57</t>
  </si>
  <si>
    <t>KM02</t>
  </si>
  <si>
    <t>KJ MARINE 102</t>
  </si>
  <si>
    <t>YDB 4189</t>
  </si>
  <si>
    <t>KM18</t>
  </si>
  <si>
    <t>KM MAJU 18</t>
  </si>
  <si>
    <t>JZSK</t>
  </si>
  <si>
    <t>21/02/2025 10:49</t>
  </si>
  <si>
    <t>KM42</t>
  </si>
  <si>
    <t>KJ MARINE 242</t>
  </si>
  <si>
    <t>KM75</t>
  </si>
  <si>
    <t>KLM. MAWAR INDAH 375</t>
  </si>
  <si>
    <t>20/12/2022 12:22</t>
  </si>
  <si>
    <t>KMA1</t>
  </si>
  <si>
    <t>KALI MAS</t>
  </si>
  <si>
    <t>PNEW</t>
  </si>
  <si>
    <t>KMAK</t>
  </si>
  <si>
    <t>MV. AKITSU</t>
  </si>
  <si>
    <t>YCEC2</t>
  </si>
  <si>
    <t>26/01/2023 20:51</t>
  </si>
  <si>
    <t>KMAN</t>
  </si>
  <si>
    <t>KM. MANDIRI DELAPAN</t>
  </si>
  <si>
    <t>MAN</t>
  </si>
  <si>
    <t>01/08/2022 15:14</t>
  </si>
  <si>
    <t>KMAS</t>
  </si>
  <si>
    <t>KANAL MAS</t>
  </si>
  <si>
    <t>POXY</t>
  </si>
  <si>
    <t>14/10/2017 08:01</t>
  </si>
  <si>
    <t>KMAT</t>
  </si>
  <si>
    <t>KLM. MINAL RAHMAT</t>
  </si>
  <si>
    <t>02/11/2022 15:42</t>
  </si>
  <si>
    <t>KMB2</t>
  </si>
  <si>
    <t>KM. ST. KAMBRIA. 2</t>
  </si>
  <si>
    <t>YDB112</t>
  </si>
  <si>
    <t>19/11/2022 23:47</t>
  </si>
  <si>
    <t>KMII</t>
  </si>
  <si>
    <t>MINI JAKARTA</t>
  </si>
  <si>
    <t>YDBX2</t>
  </si>
  <si>
    <t>06/02/2024 11:22</t>
  </si>
  <si>
    <t>KMMI</t>
  </si>
  <si>
    <t>KM MERAK INDAH 2</t>
  </si>
  <si>
    <t>YDA 1122</t>
  </si>
  <si>
    <t>11/04/2025 11:10</t>
  </si>
  <si>
    <t>KMP1</t>
  </si>
  <si>
    <t>TB. KSA 36 / BG. KOMPAS 3001</t>
  </si>
  <si>
    <t>YDA6863</t>
  </si>
  <si>
    <t>01/05/2023 15:55</t>
  </si>
  <si>
    <t>KMPP</t>
  </si>
  <si>
    <t>#KM. PUTRA KUSUMA</t>
  </si>
  <si>
    <t>HM TRADING GLOBAL</t>
  </si>
  <si>
    <t>YHAT</t>
  </si>
  <si>
    <t>16/01/2024 14:24</t>
  </si>
  <si>
    <t>KMPW</t>
  </si>
  <si>
    <t>KM. PULAU WEH</t>
  </si>
  <si>
    <t>YDQG</t>
  </si>
  <si>
    <t>27/09/2022 09:05</t>
  </si>
  <si>
    <t>KMRA</t>
  </si>
  <si>
    <t>KLM. MUTIARA</t>
  </si>
  <si>
    <t>26/01/2023 13:38</t>
  </si>
  <si>
    <t>KMRS</t>
  </si>
  <si>
    <t>KM. MEGA ANTARA SAMUDERA</t>
  </si>
  <si>
    <t>POXE</t>
  </si>
  <si>
    <t>15/05/2025 10:30</t>
  </si>
  <si>
    <t>KMYA</t>
  </si>
  <si>
    <t>KM MENANG JAYA</t>
  </si>
  <si>
    <t>YDZI</t>
  </si>
  <si>
    <t>02/03/2022 10:27</t>
  </si>
  <si>
    <t>KN08</t>
  </si>
  <si>
    <t>KARYA NUSANTARA 8</t>
  </si>
  <si>
    <t>PMRI</t>
  </si>
  <si>
    <t>10/05/2025 10:22</t>
  </si>
  <si>
    <t>KN88</t>
  </si>
  <si>
    <t>KM. KARYA NUSANTARA 88</t>
  </si>
  <si>
    <t>02/08/2023 14:05</t>
  </si>
  <si>
    <t>KN89</t>
  </si>
  <si>
    <t>KM. KARYA NUSANTARA 89</t>
  </si>
  <si>
    <t>YCYR2</t>
  </si>
  <si>
    <t>04/09/2024 14:23</t>
  </si>
  <si>
    <t>KNAH</t>
  </si>
  <si>
    <t>KLM. NUR AZIZAH</t>
  </si>
  <si>
    <t>02/01/2023 12:47</t>
  </si>
  <si>
    <t>KNAS</t>
  </si>
  <si>
    <t>KM NITHAMAS</t>
  </si>
  <si>
    <t>YHDV</t>
  </si>
  <si>
    <t>16/07/2024 09:08</t>
  </si>
  <si>
    <t>KNII</t>
  </si>
  <si>
    <t>KM. NAGA SEJAHTERA II</t>
  </si>
  <si>
    <t>23/09/2022 16:02</t>
  </si>
  <si>
    <t>KNRA</t>
  </si>
  <si>
    <t>KM. NGADA SEJAHTERA</t>
  </si>
  <si>
    <t>YDNX2</t>
  </si>
  <si>
    <t>12/04/2024 17:31</t>
  </si>
  <si>
    <t>KOLE</t>
  </si>
  <si>
    <t>KM. OVALE</t>
  </si>
  <si>
    <t>YCNV</t>
  </si>
  <si>
    <t>24/04/2022 12:50</t>
  </si>
  <si>
    <t>KOPA</t>
  </si>
  <si>
    <t>MV. KOTA PADANG</t>
  </si>
  <si>
    <t>YDYG</t>
  </si>
  <si>
    <t>03/09/2024 07:49</t>
  </si>
  <si>
    <t>KOYO</t>
  </si>
  <si>
    <t>MV. KOYO</t>
  </si>
  <si>
    <t>18/06/2024 11:31</t>
  </si>
  <si>
    <t>KP01</t>
  </si>
  <si>
    <t>KM. PELANGI NUSANTARA 1</t>
  </si>
  <si>
    <t>PNCK</t>
  </si>
  <si>
    <t>13/01/2023 15:13</t>
  </si>
  <si>
    <t>KP0X</t>
  </si>
  <si>
    <t>KM. PERSADA X</t>
  </si>
  <si>
    <t>PMTF</t>
  </si>
  <si>
    <t>17/03/2023 07:37</t>
  </si>
  <si>
    <t>KP88</t>
  </si>
  <si>
    <t>KM. PACIFIC 88</t>
  </si>
  <si>
    <t>POQA</t>
  </si>
  <si>
    <t>19/10/2022 09:11</t>
  </si>
  <si>
    <t>KPAN</t>
  </si>
  <si>
    <t>KLM. PUTRI TIGA BERLIAN</t>
  </si>
  <si>
    <t>16/05/2025 07:26</t>
  </si>
  <si>
    <t>KPGA</t>
  </si>
  <si>
    <t>KLM. PUTRI TIGA</t>
  </si>
  <si>
    <t>11/07/2023 17:49</t>
  </si>
  <si>
    <t>KPHA</t>
  </si>
  <si>
    <t>KM PRITHA</t>
  </si>
  <si>
    <t>BAHTERA INDO GEMILANG PT</t>
  </si>
  <si>
    <t>JLO</t>
  </si>
  <si>
    <t>POFT</t>
  </si>
  <si>
    <t>25/09/2024 11:06</t>
  </si>
  <si>
    <t>KPIA</t>
  </si>
  <si>
    <t>KM. PERMATA ASIA</t>
  </si>
  <si>
    <t>PMBM</t>
  </si>
  <si>
    <t>03/05/2022 11:18</t>
  </si>
  <si>
    <t>KPIR</t>
  </si>
  <si>
    <t>KM PUL MANDIRI</t>
  </si>
  <si>
    <t>YFWW</t>
  </si>
  <si>
    <t>06/02/2024 15:41</t>
  </si>
  <si>
    <t>KPLM</t>
  </si>
  <si>
    <t>KALIMANTAN PALM</t>
  </si>
  <si>
    <t>POLO</t>
  </si>
  <si>
    <t>KPMA</t>
  </si>
  <si>
    <t>KM. PUTRA KUSUMA</t>
  </si>
  <si>
    <t>30/11/2023 18:02</t>
  </si>
  <si>
    <t>KPNA</t>
  </si>
  <si>
    <t>KM. PESONA</t>
  </si>
  <si>
    <t>POPO</t>
  </si>
  <si>
    <t>01/06/2024 18:29</t>
  </si>
  <si>
    <t>KPRA</t>
  </si>
  <si>
    <t>KM. PERMATA PUTRA</t>
  </si>
  <si>
    <t>09/09/2022 10:51</t>
  </si>
  <si>
    <t>KPRI</t>
  </si>
  <si>
    <t>KLM. PUTRA MANDIRI</t>
  </si>
  <si>
    <t>06/06/2022 20:34</t>
  </si>
  <si>
    <t>KPRM</t>
  </si>
  <si>
    <t>KM. PRIMA SAMUDRA</t>
  </si>
  <si>
    <t>YDPI</t>
  </si>
  <si>
    <t>08/12/2023 13:03</t>
  </si>
  <si>
    <t>KPTU</t>
  </si>
  <si>
    <t>KM. PACIFIC SAMUDERA SATU</t>
  </si>
  <si>
    <t>YHIZ</t>
  </si>
  <si>
    <t>13/12/2022 15:20</t>
  </si>
  <si>
    <t>KRAT</t>
  </si>
  <si>
    <t>KM. RIMBA EMPAT</t>
  </si>
  <si>
    <t>RIMBA SEGARA LINES PT</t>
  </si>
  <si>
    <t>SGL</t>
  </si>
  <si>
    <t>YCMV</t>
  </si>
  <si>
    <t>20/04/2022 13:58</t>
  </si>
  <si>
    <t>KRIP</t>
  </si>
  <si>
    <t>KM. ROYAL SHIP</t>
  </si>
  <si>
    <t>P O K L</t>
  </si>
  <si>
    <t>22/08/2024 14:18</t>
  </si>
  <si>
    <t>KRSM</t>
  </si>
  <si>
    <t>KM. KARISMA</t>
  </si>
  <si>
    <t>YCEC</t>
  </si>
  <si>
    <t>27/09/2022 20:27</t>
  </si>
  <si>
    <t>KS01</t>
  </si>
  <si>
    <t>KLM. SINAR HARAPAN 01</t>
  </si>
  <si>
    <t>23/01/2023 12:49</t>
  </si>
  <si>
    <t>KS02</t>
  </si>
  <si>
    <t>KLM. SURYA PUTRA 02</t>
  </si>
  <si>
    <t>28/11/2022 19:57</t>
  </si>
  <si>
    <t>KS07</t>
  </si>
  <si>
    <t>KM. SAHABAT MANDIRI 7</t>
  </si>
  <si>
    <t>YDAX</t>
  </si>
  <si>
    <t>29/01/2024 15:16</t>
  </si>
  <si>
    <t>KS08</t>
  </si>
  <si>
    <t>KM. SAHABAT PRIMA. 8</t>
  </si>
  <si>
    <t>batal</t>
  </si>
  <si>
    <t>YELV</t>
  </si>
  <si>
    <t>15/01/2024 21:01</t>
  </si>
  <si>
    <t>KS0I</t>
  </si>
  <si>
    <t>KARUNIA SAMUDRA I</t>
  </si>
  <si>
    <t>YDA 6136</t>
  </si>
  <si>
    <t>KS19</t>
  </si>
  <si>
    <t>KM. SHINPO 19</t>
  </si>
  <si>
    <t>P M Q M</t>
  </si>
  <si>
    <t>04/06/2025 12:05</t>
  </si>
  <si>
    <t>KS21</t>
  </si>
  <si>
    <t>KM STB 21</t>
  </si>
  <si>
    <t>YBPW2</t>
  </si>
  <si>
    <t>09/03/2023 11:31</t>
  </si>
  <si>
    <t>KS36</t>
  </si>
  <si>
    <t>KM. STB 36</t>
  </si>
  <si>
    <t>18/03/2023 11:15</t>
  </si>
  <si>
    <t>KS68</t>
  </si>
  <si>
    <t>KM. SABUK NUSANTARA 68</t>
  </si>
  <si>
    <t>PERINTIS</t>
  </si>
  <si>
    <t>PELAYARAN NASIONAL INDONESIA</t>
  </si>
  <si>
    <t>PNI</t>
  </si>
  <si>
    <t>YCHK2</t>
  </si>
  <si>
    <t>25/11/2024 14:49</t>
  </si>
  <si>
    <t>KS88</t>
  </si>
  <si>
    <t>KM. SHORYU 88</t>
  </si>
  <si>
    <t>YCBQ</t>
  </si>
  <si>
    <t>23/03/2023 21:20</t>
  </si>
  <si>
    <t>KSAI</t>
  </si>
  <si>
    <t>KM SINDO PERMAI</t>
  </si>
  <si>
    <t>PNSI</t>
  </si>
  <si>
    <t>17/02/2023 16:41</t>
  </si>
  <si>
    <t>KSAK</t>
  </si>
  <si>
    <t>KM. SIBAYAK</t>
  </si>
  <si>
    <t>KSAT</t>
  </si>
  <si>
    <t>KLM. SUBUR RAHMAT</t>
  </si>
  <si>
    <t>05/01/2024 14:32</t>
  </si>
  <si>
    <t>KSBH</t>
  </si>
  <si>
    <t>KLM. SURGA BAHARI</t>
  </si>
  <si>
    <t>08/05/2022 20:03</t>
  </si>
  <si>
    <t>KSBS</t>
  </si>
  <si>
    <t>KM. SENTOSA JAYA SBS</t>
  </si>
  <si>
    <t>POCC</t>
  </si>
  <si>
    <t>19/02/2022 14:22</t>
  </si>
  <si>
    <t>KSD9</t>
  </si>
  <si>
    <t>TB. KSD 39 / BG. SOEKAWATI 2705</t>
  </si>
  <si>
    <t>07/09/2024 19:07</t>
  </si>
  <si>
    <t>KSEI</t>
  </si>
  <si>
    <t>KM. SHINEI</t>
  </si>
  <si>
    <t>P O N G</t>
  </si>
  <si>
    <t>04/11/2023 10:14</t>
  </si>
  <si>
    <t>KSER</t>
  </si>
  <si>
    <t>KM. SURYA PIONEER</t>
  </si>
  <si>
    <t>SPO</t>
  </si>
  <si>
    <t>06/02/2024 18:30</t>
  </si>
  <si>
    <t>KSH8</t>
  </si>
  <si>
    <t>KM. KAISHIN 8</t>
  </si>
  <si>
    <t>21/03/2023 19:46</t>
  </si>
  <si>
    <t>KSHO</t>
  </si>
  <si>
    <t>KM. KEISHO</t>
  </si>
  <si>
    <t>YDAS2</t>
  </si>
  <si>
    <t>11/12/2022 20:38</t>
  </si>
  <si>
    <t>KSII</t>
  </si>
  <si>
    <t>KM. SARANA VIII</t>
  </si>
  <si>
    <t>PKHO</t>
  </si>
  <si>
    <t>19/06/2024 15:29</t>
  </si>
  <si>
    <t>KSIP</t>
  </si>
  <si>
    <t>KM. STAR SHIP</t>
  </si>
  <si>
    <t>PMXD</t>
  </si>
  <si>
    <t>24/04/2025 07:26</t>
  </si>
  <si>
    <t>KSLN</t>
  </si>
  <si>
    <t>KM. SARANA LINTAS NUSANTARA</t>
  </si>
  <si>
    <t>JZEM</t>
  </si>
  <si>
    <t>10/11/2022 12:40</t>
  </si>
  <si>
    <t>KSM1</t>
  </si>
  <si>
    <t>KM. SALIM MUJUR 1</t>
  </si>
  <si>
    <t>11/02/2022 09:59</t>
  </si>
  <si>
    <t>KSMI</t>
  </si>
  <si>
    <t>KM. SATOMI</t>
  </si>
  <si>
    <t>PONH</t>
  </si>
  <si>
    <t>25/09/2023 21:13</t>
  </si>
  <si>
    <t>KSMR</t>
  </si>
  <si>
    <t>KM. KASAMIRA</t>
  </si>
  <si>
    <t>YFYG</t>
  </si>
  <si>
    <t>21/11/2024 11:16</t>
  </si>
  <si>
    <t>KSO8</t>
  </si>
  <si>
    <t>KM. SAHABAT SEJATI 8</t>
  </si>
  <si>
    <t>08/02/2024 14:20</t>
  </si>
  <si>
    <t>KSPP</t>
  </si>
  <si>
    <t>KM SINAR PAPUA 88</t>
  </si>
  <si>
    <t>YDMD3</t>
  </si>
  <si>
    <t>17/12/2024 14:55</t>
  </si>
  <si>
    <t>KSSB</t>
  </si>
  <si>
    <t>KSB</t>
  </si>
  <si>
    <t>YDA 6877</t>
  </si>
  <si>
    <t>KSSE</t>
  </si>
  <si>
    <t>KM. SAHABAT SENTOSA</t>
  </si>
  <si>
    <t>YDGZ3</t>
  </si>
  <si>
    <t>01/05/2024 17:58</t>
  </si>
  <si>
    <t>KSTA</t>
  </si>
  <si>
    <t>KM. SINAR MAHKOTA</t>
  </si>
  <si>
    <t>POBR</t>
  </si>
  <si>
    <t>16/11/2023 14:32</t>
  </si>
  <si>
    <t>KSYA</t>
  </si>
  <si>
    <t>KM.PERMATA SURYA</t>
  </si>
  <si>
    <t>PNOB</t>
  </si>
  <si>
    <t>03/08/2024 13:08</t>
  </si>
  <si>
    <t>KT01</t>
  </si>
  <si>
    <t>KM. TAREX 1</t>
  </si>
  <si>
    <t>08/05/2023 09:38</t>
  </si>
  <si>
    <t>KT02</t>
  </si>
  <si>
    <t>KM. TAREX 2</t>
  </si>
  <si>
    <t>15/02/2025 18:06</t>
  </si>
  <si>
    <t>KT0X</t>
  </si>
  <si>
    <t>KM. TONASA LINE X</t>
  </si>
  <si>
    <t>YGYH</t>
  </si>
  <si>
    <t>23/03/2025 20:59</t>
  </si>
  <si>
    <t>KT19</t>
  </si>
  <si>
    <t>KM. TONASA LINE XIX</t>
  </si>
  <si>
    <t>YBB02</t>
  </si>
  <si>
    <t>01/06/2024 18:14</t>
  </si>
  <si>
    <t>KT28</t>
  </si>
  <si>
    <t>TB. KIETRANS 28 / BG. STAR MARINE 3005</t>
  </si>
  <si>
    <t>10/05/2023 13:50</t>
  </si>
  <si>
    <t>KT31</t>
  </si>
  <si>
    <t>TB. KIETRANS 31 / BG. STAR MARINE 3031</t>
  </si>
  <si>
    <t>YDA3814</t>
  </si>
  <si>
    <t>12/01/2024 07:34</t>
  </si>
  <si>
    <t>KT81</t>
  </si>
  <si>
    <t>TB. KIETRANS 81 / BG. STAR MARINE 3081</t>
  </si>
  <si>
    <t>YDC3973</t>
  </si>
  <si>
    <t>02/02/2025 10:37</t>
  </si>
  <si>
    <t>KTAH</t>
  </si>
  <si>
    <t>KLM. TANJUNG PANDAN INDAH</t>
  </si>
  <si>
    <t>26/12/2022 14:29</t>
  </si>
  <si>
    <t>KTAR</t>
  </si>
  <si>
    <t>KLM. TUNAS KARYA LANCAR</t>
  </si>
  <si>
    <t>05/04/2023 12:38</t>
  </si>
  <si>
    <t>KTDI</t>
  </si>
  <si>
    <t>KM. TIRTA ABADI</t>
  </si>
  <si>
    <t>YDZD</t>
  </si>
  <si>
    <t>KTHO</t>
  </si>
  <si>
    <t>KM TAISHO</t>
  </si>
  <si>
    <t>POVI</t>
  </si>
  <si>
    <t>04/10/2024 22:21</t>
  </si>
  <si>
    <t>KTII</t>
  </si>
  <si>
    <t>"KM" TONASA LINE XII</t>
  </si>
  <si>
    <t>YGVK</t>
  </si>
  <si>
    <t>14/03/2025 14:17</t>
  </si>
  <si>
    <t>KTIX</t>
  </si>
  <si>
    <t>KM. TONASA LINE IX</t>
  </si>
  <si>
    <t>YGOE</t>
  </si>
  <si>
    <t>15/02/2022 12:26</t>
  </si>
  <si>
    <t>KM TONASA LINES XII</t>
  </si>
  <si>
    <t>05/09/2024 10:21</t>
  </si>
  <si>
    <t>KTMA</t>
  </si>
  <si>
    <t>KLM. TIRTA PRATAMA</t>
  </si>
  <si>
    <t>17/06/2022 09:50</t>
  </si>
  <si>
    <t>KTR1</t>
  </si>
  <si>
    <t>TB. KIETRANS 1 / BG. STAR MARINE 3301</t>
  </si>
  <si>
    <t>YD3688</t>
  </si>
  <si>
    <t>30/08/2024 10:21</t>
  </si>
  <si>
    <t>KTR2</t>
  </si>
  <si>
    <t>KM. KUTAI RAYA DUA</t>
  </si>
  <si>
    <t>YEEZ</t>
  </si>
  <si>
    <t>09/08/2024 15:28</t>
  </si>
  <si>
    <t>KTRU</t>
  </si>
  <si>
    <t>KM. TUNAS BARU</t>
  </si>
  <si>
    <t>JZSC</t>
  </si>
  <si>
    <t>26/01/2023 17:16</t>
  </si>
  <si>
    <t>KTTA</t>
  </si>
  <si>
    <t>KM. TOYOTA</t>
  </si>
  <si>
    <t>YCGE</t>
  </si>
  <si>
    <t>08/03/2022 12:27</t>
  </si>
  <si>
    <t>KTVI</t>
  </si>
  <si>
    <t>KM. TONASA LINE KTVI</t>
  </si>
  <si>
    <t>YFLK</t>
  </si>
  <si>
    <t>15/04/2025 18:15</t>
  </si>
  <si>
    <t>KTXI</t>
  </si>
  <si>
    <t>##KM. TONASA LINE XI</t>
  </si>
  <si>
    <t>YFRX</t>
  </si>
  <si>
    <t>KTXV</t>
  </si>
  <si>
    <t>KM. TONASA LINE XXV</t>
  </si>
  <si>
    <t>YCUZ2</t>
  </si>
  <si>
    <t>15/09/2024 19:50</t>
  </si>
  <si>
    <t>KU02</t>
  </si>
  <si>
    <t>TB. KHANSA UTAMA 01 / BG. KHANSA UTAMA 2702</t>
  </si>
  <si>
    <t>YDB 6062</t>
  </si>
  <si>
    <t>08/05/2025 14:17</t>
  </si>
  <si>
    <t>KUNG</t>
  </si>
  <si>
    <t>KUANG</t>
  </si>
  <si>
    <t>YCMJ</t>
  </si>
  <si>
    <t>KV08</t>
  </si>
  <si>
    <t>KM. VICTORY 8</t>
  </si>
  <si>
    <t>13/12/2022 15:34</t>
  </si>
  <si>
    <t>KVII</t>
  </si>
  <si>
    <t>KAN VII</t>
  </si>
  <si>
    <t>KW01</t>
  </si>
  <si>
    <t>KM. WIJAYA KUSUMA I</t>
  </si>
  <si>
    <t>YB4820</t>
  </si>
  <si>
    <t>17/02/2022 12:22</t>
  </si>
  <si>
    <t>KWSI</t>
  </si>
  <si>
    <t>KM WAKAYOSI</t>
  </si>
  <si>
    <t>YDGE</t>
  </si>
  <si>
    <t>22/08/2022 17:09</t>
  </si>
  <si>
    <t>KWSJ</t>
  </si>
  <si>
    <t>KM. KAWAN SEJATI</t>
  </si>
  <si>
    <t>YFPL</t>
  </si>
  <si>
    <t>25/01/2025 10:35</t>
  </si>
  <si>
    <t>KX11</t>
  </si>
  <si>
    <t>KAI XUAN 11</t>
  </si>
  <si>
    <t>3FVC6</t>
  </si>
  <si>
    <t>09/05/2022 11:40</t>
  </si>
  <si>
    <t>KXII</t>
  </si>
  <si>
    <t>KAN XVII</t>
  </si>
  <si>
    <t>KYKY</t>
  </si>
  <si>
    <t>KM. KYOKUYO</t>
  </si>
  <si>
    <t>YBPC2</t>
  </si>
  <si>
    <t>21/08/2024 19:18</t>
  </si>
  <si>
    <t>KYNG</t>
  </si>
  <si>
    <t>KM. KARYA NIAGA</t>
  </si>
  <si>
    <t>YHGJ</t>
  </si>
  <si>
    <t>30/04/2025 17:26</t>
  </si>
  <si>
    <t>KYVI</t>
  </si>
  <si>
    <t>KM. TONASA LINE XVI</t>
  </si>
  <si>
    <t>PNPB</t>
  </si>
  <si>
    <t>ari@primus.co.id</t>
  </si>
  <si>
    <t>02/03/2025 11:39</t>
  </si>
  <si>
    <t>KZIA</t>
  </si>
  <si>
    <t>KLM. ZAFA PRIMA SETIA</t>
  </si>
  <si>
    <t>06/01/2025 14:50</t>
  </si>
  <si>
    <t>L102</t>
  </si>
  <si>
    <t>LAS 1</t>
  </si>
  <si>
    <t>YBHD2</t>
  </si>
  <si>
    <t>L203</t>
  </si>
  <si>
    <t>LAS 2</t>
  </si>
  <si>
    <t>YBHE2</t>
  </si>
  <si>
    <t>L9A6</t>
  </si>
  <si>
    <t>TB. LIBERTY 9 / BG. AZAMARA 6</t>
  </si>
  <si>
    <t>02/10/2022 14:53</t>
  </si>
  <si>
    <t>LA01</t>
  </si>
  <si>
    <t>LAMIWURI-01</t>
  </si>
  <si>
    <t>PMLZ</t>
  </si>
  <si>
    <t>LAAN</t>
  </si>
  <si>
    <t>LUMOSO AMAN</t>
  </si>
  <si>
    <t>YBAI2</t>
  </si>
  <si>
    <t>LAAR</t>
  </si>
  <si>
    <t>LABOBAR</t>
  </si>
  <si>
    <t>YHKN</t>
  </si>
  <si>
    <t>LALU</t>
  </si>
  <si>
    <t>LAMBELU</t>
  </si>
  <si>
    <t>YFIK</t>
  </si>
  <si>
    <t>LB19</t>
  </si>
  <si>
    <t>TB. LIBERTY 19 / BG. AZAMARA 3053</t>
  </si>
  <si>
    <t>08/06/2025 10:29</t>
  </si>
  <si>
    <t>LB23</t>
  </si>
  <si>
    <t>TB. LLB SUKSES 22 BG. LLB SUKSES 23</t>
  </si>
  <si>
    <t>YDC4171</t>
  </si>
  <si>
    <t>13/05/2022 13:32</t>
  </si>
  <si>
    <t>LB28</t>
  </si>
  <si>
    <t>TB. LIBERTY 28 / BG. AZAMARA 3058</t>
  </si>
  <si>
    <t>YD5366</t>
  </si>
  <si>
    <t>21/04/2025 09:54</t>
  </si>
  <si>
    <t>LBT3</t>
  </si>
  <si>
    <t>TB. LIBERTY 3 / BG. AZAMARA 3</t>
  </si>
  <si>
    <t>YD5214</t>
  </si>
  <si>
    <t>LCKS</t>
  </si>
  <si>
    <t>KM. LUCKY SHIP</t>
  </si>
  <si>
    <t>11/01/2024 08:31</t>
  </si>
  <si>
    <t>LD01</t>
  </si>
  <si>
    <t>KM. LINTAS DAMAI 1</t>
  </si>
  <si>
    <t>PNUL</t>
  </si>
  <si>
    <t>13/01/2024 20:08</t>
  </si>
  <si>
    <t>LDM8</t>
  </si>
  <si>
    <t>KM. LINTAS DAMAI 8</t>
  </si>
  <si>
    <t>PKOX</t>
  </si>
  <si>
    <t>04/08/2022 14:00</t>
  </si>
  <si>
    <t>LIRA</t>
  </si>
  <si>
    <t>LIBRA</t>
  </si>
  <si>
    <t>YDA 6003</t>
  </si>
  <si>
    <t>LM88</t>
  </si>
  <si>
    <t>LAKSAMANA M ZAIN 88</t>
  </si>
  <si>
    <t>YDA6157</t>
  </si>
  <si>
    <t>LMSM</t>
  </si>
  <si>
    <t>TB. L MARITIM / BG. SURYA MAS</t>
  </si>
  <si>
    <t>07/04/2023 20:34</t>
  </si>
  <si>
    <t>LNTS</t>
  </si>
  <si>
    <t>LINTAS DAMAI 3</t>
  </si>
  <si>
    <t>LORI</t>
  </si>
  <si>
    <t>LOSARI</t>
  </si>
  <si>
    <t>YDA 4269</t>
  </si>
  <si>
    <t>LP03</t>
  </si>
  <si>
    <t>TB. LEO POWER 2203 / BG. LEO MARINE 3003</t>
  </si>
  <si>
    <t>YDA3788</t>
  </si>
  <si>
    <t>19/09/2024 13:08</t>
  </si>
  <si>
    <t>LS09</t>
  </si>
  <si>
    <t>LINTAS SEGARA 9</t>
  </si>
  <si>
    <t>07/03/2023 13:49</t>
  </si>
  <si>
    <t>LS18</t>
  </si>
  <si>
    <t>TB. VARIA USAHA 10 / BG. LINTAS SEGARA 18</t>
  </si>
  <si>
    <t>YDB4254</t>
  </si>
  <si>
    <t>03/06/2025 12:42</t>
  </si>
  <si>
    <t>LS88</t>
  </si>
  <si>
    <t>TB. HARMONY XIX / BG. LINTAS SAMUDERA 88</t>
  </si>
  <si>
    <t>YDB6178</t>
  </si>
  <si>
    <t>16/03/2025 17:40</t>
  </si>
  <si>
    <t>LT18</t>
  </si>
  <si>
    <t>TB. LIBERTY 18 / BG. AZAMARA 3058</t>
  </si>
  <si>
    <t>YD5342</t>
  </si>
  <si>
    <t>21/06/2024 13:25</t>
  </si>
  <si>
    <t>LTLM</t>
  </si>
  <si>
    <t>LIMA TUJUH TUJUH. KLM</t>
  </si>
  <si>
    <t>27/06/2024 08:37</t>
  </si>
  <si>
    <t>LTSU</t>
  </si>
  <si>
    <t>MV. LOTUS UNGU</t>
  </si>
  <si>
    <t>JZGA</t>
  </si>
  <si>
    <t>18/03/2022 18:29</t>
  </si>
  <si>
    <t>LUGA</t>
  </si>
  <si>
    <t>MV LUGA</t>
  </si>
  <si>
    <t>C6DJ4</t>
  </si>
  <si>
    <t>15/01/2024 17:33</t>
  </si>
  <si>
    <t>LVII</t>
  </si>
  <si>
    <t>LIUS VII</t>
  </si>
  <si>
    <t>YDB6537</t>
  </si>
  <si>
    <t>29/11/2017 16:03</t>
  </si>
  <si>
    <t>LWAY</t>
  </si>
  <si>
    <t>LUCKY WAY</t>
  </si>
  <si>
    <t>LWLS</t>
  </si>
  <si>
    <t>MV LOWLANDS ENGEL</t>
  </si>
  <si>
    <t>4XW7</t>
  </si>
  <si>
    <t>15/02/2025 11:13</t>
  </si>
  <si>
    <t>LXXI</t>
  </si>
  <si>
    <t>BG. TONASA LINES XXI / TB. LABAKKANG</t>
  </si>
  <si>
    <t>16/02/2022 09:40</t>
  </si>
  <si>
    <t>LZON</t>
  </si>
  <si>
    <t>MV. LUZON</t>
  </si>
  <si>
    <t>Liberia</t>
  </si>
  <si>
    <t>POMP</t>
  </si>
  <si>
    <t>26/09/2023 09:00</t>
  </si>
  <si>
    <t>M001</t>
  </si>
  <si>
    <t>KM. MAB 01</t>
  </si>
  <si>
    <t>YCYG2</t>
  </si>
  <si>
    <t>23/11/2023 11:39</t>
  </si>
  <si>
    <t>M105</t>
  </si>
  <si>
    <t>MAPAN 1405</t>
  </si>
  <si>
    <t>YDB6572</t>
  </si>
  <si>
    <t>M110</t>
  </si>
  <si>
    <t>METEOR 10</t>
  </si>
  <si>
    <t>Y B F G 2</t>
  </si>
  <si>
    <t>M112</t>
  </si>
  <si>
    <t>MASADA 12</t>
  </si>
  <si>
    <t>M117</t>
  </si>
  <si>
    <t>MARINA 1617</t>
  </si>
  <si>
    <t>YDA3851</t>
  </si>
  <si>
    <t>M118</t>
  </si>
  <si>
    <t>MARINA 18</t>
  </si>
  <si>
    <t>YD 3510</t>
  </si>
  <si>
    <t>10/12/2017 03:57</t>
  </si>
  <si>
    <t>M175</t>
  </si>
  <si>
    <t>MODALWAN 1075</t>
  </si>
  <si>
    <t>YD-6772</t>
  </si>
  <si>
    <t>16/11/2017 16:53</t>
  </si>
  <si>
    <t>M205</t>
  </si>
  <si>
    <t>MARINA 2205</t>
  </si>
  <si>
    <t>YDA 3706</t>
  </si>
  <si>
    <t>M223</t>
  </si>
  <si>
    <t>MANDIRI 23</t>
  </si>
  <si>
    <t>WAS</t>
  </si>
  <si>
    <t>YDB. 6405</t>
  </si>
  <si>
    <t>30/11/2017 09:39</t>
  </si>
  <si>
    <t>M308</t>
  </si>
  <si>
    <t>TB. SATRIA LAKSANA 98 / BG. MJL 308</t>
  </si>
  <si>
    <t>YDA6627</t>
  </si>
  <si>
    <t>16/05/2024 14:37</t>
  </si>
  <si>
    <t>M309</t>
  </si>
  <si>
    <t>TB. VINCENT 1 / BG. MJL 309</t>
  </si>
  <si>
    <t>YDA 4634</t>
  </si>
  <si>
    <t>13/03/2023 13:45</t>
  </si>
  <si>
    <t>M336</t>
  </si>
  <si>
    <t>MT.ROYAL 36</t>
  </si>
  <si>
    <t>XVRN9</t>
  </si>
  <si>
    <t>M3GY</t>
  </si>
  <si>
    <t>MV. MEGHNA ENERGY</t>
  </si>
  <si>
    <t>S2BD6</t>
  </si>
  <si>
    <t>19/11/2024 12:45</t>
  </si>
  <si>
    <t>M667</t>
  </si>
  <si>
    <t>MBS 67</t>
  </si>
  <si>
    <t>M707</t>
  </si>
  <si>
    <t>MDM 7</t>
  </si>
  <si>
    <t>INDO DHARMA TRANSPORT,PT</t>
  </si>
  <si>
    <t>M808</t>
  </si>
  <si>
    <t>MAJU 8</t>
  </si>
  <si>
    <t>POWP</t>
  </si>
  <si>
    <t>21/12/2023 16:17</t>
  </si>
  <si>
    <t>M888</t>
  </si>
  <si>
    <t>MARLIN 88</t>
  </si>
  <si>
    <t>JZZP</t>
  </si>
  <si>
    <t>M898</t>
  </si>
  <si>
    <t>MUARA 898</t>
  </si>
  <si>
    <t>YDA 6041</t>
  </si>
  <si>
    <t>MA02</t>
  </si>
  <si>
    <t>KM. MA NO. 2</t>
  </si>
  <si>
    <t>PMYX</t>
  </si>
  <si>
    <t>19/04/2023 17:40</t>
  </si>
  <si>
    <t>MA0V</t>
  </si>
  <si>
    <t>MULTI ASIA V</t>
  </si>
  <si>
    <t>YDB 6330</t>
  </si>
  <si>
    <t>MA18</t>
  </si>
  <si>
    <t>MANNA 18</t>
  </si>
  <si>
    <t>06/02/2022 07:39</t>
  </si>
  <si>
    <t>MAAI</t>
  </si>
  <si>
    <t>MV. ALAM PERMAI</t>
  </si>
  <si>
    <t>BERKAH TATA BARUNA, PT</t>
  </si>
  <si>
    <t>9MWG9</t>
  </si>
  <si>
    <t>14/12/2017 06:42</t>
  </si>
  <si>
    <t>MAAN</t>
  </si>
  <si>
    <t>MAGELLAN</t>
  </si>
  <si>
    <t>YEZH</t>
  </si>
  <si>
    <t>MAAO</t>
  </si>
  <si>
    <t>MV. AZAO</t>
  </si>
  <si>
    <t>Algeria</t>
  </si>
  <si>
    <t>7TZL</t>
  </si>
  <si>
    <t>France</t>
  </si>
  <si>
    <t>09/09/2022 12:54</t>
  </si>
  <si>
    <t>MAAR</t>
  </si>
  <si>
    <t>MV. AMMAR</t>
  </si>
  <si>
    <t>S2CB</t>
  </si>
  <si>
    <t>17/07/2023 16:56</t>
  </si>
  <si>
    <t>MAAS</t>
  </si>
  <si>
    <t>MEDELIN ATLAS</t>
  </si>
  <si>
    <t>PNCO</t>
  </si>
  <si>
    <t>MAAU</t>
  </si>
  <si>
    <t>MAUHAU</t>
  </si>
  <si>
    <t>DGB</t>
  </si>
  <si>
    <t>YHBV</t>
  </si>
  <si>
    <t>01/11/2017 10:48</t>
  </si>
  <si>
    <t>MABE</t>
  </si>
  <si>
    <t>MV. AKIJ GLOBE</t>
  </si>
  <si>
    <t>S2AE5</t>
  </si>
  <si>
    <t>23/05/2025 12:26</t>
  </si>
  <si>
    <t>MABV</t>
  </si>
  <si>
    <t>MV. ANUGRAH BUANA V</t>
  </si>
  <si>
    <t>PMCC</t>
  </si>
  <si>
    <t>MAC3</t>
  </si>
  <si>
    <t>MV. ASIAN PROMINENCE</t>
  </si>
  <si>
    <t>9V3660</t>
  </si>
  <si>
    <t>14/10/2024 09:49</t>
  </si>
  <si>
    <t>MACE</t>
  </si>
  <si>
    <t>MV. AN HAI CONFIDENCE</t>
  </si>
  <si>
    <t>3E2559</t>
  </si>
  <si>
    <t>01/08/2024 14:14</t>
  </si>
  <si>
    <t>MAEA</t>
  </si>
  <si>
    <t>MT. ATHINEA</t>
  </si>
  <si>
    <t>Greece</t>
  </si>
  <si>
    <t>SVQG</t>
  </si>
  <si>
    <t>07/10/2017 08:59</t>
  </si>
  <si>
    <t>MAEN</t>
  </si>
  <si>
    <t>MV. ASPEN</t>
  </si>
  <si>
    <t>V7QE9</t>
  </si>
  <si>
    <t>12/06/2023 06:51</t>
  </si>
  <si>
    <t>MAER</t>
  </si>
  <si>
    <t>MV. APEX VOYAGER</t>
  </si>
  <si>
    <t>3FSH7</t>
  </si>
  <si>
    <t>04/07/2022 13:16</t>
  </si>
  <si>
    <t>MAHA</t>
  </si>
  <si>
    <t>MAIDEN ALPHA</t>
  </si>
  <si>
    <t>PNOM</t>
  </si>
  <si>
    <t>MAIS</t>
  </si>
  <si>
    <t>MV. AISHA SARWAR</t>
  </si>
  <si>
    <t>S2CP</t>
  </si>
  <si>
    <t>27/09/2023 15:04</t>
  </si>
  <si>
    <t>MAIX</t>
  </si>
  <si>
    <t>MAKMUR ABADI - IX</t>
  </si>
  <si>
    <t>21/11/2017 19:43</t>
  </si>
  <si>
    <t>MAJU</t>
  </si>
  <si>
    <t>KM. MAJU</t>
  </si>
  <si>
    <t>PNGB</t>
  </si>
  <si>
    <t>09/05/2023 14:48</t>
  </si>
  <si>
    <t>MAKI</t>
  </si>
  <si>
    <t>MV. AKIJ NOOR</t>
  </si>
  <si>
    <t>S2AC8</t>
  </si>
  <si>
    <t>02/07/2024 15:33</t>
  </si>
  <si>
    <t>MALB</t>
  </si>
  <si>
    <t>MV. ALWAYS BLESSING</t>
  </si>
  <si>
    <t>Saint Kittts-Nevis</t>
  </si>
  <si>
    <t>V4QA6</t>
  </si>
  <si>
    <t>15/03/2025 14:14</t>
  </si>
  <si>
    <t>MALE</t>
  </si>
  <si>
    <t>MV AKIJ NOBLE</t>
  </si>
  <si>
    <t>S2AW4</t>
  </si>
  <si>
    <t>Philippines</t>
  </si>
  <si>
    <t>14/02/2023 13:05</t>
  </si>
  <si>
    <t>MANG</t>
  </si>
  <si>
    <t>MV ANTUNG</t>
  </si>
  <si>
    <t>BAHARI EKA NUSANTARA, PT</t>
  </si>
  <si>
    <t>5BEN2</t>
  </si>
  <si>
    <t>MAO1</t>
  </si>
  <si>
    <t>MV AGIOS MAKARIOS</t>
  </si>
  <si>
    <t>ITS</t>
  </si>
  <si>
    <t>V7MQ4</t>
  </si>
  <si>
    <t>16/10/2017 13:32</t>
  </si>
  <si>
    <t>MAON</t>
  </si>
  <si>
    <t>MV.BOTTIGLIERI AMBITION</t>
  </si>
  <si>
    <t>Italia</t>
  </si>
  <si>
    <t>IBZG</t>
  </si>
  <si>
    <t>MAOR</t>
  </si>
  <si>
    <t>MT. ALMI NAVIGATOR</t>
  </si>
  <si>
    <t>D5DX8</t>
  </si>
  <si>
    <t>06/12/2017 18:00</t>
  </si>
  <si>
    <t>MAPO</t>
  </si>
  <si>
    <t>MARINE POWER 3023, BG / GRACE 01, TB</t>
  </si>
  <si>
    <t>13/02/2022 21:00</t>
  </si>
  <si>
    <t>MASM</t>
  </si>
  <si>
    <t>KM. MEGA ANTARA SAMUDRA</t>
  </si>
  <si>
    <t>MAVE</t>
  </si>
  <si>
    <t>MV. AKIJ WAVE</t>
  </si>
  <si>
    <t>S2SD</t>
  </si>
  <si>
    <t>15/01/2025 09:55</t>
  </si>
  <si>
    <t>MAVI</t>
  </si>
  <si>
    <t>MULTI ASIA VI</t>
  </si>
  <si>
    <t>MB01</t>
  </si>
  <si>
    <t>MERATUS BALIKPAPAN 1</t>
  </si>
  <si>
    <t>PNQR</t>
  </si>
  <si>
    <t>MB08</t>
  </si>
  <si>
    <t>MV. BINTANG SEJAHTERA 8</t>
  </si>
  <si>
    <t>PNRW</t>
  </si>
  <si>
    <t>MBAH</t>
  </si>
  <si>
    <t>MV. BAHTERA SUKSES</t>
  </si>
  <si>
    <t>26/06/2024 13:57</t>
  </si>
  <si>
    <t>MBAL</t>
  </si>
  <si>
    <t>MV.IKAN BAWAL</t>
  </si>
  <si>
    <t>3FAY9</t>
  </si>
  <si>
    <t>MBAY</t>
  </si>
  <si>
    <t>MV. BELL BAY</t>
  </si>
  <si>
    <t>VRBY9</t>
  </si>
  <si>
    <t>18/05/2023 19:52</t>
  </si>
  <si>
    <t>MBEE</t>
  </si>
  <si>
    <t>MV. BOONYA NAREE</t>
  </si>
  <si>
    <t>9V2251</t>
  </si>
  <si>
    <t>06/08/2023 00:22</t>
  </si>
  <si>
    <t>MBIA</t>
  </si>
  <si>
    <t>MV. BAO JIA</t>
  </si>
  <si>
    <t>3FDU9</t>
  </si>
  <si>
    <t>31/01/2023 16:49</t>
  </si>
  <si>
    <t>MBIN</t>
  </si>
  <si>
    <t>MDM BATULICIN</t>
  </si>
  <si>
    <t>POQE</t>
  </si>
  <si>
    <t>MBIY</t>
  </si>
  <si>
    <t>MV. BASS STRAIT</t>
  </si>
  <si>
    <t>VRBR6</t>
  </si>
  <si>
    <t>09/02/2024 14:25</t>
  </si>
  <si>
    <t>MBLM</t>
  </si>
  <si>
    <t>MITRA BUANA. KLM</t>
  </si>
  <si>
    <t>11/12/2022 19:17</t>
  </si>
  <si>
    <t>MBOA</t>
  </si>
  <si>
    <t>MV BBC BALBOA</t>
  </si>
  <si>
    <t>Antigua and Barbuda</t>
  </si>
  <si>
    <t>V2FN5</t>
  </si>
  <si>
    <t>07/11/2017 11:11</t>
  </si>
  <si>
    <t>MBON</t>
  </si>
  <si>
    <t>MV. BARWON</t>
  </si>
  <si>
    <t>D5II3</t>
  </si>
  <si>
    <t>MBRA</t>
  </si>
  <si>
    <t>MV. BLUE AKIHABARA</t>
  </si>
  <si>
    <t>3FHz3</t>
  </si>
  <si>
    <t>24/10/2024 21:53</t>
  </si>
  <si>
    <t>MBUN</t>
  </si>
  <si>
    <t>MV. BAO SHUN</t>
  </si>
  <si>
    <t>5LBB5</t>
  </si>
  <si>
    <t>28/01/2023 12:22</t>
  </si>
  <si>
    <t>MBVL</t>
  </si>
  <si>
    <t>MV. BRAVE ROYAL</t>
  </si>
  <si>
    <t>S2AB6</t>
  </si>
  <si>
    <t>07/08/2023 09:53</t>
  </si>
  <si>
    <t>MC08</t>
  </si>
  <si>
    <t>TB. MICHELLE 219-08 / BG. BAHTERA 3006</t>
  </si>
  <si>
    <t>YDB6579</t>
  </si>
  <si>
    <t>21/07/2024 13:04</t>
  </si>
  <si>
    <t>MC0S</t>
  </si>
  <si>
    <t>MV CAPETAN COSTAS S</t>
  </si>
  <si>
    <t>PCL SHIPPING</t>
  </si>
  <si>
    <t>PCL</t>
  </si>
  <si>
    <t>V7WU9</t>
  </si>
  <si>
    <t>tutiguhirhasnah@yahoo.co.id</t>
  </si>
  <si>
    <t>16/11/2017 15:22</t>
  </si>
  <si>
    <t>MCAM</t>
  </si>
  <si>
    <t>MV. CMB VAN MIEGHAM</t>
  </si>
  <si>
    <t>PENASCOP MARITIM IND, PT</t>
  </si>
  <si>
    <t>9V9164</t>
  </si>
  <si>
    <t>MCAT</t>
  </si>
  <si>
    <t>MV. CEPAT</t>
  </si>
  <si>
    <t>AAAA</t>
  </si>
  <si>
    <t>12/03/2024 16:02</t>
  </si>
  <si>
    <t>MCEA</t>
  </si>
  <si>
    <t>MT. CELTIC SEA</t>
  </si>
  <si>
    <t>D5HH9</t>
  </si>
  <si>
    <t>02/11/2017 09:55</t>
  </si>
  <si>
    <t>MCEN</t>
  </si>
  <si>
    <t>MV. CORAL QUEEN</t>
  </si>
  <si>
    <t>3EYD6</t>
  </si>
  <si>
    <t>15/01/2023 15:05</t>
  </si>
  <si>
    <t>MCER</t>
  </si>
  <si>
    <t>MT. CASTOR VOYAGER</t>
  </si>
  <si>
    <t>EBA</t>
  </si>
  <si>
    <t>C6UZ6</t>
  </si>
  <si>
    <t>27/11/2017 08:58</t>
  </si>
  <si>
    <t>MCH8</t>
  </si>
  <si>
    <t>TB. MICHELLE 219-08 / BG. BAHTERA 3008</t>
  </si>
  <si>
    <t>13/07/2024 12:26</t>
  </si>
  <si>
    <t>MCHC</t>
  </si>
  <si>
    <t>MV. CH CLARE</t>
  </si>
  <si>
    <t>DSQT5</t>
  </si>
  <si>
    <t>31/12/2024 08:59</t>
  </si>
  <si>
    <t>MCIS</t>
  </si>
  <si>
    <t>MV. CH DORIS</t>
  </si>
  <si>
    <t>DSQZ4</t>
  </si>
  <si>
    <t>MCL8</t>
  </si>
  <si>
    <t>TB. MACALLAN 8 / BG. AUSONE</t>
  </si>
  <si>
    <t>9WRPS</t>
  </si>
  <si>
    <t>30/05/2022 07:42</t>
  </si>
  <si>
    <t>MCLA</t>
  </si>
  <si>
    <t>MV. CAMILLA</t>
  </si>
  <si>
    <t>YBCH2</t>
  </si>
  <si>
    <t>MCLS</t>
  </si>
  <si>
    <t>MV. CLIPPER LIS</t>
  </si>
  <si>
    <t>Majuro</t>
  </si>
  <si>
    <t>V7VT7</t>
  </si>
  <si>
    <t>12/03/2025 14:43</t>
  </si>
  <si>
    <t>MCNA</t>
  </si>
  <si>
    <t>MV. CERAFINA</t>
  </si>
  <si>
    <t>V7ZV7</t>
  </si>
  <si>
    <t>MCNY</t>
  </si>
  <si>
    <t>M.V COSMOS HARMONY</t>
  </si>
  <si>
    <t>D5TY6</t>
  </si>
  <si>
    <t>03/03/2023 18:22</t>
  </si>
  <si>
    <t>MCRV</t>
  </si>
  <si>
    <t>MV CROWN VISION</t>
  </si>
  <si>
    <t>S2BK3</t>
  </si>
  <si>
    <t>03/07/2023 15:10</t>
  </si>
  <si>
    <t>MCS2</t>
  </si>
  <si>
    <t>MV CAPETAN COSTAS S2</t>
  </si>
  <si>
    <t>DTB</t>
  </si>
  <si>
    <t>MCSE</t>
  </si>
  <si>
    <t>MV. CSE FORTUNE EXPRESS</t>
  </si>
  <si>
    <t>BHFZ</t>
  </si>
  <si>
    <t>12/10/2023 07:31</t>
  </si>
  <si>
    <t>MCSS</t>
  </si>
  <si>
    <t>MV. CEMENT SUCCESS</t>
  </si>
  <si>
    <t>MCTY</t>
  </si>
  <si>
    <t>KM. CLARITY 08</t>
  </si>
  <si>
    <t>jzya</t>
  </si>
  <si>
    <t>17/07/2023 12:57</t>
  </si>
  <si>
    <t>MCUE</t>
  </si>
  <si>
    <t>MV CRIMSON QUEEN</t>
  </si>
  <si>
    <t>9V2308</t>
  </si>
  <si>
    <t>06/02/2024 16:18</t>
  </si>
  <si>
    <t>MCVR</t>
  </si>
  <si>
    <t>MV. CROWN VOYAGER</t>
  </si>
  <si>
    <t>S2BH2</t>
  </si>
  <si>
    <t>15/10/2024 14:43</t>
  </si>
  <si>
    <t>MD27</t>
  </si>
  <si>
    <t>TB. MASADA 27 / BG. MJL 301</t>
  </si>
  <si>
    <t>14/03/2025 13:52</t>
  </si>
  <si>
    <t>MDAR</t>
  </si>
  <si>
    <t>MV DARYA GANGA</t>
  </si>
  <si>
    <t>VRJB8</t>
  </si>
  <si>
    <t>17/09/2024 09:12</t>
  </si>
  <si>
    <t>MDEL</t>
  </si>
  <si>
    <t>MV DELTA AVON</t>
  </si>
  <si>
    <t>V7OV6</t>
  </si>
  <si>
    <t>20/08/2023 09:21</t>
  </si>
  <si>
    <t>MDIA</t>
  </si>
  <si>
    <t>MT. DELTA MARIA</t>
  </si>
  <si>
    <t>SVCC7</t>
  </si>
  <si>
    <t>MDJU</t>
  </si>
  <si>
    <t>MV. DARYA MAJU</t>
  </si>
  <si>
    <t>Niue</t>
  </si>
  <si>
    <t>E6UJ2</t>
  </si>
  <si>
    <t>supriono@sig.id</t>
  </si>
  <si>
    <t>08/12/2022 11:05</t>
  </si>
  <si>
    <t>MDLA</t>
  </si>
  <si>
    <t>MV. MEDI MANILA</t>
  </si>
  <si>
    <t>3FEI5</t>
  </si>
  <si>
    <t>18/04/2022 19:36</t>
  </si>
  <si>
    <t>MDLE</t>
  </si>
  <si>
    <t>MV. DAEBO NEWCASTLE</t>
  </si>
  <si>
    <t>3FHM</t>
  </si>
  <si>
    <t>29/11/2017 12:40</t>
  </si>
  <si>
    <t>MDLF</t>
  </si>
  <si>
    <t>MV. MEDELIN FIRST</t>
  </si>
  <si>
    <t>PNYQ</t>
  </si>
  <si>
    <t>17/12/2024 17:35</t>
  </si>
  <si>
    <t>MDLL</t>
  </si>
  <si>
    <t>MV. DL LAVENDER</t>
  </si>
  <si>
    <t>5LFI8</t>
  </si>
  <si>
    <t>15/08/2024 09:22</t>
  </si>
  <si>
    <t>MDLO</t>
  </si>
  <si>
    <t>MV. DL OLIVE</t>
  </si>
  <si>
    <t>5LFT7</t>
  </si>
  <si>
    <t>18/09/2024 11:04</t>
  </si>
  <si>
    <t>MDN1</t>
  </si>
  <si>
    <t>MV. DAEBO GLADSTONE</t>
  </si>
  <si>
    <t>3FIE9</t>
  </si>
  <si>
    <t>MDNE</t>
  </si>
  <si>
    <t>MT. DAEHO SUNSHINE</t>
  </si>
  <si>
    <t>DSRC4</t>
  </si>
  <si>
    <t>MDNN</t>
  </si>
  <si>
    <t>MEDAN MV</t>
  </si>
  <si>
    <t>31/10/2021 09:53</t>
  </si>
  <si>
    <t>MDON</t>
  </si>
  <si>
    <t>MT.OCEAN DRAGON</t>
  </si>
  <si>
    <t>9VLR</t>
  </si>
  <si>
    <t>29/11/2017 08:49</t>
  </si>
  <si>
    <t>MDRR</t>
  </si>
  <si>
    <t>MV. DARLING RIVER</t>
  </si>
  <si>
    <t>VRET8</t>
  </si>
  <si>
    <t>13/10/2023 13:55</t>
  </si>
  <si>
    <t>MDSA</t>
  </si>
  <si>
    <t>MV. DEWI SENTOSA</t>
  </si>
  <si>
    <t>13/03/2023 16:06</t>
  </si>
  <si>
    <t>MDSI</t>
  </si>
  <si>
    <t>MV DSI POLLUX</t>
  </si>
  <si>
    <t>V7A5793</t>
  </si>
  <si>
    <t>30/12/2023 16:56</t>
  </si>
  <si>
    <t>MDTY</t>
  </si>
  <si>
    <t>MV. DIAN PROSPERITY</t>
  </si>
  <si>
    <t>YBMZ2</t>
  </si>
  <si>
    <t>15/06/2023 17:35</t>
  </si>
  <si>
    <t>MDVE</t>
  </si>
  <si>
    <t>M.V DL OLIVE</t>
  </si>
  <si>
    <t>18/09/2024 09:28</t>
  </si>
  <si>
    <t>MDYK</t>
  </si>
  <si>
    <t>MV. MEDI YOKOHAMA</t>
  </si>
  <si>
    <t>3FFG2</t>
  </si>
  <si>
    <t>26/08/2022 09:29</t>
  </si>
  <si>
    <t>MEAY</t>
  </si>
  <si>
    <t>MV. ENGLISH BAY</t>
  </si>
  <si>
    <t>VRYQ9</t>
  </si>
  <si>
    <t>28/03/2023 07:49</t>
  </si>
  <si>
    <t>MECE</t>
  </si>
  <si>
    <t>MV. EVER ADVANCE</t>
  </si>
  <si>
    <t>3E6981</t>
  </si>
  <si>
    <t>24/03/2025 10:26</t>
  </si>
  <si>
    <t>MEDF</t>
  </si>
  <si>
    <t>MV MEDELIN FIRST</t>
  </si>
  <si>
    <t>20/12/2024 15:11</t>
  </si>
  <si>
    <t>MEER</t>
  </si>
  <si>
    <t>MV. EXPLORER</t>
  </si>
  <si>
    <t>3FHDJ</t>
  </si>
  <si>
    <t>17/01/2024 13:35</t>
  </si>
  <si>
    <t>MEG1</t>
  </si>
  <si>
    <t>MAIDEN ENERGY</t>
  </si>
  <si>
    <t>PNAH</t>
  </si>
  <si>
    <t>MEIR</t>
  </si>
  <si>
    <t>MV EASTERN FAIR</t>
  </si>
  <si>
    <t>YDOT2</t>
  </si>
  <si>
    <t>25/05/2022 17:28</t>
  </si>
  <si>
    <t>MELI</t>
  </si>
  <si>
    <t>MV. ELINA II</t>
  </si>
  <si>
    <t>A8PU9</t>
  </si>
  <si>
    <t>13/06/2024 15:54</t>
  </si>
  <si>
    <t>MEON</t>
  </si>
  <si>
    <t>MT. EAGLE TRENTON</t>
  </si>
  <si>
    <t>S6NK4</t>
  </si>
  <si>
    <t>05/11/2017 23:25</t>
  </si>
  <si>
    <t>MEPO</t>
  </si>
  <si>
    <t>MEDELIN EXPO</t>
  </si>
  <si>
    <t>POAO</t>
  </si>
  <si>
    <t>MESS</t>
  </si>
  <si>
    <t>MATARAM EXPRESS</t>
  </si>
  <si>
    <t>YHNC</t>
  </si>
  <si>
    <t>MEVE</t>
  </si>
  <si>
    <t>MV. EVER FORTUNE</t>
  </si>
  <si>
    <t>3E8718</t>
  </si>
  <si>
    <t>MF01</t>
  </si>
  <si>
    <t>MUTIARA FERINDO 1</t>
  </si>
  <si>
    <t>ATOSIM LAMPUNG PELAYARAN, PT</t>
  </si>
  <si>
    <t>YBNR2</t>
  </si>
  <si>
    <t>02/11/2017 13:25</t>
  </si>
  <si>
    <t>MF18</t>
  </si>
  <si>
    <t>MV. FUYO 18</t>
  </si>
  <si>
    <t>ANDALAS BAHTERA BARUNA, PT</t>
  </si>
  <si>
    <t>ABB</t>
  </si>
  <si>
    <t>P N E X</t>
  </si>
  <si>
    <t>04/05/2024 15:06</t>
  </si>
  <si>
    <t>MF89</t>
  </si>
  <si>
    <t>TB. MARINA 1601-BG. FINACIA 89</t>
  </si>
  <si>
    <t>YDA 3264</t>
  </si>
  <si>
    <t>MFAO</t>
  </si>
  <si>
    <t>MV. FUBAO</t>
  </si>
  <si>
    <t>3E6058</t>
  </si>
  <si>
    <t>23/10/2024 10:42</t>
  </si>
  <si>
    <t>MFDA</t>
  </si>
  <si>
    <t>MV. FOUR AIDA</t>
  </si>
  <si>
    <t>9HA4676</t>
  </si>
  <si>
    <t>09/04/2024 13:02</t>
  </si>
  <si>
    <t>MFEL</t>
  </si>
  <si>
    <t>MV.GH FRANKEL</t>
  </si>
  <si>
    <t>TRANS POWER</t>
  </si>
  <si>
    <t>AIG</t>
  </si>
  <si>
    <t>V74M4</t>
  </si>
  <si>
    <t>04/12/2017 15:16</t>
  </si>
  <si>
    <t>MFUH</t>
  </si>
  <si>
    <t>MV FU HAI HONG</t>
  </si>
  <si>
    <t>BOOE9</t>
  </si>
  <si>
    <t>24/10/2023 14:35</t>
  </si>
  <si>
    <t>MFYA</t>
  </si>
  <si>
    <t>MV. FELYA</t>
  </si>
  <si>
    <t>16/09/2022 10:06</t>
  </si>
  <si>
    <t>MG11</t>
  </si>
  <si>
    <t>TB. MANGALA / BG. MJL 3011</t>
  </si>
  <si>
    <t>YBCB2</t>
  </si>
  <si>
    <t>04/10/2023 12:36</t>
  </si>
  <si>
    <t>MGAL</t>
  </si>
  <si>
    <t>MV. GREAT ROYAL</t>
  </si>
  <si>
    <t>S2CC</t>
  </si>
  <si>
    <t>19/09/2023 15:52</t>
  </si>
  <si>
    <t>MGFD</t>
  </si>
  <si>
    <t>MV. MEGNHA FREEDOM</t>
  </si>
  <si>
    <t>S2BK4</t>
  </si>
  <si>
    <t>22/01/2025 11:15</t>
  </si>
  <si>
    <t>MGL1</t>
  </si>
  <si>
    <t>TB. MANGALA / BG. MJL 301</t>
  </si>
  <si>
    <t>YDA 6338</t>
  </si>
  <si>
    <t>09/08/2022 10:55</t>
  </si>
  <si>
    <t>MGMA</t>
  </si>
  <si>
    <t>MV. GRAND TAJIMA</t>
  </si>
  <si>
    <t>3FQY8</t>
  </si>
  <si>
    <t>30/10/2023 14:59</t>
  </si>
  <si>
    <t>MGPC</t>
  </si>
  <si>
    <t>MV MEGAH PACIFIC</t>
  </si>
  <si>
    <t>YGUE</t>
  </si>
  <si>
    <t>19/10/2023 10:04</t>
  </si>
  <si>
    <t>MGRE</t>
  </si>
  <si>
    <t>MV. GRAND ROYAL EXPRESS</t>
  </si>
  <si>
    <t>S2BC7</t>
  </si>
  <si>
    <t>18/10/2023 14:31</t>
  </si>
  <si>
    <t>MGRI</t>
  </si>
  <si>
    <t>MV. GIOVANNI BOTTIGLIERI</t>
  </si>
  <si>
    <t>IBUS</t>
  </si>
  <si>
    <t>MGRL</t>
  </si>
  <si>
    <t>MV.GREAT ROYAL</t>
  </si>
  <si>
    <t>AMANAH GROUP INDONESIA. PT</t>
  </si>
  <si>
    <t>18/08/2023 08:47</t>
  </si>
  <si>
    <t>MGRY</t>
  </si>
  <si>
    <t>MV. GRAND CENTURY</t>
  </si>
  <si>
    <t>3FTA3</t>
  </si>
  <si>
    <t>15/10/2024 12:52</t>
  </si>
  <si>
    <t>MGSS</t>
  </si>
  <si>
    <t>MGSW</t>
  </si>
  <si>
    <t>MV GENIUS SW</t>
  </si>
  <si>
    <t>HO2810</t>
  </si>
  <si>
    <t>11/06/2023 11:13</t>
  </si>
  <si>
    <t>MGTH</t>
  </si>
  <si>
    <t>MV GLOBAL FAITH</t>
  </si>
  <si>
    <t>3FCU2</t>
  </si>
  <si>
    <t>04/05/2022 21:02</t>
  </si>
  <si>
    <t>MGVA</t>
  </si>
  <si>
    <t>MV GENAVA</t>
  </si>
  <si>
    <t>Switzerland</t>
  </si>
  <si>
    <t>HBLW</t>
  </si>
  <si>
    <t>08/04/2023 15:04</t>
  </si>
  <si>
    <t>MHIC</t>
  </si>
  <si>
    <t>MV. HPC ATLANTIC</t>
  </si>
  <si>
    <t>3FGT4</t>
  </si>
  <si>
    <t>31/01/2023 10:08</t>
  </si>
  <si>
    <t>MHLI</t>
  </si>
  <si>
    <t>MV. HENG LI</t>
  </si>
  <si>
    <t>3ELH6</t>
  </si>
  <si>
    <t>24/08/2023 17:29</t>
  </si>
  <si>
    <t>MHMA</t>
  </si>
  <si>
    <t>MV. HANG LIMA</t>
  </si>
  <si>
    <t>04/05/2022 21:05</t>
  </si>
  <si>
    <t>MHNG</t>
  </si>
  <si>
    <t>MV. HAI QING</t>
  </si>
  <si>
    <t>VRKD8</t>
  </si>
  <si>
    <t>MHRE</t>
  </si>
  <si>
    <t>MV. HPC FUTURE</t>
  </si>
  <si>
    <t>XVHC7</t>
  </si>
  <si>
    <t>25/03/2023 16:11</t>
  </si>
  <si>
    <t>MHSA</t>
  </si>
  <si>
    <t>17/04/2024 07:44</t>
  </si>
  <si>
    <t>MHTA</t>
  </si>
  <si>
    <t>MV HAKUTA</t>
  </si>
  <si>
    <t>3ewh4</t>
  </si>
  <si>
    <t>MHYG</t>
  </si>
  <si>
    <t>M.V. HANYANG</t>
  </si>
  <si>
    <t>9V2460</t>
  </si>
  <si>
    <t>06/06/2023 09:09</t>
  </si>
  <si>
    <t>MI-I</t>
  </si>
  <si>
    <t>MILLENIUM-I</t>
  </si>
  <si>
    <t>MI01</t>
  </si>
  <si>
    <t>MAHKOTA I</t>
  </si>
  <si>
    <t>YDA 6899</t>
  </si>
  <si>
    <t>MI0I</t>
  </si>
  <si>
    <t>MAHAKAMAH I</t>
  </si>
  <si>
    <t>YBFL2</t>
  </si>
  <si>
    <t>MI14</t>
  </si>
  <si>
    <t>MV. IRIS EXPRESS V.1714</t>
  </si>
  <si>
    <t>LAJU DINAMIKA UTAMA, PT</t>
  </si>
  <si>
    <t>3FHV5</t>
  </si>
  <si>
    <t>MI56</t>
  </si>
  <si>
    <t>TB. MULTINDO LP-105 / BG. MULTINDO LP-106</t>
  </si>
  <si>
    <t>YDSB4192</t>
  </si>
  <si>
    <t>07/07/2023 15:06</t>
  </si>
  <si>
    <t>MIAB</t>
  </si>
  <si>
    <t>MV. ISLAND BAY</t>
  </si>
  <si>
    <t>VRNJ4</t>
  </si>
  <si>
    <t>19/01/2024 13:20</t>
  </si>
  <si>
    <t>MIEA</t>
  </si>
  <si>
    <t>MV. IYO SEA</t>
  </si>
  <si>
    <t>3FAO8</t>
  </si>
  <si>
    <t>30/03/2023 16:52</t>
  </si>
  <si>
    <t>MIEB</t>
  </si>
  <si>
    <t>MV INLAND SEA</t>
  </si>
  <si>
    <t>V7DS9</t>
  </si>
  <si>
    <t>08/05/2024 14:25</t>
  </si>
  <si>
    <t>MII1</t>
  </si>
  <si>
    <t>MV. IRIS  II</t>
  </si>
  <si>
    <t>MIII</t>
  </si>
  <si>
    <t>MAHKOTA II</t>
  </si>
  <si>
    <t>YDA 6956</t>
  </si>
  <si>
    <t>MIKO</t>
  </si>
  <si>
    <t>MICHIKO</t>
  </si>
  <si>
    <t>YBTR2</t>
  </si>
  <si>
    <t>MILE</t>
  </si>
  <si>
    <t>MICHELLE</t>
  </si>
  <si>
    <t>YB6706</t>
  </si>
  <si>
    <t>ajiaryosentanu95@gmail.com</t>
  </si>
  <si>
    <t>17/11/2017 22:07</t>
  </si>
  <si>
    <t>MINA</t>
  </si>
  <si>
    <t>MV. IRIANA</t>
  </si>
  <si>
    <t>14/08/2023 13:32</t>
  </si>
  <si>
    <t>MIND</t>
  </si>
  <si>
    <t>MV IONA ISLAND</t>
  </si>
  <si>
    <t>VRUG9</t>
  </si>
  <si>
    <t>23/02/2023 13:06</t>
  </si>
  <si>
    <t>MINO</t>
  </si>
  <si>
    <t>MV. INDIGO MARCH</t>
  </si>
  <si>
    <t>3EYM6</t>
  </si>
  <si>
    <t>18/04/2024 08:16</t>
  </si>
  <si>
    <t>MIRA</t>
  </si>
  <si>
    <t>MV. INDIRA</t>
  </si>
  <si>
    <t>09/11/2022 22:00</t>
  </si>
  <si>
    <t>MIUK</t>
  </si>
  <si>
    <t>MV. IKAN LANDUK</t>
  </si>
  <si>
    <t>9V8513</t>
  </si>
  <si>
    <t>21/01/2025 10:23</t>
  </si>
  <si>
    <t>MJ0I</t>
  </si>
  <si>
    <t>MITRA JAYA  I</t>
  </si>
  <si>
    <t>YD 3025</t>
  </si>
  <si>
    <t>MJ88</t>
  </si>
  <si>
    <t>KM. MAJU 88</t>
  </si>
  <si>
    <t>JZGX</t>
  </si>
  <si>
    <t>16/03/2023 17:09</t>
  </si>
  <si>
    <t>MJAN</t>
  </si>
  <si>
    <t>MV. JAHAN</t>
  </si>
  <si>
    <t>S2AU</t>
  </si>
  <si>
    <t>25/03/2023 16:12</t>
  </si>
  <si>
    <t>MJCH</t>
  </si>
  <si>
    <t>MV. JUMEIRAH BEACH</t>
  </si>
  <si>
    <t>VRMY5</t>
  </si>
  <si>
    <t>13/02/2023 09:36</t>
  </si>
  <si>
    <t>MJCL</t>
  </si>
  <si>
    <t>MV JOCELINE</t>
  </si>
  <si>
    <t>YCVZ2</t>
  </si>
  <si>
    <t>23/09/2023 16:25</t>
  </si>
  <si>
    <t>MJL5</t>
  </si>
  <si>
    <t>TB. GONAYA V / BG. MJL 3015</t>
  </si>
  <si>
    <t>YDB6098</t>
  </si>
  <si>
    <t>27/12/2023 08:42</t>
  </si>
  <si>
    <t>MJLG</t>
  </si>
  <si>
    <t>MV. JIN XING LING</t>
  </si>
  <si>
    <t>VRHB9</t>
  </si>
  <si>
    <t>26/11/2023 12:28</t>
  </si>
  <si>
    <t>MJNE</t>
  </si>
  <si>
    <t>MV. JOCELINE</t>
  </si>
  <si>
    <t>05/10/2023 04:39</t>
  </si>
  <si>
    <t>MJNG</t>
  </si>
  <si>
    <t>MV. JI XIAN FENG</t>
  </si>
  <si>
    <t>BRPI</t>
  </si>
  <si>
    <t>MJTA</t>
  </si>
  <si>
    <t>KM. MINI JAKARTA</t>
  </si>
  <si>
    <t>06/03/2024 11:58</t>
  </si>
  <si>
    <t>MJYA</t>
  </si>
  <si>
    <t>MAJU JAYA</t>
  </si>
  <si>
    <t>YCFQ</t>
  </si>
  <si>
    <t>MK02</t>
  </si>
  <si>
    <t>MERATUS KENDARI 1</t>
  </si>
  <si>
    <t>TEST</t>
  </si>
  <si>
    <t>PNWH</t>
  </si>
  <si>
    <t>23/08/2023 12:07</t>
  </si>
  <si>
    <t>MKAH</t>
  </si>
  <si>
    <t>MUARA KENCANA INDAH</t>
  </si>
  <si>
    <t>PMBE</t>
  </si>
  <si>
    <t>MKAN</t>
  </si>
  <si>
    <t>MV. KHADEEJAH JAHAN</t>
  </si>
  <si>
    <t>S2PC</t>
  </si>
  <si>
    <t>02/02/2023 14:56</t>
  </si>
  <si>
    <t>MKE1</t>
  </si>
  <si>
    <t>MV. KM VANCOUVER</t>
  </si>
  <si>
    <t>D5LF2</t>
  </si>
  <si>
    <t>MKID</t>
  </si>
  <si>
    <t>MV KOBARID</t>
  </si>
  <si>
    <t>3FSM7</t>
  </si>
  <si>
    <t>MKLL</t>
  </si>
  <si>
    <t>MV. KAITI HILL</t>
  </si>
  <si>
    <t>VRZN4</t>
  </si>
  <si>
    <t>19/04/2023 12:00</t>
  </si>
  <si>
    <t>MKNG</t>
  </si>
  <si>
    <t>MV KSL LAIYANG</t>
  </si>
  <si>
    <t>V7TJ3</t>
  </si>
  <si>
    <t>24/04/2023 16:33</t>
  </si>
  <si>
    <t>MKO2</t>
  </si>
  <si>
    <t>MV. KM YU NO.2</t>
  </si>
  <si>
    <t>POJG</t>
  </si>
  <si>
    <t>13/01/2023 13:51</t>
  </si>
  <si>
    <t>MKON</t>
  </si>
  <si>
    <t>MV KEN KON</t>
  </si>
  <si>
    <t>3FVZ4</t>
  </si>
  <si>
    <t>06/04/2023 16:59</t>
  </si>
  <si>
    <t>MKOS</t>
  </si>
  <si>
    <t>MV. KONSTANTINOS</t>
  </si>
  <si>
    <t>3FWM2</t>
  </si>
  <si>
    <t>22/12/2023 12:45</t>
  </si>
  <si>
    <t>MKS1</t>
  </si>
  <si>
    <t>MV KELANIS EXPRESS</t>
  </si>
  <si>
    <t>SPARTA SAMUDERA SEMESTA, PT</t>
  </si>
  <si>
    <t>Dominica</t>
  </si>
  <si>
    <t>SPS</t>
  </si>
  <si>
    <t>J7DE2</t>
  </si>
  <si>
    <t>25/11/2017 16:41</t>
  </si>
  <si>
    <t>MKSG</t>
  </si>
  <si>
    <t>MV. KS GRACE</t>
  </si>
  <si>
    <t>3E2386</t>
  </si>
  <si>
    <t>02/07/2024 15:17</t>
  </si>
  <si>
    <t>MKSS</t>
  </si>
  <si>
    <t>MV KARIANGAU EXPRESS</t>
  </si>
  <si>
    <t>J7DG3</t>
  </si>
  <si>
    <t>24/11/2022 22:20</t>
  </si>
  <si>
    <t>MKST</t>
  </si>
  <si>
    <t>MV. KEY WEST</t>
  </si>
  <si>
    <t>VRQK2</t>
  </si>
  <si>
    <t>11/03/2022 09:30</t>
  </si>
  <si>
    <t>MKT5</t>
  </si>
  <si>
    <t>TB. MAHKOTA V / BG. MARITIM PERKASA 2728</t>
  </si>
  <si>
    <t>26/01/2025 10:08</t>
  </si>
  <si>
    <t>MKT7</t>
  </si>
  <si>
    <t>TB. MAHKOTA VII / BG. MARITIM PERKASA 2731</t>
  </si>
  <si>
    <t>06/05/2024 18:51</t>
  </si>
  <si>
    <t>MKTP</t>
  </si>
  <si>
    <t>06/08/2024 10:35</t>
  </si>
  <si>
    <t>ML06</t>
  </si>
  <si>
    <t>MV. LUCKY STAR 6</t>
  </si>
  <si>
    <t>3EPB3</t>
  </si>
  <si>
    <t>06/02/2023 17:52</t>
  </si>
  <si>
    <t>ML20</t>
  </si>
  <si>
    <t>MANNA LINE 820</t>
  </si>
  <si>
    <t>MLCS</t>
  </si>
  <si>
    <t>MV. MALACCA STRAIT</t>
  </si>
  <si>
    <t>YDKEZ</t>
  </si>
  <si>
    <t>09/07/2024 10:08</t>
  </si>
  <si>
    <t>MLHO</t>
  </si>
  <si>
    <t>MV. LUENHO</t>
  </si>
  <si>
    <t>VROY5</t>
  </si>
  <si>
    <t>09/02/2023 20:21</t>
  </si>
  <si>
    <t>MLJ9</t>
  </si>
  <si>
    <t>KM. MUTIA LADJONI 9</t>
  </si>
  <si>
    <t>PLKE</t>
  </si>
  <si>
    <t>24/08/2023 07:22</t>
  </si>
  <si>
    <t>MLN8</t>
  </si>
  <si>
    <t>KM. MULTI NIAGA - 8</t>
  </si>
  <si>
    <t>PMJZ</t>
  </si>
  <si>
    <t>13/08/2022 14:23</t>
  </si>
  <si>
    <t>MLNI</t>
  </si>
  <si>
    <t>KM. MUTIA LADJONI</t>
  </si>
  <si>
    <t>PLXQ</t>
  </si>
  <si>
    <t>12/07/2024 14:48</t>
  </si>
  <si>
    <t>MLSY</t>
  </si>
  <si>
    <t>MV. LV DAISY</t>
  </si>
  <si>
    <t>D5TL7</t>
  </si>
  <si>
    <t>05/05/2024 13:23</t>
  </si>
  <si>
    <t>MLUI</t>
  </si>
  <si>
    <t>MV. LAN HAI SHENG HUI</t>
  </si>
  <si>
    <t>BFAN5</t>
  </si>
  <si>
    <t>07/01/2023 09:51</t>
  </si>
  <si>
    <t>MM03</t>
  </si>
  <si>
    <t>MERATUS MEDAN 3</t>
  </si>
  <si>
    <t>PMFX</t>
  </si>
  <si>
    <t>MM05</t>
  </si>
  <si>
    <t>MT. MELATI 3</t>
  </si>
  <si>
    <t>VRND2</t>
  </si>
  <si>
    <t>MMEN</t>
  </si>
  <si>
    <t>MV MARTHA GOLDEN</t>
  </si>
  <si>
    <t>PNUG</t>
  </si>
  <si>
    <t>26/03/2022 19:11</t>
  </si>
  <si>
    <t>MMGI</t>
  </si>
  <si>
    <t>MV MOUNT HIKURANGI</t>
  </si>
  <si>
    <t>VRMC8</t>
  </si>
  <si>
    <t>03/05/2023 12:22</t>
  </si>
  <si>
    <t>MMIE</t>
  </si>
  <si>
    <t>MT. MS SOPHIE</t>
  </si>
  <si>
    <t>A8HG8</t>
  </si>
  <si>
    <t>26/11/2017 14:43</t>
  </si>
  <si>
    <t>MMIT</t>
  </si>
  <si>
    <t>MV. MAKASSAR STRAIT</t>
  </si>
  <si>
    <t>YDDS3</t>
  </si>
  <si>
    <t>04/05/2024 16:55</t>
  </si>
  <si>
    <t>MMKA</t>
  </si>
  <si>
    <t>MV MOUNT TARANAKI</t>
  </si>
  <si>
    <t>VRRW9</t>
  </si>
  <si>
    <t>20/07/2023 13:02</t>
  </si>
  <si>
    <t>MMLA</t>
  </si>
  <si>
    <t>MV. MARBELLA</t>
  </si>
  <si>
    <t>9HWV8</t>
  </si>
  <si>
    <t>MMNG</t>
  </si>
  <si>
    <t>MV. MONING</t>
  </si>
  <si>
    <t>3FVM2</t>
  </si>
  <si>
    <t>28/05/2023 13:08</t>
  </si>
  <si>
    <t>MMNI</t>
  </si>
  <si>
    <t>MV. MELPOMENI</t>
  </si>
  <si>
    <t>9HA223</t>
  </si>
  <si>
    <t>21/10/2022 19:21</t>
  </si>
  <si>
    <t>MMPE</t>
  </si>
  <si>
    <t>MV MEGA SPEED</t>
  </si>
  <si>
    <t>V7TB7</t>
  </si>
  <si>
    <t>27/05/2023 14:25</t>
  </si>
  <si>
    <t>MMPP</t>
  </si>
  <si>
    <t>MV MARITIME PRSOSPERITY</t>
  </si>
  <si>
    <t>3EZX5</t>
  </si>
  <si>
    <t>06/08/2023 00:21</t>
  </si>
  <si>
    <t>MMRI</t>
  </si>
  <si>
    <t>MT MANUELA BOTTIGLIERI</t>
  </si>
  <si>
    <t>IBAN</t>
  </si>
  <si>
    <t>MMSA</t>
  </si>
  <si>
    <t>MV. MANALAGI YASA</t>
  </si>
  <si>
    <t>YBON2</t>
  </si>
  <si>
    <t>22/06/2022 08:02</t>
  </si>
  <si>
    <t>MMSB</t>
  </si>
  <si>
    <t>MV. MAA SALEHA BEGUM</t>
  </si>
  <si>
    <t>S2PZ</t>
  </si>
  <si>
    <t>MMSE</t>
  </si>
  <si>
    <t>MV. MITOSE</t>
  </si>
  <si>
    <t>3EOL2</t>
  </si>
  <si>
    <t>MMSS</t>
  </si>
  <si>
    <t>MV. MEGHNA PRINCESS</t>
  </si>
  <si>
    <t>S2BG7</t>
  </si>
  <si>
    <t>28/01/2023 15:07</t>
  </si>
  <si>
    <t>MMUR</t>
  </si>
  <si>
    <t>MV. MOUNT SEYMOUR</t>
  </si>
  <si>
    <t>VRPT4</t>
  </si>
  <si>
    <t>08/01/2023 18:19</t>
  </si>
  <si>
    <t>MMUS</t>
  </si>
  <si>
    <t>MT. MR PEGASUS</t>
  </si>
  <si>
    <t>V7LP4</t>
  </si>
  <si>
    <t>MMVA</t>
  </si>
  <si>
    <t>MV. MEDI GENOVA</t>
  </si>
  <si>
    <t>D AMICO SHIPPING SINGAPORE</t>
  </si>
  <si>
    <t>H9ZX</t>
  </si>
  <si>
    <t>28/11/2017 12:41</t>
  </si>
  <si>
    <t>MMVE</t>
  </si>
  <si>
    <t>MV. MEGHNA VENUS</t>
  </si>
  <si>
    <t>S2BQ9</t>
  </si>
  <si>
    <t>15/12/2022 14:12</t>
  </si>
  <si>
    <t>MMZI</t>
  </si>
  <si>
    <t>MV. MANALAGI ENZI</t>
  </si>
  <si>
    <t>Yczv2</t>
  </si>
  <si>
    <t>03/06/2022 19:00</t>
  </si>
  <si>
    <t>MN02</t>
  </si>
  <si>
    <t>KM. MI NO.2</t>
  </si>
  <si>
    <t>PNWK</t>
  </si>
  <si>
    <t>29/03/2024 17:22</t>
  </si>
  <si>
    <t>MN0I</t>
  </si>
  <si>
    <t>MADANI NUSANTARA EKS PRIMA I</t>
  </si>
  <si>
    <t>JEMBATAN NUSANTARA, PT</t>
  </si>
  <si>
    <t>YGSL</t>
  </si>
  <si>
    <t>27/10/2017 18:42</t>
  </si>
  <si>
    <t>MN86</t>
  </si>
  <si>
    <t>MODALWAN NO. 1086</t>
  </si>
  <si>
    <t>YDA 6481</t>
  </si>
  <si>
    <t>MNAA</t>
  </si>
  <si>
    <t>MV. NANAIMO BAY</t>
  </si>
  <si>
    <t>VRQF5</t>
  </si>
  <si>
    <t>17/11/2023 12:33</t>
  </si>
  <si>
    <t>MNAI</t>
  </si>
  <si>
    <t>M.V. NINGHAI</t>
  </si>
  <si>
    <t>VRSO7</t>
  </si>
  <si>
    <t>12/08/2023 15:16</t>
  </si>
  <si>
    <t>MNAN</t>
  </si>
  <si>
    <t>MV. NAM PHAT OCEAN</t>
  </si>
  <si>
    <t>XVIS7</t>
  </si>
  <si>
    <t>06/02/2023 08:25</t>
  </si>
  <si>
    <t>MNAY</t>
  </si>
  <si>
    <t>MV NANAIMO BAY</t>
  </si>
  <si>
    <t>02/07/2023 11:28</t>
  </si>
  <si>
    <t>MNCE</t>
  </si>
  <si>
    <t>MV NKR ALICE</t>
  </si>
  <si>
    <t>5LDD9</t>
  </si>
  <si>
    <t>10/04/2023 16:49</t>
  </si>
  <si>
    <t>MNDS</t>
  </si>
  <si>
    <t>MV ND PISTIS</t>
  </si>
  <si>
    <t>9HA4695</t>
  </si>
  <si>
    <t>07/07/2023 11:29</t>
  </si>
  <si>
    <t>MNEB</t>
  </si>
  <si>
    <t>MV NEMRUT BAY</t>
  </si>
  <si>
    <t>3FGW5</t>
  </si>
  <si>
    <t>24/08/2023 09:19</t>
  </si>
  <si>
    <t>MNEZ</t>
  </si>
  <si>
    <t>MV. MANALAGI ENZY</t>
  </si>
  <si>
    <t>YCZV2</t>
  </si>
  <si>
    <t>05/06/2022 08:37</t>
  </si>
  <si>
    <t>MNGA</t>
  </si>
  <si>
    <t>MV. NACC VEGA</t>
  </si>
  <si>
    <t>DUA-3666</t>
  </si>
  <si>
    <t>12/05/2022 11:53</t>
  </si>
  <si>
    <t>MNGR</t>
  </si>
  <si>
    <t>MV MANDRAGUNA</t>
  </si>
  <si>
    <t>Y3MF</t>
  </si>
  <si>
    <t>10/12/2024 08:46</t>
  </si>
  <si>
    <t>MNOA</t>
  </si>
  <si>
    <t>MV. NORD AEGEAN</t>
  </si>
  <si>
    <t>3E3480</t>
  </si>
  <si>
    <t>22/02/2024 16:58</t>
  </si>
  <si>
    <t>MNOS</t>
  </si>
  <si>
    <t>MV NOSHIMA</t>
  </si>
  <si>
    <t>3FXN4</t>
  </si>
  <si>
    <t>14/07/2023 11:02</t>
  </si>
  <si>
    <t>MNTE</t>
  </si>
  <si>
    <t>MT. NORDIC SPRITE</t>
  </si>
  <si>
    <t>Norway</t>
  </si>
  <si>
    <t>LAHS7</t>
  </si>
  <si>
    <t>MNUS</t>
  </si>
  <si>
    <t>MV NVL SIRIUS</t>
  </si>
  <si>
    <t>3FIW7</t>
  </si>
  <si>
    <t>20/03/2023 15:09</t>
  </si>
  <si>
    <t>MOAN</t>
  </si>
  <si>
    <t>MUTIARA OCEAN</t>
  </si>
  <si>
    <t>J Z Z Y</t>
  </si>
  <si>
    <t>02/08/2024 09:43</t>
  </si>
  <si>
    <t>MOER</t>
  </si>
  <si>
    <t>MV. ORIENTAL LEADER</t>
  </si>
  <si>
    <t>DSRL5</t>
  </si>
  <si>
    <t>MOLO</t>
  </si>
  <si>
    <t>MV OLYMPIA LOGGER</t>
  </si>
  <si>
    <t>VRQS4</t>
  </si>
  <si>
    <t>03/01/2025 10:10</t>
  </si>
  <si>
    <t>MOLR</t>
  </si>
  <si>
    <t>MV. OLYMPIA LOGGER</t>
  </si>
  <si>
    <t>29/04/2023 22:39</t>
  </si>
  <si>
    <t>MONE</t>
  </si>
  <si>
    <t>MT. OCEAN NEPTUNE</t>
  </si>
  <si>
    <t>S6CB7</t>
  </si>
  <si>
    <t>MOON</t>
  </si>
  <si>
    <t>MARTHA OPTION</t>
  </si>
  <si>
    <t>P O N O</t>
  </si>
  <si>
    <t>MORE</t>
  </si>
  <si>
    <t>MT. OLYMPIC FUTURE</t>
  </si>
  <si>
    <t>SYQH</t>
  </si>
  <si>
    <t>MORY</t>
  </si>
  <si>
    <t>MV. OCEAN GLORY</t>
  </si>
  <si>
    <t>9V5128</t>
  </si>
  <si>
    <t>16/03/2025 15:01</t>
  </si>
  <si>
    <t>MOSS</t>
  </si>
  <si>
    <t>MV. OCEANIC SUCCSESS</t>
  </si>
  <si>
    <t>YBKQ2</t>
  </si>
  <si>
    <t>MOUR</t>
  </si>
  <si>
    <t>MV. OTAGO HARBOUR</t>
  </si>
  <si>
    <t>VRNI7</t>
  </si>
  <si>
    <t>20/01/2023 08:54</t>
  </si>
  <si>
    <t>MOZA</t>
  </si>
  <si>
    <t>MV OZGUR AKSOY</t>
  </si>
  <si>
    <t>9HA2587</t>
  </si>
  <si>
    <t>26/02/2024 09:32</t>
  </si>
  <si>
    <t>MP09</t>
  </si>
  <si>
    <t>TB. MARINDO PACIFIC 2209 / BG. ORLIN</t>
  </si>
  <si>
    <t>YD 6702</t>
  </si>
  <si>
    <t>03/03/2024 10:32</t>
  </si>
  <si>
    <t>MP10</t>
  </si>
  <si>
    <t>MARITIM PERKASA 2319</t>
  </si>
  <si>
    <t>MP15</t>
  </si>
  <si>
    <t>MARITIM PERKASA 3015</t>
  </si>
  <si>
    <t>MP16</t>
  </si>
  <si>
    <t>MARITIM PERKASA 3016</t>
  </si>
  <si>
    <t>MP18</t>
  </si>
  <si>
    <t>MARITIM PERKASA 3018</t>
  </si>
  <si>
    <t>MP19</t>
  </si>
  <si>
    <t>MARITIM PERKASA 3019</t>
  </si>
  <si>
    <t>MP20</t>
  </si>
  <si>
    <t>MARITIM PERKASA 2720</t>
  </si>
  <si>
    <t>MP21</t>
  </si>
  <si>
    <t>MARITIM PERKASA 3021</t>
  </si>
  <si>
    <t>03/11/2017 19:03</t>
  </si>
  <si>
    <t>MP22</t>
  </si>
  <si>
    <t>TB. PUTRA LAUTAN VIII / BG. MARITIM PERKASA 2722</t>
  </si>
  <si>
    <t>YDB6461</t>
  </si>
  <si>
    <t>31/10/2023 11:56</t>
  </si>
  <si>
    <t>MP26</t>
  </si>
  <si>
    <t>TB. ECO MARINE 08 / BG. MARITIM PERKASA 2726</t>
  </si>
  <si>
    <t>YDA6159</t>
  </si>
  <si>
    <t>13/12/2023 14:46</t>
  </si>
  <si>
    <t>MP27</t>
  </si>
  <si>
    <t>TB. MAHKOTA X / BG. MARITIM PERKASA 2727</t>
  </si>
  <si>
    <t>YDB6165</t>
  </si>
  <si>
    <t>06/11/2023 09:04</t>
  </si>
  <si>
    <t>MP28</t>
  </si>
  <si>
    <t>MARITIM PERKASA 3028</t>
  </si>
  <si>
    <t>MP29</t>
  </si>
  <si>
    <t>TB. PUTRA LAUTAN V / BG. MARITIM PERKASA 2729</t>
  </si>
  <si>
    <t>YDB6162</t>
  </si>
  <si>
    <t>11/08/2023 16:43</t>
  </si>
  <si>
    <t>MP30</t>
  </si>
  <si>
    <t>TB. MAHKOTA IX / BG. MARITIM PERKASA 2730</t>
  </si>
  <si>
    <t>11/07/2023 13:11</t>
  </si>
  <si>
    <t>MP31</t>
  </si>
  <si>
    <t>TB. PUTRA LAUTAN VI / BG. MARITIM PERKASA 2731</t>
  </si>
  <si>
    <t>15/03/2024 12:17</t>
  </si>
  <si>
    <t>MP32</t>
  </si>
  <si>
    <t>MARINE POWER 3032</t>
  </si>
  <si>
    <t>----</t>
  </si>
  <si>
    <t>MP33</t>
  </si>
  <si>
    <t>MARINE POWER 3033</t>
  </si>
  <si>
    <t>-----</t>
  </si>
  <si>
    <t>09/12/2017 14:47</t>
  </si>
  <si>
    <t>MP41</t>
  </si>
  <si>
    <t>MARINE POWER 3041</t>
  </si>
  <si>
    <t>.</t>
  </si>
  <si>
    <t>MPA1</t>
  </si>
  <si>
    <t>MV. PERSEAS</t>
  </si>
  <si>
    <t>H9QQ</t>
  </si>
  <si>
    <t>MPAN</t>
  </si>
  <si>
    <t>MT. PENYUAN</t>
  </si>
  <si>
    <t>9WEB7</t>
  </si>
  <si>
    <t>MPCV</t>
  </si>
  <si>
    <t>TB. MARINDO PACIFIC V / BG. BARAMAR 2711</t>
  </si>
  <si>
    <t>YD 6541</t>
  </si>
  <si>
    <t>MPDE</t>
  </si>
  <si>
    <t>MV PACIFIC PRIDE</t>
  </si>
  <si>
    <t>D7EZ</t>
  </si>
  <si>
    <t>12/09/2023 09:07</t>
  </si>
  <si>
    <t>MPI1</t>
  </si>
  <si>
    <t>M PATRICIA</t>
  </si>
  <si>
    <t>JZAD</t>
  </si>
  <si>
    <t>MPI2</t>
  </si>
  <si>
    <t>MARINDO PACIFIC - VIII</t>
  </si>
  <si>
    <t>YD 6615</t>
  </si>
  <si>
    <t>MPII</t>
  </si>
  <si>
    <t>MUTIARA PERSADA III</t>
  </si>
  <si>
    <t>PLMQ</t>
  </si>
  <si>
    <t>MPOI</t>
  </si>
  <si>
    <t>M.V. PAKHOI</t>
  </si>
  <si>
    <t>VRPD3</t>
  </si>
  <si>
    <t>14/04/2023 16:59</t>
  </si>
  <si>
    <t>MPOT</t>
  </si>
  <si>
    <t>MV PORT PHILLIP</t>
  </si>
  <si>
    <t>VRDY4</t>
  </si>
  <si>
    <t>03/10/2024 22:57</t>
  </si>
  <si>
    <t>MQAA</t>
  </si>
  <si>
    <t>MV QUEEN ALIYAH</t>
  </si>
  <si>
    <t>YDJZ3</t>
  </si>
  <si>
    <t>28/06/2024 20:27</t>
  </si>
  <si>
    <t>MQFU</t>
  </si>
  <si>
    <t>MV. QI FU</t>
  </si>
  <si>
    <t>VROR9</t>
  </si>
  <si>
    <t>14/10/2024 09:19</t>
  </si>
  <si>
    <t>MQNG</t>
  </si>
  <si>
    <t>MV QI HONG</t>
  </si>
  <si>
    <t>BORJ8</t>
  </si>
  <si>
    <t>04/02/2024 14:00</t>
  </si>
  <si>
    <t>MRER</t>
  </si>
  <si>
    <t>MOUNT RAINIER</t>
  </si>
  <si>
    <t>VRBG6</t>
  </si>
  <si>
    <t>16/04/2022 20:06</t>
  </si>
  <si>
    <t>MRLI</t>
  </si>
  <si>
    <t>MV. RELIANCE</t>
  </si>
  <si>
    <t>H3JG</t>
  </si>
  <si>
    <t>02/03/2022 13:49</t>
  </si>
  <si>
    <t>MRN1</t>
  </si>
  <si>
    <t>MV. RENA</t>
  </si>
  <si>
    <t>C6YU9</t>
  </si>
  <si>
    <t>MRND</t>
  </si>
  <si>
    <t>MV. RIVA WIND</t>
  </si>
  <si>
    <t>V7HB7</t>
  </si>
  <si>
    <t>28/05/2025 08:52</t>
  </si>
  <si>
    <t>MRNN</t>
  </si>
  <si>
    <t>MV. ROSE MANN</t>
  </si>
  <si>
    <t>D7VX</t>
  </si>
  <si>
    <t>29/02/2024 09:38</t>
  </si>
  <si>
    <t>MRTN</t>
  </si>
  <si>
    <t>MV. MARTIN</t>
  </si>
  <si>
    <t>25/04/2024 14:44</t>
  </si>
  <si>
    <t>MRVL</t>
  </si>
  <si>
    <t>TB. AVANGER/BG. CAPTAIN MARVEL</t>
  </si>
  <si>
    <t>YDA 3322</t>
  </si>
  <si>
    <t>24/12/2024 14:44</t>
  </si>
  <si>
    <t>MS01</t>
  </si>
  <si>
    <t>MV. SWADAYA LESTARI 1</t>
  </si>
  <si>
    <t>PORT</t>
  </si>
  <si>
    <t>31/07/2023 12:01</t>
  </si>
  <si>
    <t>MS02</t>
  </si>
  <si>
    <t>MV. SHAO SHAN 1</t>
  </si>
  <si>
    <t>VRHO9</t>
  </si>
  <si>
    <t>MS07</t>
  </si>
  <si>
    <t>MITRA SINDO 7</t>
  </si>
  <si>
    <t>YDB 6632</t>
  </si>
  <si>
    <t>MS08</t>
  </si>
  <si>
    <t>MV. SEA PLAIN 8</t>
  </si>
  <si>
    <t>3E2765</t>
  </si>
  <si>
    <t>01/07/2024 11:14</t>
  </si>
  <si>
    <t>MS09</t>
  </si>
  <si>
    <t>MITRA SINDO 9</t>
  </si>
  <si>
    <t>MS10</t>
  </si>
  <si>
    <t>TB. FERY XXI / BG. MASADA 10</t>
  </si>
  <si>
    <t>YDB 6295</t>
  </si>
  <si>
    <t>21/07/2023 10:18</t>
  </si>
  <si>
    <t>MS14</t>
  </si>
  <si>
    <t>TB. GONAYA XIV / BG. MASADA 14</t>
  </si>
  <si>
    <t>26/06/2024 19:02</t>
  </si>
  <si>
    <t>MS16</t>
  </si>
  <si>
    <t>TB. GONAYA XXIII / BG. MASADA 16</t>
  </si>
  <si>
    <t>YDC6236</t>
  </si>
  <si>
    <t>17/12/2024 16:01</t>
  </si>
  <si>
    <t>MS18</t>
  </si>
  <si>
    <t>MITRA SINDO 18</t>
  </si>
  <si>
    <t>MS21</t>
  </si>
  <si>
    <t>TB. MASADA 21 / BG. MJL 307</t>
  </si>
  <si>
    <t>YDC4065</t>
  </si>
  <si>
    <t>28/05/2023 14:01</t>
  </si>
  <si>
    <t>MS28</t>
  </si>
  <si>
    <t>MITRA SINDO 28</t>
  </si>
  <si>
    <t>YDB 6247</t>
  </si>
  <si>
    <t>MS29</t>
  </si>
  <si>
    <t>TB. MASADA 29 / BG. MJL 308</t>
  </si>
  <si>
    <t>31/08/2022 16:35</t>
  </si>
  <si>
    <t>MSAI</t>
  </si>
  <si>
    <t>MV.XING SHENG HAI</t>
  </si>
  <si>
    <t>VROP7</t>
  </si>
  <si>
    <t>MSAJ</t>
  </si>
  <si>
    <t>MV SARWAR JAHAN</t>
  </si>
  <si>
    <t>S2DY</t>
  </si>
  <si>
    <t>17/04/2024 08:15</t>
  </si>
  <si>
    <t>MSAN</t>
  </si>
  <si>
    <t>MV. SHAHRIAR JAHAN</t>
  </si>
  <si>
    <t>S2PR</t>
  </si>
  <si>
    <t>01/07/2024 09:44</t>
  </si>
  <si>
    <t>MSAZ</t>
  </si>
  <si>
    <t>MV. SEA TOPAZ</t>
  </si>
  <si>
    <t>3EYX2</t>
  </si>
  <si>
    <t>MSBA</t>
  </si>
  <si>
    <t>MANALAGI SAMBA</t>
  </si>
  <si>
    <t>YBPU2</t>
  </si>
  <si>
    <t>MSD1</t>
  </si>
  <si>
    <t>MSD7</t>
  </si>
  <si>
    <t>TB. MASADA 27 / BG. MASADA 18</t>
  </si>
  <si>
    <t>YDB 6892</t>
  </si>
  <si>
    <t>05/10/2022 19:43</t>
  </si>
  <si>
    <t>MSD9</t>
  </si>
  <si>
    <t>BG. MJL 3017 / TB. MASADA 09</t>
  </si>
  <si>
    <t>YDA6635</t>
  </si>
  <si>
    <t>14/10/2023 18:04</t>
  </si>
  <si>
    <t>MSDA</t>
  </si>
  <si>
    <t>MV. SM SAMARINDA</t>
  </si>
  <si>
    <t>V7JR8</t>
  </si>
  <si>
    <t>MSFA</t>
  </si>
  <si>
    <t>MV. SANTA FRANCESCA</t>
  </si>
  <si>
    <t>V7LX5</t>
  </si>
  <si>
    <t>01/11/2023 08:39</t>
  </si>
  <si>
    <t>MSHD</t>
  </si>
  <si>
    <t>MV. SHUN DA</t>
  </si>
  <si>
    <t>06/03/2024 13:57</t>
  </si>
  <si>
    <t>MSIA</t>
  </si>
  <si>
    <t>MV. SIDER EVA MARIA</t>
  </si>
  <si>
    <t>V7A5377</t>
  </si>
  <si>
    <t>MSIT</t>
  </si>
  <si>
    <t>MT.KRITI SPIRIT</t>
  </si>
  <si>
    <t>D5FU7</t>
  </si>
  <si>
    <t>MSKM</t>
  </si>
  <si>
    <t>MITRA SEJATI 2. KM</t>
  </si>
  <si>
    <t>05/08/2022 14:39</t>
  </si>
  <si>
    <t>MSON</t>
  </si>
  <si>
    <t>MV. SHANNON</t>
  </si>
  <si>
    <t>PNFN</t>
  </si>
  <si>
    <t>19/10/2022 15:00</t>
  </si>
  <si>
    <t>MSRD</t>
  </si>
  <si>
    <t>MAIDEN STANDARD</t>
  </si>
  <si>
    <t>POKB</t>
  </si>
  <si>
    <t>MSRE</t>
  </si>
  <si>
    <t>MV. SEASTAR VENTURE</t>
  </si>
  <si>
    <t>Gibraltar</t>
  </si>
  <si>
    <t>ZDRC6</t>
  </si>
  <si>
    <t>08/09/2022 17:36</t>
  </si>
  <si>
    <t>MSSA</t>
  </si>
  <si>
    <t>MT. SILVER HESSA</t>
  </si>
  <si>
    <t>VRPS6</t>
  </si>
  <si>
    <t>MSSN</t>
  </si>
  <si>
    <t>MV. SINGAN</t>
  </si>
  <si>
    <t>VRTH5</t>
  </si>
  <si>
    <t>18/10/2022 10:12</t>
  </si>
  <si>
    <t>MSTA</t>
  </si>
  <si>
    <t>MV. SBI SOUSTA</t>
  </si>
  <si>
    <t>V7LE7</t>
  </si>
  <si>
    <t>MSTI</t>
  </si>
  <si>
    <t>MM SEJATI</t>
  </si>
  <si>
    <t>PNTH</t>
  </si>
  <si>
    <t>25/10/2017 15:33</t>
  </si>
  <si>
    <t>MSTO</t>
  </si>
  <si>
    <t>M.V. SAWAHLUNTO</t>
  </si>
  <si>
    <t>IBD</t>
  </si>
  <si>
    <t>J Z N M</t>
  </si>
  <si>
    <t>12/02/2025 21:21</t>
  </si>
  <si>
    <t>MSU1</t>
  </si>
  <si>
    <t>MADONNA SUN</t>
  </si>
  <si>
    <t>JZWB</t>
  </si>
  <si>
    <t>MSYA</t>
  </si>
  <si>
    <t>MV. SAFESEA ANYA</t>
  </si>
  <si>
    <t>Y345SR</t>
  </si>
  <si>
    <t>27/03/2023 13:21</t>
  </si>
  <si>
    <t>MT34</t>
  </si>
  <si>
    <t>MV. TAN BINH 134</t>
  </si>
  <si>
    <t>3WuN9</t>
  </si>
  <si>
    <t>22/07/2024 12:26</t>
  </si>
  <si>
    <t>MT36</t>
  </si>
  <si>
    <t>MV. TUAN DUNG 36</t>
  </si>
  <si>
    <t>XVZZ3</t>
  </si>
  <si>
    <t>24/11/2023 15:13</t>
  </si>
  <si>
    <t>MT45</t>
  </si>
  <si>
    <t>MV. TAN BINH 45</t>
  </si>
  <si>
    <t>3FGF6</t>
  </si>
  <si>
    <t>04/10/2022 14:00</t>
  </si>
  <si>
    <t>MT56</t>
  </si>
  <si>
    <t>MV. TAN BINH 256</t>
  </si>
  <si>
    <t>3EZG3</t>
  </si>
  <si>
    <t>02/12/2024 09:48</t>
  </si>
  <si>
    <t>MT79</t>
  </si>
  <si>
    <t>MV. TAN BINH 279</t>
  </si>
  <si>
    <t>3EUZ4</t>
  </si>
  <si>
    <t>19/11/2024 11:40</t>
  </si>
  <si>
    <t>MTAG</t>
  </si>
  <si>
    <t>KM. MITRA ANUGRAH</t>
  </si>
  <si>
    <t>YFFB</t>
  </si>
  <si>
    <t>02/04/2022 10:12</t>
  </si>
  <si>
    <t>MTAI</t>
  </si>
  <si>
    <t>MV. TAI SUMMIT</t>
  </si>
  <si>
    <t>3FZX4</t>
  </si>
  <si>
    <t>09/11/2023 22:13</t>
  </si>
  <si>
    <t>MTAL</t>
  </si>
  <si>
    <t>MEDELIN TOTAL</t>
  </si>
  <si>
    <t>PNRY</t>
  </si>
  <si>
    <t>MTAS</t>
  </si>
  <si>
    <t>MV TANGKAS</t>
  </si>
  <si>
    <t>POLH</t>
  </si>
  <si>
    <t>06/05/2025 10:26</t>
  </si>
  <si>
    <t>MTAY</t>
  </si>
  <si>
    <t>MV. TAMPA BAY</t>
  </si>
  <si>
    <t>VRLQ9</t>
  </si>
  <si>
    <t>02/10/2023 11:48</t>
  </si>
  <si>
    <t>MTCE</t>
  </si>
  <si>
    <t>MT.SEAPRINCE</t>
  </si>
  <si>
    <t>SVQD</t>
  </si>
  <si>
    <t>MTES</t>
  </si>
  <si>
    <t>MV. TRUONG MINH SEA</t>
  </si>
  <si>
    <t>XVBM7</t>
  </si>
  <si>
    <t>11/01/2024 10:34</t>
  </si>
  <si>
    <t>MTHO</t>
  </si>
  <si>
    <t>MV. TAIHO</t>
  </si>
  <si>
    <t>TRIELANG INDO MARITIM PT</t>
  </si>
  <si>
    <t>YDNC2</t>
  </si>
  <si>
    <t>20/06/2022 16:40</t>
  </si>
  <si>
    <t>MTI1</t>
  </si>
  <si>
    <t>MT.PISSIOTIS</t>
  </si>
  <si>
    <t>A8SM8</t>
  </si>
  <si>
    <t>MTIO</t>
  </si>
  <si>
    <t>MT. TAPATIO</t>
  </si>
  <si>
    <t>A8NW6</t>
  </si>
  <si>
    <t>15/11/2017 08:20</t>
  </si>
  <si>
    <t>MTKM</t>
  </si>
  <si>
    <t>KM. MARITIM TRANS</t>
  </si>
  <si>
    <t>11/10/2024 07:36</t>
  </si>
  <si>
    <t>MTNS</t>
  </si>
  <si>
    <t>JZXA</t>
  </si>
  <si>
    <t>MTNY</t>
  </si>
  <si>
    <t>MV. TOYO PEONY</t>
  </si>
  <si>
    <t>3EKV8</t>
  </si>
  <si>
    <t>MTO2</t>
  </si>
  <si>
    <t>MT.AMAZON</t>
  </si>
  <si>
    <t>A8UI8</t>
  </si>
  <si>
    <t>MTO3</t>
  </si>
  <si>
    <t>MT. TIGER JOY</t>
  </si>
  <si>
    <t>VRQZ5</t>
  </si>
  <si>
    <t>MTON</t>
  </si>
  <si>
    <t>"R"MV. TONASA LINES XII</t>
  </si>
  <si>
    <t>MTOX</t>
  </si>
  <si>
    <t>MV. TONASA LINES XV</t>
  </si>
  <si>
    <t>YHBD</t>
  </si>
  <si>
    <t>15/06/2024 09:59</t>
  </si>
  <si>
    <t>MTXV</t>
  </si>
  <si>
    <t>29/07/2024 06:42</t>
  </si>
  <si>
    <t>MU02</t>
  </si>
  <si>
    <t>MERATUS ULTIMA 2</t>
  </si>
  <si>
    <t>PNUV</t>
  </si>
  <si>
    <t>MUAL</t>
  </si>
  <si>
    <t>MV. HUA LI</t>
  </si>
  <si>
    <t>3FXN8</t>
  </si>
  <si>
    <t>09/12/2023 09:04</t>
  </si>
  <si>
    <t>MUL3</t>
  </si>
  <si>
    <t>BG. MJL 309/TB. MASADA 09</t>
  </si>
  <si>
    <t>MUNE</t>
  </si>
  <si>
    <t>MV. UNI AUC ONE</t>
  </si>
  <si>
    <t>VRII9</t>
  </si>
  <si>
    <t>10/10/2022 07:45</t>
  </si>
  <si>
    <t>MV03</t>
  </si>
  <si>
    <t>MV. VICTORIA 3</t>
  </si>
  <si>
    <t>3E4958</t>
  </si>
  <si>
    <t>13/02/2024 09:28</t>
  </si>
  <si>
    <t>MV10</t>
  </si>
  <si>
    <t>MT. VL 10</t>
  </si>
  <si>
    <t>Thailand</t>
  </si>
  <si>
    <t>HSB3445</t>
  </si>
  <si>
    <t>MVAK</t>
  </si>
  <si>
    <t>MV. AK</t>
  </si>
  <si>
    <t>PLFX</t>
  </si>
  <si>
    <t>24/05/2022 10:56</t>
  </si>
  <si>
    <t>MVAN</t>
  </si>
  <si>
    <t>MV VALIANT</t>
  </si>
  <si>
    <t>V7A5799</t>
  </si>
  <si>
    <t>02/02/2024 21:14</t>
  </si>
  <si>
    <t>MVAR</t>
  </si>
  <si>
    <t>MV. ARNICA</t>
  </si>
  <si>
    <t>A8WP8</t>
  </si>
  <si>
    <t>17/03/2024 04:59</t>
  </si>
  <si>
    <t>MVB1</t>
  </si>
  <si>
    <t>MV. BJS 1</t>
  </si>
  <si>
    <t>SAMUDERA AGENCIES INDONESIA PT</t>
  </si>
  <si>
    <t>PLLO</t>
  </si>
  <si>
    <t>20/06/2022 17:03</t>
  </si>
  <si>
    <t>MVBI</t>
  </si>
  <si>
    <t>MV BINNUR C</t>
  </si>
  <si>
    <t>V7UJ8</t>
  </si>
  <si>
    <t>01/12/2023 12:52</t>
  </si>
  <si>
    <t>MVCD</t>
  </si>
  <si>
    <t>MV. CERDAS</t>
  </si>
  <si>
    <t>POZM</t>
  </si>
  <si>
    <t>18/09/2024 09:22</t>
  </si>
  <si>
    <t>MVCE</t>
  </si>
  <si>
    <t>MV CEMCON</t>
  </si>
  <si>
    <t>15/07/2024 11:28</t>
  </si>
  <si>
    <t>MVDA</t>
  </si>
  <si>
    <t>MV. DIVA</t>
  </si>
  <si>
    <t>D5OF8</t>
  </si>
  <si>
    <t>22/11/2022 08:49</t>
  </si>
  <si>
    <t>MVDE</t>
  </si>
  <si>
    <t>MV. DENSA LION</t>
  </si>
  <si>
    <t>9HA2379</t>
  </si>
  <si>
    <t>07/03/2024 08:48</t>
  </si>
  <si>
    <t>MVDU</t>
  </si>
  <si>
    <t>MV. DUBAI SUN</t>
  </si>
  <si>
    <t>V7TO6</t>
  </si>
  <si>
    <t>MVEA</t>
  </si>
  <si>
    <t>MV. EASTERN HAWK</t>
  </si>
  <si>
    <t>9V6807</t>
  </si>
  <si>
    <t>29/05/2024 17:15</t>
  </si>
  <si>
    <t>MVEI</t>
  </si>
  <si>
    <t>MV. EIDER S</t>
  </si>
  <si>
    <t>D5SS5</t>
  </si>
  <si>
    <t>30/09/2023 08:38</t>
  </si>
  <si>
    <t>MVGE</t>
  </si>
  <si>
    <t>YGFH</t>
  </si>
  <si>
    <t>02/04/2023 15:41</t>
  </si>
  <si>
    <t>MVGR</t>
  </si>
  <si>
    <t>MV VIMC GREEN</t>
  </si>
  <si>
    <t>3FNK7</t>
  </si>
  <si>
    <t>01/05/2024 08:33</t>
  </si>
  <si>
    <t>MVIA</t>
  </si>
  <si>
    <t>MV. SOPHIA</t>
  </si>
  <si>
    <t>PNCP</t>
  </si>
  <si>
    <t>27/12/2022 18:02</t>
  </si>
  <si>
    <t>MVIE</t>
  </si>
  <si>
    <t>MV. INGWAR SELMER</t>
  </si>
  <si>
    <t>V7A5270</t>
  </si>
  <si>
    <t>16/03/2023 08:52</t>
  </si>
  <si>
    <t>MVIM</t>
  </si>
  <si>
    <t>MV. VIMC SUNRISE</t>
  </si>
  <si>
    <t>3WAM9</t>
  </si>
  <si>
    <t>29/02/2024 13:22</t>
  </si>
  <si>
    <t>MVIN</t>
  </si>
  <si>
    <t>MV. INASA</t>
  </si>
  <si>
    <t>3EII6</t>
  </si>
  <si>
    <t>18/10/2023 12:15</t>
  </si>
  <si>
    <t>MVIR</t>
  </si>
  <si>
    <t>06/05/2023 22:12</t>
  </si>
  <si>
    <t>MVIT</t>
  </si>
  <si>
    <t>MV. VITA HARMONY</t>
  </si>
  <si>
    <t>D5ZU4</t>
  </si>
  <si>
    <t>06/08/2024 10:38</t>
  </si>
  <si>
    <t>MVJA</t>
  </si>
  <si>
    <t>07/09/2023 08:43</t>
  </si>
  <si>
    <t>MVJH</t>
  </si>
  <si>
    <t>MV. JIU HUA HAI</t>
  </si>
  <si>
    <t>BOCQ</t>
  </si>
  <si>
    <t>23/05/2022 13:02</t>
  </si>
  <si>
    <t>MVKS</t>
  </si>
  <si>
    <t>MV. KSL QINGYANG</t>
  </si>
  <si>
    <t>V7A2640</t>
  </si>
  <si>
    <t>22/03/2024 11:00</t>
  </si>
  <si>
    <t>MVLY</t>
  </si>
  <si>
    <t>MV.PRILLY</t>
  </si>
  <si>
    <t>YBDL2</t>
  </si>
  <si>
    <t>03/05/2022 21:26</t>
  </si>
  <si>
    <t>MVMF</t>
  </si>
  <si>
    <t>MV MEGHNA FREEDOM</t>
  </si>
  <si>
    <t>25/01/2025 14:49</t>
  </si>
  <si>
    <t>MVNO</t>
  </si>
  <si>
    <t>MV. V UNO</t>
  </si>
  <si>
    <t>9HA3906</t>
  </si>
  <si>
    <t>03/03/2025 18:37</t>
  </si>
  <si>
    <t>MVOS</t>
  </si>
  <si>
    <t>MV. VOSCO STAR</t>
  </si>
  <si>
    <t>XVPY</t>
  </si>
  <si>
    <t>04/03/2025 09:03</t>
  </si>
  <si>
    <t>MVPA</t>
  </si>
  <si>
    <t>MV KM WEIPA</t>
  </si>
  <si>
    <t>D5LF3</t>
  </si>
  <si>
    <t>28/06/2023 11:53</t>
  </si>
  <si>
    <t>MVPS</t>
  </si>
  <si>
    <t>MV PEACEFUL SEAS</t>
  </si>
  <si>
    <t>D5EY7</t>
  </si>
  <si>
    <t>21/12/2023 16:18</t>
  </si>
  <si>
    <t>MVRA</t>
  </si>
  <si>
    <t>MV. VICTORIA</t>
  </si>
  <si>
    <t>VRAY9</t>
  </si>
  <si>
    <t>17/02/2023 12:17</t>
  </si>
  <si>
    <t>MVRM</t>
  </si>
  <si>
    <t>MV ROME TRADER</t>
  </si>
  <si>
    <t>5LAJ8</t>
  </si>
  <si>
    <t>22/04/2025 13:22</t>
  </si>
  <si>
    <t>MVSA</t>
  </si>
  <si>
    <t>MV. VINASHIP SEA</t>
  </si>
  <si>
    <t>3WZI</t>
  </si>
  <si>
    <t>05/06/2024 14:59</t>
  </si>
  <si>
    <t>MVSR</t>
  </si>
  <si>
    <t>MV STAR ROYAL</t>
  </si>
  <si>
    <t>S2AR2</t>
  </si>
  <si>
    <t>18/11/2023 07:27</t>
  </si>
  <si>
    <t>MVST</t>
  </si>
  <si>
    <t>MV. VEGA EVEREST</t>
  </si>
  <si>
    <t>V7A5454</t>
  </si>
  <si>
    <t>08/11/2024 18:54</t>
  </si>
  <si>
    <t>MVTA</t>
  </si>
  <si>
    <t>MV. TAHO AFRICA</t>
  </si>
  <si>
    <t>Taiwan</t>
  </si>
  <si>
    <t>BKMF</t>
  </si>
  <si>
    <t>27/04/2023 10:26</t>
  </si>
  <si>
    <t>MVTC</t>
  </si>
  <si>
    <t>MV. THERESA GRACE</t>
  </si>
  <si>
    <t>9V6331</t>
  </si>
  <si>
    <t>08/02/2023 10:25</t>
  </si>
  <si>
    <t>MVTR</t>
  </si>
  <si>
    <t>M.V. VOSCO STAR</t>
  </si>
  <si>
    <t>MVTY</t>
  </si>
  <si>
    <t>MV. VINASHIP UNITY</t>
  </si>
  <si>
    <t>3WDF4</t>
  </si>
  <si>
    <t>03/02/2025 11:49</t>
  </si>
  <si>
    <t>MVUE</t>
  </si>
  <si>
    <t>MV. V DUE</t>
  </si>
  <si>
    <t>9HA4037</t>
  </si>
  <si>
    <t>24/05/2025 17:37</t>
  </si>
  <si>
    <t>MVUN</t>
  </si>
  <si>
    <t>MV UNITED HALO</t>
  </si>
  <si>
    <t>3EYC6</t>
  </si>
  <si>
    <t>20/12/2023 10:48</t>
  </si>
  <si>
    <t>MVVI</t>
  </si>
  <si>
    <t>MAHKOTA VI</t>
  </si>
  <si>
    <t>YDA 6004</t>
  </si>
  <si>
    <t>MVXF</t>
  </si>
  <si>
    <t>MV. XIANG FU</t>
  </si>
  <si>
    <t>3FJT2</t>
  </si>
  <si>
    <t>21/08/2023 20:34</t>
  </si>
  <si>
    <t>MVYX</t>
  </si>
  <si>
    <t>MV YI XIAO 7</t>
  </si>
  <si>
    <t>3E5302</t>
  </si>
  <si>
    <t>04/03/2025 14:16</t>
  </si>
  <si>
    <t>MWDI</t>
  </si>
  <si>
    <t>MV WADI ALBOSTAN</t>
  </si>
  <si>
    <t>6AGS</t>
  </si>
  <si>
    <t>29/01/2024 07:35</t>
  </si>
  <si>
    <t>MWER</t>
  </si>
  <si>
    <t>MV WATTLE TIGER</t>
  </si>
  <si>
    <t>3EHK7</t>
  </si>
  <si>
    <t>12/10/2022 11:45</t>
  </si>
  <si>
    <t>MXAI</t>
  </si>
  <si>
    <t>MV. XIANG HAI</t>
  </si>
  <si>
    <t>HPRT</t>
  </si>
  <si>
    <t>07/10/2024 09:46</t>
  </si>
  <si>
    <t>MXX1</t>
  </si>
  <si>
    <t>MPMT XI</t>
  </si>
  <si>
    <t>YBRX2</t>
  </si>
  <si>
    <t>MYCO</t>
  </si>
  <si>
    <t>MV. YURICO</t>
  </si>
  <si>
    <t>PMRF</t>
  </si>
  <si>
    <t>09/04/2022 10:42</t>
  </si>
  <si>
    <t>MYIN</t>
  </si>
  <si>
    <t>MV. YOSHIN</t>
  </si>
  <si>
    <t>Tuvalu</t>
  </si>
  <si>
    <t>T2PX5</t>
  </si>
  <si>
    <t>15/09/2023 11:10</t>
  </si>
  <si>
    <t>MYLI</t>
  </si>
  <si>
    <t>MV. YING LI</t>
  </si>
  <si>
    <t>3EWG5</t>
  </si>
  <si>
    <t>16/11/2023 13:43</t>
  </si>
  <si>
    <t>MYUR</t>
  </si>
  <si>
    <t>MV. YM ENDEAVOUR</t>
  </si>
  <si>
    <t>VRIG6</t>
  </si>
  <si>
    <t>N202</t>
  </si>
  <si>
    <t>NUSANUR 2</t>
  </si>
  <si>
    <t>YBZO</t>
  </si>
  <si>
    <t>06/12/2017 16:08</t>
  </si>
  <si>
    <t>NACC</t>
  </si>
  <si>
    <t>MV. NACC COZUMEL</t>
  </si>
  <si>
    <t>YDJB2</t>
  </si>
  <si>
    <t>unggulsejahteraraya@bup.co.id</t>
  </si>
  <si>
    <t>06/06/2022 09:33</t>
  </si>
  <si>
    <t>NACP</t>
  </si>
  <si>
    <t>MV. NACC PANAREA</t>
  </si>
  <si>
    <t>8PBO3</t>
  </si>
  <si>
    <t>31/05/2024 10:18</t>
  </si>
  <si>
    <t>NIII</t>
  </si>
  <si>
    <t>NSS II</t>
  </si>
  <si>
    <t>YDB 6227</t>
  </si>
  <si>
    <t>NITY</t>
  </si>
  <si>
    <t>MV. SERENITY 09</t>
  </si>
  <si>
    <t>YBKB2</t>
  </si>
  <si>
    <t>15/08/2022 13:48</t>
  </si>
  <si>
    <t>NJS1</t>
  </si>
  <si>
    <t>TB. HASNUR 17 / BG. NJS 3001</t>
  </si>
  <si>
    <t>YDC 3623</t>
  </si>
  <si>
    <t>NJYA</t>
  </si>
  <si>
    <t>KM. NAGA JAYA</t>
  </si>
  <si>
    <t>YGYK</t>
  </si>
  <si>
    <t>18/05/2025 08:03</t>
  </si>
  <si>
    <t>NL97</t>
  </si>
  <si>
    <t>TB. NELLY 97 / BG. NELLY 102</t>
  </si>
  <si>
    <t>YDC4553</t>
  </si>
  <si>
    <t>01/02/2025 14:34</t>
  </si>
  <si>
    <t>NNIA</t>
  </si>
  <si>
    <t>NURUL NADIA</t>
  </si>
  <si>
    <t>PILAR KALIMANTAN LINES, PT</t>
  </si>
  <si>
    <t>PNPT</t>
  </si>
  <si>
    <t>12/12/2017 11:00</t>
  </si>
  <si>
    <t>NOTS</t>
  </si>
  <si>
    <t>MV. NOAH SATU</t>
  </si>
  <si>
    <t>POOL</t>
  </si>
  <si>
    <t>19/01/2024 07:44</t>
  </si>
  <si>
    <t>NRLM</t>
  </si>
  <si>
    <t>NUR RAHMA. KLM</t>
  </si>
  <si>
    <t>NRS2</t>
  </si>
  <si>
    <t>TB. PRIMA I / BG. NRS - II</t>
  </si>
  <si>
    <t>YD6162</t>
  </si>
  <si>
    <t>08/04/2023 13:33</t>
  </si>
  <si>
    <t>NRS8</t>
  </si>
  <si>
    <t>TB, NRS VII / BG. NRS VIII</t>
  </si>
  <si>
    <t>09/03/2023 19:59</t>
  </si>
  <si>
    <t>NS03</t>
  </si>
  <si>
    <t>KM. NAGA SEJAHTERA III</t>
  </si>
  <si>
    <t>11/02/2022 14:35</t>
  </si>
  <si>
    <t>NSPP</t>
  </si>
  <si>
    <t>TB. NATASHA SUKSES / BG. PERMATA PLA 3312</t>
  </si>
  <si>
    <t>22/06/2022 09:19</t>
  </si>
  <si>
    <t>NSTI</t>
  </si>
  <si>
    <t>NUSANTARA SEJATI</t>
  </si>
  <si>
    <t>PMTE</t>
  </si>
  <si>
    <t>NT58</t>
  </si>
  <si>
    <t>TB. ENTEBE STAR 58 / BG. ANGELINE 21906</t>
  </si>
  <si>
    <t>YDA6506</t>
  </si>
  <si>
    <t>13/05/2024 14:12</t>
  </si>
  <si>
    <t>NTMS</t>
  </si>
  <si>
    <t>KM. NITHAMAS</t>
  </si>
  <si>
    <t>16/07/2024 09:09</t>
  </si>
  <si>
    <t>NTSJ</t>
  </si>
  <si>
    <t>KM NTT SEJAHTERA</t>
  </si>
  <si>
    <t>YDZY2</t>
  </si>
  <si>
    <t>19/09/2024 12:08</t>
  </si>
  <si>
    <t>NTTS</t>
  </si>
  <si>
    <t>KM. NTT SEJAHTERA</t>
  </si>
  <si>
    <t>19/09/2024 12:09</t>
  </si>
  <si>
    <t>NV0V</t>
  </si>
  <si>
    <t>NRS V</t>
  </si>
  <si>
    <t>NWER</t>
  </si>
  <si>
    <t>NEW WINNER</t>
  </si>
  <si>
    <t>YBCG2</t>
  </si>
  <si>
    <t>NYLM</t>
  </si>
  <si>
    <t>NURUL YAQIN IV. KLM</t>
  </si>
  <si>
    <t>17/11/2022 13:06</t>
  </si>
  <si>
    <t>O-08</t>
  </si>
  <si>
    <t>ORIENT - 8</t>
  </si>
  <si>
    <t>O206</t>
  </si>
  <si>
    <t>TB. ANUGERAH BERSAMA 2235 / BG. OCEAN MASTER 206</t>
  </si>
  <si>
    <t>YDC6204</t>
  </si>
  <si>
    <t>17/05/2024 16:07</t>
  </si>
  <si>
    <t>O215</t>
  </si>
  <si>
    <t>OCEANBAY 23315</t>
  </si>
  <si>
    <t>O233</t>
  </si>
  <si>
    <t>OCEANBRAVE 23533</t>
  </si>
  <si>
    <t>O808</t>
  </si>
  <si>
    <t>OBT 8</t>
  </si>
  <si>
    <t>OB13</t>
  </si>
  <si>
    <t>OCEAN BAY 23313</t>
  </si>
  <si>
    <t>PNVO</t>
  </si>
  <si>
    <t>14/11/2017 16:40</t>
  </si>
  <si>
    <t>OBIS</t>
  </si>
  <si>
    <t>MV. OBI STRAIT</t>
  </si>
  <si>
    <t>YDGJ3</t>
  </si>
  <si>
    <t>29/05/2024 11:33</t>
  </si>
  <si>
    <t>OBLX</t>
  </si>
  <si>
    <t>KM. OBELIX</t>
  </si>
  <si>
    <t>09/05/2022 13:05</t>
  </si>
  <si>
    <t>OBT7</t>
  </si>
  <si>
    <t>TB. ANUGERAH 1 / BG. OBT 7</t>
  </si>
  <si>
    <t>YDA6507</t>
  </si>
  <si>
    <t>26/05/2025 13:49</t>
  </si>
  <si>
    <t>ODND</t>
  </si>
  <si>
    <t>ORIENTAL DIAMOND</t>
  </si>
  <si>
    <t>YBIY2</t>
  </si>
  <si>
    <t>OGXY</t>
  </si>
  <si>
    <t>ORIENTAL GALAXY</t>
  </si>
  <si>
    <t>YBJK2</t>
  </si>
  <si>
    <t>OM01</t>
  </si>
  <si>
    <t>TB. OCEAN MASTER 101 / BG. AZAMARA 23</t>
  </si>
  <si>
    <t>YDA4877</t>
  </si>
  <si>
    <t>12/05/2025 08:17</t>
  </si>
  <si>
    <t>OM06</t>
  </si>
  <si>
    <t>TB. VOYAGER 2 / BG. OCEAN MASTER 206</t>
  </si>
  <si>
    <t>YD5174</t>
  </si>
  <si>
    <t>02/12/2024 08:49</t>
  </si>
  <si>
    <t>OPAR</t>
  </si>
  <si>
    <t>OVERSEAS PETROMAR</t>
  </si>
  <si>
    <t>YBVT2</t>
  </si>
  <si>
    <t>OPMV</t>
  </si>
  <si>
    <t>MV. OCEANIC PROGRESS</t>
  </si>
  <si>
    <t>PLLR</t>
  </si>
  <si>
    <t>07/01/2024 09:28</t>
  </si>
  <si>
    <t>OSKA</t>
  </si>
  <si>
    <t>OSAKA</t>
  </si>
  <si>
    <t>18/01/2023 20:32</t>
  </si>
  <si>
    <t>OZZU</t>
  </si>
  <si>
    <t>OZU</t>
  </si>
  <si>
    <t>JZMC</t>
  </si>
  <si>
    <t>P-03</t>
  </si>
  <si>
    <t>PESUT - 2203</t>
  </si>
  <si>
    <t>P-04</t>
  </si>
  <si>
    <t>PESUT - 2204</t>
  </si>
  <si>
    <t>P-08</t>
  </si>
  <si>
    <t>PRATAMA - 8</t>
  </si>
  <si>
    <t>YD6303</t>
  </si>
  <si>
    <t>P-10</t>
  </si>
  <si>
    <t>PRATAMA - 10</t>
  </si>
  <si>
    <t>YDA - 6058</t>
  </si>
  <si>
    <t>P-25</t>
  </si>
  <si>
    <t>PROFIT - 25</t>
  </si>
  <si>
    <t>P-II</t>
  </si>
  <si>
    <t>PRATAMA - II</t>
  </si>
  <si>
    <t>YD 6301</t>
  </si>
  <si>
    <t>P101</t>
  </si>
  <si>
    <t>PATRIA 1</t>
  </si>
  <si>
    <t>YDA 4512</t>
  </si>
  <si>
    <t>P112</t>
  </si>
  <si>
    <t>PST 1212</t>
  </si>
  <si>
    <t>P113</t>
  </si>
  <si>
    <t>PST 113</t>
  </si>
  <si>
    <t>01/04/2024 08:56</t>
  </si>
  <si>
    <t>P114</t>
  </si>
  <si>
    <t>PANCARAN 113 - PST 113</t>
  </si>
  <si>
    <t>YDA3545</t>
  </si>
  <si>
    <t>01/04/2024 11:06</t>
  </si>
  <si>
    <t>P115</t>
  </si>
  <si>
    <t>PRATAMA 15</t>
  </si>
  <si>
    <t>YD - 5069</t>
  </si>
  <si>
    <t>P11P</t>
  </si>
  <si>
    <t>PERKASA PRIMA 8</t>
  </si>
  <si>
    <t>PMJB</t>
  </si>
  <si>
    <t>P151</t>
  </si>
  <si>
    <t>PRIMA 1251</t>
  </si>
  <si>
    <t>YD3625</t>
  </si>
  <si>
    <t>P202</t>
  </si>
  <si>
    <t>PESUT 2402</t>
  </si>
  <si>
    <t>P205</t>
  </si>
  <si>
    <t>PESUT 2305</t>
  </si>
  <si>
    <t>P224</t>
  </si>
  <si>
    <t>PROFIT 24</t>
  </si>
  <si>
    <t>P303</t>
  </si>
  <si>
    <t>TB. LIBERTY 17 / BG. PELICAN 303</t>
  </si>
  <si>
    <t>P306</t>
  </si>
  <si>
    <t>TB. ALBATROSS 8 / BG. PELICAN 306</t>
  </si>
  <si>
    <t>YDA6500</t>
  </si>
  <si>
    <t>02/03/2025 20:41</t>
  </si>
  <si>
    <t>P308</t>
  </si>
  <si>
    <t>PACIFIC 3008</t>
  </si>
  <si>
    <t>P333</t>
  </si>
  <si>
    <t>PATRA 33</t>
  </si>
  <si>
    <t>30/11/2017 09:41</t>
  </si>
  <si>
    <t>P502</t>
  </si>
  <si>
    <t>PETEKA 5402</t>
  </si>
  <si>
    <t>YDEE</t>
  </si>
  <si>
    <t>19/10/2017 12:05</t>
  </si>
  <si>
    <t>P513</t>
  </si>
  <si>
    <t>PST 513</t>
  </si>
  <si>
    <t>P514</t>
  </si>
  <si>
    <t>PANCARAN 513</t>
  </si>
  <si>
    <t>YDA 3664</t>
  </si>
  <si>
    <t>P610</t>
  </si>
  <si>
    <t>PST 610</t>
  </si>
  <si>
    <t>P611</t>
  </si>
  <si>
    <t>PANCARAN 610</t>
  </si>
  <si>
    <t>YDA 6788</t>
  </si>
  <si>
    <t>P613</t>
  </si>
  <si>
    <t>TB. PANCARAN 613 / BG. PST 613</t>
  </si>
  <si>
    <t>YDA3651</t>
  </si>
  <si>
    <t>30/09/2024 13:37</t>
  </si>
  <si>
    <t>P813</t>
  </si>
  <si>
    <t>TB. PANCARAN 813 / BG. PST 813</t>
  </si>
  <si>
    <t>YDB6347</t>
  </si>
  <si>
    <t>P909</t>
  </si>
  <si>
    <t>PRATAMA 9</t>
  </si>
  <si>
    <t>YD 6066</t>
  </si>
  <si>
    <t>P912</t>
  </si>
  <si>
    <t>TB. PANCARAN 912 / BG. PST 912</t>
  </si>
  <si>
    <t>YDA3485</t>
  </si>
  <si>
    <t>16/05/2024 09:19</t>
  </si>
  <si>
    <t>PAAN</t>
  </si>
  <si>
    <t>PANDAN</t>
  </si>
  <si>
    <t>PMRQ</t>
  </si>
  <si>
    <t>06/11/2017 00:21</t>
  </si>
  <si>
    <t>PACE</t>
  </si>
  <si>
    <t>POAVOSA ACE</t>
  </si>
  <si>
    <t>3EWV5</t>
  </si>
  <si>
    <t>07/08/2023 19:53</t>
  </si>
  <si>
    <t>PBAU</t>
  </si>
  <si>
    <t>PEKAN BERAU</t>
  </si>
  <si>
    <t>YBIH2</t>
  </si>
  <si>
    <t>PBEO</t>
  </si>
  <si>
    <t>PRINCE BORNEO</t>
  </si>
  <si>
    <t>YDB6092</t>
  </si>
  <si>
    <t>PBK1</t>
  </si>
  <si>
    <t>PB.KUNIMI /BG.KUNIMI 1</t>
  </si>
  <si>
    <t>YBGJ2</t>
  </si>
  <si>
    <t>22/10/2024 08:51</t>
  </si>
  <si>
    <t>PC20</t>
  </si>
  <si>
    <t>TB. PACIFIC TWENTY / BG. PACIFIC 3020</t>
  </si>
  <si>
    <t>YDC3506</t>
  </si>
  <si>
    <t>28/04/2024 07:23</t>
  </si>
  <si>
    <t>PC22</t>
  </si>
  <si>
    <t>TB. PACIFIC TWENTY TWO / BG. PACIFIC 3022</t>
  </si>
  <si>
    <t>YDC 3592</t>
  </si>
  <si>
    <t>22/08/2023 11:12</t>
  </si>
  <si>
    <t>PCMN</t>
  </si>
  <si>
    <t>KM. PACMAN</t>
  </si>
  <si>
    <t>02/01/2024 15:09</t>
  </si>
  <si>
    <t>PCTA</t>
  </si>
  <si>
    <t>KM. PERMATA CINTA</t>
  </si>
  <si>
    <t>POZQ</t>
  </si>
  <si>
    <t>10/06/2023 17:27</t>
  </si>
  <si>
    <t>PD01</t>
  </si>
  <si>
    <t>TB. PERMATA DOLPHIN / BG. BKT 301</t>
  </si>
  <si>
    <t>YDB 6906</t>
  </si>
  <si>
    <t>19/12/2024 20:35</t>
  </si>
  <si>
    <t>PEHT</t>
  </si>
  <si>
    <t>TB. PACIFIC EIGHT / BG. PACIFIC 3008</t>
  </si>
  <si>
    <t>YDA3486</t>
  </si>
  <si>
    <t>26/12/2024 16:55</t>
  </si>
  <si>
    <t>PEN1</t>
  </si>
  <si>
    <t>TB. PEN 1 / BG. SOEKAWATI 2705</t>
  </si>
  <si>
    <t>YDC4471</t>
  </si>
  <si>
    <t>PF02</t>
  </si>
  <si>
    <t>TB. PACIFIC FIVE / BG. PACIFIC 3302</t>
  </si>
  <si>
    <t>PNOA</t>
  </si>
  <si>
    <t>07/02/2025 21:18</t>
  </si>
  <si>
    <t>PGS2</t>
  </si>
  <si>
    <t>TB. MARINO 178 / BG. PEGASUS 2</t>
  </si>
  <si>
    <t>YD5159</t>
  </si>
  <si>
    <t>PHAN</t>
  </si>
  <si>
    <t>MV. PHU AN 369</t>
  </si>
  <si>
    <t>3WQI</t>
  </si>
  <si>
    <t>09/11/2022 12:20</t>
  </si>
  <si>
    <t>PHLP</t>
  </si>
  <si>
    <t>KM. PHILIPS</t>
  </si>
  <si>
    <t>PHOG</t>
  </si>
  <si>
    <t>PHUNTSOG</t>
  </si>
  <si>
    <t>PI0I</t>
  </si>
  <si>
    <t>PGM I</t>
  </si>
  <si>
    <t>07/11/2017 11:04</t>
  </si>
  <si>
    <t>PIKS</t>
  </si>
  <si>
    <t>KM. PUTRI KUSUMA</t>
  </si>
  <si>
    <t>06/08/2022 08:15</t>
  </si>
  <si>
    <t>PJ12</t>
  </si>
  <si>
    <t>TB. PACIFIC JAYA XII / BG. MARITIM PERKASA 3031</t>
  </si>
  <si>
    <t>YDB6971</t>
  </si>
  <si>
    <t>PJI1</t>
  </si>
  <si>
    <t>PULAU JAYA  II</t>
  </si>
  <si>
    <t>PJI2</t>
  </si>
  <si>
    <t>PACIFIC JAYA II</t>
  </si>
  <si>
    <t>YDB 6611</t>
  </si>
  <si>
    <t>03/11/2017 18:41</t>
  </si>
  <si>
    <t>PJII</t>
  </si>
  <si>
    <t>PULAU JAYA  III</t>
  </si>
  <si>
    <t>PJVI</t>
  </si>
  <si>
    <t>TB. PACIFIC JAYA VI / BG. MARITIM PERKASA 2725</t>
  </si>
  <si>
    <t>01/12/2023 16:11</t>
  </si>
  <si>
    <t>PJY6</t>
  </si>
  <si>
    <t>TB. BERKAT DOLPHIN / BG. PARTA JAYA 3006</t>
  </si>
  <si>
    <t>YDA 6892</t>
  </si>
  <si>
    <t>13/08/2023 12:10</t>
  </si>
  <si>
    <t>PK01</t>
  </si>
  <si>
    <t>PUTRA KAPUAS 1</t>
  </si>
  <si>
    <t>PKSE</t>
  </si>
  <si>
    <t>MV PERKASA</t>
  </si>
  <si>
    <t>PMUY</t>
  </si>
  <si>
    <t>19/10/2024 08:48</t>
  </si>
  <si>
    <t>PLII</t>
  </si>
  <si>
    <t>TB. PUTRA LAUTAN II / BG. BARA LAUT 2710</t>
  </si>
  <si>
    <t>YDB6091</t>
  </si>
  <si>
    <t>16/05/2024 10:26</t>
  </si>
  <si>
    <t>PLIX</t>
  </si>
  <si>
    <t>PUTRA LAUTAN IX</t>
  </si>
  <si>
    <t>YDB 6338</t>
  </si>
  <si>
    <t>PLTY</t>
  </si>
  <si>
    <t>PACIFIC LIBERTY</t>
  </si>
  <si>
    <t>PELAYARAN BATAM SAMUDRA. PT</t>
  </si>
  <si>
    <t>9V7311</t>
  </si>
  <si>
    <t>PM21</t>
  </si>
  <si>
    <t>TB. BERAU 21 / BG. PSPM 21</t>
  </si>
  <si>
    <t>YDB4829</t>
  </si>
  <si>
    <t>02/10/2023 15:06</t>
  </si>
  <si>
    <t>PMPR</t>
  </si>
  <si>
    <t>KM. PERMATA PUTRI</t>
  </si>
  <si>
    <t>POPP</t>
  </si>
  <si>
    <t>21/05/2025 22:24</t>
  </si>
  <si>
    <t>PMSH</t>
  </si>
  <si>
    <t>KM. PERMATA SEHATI</t>
  </si>
  <si>
    <t>19/06/2023 16:11</t>
  </si>
  <si>
    <t>PMSK</t>
  </si>
  <si>
    <t>KM. PERMATA SAKTI</t>
  </si>
  <si>
    <t>YGUL</t>
  </si>
  <si>
    <t>03/10/2024 21:00</t>
  </si>
  <si>
    <t>PMTM</t>
  </si>
  <si>
    <t>KM. PERMATA TIMUR</t>
  </si>
  <si>
    <t>PNKX</t>
  </si>
  <si>
    <t>17/01/2023 08:49</t>
  </si>
  <si>
    <t>PMWF</t>
  </si>
  <si>
    <t>MV. NEW GLORY</t>
  </si>
  <si>
    <t>07/02/2022 15:36</t>
  </si>
  <si>
    <t>PN12</t>
  </si>
  <si>
    <t>KM. PELITA NUSANTARA 12</t>
  </si>
  <si>
    <t>JZAJ</t>
  </si>
  <si>
    <t>04/03/2025 15:07</t>
  </si>
  <si>
    <t>PNDJ</t>
  </si>
  <si>
    <t>KM. SEJAHTERA 25</t>
  </si>
  <si>
    <t>16/11/2024 17:38</t>
  </si>
  <si>
    <t>PNS1</t>
  </si>
  <si>
    <t>KM. PERMATA NUSANTARA I</t>
  </si>
  <si>
    <t>PNTG</t>
  </si>
  <si>
    <t>12/10/2023 17:58</t>
  </si>
  <si>
    <t>POGQ</t>
  </si>
  <si>
    <t>KM. BUNGA MELATI XXI</t>
  </si>
  <si>
    <t>12/02/2023 15:13</t>
  </si>
  <si>
    <t>POKL</t>
  </si>
  <si>
    <t>26/06/2024 15:34</t>
  </si>
  <si>
    <t>POPH</t>
  </si>
  <si>
    <t>KM. NIGATA</t>
  </si>
  <si>
    <t>08/03/2025 16:01</t>
  </si>
  <si>
    <t>POQL</t>
  </si>
  <si>
    <t>KM. NOAH SATU</t>
  </si>
  <si>
    <t>20/01/2024 13:02</t>
  </si>
  <si>
    <t>PP09</t>
  </si>
  <si>
    <t>PERKASA PRIMA 9</t>
  </si>
  <si>
    <t>PNAL</t>
  </si>
  <si>
    <t>PP10</t>
  </si>
  <si>
    <t>PERKASA PRIMA 99</t>
  </si>
  <si>
    <t>JZGF</t>
  </si>
  <si>
    <t>PP89</t>
  </si>
  <si>
    <t>PERKASA PRIMA 88</t>
  </si>
  <si>
    <t>PORV</t>
  </si>
  <si>
    <t>PPLR</t>
  </si>
  <si>
    <t>KM. POPULAIR</t>
  </si>
  <si>
    <t>YGFI</t>
  </si>
  <si>
    <t>09/07/2024 09:02</t>
  </si>
  <si>
    <t>PPMA</t>
  </si>
  <si>
    <t>PERMATA PRIMA</t>
  </si>
  <si>
    <t>10/02/2022 09:56</t>
  </si>
  <si>
    <t>PPY8</t>
  </si>
  <si>
    <t>KM. POPEYE 8</t>
  </si>
  <si>
    <t>POMM</t>
  </si>
  <si>
    <t>16/10/2023 11:58</t>
  </si>
  <si>
    <t>PR18</t>
  </si>
  <si>
    <t>TB. TRANS POWER 213 / BG. PRIMA 18</t>
  </si>
  <si>
    <t>YDA4989</t>
  </si>
  <si>
    <t>25/11/2023 17:43</t>
  </si>
  <si>
    <t>PRAU</t>
  </si>
  <si>
    <t>PEKAN RIAU</t>
  </si>
  <si>
    <t>P O E U</t>
  </si>
  <si>
    <t>PRBX</t>
  </si>
  <si>
    <t>TB. NRS - 1 / BG. PRIMA BAHARI - X</t>
  </si>
  <si>
    <t>PRKS</t>
  </si>
  <si>
    <t>12/10/2024 14:24</t>
  </si>
  <si>
    <t>PS12</t>
  </si>
  <si>
    <t>TB. DELTA ABADI 28 / PRIMA SAKTI 12</t>
  </si>
  <si>
    <t>15/07/2024 12:32</t>
  </si>
  <si>
    <t>PS78</t>
  </si>
  <si>
    <t>PRIMA SAKTI 178</t>
  </si>
  <si>
    <t>PSD8</t>
  </si>
  <si>
    <t>MV. PERSADA 8</t>
  </si>
  <si>
    <t>YDIP3</t>
  </si>
  <si>
    <t>22/08/2024 08:35</t>
  </si>
  <si>
    <t>PSLM</t>
  </si>
  <si>
    <t>PUTRA SELEBES INDAH, KLM</t>
  </si>
  <si>
    <t>22/12/2023 08:44</t>
  </si>
  <si>
    <t>PSPM</t>
  </si>
  <si>
    <t>TB. PERKASA 13 / BG. PSPM 13</t>
  </si>
  <si>
    <t>YDA3172</t>
  </si>
  <si>
    <t>22/08/2023 15:27</t>
  </si>
  <si>
    <t>PST5</t>
  </si>
  <si>
    <t>TB. PANCARAN 513 / BG. PST 513</t>
  </si>
  <si>
    <t>02/05/2024 13:41</t>
  </si>
  <si>
    <t>PSTU</t>
  </si>
  <si>
    <t>PEACOCK SATU</t>
  </si>
  <si>
    <t>PELAYARAN KRANINDO, PT</t>
  </si>
  <si>
    <t>YDA 4809</t>
  </si>
  <si>
    <t>PT05</t>
  </si>
  <si>
    <t>KM. PETTA TUNGKE 05</t>
  </si>
  <si>
    <t>PTPS</t>
  </si>
  <si>
    <t>KM. PERMATA PESONA</t>
  </si>
  <si>
    <t>PORR</t>
  </si>
  <si>
    <t>04/03/2023 09:13</t>
  </si>
  <si>
    <t>PTR1</t>
  </si>
  <si>
    <t>TB. DUTA RAYA / BG. PATRIA 1</t>
  </si>
  <si>
    <t>14/11/2023 13:55</t>
  </si>
  <si>
    <t>PTVI</t>
  </si>
  <si>
    <t>PRIMA TANGGUH LVI</t>
  </si>
  <si>
    <t>YBUW2</t>
  </si>
  <si>
    <t>PUMA</t>
  </si>
  <si>
    <t>KM. PUMA</t>
  </si>
  <si>
    <t>PKGU</t>
  </si>
  <si>
    <t>25/10/2022 11:28</t>
  </si>
  <si>
    <t>PUND</t>
  </si>
  <si>
    <t>PUNDI REJEKI</t>
  </si>
  <si>
    <t>10/02/2022 09:59</t>
  </si>
  <si>
    <t>PV01</t>
  </si>
  <si>
    <t>PB. ASUWA / BG. ASUWA 1</t>
  </si>
  <si>
    <t>YBGK2</t>
  </si>
  <si>
    <t>09/08/2024 17:15</t>
  </si>
  <si>
    <t>PVO6</t>
  </si>
  <si>
    <t>PB.BELINI VII / BG.BELINI 6</t>
  </si>
  <si>
    <t>YDA 4703</t>
  </si>
  <si>
    <t>15/05/2022 18:00</t>
  </si>
  <si>
    <t>PWEH</t>
  </si>
  <si>
    <t>PULAU WEH</t>
  </si>
  <si>
    <t>27/09/2022 14:54</t>
  </si>
  <si>
    <t>R-21</t>
  </si>
  <si>
    <t>RMN - 221</t>
  </si>
  <si>
    <t>R202</t>
  </si>
  <si>
    <t>RVR 2</t>
  </si>
  <si>
    <t>R311</t>
  </si>
  <si>
    <t>TB. BERAU COAL 65 / BG. ROBBY 311</t>
  </si>
  <si>
    <t>YDA 6657</t>
  </si>
  <si>
    <t>29/12/2023 14:25</t>
  </si>
  <si>
    <t>R317</t>
  </si>
  <si>
    <t>TB. BERAU COAL 58 / BG. ROBBY 317</t>
  </si>
  <si>
    <t>YDA6291</t>
  </si>
  <si>
    <t>27/05/2024 10:46</t>
  </si>
  <si>
    <t>R361</t>
  </si>
  <si>
    <t>RMN 361</t>
  </si>
  <si>
    <t>R377</t>
  </si>
  <si>
    <t>TB. BERAU COAL 67 / BG. ROBBY 377</t>
  </si>
  <si>
    <t>YDA 6746</t>
  </si>
  <si>
    <t>27/02/2025 12:06</t>
  </si>
  <si>
    <t>RB86</t>
  </si>
  <si>
    <t>TB. BERAU COAL 58 / BG. ROBBY 86</t>
  </si>
  <si>
    <t>YDA 6291</t>
  </si>
  <si>
    <t>15/05/2023 13:01</t>
  </si>
  <si>
    <t>RBYT</t>
  </si>
  <si>
    <t>MV. RUBAIYAT HANIF</t>
  </si>
  <si>
    <t>52ERZ</t>
  </si>
  <si>
    <t>20/01/2025 12:48</t>
  </si>
  <si>
    <t>RDC5</t>
  </si>
  <si>
    <t>TB. RADIANCE 5 / BG. AZAMARA 15</t>
  </si>
  <si>
    <t>YDB4028</t>
  </si>
  <si>
    <t>19/12/2024 09:16</t>
  </si>
  <si>
    <t>RKPM</t>
  </si>
  <si>
    <t>MV. ROKAN PERMAI</t>
  </si>
  <si>
    <t>YEZY</t>
  </si>
  <si>
    <t>RMNK</t>
  </si>
  <si>
    <t>RMN 316, TK / KSA 68, TB</t>
  </si>
  <si>
    <t>13/02/2022 16:19</t>
  </si>
  <si>
    <t>RMYY</t>
  </si>
  <si>
    <t>MV REMY ENTERPRISE</t>
  </si>
  <si>
    <t>3ELR7</t>
  </si>
  <si>
    <t>05/12/2024 18:52</t>
  </si>
  <si>
    <t>ROYY</t>
  </si>
  <si>
    <t>MV. ROYAL PEACE</t>
  </si>
  <si>
    <t>YCYJ2</t>
  </si>
  <si>
    <t>22/10/2024 13:42</t>
  </si>
  <si>
    <t>RPCE</t>
  </si>
  <si>
    <t>31/12/2023 21:08</t>
  </si>
  <si>
    <t>RPRA</t>
  </si>
  <si>
    <t>RIZKY PUTRA. KLM</t>
  </si>
  <si>
    <t>10/03/2022 15:34</t>
  </si>
  <si>
    <t>RRCE</t>
  </si>
  <si>
    <t>RED RESOURCE</t>
  </si>
  <si>
    <t>PLAF</t>
  </si>
  <si>
    <t>RRER</t>
  </si>
  <si>
    <t>RED ROVER</t>
  </si>
  <si>
    <t>POWJ</t>
  </si>
  <si>
    <t>RS20</t>
  </si>
  <si>
    <t>RAKA SURYA 2.0</t>
  </si>
  <si>
    <t>POJZ</t>
  </si>
  <si>
    <t>RSAH</t>
  </si>
  <si>
    <t>RATU SYAHRAH</t>
  </si>
  <si>
    <t>RYGL</t>
  </si>
  <si>
    <t>MV. ROYAL GLORY</t>
  </si>
  <si>
    <t>YDIZ3</t>
  </si>
  <si>
    <t>28/07/2024 09:18</t>
  </si>
  <si>
    <t>RYLP</t>
  </si>
  <si>
    <t>MV ROYAL PEACE</t>
  </si>
  <si>
    <t>RYNI</t>
  </si>
  <si>
    <t>RATU YAMANI</t>
  </si>
  <si>
    <t>PNXX</t>
  </si>
  <si>
    <t>RZHA</t>
  </si>
  <si>
    <t>RATU ZULAIKHA</t>
  </si>
  <si>
    <t>JZML</t>
  </si>
  <si>
    <t>RZKY</t>
  </si>
  <si>
    <t>KLM. REZKY PUTRA</t>
  </si>
  <si>
    <t>09/01/2023 08:38</t>
  </si>
  <si>
    <t>S-05</t>
  </si>
  <si>
    <t>SANJAYA - 05</t>
  </si>
  <si>
    <t>J Z X T</t>
  </si>
  <si>
    <t>S-07</t>
  </si>
  <si>
    <t>SENGETI/PERTAMINA - 3007</t>
  </si>
  <si>
    <t>YDXX</t>
  </si>
  <si>
    <t>S-0I</t>
  </si>
  <si>
    <t>SERASI - I</t>
  </si>
  <si>
    <t>JELAJAH LAUT NUSANTARA, PT</t>
  </si>
  <si>
    <t>YDOJ</t>
  </si>
  <si>
    <t>07/12/2017 12:50</t>
  </si>
  <si>
    <t>S-10</t>
  </si>
  <si>
    <t>SINDANG/PERTAMINA - 3010</t>
  </si>
  <si>
    <t>YDXQ</t>
  </si>
  <si>
    <t>S-XV</t>
  </si>
  <si>
    <t>SADP - XXV</t>
  </si>
  <si>
    <t>YD 6486</t>
  </si>
  <si>
    <t>S001</t>
  </si>
  <si>
    <t>SANJAYA 01</t>
  </si>
  <si>
    <t>PNWU</t>
  </si>
  <si>
    <t>S005</t>
  </si>
  <si>
    <t>SERAFINE 05</t>
  </si>
  <si>
    <t>S110</t>
  </si>
  <si>
    <t>SUPER 10</t>
  </si>
  <si>
    <t>JZSP</t>
  </si>
  <si>
    <t>S112</t>
  </si>
  <si>
    <t>TB SELAMAT 12/BG SELAMAT 9</t>
  </si>
  <si>
    <t>YDA6888</t>
  </si>
  <si>
    <t>S114</t>
  </si>
  <si>
    <t>STB 14</t>
  </si>
  <si>
    <t>PMPD</t>
  </si>
  <si>
    <t>22/08/2024 14:30</t>
  </si>
  <si>
    <t>S168</t>
  </si>
  <si>
    <t>KM. SIP 168</t>
  </si>
  <si>
    <t>YDQF3</t>
  </si>
  <si>
    <t>06/11/2024 10:20</t>
  </si>
  <si>
    <t>S201</t>
  </si>
  <si>
    <t>SEBASTIAN 2701</t>
  </si>
  <si>
    <t>S202</t>
  </si>
  <si>
    <t>SEBASTIAN 2401</t>
  </si>
  <si>
    <t>S203</t>
  </si>
  <si>
    <t>SP 2201</t>
  </si>
  <si>
    <t>S207</t>
  </si>
  <si>
    <t>KM. SENTOSA 207</t>
  </si>
  <si>
    <t>PNZF</t>
  </si>
  <si>
    <t>19/01/2025 05:38</t>
  </si>
  <si>
    <t>S216</t>
  </si>
  <si>
    <t>SSS 23316</t>
  </si>
  <si>
    <t>07/12/2017 14:48</t>
  </si>
  <si>
    <t>S227</t>
  </si>
  <si>
    <t>SAMUGARA 27</t>
  </si>
  <si>
    <t>POUL</t>
  </si>
  <si>
    <t>S2BL</t>
  </si>
  <si>
    <t>MV. SUPER ROYAL</t>
  </si>
  <si>
    <t>S2BL2</t>
  </si>
  <si>
    <t>08/11/2024 18:55</t>
  </si>
  <si>
    <t>S303</t>
  </si>
  <si>
    <t>ST.KAMBRIA 3</t>
  </si>
  <si>
    <t>YBDN2</t>
  </si>
  <si>
    <t>S304</t>
  </si>
  <si>
    <t>SELWYN 3</t>
  </si>
  <si>
    <t>YDA6634</t>
  </si>
  <si>
    <t>S305</t>
  </si>
  <si>
    <t>SEBASTIAN 303</t>
  </si>
  <si>
    <t>S307</t>
  </si>
  <si>
    <t>TB. SYUKUR 30 / BG. SYUKUR 07</t>
  </si>
  <si>
    <t>24/02/2023 17:25</t>
  </si>
  <si>
    <t>S312</t>
  </si>
  <si>
    <t>SOEKAWATI 312</t>
  </si>
  <si>
    <t>S330</t>
  </si>
  <si>
    <t>SEJAHTERA 30</t>
  </si>
  <si>
    <t>POBX</t>
  </si>
  <si>
    <t>30/04/2025 09:14</t>
  </si>
  <si>
    <t>S332</t>
  </si>
  <si>
    <t>SEJAHTERA 32</t>
  </si>
  <si>
    <t>POHM</t>
  </si>
  <si>
    <t>16/01/2024 10:02</t>
  </si>
  <si>
    <t>S442</t>
  </si>
  <si>
    <t>MV AKIJ OCEAN</t>
  </si>
  <si>
    <t>S808</t>
  </si>
  <si>
    <t>TB. TENANG 1601 / BG. SOEKAWATI 808</t>
  </si>
  <si>
    <t>YD5129</t>
  </si>
  <si>
    <t>21/09/2023 14:08</t>
  </si>
  <si>
    <t>SA01</t>
  </si>
  <si>
    <t>KM. SEGARA ANAK 1</t>
  </si>
  <si>
    <t>JZWA</t>
  </si>
  <si>
    <t>12/04/2025 09:58</t>
  </si>
  <si>
    <t>SAAN</t>
  </si>
  <si>
    <t>MV. SARWAR JAHAN</t>
  </si>
  <si>
    <t>23/02/2024 11:05</t>
  </si>
  <si>
    <t>SAAU</t>
  </si>
  <si>
    <t>SANGGAU</t>
  </si>
  <si>
    <t>YBIF2</t>
  </si>
  <si>
    <t>SAKI</t>
  </si>
  <si>
    <t>MV. SAKTI</t>
  </si>
  <si>
    <t>PNSL</t>
  </si>
  <si>
    <t>22/05/2024 16:29</t>
  </si>
  <si>
    <t>SANA</t>
  </si>
  <si>
    <t>SANANA</t>
  </si>
  <si>
    <t>YBJ02</t>
  </si>
  <si>
    <t>02/11/2017 11:54</t>
  </si>
  <si>
    <t>SBAN</t>
  </si>
  <si>
    <t>SINAR BUSAN</t>
  </si>
  <si>
    <t>POEL</t>
  </si>
  <si>
    <t>SBRA</t>
  </si>
  <si>
    <t>SWARNA BAHTERA</t>
  </si>
  <si>
    <t>POKG</t>
  </si>
  <si>
    <t>29/10/2017 02:07</t>
  </si>
  <si>
    <t>SC68</t>
  </si>
  <si>
    <t>SUMBER CAHAYA  68</t>
  </si>
  <si>
    <t>PMWS</t>
  </si>
  <si>
    <t>SCII</t>
  </si>
  <si>
    <t>SOECHI CHEMICAL VII</t>
  </si>
  <si>
    <t>YHTH</t>
  </si>
  <si>
    <t>SCIO</t>
  </si>
  <si>
    <t>SCORPIO</t>
  </si>
  <si>
    <t>henky@agen.com</t>
  </si>
  <si>
    <t>15/09/2021 16:34</t>
  </si>
  <si>
    <t>SCLV</t>
  </si>
  <si>
    <t>SC CHAMPION XLV</t>
  </si>
  <si>
    <t>PLLP</t>
  </si>
  <si>
    <t>SCRA</t>
  </si>
  <si>
    <t>SPIL CITRA</t>
  </si>
  <si>
    <t>YBSU2</t>
  </si>
  <si>
    <t>SCY1</t>
  </si>
  <si>
    <t>SPIL CAYA</t>
  </si>
  <si>
    <t>YBRY2</t>
  </si>
  <si>
    <t>SD03</t>
  </si>
  <si>
    <t>TB. SEA DRAGON 03 / BG. SEA DRAGON 303</t>
  </si>
  <si>
    <t>06/03/2024 10:58</t>
  </si>
  <si>
    <t>SD07</t>
  </si>
  <si>
    <t>TB. SAFARI 07 / BG. DAHLIA SAMUDERA 07</t>
  </si>
  <si>
    <t>31/01/2025 14:20</t>
  </si>
  <si>
    <t>SDI1</t>
  </si>
  <si>
    <t>SUCCESS DALIA XLVIII</t>
  </si>
  <si>
    <t>YBDG2</t>
  </si>
  <si>
    <t>SDII</t>
  </si>
  <si>
    <t>SENTOSA DAYA - III</t>
  </si>
  <si>
    <t>YD 4317</t>
  </si>
  <si>
    <t>SEAN</t>
  </si>
  <si>
    <t>SEBASTIAN</t>
  </si>
  <si>
    <t>SEER</t>
  </si>
  <si>
    <t>SMS EXPLORER</t>
  </si>
  <si>
    <t>ENERGY MARINE INDONESIA, PT</t>
  </si>
  <si>
    <t>PORI</t>
  </si>
  <si>
    <t>SEI1</t>
  </si>
  <si>
    <t>SC ESTEEM LII</t>
  </si>
  <si>
    <t>YBPZ2</t>
  </si>
  <si>
    <t>SEII</t>
  </si>
  <si>
    <t>SC EXPLORER LIII</t>
  </si>
  <si>
    <t>YBRI2</t>
  </si>
  <si>
    <t>05/10/2017 23:50</t>
  </si>
  <si>
    <t>SEJA</t>
  </si>
  <si>
    <t>KM SEJAHTERA 32</t>
  </si>
  <si>
    <t>13/11/2024 08:19</t>
  </si>
  <si>
    <t>SELV</t>
  </si>
  <si>
    <t>SC EXPRESS LV</t>
  </si>
  <si>
    <t>YBQB2</t>
  </si>
  <si>
    <t>SEUI</t>
  </si>
  <si>
    <t>SERUI</t>
  </si>
  <si>
    <t>YBJR2</t>
  </si>
  <si>
    <t>SF11</t>
  </si>
  <si>
    <t>TB. SAFARI 11 / BG. AMANAH 11</t>
  </si>
  <si>
    <t>YDB6947</t>
  </si>
  <si>
    <t>12/11/2024 07:49</t>
  </si>
  <si>
    <t>SG01</t>
  </si>
  <si>
    <t>SEA GOOD 101</t>
  </si>
  <si>
    <t>POMF</t>
  </si>
  <si>
    <t>SG70</t>
  </si>
  <si>
    <t>TB. PATRIA 36 / BG. SEGARA 70</t>
  </si>
  <si>
    <t>04/06/2024 10:26</t>
  </si>
  <si>
    <t>SGA2</t>
  </si>
  <si>
    <t>KM. SEGARA ANAK 2</t>
  </si>
  <si>
    <t>JZVG</t>
  </si>
  <si>
    <t>22/11/2024 16:10</t>
  </si>
  <si>
    <t>SGBU</t>
  </si>
  <si>
    <t>KM. SEGARA IBU</t>
  </si>
  <si>
    <t>JZVZ</t>
  </si>
  <si>
    <t>17/11/2023 08:12</t>
  </si>
  <si>
    <t>SH78</t>
  </si>
  <si>
    <t>KM. SINAR HARAPAN 78</t>
  </si>
  <si>
    <t>YGZX</t>
  </si>
  <si>
    <t>04/01/2024 23:21</t>
  </si>
  <si>
    <t>SHHI</t>
  </si>
  <si>
    <t>MV. SHENG HE HAI</t>
  </si>
  <si>
    <t>BIBJ7</t>
  </si>
  <si>
    <t>23/05/2022 13:58</t>
  </si>
  <si>
    <t>SHIN</t>
  </si>
  <si>
    <t>SHINPO</t>
  </si>
  <si>
    <t>SHKM</t>
  </si>
  <si>
    <t>27/02/2025 16:55</t>
  </si>
  <si>
    <t>SHNI</t>
  </si>
  <si>
    <t>MV. SHINEI</t>
  </si>
  <si>
    <t>04/11/2023 10:17</t>
  </si>
  <si>
    <t>SHTA</t>
  </si>
  <si>
    <t>SHINTA</t>
  </si>
  <si>
    <t>PMIS</t>
  </si>
  <si>
    <t>SI02</t>
  </si>
  <si>
    <t>SURYA INDAH 2</t>
  </si>
  <si>
    <t>PNSY</t>
  </si>
  <si>
    <t>SIAK</t>
  </si>
  <si>
    <t>TB. SBA 01 / BG. SIAK BAHAGIA</t>
  </si>
  <si>
    <t>YD3626</t>
  </si>
  <si>
    <t>31/07/2023 21:35</t>
  </si>
  <si>
    <t>SIIA</t>
  </si>
  <si>
    <t>SRIKANDI INDONESIA</t>
  </si>
  <si>
    <t>YGHI</t>
  </si>
  <si>
    <t>SIII</t>
  </si>
  <si>
    <t>SERASI III</t>
  </si>
  <si>
    <t>PMXN</t>
  </si>
  <si>
    <t>SINE</t>
  </si>
  <si>
    <t>MV SHINEI</t>
  </si>
  <si>
    <t>PONG</t>
  </si>
  <si>
    <t>20/10/2023 08:50</t>
  </si>
  <si>
    <t>SIRH</t>
  </si>
  <si>
    <t>MV. SIRRAH</t>
  </si>
  <si>
    <t>3EKH4</t>
  </si>
  <si>
    <t>23/03/2022 14:25</t>
  </si>
  <si>
    <t>SIT2</t>
  </si>
  <si>
    <t>KM TRIFOSA</t>
  </si>
  <si>
    <t>YDHY</t>
  </si>
  <si>
    <t>24/03/2022 17:09</t>
  </si>
  <si>
    <t>SJ02</t>
  </si>
  <si>
    <t>SENTOSA JAYA 2501</t>
  </si>
  <si>
    <t>10/01/2023 15:47</t>
  </si>
  <si>
    <t>SJ28</t>
  </si>
  <si>
    <t>KM. SEJAHTERA 28</t>
  </si>
  <si>
    <t>PODF</t>
  </si>
  <si>
    <t>01/02/2023 17:24</t>
  </si>
  <si>
    <t>SJLM</t>
  </si>
  <si>
    <t>SUMBER JAYA 02, KLM</t>
  </si>
  <si>
    <t>22/01/2023 11:59</t>
  </si>
  <si>
    <t>SJOR</t>
  </si>
  <si>
    <t>SINAR JOHOR</t>
  </si>
  <si>
    <t>PMMS</t>
  </si>
  <si>
    <t>SK61</t>
  </si>
  <si>
    <t>TB. SYUKUR 01 / BG. SYUKUR 61</t>
  </si>
  <si>
    <t>YD6339</t>
  </si>
  <si>
    <t>SL03</t>
  </si>
  <si>
    <t>TB. SEA LION 03 / BG. WALRUS 2703</t>
  </si>
  <si>
    <t>27/04/2023 11:55</t>
  </si>
  <si>
    <t>SL68</t>
  </si>
  <si>
    <t>TB. SATRIA LAKSANA 268 / BG. SATRIA LAUT 25468</t>
  </si>
  <si>
    <t>YDA6718</t>
  </si>
  <si>
    <t>SL98</t>
  </si>
  <si>
    <t>TB. SATRIA LAKSANA 98 / BG. SATRIA LAUT 3098</t>
  </si>
  <si>
    <t>28/11/2023 15:56</t>
  </si>
  <si>
    <t>SLAN</t>
  </si>
  <si>
    <t>SINAR LABUAN</t>
  </si>
  <si>
    <t>PMST</t>
  </si>
  <si>
    <t>SLER</t>
  </si>
  <si>
    <t>SUMATERA LEADER</t>
  </si>
  <si>
    <t>POJW</t>
  </si>
  <si>
    <t>07/12/2017 13:39</t>
  </si>
  <si>
    <t>SLI1</t>
  </si>
  <si>
    <t>MV SWADAYA LESTARI I</t>
  </si>
  <si>
    <t>31/07/2023 12:00</t>
  </si>
  <si>
    <t>SLNI</t>
  </si>
  <si>
    <t>SURYANI LADJONI</t>
  </si>
  <si>
    <t>Y D O K</t>
  </si>
  <si>
    <t>09/09/2023 15:15</t>
  </si>
  <si>
    <t>SLUT</t>
  </si>
  <si>
    <t>SINGGASANA LAUT</t>
  </si>
  <si>
    <t>PNQX</t>
  </si>
  <si>
    <t>SLWA</t>
  </si>
  <si>
    <t>TB. GONAYA XIV / BG. SALWA</t>
  </si>
  <si>
    <t>13/03/2024 09:42</t>
  </si>
  <si>
    <t>SM01</t>
  </si>
  <si>
    <t>PMTC</t>
  </si>
  <si>
    <t>18/05/2024 08:08</t>
  </si>
  <si>
    <t>SM24</t>
  </si>
  <si>
    <t>TB. KIETRANS 25 / BG. STAR MARINE 3024</t>
  </si>
  <si>
    <t>08/05/2023 14:54</t>
  </si>
  <si>
    <t>SM31</t>
  </si>
  <si>
    <t>TB. GRACE 01 / BG. SIM 3001</t>
  </si>
  <si>
    <t>08/03/2023 09:46</t>
  </si>
  <si>
    <t>SM32</t>
  </si>
  <si>
    <t>TB. KIETRANS 32 / BG. STAR MARINE 3032</t>
  </si>
  <si>
    <t>03/04/2023 09:38</t>
  </si>
  <si>
    <t>SM33</t>
  </si>
  <si>
    <t>TB. KIETRANS 27/BG. STAR MARINE 3033</t>
  </si>
  <si>
    <t>YDA3300</t>
  </si>
  <si>
    <t>24/03/2024 17:12</t>
  </si>
  <si>
    <t>SMAS</t>
  </si>
  <si>
    <t>SAMUDERA MAS</t>
  </si>
  <si>
    <t>PKGW</t>
  </si>
  <si>
    <t>SMIN</t>
  </si>
  <si>
    <t>SJW MOUNTAIN</t>
  </si>
  <si>
    <t>YDHJ2</t>
  </si>
  <si>
    <t>Deutsche Jerman</t>
  </si>
  <si>
    <t>SMP8</t>
  </si>
  <si>
    <t>KM. SAMUDRA PERKASA 8</t>
  </si>
  <si>
    <t>SMRU</t>
  </si>
  <si>
    <t>SANYO MARU</t>
  </si>
  <si>
    <t>YD8034</t>
  </si>
  <si>
    <t>21/11/2017 18:58</t>
  </si>
  <si>
    <t>SN01</t>
  </si>
  <si>
    <t>KM. SATRIA NUSANTARA 01</t>
  </si>
  <si>
    <t>YDST</t>
  </si>
  <si>
    <t>17/07/2023 13:17</t>
  </si>
  <si>
    <t>SN37</t>
  </si>
  <si>
    <t>SABUK NUSANTARA 37</t>
  </si>
  <si>
    <t>JZTK</t>
  </si>
  <si>
    <t>01/04/2022 20:36</t>
  </si>
  <si>
    <t>SNEN</t>
  </si>
  <si>
    <t>SPIL NIKEN</t>
  </si>
  <si>
    <t>YBUP2</t>
  </si>
  <si>
    <t>SNIH</t>
  </si>
  <si>
    <t>SPIL NINGSIH</t>
  </si>
  <si>
    <t>YBUO2</t>
  </si>
  <si>
    <t>SNP1</t>
  </si>
  <si>
    <t>KM. SINAR PRIMA 1</t>
  </si>
  <si>
    <t>PKYG</t>
  </si>
  <si>
    <t>20/08/2024 14:19</t>
  </si>
  <si>
    <t>SNR1</t>
  </si>
  <si>
    <t>TB. SINAR RIAU 01 / BG. SAMUDERA JAYA 3001</t>
  </si>
  <si>
    <t>YDC4412</t>
  </si>
  <si>
    <t>15/11/2022 11:36</t>
  </si>
  <si>
    <t>SNRA</t>
  </si>
  <si>
    <t>SANTIKA NUSANTARA</t>
  </si>
  <si>
    <t>POWQ</t>
  </si>
  <si>
    <t>SNTI</t>
  </si>
  <si>
    <t>SUMBER NABATI</t>
  </si>
  <si>
    <t>SOAL</t>
  </si>
  <si>
    <t>MV. STAR ROYAL</t>
  </si>
  <si>
    <t>13/02/2024 08:23</t>
  </si>
  <si>
    <t>SP01</t>
  </si>
  <si>
    <t>SINAR PAGI - 01</t>
  </si>
  <si>
    <t>YCCA</t>
  </si>
  <si>
    <t>SP88</t>
  </si>
  <si>
    <t>KM. SINAR PAPUA 88</t>
  </si>
  <si>
    <t>29/10/2024 10:50</t>
  </si>
  <si>
    <t>SPAR</t>
  </si>
  <si>
    <t>IDOLA KITA</t>
  </si>
  <si>
    <t>19/02/2022 11:33</t>
  </si>
  <si>
    <t>SPL1</t>
  </si>
  <si>
    <t>SULAWESI PALM</t>
  </si>
  <si>
    <t>PNHO</t>
  </si>
  <si>
    <t>SPLA</t>
  </si>
  <si>
    <t>SURYA PUTRA. KLM</t>
  </si>
  <si>
    <t>17/01/2023 16:49</t>
  </si>
  <si>
    <t>SPLM</t>
  </si>
  <si>
    <t>SUMATRA PALM</t>
  </si>
  <si>
    <t>PORK</t>
  </si>
  <si>
    <t>SPMA</t>
  </si>
  <si>
    <t>SAMUDRA PRATAMA</t>
  </si>
  <si>
    <t>SINAR SAMUDRA TRIPRATAMA, PT</t>
  </si>
  <si>
    <t>YFMD</t>
  </si>
  <si>
    <t>SPMS</t>
  </si>
  <si>
    <t>KM. SINAR PERMATASARI</t>
  </si>
  <si>
    <t>PMPN</t>
  </si>
  <si>
    <t>05/09/2024 09:16</t>
  </si>
  <si>
    <t>SPRL</t>
  </si>
  <si>
    <t>MV SUPER ROYAL</t>
  </si>
  <si>
    <t>31/10/2024 16:29</t>
  </si>
  <si>
    <t>SPSI</t>
  </si>
  <si>
    <t>SOECHI PRESTASI</t>
  </si>
  <si>
    <t>SR36</t>
  </si>
  <si>
    <t>SEA ROYAL 36</t>
  </si>
  <si>
    <t>SRAG</t>
  </si>
  <si>
    <t>KM. SARANA ANUGRAH</t>
  </si>
  <si>
    <t>YBMA</t>
  </si>
  <si>
    <t>10/06/2022 11:25</t>
  </si>
  <si>
    <t>SRB8</t>
  </si>
  <si>
    <t>TB. VARUNA 01 / BG. SR B 118</t>
  </si>
  <si>
    <t>YDA6285</t>
  </si>
  <si>
    <t>07/10/2024 09:36</t>
  </si>
  <si>
    <t>SRDI</t>
  </si>
  <si>
    <t>SRIKANDI</t>
  </si>
  <si>
    <t>PMHR</t>
  </si>
  <si>
    <t>SRNA</t>
  </si>
  <si>
    <t>KM SARANA ANUGERAH</t>
  </si>
  <si>
    <t>10/06/2022 11:22</t>
  </si>
  <si>
    <t>SRWR</t>
  </si>
  <si>
    <t>MV AISHA SARWAR</t>
  </si>
  <si>
    <t>10/01/2025 13:27</t>
  </si>
  <si>
    <t>SRY8</t>
  </si>
  <si>
    <t>KM. SAMUDERA RAYA 8</t>
  </si>
  <si>
    <t>YDFY3</t>
  </si>
  <si>
    <t>24/06/2024 15:04</t>
  </si>
  <si>
    <t>SS05</t>
  </si>
  <si>
    <t>SATIA SAMUDERA 05</t>
  </si>
  <si>
    <t>YDA6345</t>
  </si>
  <si>
    <t>SS06</t>
  </si>
  <si>
    <t>SATIA SAMUDERA 06</t>
  </si>
  <si>
    <t>SS07</t>
  </si>
  <si>
    <t>SEGARA SEJATI 6</t>
  </si>
  <si>
    <t>YD5189</t>
  </si>
  <si>
    <t>30/10/2017 19:19</t>
  </si>
  <si>
    <t>SS08</t>
  </si>
  <si>
    <t>SVS STAR 2</t>
  </si>
  <si>
    <t>YDB 6519</t>
  </si>
  <si>
    <t>SS09</t>
  </si>
  <si>
    <t>SVS STAR 5</t>
  </si>
  <si>
    <t>YDB 6666</t>
  </si>
  <si>
    <t>SS96</t>
  </si>
  <si>
    <t>TB.SATIA SAMUDERA 09/BG.SATIA SAMUDERA 06</t>
  </si>
  <si>
    <t>YDA 6633</t>
  </si>
  <si>
    <t>sukamto@sig.id</t>
  </si>
  <si>
    <t>12/10/2022 10:00</t>
  </si>
  <si>
    <t>SSRA</t>
  </si>
  <si>
    <t>SAPTA SAMUDRA</t>
  </si>
  <si>
    <t>PNBE</t>
  </si>
  <si>
    <t>ST36</t>
  </si>
  <si>
    <t>30/11/2024 09:11</t>
  </si>
  <si>
    <t>STB2</t>
  </si>
  <si>
    <t>KM. STB 22</t>
  </si>
  <si>
    <t>YCOU2</t>
  </si>
  <si>
    <t>10/08/2024 18:03</t>
  </si>
  <si>
    <t>STB3</t>
  </si>
  <si>
    <t>KM. STB 30</t>
  </si>
  <si>
    <t>YCMX2</t>
  </si>
  <si>
    <t>26/03/2024 14:54</t>
  </si>
  <si>
    <t>STL8</t>
  </si>
  <si>
    <t>TB. SATRIA LAKSANA 8 / BG. MJL 3016</t>
  </si>
  <si>
    <t>YDA6809</t>
  </si>
  <si>
    <t>STNS</t>
  </si>
  <si>
    <t>KM. SJW TRANS</t>
  </si>
  <si>
    <t>P O M C</t>
  </si>
  <si>
    <t>13/12/2024 10:29</t>
  </si>
  <si>
    <t>STRC</t>
  </si>
  <si>
    <t>MV STAR CLEO</t>
  </si>
  <si>
    <t>5LUD9</t>
  </si>
  <si>
    <t>04/05/2025 17:23</t>
  </si>
  <si>
    <t>STS7</t>
  </si>
  <si>
    <t>19/01/2025 05:39</t>
  </si>
  <si>
    <t>STSJ</t>
  </si>
  <si>
    <t>MV. STAR SEJATI</t>
  </si>
  <si>
    <t>PMGA</t>
  </si>
  <si>
    <t>18/04/2022 08:50</t>
  </si>
  <si>
    <t>STSM</t>
  </si>
  <si>
    <t>TB. MEDELIN OCEAN / BG. SENTANA SAMUDRA</t>
  </si>
  <si>
    <t>YDA 6295</t>
  </si>
  <si>
    <t>STTY</t>
  </si>
  <si>
    <t>SHIP TRINITY</t>
  </si>
  <si>
    <t>YBWF2</t>
  </si>
  <si>
    <t>SUCA</t>
  </si>
  <si>
    <t>SUMBER CAHAYA 88</t>
  </si>
  <si>
    <t>SUM1</t>
  </si>
  <si>
    <t>KLM. SURGA MULYA III</t>
  </si>
  <si>
    <t>06/06/2024 12:42</t>
  </si>
  <si>
    <t>SUMI</t>
  </si>
  <si>
    <t>SELVI UTAMI</t>
  </si>
  <si>
    <t>YHWE</t>
  </si>
  <si>
    <t>SUMU</t>
  </si>
  <si>
    <t>KM.SUNLY SAMUDERA</t>
  </si>
  <si>
    <t>POLP</t>
  </si>
  <si>
    <t>09/06/2023 19:41</t>
  </si>
  <si>
    <t>SUNG</t>
  </si>
  <si>
    <t>SUNGKIANG</t>
  </si>
  <si>
    <t>VRTj2</t>
  </si>
  <si>
    <t>26/08/2022 16:45</t>
  </si>
  <si>
    <t>SUST</t>
  </si>
  <si>
    <t>MV. SUNDA STRAIT</t>
  </si>
  <si>
    <t>YDSN2</t>
  </si>
  <si>
    <t>08/08/2024 13:35</t>
  </si>
  <si>
    <t>SUYA</t>
  </si>
  <si>
    <t>SURALAYA</t>
  </si>
  <si>
    <t>YD 4536</t>
  </si>
  <si>
    <t>SV0V</t>
  </si>
  <si>
    <t>SEROJA V</t>
  </si>
  <si>
    <t>POOR</t>
  </si>
  <si>
    <t>SVII</t>
  </si>
  <si>
    <t>SEROJA VII</t>
  </si>
  <si>
    <t>JZGO</t>
  </si>
  <si>
    <t>SW0L</t>
  </si>
  <si>
    <t>SC WARRIOR L</t>
  </si>
  <si>
    <t>YBEG2</t>
  </si>
  <si>
    <t>SWAH</t>
  </si>
  <si>
    <t>MV SAWAHLUNTO</t>
  </si>
  <si>
    <t>JZNM</t>
  </si>
  <si>
    <t>15/05/2025 14:20</t>
  </si>
  <si>
    <t>SWJM</t>
  </si>
  <si>
    <t>MV. SJW MOUNTAIN</t>
  </si>
  <si>
    <t>27/10/2022 12:07</t>
  </si>
  <si>
    <t>SXIX</t>
  </si>
  <si>
    <t>KM. SHORYU XIX</t>
  </si>
  <si>
    <t>POHC</t>
  </si>
  <si>
    <t>31/10/2022 14:38</t>
  </si>
  <si>
    <t>SY06</t>
  </si>
  <si>
    <t>TB. SYUKUR 23 / BG. SYUKUR 06</t>
  </si>
  <si>
    <t>20/12/2022 09:42</t>
  </si>
  <si>
    <t>SY11</t>
  </si>
  <si>
    <t>TB. SYUKUR 11 / BG. SYUKUR 06</t>
  </si>
  <si>
    <t>23/10/2024 16:12</t>
  </si>
  <si>
    <t>SY27</t>
  </si>
  <si>
    <t>KM. SHORYU XXVII</t>
  </si>
  <si>
    <t>PMVG</t>
  </si>
  <si>
    <t>12/03/2022 13:28</t>
  </si>
  <si>
    <t>SY29</t>
  </si>
  <si>
    <t>TB. SYUKUR 30 / BG. SYUKUR 29</t>
  </si>
  <si>
    <t>YDA6535</t>
  </si>
  <si>
    <t>11/05/2024 09:43</t>
  </si>
  <si>
    <t>SY47</t>
  </si>
  <si>
    <t>TB. SYUKUR 45 / BG. SYUKUR 47</t>
  </si>
  <si>
    <t>YDB6809</t>
  </si>
  <si>
    <t>12/10/2023 10:07</t>
  </si>
  <si>
    <t>SY51</t>
  </si>
  <si>
    <t>TB. SYUKUR 51 / BG. SYUKUR 57</t>
  </si>
  <si>
    <t>YDB6945</t>
  </si>
  <si>
    <t>28/02/2025 14:33</t>
  </si>
  <si>
    <t>SY61</t>
  </si>
  <si>
    <t>TB. SYUKUR 03 / BG. SYUKUR 61</t>
  </si>
  <si>
    <t>26/06/2023 13:17</t>
  </si>
  <si>
    <t>SY62</t>
  </si>
  <si>
    <t>TB. SYUKUR 62 / BG. SYUKUR 09</t>
  </si>
  <si>
    <t>YDC6144</t>
  </si>
  <si>
    <t>SY72</t>
  </si>
  <si>
    <t>TB. SYUKUR 72 / BG. SYUKUR 79</t>
  </si>
  <si>
    <t>YDC6398</t>
  </si>
  <si>
    <t>29/04/2025 09:49</t>
  </si>
  <si>
    <t>SY75</t>
  </si>
  <si>
    <t>TB. SYUKUR 75 / BG. SYUKUR 115</t>
  </si>
  <si>
    <t>YDC6496</t>
  </si>
  <si>
    <t>17/09/2024 11:01</t>
  </si>
  <si>
    <t>SY78</t>
  </si>
  <si>
    <t>TB. SYUKUR 78 / BG. SYUKUR 53</t>
  </si>
  <si>
    <t>YDC6489</t>
  </si>
  <si>
    <t>21/04/2025 10:10</t>
  </si>
  <si>
    <t>SY79</t>
  </si>
  <si>
    <t>KM. SHORYU 79</t>
  </si>
  <si>
    <t>JZHF</t>
  </si>
  <si>
    <t>06/01/2024 14:56</t>
  </si>
  <si>
    <t>SY80</t>
  </si>
  <si>
    <t>TB. SYUKUR 52 / BG. SYUKUR 80</t>
  </si>
  <si>
    <t>05/03/2025 15:53</t>
  </si>
  <si>
    <t>SYLM</t>
  </si>
  <si>
    <t>SURGA YUNITA. KLM</t>
  </si>
  <si>
    <t>13/12/2022 18:41</t>
  </si>
  <si>
    <t>SYPP</t>
  </si>
  <si>
    <t>KM. SURYA PAPUA</t>
  </si>
  <si>
    <t>YDIO</t>
  </si>
  <si>
    <t>18/01/2024 14:48</t>
  </si>
  <si>
    <t>SYSY</t>
  </si>
  <si>
    <t>SYUKUR 09, TK / SYUKUR 32, TB</t>
  </si>
  <si>
    <t>13/02/2022 17:18</t>
  </si>
  <si>
    <t>SYUK</t>
  </si>
  <si>
    <t>BG. SYUKUR 115 / TB. SYUKUR 11</t>
  </si>
  <si>
    <t>11/02/2022 10:18</t>
  </si>
  <si>
    <t>SYUP</t>
  </si>
  <si>
    <t>KM. SHORYU PERMAI</t>
  </si>
  <si>
    <t>POXD</t>
  </si>
  <si>
    <t>T-09</t>
  </si>
  <si>
    <t>TASHI - 2</t>
  </si>
  <si>
    <t>YDB 6447</t>
  </si>
  <si>
    <t>T-IX</t>
  </si>
  <si>
    <t>KM TL - IX</t>
  </si>
  <si>
    <t>23/03/2022 13:37</t>
  </si>
  <si>
    <t>T002</t>
  </si>
  <si>
    <t>TB. OCEANIC 2 / BG. AZAMARA 2</t>
  </si>
  <si>
    <t>YDB6047</t>
  </si>
  <si>
    <t>03/09/2024 07:52</t>
  </si>
  <si>
    <t>T003</t>
  </si>
  <si>
    <t>TB. OCEAN MASTER 102 / BG. PELICAN 302</t>
  </si>
  <si>
    <t>YDA4879</t>
  </si>
  <si>
    <t>27/04/2025 15:38</t>
  </si>
  <si>
    <t>T023</t>
  </si>
  <si>
    <t>TB. OCEAN MASTER 101/BG. AZAMARA 23</t>
  </si>
  <si>
    <t>12/05/2025 08:19</t>
  </si>
  <si>
    <t>T032</t>
  </si>
  <si>
    <t>TB. OCEANUS 202 / BG. OCENAUS 32</t>
  </si>
  <si>
    <t>YDB4292</t>
  </si>
  <si>
    <t>13/02/2025 21:36</t>
  </si>
  <si>
    <t>T168</t>
  </si>
  <si>
    <t>KM. BUNGA TERATAI 168</t>
  </si>
  <si>
    <t>YDWW2</t>
  </si>
  <si>
    <t>06/10/2023 14:57</t>
  </si>
  <si>
    <t>T202</t>
  </si>
  <si>
    <t>TAREX 2</t>
  </si>
  <si>
    <t>PMXZ</t>
  </si>
  <si>
    <t>T206</t>
  </si>
  <si>
    <t>TSM 2</t>
  </si>
  <si>
    <t>07/12/2017 09:57</t>
  </si>
  <si>
    <t>T209</t>
  </si>
  <si>
    <t>TB. TRANS POWER 209 / BG. GOLD TRANS 326</t>
  </si>
  <si>
    <t>YDA 4690</t>
  </si>
  <si>
    <t>05/10/2024 15:21</t>
  </si>
  <si>
    <t>T217</t>
  </si>
  <si>
    <t>TB. TRANS POWER 217 / BG. AZAMARA 3059</t>
  </si>
  <si>
    <t>YD5209</t>
  </si>
  <si>
    <t>25/11/2024 11:16</t>
  </si>
  <si>
    <t>T316</t>
  </si>
  <si>
    <t>TB. PRIMA POWER 08 / BG. TERANG 316</t>
  </si>
  <si>
    <t>YDA4898</t>
  </si>
  <si>
    <t>T319</t>
  </si>
  <si>
    <t>TB. VINCENT - 1 / BG. TERANG 319</t>
  </si>
  <si>
    <t>YDA4634</t>
  </si>
  <si>
    <t>22/11/2023 10:27</t>
  </si>
  <si>
    <t>TA01</t>
  </si>
  <si>
    <t>TB. ANUGERAH BERSAMA 2117 / BG. PRATAMA POWER 2701</t>
  </si>
  <si>
    <t>22/09/2022 14:51</t>
  </si>
  <si>
    <t>TA02</t>
  </si>
  <si>
    <t>TB. ADHI 2 / BG. INTERNUSA 2</t>
  </si>
  <si>
    <t>YDA3057</t>
  </si>
  <si>
    <t>31/07/2022 10:39</t>
  </si>
  <si>
    <t>TA03</t>
  </si>
  <si>
    <t>TB. ANUGERAH BERSAMA 2235 / BG. PELICAN 303</t>
  </si>
  <si>
    <t>YD5269</t>
  </si>
  <si>
    <t>24/09/2024 08:12</t>
  </si>
  <si>
    <t>TA05</t>
  </si>
  <si>
    <t>TB. ATLANTIC PERKASA - BG. PARTA JAYA 3005</t>
  </si>
  <si>
    <t>YDA 6591</t>
  </si>
  <si>
    <t>13/03/2024 19:13</t>
  </si>
  <si>
    <t>TA06</t>
  </si>
  <si>
    <t>TB. AQUARIUS 2407 / BG. MEGANTA 3006</t>
  </si>
  <si>
    <t>YDB3206</t>
  </si>
  <si>
    <t>30/03/2024 13:48</t>
  </si>
  <si>
    <t>TA07</t>
  </si>
  <si>
    <t>TB ALFIAN 3 / BG NADIA 7</t>
  </si>
  <si>
    <t>YDC4457</t>
  </si>
  <si>
    <t>09/06/2023 09:53</t>
  </si>
  <si>
    <t>TA09</t>
  </si>
  <si>
    <t>TB. ALBATROSS 6-BG. PELICAN 305</t>
  </si>
  <si>
    <t>YDA6334</t>
  </si>
  <si>
    <t>25/01/2025 10:53</t>
  </si>
  <si>
    <t>TA10</t>
  </si>
  <si>
    <t>TB. ALBATROSS 7-BG. PELICAN 307</t>
  </si>
  <si>
    <t>30/01/2025 08:33</t>
  </si>
  <si>
    <t>TA11</t>
  </si>
  <si>
    <t>TB. KBS 208-BG. GTO 395</t>
  </si>
  <si>
    <t>YDA6387</t>
  </si>
  <si>
    <t>TA13</t>
  </si>
  <si>
    <t>TB. LIBERTY 3-BG. AZAMARA 3055</t>
  </si>
  <si>
    <t>TA17</t>
  </si>
  <si>
    <t>TB. ARABIKA / BG. ARABIKA 8017</t>
  </si>
  <si>
    <t>TA25</t>
  </si>
  <si>
    <t>TB. LIBERTY 2 - BG. AZAMARA 3055</t>
  </si>
  <si>
    <t>YD5213</t>
  </si>
  <si>
    <t>19/12/2023 06:54</t>
  </si>
  <si>
    <t>TA26</t>
  </si>
  <si>
    <t>TB. ADITYA 60 - BG. GANDASARI 26</t>
  </si>
  <si>
    <t>YDA3429</t>
  </si>
  <si>
    <t>31/10/2023 14:48</t>
  </si>
  <si>
    <t>TA27</t>
  </si>
  <si>
    <t>TB. LIBERTY 5 - BG. AZAMARA 3301</t>
  </si>
  <si>
    <t>05/08/2024 12:35</t>
  </si>
  <si>
    <t>TA99</t>
  </si>
  <si>
    <t>TB. APURA 09 / BG. APURA 099</t>
  </si>
  <si>
    <t>YDB6120</t>
  </si>
  <si>
    <t>18/09/2023 18:00</t>
  </si>
  <si>
    <t>TAA1</t>
  </si>
  <si>
    <t>TANTO ALAM</t>
  </si>
  <si>
    <t>TANTO INTIM LINE, PT</t>
  </si>
  <si>
    <t>JZEA</t>
  </si>
  <si>
    <t>TABG</t>
  </si>
  <si>
    <t>TB. ASIA TIRTA 1201 / BG. ASIA PERDANA 2401</t>
  </si>
  <si>
    <t>YDA6080</t>
  </si>
  <si>
    <t>TABS</t>
  </si>
  <si>
    <t>TB. AVENGERS 07 &amp; BG. SPA 30002</t>
  </si>
  <si>
    <t>YDD3032</t>
  </si>
  <si>
    <t>07/02/2025 19:06</t>
  </si>
  <si>
    <t>TAII</t>
  </si>
  <si>
    <t>TB. ALPHA II / BG. AULIYA KURNIA V</t>
  </si>
  <si>
    <t>YDB4679</t>
  </si>
  <si>
    <t>23/12/2024 11:24</t>
  </si>
  <si>
    <t>TAIN</t>
  </si>
  <si>
    <t>TB ALPHA/ BG MERLIN</t>
  </si>
  <si>
    <t>YDB4164</t>
  </si>
  <si>
    <t>TAMI</t>
  </si>
  <si>
    <t>03/03/2025 08:41</t>
  </si>
  <si>
    <t>TATI</t>
  </si>
  <si>
    <t>TB ARJUNA  TK WIDATI</t>
  </si>
  <si>
    <t>YD 4403</t>
  </si>
  <si>
    <t>14/05/2022 21:30</t>
  </si>
  <si>
    <t>TAYO</t>
  </si>
  <si>
    <t>TOWO ARYO</t>
  </si>
  <si>
    <t>YFFI</t>
  </si>
  <si>
    <t>TB01</t>
  </si>
  <si>
    <t>TB. BERKAH 38 - BG. BAHARI 3201</t>
  </si>
  <si>
    <t>YDC 4162</t>
  </si>
  <si>
    <t>TB02</t>
  </si>
  <si>
    <t>TB. BLUEFIN III / BG.DIAMOND 3002</t>
  </si>
  <si>
    <t>YDA 6926</t>
  </si>
  <si>
    <t>15/02/2025 13:38</t>
  </si>
  <si>
    <t>TB06</t>
  </si>
  <si>
    <t>TB. BLM JAYA V / BG. ELFA 3005</t>
  </si>
  <si>
    <t>YDC3553</t>
  </si>
  <si>
    <t>05/12/2024 15:00</t>
  </si>
  <si>
    <t>TB09</t>
  </si>
  <si>
    <t>TB. BRAHMA 5 / BG. ANAND 9</t>
  </si>
  <si>
    <t>TER</t>
  </si>
  <si>
    <t>YDB4668</t>
  </si>
  <si>
    <t>08/03/2024 18:06</t>
  </si>
  <si>
    <t>TB11</t>
  </si>
  <si>
    <t>TB. NJS 01 /BG. HASNUR 311</t>
  </si>
  <si>
    <t>YDC 3447</t>
  </si>
  <si>
    <t>23/10/2022 10:30</t>
  </si>
  <si>
    <t>TB22</t>
  </si>
  <si>
    <t>TB. BARAKUDA X / BG. MARITIM PERKASA 3022</t>
  </si>
  <si>
    <t>TB31</t>
  </si>
  <si>
    <t>TB. BAP 2 - BG. BAP 231</t>
  </si>
  <si>
    <t>YD-5128</t>
  </si>
  <si>
    <t>20/06/2022 23:59</t>
  </si>
  <si>
    <t>TB36</t>
  </si>
  <si>
    <t>MV. TAN BINH 136</t>
  </si>
  <si>
    <t>XVBU9</t>
  </si>
  <si>
    <t>13/12/2024 09:58</t>
  </si>
  <si>
    <t>TB59</t>
  </si>
  <si>
    <t>MV. TAN BINH 59</t>
  </si>
  <si>
    <t>3WTQ9</t>
  </si>
  <si>
    <t>27/04/2024 18:18</t>
  </si>
  <si>
    <t>TB73</t>
  </si>
  <si>
    <t>TB BSP 07 / BG BORNEO 3103</t>
  </si>
  <si>
    <t>YD 5199</t>
  </si>
  <si>
    <t>15/03/2024 21:06</t>
  </si>
  <si>
    <t>TB85</t>
  </si>
  <si>
    <t>TB. BERAU COAL 62 / BG. ROBBY 385</t>
  </si>
  <si>
    <t>YDA6571</t>
  </si>
  <si>
    <t>13/06/2025 09:44</t>
  </si>
  <si>
    <t>TBAS</t>
  </si>
  <si>
    <t>TB. ASIA TIRTA 1601 / BG. ASIA PERDANA 2705</t>
  </si>
  <si>
    <t>YD6844</t>
  </si>
  <si>
    <t>03/01/2024 21:46</t>
  </si>
  <si>
    <t>TBBG</t>
  </si>
  <si>
    <t>TB. ASP 30 / BG. KEIKIRA 1</t>
  </si>
  <si>
    <t>YDC4181</t>
  </si>
  <si>
    <t>19/04/2024 10:29</t>
  </si>
  <si>
    <t>TBHA</t>
  </si>
  <si>
    <t>TB. HASNUR 11 / BG. HASNUR 301</t>
  </si>
  <si>
    <t>yda3970</t>
  </si>
  <si>
    <t>03/01/2024 10:05</t>
  </si>
  <si>
    <t>TBHN</t>
  </si>
  <si>
    <t>TB. HASNUR 05 / BG. HASNUR 306</t>
  </si>
  <si>
    <t>03/01/2024 10:04</t>
  </si>
  <si>
    <t>TBIN</t>
  </si>
  <si>
    <t>TB. BRAHMA 2 - BG. AIN</t>
  </si>
  <si>
    <t>YDB 4666</t>
  </si>
  <si>
    <t>29/03/2024 12:27</t>
  </si>
  <si>
    <t>TBL2</t>
  </si>
  <si>
    <t>TB. TRISAKTI / BG. BARA LAUT 2702</t>
  </si>
  <si>
    <t>YD6946</t>
  </si>
  <si>
    <t>TBM1</t>
  </si>
  <si>
    <t>TB MASADA 25 / BG MJL 3102</t>
  </si>
  <si>
    <t>YDA 4547</t>
  </si>
  <si>
    <t>10/12/2023 14:15</t>
  </si>
  <si>
    <t>TBM9</t>
  </si>
  <si>
    <t>TB MASADA 27 / BG MJL 309</t>
  </si>
  <si>
    <t>YDB6892</t>
  </si>
  <si>
    <t>29/11/2023 12:15</t>
  </si>
  <si>
    <t>TBMA</t>
  </si>
  <si>
    <t>TRANSKO BIMA</t>
  </si>
  <si>
    <t>YBOJ2</t>
  </si>
  <si>
    <t>TBSU</t>
  </si>
  <si>
    <t>TB. SURYA ABADI 38 / BG. FAWAID</t>
  </si>
  <si>
    <t>YDC6161</t>
  </si>
  <si>
    <t>30/03/2024 19:39</t>
  </si>
  <si>
    <t>TBTO</t>
  </si>
  <si>
    <t>TB. BONTOA / BG. TONASA LINES XXII</t>
  </si>
  <si>
    <t>YDA6147</t>
  </si>
  <si>
    <t>03/10/2024 21:12</t>
  </si>
  <si>
    <t>TC06</t>
  </si>
  <si>
    <t>TB. CITRA 80 / BG. CITRA 3006</t>
  </si>
  <si>
    <t>YDB 3350</t>
  </si>
  <si>
    <t>26/05/2022 20:31</t>
  </si>
  <si>
    <t>TD02</t>
  </si>
  <si>
    <t>TB. DOLPHIN 38 - BG. BKT 302</t>
  </si>
  <si>
    <t>YDC 4462</t>
  </si>
  <si>
    <t>18/08/2023 22:07</t>
  </si>
  <si>
    <t>TD03</t>
  </si>
  <si>
    <t>TB. DEL 02 // BG. BKT 303</t>
  </si>
  <si>
    <t>13/01/2024 00:07</t>
  </si>
  <si>
    <t>TD12</t>
  </si>
  <si>
    <t>21/03/2025 00:01</t>
  </si>
  <si>
    <t>TD88</t>
  </si>
  <si>
    <t>TB. DEL 03 / BG. APURA 088</t>
  </si>
  <si>
    <t>YDB 4082</t>
  </si>
  <si>
    <t>10/02/2025 23:25</t>
  </si>
  <si>
    <t>TE01</t>
  </si>
  <si>
    <t>TB. EKA MARIS 10 / BG. EKA MARIS 101</t>
  </si>
  <si>
    <t>YD5262</t>
  </si>
  <si>
    <t>14/08/2023 16:12</t>
  </si>
  <si>
    <t>TE03</t>
  </si>
  <si>
    <t>TB. EAGLE 01 - BG. SINAR ANUGRAH 2503</t>
  </si>
  <si>
    <t>YDA 4944</t>
  </si>
  <si>
    <t>16/03/2025 18:30</t>
  </si>
  <si>
    <t>TE08</t>
  </si>
  <si>
    <t>TB. EKA MARIS 9 BG. PEGASUS 8</t>
  </si>
  <si>
    <t>YD5258</t>
  </si>
  <si>
    <t>20/06/2024 08:40</t>
  </si>
  <si>
    <t>TEAN</t>
  </si>
  <si>
    <t>TB. EKA BUANA V / BG. RAMANDA SEMBILAN</t>
  </si>
  <si>
    <t>31/07/2023 09:48</t>
  </si>
  <si>
    <t>TEST KLM</t>
  </si>
  <si>
    <t>12/10/2022 10:18</t>
  </si>
  <si>
    <t>TF18</t>
  </si>
  <si>
    <t>TB. FERY XXI / BG. MASADA 18</t>
  </si>
  <si>
    <t>YDB6295</t>
  </si>
  <si>
    <t>26/05/2025 15:25</t>
  </si>
  <si>
    <t>TFB1</t>
  </si>
  <si>
    <t>TB. FERY XXVI / BG. MJL 3017</t>
  </si>
  <si>
    <t>YDA 4709</t>
  </si>
  <si>
    <t>14/12/2023 09:34</t>
  </si>
  <si>
    <t>TFBG</t>
  </si>
  <si>
    <t>TB FERY XXII / BG MJL 3011</t>
  </si>
  <si>
    <t>YDC6212</t>
  </si>
  <si>
    <t>01/04/2024 14:38</t>
  </si>
  <si>
    <t>TFKU</t>
  </si>
  <si>
    <t>MV. TS CHALLENGE</t>
  </si>
  <si>
    <t>3FKU5</t>
  </si>
  <si>
    <t>09/02/2022 09:10</t>
  </si>
  <si>
    <t>TFM3</t>
  </si>
  <si>
    <t>TB. FERY XXII / BG. MJL 301</t>
  </si>
  <si>
    <t>17/10/2023 08:10</t>
  </si>
  <si>
    <t>TFRA</t>
  </si>
  <si>
    <t>TB. FRANSISCUS 02 / BG. INTAN 7505</t>
  </si>
  <si>
    <t>TFXM</t>
  </si>
  <si>
    <t>TB. FERY XXV / BG. MJL 307</t>
  </si>
  <si>
    <t>YDC6306</t>
  </si>
  <si>
    <t>14/12/2023 18:14</t>
  </si>
  <si>
    <t>TG01</t>
  </si>
  <si>
    <t>TB. GONAYA V / BG. MJL 3101</t>
  </si>
  <si>
    <t>YDB 6098</t>
  </si>
  <si>
    <t>26/10/2022 10:13</t>
  </si>
  <si>
    <t>TG02</t>
  </si>
  <si>
    <t>TB. GONAYA XVII / BG. MJL 3102</t>
  </si>
  <si>
    <t>YDB6876</t>
  </si>
  <si>
    <t>15/12/2022 09:17</t>
  </si>
  <si>
    <t>TG06</t>
  </si>
  <si>
    <t>TB. TRANS POWER 209 / BG. GOLD TRANS 3006</t>
  </si>
  <si>
    <t>YDA4690</t>
  </si>
  <si>
    <t>05/12/2024 11:44</t>
  </si>
  <si>
    <t>TG23</t>
  </si>
  <si>
    <t>TB. GRACE 02 / BG. MARINE POWER 3023</t>
  </si>
  <si>
    <t>YDA 6142</t>
  </si>
  <si>
    <t>02/11/2022 10:50</t>
  </si>
  <si>
    <t>TG26</t>
  </si>
  <si>
    <t>TB. TRANS POWER 165 / BG. GOLD TRANS 326</t>
  </si>
  <si>
    <t>12/01/2024 09:09</t>
  </si>
  <si>
    <t>TG31</t>
  </si>
  <si>
    <t>TB. GONAYA XXV / BG. MJL 3101</t>
  </si>
  <si>
    <t>YDFR3</t>
  </si>
  <si>
    <t>30/12/2023 17:21</t>
  </si>
  <si>
    <t>TG35</t>
  </si>
  <si>
    <t>TB. GONAYA XX / BG. MJL 335</t>
  </si>
  <si>
    <t>YDB6972</t>
  </si>
  <si>
    <t>14/10/2022 09:33</t>
  </si>
  <si>
    <t>TGB3</t>
  </si>
  <si>
    <t>TB. GONAYA / BG. MJL 3016</t>
  </si>
  <si>
    <t>YDA6575</t>
  </si>
  <si>
    <t>08/11/2023 09:02</t>
  </si>
  <si>
    <t>TGB6</t>
  </si>
  <si>
    <t>TB. GONAYA XVII / BG. MJL 336</t>
  </si>
  <si>
    <t>30/12/2023 16:45</t>
  </si>
  <si>
    <t>TGON</t>
  </si>
  <si>
    <t>TB GONAYA V / BG MJL 3015</t>
  </si>
  <si>
    <t>YDA 6687</t>
  </si>
  <si>
    <t>27/12/2023 08:43</t>
  </si>
  <si>
    <t>TH02</t>
  </si>
  <si>
    <t>TB. HASNUR 03 / BG. HASNUR 302</t>
  </si>
  <si>
    <t>TH06</t>
  </si>
  <si>
    <t>TB. HASNUR 08 / BG. HASNUR 306</t>
  </si>
  <si>
    <t>YD 4964</t>
  </si>
  <si>
    <t>29/07/2022 10:54</t>
  </si>
  <si>
    <t>TH08</t>
  </si>
  <si>
    <t>TB. HECTOR 106 / BG. PMS 201</t>
  </si>
  <si>
    <t>YDA6991</t>
  </si>
  <si>
    <t>26/08/2024 11:58</t>
  </si>
  <si>
    <t>TH09</t>
  </si>
  <si>
    <t>TB. HASNUR 09 / BG. HASNUR 301</t>
  </si>
  <si>
    <t>YDB4501</t>
  </si>
  <si>
    <t>22/05/2022 23:11</t>
  </si>
  <si>
    <t>TH10</t>
  </si>
  <si>
    <t>TB. HASNUR 01 / BG. HASNUR 310</t>
  </si>
  <si>
    <t>09/03/2023 08:18</t>
  </si>
  <si>
    <t>TH23</t>
  </si>
  <si>
    <t>TB HASNUR 02 / BG HASNUR 303</t>
  </si>
  <si>
    <t>10/05/2025 09:24</t>
  </si>
  <si>
    <t>TH39</t>
  </si>
  <si>
    <t>TB. HARMONY-XXVII / BG. LINTAS SAMUDERA 139</t>
  </si>
  <si>
    <t>YDB6819</t>
  </si>
  <si>
    <t>05/03/2025 13:54</t>
  </si>
  <si>
    <t>TH88</t>
  </si>
  <si>
    <t>TB. HENDRATNA SUKSES / BG. ADIPUTRA PASIFIC 88</t>
  </si>
  <si>
    <t>YD 6490</t>
  </si>
  <si>
    <t>15/08/2023 11:17</t>
  </si>
  <si>
    <t>TH96</t>
  </si>
  <si>
    <t>TB. HARMONY-XXVIII / BG. LINTAS SAMUDERA 96</t>
  </si>
  <si>
    <t>YDB6824</t>
  </si>
  <si>
    <t>THAT</t>
  </si>
  <si>
    <t>TANTO HEMAT</t>
  </si>
  <si>
    <t>JZWD</t>
  </si>
  <si>
    <t>THBA</t>
  </si>
  <si>
    <t>TB HASNUR 08 / BG HASNUR 305</t>
  </si>
  <si>
    <t>YDA 4964</t>
  </si>
  <si>
    <t>THRI</t>
  </si>
  <si>
    <t>TANTO HAWARI</t>
  </si>
  <si>
    <t>YGOI</t>
  </si>
  <si>
    <t>TJ01</t>
  </si>
  <si>
    <t>TB. JHONI 101 / BG. SAMTIMAS 01</t>
  </si>
  <si>
    <t>YDA3582</t>
  </si>
  <si>
    <t>18/07/2022 13:39</t>
  </si>
  <si>
    <t>TJ02</t>
  </si>
  <si>
    <t>TB. JKW MAHAKAM 3 / BG. DEWI IRIANA 2</t>
  </si>
  <si>
    <t>YDB 6694</t>
  </si>
  <si>
    <t>14/11/2022 13:48</t>
  </si>
  <si>
    <t>TJLX</t>
  </si>
  <si>
    <t>TB. JHONI LIII / BG. LIANA LX</t>
  </si>
  <si>
    <t>YDA 6799</t>
  </si>
  <si>
    <t>19/09/2022 10:31</t>
  </si>
  <si>
    <t>TJY1</t>
  </si>
  <si>
    <t>KM. TENANG JAYA - 1</t>
  </si>
  <si>
    <t>YDRL</t>
  </si>
  <si>
    <t>16/09/2023 10:17</t>
  </si>
  <si>
    <t>TK02</t>
  </si>
  <si>
    <t>TB. KIETRANS 2 / BG. STAR MARINE 3002</t>
  </si>
  <si>
    <t>YDA 3453</t>
  </si>
  <si>
    <t>31/07/2023 07:19</t>
  </si>
  <si>
    <t>TK03</t>
  </si>
  <si>
    <t>TB. KSA 101 / BG. ISA 303</t>
  </si>
  <si>
    <t>YDB6774</t>
  </si>
  <si>
    <t>21/04/2022 07:59</t>
  </si>
  <si>
    <t>TK05</t>
  </si>
  <si>
    <t>TB. KIETRANS I / BG. STAR MARINE 3005</t>
  </si>
  <si>
    <t>06/10/2022 19:18</t>
  </si>
  <si>
    <t>TK0I</t>
  </si>
  <si>
    <t>TB. KIMBERLY / BG. TMS I</t>
  </si>
  <si>
    <t>26/03/2023 08:15</t>
  </si>
  <si>
    <t>TK11</t>
  </si>
  <si>
    <t>TB. KR 5 / BG. GOLD TRANS 3011</t>
  </si>
  <si>
    <t>YDB 6105</t>
  </si>
  <si>
    <t>21/11/2022 15:08</t>
  </si>
  <si>
    <t>TK13</t>
  </si>
  <si>
    <t>TB. KR 2/BG. GOLD TRANS 313</t>
  </si>
  <si>
    <t>YDB 6068</t>
  </si>
  <si>
    <t>27/07/2022 08:10</t>
  </si>
  <si>
    <t>TK16</t>
  </si>
  <si>
    <t>TB. KSS 1601 / BG SEA HORSE 01</t>
  </si>
  <si>
    <t>YDC4517</t>
  </si>
  <si>
    <t>31/07/2023 07:20</t>
  </si>
  <si>
    <t>TK23</t>
  </si>
  <si>
    <t>TB. KR 6 / BG. GOLD TRANS 323</t>
  </si>
  <si>
    <t>YDB 6106</t>
  </si>
  <si>
    <t>16/08/2022 22:08</t>
  </si>
  <si>
    <t>TK28</t>
  </si>
  <si>
    <t>TB. KIETRANS 22 / BG. STAR MARINE 3028</t>
  </si>
  <si>
    <t>YDA3375</t>
  </si>
  <si>
    <t>25/03/2022 14:47</t>
  </si>
  <si>
    <t>TK29</t>
  </si>
  <si>
    <t>TB. KIETRANS 29 / BG. STAR MARINE 3029</t>
  </si>
  <si>
    <t>13/02/2023 13:58</t>
  </si>
  <si>
    <t>TK31</t>
  </si>
  <si>
    <t>TB. KARYA STAR 39 / BG. KBT 31</t>
  </si>
  <si>
    <t>YDB6856</t>
  </si>
  <si>
    <t>22/05/2025 13:54</t>
  </si>
  <si>
    <t>TK33</t>
  </si>
  <si>
    <t>TB. KIETRANS 27 / BG. STAR MARINE 3033</t>
  </si>
  <si>
    <t>18/12/2023 07:41</t>
  </si>
  <si>
    <t>TK36</t>
  </si>
  <si>
    <t>TB. KARYA STAR 56 / BG.  KBT 36</t>
  </si>
  <si>
    <t>YDC6207</t>
  </si>
  <si>
    <t>05/03/2025 06:32</t>
  </si>
  <si>
    <t>TK69</t>
  </si>
  <si>
    <t>TB. KSA 103 / BG. RMN 369</t>
  </si>
  <si>
    <t>03/04/2023 12:15</t>
  </si>
  <si>
    <t>TK80</t>
  </si>
  <si>
    <t>TB. KIETRANS 80 / BG. STAR MARINE 3080</t>
  </si>
  <si>
    <t>29/01/2024 08:21</t>
  </si>
  <si>
    <t>TK84</t>
  </si>
  <si>
    <t>TB. KSA 102 / BG. RMN 384</t>
  </si>
  <si>
    <t>YDB 6775</t>
  </si>
  <si>
    <t>TKI2</t>
  </si>
  <si>
    <t>TANTO KARUNIA II</t>
  </si>
  <si>
    <t>JZDL</t>
  </si>
  <si>
    <t>TKII</t>
  </si>
  <si>
    <t>TB. KANAYA 2 / BG. IRONMAN XLII</t>
  </si>
  <si>
    <t>YDC6401</t>
  </si>
  <si>
    <t>23/01/2025 16:20</t>
  </si>
  <si>
    <t>TKIM</t>
  </si>
  <si>
    <t>TITIAN KALTIM</t>
  </si>
  <si>
    <t>PMIM</t>
  </si>
  <si>
    <t>TKTI</t>
  </si>
  <si>
    <t>TB KARYA TAMA SRIWIJAYA TK WIDATI</t>
  </si>
  <si>
    <t>TANPA BONGKAR/MUAT</t>
  </si>
  <si>
    <t>YD 4453</t>
  </si>
  <si>
    <t>19/05/2022 09:05</t>
  </si>
  <si>
    <t>TL-X</t>
  </si>
  <si>
    <t>TL - X</t>
  </si>
  <si>
    <t>20/08/2024 19:24</t>
  </si>
  <si>
    <t>TL01</t>
  </si>
  <si>
    <t>TB. LIBERTY 9 - BG. AZAMARA 3032</t>
  </si>
  <si>
    <t>YD5327</t>
  </si>
  <si>
    <t>03/10/2024 07:28</t>
  </si>
  <si>
    <t>TL02</t>
  </si>
  <si>
    <t>TB. LIBERTY 7/ BG. PELICAN 302</t>
  </si>
  <si>
    <t>YD5320</t>
  </si>
  <si>
    <t>30/11/2024 10:31</t>
  </si>
  <si>
    <t>TL03</t>
  </si>
  <si>
    <t>TB. LIBERTY 17/ BG. PELICAN 303</t>
  </si>
  <si>
    <t>18/05/2024 22:51</t>
  </si>
  <si>
    <t>TL04</t>
  </si>
  <si>
    <t>TB. LIBERTY 17 - BG. PELICAN 303</t>
  </si>
  <si>
    <t>16/11/2023 07:17</t>
  </si>
  <si>
    <t>TL05</t>
  </si>
  <si>
    <t>TB. LIBERTY 12 - BG. AZAMARA 5</t>
  </si>
  <si>
    <t>YD5334</t>
  </si>
  <si>
    <t>26/11/2024 10:14</t>
  </si>
  <si>
    <t>TL06</t>
  </si>
  <si>
    <t>TB. LIBERTY 9/BG. AZAMARA 6</t>
  </si>
  <si>
    <t>02/10/2022 10:16</t>
  </si>
  <si>
    <t>TL07</t>
  </si>
  <si>
    <t>TB. LL MARIO / BG. LL 3007</t>
  </si>
  <si>
    <t>YDC4379</t>
  </si>
  <si>
    <t>17/11/2022 13:31</t>
  </si>
  <si>
    <t>TL08</t>
  </si>
  <si>
    <t>TB. TRANS POWER 209 - BG. GOLD TRANS 3006</t>
  </si>
  <si>
    <t>20/09/2024 08:40</t>
  </si>
  <si>
    <t>TL09</t>
  </si>
  <si>
    <t>TB LLB SUKSES 6-BG LLB SUKSES 7</t>
  </si>
  <si>
    <t>YD3960</t>
  </si>
  <si>
    <t>15/12/2022 08:21</t>
  </si>
  <si>
    <t>TL10</t>
  </si>
  <si>
    <t>13/03/2025 12:52</t>
  </si>
  <si>
    <t>TL11</t>
  </si>
  <si>
    <t>TB. LIBERTY 17 - BG. OCEAN MASTER 205</t>
  </si>
  <si>
    <t>YD5340</t>
  </si>
  <si>
    <t>06/04/2025 09:28</t>
  </si>
  <si>
    <t>TL12</t>
  </si>
  <si>
    <t>MV. TONASA LINE XVIII</t>
  </si>
  <si>
    <t>JZYQ</t>
  </si>
  <si>
    <t>TL13</t>
  </si>
  <si>
    <t>TB. LLB SUKSES 12/BG. LLB SUKSES 112</t>
  </si>
  <si>
    <t>LLB SUKSES 12</t>
  </si>
  <si>
    <t>27/02/2023 10:03</t>
  </si>
  <si>
    <t>TL14</t>
  </si>
  <si>
    <t>TB. LIBERTY 21 - BG. AZAMARA 12</t>
  </si>
  <si>
    <t>YD5357</t>
  </si>
  <si>
    <t>30/09/2024 16:00</t>
  </si>
  <si>
    <t>TL15</t>
  </si>
  <si>
    <t>TB. OCEANIC 5 - BG. AZAMARA 9</t>
  </si>
  <si>
    <t>YD 5221</t>
  </si>
  <si>
    <t>TL18</t>
  </si>
  <si>
    <t>TB. LLB SUKSES 17/BG. LLB SUKSES 18</t>
  </si>
  <si>
    <t>YDB 3127</t>
  </si>
  <si>
    <t>erfan.afandi@sig.id</t>
  </si>
  <si>
    <t>14/10/2022 14:11</t>
  </si>
  <si>
    <t>TL21</t>
  </si>
  <si>
    <t>TB. LLB SUKSES 19/BG. LLB SUKSES 21</t>
  </si>
  <si>
    <t>YDC 4170</t>
  </si>
  <si>
    <t>08/04/2023 09:21</t>
  </si>
  <si>
    <t>TL23</t>
  </si>
  <si>
    <t>BG. TONASA LINES XXIII / TB. SAMALEWA</t>
  </si>
  <si>
    <t>15/02/2022 12:27</t>
  </si>
  <si>
    <t>TL26</t>
  </si>
  <si>
    <t>KM. TONASA LINE XXVI - EX. MV. YUTAKA</t>
  </si>
  <si>
    <t>YDSA3</t>
  </si>
  <si>
    <t>17/12/2024 14:33</t>
  </si>
  <si>
    <t>TL32</t>
  </si>
  <si>
    <t>TB. LIBERTY 9 / BG. AZAMARA 3032</t>
  </si>
  <si>
    <t>20/09/2024 14:46</t>
  </si>
  <si>
    <t>TL39</t>
  </si>
  <si>
    <t>TB. LIBERTY 10 - BG. AZAMARA 3039</t>
  </si>
  <si>
    <t>21/05/2024 12:58</t>
  </si>
  <si>
    <t>TL50</t>
  </si>
  <si>
    <t>TB. LIBERTY 15-BG. AZAMARA 3050</t>
  </si>
  <si>
    <t>YD5336</t>
  </si>
  <si>
    <t>16/12/2024 09:33</t>
  </si>
  <si>
    <t>TL51</t>
  </si>
  <si>
    <t>TB. LIBERTY 8 / BG. AZAMARA 3051</t>
  </si>
  <si>
    <t>YD5326</t>
  </si>
  <si>
    <t>06/05/2023 17:07</t>
  </si>
  <si>
    <t>TL55</t>
  </si>
  <si>
    <t>TB. LIBERTY 6 / BG. AZAMARA 3055</t>
  </si>
  <si>
    <t>YD5319</t>
  </si>
  <si>
    <t>18/04/2024 19:41</t>
  </si>
  <si>
    <t>TL57</t>
  </si>
  <si>
    <t>TB. LIBERTY 16-BG. AZAMARA 3057</t>
  </si>
  <si>
    <t>YD5337</t>
  </si>
  <si>
    <t>07/05/2025 19:51</t>
  </si>
  <si>
    <t>TL63</t>
  </si>
  <si>
    <t>TB. LOTUS 08 / BG. AZAMARA 3063</t>
  </si>
  <si>
    <t>26/09/2024 19:01</t>
  </si>
  <si>
    <t>TL64</t>
  </si>
  <si>
    <t>TB. LIBERTY 25 / BG. AZAMARA 3063</t>
  </si>
  <si>
    <t>YD5361</t>
  </si>
  <si>
    <t>07/05/2025 12:04</t>
  </si>
  <si>
    <t>TLAA</t>
  </si>
  <si>
    <t>TB. LION STAR/ BG. LIUS JAYA</t>
  </si>
  <si>
    <t>YDA 6545</t>
  </si>
  <si>
    <t>24/06/2023 19:26</t>
  </si>
  <si>
    <t>TLAR</t>
  </si>
  <si>
    <t>TRISAKTI LANCAR</t>
  </si>
  <si>
    <t>YD 5059</t>
  </si>
  <si>
    <t>TLAS</t>
  </si>
  <si>
    <t>TANTO LUAS</t>
  </si>
  <si>
    <t>YBFQ 2</t>
  </si>
  <si>
    <t>TLII</t>
  </si>
  <si>
    <t>BG. TONASA LINE II / TB. BIRING ERE</t>
  </si>
  <si>
    <t>02/03/2022 06:36</t>
  </si>
  <si>
    <t>TLIX</t>
  </si>
  <si>
    <t>TB. LIUS 09 - BG. LIUS XIX</t>
  </si>
  <si>
    <t>YDB6712</t>
  </si>
  <si>
    <t>16/03/2025 17:41</t>
  </si>
  <si>
    <t>TLLL</t>
  </si>
  <si>
    <t>23/03/2022 13:34</t>
  </si>
  <si>
    <t>TLNG</t>
  </si>
  <si>
    <t>TANTO LANGGENG</t>
  </si>
  <si>
    <t>YBHH 2</t>
  </si>
  <si>
    <t>TLRY</t>
  </si>
  <si>
    <t>YDA6769</t>
  </si>
  <si>
    <t>13/01/2025 13:55</t>
  </si>
  <si>
    <t>TLSI</t>
  </si>
  <si>
    <t>KM. TONASA LINES XVIII</t>
  </si>
  <si>
    <t>07/06/2025 17:22</t>
  </si>
  <si>
    <t>TLTL</t>
  </si>
  <si>
    <t>TL</t>
  </si>
  <si>
    <t>TLX2</t>
  </si>
  <si>
    <t>TONASA LINE XV</t>
  </si>
  <si>
    <t>15/07/2024 21:57</t>
  </si>
  <si>
    <t>TLXI</t>
  </si>
  <si>
    <t>KM. TONASA LINE XI</t>
  </si>
  <si>
    <t>28/03/2024 08:56</t>
  </si>
  <si>
    <t>TLXV</t>
  </si>
  <si>
    <t>KM. TONASA LINE XVIII</t>
  </si>
  <si>
    <t>09/05/2025 10:57</t>
  </si>
  <si>
    <t>10/02/2022 13:18</t>
  </si>
  <si>
    <t>TLYA</t>
  </si>
  <si>
    <t>TB. LCM SATU / BG. STAR RAYA</t>
  </si>
  <si>
    <t>YDA 4260</t>
  </si>
  <si>
    <t>13/08/2022 11:11</t>
  </si>
  <si>
    <t>TM01</t>
  </si>
  <si>
    <t>TB. MASADA 09 / BG. MJL 3017</t>
  </si>
  <si>
    <t>YDA 6635</t>
  </si>
  <si>
    <t>17/08/2023 10:44</t>
  </si>
  <si>
    <t>TM02</t>
  </si>
  <si>
    <t>TB. MAS LINES 1003 / BG. KINGPOST - 2</t>
  </si>
  <si>
    <t>YDC3380</t>
  </si>
  <si>
    <t>03/10/2022 11:25</t>
  </si>
  <si>
    <t>TM03</t>
  </si>
  <si>
    <t>TB. MARINA 2218 / BG. BEE POWER 3003</t>
  </si>
  <si>
    <t>YDC 4122</t>
  </si>
  <si>
    <t>24/10/2022 11:27</t>
  </si>
  <si>
    <t>TM05</t>
  </si>
  <si>
    <t>TB. MAHKOTA II / BARA LAUT 2705</t>
  </si>
  <si>
    <t>24/10/2024 06:25</t>
  </si>
  <si>
    <t>TM07</t>
  </si>
  <si>
    <t>TB MASADA 21 / BG. MJL 307</t>
  </si>
  <si>
    <t>09/02/2023 10:15</t>
  </si>
  <si>
    <t>TM08</t>
  </si>
  <si>
    <t>TB. MARINA 1222 / BG. MARINE POWER 2708</t>
  </si>
  <si>
    <t>22/07/2022 13:07</t>
  </si>
  <si>
    <t>TM10</t>
  </si>
  <si>
    <t>TB. MONANG 577 / BG. SLS 3010</t>
  </si>
  <si>
    <t>BAHTERA ADHIGUNA, PT</t>
  </si>
  <si>
    <t>BAG</t>
  </si>
  <si>
    <t>YDC6394</t>
  </si>
  <si>
    <t>23/10/2024 16:52</t>
  </si>
  <si>
    <t>TM11</t>
  </si>
  <si>
    <t>YDA6338</t>
  </si>
  <si>
    <t>13/03/2024 14:33</t>
  </si>
  <si>
    <t>TM19</t>
  </si>
  <si>
    <t>TB. MASADA 25 / BG. TERANG 319</t>
  </si>
  <si>
    <t>YDB6861</t>
  </si>
  <si>
    <t>TM25</t>
  </si>
  <si>
    <t>TB. TRANS 1 / BG. TSM 25</t>
  </si>
  <si>
    <t>YDA6719</t>
  </si>
  <si>
    <t>14/05/2024 10:29</t>
  </si>
  <si>
    <t>TM32</t>
  </si>
  <si>
    <t>TB. MBS 88 / BG. MBS 332</t>
  </si>
  <si>
    <t>TM33</t>
  </si>
  <si>
    <t>TB. MARINA 1618 / BG. MARINE POWER 3033</t>
  </si>
  <si>
    <t>YDA 3861</t>
  </si>
  <si>
    <t>10/06/2022 12:28</t>
  </si>
  <si>
    <t>TM36</t>
  </si>
  <si>
    <t>TB. MHKL 205 / BG. MARINE POWER 3036</t>
  </si>
  <si>
    <t>YDC4622</t>
  </si>
  <si>
    <t>06/04/2024 22:46</t>
  </si>
  <si>
    <t>TM53</t>
  </si>
  <si>
    <t>TB. MARINA - 5 BG. MARINE POWER 3053</t>
  </si>
  <si>
    <t>YD 3223</t>
  </si>
  <si>
    <t>31/07/2023 13:29</t>
  </si>
  <si>
    <t>TM62</t>
  </si>
  <si>
    <t>TB. MARINA 1608 / BG. MARINE POWER 3062</t>
  </si>
  <si>
    <t>YDA 3773</t>
  </si>
  <si>
    <t>29/08/2022 18:23</t>
  </si>
  <si>
    <t>TM81</t>
  </si>
  <si>
    <t>TB. MITRA BAHARI 88-BG. MITRA ABADI 2588</t>
  </si>
  <si>
    <t>YDA4930</t>
  </si>
  <si>
    <t>18/08/2023 15:23</t>
  </si>
  <si>
    <t>TM88</t>
  </si>
  <si>
    <t>TB. MARINE PERKASA 8/BG.OCEAN PERKASA 8</t>
  </si>
  <si>
    <t>YDB 3180</t>
  </si>
  <si>
    <t>23/11/2022 13:56</t>
  </si>
  <si>
    <t>TM89</t>
  </si>
  <si>
    <t>TB. MITRA BAHARI 388 - BG. MITRA ABADI 3588</t>
  </si>
  <si>
    <t>YDB  4208</t>
  </si>
  <si>
    <t>06/05/2023 00:08</t>
  </si>
  <si>
    <t>TMA1</t>
  </si>
  <si>
    <t>TASIK MAS</t>
  </si>
  <si>
    <t>POYL</t>
  </si>
  <si>
    <t>TMH3</t>
  </si>
  <si>
    <t>TB. TMH 03 - BG. ELECTRA 15</t>
  </si>
  <si>
    <t>YDA6877</t>
  </si>
  <si>
    <t>09/11/2023 12:40</t>
  </si>
  <si>
    <t>TMIS</t>
  </si>
  <si>
    <t>TANTO MANIS</t>
  </si>
  <si>
    <t>JZDM</t>
  </si>
  <si>
    <t>22/11/2017 08:17</t>
  </si>
  <si>
    <t>TMNG</t>
  </si>
  <si>
    <t>KM. TEMAN NIAGA</t>
  </si>
  <si>
    <t>YHFJ</t>
  </si>
  <si>
    <t>15/03/2022 09:55</t>
  </si>
  <si>
    <t>TMTI</t>
  </si>
  <si>
    <t>KM. TIMOTHI</t>
  </si>
  <si>
    <t>POOU</t>
  </si>
  <si>
    <t>28/12/2022 14:06</t>
  </si>
  <si>
    <t>TN02</t>
  </si>
  <si>
    <t>TB. NAILA / BG. MJL 302</t>
  </si>
  <si>
    <t>31/07/2023 13:10</t>
  </si>
  <si>
    <t>TN26</t>
  </si>
  <si>
    <t>KM. TONASA LINES XXVI</t>
  </si>
  <si>
    <t>20/01/2025 08:07</t>
  </si>
  <si>
    <t>TNBB</t>
  </si>
  <si>
    <t>TB NADINE PUTRI &amp; BG BENTLEY PUTRA 300</t>
  </si>
  <si>
    <t>01/12/2024 22:06</t>
  </si>
  <si>
    <t>TNR1</t>
  </si>
  <si>
    <t>TITIAN NUSANTARA</t>
  </si>
  <si>
    <t>YGDS</t>
  </si>
  <si>
    <t>10/10/2017 15:07</t>
  </si>
  <si>
    <t>TO01</t>
  </si>
  <si>
    <t>T O B 01</t>
  </si>
  <si>
    <t>YDA6124</t>
  </si>
  <si>
    <t>TO31</t>
  </si>
  <si>
    <t>TB. OCEANUS 201 / BG. OCEANUS 31</t>
  </si>
  <si>
    <t>YDB4291</t>
  </si>
  <si>
    <t>03/03/2025 11:42</t>
  </si>
  <si>
    <t>TO33</t>
  </si>
  <si>
    <t>TB. OCEANUS 203 / BG. OCEANUS 33</t>
  </si>
  <si>
    <t>YDB4403</t>
  </si>
  <si>
    <t>19/02/2025 19:58</t>
  </si>
  <si>
    <t>TP02</t>
  </si>
  <si>
    <t>TB. PACIFIC FIVE BG. PACIFIC 3302</t>
  </si>
  <si>
    <t>09/12/2024 15:40</t>
  </si>
  <si>
    <t>TP05</t>
  </si>
  <si>
    <t>TB. PSB 05 BG. PSB 3005</t>
  </si>
  <si>
    <t>YDA 3912</t>
  </si>
  <si>
    <t>26/03/2022 08:12</t>
  </si>
  <si>
    <t>TP06</t>
  </si>
  <si>
    <t>TB. PSB 06 BG. PSB 3006</t>
  </si>
  <si>
    <t>YDA 3913</t>
  </si>
  <si>
    <t>04/11/2024 09:15</t>
  </si>
  <si>
    <t>TP07</t>
  </si>
  <si>
    <t>TB. PACIFIC SEVEN / BG. PACIFIC 3007</t>
  </si>
  <si>
    <t>YDA 3409</t>
  </si>
  <si>
    <t>10/03/2025 17:18</t>
  </si>
  <si>
    <t>TP09</t>
  </si>
  <si>
    <t>TB. PACIFIC NINE BG. PACIFIC 3009</t>
  </si>
  <si>
    <t>YDA 3691</t>
  </si>
  <si>
    <t>07/03/2022 18:02</t>
  </si>
  <si>
    <t>TP10</t>
  </si>
  <si>
    <t>TB. PACIFIC TEN BG. PACIFIC 3010</t>
  </si>
  <si>
    <t>YDB 3083</t>
  </si>
  <si>
    <t>23/06/2023 11:40</t>
  </si>
  <si>
    <t>TP11</t>
  </si>
  <si>
    <t>TB. PACIFIC ELEVEN BG. PACIFIC 3011</t>
  </si>
  <si>
    <t>YDB 3084</t>
  </si>
  <si>
    <t>16/03/2022 18:11</t>
  </si>
  <si>
    <t>TP12</t>
  </si>
  <si>
    <t>TB. PACIFIC TWELVE BG. PACIFIC 3012</t>
  </si>
  <si>
    <t>YD 3780</t>
  </si>
  <si>
    <t>26/08/2023 07:13</t>
  </si>
  <si>
    <t>TP15</t>
  </si>
  <si>
    <t>TB. PACIFIC FIFTEEN BG. PACIFIC 3015</t>
  </si>
  <si>
    <t>YDC 3374</t>
  </si>
  <si>
    <t>07/04/2022 17:25</t>
  </si>
  <si>
    <t>TP16</t>
  </si>
  <si>
    <t>TB. PACIFIC SIXTEEN BG. PACIFIC 3016</t>
  </si>
  <si>
    <t>YDC 3390</t>
  </si>
  <si>
    <t>22/12/2024 22:13</t>
  </si>
  <si>
    <t>TP17</t>
  </si>
  <si>
    <t>TB. PACIFIC SEVENTEEN / BG. PACIFIC 3017</t>
  </si>
  <si>
    <t>YDC 3483</t>
  </si>
  <si>
    <t>17/01/2025 17:30</t>
  </si>
  <si>
    <t>TP18</t>
  </si>
  <si>
    <t>TB. PACIFIC JAYA II / BG. MARITIM PERKASA 3018</t>
  </si>
  <si>
    <t>YDB6611</t>
  </si>
  <si>
    <t>12/10/2022 13:17</t>
  </si>
  <si>
    <t>TP19</t>
  </si>
  <si>
    <t>TB. PACIFIC JAYA XI / BG. MARITIM PERKASA 3019</t>
  </si>
  <si>
    <t>YDB 6928</t>
  </si>
  <si>
    <t>20/10/2022 19:27</t>
  </si>
  <si>
    <t>TP20</t>
  </si>
  <si>
    <t>TB. PACIFIC TWENTY // BG. PACIFIC 3020</t>
  </si>
  <si>
    <t>YDC 3506</t>
  </si>
  <si>
    <t>28/04/2024 19:42</t>
  </si>
  <si>
    <t>TP21</t>
  </si>
  <si>
    <t>TB. PACIFIC TWENTY ONE / BG.  PACIFIC 3021</t>
  </si>
  <si>
    <t>YDC 3547</t>
  </si>
  <si>
    <t>02/01/2025 13:04</t>
  </si>
  <si>
    <t>TP22</t>
  </si>
  <si>
    <t>TB. PACIFIC TWENTY TWO // BG. PACIFIC 3022</t>
  </si>
  <si>
    <t>22/08/2023 09:00</t>
  </si>
  <si>
    <t>TP23</t>
  </si>
  <si>
    <t>TB. PACIFIC TWENTY THREE - BG. PACIFIC 3023</t>
  </si>
  <si>
    <t>YDC 3607</t>
  </si>
  <si>
    <t>26/08/2023 06:41</t>
  </si>
  <si>
    <t>TP25</t>
  </si>
  <si>
    <t>TB. PACIFIC TWENTY FIVE / BG. PACIFIC 3025</t>
  </si>
  <si>
    <t>YDC 3632</t>
  </si>
  <si>
    <t>26/08/2024 12:01</t>
  </si>
  <si>
    <t>TP26</t>
  </si>
  <si>
    <t>TB. PUTRA LAUTAN X / BG. MARITIM PERKASA 3026</t>
  </si>
  <si>
    <t>YDB6497</t>
  </si>
  <si>
    <t>TP27</t>
  </si>
  <si>
    <t>TB. PACIFIC TWENTY SEVEN // BG. PACIFIC 3027</t>
  </si>
  <si>
    <t>27/11/2023 10:43</t>
  </si>
  <si>
    <t>TP30</t>
  </si>
  <si>
    <t>TB. PACIFIC THIRTY / BG. PACIFIC 3030</t>
  </si>
  <si>
    <t>YDC3754</t>
  </si>
  <si>
    <t>26/08/2024 12:03</t>
  </si>
  <si>
    <t>TP35</t>
  </si>
  <si>
    <t>TB. PACIFIC THIRTY FIVE / BG. PACIFIC 3035</t>
  </si>
  <si>
    <t>YDC3914</t>
  </si>
  <si>
    <t>27/04/2025 10:56</t>
  </si>
  <si>
    <t>TP36</t>
  </si>
  <si>
    <t>TB. PACIFIC THIRTY SIX / BG. PACIFIC 3036</t>
  </si>
  <si>
    <t>YDA3396</t>
  </si>
  <si>
    <t>10/03/2025 22:57</t>
  </si>
  <si>
    <t>TP78</t>
  </si>
  <si>
    <t>TB. PRIMA STAR 57 / BG. PRIMA SAKTI 78</t>
  </si>
  <si>
    <t>YDC6316</t>
  </si>
  <si>
    <t>13/08/2024 11:17</t>
  </si>
  <si>
    <t>TPAN</t>
  </si>
  <si>
    <t>TB. PUTRA LAUTAN I / BG. MARITIM PERKASA 2721</t>
  </si>
  <si>
    <t>YDB 6088</t>
  </si>
  <si>
    <t>28/07/2022 18:08</t>
  </si>
  <si>
    <t>TPEN</t>
  </si>
  <si>
    <t>TB. PACIFIC NINETEEN / BG. PACIFIC 3019</t>
  </si>
  <si>
    <t>YDC3523</t>
  </si>
  <si>
    <t>06/08/2024 21:36</t>
  </si>
  <si>
    <t>TPFR</t>
  </si>
  <si>
    <t>MV. TOP FAIR</t>
  </si>
  <si>
    <t>XVWR2</t>
  </si>
  <si>
    <t>29/08/2023 21:13</t>
  </si>
  <si>
    <t>TPGA</t>
  </si>
  <si>
    <t>TB. PATRIA 10 / BG. AURIGA</t>
  </si>
  <si>
    <t>YDB4075</t>
  </si>
  <si>
    <t>30/06/2024 20:48</t>
  </si>
  <si>
    <t>TPGE</t>
  </si>
  <si>
    <t>TB. PRIMA POWER 09 / BG. CAHAYA ATAPANGE</t>
  </si>
  <si>
    <t>08/05/2023 10:25</t>
  </si>
  <si>
    <t>TPGT</t>
  </si>
  <si>
    <t>TB. TRANS POWER 215 / BG. GOLD TRANS 326</t>
  </si>
  <si>
    <t>YDA6259</t>
  </si>
  <si>
    <t>20/03/2024 10:07</t>
  </si>
  <si>
    <t>TPID</t>
  </si>
  <si>
    <t>TB. PATRIA 19 // BG. ALKAID</t>
  </si>
  <si>
    <t>YDC4241</t>
  </si>
  <si>
    <t>25/12/2023 15:03</t>
  </si>
  <si>
    <t>TPIX</t>
  </si>
  <si>
    <t>TB. PACIFIC TWENTY SIX / BG. PACIFIC 3026</t>
  </si>
  <si>
    <t>YDC 3656</t>
  </si>
  <si>
    <t>02/04/2025 07:17</t>
  </si>
  <si>
    <t>TPLM</t>
  </si>
  <si>
    <t>TANJUNG PUTRI. KLM</t>
  </si>
  <si>
    <t>13/12/2022 18:27</t>
  </si>
  <si>
    <t>TPRA</t>
  </si>
  <si>
    <t>TRISAKTI PUTRA</t>
  </si>
  <si>
    <t>YD 6264</t>
  </si>
  <si>
    <t>TPRI</t>
  </si>
  <si>
    <t>TB.NADINE PUTRI</t>
  </si>
  <si>
    <t>YDQN3</t>
  </si>
  <si>
    <t>08/03/2025 11:20</t>
  </si>
  <si>
    <t>TR16</t>
  </si>
  <si>
    <t>TB. RADIANCE 2 / BG. AZAMARA 15</t>
  </si>
  <si>
    <t>19/12/2024 12:33</t>
  </si>
  <si>
    <t>TR33</t>
  </si>
  <si>
    <t>TB. TENANG 2001 / BG. TERANG 3003</t>
  </si>
  <si>
    <t>05/07/2023 20:18</t>
  </si>
  <si>
    <t>TRAN</t>
  </si>
  <si>
    <t>TRANS NUSA S</t>
  </si>
  <si>
    <t>10/02/2022 09:49</t>
  </si>
  <si>
    <t>TRP8</t>
  </si>
  <si>
    <t>KM. TARUNA PUTRA VIII</t>
  </si>
  <si>
    <t>YGVC</t>
  </si>
  <si>
    <t>22/05/2022 10:18</t>
  </si>
  <si>
    <t>TRWI</t>
  </si>
  <si>
    <t>KM. TRESNAWATI</t>
  </si>
  <si>
    <t>PMZE</t>
  </si>
  <si>
    <t>20/10/2024 19:01</t>
  </si>
  <si>
    <t>TRYA</t>
  </si>
  <si>
    <t>TARSI RAYA</t>
  </si>
  <si>
    <t>YB 5332</t>
  </si>
  <si>
    <t>05/10/2017 12:47</t>
  </si>
  <si>
    <t>TS02</t>
  </si>
  <si>
    <t>TB. SEA LION 02 / BG. WALRUS 2702</t>
  </si>
  <si>
    <t>08/12/2022 10:41</t>
  </si>
  <si>
    <t>TS03</t>
  </si>
  <si>
    <t>TB. SYUKUR 03 / BG. SYUKUR 03</t>
  </si>
  <si>
    <t>25/03/2022 16:27</t>
  </si>
  <si>
    <t>TS05</t>
  </si>
  <si>
    <t>TB. SEA LION 05 / BG. WALRUS 2705</t>
  </si>
  <si>
    <t>TS06</t>
  </si>
  <si>
    <t>TB. SEA LION 06 / BG. WALRUS 2706</t>
  </si>
  <si>
    <t>02/12/2022 13:31</t>
  </si>
  <si>
    <t>TS07</t>
  </si>
  <si>
    <t>13/05/2022 09:22</t>
  </si>
  <si>
    <t>TS08</t>
  </si>
  <si>
    <t>TB. SRO 7 / BG. LABUAN 2308</t>
  </si>
  <si>
    <t>09/08/2022 11:02</t>
  </si>
  <si>
    <t>TS09</t>
  </si>
  <si>
    <t>TB. SELAMAT 12 - BG. SELAMAT 9</t>
  </si>
  <si>
    <t>25/10/2023 20:17</t>
  </si>
  <si>
    <t>TS10</t>
  </si>
  <si>
    <t>JZAC</t>
  </si>
  <si>
    <t>16/01/2025 10:48</t>
  </si>
  <si>
    <t>TS16</t>
  </si>
  <si>
    <t>TB. TRANS 16 / BG. TSM 16</t>
  </si>
  <si>
    <t>YDB6117</t>
  </si>
  <si>
    <t>05/08/2024 14:57</t>
  </si>
  <si>
    <t>TS37</t>
  </si>
  <si>
    <t>TB. SYUKUR 36 / BG. SYUKUR 37</t>
  </si>
  <si>
    <t>TS68</t>
  </si>
  <si>
    <t>TB. SATRIA LAKSANA 188 / BG. SATRIA LAUT 25268</t>
  </si>
  <si>
    <t>YD4764</t>
  </si>
  <si>
    <t>TS82</t>
  </si>
  <si>
    <t>TB. SDS 28/BG. SWIBER 282</t>
  </si>
  <si>
    <t>YDA4063</t>
  </si>
  <si>
    <t>06/03/2022 19:52</t>
  </si>
  <si>
    <t>TSDA</t>
  </si>
  <si>
    <t>TB. SHIENNY 03 / BG. RHONDA</t>
  </si>
  <si>
    <t>TSI1</t>
  </si>
  <si>
    <t>TANTO SUBUR II</t>
  </si>
  <si>
    <t>JZKS</t>
  </si>
  <si>
    <t>TSIP</t>
  </si>
  <si>
    <t>TRITON SHIP</t>
  </si>
  <si>
    <t>YEOY</t>
  </si>
  <si>
    <t>18/04/2025 12:44</t>
  </si>
  <si>
    <t>TSOX</t>
  </si>
  <si>
    <t>TB. SYUKUR 22 / BG. TOTO X</t>
  </si>
  <si>
    <t>YDA 6032</t>
  </si>
  <si>
    <t>22/03/2022 14:34</t>
  </si>
  <si>
    <t>TSRA</t>
  </si>
  <si>
    <t>TRIJAYA SAMUDRA</t>
  </si>
  <si>
    <t>YFVO</t>
  </si>
  <si>
    <t>TSUE</t>
  </si>
  <si>
    <t>MV. TATSUEI</t>
  </si>
  <si>
    <t>08/06/2023 08:31</t>
  </si>
  <si>
    <t>TT06</t>
  </si>
  <si>
    <t>TB. TRANS POWER 165-BG. GOLD TRANS 309</t>
  </si>
  <si>
    <t>YDA 4723</t>
  </si>
  <si>
    <t>26/12/2022 11:19</t>
  </si>
  <si>
    <t>TT08</t>
  </si>
  <si>
    <t>TB. TG LAONG II / BG. BARA LAUT2708</t>
  </si>
  <si>
    <t>YDB6602</t>
  </si>
  <si>
    <t>20/12/2022 09:41</t>
  </si>
  <si>
    <t>TT09</t>
  </si>
  <si>
    <t>TB. TRANS POWER 165/BG. GOLD TRANS 309</t>
  </si>
  <si>
    <t>TT10</t>
  </si>
  <si>
    <t>TB. TRANS POWER 213 / BG. GOLD TRANS 310</t>
  </si>
  <si>
    <t>02/09/2024 14:10</t>
  </si>
  <si>
    <t>TT11</t>
  </si>
  <si>
    <t>TB. TRANS POWER 247 / BG. GOLD TRANS 3010</t>
  </si>
  <si>
    <t>02/09/2024 14:11</t>
  </si>
  <si>
    <t>TT12</t>
  </si>
  <si>
    <t>TB. TRANS 12 / BG. TSM 12</t>
  </si>
  <si>
    <t>TT16</t>
  </si>
  <si>
    <t>TB. TRANS POWER 248/BG. GOLD TRANS 316</t>
  </si>
  <si>
    <t>YD5175</t>
  </si>
  <si>
    <t>25/11/2022 20:33</t>
  </si>
  <si>
    <t>TT17</t>
  </si>
  <si>
    <t>TB. TRANS POWER 205 - BG. GOLD TRANS 317</t>
  </si>
  <si>
    <t>YDA 4301</t>
  </si>
  <si>
    <t>09/12/2023 08:36</t>
  </si>
  <si>
    <t>TT19</t>
  </si>
  <si>
    <t>TB. TRANS POWER 163 / BG. GOLD TRANS 319</t>
  </si>
  <si>
    <t>YDA 4710</t>
  </si>
  <si>
    <t>TT20</t>
  </si>
  <si>
    <t>TB. TRANS POWER 221 - BG. GOLD TRANS 3308</t>
  </si>
  <si>
    <t>YDC4551</t>
  </si>
  <si>
    <t>12/11/2024 23:32</t>
  </si>
  <si>
    <t>TT21</t>
  </si>
  <si>
    <t>TB. TRANS POWER 221-BG. GOLD TRANS 3308</t>
  </si>
  <si>
    <t>12/11/2024 15:58</t>
  </si>
  <si>
    <t>TT26</t>
  </si>
  <si>
    <t>TB. TRANS POWER 166/BG. PRIMA 26</t>
  </si>
  <si>
    <t>YDA 4724</t>
  </si>
  <si>
    <t>07/03/2022 15:55</t>
  </si>
  <si>
    <t>TT45</t>
  </si>
  <si>
    <t>TB. TRANS ENERGY 1945 / BG. RAJA AMPAT 3002</t>
  </si>
  <si>
    <t>YDA 4983</t>
  </si>
  <si>
    <t>13/06/2022 08:30</t>
  </si>
  <si>
    <t>TU17</t>
  </si>
  <si>
    <t>TB. UNITED XI / BG. ISM 3017</t>
  </si>
  <si>
    <t>YD3753</t>
  </si>
  <si>
    <t>06/01/2025 09:19</t>
  </si>
  <si>
    <t>TV05</t>
  </si>
  <si>
    <t>TB. VOYAGER 2 - BG. OCEAN MASTER 205</t>
  </si>
  <si>
    <t>26/06/2024 14:11</t>
  </si>
  <si>
    <t>TV09</t>
  </si>
  <si>
    <t>TB. VARIA USAHA 9 - BG. LINTAS SEGARA 9</t>
  </si>
  <si>
    <t>YDB2498</t>
  </si>
  <si>
    <t>27/05/2025 10:18</t>
  </si>
  <si>
    <t>TV22</t>
  </si>
  <si>
    <t>TB. VOYAGER 17-BG. AZAMARA 23</t>
  </si>
  <si>
    <t>YDC4340</t>
  </si>
  <si>
    <t>22/07/2023 20:20</t>
  </si>
  <si>
    <t>TV31</t>
  </si>
  <si>
    <t>TB. VOYAGER 2/BG. AZAMARA 31</t>
  </si>
  <si>
    <t>YD 5174</t>
  </si>
  <si>
    <t>09/10/2022 22:40</t>
  </si>
  <si>
    <t>TV35</t>
  </si>
  <si>
    <t>TB. VOYAGER 16/BG. AZAMARA 3035</t>
  </si>
  <si>
    <t>24/05/2024 14:28</t>
  </si>
  <si>
    <t>TV37</t>
  </si>
  <si>
    <t>TB VOYAGER 15 / BG AZAMARA 3037</t>
  </si>
  <si>
    <t>YD5267</t>
  </si>
  <si>
    <t>17/03/2023 13:51</t>
  </si>
  <si>
    <t>TV54</t>
  </si>
  <si>
    <t>TB. VOYAGER 9 / BG. AZAMARA 3053</t>
  </si>
  <si>
    <t>YD5244</t>
  </si>
  <si>
    <t>11/09/2023 09:28</t>
  </si>
  <si>
    <t>TVBT</t>
  </si>
  <si>
    <t>TB VINCENT 1 / BG TERANG 319</t>
  </si>
  <si>
    <t>06/10/2023 21:17</t>
  </si>
  <si>
    <t>TVRY</t>
  </si>
  <si>
    <t>TANKER VICTORY</t>
  </si>
  <si>
    <t>PMJK</t>
  </si>
  <si>
    <t>UC01</t>
  </si>
  <si>
    <t>TB. LAJU 301 / BG. UTAMA C01</t>
  </si>
  <si>
    <t>02/01/2024 19:40</t>
  </si>
  <si>
    <t>UNEI</t>
  </si>
  <si>
    <t>POKK</t>
  </si>
  <si>
    <t>29/03/2022 21:17</t>
  </si>
  <si>
    <t>URYN</t>
  </si>
  <si>
    <t>KM. UREYANA</t>
  </si>
  <si>
    <t>PNFB</t>
  </si>
  <si>
    <t>04/07/2023 13:16</t>
  </si>
  <si>
    <t>UVII</t>
  </si>
  <si>
    <t>USJ VII</t>
  </si>
  <si>
    <t>UX01</t>
  </si>
  <si>
    <t>USJ X</t>
  </si>
  <si>
    <t>UX0X</t>
  </si>
  <si>
    <t>UNITED X</t>
  </si>
  <si>
    <t>PMUQ</t>
  </si>
  <si>
    <t>18/10/2017 09:55</t>
  </si>
  <si>
    <t>V808</t>
  </si>
  <si>
    <t>P O P S</t>
  </si>
  <si>
    <t>14/01/2025 19:48</t>
  </si>
  <si>
    <t>VACS</t>
  </si>
  <si>
    <t>MV. VAN AUSPICIOUS</t>
  </si>
  <si>
    <t>3ELY6</t>
  </si>
  <si>
    <t>12/09/2022 16:55</t>
  </si>
  <si>
    <t>VCT1</t>
  </si>
  <si>
    <t>TB. VINCENT 1/BG. MJL 309</t>
  </si>
  <si>
    <t>YDA3210</t>
  </si>
  <si>
    <t>30/06/2022 10:36</t>
  </si>
  <si>
    <t>VGAL</t>
  </si>
  <si>
    <t>VISION GLOBAL</t>
  </si>
  <si>
    <t>JZKZ</t>
  </si>
  <si>
    <t>26/11/2023 08:55</t>
  </si>
  <si>
    <t>VGRE</t>
  </si>
  <si>
    <t>MV. VIMC GREEN</t>
  </si>
  <si>
    <t>10/07/2023 11:58</t>
  </si>
  <si>
    <t>VIGR</t>
  </si>
  <si>
    <t>10/07/2023 13:34</t>
  </si>
  <si>
    <t>VIP3</t>
  </si>
  <si>
    <t>TB. TERUS JAYA / BG. VIP 368</t>
  </si>
  <si>
    <t>16/02/2024 11:10</t>
  </si>
  <si>
    <t>VM18</t>
  </si>
  <si>
    <t>TB. VINCENT - 1 / BG. MJL 3018</t>
  </si>
  <si>
    <t>05/05/2025 16:34</t>
  </si>
  <si>
    <t>VSFG</t>
  </si>
  <si>
    <t>MV OCEANIC SUCCESS</t>
  </si>
  <si>
    <t>30/11/2024 08:21</t>
  </si>
  <si>
    <t>VSGB</t>
  </si>
  <si>
    <t>KM. VISION GLOBAL</t>
  </si>
  <si>
    <t>26/11/2023 09:00</t>
  </si>
  <si>
    <t>VSKY</t>
  </si>
  <si>
    <t>MV. VOSCO SKY</t>
  </si>
  <si>
    <t>XVIP</t>
  </si>
  <si>
    <t>16/02/2025 20:01</t>
  </si>
  <si>
    <t>VTHR</t>
  </si>
  <si>
    <t>MV VITA HARMONY</t>
  </si>
  <si>
    <t>15/08/2024 20:11</t>
  </si>
  <si>
    <t>VU09</t>
  </si>
  <si>
    <t>VARIA USAHA 9</t>
  </si>
  <si>
    <t>YD 3804</t>
  </si>
  <si>
    <t>VWPR</t>
  </si>
  <si>
    <t>MV. VW PRIDE</t>
  </si>
  <si>
    <t>3FCX6</t>
  </si>
  <si>
    <t>21/03/2025 20:39</t>
  </si>
  <si>
    <t>VY17</t>
  </si>
  <si>
    <t>TB. VOYAGER 17 / BG. AZAMARA 3037</t>
  </si>
  <si>
    <t>23/10/2024 15:20</t>
  </si>
  <si>
    <t>VYG1</t>
  </si>
  <si>
    <t>TB. OCEAN MASTER 101 / BG. VOYAGER 3001</t>
  </si>
  <si>
    <t>02/08/2023 14:06</t>
  </si>
  <si>
    <t>VYG3</t>
  </si>
  <si>
    <t>TB. VOYAGER 3 / BG. AZAMARA 3033</t>
  </si>
  <si>
    <t>YD5172</t>
  </si>
  <si>
    <t>30/01/2025 09:17</t>
  </si>
  <si>
    <t>VYG6</t>
  </si>
  <si>
    <t>TB. VOYAGER 6 / BG. AZAMARA 3302</t>
  </si>
  <si>
    <t>YDA6906</t>
  </si>
  <si>
    <t>07/03/2025 14:16</t>
  </si>
  <si>
    <t>W-01</t>
  </si>
  <si>
    <t>WA - 1</t>
  </si>
  <si>
    <t>YD 6718</t>
  </si>
  <si>
    <t>WB22</t>
  </si>
  <si>
    <t>WAYA BULAN INDAH / MBS 322</t>
  </si>
  <si>
    <t>YDA 6952</t>
  </si>
  <si>
    <t>15/09/2022 09:47</t>
  </si>
  <si>
    <t>WDFR</t>
  </si>
  <si>
    <t>MV. WADI FERAN</t>
  </si>
  <si>
    <t>Egypt Arab Ref Of</t>
  </si>
  <si>
    <t>GAGR</t>
  </si>
  <si>
    <t>19/03/2022 10:41</t>
  </si>
  <si>
    <t>WDM8</t>
  </si>
  <si>
    <t>TB. WIDMARINE 8 / BG. WIDMARINE 2408</t>
  </si>
  <si>
    <t>WHTR</t>
  </si>
  <si>
    <t>MV. WHISTLER</t>
  </si>
  <si>
    <t>3EIP4</t>
  </si>
  <si>
    <t>18/07/2023 11:59</t>
  </si>
  <si>
    <t>WKM3</t>
  </si>
  <si>
    <t>KM. WAKATORA MARU NO. 3</t>
  </si>
  <si>
    <t>YHOJ</t>
  </si>
  <si>
    <t>13/05/2023 16:13</t>
  </si>
  <si>
    <t>WMAS</t>
  </si>
  <si>
    <t>WARIH MAS</t>
  </si>
  <si>
    <t>POYG</t>
  </si>
  <si>
    <t>WSTN</t>
  </si>
  <si>
    <t>MV. WESTERN EYDE</t>
  </si>
  <si>
    <t>3EEE7</t>
  </si>
  <si>
    <t>09/05/2022 13:18</t>
  </si>
  <si>
    <t>XTBC</t>
  </si>
  <si>
    <t>TO BE CONFIRMED</t>
  </si>
  <si>
    <t>scm_laut1@demo.com</t>
  </si>
  <si>
    <t>24/01/2022 16:02</t>
  </si>
  <si>
    <t>XXIV</t>
  </si>
  <si>
    <t>TL XXIV</t>
  </si>
  <si>
    <t>15/02/2022 09:52</t>
  </si>
  <si>
    <t>XXVI</t>
  </si>
  <si>
    <t>KM. TONASA LINE XXVI (EX. MV. YUTAKA)</t>
  </si>
  <si>
    <t>C2DH2</t>
  </si>
  <si>
    <t>17/12/2024 14:02</t>
  </si>
  <si>
    <t>Y505</t>
  </si>
  <si>
    <t>YASIN 5</t>
  </si>
  <si>
    <t>YDB6059</t>
  </si>
  <si>
    <t>YC37</t>
  </si>
  <si>
    <t>TB. PACIFIC TWENTY EIGHT / BG. PACIFIC 3028</t>
  </si>
  <si>
    <t>YDC3721</t>
  </si>
  <si>
    <t>01/09/2024 10:25</t>
  </si>
  <si>
    <t>YCGY</t>
  </si>
  <si>
    <t>MV. BAIK</t>
  </si>
  <si>
    <t>YCGY2</t>
  </si>
  <si>
    <t>18/07/2024 07:57</t>
  </si>
  <si>
    <t>YD16</t>
  </si>
  <si>
    <t>26/12/2024 11:10</t>
  </si>
  <si>
    <t>YD22</t>
  </si>
  <si>
    <t>TB. PM 202 / BG. MJL 3017</t>
  </si>
  <si>
    <t>YD6722</t>
  </si>
  <si>
    <t>04/11/2024 09:48</t>
  </si>
  <si>
    <t>YD36</t>
  </si>
  <si>
    <t>YDC3632</t>
  </si>
  <si>
    <t>17/11/2024 18:31</t>
  </si>
  <si>
    <t>YD37</t>
  </si>
  <si>
    <t>TB. PACIFIC TWENTY NINE / BG. PACIFIC 3029</t>
  </si>
  <si>
    <t>YDC3746</t>
  </si>
  <si>
    <t>15/07/2024 13:48</t>
  </si>
  <si>
    <t>YD38</t>
  </si>
  <si>
    <t>TB. PACIFIC THIRTY TWO / BG. PACIFIC 3032</t>
  </si>
  <si>
    <t>YDC3812</t>
  </si>
  <si>
    <t>17/11/2024 18:32</t>
  </si>
  <si>
    <t>YD40</t>
  </si>
  <si>
    <t>TB. MHKL 203 / BG. MHKL 37</t>
  </si>
  <si>
    <t>YDB4073</t>
  </si>
  <si>
    <t>YD42</t>
  </si>
  <si>
    <t>TB. TSP 201 / BG. TSP 31</t>
  </si>
  <si>
    <t>YDB4241</t>
  </si>
  <si>
    <t>17/11/2024 17:53</t>
  </si>
  <si>
    <t>YD43</t>
  </si>
  <si>
    <t>TB. TRANS POWER 208 / BG. GOLD TRANS 307</t>
  </si>
  <si>
    <t>BERKAH MARITIM INDONESIA, PT</t>
  </si>
  <si>
    <t>YDA 4310</t>
  </si>
  <si>
    <t>01/03/2023 14:50</t>
  </si>
  <si>
    <t>YD44</t>
  </si>
  <si>
    <t>TB. ARK LEVI / BG. ARK GARNET</t>
  </si>
  <si>
    <t>YDB4436</t>
  </si>
  <si>
    <t>23/04/2025 13:52</t>
  </si>
  <si>
    <t>YD46</t>
  </si>
  <si>
    <t>TB. DOLPHIN 58 / BG. BKT 303</t>
  </si>
  <si>
    <t>YDC4662</t>
  </si>
  <si>
    <t>03/02/2025 12:52</t>
  </si>
  <si>
    <t>YD47</t>
  </si>
  <si>
    <t>TB. MHKL 206 / BG. MARINE POWER 3048</t>
  </si>
  <si>
    <t>YDC4778</t>
  </si>
  <si>
    <t>14/11/2024 19:49</t>
  </si>
  <si>
    <t>YD66</t>
  </si>
  <si>
    <t>TB. LUMENA 18 / BG. LMN 336</t>
  </si>
  <si>
    <t>02/09/2024 15:22</t>
  </si>
  <si>
    <t>YD67</t>
  </si>
  <si>
    <t>YDB 6776</t>
  </si>
  <si>
    <t>08/08/2023 06:43</t>
  </si>
  <si>
    <t>YD68</t>
  </si>
  <si>
    <t>TB. ECO MARINE 01 / BG. MARITIM PERKASA 3020</t>
  </si>
  <si>
    <t>YD6880</t>
  </si>
  <si>
    <t>10/08/2023 18:12</t>
  </si>
  <si>
    <t>YD91</t>
  </si>
  <si>
    <t>TB. ATLANTIC PERKASA / BG. BAHARI 3201</t>
  </si>
  <si>
    <t>YDA6591</t>
  </si>
  <si>
    <t>04/11/2024 16:50</t>
  </si>
  <si>
    <t>YD95</t>
  </si>
  <si>
    <t>TB. PACIFIC THIRTY ONE / BG. PACIFIC 3031</t>
  </si>
  <si>
    <t>YDC3795</t>
  </si>
  <si>
    <t>01/11/2024 09:51</t>
  </si>
  <si>
    <t>YDA3</t>
  </si>
  <si>
    <t>TB. TRANS POWER 206 / BG. GOLD TRANS 3007</t>
  </si>
  <si>
    <t>BMI</t>
  </si>
  <si>
    <t>YDA 4303</t>
  </si>
  <si>
    <t>14/02/2023 20:10</t>
  </si>
  <si>
    <t>YDA4</t>
  </si>
  <si>
    <t>TB. TRANS POWER 216 / BG. GOLD TRANS 3006</t>
  </si>
  <si>
    <t>YDA 4991</t>
  </si>
  <si>
    <t>14/12/2023 16:08</t>
  </si>
  <si>
    <t>01/02/2024 15:05</t>
  </si>
  <si>
    <t>YDB4</t>
  </si>
  <si>
    <t>TB. MHKL 204 / BG. MHKL 36</t>
  </si>
  <si>
    <t>13/12/2024 09:50</t>
  </si>
  <si>
    <t>YDB6</t>
  </si>
  <si>
    <t>TB. SYUKUR 54 - BG. SYUKUR 49</t>
  </si>
  <si>
    <t>08/08/2023 07:37</t>
  </si>
  <si>
    <t>YDC3</t>
  </si>
  <si>
    <t>TB. VICTORY 2014 / BG. PSB 3014</t>
  </si>
  <si>
    <t>YDC3541</t>
  </si>
  <si>
    <t>29/11/2023 11:59</t>
  </si>
  <si>
    <t>YDHW</t>
  </si>
  <si>
    <t>KM. NOVA GLORIA</t>
  </si>
  <si>
    <t>YDHW2</t>
  </si>
  <si>
    <t>YEEA</t>
  </si>
  <si>
    <t>KM. SAHABAT PRIMA 8</t>
  </si>
  <si>
    <t>14/01/2024 20:03</t>
  </si>
  <si>
    <t>KM. TONASA LINE - VI</t>
  </si>
  <si>
    <t>26/05/2025 11:52</t>
  </si>
  <si>
    <t>YFUD</t>
  </si>
  <si>
    <t>KM. PELITA MANDIRI 8</t>
  </si>
  <si>
    <t>04/07/2024 10:56</t>
  </si>
  <si>
    <t>KM. PUL MANDIRI</t>
  </si>
  <si>
    <t>15/09/2023 15:53</t>
  </si>
  <si>
    <t>MV. SINAR KUDUS 88</t>
  </si>
  <si>
    <t>06/02/2022 15:18</t>
  </si>
  <si>
    <t>YHYD</t>
  </si>
  <si>
    <t>KM. AMRTA JAYA I</t>
  </si>
  <si>
    <t>25/03/2023 15:04</t>
  </si>
  <si>
    <t>YK01</t>
  </si>
  <si>
    <t>KM. YK 01</t>
  </si>
  <si>
    <t>JZTI</t>
  </si>
  <si>
    <t>20/11/2024 07:53</t>
  </si>
  <si>
    <t>YU02</t>
  </si>
  <si>
    <t>KM. YU NO. 2</t>
  </si>
  <si>
    <t>YX67</t>
  </si>
  <si>
    <t>MV YU XIAO 7</t>
  </si>
  <si>
    <t>05/03/2025 13:53</t>
  </si>
  <si>
    <t>ZBHN</t>
  </si>
  <si>
    <t>MV. ZAHAB JAHAN</t>
  </si>
  <si>
    <t>S2A02</t>
  </si>
  <si>
    <t>31/10/2023 16:45</t>
  </si>
  <si>
    <t>ZH01</t>
  </si>
  <si>
    <t>TB. ZAHRA 01 / BG. ADHITAMA 301</t>
  </si>
  <si>
    <t>YDC6112</t>
  </si>
  <si>
    <t>10/03/2025 20:14</t>
  </si>
  <si>
    <t>KAPAL</t>
  </si>
  <si>
    <t>INT DOM</t>
  </si>
  <si>
    <t>EXP DOM</t>
  </si>
  <si>
    <t xml:space="preserve"> PERMATA PRIMA</t>
  </si>
  <si>
    <t xml:space="preserve"> int_dom: "DOM"</t>
  </si>
  <si>
    <t xml:space="preserve"> exp_dom: "DOM"</t>
  </si>
  <si>
    <t xml:space="preserve"> SABUK NUSANTARA 37</t>
  </si>
  <si>
    <t xml:space="preserve"> SEJAHTERA 32</t>
  </si>
  <si>
    <t xml:space="preserve"> int_dom: "INT"</t>
  </si>
  <si>
    <t xml:space="preserve"> SHINPO</t>
  </si>
  <si>
    <t xml:space="preserve"> TONASA LINE XV</t>
  </si>
  <si>
    <t xml:space="preserve"> UNEI</t>
  </si>
  <si>
    <t>BG. OCEANUS 32TB. MHKL 207</t>
  </si>
  <si>
    <t xml:space="preserve"> exp_dom: "EXP"</t>
  </si>
  <si>
    <t>KM. BIN NO 2</t>
  </si>
  <si>
    <t>KM. CAHAYA BARU NO.2</t>
  </si>
  <si>
    <t>KM. INTI PERSADA</t>
  </si>
  <si>
    <t>KM. LINTAS BAHARI 66</t>
  </si>
  <si>
    <t>KM. MAJU 18</t>
  </si>
  <si>
    <t>KM. MENANG JAYA</t>
  </si>
  <si>
    <t>KM. MERAK INDAH 2</t>
  </si>
  <si>
    <t>KM. SEJAHTERA 32</t>
  </si>
  <si>
    <t xml:space="preserve">KM. SINDO PERMAI </t>
  </si>
  <si>
    <t xml:space="preserve">KM. STB 21 </t>
  </si>
  <si>
    <t>KM. SUNLY SAMUDERA</t>
  </si>
  <si>
    <t xml:space="preserve">KM. TONASA LINE IX </t>
  </si>
  <si>
    <t>KM. TONASA LINE VI</t>
  </si>
  <si>
    <t>KM. TONASA LINE XXVI - EX.MV. YUTAKA</t>
  </si>
  <si>
    <t>KM. TONASA LINES XII</t>
  </si>
  <si>
    <t>MV. AKIJ HERITAGE</t>
  </si>
  <si>
    <t>MV. AKIJ NOBLE</t>
  </si>
  <si>
    <t>MV. AKIJ STAR</t>
  </si>
  <si>
    <t>MV. AROMO</t>
  </si>
  <si>
    <t>MV. CLARITY 08</t>
  </si>
  <si>
    <t>MV. EASTERN FAIR</t>
  </si>
  <si>
    <t>MV. ICARIUS</t>
  </si>
  <si>
    <t>MV. JAGUAR</t>
  </si>
  <si>
    <t>MV. LOWLANDS ENGEL</t>
  </si>
  <si>
    <t>MV. MARTHA GOLDEN</t>
  </si>
  <si>
    <t>MV. MEGHNA FREEDOM</t>
  </si>
  <si>
    <t>MV. OCEANIC SUCCESS</t>
  </si>
  <si>
    <t>MV. PERKASA</t>
  </si>
  <si>
    <t>MV. ROME TRADER</t>
  </si>
  <si>
    <t>MV. SAWAHLUNTO</t>
  </si>
  <si>
    <t>MV. STAR CLEO</t>
  </si>
  <si>
    <t>MV. TANGKAS</t>
  </si>
  <si>
    <t>MV. YU XIAO 7</t>
  </si>
  <si>
    <t>NAGA JAYA</t>
  </si>
  <si>
    <t xml:space="preserve"> exp_dom: "DOM</t>
  </si>
  <si>
    <t xml:space="preserve"> exp_d</t>
  </si>
  <si>
    <t>TB. MAHKOTA V / BG. MARITIM PERKASA 2728</t>
  </si>
  <si>
    <t xml:space="preserve"> exp_do</t>
  </si>
  <si>
    <t>(blank)</t>
  </si>
  <si>
    <t xml:space="preserve">TB. VOYAGER 2 / BG. OCEAN MASTER 206 </t>
  </si>
  <si>
    <t>KAPAL AKTIF 6 BLN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</si>
</sst>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815"/>
  <sheetViews>
    <sheetView tabSelected="1" topLeftCell="A1749" workbookViewId="0">
      <selection activeCell="B1759" sqref="B1759"/>
    </sheetView>
  </sheetViews>
  <sheetFormatPr defaultRowHeight="14.5"/>
  <cols>
    <col min="1" max="1" width="14.81640625" customWidth="1"/>
    <col min="2" max="3" width="54" customWidth="1"/>
    <col min="4" max="4" width="8.08984375" customWidth="1"/>
    <col min="5" max="5" width="25.6328125" customWidth="1"/>
    <col min="6" max="6" width="8.08984375" customWidth="1"/>
    <col min="7" max="7" width="44.54296875" customWidth="1"/>
    <col min="8" max="8" width="12.1796875" customWidth="1"/>
    <col min="9" max="9" width="25.6328125" customWidth="1"/>
    <col min="10" max="11" width="9.453125" customWidth="1"/>
    <col min="12" max="12" width="12.1796875" customWidth="1"/>
    <col min="13" max="13" width="13.453125" customWidth="1"/>
    <col min="14" max="14" width="8.08984375" customWidth="1"/>
    <col min="15" max="15" width="6" customWidth="1"/>
    <col min="16" max="16" width="17.54296875" customWidth="1"/>
    <col min="17" max="17" width="14.81640625" customWidth="1"/>
    <col min="18" max="18" width="24.26953125" customWidth="1"/>
    <col min="19" max="19" width="17.54296875" customWidth="1"/>
    <col min="20" max="20" width="9.453125" customWidth="1"/>
    <col min="21" max="21" width="13.453125" customWidth="1"/>
    <col min="22" max="23" width="14.81640625" customWidth="1"/>
    <col min="24" max="24" width="17.54296875" customWidth="1"/>
    <col min="25" max="25" width="39.1796875" customWidth="1"/>
    <col min="26" max="26" width="21.6328125" customWidth="1"/>
    <col min="27" max="27" width="10.81640625" customWidth="1"/>
  </cols>
  <sheetData>
    <row r="1" spans="1:27">
      <c r="A1" s="1" t="s">
        <v>0</v>
      </c>
      <c r="B1" s="1" t="s">
        <v>1</v>
      </c>
      <c r="C1" s="1" t="s">
        <v>6442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idden="1">
      <c r="A2" s="2">
        <v>1324</v>
      </c>
      <c r="B2" t="s">
        <v>26</v>
      </c>
      <c r="C2" t="e">
        <f>VLOOKUP(B2,Sheet2!$A$2:$A$392,1,0)</f>
        <v>#N/A</v>
      </c>
      <c r="E2" t="s">
        <v>27</v>
      </c>
      <c r="F2" t="s">
        <v>28</v>
      </c>
      <c r="G2" t="s">
        <v>29</v>
      </c>
      <c r="I2" t="s">
        <v>30</v>
      </c>
      <c r="J2" s="2">
        <v>39675</v>
      </c>
      <c r="K2" s="2">
        <v>177</v>
      </c>
      <c r="L2" s="2">
        <v>19887</v>
      </c>
      <c r="M2" s="2">
        <v>6620</v>
      </c>
      <c r="N2" s="3">
        <v>10.01</v>
      </c>
      <c r="P2" t="s">
        <v>31</v>
      </c>
      <c r="R2" t="s">
        <v>32</v>
      </c>
      <c r="S2" t="s">
        <v>33</v>
      </c>
      <c r="T2" t="s">
        <v>34</v>
      </c>
      <c r="U2" t="s">
        <v>35</v>
      </c>
      <c r="V2" s="2">
        <v>4</v>
      </c>
      <c r="X2" t="s">
        <v>34</v>
      </c>
      <c r="Y2" t="s">
        <v>36</v>
      </c>
      <c r="Z2" t="s">
        <v>37</v>
      </c>
      <c r="AA2" t="s">
        <v>38</v>
      </c>
    </row>
    <row r="3" spans="1:27">
      <c r="A3" s="2">
        <v>1603</v>
      </c>
      <c r="B3" t="s">
        <v>39</v>
      </c>
      <c r="C3" t="str">
        <f>VLOOKUP(B3,Sheet2!$A$2:$A$392,1,0)</f>
        <v>TB. BLORO 1603 / BG. ROBBY 320</v>
      </c>
      <c r="E3" t="s">
        <v>40</v>
      </c>
      <c r="F3" t="s">
        <v>41</v>
      </c>
      <c r="G3" t="s">
        <v>29</v>
      </c>
      <c r="I3" t="s">
        <v>42</v>
      </c>
      <c r="J3" s="2">
        <v>8000</v>
      </c>
      <c r="K3" s="2">
        <v>91</v>
      </c>
      <c r="L3" s="2">
        <v>3317</v>
      </c>
      <c r="P3" t="s">
        <v>43</v>
      </c>
      <c r="R3" t="s">
        <v>42</v>
      </c>
      <c r="S3" t="s">
        <v>33</v>
      </c>
      <c r="T3" t="s">
        <v>34</v>
      </c>
      <c r="U3" t="s">
        <v>44</v>
      </c>
      <c r="X3" t="s">
        <v>34</v>
      </c>
      <c r="Y3" t="s">
        <v>45</v>
      </c>
      <c r="Z3" t="s">
        <v>46</v>
      </c>
      <c r="AA3" t="s">
        <v>38</v>
      </c>
    </row>
    <row r="4" spans="1:27">
      <c r="A4" s="2">
        <v>1709</v>
      </c>
      <c r="B4" t="s">
        <v>47</v>
      </c>
      <c r="C4" t="str">
        <f>VLOOKUP(B4,Sheet2!$A$2:$A$392,1,0)</f>
        <v>TB. KALTIM DOLPHIN 17-09 / BG. KALTIM FT 80-11</v>
      </c>
      <c r="E4" t="s">
        <v>40</v>
      </c>
      <c r="F4" t="s">
        <v>41</v>
      </c>
      <c r="G4" t="s">
        <v>29</v>
      </c>
      <c r="I4" t="s">
        <v>42</v>
      </c>
      <c r="J4" s="2">
        <v>8000</v>
      </c>
      <c r="K4" s="2">
        <v>91</v>
      </c>
      <c r="L4" s="2">
        <v>3315</v>
      </c>
      <c r="P4" t="s">
        <v>48</v>
      </c>
      <c r="R4" t="s">
        <v>42</v>
      </c>
      <c r="S4" t="s">
        <v>33</v>
      </c>
      <c r="T4" t="s">
        <v>34</v>
      </c>
      <c r="U4" t="s">
        <v>44</v>
      </c>
      <c r="X4" t="s">
        <v>34</v>
      </c>
      <c r="Y4" t="s">
        <v>45</v>
      </c>
      <c r="Z4" t="s">
        <v>49</v>
      </c>
      <c r="AA4" t="s">
        <v>38</v>
      </c>
    </row>
    <row r="5" spans="1:27" hidden="1">
      <c r="A5" t="s">
        <v>50</v>
      </c>
      <c r="B5" t="s">
        <v>51</v>
      </c>
      <c r="C5" t="e">
        <f>VLOOKUP(B5,Sheet2!$A$2:$A$392,1,0)</f>
        <v>#N/A</v>
      </c>
      <c r="E5" t="s">
        <v>52</v>
      </c>
      <c r="F5" t="s">
        <v>28</v>
      </c>
      <c r="G5" t="s">
        <v>53</v>
      </c>
      <c r="I5" t="s">
        <v>54</v>
      </c>
      <c r="J5" s="2">
        <v>22530</v>
      </c>
      <c r="K5" s="3">
        <v>154.35</v>
      </c>
      <c r="L5" s="2">
        <v>14260</v>
      </c>
      <c r="M5" s="2">
        <v>6345</v>
      </c>
      <c r="P5" t="s">
        <v>50</v>
      </c>
      <c r="R5" t="s">
        <v>54</v>
      </c>
      <c r="S5" t="s">
        <v>33</v>
      </c>
      <c r="T5" t="s">
        <v>34</v>
      </c>
      <c r="U5" t="s">
        <v>35</v>
      </c>
      <c r="X5" t="s">
        <v>34</v>
      </c>
      <c r="Y5" t="s">
        <v>55</v>
      </c>
      <c r="Z5" t="s">
        <v>56</v>
      </c>
      <c r="AA5" t="s">
        <v>38</v>
      </c>
    </row>
    <row r="6" spans="1:27" hidden="1">
      <c r="A6" t="s">
        <v>57</v>
      </c>
      <c r="B6" t="s">
        <v>58</v>
      </c>
      <c r="C6" t="e">
        <f>VLOOKUP(B6,Sheet2!$A$2:$A$392,1,0)</f>
        <v>#N/A</v>
      </c>
      <c r="E6" t="s">
        <v>52</v>
      </c>
      <c r="F6" t="s">
        <v>28</v>
      </c>
      <c r="G6" t="s">
        <v>59</v>
      </c>
      <c r="I6" t="s">
        <v>60</v>
      </c>
      <c r="J6" s="2">
        <v>56019</v>
      </c>
      <c r="K6" s="3">
        <v>189.99</v>
      </c>
      <c r="L6" s="2">
        <v>31247</v>
      </c>
      <c r="O6" t="s">
        <v>61</v>
      </c>
      <c r="P6" t="s">
        <v>62</v>
      </c>
      <c r="R6" t="s">
        <v>60</v>
      </c>
      <c r="S6" t="s">
        <v>33</v>
      </c>
      <c r="T6" t="s">
        <v>34</v>
      </c>
      <c r="U6" t="s">
        <v>35</v>
      </c>
      <c r="W6" t="s">
        <v>63</v>
      </c>
      <c r="X6" t="s">
        <v>34</v>
      </c>
      <c r="Y6" t="s">
        <v>64</v>
      </c>
      <c r="Z6" t="s">
        <v>65</v>
      </c>
      <c r="AA6" t="s">
        <v>38</v>
      </c>
    </row>
    <row r="7" spans="1:27">
      <c r="A7" t="s">
        <v>66</v>
      </c>
      <c r="B7" t="s">
        <v>67</v>
      </c>
      <c r="C7" t="str">
        <f>VLOOKUP(B7,Sheet2!$A$2:$A$392,1,0)</f>
        <v>TB. ASIA TIRTA 1601 / BG. ASIA PERDANA 2706</v>
      </c>
      <c r="E7" t="s">
        <v>40</v>
      </c>
      <c r="F7" t="s">
        <v>41</v>
      </c>
      <c r="G7" t="s">
        <v>59</v>
      </c>
      <c r="I7" t="s">
        <v>42</v>
      </c>
      <c r="J7" s="2">
        <v>4480</v>
      </c>
      <c r="K7" s="3">
        <v>80.77</v>
      </c>
      <c r="L7" s="2">
        <v>1465</v>
      </c>
      <c r="O7" t="s">
        <v>61</v>
      </c>
      <c r="P7" t="s">
        <v>68</v>
      </c>
      <c r="R7" t="s">
        <v>42</v>
      </c>
      <c r="S7" t="s">
        <v>33</v>
      </c>
      <c r="T7" t="s">
        <v>34</v>
      </c>
      <c r="U7" t="s">
        <v>44</v>
      </c>
      <c r="W7" t="s">
        <v>63</v>
      </c>
      <c r="X7" t="s">
        <v>34</v>
      </c>
      <c r="Y7" t="s">
        <v>64</v>
      </c>
      <c r="Z7" t="s">
        <v>69</v>
      </c>
      <c r="AA7" t="s">
        <v>38</v>
      </c>
    </row>
    <row r="8" spans="1:27" hidden="1">
      <c r="A8" t="s">
        <v>70</v>
      </c>
      <c r="B8" t="s">
        <v>71</v>
      </c>
      <c r="C8" t="e">
        <f>VLOOKUP(B8,Sheet2!$A$2:$A$392,1,0)</f>
        <v>#N/A</v>
      </c>
      <c r="E8" t="s">
        <v>72</v>
      </c>
      <c r="G8" t="s">
        <v>73</v>
      </c>
      <c r="I8" t="s">
        <v>42</v>
      </c>
      <c r="J8" s="2">
        <v>3137</v>
      </c>
      <c r="K8" s="3">
        <v>91.52</v>
      </c>
      <c r="L8" s="2">
        <v>3137</v>
      </c>
      <c r="P8" t="s">
        <v>74</v>
      </c>
      <c r="S8" t="s">
        <v>33</v>
      </c>
      <c r="X8" t="s">
        <v>34</v>
      </c>
      <c r="AA8" t="s">
        <v>38</v>
      </c>
    </row>
    <row r="9" spans="1:27" hidden="1">
      <c r="A9" t="s">
        <v>75</v>
      </c>
      <c r="B9" t="s">
        <v>76</v>
      </c>
      <c r="C9" t="e">
        <f>VLOOKUP(B9,Sheet2!$A$2:$A$392,1,0)</f>
        <v>#N/A</v>
      </c>
      <c r="E9" t="s">
        <v>40</v>
      </c>
      <c r="G9" t="s">
        <v>77</v>
      </c>
      <c r="I9" t="s">
        <v>42</v>
      </c>
      <c r="J9" s="2">
        <v>121</v>
      </c>
      <c r="K9" s="3">
        <v>22.87</v>
      </c>
      <c r="L9" s="2">
        <v>121</v>
      </c>
      <c r="P9" t="s">
        <v>78</v>
      </c>
      <c r="S9" t="s">
        <v>33</v>
      </c>
      <c r="X9" t="s">
        <v>34</v>
      </c>
      <c r="AA9" t="s">
        <v>38</v>
      </c>
    </row>
    <row r="10" spans="1:27">
      <c r="A10" t="s">
        <v>79</v>
      </c>
      <c r="B10" t="s">
        <v>80</v>
      </c>
      <c r="C10" t="str">
        <f>VLOOKUP(B10,Sheet2!$A$2:$A$392,1,0)</f>
        <v>TB. ASINDO 007 / BG. ASINDO 010</v>
      </c>
      <c r="E10" t="s">
        <v>40</v>
      </c>
      <c r="F10" t="s">
        <v>41</v>
      </c>
      <c r="G10" t="s">
        <v>29</v>
      </c>
      <c r="I10" t="s">
        <v>42</v>
      </c>
      <c r="J10" s="2">
        <v>5000</v>
      </c>
      <c r="K10" s="2">
        <v>82</v>
      </c>
      <c r="L10" s="2">
        <v>2305</v>
      </c>
      <c r="P10" t="s">
        <v>81</v>
      </c>
      <c r="R10" t="s">
        <v>42</v>
      </c>
      <c r="S10" t="s">
        <v>33</v>
      </c>
      <c r="T10" t="s">
        <v>34</v>
      </c>
      <c r="U10" t="s">
        <v>44</v>
      </c>
      <c r="X10" t="s">
        <v>34</v>
      </c>
      <c r="Y10" t="s">
        <v>45</v>
      </c>
      <c r="Z10" t="s">
        <v>82</v>
      </c>
      <c r="AA10" t="s">
        <v>38</v>
      </c>
    </row>
    <row r="11" spans="1:27" hidden="1">
      <c r="A11" t="s">
        <v>83</v>
      </c>
      <c r="B11" t="s">
        <v>84</v>
      </c>
      <c r="C11" t="e">
        <f>VLOOKUP(B11,Sheet2!$A$2:$A$392,1,0)</f>
        <v>#N/A</v>
      </c>
      <c r="E11" t="s">
        <v>40</v>
      </c>
      <c r="F11" t="s">
        <v>41</v>
      </c>
      <c r="G11" t="s">
        <v>29</v>
      </c>
      <c r="I11" t="s">
        <v>42</v>
      </c>
      <c r="J11" s="2">
        <v>8000</v>
      </c>
      <c r="K11" s="2">
        <v>91</v>
      </c>
      <c r="L11" s="2">
        <v>3469</v>
      </c>
      <c r="P11" t="s">
        <v>85</v>
      </c>
      <c r="R11" t="s">
        <v>42</v>
      </c>
      <c r="S11" t="s">
        <v>33</v>
      </c>
      <c r="T11" t="s">
        <v>34</v>
      </c>
      <c r="U11" t="s">
        <v>44</v>
      </c>
      <c r="X11" t="s">
        <v>34</v>
      </c>
      <c r="Y11" t="s">
        <v>45</v>
      </c>
      <c r="Z11" t="s">
        <v>86</v>
      </c>
      <c r="AA11" t="s">
        <v>38</v>
      </c>
    </row>
    <row r="12" spans="1:27" hidden="1">
      <c r="A12" t="s">
        <v>87</v>
      </c>
      <c r="B12" t="s">
        <v>88</v>
      </c>
      <c r="C12" t="e">
        <f>VLOOKUP(B12,Sheet2!$A$2:$A$392,1,0)</f>
        <v>#N/A</v>
      </c>
      <c r="E12" t="s">
        <v>40</v>
      </c>
      <c r="G12" t="s">
        <v>89</v>
      </c>
      <c r="I12" t="s">
        <v>42</v>
      </c>
      <c r="J12" s="2">
        <v>42</v>
      </c>
      <c r="K12" s="3">
        <v>22.12</v>
      </c>
      <c r="L12" s="2">
        <v>138</v>
      </c>
      <c r="P12" t="s">
        <v>90</v>
      </c>
      <c r="S12" t="s">
        <v>33</v>
      </c>
      <c r="X12" t="s">
        <v>34</v>
      </c>
      <c r="AA12" t="s">
        <v>38</v>
      </c>
    </row>
    <row r="13" spans="1:27" hidden="1">
      <c r="A13" t="s">
        <v>91</v>
      </c>
      <c r="B13" t="s">
        <v>92</v>
      </c>
      <c r="C13" t="e">
        <f>VLOOKUP(B13,Sheet2!$A$2:$A$392,1,0)</f>
        <v>#N/A</v>
      </c>
      <c r="E13" t="s">
        <v>93</v>
      </c>
      <c r="G13" t="s">
        <v>94</v>
      </c>
      <c r="I13" t="s">
        <v>42</v>
      </c>
      <c r="J13" s="2">
        <v>2255</v>
      </c>
      <c r="K13" s="3">
        <v>80.78</v>
      </c>
      <c r="L13" s="2">
        <v>1503</v>
      </c>
      <c r="P13" t="s">
        <v>95</v>
      </c>
      <c r="S13" t="s">
        <v>33</v>
      </c>
      <c r="X13" t="s">
        <v>34</v>
      </c>
      <c r="Y13" t="s">
        <v>96</v>
      </c>
      <c r="Z13" t="s">
        <v>97</v>
      </c>
      <c r="AA13" t="s">
        <v>38</v>
      </c>
    </row>
    <row r="14" spans="1:27" hidden="1">
      <c r="A14" t="s">
        <v>98</v>
      </c>
      <c r="B14" t="s">
        <v>99</v>
      </c>
      <c r="C14" t="e">
        <f>VLOOKUP(B14,Sheet2!$A$2:$A$392,1,0)</f>
        <v>#N/A</v>
      </c>
      <c r="E14" t="s">
        <v>72</v>
      </c>
      <c r="G14" t="s">
        <v>100</v>
      </c>
      <c r="I14" t="s">
        <v>42</v>
      </c>
      <c r="J14" s="2">
        <v>402</v>
      </c>
      <c r="K14" s="3">
        <v>70.14</v>
      </c>
      <c r="L14" s="2">
        <v>1339</v>
      </c>
      <c r="P14" t="s">
        <v>74</v>
      </c>
      <c r="S14" t="s">
        <v>33</v>
      </c>
      <c r="X14" t="s">
        <v>34</v>
      </c>
      <c r="Y14" t="s">
        <v>96</v>
      </c>
      <c r="Z14" t="s">
        <v>101</v>
      </c>
      <c r="AA14" t="s">
        <v>38</v>
      </c>
    </row>
    <row r="15" spans="1:27" hidden="1">
      <c r="A15" t="s">
        <v>102</v>
      </c>
      <c r="B15" t="s">
        <v>103</v>
      </c>
      <c r="C15" t="e">
        <f>VLOOKUP(B15,Sheet2!$A$2:$A$392,1,0)</f>
        <v>#N/A</v>
      </c>
      <c r="E15" t="s">
        <v>40</v>
      </c>
      <c r="F15" t="s">
        <v>41</v>
      </c>
      <c r="G15" t="s">
        <v>104</v>
      </c>
      <c r="I15" t="s">
        <v>42</v>
      </c>
      <c r="J15" s="2">
        <v>190</v>
      </c>
      <c r="K15">
        <v>25.3</v>
      </c>
      <c r="L15" s="2">
        <v>190</v>
      </c>
      <c r="P15" t="s">
        <v>105</v>
      </c>
      <c r="S15" t="s">
        <v>33</v>
      </c>
      <c r="T15" t="s">
        <v>106</v>
      </c>
      <c r="X15" t="s">
        <v>34</v>
      </c>
      <c r="Y15" t="s">
        <v>107</v>
      </c>
      <c r="Z15" t="s">
        <v>108</v>
      </c>
      <c r="AA15" t="s">
        <v>38</v>
      </c>
    </row>
    <row r="16" spans="1:27" hidden="1">
      <c r="A16" t="s">
        <v>109</v>
      </c>
      <c r="B16" t="s">
        <v>110</v>
      </c>
      <c r="C16" t="e">
        <f>VLOOKUP(B16,Sheet2!$A$2:$A$392,1,0)</f>
        <v>#N/A</v>
      </c>
      <c r="E16" t="s">
        <v>93</v>
      </c>
      <c r="G16" t="s">
        <v>94</v>
      </c>
      <c r="I16" t="s">
        <v>42</v>
      </c>
      <c r="J16" s="2">
        <v>600</v>
      </c>
      <c r="K16">
        <v>52.2</v>
      </c>
      <c r="L16" s="2">
        <v>343</v>
      </c>
      <c r="P16" t="s">
        <v>111</v>
      </c>
      <c r="S16" t="s">
        <v>33</v>
      </c>
      <c r="X16" t="s">
        <v>34</v>
      </c>
      <c r="AA16" t="s">
        <v>38</v>
      </c>
    </row>
    <row r="17" spans="1:27" hidden="1">
      <c r="A17" t="s">
        <v>112</v>
      </c>
      <c r="B17" t="s">
        <v>113</v>
      </c>
      <c r="C17" t="e">
        <f>VLOOKUP(B17,Sheet2!$A$2:$A$392,1,0)</f>
        <v>#N/A</v>
      </c>
      <c r="E17" t="s">
        <v>114</v>
      </c>
      <c r="F17" t="s">
        <v>41</v>
      </c>
      <c r="G17" t="s">
        <v>115</v>
      </c>
      <c r="I17" t="s">
        <v>42</v>
      </c>
      <c r="J17" s="2">
        <v>8834</v>
      </c>
      <c r="K17">
        <v>112.5</v>
      </c>
      <c r="L17" s="2">
        <v>5483</v>
      </c>
      <c r="P17" t="s">
        <v>116</v>
      </c>
      <c r="S17" t="s">
        <v>33</v>
      </c>
      <c r="T17" t="s">
        <v>34</v>
      </c>
      <c r="U17" t="s">
        <v>35</v>
      </c>
      <c r="X17" t="s">
        <v>34</v>
      </c>
      <c r="Y17" t="s">
        <v>117</v>
      </c>
      <c r="Z17" t="s">
        <v>118</v>
      </c>
      <c r="AA17" t="s">
        <v>38</v>
      </c>
    </row>
    <row r="18" spans="1:27" hidden="1">
      <c r="A18" t="s">
        <v>119</v>
      </c>
      <c r="B18" t="s">
        <v>120</v>
      </c>
      <c r="C18" t="e">
        <f>VLOOKUP(B18,Sheet2!$A$2:$A$392,1,0)</f>
        <v>#N/A</v>
      </c>
      <c r="E18" t="s">
        <v>121</v>
      </c>
      <c r="I18" t="s">
        <v>42</v>
      </c>
      <c r="J18" s="2">
        <v>4532</v>
      </c>
      <c r="K18" s="3">
        <v>87.11</v>
      </c>
      <c r="L18" s="2">
        <v>2999</v>
      </c>
      <c r="P18" t="s">
        <v>122</v>
      </c>
      <c r="S18" t="s">
        <v>33</v>
      </c>
      <c r="X18" t="s">
        <v>34</v>
      </c>
      <c r="AA18" t="s">
        <v>38</v>
      </c>
    </row>
    <row r="19" spans="1:27" hidden="1">
      <c r="A19" t="s">
        <v>123</v>
      </c>
      <c r="B19" t="s">
        <v>124</v>
      </c>
      <c r="C19" t="e">
        <f>VLOOKUP(B19,Sheet2!$A$2:$A$392,1,0)</f>
        <v>#N/A</v>
      </c>
      <c r="E19" t="s">
        <v>27</v>
      </c>
      <c r="G19" t="s">
        <v>125</v>
      </c>
      <c r="I19" t="s">
        <v>42</v>
      </c>
      <c r="J19" s="2">
        <v>2999</v>
      </c>
      <c r="K19" s="3">
        <v>87.11</v>
      </c>
      <c r="L19" s="2">
        <v>2999</v>
      </c>
      <c r="P19" t="s">
        <v>126</v>
      </c>
      <c r="S19" t="s">
        <v>33</v>
      </c>
      <c r="X19" t="s">
        <v>34</v>
      </c>
      <c r="AA19" t="s">
        <v>38</v>
      </c>
    </row>
    <row r="20" spans="1:27" hidden="1">
      <c r="A20" t="s">
        <v>127</v>
      </c>
      <c r="B20" t="s">
        <v>128</v>
      </c>
      <c r="C20" t="e">
        <f>VLOOKUP(B20,Sheet2!$A$2:$A$392,1,0)</f>
        <v>#N/A</v>
      </c>
      <c r="E20" t="s">
        <v>40</v>
      </c>
      <c r="F20" t="s">
        <v>41</v>
      </c>
      <c r="G20" t="s">
        <v>129</v>
      </c>
      <c r="I20" t="s">
        <v>42</v>
      </c>
      <c r="J20" s="2">
        <v>123</v>
      </c>
      <c r="K20" s="2">
        <v>23</v>
      </c>
      <c r="L20" s="2">
        <v>123</v>
      </c>
      <c r="O20" t="s">
        <v>130</v>
      </c>
      <c r="P20" t="s">
        <v>131</v>
      </c>
      <c r="R20" t="s">
        <v>42</v>
      </c>
      <c r="S20" t="s">
        <v>33</v>
      </c>
      <c r="T20" t="s">
        <v>34</v>
      </c>
      <c r="U20" t="s">
        <v>35</v>
      </c>
      <c r="X20" t="s">
        <v>34</v>
      </c>
      <c r="Y20" t="s">
        <v>132</v>
      </c>
      <c r="Z20" t="s">
        <v>133</v>
      </c>
      <c r="AA20" t="s">
        <v>38</v>
      </c>
    </row>
    <row r="21" spans="1:27" hidden="1">
      <c r="A21" t="s">
        <v>134</v>
      </c>
      <c r="B21" t="s">
        <v>135</v>
      </c>
      <c r="C21" t="e">
        <f>VLOOKUP(B21,Sheet2!$A$2:$A$392,1,0)</f>
        <v>#N/A</v>
      </c>
      <c r="E21" t="s">
        <v>93</v>
      </c>
      <c r="G21" t="s">
        <v>136</v>
      </c>
      <c r="I21" t="s">
        <v>42</v>
      </c>
      <c r="J21" s="2">
        <v>207</v>
      </c>
      <c r="K21" s="3">
        <v>59.61</v>
      </c>
      <c r="L21" s="2">
        <v>689</v>
      </c>
      <c r="P21" t="s">
        <v>137</v>
      </c>
      <c r="S21" t="s">
        <v>33</v>
      </c>
      <c r="X21" t="s">
        <v>34</v>
      </c>
      <c r="AA21" t="s">
        <v>38</v>
      </c>
    </row>
    <row r="22" spans="1:27" hidden="1">
      <c r="A22" t="s">
        <v>138</v>
      </c>
      <c r="B22" t="s">
        <v>139</v>
      </c>
      <c r="C22" t="e">
        <f>VLOOKUP(B22,Sheet2!$A$2:$A$392,1,0)</f>
        <v>#N/A</v>
      </c>
      <c r="E22" t="s">
        <v>72</v>
      </c>
      <c r="G22" t="s">
        <v>73</v>
      </c>
      <c r="I22" t="s">
        <v>42</v>
      </c>
      <c r="J22" s="2">
        <v>3165</v>
      </c>
      <c r="K22">
        <v>91.5</v>
      </c>
      <c r="L22" s="2">
        <v>3165</v>
      </c>
      <c r="P22" t="s">
        <v>74</v>
      </c>
      <c r="S22" t="s">
        <v>33</v>
      </c>
      <c r="X22" t="s">
        <v>34</v>
      </c>
      <c r="AA22" t="s">
        <v>38</v>
      </c>
    </row>
    <row r="23" spans="1:27" hidden="1">
      <c r="A23" t="s">
        <v>140</v>
      </c>
      <c r="B23" t="s">
        <v>141</v>
      </c>
      <c r="C23" t="e">
        <f>VLOOKUP(B23,Sheet2!$A$2:$A$392,1,0)</f>
        <v>#N/A</v>
      </c>
      <c r="E23" t="s">
        <v>27</v>
      </c>
      <c r="F23" t="s">
        <v>41</v>
      </c>
      <c r="G23" t="s">
        <v>29</v>
      </c>
      <c r="I23" t="s">
        <v>42</v>
      </c>
      <c r="J23" s="2">
        <v>50</v>
      </c>
      <c r="K23" s="2">
        <v>170</v>
      </c>
      <c r="L23" s="2">
        <v>570</v>
      </c>
      <c r="P23" t="s">
        <v>140</v>
      </c>
      <c r="R23" t="s">
        <v>42</v>
      </c>
      <c r="S23" t="s">
        <v>33</v>
      </c>
      <c r="T23" t="s">
        <v>106</v>
      </c>
      <c r="U23" t="s">
        <v>44</v>
      </c>
      <c r="X23" t="s">
        <v>34</v>
      </c>
      <c r="Y23" t="s">
        <v>142</v>
      </c>
      <c r="Z23" t="s">
        <v>143</v>
      </c>
      <c r="AA23" t="s">
        <v>38</v>
      </c>
    </row>
    <row r="24" spans="1:27" hidden="1">
      <c r="A24" t="s">
        <v>144</v>
      </c>
      <c r="B24" t="s">
        <v>145</v>
      </c>
      <c r="C24" t="e">
        <f>VLOOKUP(B24,Sheet2!$A$2:$A$392,1,0)</f>
        <v>#N/A</v>
      </c>
      <c r="E24" t="s">
        <v>27</v>
      </c>
      <c r="F24" t="s">
        <v>41</v>
      </c>
      <c r="G24" t="s">
        <v>59</v>
      </c>
      <c r="I24" t="s">
        <v>60</v>
      </c>
      <c r="J24" s="2">
        <v>2167</v>
      </c>
      <c r="K24" s="2">
        <v>70</v>
      </c>
      <c r="L24" s="2">
        <v>1445</v>
      </c>
      <c r="O24" t="s">
        <v>61</v>
      </c>
      <c r="P24" t="s">
        <v>146</v>
      </c>
      <c r="R24" t="s">
        <v>42</v>
      </c>
      <c r="S24" t="s">
        <v>33</v>
      </c>
      <c r="T24" t="s">
        <v>34</v>
      </c>
      <c r="U24" t="s">
        <v>44</v>
      </c>
      <c r="W24" t="s">
        <v>63</v>
      </c>
      <c r="X24" t="s">
        <v>147</v>
      </c>
      <c r="Y24" t="s">
        <v>64</v>
      </c>
      <c r="Z24" t="s">
        <v>148</v>
      </c>
      <c r="AA24" t="s">
        <v>38</v>
      </c>
    </row>
    <row r="25" spans="1:27" hidden="1">
      <c r="A25" t="s">
        <v>149</v>
      </c>
      <c r="B25" t="s">
        <v>150</v>
      </c>
      <c r="C25" t="e">
        <f>VLOOKUP(B25,Sheet2!$A$2:$A$392,1,0)</f>
        <v>#N/A</v>
      </c>
      <c r="E25" t="s">
        <v>52</v>
      </c>
      <c r="F25" t="s">
        <v>28</v>
      </c>
      <c r="G25" t="s">
        <v>151</v>
      </c>
      <c r="J25" s="2">
        <v>46862</v>
      </c>
      <c r="K25" s="3">
        <v>185.74</v>
      </c>
      <c r="L25" s="2">
        <v>26070</v>
      </c>
      <c r="M25" s="2">
        <v>10150</v>
      </c>
      <c r="N25" s="2">
        <v>12</v>
      </c>
      <c r="O25" t="s">
        <v>152</v>
      </c>
      <c r="P25" t="s">
        <v>153</v>
      </c>
      <c r="R25" t="s">
        <v>32</v>
      </c>
      <c r="S25" t="s">
        <v>33</v>
      </c>
      <c r="U25" t="s">
        <v>35</v>
      </c>
      <c r="V25" s="2">
        <v>5</v>
      </c>
      <c r="X25" t="s">
        <v>34</v>
      </c>
      <c r="Y25" t="s">
        <v>154</v>
      </c>
      <c r="Z25" t="s">
        <v>155</v>
      </c>
      <c r="AA25" t="s">
        <v>38</v>
      </c>
    </row>
    <row r="26" spans="1:27" hidden="1">
      <c r="A26" t="s">
        <v>156</v>
      </c>
      <c r="B26" t="s">
        <v>157</v>
      </c>
      <c r="C26" t="e">
        <f>VLOOKUP(B26,Sheet2!$A$2:$A$392,1,0)</f>
        <v>#N/A</v>
      </c>
      <c r="E26" t="s">
        <v>27</v>
      </c>
      <c r="F26" t="s">
        <v>41</v>
      </c>
      <c r="G26" t="s">
        <v>158</v>
      </c>
      <c r="J26" s="2">
        <v>3861</v>
      </c>
      <c r="K26">
        <v>88.8</v>
      </c>
      <c r="L26" s="2">
        <v>2302</v>
      </c>
      <c r="O26" t="s">
        <v>159</v>
      </c>
      <c r="P26" t="s">
        <v>160</v>
      </c>
      <c r="R26" t="s">
        <v>42</v>
      </c>
      <c r="S26" t="s">
        <v>33</v>
      </c>
      <c r="U26" t="s">
        <v>35</v>
      </c>
      <c r="W26" t="s">
        <v>63</v>
      </c>
      <c r="X26" t="s">
        <v>34</v>
      </c>
      <c r="Y26" t="s">
        <v>64</v>
      </c>
      <c r="Z26" t="s">
        <v>161</v>
      </c>
      <c r="AA26" t="s">
        <v>38</v>
      </c>
    </row>
    <row r="27" spans="1:27" hidden="1">
      <c r="A27" t="s">
        <v>162</v>
      </c>
      <c r="B27" t="s">
        <v>163</v>
      </c>
      <c r="C27" t="e">
        <f>VLOOKUP(B27,Sheet2!$A$2:$A$392,1,0)</f>
        <v>#N/A</v>
      </c>
      <c r="E27" t="s">
        <v>27</v>
      </c>
      <c r="F27" t="s">
        <v>41</v>
      </c>
      <c r="G27" t="s">
        <v>29</v>
      </c>
      <c r="I27" t="s">
        <v>42</v>
      </c>
      <c r="J27" s="2">
        <v>2000</v>
      </c>
      <c r="K27" s="2">
        <v>59</v>
      </c>
      <c r="L27" s="2">
        <v>1168</v>
      </c>
      <c r="M27" s="2">
        <v>1000</v>
      </c>
      <c r="N27" s="3">
        <v>4.2699999999999996</v>
      </c>
      <c r="P27" t="s">
        <v>164</v>
      </c>
      <c r="R27" t="s">
        <v>32</v>
      </c>
      <c r="S27" t="s">
        <v>33</v>
      </c>
      <c r="T27" t="s">
        <v>34</v>
      </c>
      <c r="U27" t="s">
        <v>35</v>
      </c>
      <c r="W27" t="s">
        <v>165</v>
      </c>
      <c r="X27" t="s">
        <v>34</v>
      </c>
      <c r="Y27" t="s">
        <v>166</v>
      </c>
      <c r="Z27" t="s">
        <v>167</v>
      </c>
      <c r="AA27" t="s">
        <v>38</v>
      </c>
    </row>
    <row r="28" spans="1:27" hidden="1">
      <c r="A28" t="s">
        <v>168</v>
      </c>
      <c r="B28" t="s">
        <v>169</v>
      </c>
      <c r="C28" t="e">
        <f>VLOOKUP(B28,Sheet2!$A$2:$A$392,1,0)</f>
        <v>#N/A</v>
      </c>
      <c r="E28" t="s">
        <v>170</v>
      </c>
      <c r="I28" t="s">
        <v>42</v>
      </c>
      <c r="J28" s="2">
        <v>3500</v>
      </c>
      <c r="K28" s="2">
        <v>90</v>
      </c>
      <c r="L28" s="2">
        <v>2600</v>
      </c>
      <c r="P28" t="s">
        <v>171</v>
      </c>
      <c r="S28" t="s">
        <v>33</v>
      </c>
      <c r="X28" t="s">
        <v>34</v>
      </c>
      <c r="AA28" t="s">
        <v>38</v>
      </c>
    </row>
    <row r="29" spans="1:27" hidden="1">
      <c r="A29" t="s">
        <v>172</v>
      </c>
      <c r="B29" t="s">
        <v>173</v>
      </c>
      <c r="C29" t="e">
        <f>VLOOKUP(B29,Sheet2!$A$2:$A$392,1,0)</f>
        <v>#N/A</v>
      </c>
      <c r="E29" t="s">
        <v>170</v>
      </c>
      <c r="I29" t="s">
        <v>42</v>
      </c>
      <c r="J29" s="2">
        <v>17428</v>
      </c>
      <c r="K29" s="3">
        <v>70.95</v>
      </c>
      <c r="L29" s="2">
        <v>986</v>
      </c>
      <c r="P29" t="s">
        <v>174</v>
      </c>
      <c r="S29" t="s">
        <v>33</v>
      </c>
      <c r="X29" t="s">
        <v>34</v>
      </c>
      <c r="AA29" t="s">
        <v>38</v>
      </c>
    </row>
    <row r="30" spans="1:27" hidden="1">
      <c r="A30" t="s">
        <v>175</v>
      </c>
      <c r="B30" t="s">
        <v>176</v>
      </c>
      <c r="C30" t="e">
        <f>VLOOKUP(B30,Sheet2!$A$2:$A$392,1,0)</f>
        <v>#N/A</v>
      </c>
      <c r="E30" t="s">
        <v>27</v>
      </c>
      <c r="F30" t="s">
        <v>41</v>
      </c>
      <c r="G30" t="s">
        <v>29</v>
      </c>
      <c r="I30" t="s">
        <v>42</v>
      </c>
      <c r="J30" s="2">
        <v>2250</v>
      </c>
      <c r="K30" s="2">
        <v>70</v>
      </c>
      <c r="L30" s="2">
        <v>1150</v>
      </c>
      <c r="P30" t="s">
        <v>177</v>
      </c>
      <c r="R30" t="s">
        <v>42</v>
      </c>
      <c r="S30" t="s">
        <v>33</v>
      </c>
      <c r="T30" t="s">
        <v>34</v>
      </c>
      <c r="U30" t="s">
        <v>35</v>
      </c>
      <c r="X30" t="s">
        <v>34</v>
      </c>
      <c r="Y30" t="s">
        <v>45</v>
      </c>
      <c r="Z30" t="s">
        <v>178</v>
      </c>
      <c r="AA30" t="s">
        <v>38</v>
      </c>
    </row>
    <row r="31" spans="1:27" hidden="1">
      <c r="A31" t="s">
        <v>179</v>
      </c>
      <c r="B31" t="s">
        <v>180</v>
      </c>
      <c r="C31" t="e">
        <f>VLOOKUP(B31,Sheet2!$A$2:$A$392,1,0)</f>
        <v>#N/A</v>
      </c>
      <c r="E31" t="s">
        <v>27</v>
      </c>
      <c r="G31" t="s">
        <v>181</v>
      </c>
      <c r="I31" t="s">
        <v>42</v>
      </c>
      <c r="J31" s="2">
        <v>6174</v>
      </c>
      <c r="K31" s="3">
        <v>98.66</v>
      </c>
      <c r="L31" s="2">
        <v>5284</v>
      </c>
      <c r="P31" t="s">
        <v>182</v>
      </c>
      <c r="S31" t="s">
        <v>33</v>
      </c>
      <c r="X31" t="s">
        <v>34</v>
      </c>
      <c r="AA31" t="s">
        <v>38</v>
      </c>
    </row>
    <row r="32" spans="1:27">
      <c r="A32" t="s">
        <v>183</v>
      </c>
      <c r="B32" t="s">
        <v>184</v>
      </c>
      <c r="C32" t="str">
        <f>VLOOKUP(B32,Sheet2!$A$2:$A$392,1,0)</f>
        <v>KM. ANUGERAH VIII</v>
      </c>
      <c r="E32" t="s">
        <v>27</v>
      </c>
      <c r="F32" t="s">
        <v>41</v>
      </c>
      <c r="G32" t="s">
        <v>158</v>
      </c>
      <c r="J32" s="2">
        <v>2000</v>
      </c>
      <c r="K32" s="2">
        <v>56</v>
      </c>
      <c r="L32" s="2">
        <v>1257</v>
      </c>
      <c r="O32" t="s">
        <v>159</v>
      </c>
      <c r="P32" t="s">
        <v>185</v>
      </c>
      <c r="R32" t="s">
        <v>32</v>
      </c>
      <c r="S32" t="s">
        <v>33</v>
      </c>
      <c r="U32" t="s">
        <v>35</v>
      </c>
      <c r="W32" t="s">
        <v>63</v>
      </c>
      <c r="X32" t="s">
        <v>34</v>
      </c>
      <c r="Y32" t="s">
        <v>64</v>
      </c>
      <c r="Z32" t="s">
        <v>186</v>
      </c>
      <c r="AA32" t="s">
        <v>38</v>
      </c>
    </row>
    <row r="33" spans="1:27" hidden="1">
      <c r="A33" t="s">
        <v>187</v>
      </c>
      <c r="B33" t="s">
        <v>188</v>
      </c>
      <c r="C33" t="e">
        <f>VLOOKUP(B33,Sheet2!$A$2:$A$392,1,0)</f>
        <v>#N/A</v>
      </c>
      <c r="E33" t="s">
        <v>40</v>
      </c>
      <c r="F33" t="s">
        <v>41</v>
      </c>
      <c r="G33" t="s">
        <v>59</v>
      </c>
      <c r="I33" t="s">
        <v>42</v>
      </c>
      <c r="J33" s="2">
        <v>3020</v>
      </c>
      <c r="K33" s="2">
        <v>78</v>
      </c>
      <c r="L33" s="2">
        <v>2013</v>
      </c>
      <c r="M33" s="2">
        <v>2000</v>
      </c>
      <c r="N33" s="2">
        <v>6</v>
      </c>
      <c r="P33" t="s">
        <v>189</v>
      </c>
      <c r="R33" t="s">
        <v>42</v>
      </c>
      <c r="S33" t="s">
        <v>33</v>
      </c>
      <c r="T33" t="s">
        <v>34</v>
      </c>
      <c r="U33" t="s">
        <v>44</v>
      </c>
      <c r="W33" t="s">
        <v>63</v>
      </c>
      <c r="X33" t="s">
        <v>34</v>
      </c>
      <c r="Y33" t="s">
        <v>64</v>
      </c>
      <c r="Z33" t="s">
        <v>190</v>
      </c>
      <c r="AA33" t="s">
        <v>38</v>
      </c>
    </row>
    <row r="34" spans="1:27" hidden="1">
      <c r="A34" t="s">
        <v>191</v>
      </c>
      <c r="B34" t="s">
        <v>192</v>
      </c>
      <c r="C34" t="e">
        <f>VLOOKUP(B34,Sheet2!$A$2:$A$392,1,0)</f>
        <v>#N/A</v>
      </c>
      <c r="E34" t="s">
        <v>27</v>
      </c>
      <c r="F34" t="s">
        <v>41</v>
      </c>
      <c r="G34" t="s">
        <v>29</v>
      </c>
      <c r="J34" s="2">
        <v>210</v>
      </c>
      <c r="K34" s="2">
        <v>70</v>
      </c>
      <c r="L34" s="2">
        <v>150</v>
      </c>
      <c r="P34" t="s">
        <v>191</v>
      </c>
      <c r="Q34" t="s">
        <v>34</v>
      </c>
      <c r="R34" t="s">
        <v>42</v>
      </c>
      <c r="S34" t="s">
        <v>33</v>
      </c>
      <c r="U34" t="s">
        <v>35</v>
      </c>
      <c r="X34" t="s">
        <v>34</v>
      </c>
      <c r="Y34" t="s">
        <v>45</v>
      </c>
      <c r="Z34" t="s">
        <v>193</v>
      </c>
      <c r="AA34" t="s">
        <v>38</v>
      </c>
    </row>
    <row r="35" spans="1:27" hidden="1">
      <c r="A35" t="s">
        <v>194</v>
      </c>
      <c r="B35" t="s">
        <v>195</v>
      </c>
      <c r="C35" t="e">
        <f>VLOOKUP(B35,Sheet2!$A$2:$A$392,1,0)</f>
        <v>#N/A</v>
      </c>
      <c r="E35" t="s">
        <v>196</v>
      </c>
      <c r="F35" t="s">
        <v>28</v>
      </c>
      <c r="G35" t="s">
        <v>151</v>
      </c>
      <c r="I35" t="s">
        <v>197</v>
      </c>
      <c r="J35" s="2">
        <v>22701</v>
      </c>
      <c r="K35">
        <v>159.5</v>
      </c>
      <c r="L35" s="2">
        <v>14666</v>
      </c>
      <c r="M35" s="2">
        <v>4500</v>
      </c>
      <c r="N35">
        <v>9.1999999999999993</v>
      </c>
      <c r="O35" t="s">
        <v>152</v>
      </c>
      <c r="P35" t="s">
        <v>198</v>
      </c>
      <c r="R35" t="s">
        <v>197</v>
      </c>
      <c r="S35" t="s">
        <v>33</v>
      </c>
      <c r="T35" t="s">
        <v>34</v>
      </c>
      <c r="U35" t="s">
        <v>35</v>
      </c>
      <c r="X35" t="s">
        <v>34</v>
      </c>
      <c r="Y35" t="s">
        <v>55</v>
      </c>
      <c r="Z35" t="s">
        <v>199</v>
      </c>
      <c r="AA35" t="s">
        <v>38</v>
      </c>
    </row>
    <row r="36" spans="1:27" hidden="1">
      <c r="A36" t="s">
        <v>200</v>
      </c>
      <c r="B36" t="s">
        <v>201</v>
      </c>
      <c r="C36" t="e">
        <f>VLOOKUP(B36,Sheet2!$A$2:$A$392,1,0)</f>
        <v>#N/A</v>
      </c>
      <c r="E36" t="s">
        <v>40</v>
      </c>
      <c r="G36" t="s">
        <v>202</v>
      </c>
      <c r="I36" t="s">
        <v>42</v>
      </c>
      <c r="J36" s="2">
        <v>1</v>
      </c>
      <c r="K36">
        <v>30.2</v>
      </c>
      <c r="L36" s="2">
        <v>292</v>
      </c>
      <c r="P36" t="s">
        <v>203</v>
      </c>
      <c r="S36" t="s">
        <v>33</v>
      </c>
      <c r="X36" t="s">
        <v>34</v>
      </c>
      <c r="AA36" t="s">
        <v>38</v>
      </c>
    </row>
    <row r="37" spans="1:27" hidden="1">
      <c r="A37" t="s">
        <v>204</v>
      </c>
      <c r="B37" t="s">
        <v>205</v>
      </c>
      <c r="C37" t="e">
        <f>VLOOKUP(B37,Sheet2!$A$2:$A$392,1,0)</f>
        <v>#N/A</v>
      </c>
      <c r="E37" t="s">
        <v>206</v>
      </c>
      <c r="F37" t="s">
        <v>41</v>
      </c>
      <c r="G37" t="s">
        <v>29</v>
      </c>
      <c r="J37" s="2">
        <v>400</v>
      </c>
      <c r="K37" s="2">
        <v>70</v>
      </c>
      <c r="L37" s="2">
        <v>150</v>
      </c>
      <c r="P37" s="2">
        <v>1</v>
      </c>
      <c r="Q37" t="s">
        <v>34</v>
      </c>
      <c r="R37" t="s">
        <v>42</v>
      </c>
      <c r="S37" t="s">
        <v>33</v>
      </c>
      <c r="U37" t="s">
        <v>35</v>
      </c>
      <c r="X37" t="s">
        <v>34</v>
      </c>
      <c r="Y37" t="s">
        <v>45</v>
      </c>
      <c r="Z37" t="s">
        <v>207</v>
      </c>
      <c r="AA37" t="s">
        <v>38</v>
      </c>
    </row>
    <row r="38" spans="1:27" hidden="1">
      <c r="A38" t="s">
        <v>208</v>
      </c>
      <c r="B38" t="s">
        <v>209</v>
      </c>
      <c r="C38" t="e">
        <f>VLOOKUP(B38,Sheet2!$A$2:$A$392,1,0)</f>
        <v>#N/A</v>
      </c>
      <c r="E38" t="s">
        <v>27</v>
      </c>
      <c r="G38" t="s">
        <v>210</v>
      </c>
      <c r="I38" t="s">
        <v>42</v>
      </c>
      <c r="J38" s="2">
        <v>186</v>
      </c>
      <c r="K38">
        <v>24.8</v>
      </c>
      <c r="L38" s="2">
        <v>66</v>
      </c>
      <c r="P38" t="s">
        <v>211</v>
      </c>
      <c r="S38" t="s">
        <v>33</v>
      </c>
      <c r="X38" t="s">
        <v>34</v>
      </c>
      <c r="AA38" t="s">
        <v>38</v>
      </c>
    </row>
    <row r="39" spans="1:27" hidden="1">
      <c r="A39" t="s">
        <v>212</v>
      </c>
      <c r="B39" t="s">
        <v>213</v>
      </c>
      <c r="C39" t="e">
        <f>VLOOKUP(B39,Sheet2!$A$2:$A$392,1,0)</f>
        <v>#N/A</v>
      </c>
      <c r="E39" t="s">
        <v>52</v>
      </c>
      <c r="F39" t="s">
        <v>28</v>
      </c>
      <c r="G39" t="s">
        <v>59</v>
      </c>
      <c r="I39" t="s">
        <v>60</v>
      </c>
      <c r="J39" s="2">
        <v>56055</v>
      </c>
      <c r="K39" s="3">
        <v>189.99</v>
      </c>
      <c r="L39" s="2">
        <v>31236</v>
      </c>
      <c r="O39" t="s">
        <v>61</v>
      </c>
      <c r="P39" t="s">
        <v>214</v>
      </c>
      <c r="R39" t="s">
        <v>60</v>
      </c>
      <c r="S39" t="s">
        <v>33</v>
      </c>
      <c r="T39" t="s">
        <v>34</v>
      </c>
      <c r="U39" t="s">
        <v>35</v>
      </c>
      <c r="W39" t="s">
        <v>63</v>
      </c>
      <c r="X39" t="s">
        <v>34</v>
      </c>
      <c r="Y39" t="s">
        <v>64</v>
      </c>
      <c r="Z39" t="s">
        <v>215</v>
      </c>
      <c r="AA39" t="s">
        <v>38</v>
      </c>
    </row>
    <row r="40" spans="1:27">
      <c r="A40" t="s">
        <v>216</v>
      </c>
      <c r="B40" t="s">
        <v>217</v>
      </c>
      <c r="C40" t="str">
        <f>VLOOKUP(B40,Sheet2!$A$2:$A$392,1,0)</f>
        <v>MV. AKIJ OCEAN</v>
      </c>
      <c r="E40" t="s">
        <v>52</v>
      </c>
      <c r="F40" t="s">
        <v>28</v>
      </c>
      <c r="G40" t="s">
        <v>59</v>
      </c>
      <c r="J40" s="2">
        <v>45736</v>
      </c>
      <c r="K40" s="3">
        <v>185.74</v>
      </c>
      <c r="L40" s="2">
        <v>25982</v>
      </c>
      <c r="O40" t="s">
        <v>61</v>
      </c>
      <c r="P40" t="s">
        <v>218</v>
      </c>
      <c r="R40" t="s">
        <v>60</v>
      </c>
      <c r="S40" t="s">
        <v>33</v>
      </c>
      <c r="U40" t="s">
        <v>35</v>
      </c>
      <c r="W40" t="s">
        <v>63</v>
      </c>
      <c r="X40" t="s">
        <v>34</v>
      </c>
      <c r="Y40" t="s">
        <v>64</v>
      </c>
      <c r="Z40" t="s">
        <v>219</v>
      </c>
      <c r="AA40" t="s">
        <v>38</v>
      </c>
    </row>
    <row r="41" spans="1:27" hidden="1">
      <c r="A41" t="s">
        <v>220</v>
      </c>
      <c r="B41" t="s">
        <v>221</v>
      </c>
      <c r="C41" t="e">
        <f>VLOOKUP(B41,Sheet2!$A$2:$A$392,1,0)</f>
        <v>#N/A</v>
      </c>
      <c r="E41" t="s">
        <v>52</v>
      </c>
      <c r="F41" t="s">
        <v>28</v>
      </c>
      <c r="G41" t="s">
        <v>222</v>
      </c>
      <c r="J41">
        <v>26.544</v>
      </c>
      <c r="K41" s="3">
        <v>169.37</v>
      </c>
      <c r="L41">
        <v>7.2889999999999997</v>
      </c>
      <c r="N41">
        <v>9.8000000000000007</v>
      </c>
      <c r="O41" t="s">
        <v>223</v>
      </c>
      <c r="P41" t="s">
        <v>224</v>
      </c>
      <c r="R41" t="s">
        <v>225</v>
      </c>
      <c r="S41" t="s">
        <v>33</v>
      </c>
      <c r="U41" t="s">
        <v>35</v>
      </c>
      <c r="V41" s="2">
        <v>5</v>
      </c>
      <c r="X41" t="s">
        <v>34</v>
      </c>
      <c r="Y41" t="s">
        <v>154</v>
      </c>
      <c r="Z41" t="s">
        <v>226</v>
      </c>
      <c r="AA41" t="s">
        <v>38</v>
      </c>
    </row>
    <row r="42" spans="1:27" hidden="1">
      <c r="A42" t="s">
        <v>227</v>
      </c>
      <c r="B42" t="s">
        <v>228</v>
      </c>
      <c r="C42" t="e">
        <f>VLOOKUP(B42,Sheet2!$A$2:$A$392,1,0)</f>
        <v>#N/A</v>
      </c>
      <c r="E42" t="s">
        <v>52</v>
      </c>
      <c r="F42" t="s">
        <v>28</v>
      </c>
      <c r="G42" t="s">
        <v>59</v>
      </c>
      <c r="I42" t="s">
        <v>60</v>
      </c>
      <c r="J42" s="2">
        <v>58803</v>
      </c>
      <c r="K42" s="3">
        <v>189.99</v>
      </c>
      <c r="L42" s="2">
        <v>32379</v>
      </c>
      <c r="O42" t="s">
        <v>61</v>
      </c>
      <c r="P42" t="s">
        <v>229</v>
      </c>
      <c r="R42" t="s">
        <v>60</v>
      </c>
      <c r="S42" t="s">
        <v>33</v>
      </c>
      <c r="T42" t="s">
        <v>34</v>
      </c>
      <c r="U42" t="s">
        <v>35</v>
      </c>
      <c r="W42" t="s">
        <v>63</v>
      </c>
      <c r="X42" t="s">
        <v>34</v>
      </c>
      <c r="Y42" t="s">
        <v>64</v>
      </c>
      <c r="Z42" t="s">
        <v>230</v>
      </c>
      <c r="AA42" t="s">
        <v>38</v>
      </c>
    </row>
    <row r="43" spans="1:27" hidden="1">
      <c r="A43" t="s">
        <v>231</v>
      </c>
      <c r="B43" t="s">
        <v>232</v>
      </c>
      <c r="C43" t="e">
        <f>VLOOKUP(B43,Sheet2!$A$2:$A$392,1,0)</f>
        <v>#N/A</v>
      </c>
      <c r="E43" t="s">
        <v>27</v>
      </c>
      <c r="G43" t="s">
        <v>89</v>
      </c>
      <c r="I43" t="s">
        <v>42</v>
      </c>
      <c r="J43" s="2">
        <v>216</v>
      </c>
      <c r="K43" s="3">
        <v>44.35</v>
      </c>
      <c r="L43" s="2">
        <v>486</v>
      </c>
      <c r="P43" t="s">
        <v>233</v>
      </c>
      <c r="S43" t="s">
        <v>33</v>
      </c>
      <c r="X43" t="s">
        <v>34</v>
      </c>
      <c r="AA43" t="s">
        <v>38</v>
      </c>
    </row>
    <row r="44" spans="1:27">
      <c r="A44" t="s">
        <v>234</v>
      </c>
      <c r="B44" t="s">
        <v>235</v>
      </c>
      <c r="C44" t="str">
        <f>VLOOKUP(B44,Sheet2!$A$2:$A$392,1,0)</f>
        <v>TB. SAFARI 09 / BG. ANUGERAH MULIA 09</v>
      </c>
      <c r="E44" t="s">
        <v>40</v>
      </c>
      <c r="F44" t="s">
        <v>41</v>
      </c>
      <c r="G44" t="s">
        <v>29</v>
      </c>
      <c r="I44" t="s">
        <v>42</v>
      </c>
      <c r="J44" s="2">
        <v>9000</v>
      </c>
      <c r="K44" s="2">
        <v>91</v>
      </c>
      <c r="L44" s="2">
        <v>3493</v>
      </c>
      <c r="P44" t="s">
        <v>236</v>
      </c>
      <c r="R44" t="s">
        <v>42</v>
      </c>
      <c r="S44" t="s">
        <v>33</v>
      </c>
      <c r="T44" t="s">
        <v>34</v>
      </c>
      <c r="U44" t="s">
        <v>44</v>
      </c>
      <c r="X44" t="s">
        <v>34</v>
      </c>
      <c r="Y44" t="s">
        <v>45</v>
      </c>
      <c r="Z44" t="s">
        <v>237</v>
      </c>
      <c r="AA44" t="s">
        <v>38</v>
      </c>
    </row>
    <row r="45" spans="1:27" hidden="1">
      <c r="A45" t="s">
        <v>238</v>
      </c>
      <c r="B45" t="s">
        <v>239</v>
      </c>
      <c r="C45" t="e">
        <f>VLOOKUP(B45,Sheet2!$A$2:$A$392,1,0)</f>
        <v>#N/A</v>
      </c>
      <c r="E45" t="s">
        <v>40</v>
      </c>
      <c r="G45" t="s">
        <v>202</v>
      </c>
      <c r="I45" t="s">
        <v>42</v>
      </c>
      <c r="J45" s="2">
        <v>1</v>
      </c>
      <c r="K45">
        <v>23.9</v>
      </c>
      <c r="L45" s="2">
        <v>152</v>
      </c>
      <c r="P45" t="s">
        <v>240</v>
      </c>
      <c r="S45" t="s">
        <v>33</v>
      </c>
      <c r="X45" t="s">
        <v>34</v>
      </c>
      <c r="AA45" t="s">
        <v>38</v>
      </c>
    </row>
    <row r="46" spans="1:27" hidden="1">
      <c r="A46" t="s">
        <v>241</v>
      </c>
      <c r="B46" t="s">
        <v>242</v>
      </c>
      <c r="C46" t="e">
        <f>VLOOKUP(B46,Sheet2!$A$2:$A$392,1,0)</f>
        <v>#N/A</v>
      </c>
      <c r="E46" t="s">
        <v>27</v>
      </c>
      <c r="F46" t="s">
        <v>41</v>
      </c>
      <c r="G46" t="s">
        <v>29</v>
      </c>
      <c r="I46" t="s">
        <v>42</v>
      </c>
      <c r="J46" s="2">
        <v>2617</v>
      </c>
      <c r="K46" s="2">
        <v>82</v>
      </c>
      <c r="L46" s="2">
        <v>1592</v>
      </c>
      <c r="P46" t="s">
        <v>243</v>
      </c>
      <c r="R46" t="s">
        <v>244</v>
      </c>
      <c r="S46" t="s">
        <v>33</v>
      </c>
      <c r="T46" t="s">
        <v>34</v>
      </c>
      <c r="U46" t="s">
        <v>35</v>
      </c>
      <c r="W46" t="s">
        <v>165</v>
      </c>
      <c r="X46" t="s">
        <v>34</v>
      </c>
      <c r="Y46" t="s">
        <v>245</v>
      </c>
      <c r="Z46" t="s">
        <v>246</v>
      </c>
      <c r="AA46" t="s">
        <v>38</v>
      </c>
    </row>
    <row r="47" spans="1:27" hidden="1">
      <c r="A47" t="s">
        <v>247</v>
      </c>
      <c r="B47" t="s">
        <v>248</v>
      </c>
      <c r="C47" t="e">
        <f>VLOOKUP(B47,Sheet2!$A$2:$A$392,1,0)</f>
        <v>#N/A</v>
      </c>
      <c r="E47" t="s">
        <v>249</v>
      </c>
      <c r="G47" t="s">
        <v>250</v>
      </c>
      <c r="I47" t="s">
        <v>42</v>
      </c>
      <c r="J47" s="2">
        <v>5300</v>
      </c>
      <c r="K47">
        <v>107.8</v>
      </c>
      <c r="L47" s="2">
        <v>4990</v>
      </c>
      <c r="P47" t="s">
        <v>251</v>
      </c>
      <c r="S47" t="s">
        <v>33</v>
      </c>
      <c r="X47" t="s">
        <v>34</v>
      </c>
      <c r="AA47" t="s">
        <v>38</v>
      </c>
    </row>
    <row r="48" spans="1:27" hidden="1">
      <c r="A48" t="s">
        <v>252</v>
      </c>
      <c r="B48" t="s">
        <v>253</v>
      </c>
      <c r="C48" t="e">
        <f>VLOOKUP(B48,Sheet2!$A$2:$A$392,1,0)</f>
        <v>#N/A</v>
      </c>
      <c r="E48" t="s">
        <v>27</v>
      </c>
      <c r="F48" t="s">
        <v>41</v>
      </c>
      <c r="G48" t="s">
        <v>29</v>
      </c>
      <c r="J48" s="2">
        <v>1800</v>
      </c>
      <c r="K48" s="3">
        <v>65.849999999999994</v>
      </c>
      <c r="L48" s="2">
        <v>1016</v>
      </c>
      <c r="M48" s="2">
        <v>3978</v>
      </c>
      <c r="N48" s="2">
        <v>1</v>
      </c>
      <c r="O48" t="s">
        <v>254</v>
      </c>
      <c r="P48" t="s">
        <v>252</v>
      </c>
      <c r="Q48" t="s">
        <v>34</v>
      </c>
      <c r="R48" t="s">
        <v>42</v>
      </c>
      <c r="S48" t="s">
        <v>33</v>
      </c>
      <c r="U48" t="s">
        <v>44</v>
      </c>
      <c r="V48" s="2">
        <v>1</v>
      </c>
      <c r="X48" t="s">
        <v>34</v>
      </c>
      <c r="Y48" t="s">
        <v>45</v>
      </c>
      <c r="Z48" t="s">
        <v>207</v>
      </c>
      <c r="AA48" t="s">
        <v>38</v>
      </c>
    </row>
    <row r="49" spans="1:27" hidden="1">
      <c r="A49" t="s">
        <v>255</v>
      </c>
      <c r="B49" t="s">
        <v>256</v>
      </c>
      <c r="C49" t="e">
        <f>VLOOKUP(B49,Sheet2!$A$2:$A$392,1,0)</f>
        <v>#N/A</v>
      </c>
      <c r="E49" t="s">
        <v>27</v>
      </c>
      <c r="F49" t="s">
        <v>41</v>
      </c>
      <c r="G49" t="s">
        <v>29</v>
      </c>
      <c r="I49" t="s">
        <v>42</v>
      </c>
      <c r="J49" s="2">
        <v>1200</v>
      </c>
      <c r="K49" s="2">
        <v>49</v>
      </c>
      <c r="L49" s="2">
        <v>592</v>
      </c>
      <c r="P49" t="s">
        <v>257</v>
      </c>
      <c r="R49" t="s">
        <v>32</v>
      </c>
      <c r="S49" t="s">
        <v>33</v>
      </c>
      <c r="T49" t="s">
        <v>34</v>
      </c>
      <c r="U49" t="s">
        <v>35</v>
      </c>
      <c r="W49" t="s">
        <v>165</v>
      </c>
      <c r="X49" t="s">
        <v>34</v>
      </c>
      <c r="Y49" t="s">
        <v>245</v>
      </c>
      <c r="Z49" t="s">
        <v>258</v>
      </c>
      <c r="AA49" t="s">
        <v>38</v>
      </c>
    </row>
    <row r="50" spans="1:27">
      <c r="A50" t="s">
        <v>259</v>
      </c>
      <c r="B50" t="s">
        <v>260</v>
      </c>
      <c r="C50" t="str">
        <f>VLOOKUP(B50,Sheet2!$A$2:$A$392,1,0)</f>
        <v>KM. ANUGERAH BUANA III</v>
      </c>
      <c r="E50" t="s">
        <v>27</v>
      </c>
      <c r="F50" t="s">
        <v>28</v>
      </c>
      <c r="G50" t="s">
        <v>59</v>
      </c>
      <c r="J50" s="2">
        <v>2300</v>
      </c>
      <c r="K50" s="3">
        <v>74.13</v>
      </c>
      <c r="L50" s="2">
        <v>1445</v>
      </c>
      <c r="O50" t="s">
        <v>61</v>
      </c>
      <c r="P50" t="s">
        <v>261</v>
      </c>
      <c r="R50" t="s">
        <v>42</v>
      </c>
      <c r="S50" t="s">
        <v>33</v>
      </c>
      <c r="U50" t="s">
        <v>44</v>
      </c>
      <c r="W50" t="s">
        <v>63</v>
      </c>
      <c r="X50" t="s">
        <v>34</v>
      </c>
      <c r="Y50" t="s">
        <v>64</v>
      </c>
      <c r="Z50" t="s">
        <v>262</v>
      </c>
      <c r="AA50" t="s">
        <v>38</v>
      </c>
    </row>
    <row r="51" spans="1:27" hidden="1">
      <c r="A51" t="s">
        <v>263</v>
      </c>
      <c r="B51" t="s">
        <v>264</v>
      </c>
      <c r="C51" t="e">
        <f>VLOOKUP(B51,Sheet2!$A$2:$A$392,1,0)</f>
        <v>#N/A</v>
      </c>
      <c r="E51" t="s">
        <v>170</v>
      </c>
      <c r="I51" t="s">
        <v>42</v>
      </c>
      <c r="J51" s="2">
        <v>1932</v>
      </c>
      <c r="K51">
        <v>73.5</v>
      </c>
      <c r="L51" s="2">
        <v>963</v>
      </c>
      <c r="P51" t="s">
        <v>265</v>
      </c>
      <c r="S51" t="s">
        <v>33</v>
      </c>
      <c r="X51" t="s">
        <v>34</v>
      </c>
      <c r="AA51" t="s">
        <v>38</v>
      </c>
    </row>
    <row r="52" spans="1:27" hidden="1">
      <c r="A52" t="s">
        <v>266</v>
      </c>
      <c r="B52" t="s">
        <v>267</v>
      </c>
      <c r="C52" t="e">
        <f>VLOOKUP(B52,Sheet2!$A$2:$A$392,1,0)</f>
        <v>#N/A</v>
      </c>
      <c r="E52" t="s">
        <v>72</v>
      </c>
      <c r="G52" t="s">
        <v>100</v>
      </c>
      <c r="I52" t="s">
        <v>42</v>
      </c>
      <c r="J52" s="2">
        <v>402</v>
      </c>
      <c r="K52">
        <v>70.099999999999994</v>
      </c>
      <c r="L52" s="2">
        <v>1338</v>
      </c>
      <c r="P52" t="s">
        <v>74</v>
      </c>
      <c r="S52" t="s">
        <v>33</v>
      </c>
      <c r="X52" t="s">
        <v>34</v>
      </c>
      <c r="AA52" t="s">
        <v>38</v>
      </c>
    </row>
    <row r="53" spans="1:27" hidden="1">
      <c r="A53" t="s">
        <v>268</v>
      </c>
      <c r="B53" t="s">
        <v>269</v>
      </c>
      <c r="C53" t="e">
        <f>VLOOKUP(B53,Sheet2!$A$2:$A$392,1,0)</f>
        <v>#N/A</v>
      </c>
      <c r="E53" t="s">
        <v>72</v>
      </c>
      <c r="G53" t="s">
        <v>100</v>
      </c>
      <c r="I53" t="s">
        <v>42</v>
      </c>
      <c r="J53" s="2">
        <v>410</v>
      </c>
      <c r="K53" s="3">
        <v>70.17</v>
      </c>
      <c r="L53" s="2">
        <v>1365</v>
      </c>
      <c r="P53" t="s">
        <v>74</v>
      </c>
      <c r="S53" t="s">
        <v>33</v>
      </c>
      <c r="X53" t="s">
        <v>34</v>
      </c>
      <c r="AA53" t="s">
        <v>38</v>
      </c>
    </row>
    <row r="54" spans="1:27">
      <c r="A54" t="s">
        <v>270</v>
      </c>
      <c r="B54" t="s">
        <v>271</v>
      </c>
      <c r="C54" t="str">
        <f>VLOOKUP(B54,Sheet2!$A$2:$A$392,1,0)</f>
        <v>TB. ASIA TIRTA 2005 / BG. ASIA PERDANA 3005</v>
      </c>
      <c r="E54" t="s">
        <v>40</v>
      </c>
      <c r="F54" t="s">
        <v>41</v>
      </c>
      <c r="G54" t="s">
        <v>29</v>
      </c>
      <c r="I54" t="s">
        <v>42</v>
      </c>
      <c r="J54" s="2">
        <v>8000</v>
      </c>
      <c r="K54" s="2">
        <v>91</v>
      </c>
      <c r="L54" s="2">
        <v>3279</v>
      </c>
      <c r="P54" t="s">
        <v>272</v>
      </c>
      <c r="R54" t="s">
        <v>42</v>
      </c>
      <c r="S54" t="s">
        <v>33</v>
      </c>
      <c r="T54" t="s">
        <v>34</v>
      </c>
      <c r="U54" t="s">
        <v>35</v>
      </c>
      <c r="X54" t="s">
        <v>34</v>
      </c>
      <c r="Y54" t="s">
        <v>45</v>
      </c>
      <c r="Z54" t="s">
        <v>273</v>
      </c>
      <c r="AA54" t="s">
        <v>38</v>
      </c>
    </row>
    <row r="55" spans="1:27" hidden="1">
      <c r="A55" t="s">
        <v>274</v>
      </c>
      <c r="B55" t="s">
        <v>275</v>
      </c>
      <c r="C55" t="e">
        <f>VLOOKUP(B55,Sheet2!$A$2:$A$392,1,0)</f>
        <v>#N/A</v>
      </c>
      <c r="E55" t="s">
        <v>72</v>
      </c>
      <c r="G55" t="s">
        <v>202</v>
      </c>
      <c r="I55" t="s">
        <v>42</v>
      </c>
      <c r="J55" s="2">
        <v>1</v>
      </c>
      <c r="K55" s="2">
        <v>74</v>
      </c>
      <c r="L55" s="2">
        <v>2252</v>
      </c>
      <c r="P55" t="s">
        <v>74</v>
      </c>
      <c r="S55" t="s">
        <v>33</v>
      </c>
      <c r="X55" t="s">
        <v>34</v>
      </c>
      <c r="AA55" t="s">
        <v>38</v>
      </c>
    </row>
    <row r="56" spans="1:27" hidden="1">
      <c r="A56" t="s">
        <v>276</v>
      </c>
      <c r="B56" t="s">
        <v>277</v>
      </c>
      <c r="C56" t="e">
        <f>VLOOKUP(B56,Sheet2!$A$2:$A$392,1,0)</f>
        <v>#N/A</v>
      </c>
      <c r="E56" t="s">
        <v>40</v>
      </c>
      <c r="F56" t="s">
        <v>41</v>
      </c>
      <c r="G56" t="s">
        <v>29</v>
      </c>
      <c r="I56" t="s">
        <v>42</v>
      </c>
      <c r="J56" s="2">
        <v>8000</v>
      </c>
      <c r="K56" s="2">
        <v>87</v>
      </c>
      <c r="L56" s="2">
        <v>3377</v>
      </c>
      <c r="P56" t="s">
        <v>185</v>
      </c>
      <c r="R56" t="s">
        <v>42</v>
      </c>
      <c r="S56" t="s">
        <v>33</v>
      </c>
      <c r="T56" t="s">
        <v>34</v>
      </c>
      <c r="U56" t="s">
        <v>35</v>
      </c>
      <c r="X56" t="s">
        <v>34</v>
      </c>
      <c r="Y56" t="s">
        <v>45</v>
      </c>
      <c r="Z56" t="s">
        <v>278</v>
      </c>
      <c r="AA56" t="s">
        <v>38</v>
      </c>
    </row>
    <row r="57" spans="1:27" hidden="1">
      <c r="A57" t="s">
        <v>279</v>
      </c>
      <c r="B57" t="s">
        <v>280</v>
      </c>
      <c r="C57" t="e">
        <f>VLOOKUP(B57,Sheet2!$A$2:$A$392,1,0)</f>
        <v>#N/A</v>
      </c>
      <c r="E57" t="s">
        <v>27</v>
      </c>
      <c r="F57" t="s">
        <v>41</v>
      </c>
      <c r="G57" t="s">
        <v>158</v>
      </c>
      <c r="J57" s="2">
        <v>4500</v>
      </c>
      <c r="K57">
        <v>90.4</v>
      </c>
      <c r="L57" s="2">
        <v>2440</v>
      </c>
      <c r="M57" s="2">
        <v>1600</v>
      </c>
      <c r="N57">
        <v>1.5</v>
      </c>
      <c r="O57" t="s">
        <v>281</v>
      </c>
      <c r="P57" t="s">
        <v>282</v>
      </c>
      <c r="R57" t="s">
        <v>32</v>
      </c>
      <c r="S57" t="s">
        <v>33</v>
      </c>
      <c r="U57" t="s">
        <v>44</v>
      </c>
      <c r="V57" s="2">
        <v>1</v>
      </c>
      <c r="X57" t="s">
        <v>34</v>
      </c>
      <c r="Y57" t="s">
        <v>45</v>
      </c>
      <c r="Z57" t="s">
        <v>283</v>
      </c>
      <c r="AA57" t="s">
        <v>38</v>
      </c>
    </row>
    <row r="58" spans="1:27" hidden="1">
      <c r="A58" t="s">
        <v>284</v>
      </c>
      <c r="B58" t="s">
        <v>285</v>
      </c>
      <c r="C58" t="e">
        <f>VLOOKUP(B58,Sheet2!$A$2:$A$392,1,0)</f>
        <v>#N/A</v>
      </c>
      <c r="E58" t="s">
        <v>170</v>
      </c>
      <c r="I58" t="s">
        <v>42</v>
      </c>
      <c r="J58" s="2">
        <v>1449</v>
      </c>
      <c r="K58" s="3">
        <v>139.27000000000001</v>
      </c>
      <c r="L58" s="2">
        <v>9457</v>
      </c>
      <c r="P58" t="s">
        <v>286</v>
      </c>
      <c r="S58" t="s">
        <v>33</v>
      </c>
      <c r="X58" t="s">
        <v>34</v>
      </c>
      <c r="AA58" t="s">
        <v>38</v>
      </c>
    </row>
    <row r="59" spans="1:27" hidden="1">
      <c r="A59" t="s">
        <v>287</v>
      </c>
      <c r="B59" t="s">
        <v>288</v>
      </c>
      <c r="C59" t="e">
        <f>VLOOKUP(B59,Sheet2!$A$2:$A$392,1,0)</f>
        <v>#N/A</v>
      </c>
      <c r="E59" t="s">
        <v>27</v>
      </c>
      <c r="F59" t="s">
        <v>41</v>
      </c>
      <c r="G59" t="s">
        <v>158</v>
      </c>
      <c r="J59" s="2">
        <v>3700</v>
      </c>
      <c r="K59" s="2">
        <v>76</v>
      </c>
      <c r="L59" s="2">
        <v>1478</v>
      </c>
      <c r="M59" s="2">
        <v>1800</v>
      </c>
      <c r="N59" s="2">
        <v>4</v>
      </c>
      <c r="O59" t="s">
        <v>159</v>
      </c>
      <c r="P59" t="s">
        <v>289</v>
      </c>
      <c r="R59" t="s">
        <v>32</v>
      </c>
      <c r="S59" t="s">
        <v>33</v>
      </c>
      <c r="U59" t="s">
        <v>44</v>
      </c>
      <c r="V59" s="2">
        <v>2</v>
      </c>
      <c r="W59" t="s">
        <v>63</v>
      </c>
      <c r="X59" t="s">
        <v>34</v>
      </c>
      <c r="Y59" t="s">
        <v>64</v>
      </c>
      <c r="Z59" t="s">
        <v>290</v>
      </c>
      <c r="AA59" t="s">
        <v>38</v>
      </c>
    </row>
    <row r="60" spans="1:27" hidden="1">
      <c r="A60" t="s">
        <v>291</v>
      </c>
      <c r="B60" t="s">
        <v>292</v>
      </c>
      <c r="C60" t="e">
        <f>VLOOKUP(B60,Sheet2!$A$2:$A$392,1,0)</f>
        <v>#N/A</v>
      </c>
      <c r="E60" t="s">
        <v>40</v>
      </c>
      <c r="F60" t="s">
        <v>41</v>
      </c>
      <c r="G60" t="s">
        <v>293</v>
      </c>
      <c r="J60" s="2">
        <v>8000</v>
      </c>
      <c r="K60" s="2">
        <v>93</v>
      </c>
      <c r="L60" s="2">
        <v>3177</v>
      </c>
      <c r="M60" s="2">
        <v>1658</v>
      </c>
      <c r="N60">
        <v>5.5</v>
      </c>
      <c r="O60" t="s">
        <v>294</v>
      </c>
      <c r="P60" t="s">
        <v>295</v>
      </c>
      <c r="R60" t="s">
        <v>42</v>
      </c>
      <c r="S60" t="s">
        <v>33</v>
      </c>
      <c r="U60" t="s">
        <v>35</v>
      </c>
      <c r="W60" t="s">
        <v>63</v>
      </c>
      <c r="X60" t="s">
        <v>34</v>
      </c>
      <c r="Y60" t="s">
        <v>64</v>
      </c>
      <c r="Z60" t="s">
        <v>296</v>
      </c>
      <c r="AA60" t="s">
        <v>38</v>
      </c>
    </row>
    <row r="61" spans="1:27" hidden="1">
      <c r="A61" t="s">
        <v>297</v>
      </c>
      <c r="B61" t="s">
        <v>298</v>
      </c>
      <c r="C61" t="e">
        <f>VLOOKUP(B61,Sheet2!$A$2:$A$392,1,0)</f>
        <v>#N/A</v>
      </c>
      <c r="E61" t="s">
        <v>72</v>
      </c>
      <c r="G61" t="s">
        <v>73</v>
      </c>
      <c r="I61" t="s">
        <v>42</v>
      </c>
      <c r="J61" s="2">
        <v>3136</v>
      </c>
      <c r="K61" s="3">
        <v>91.52</v>
      </c>
      <c r="L61" s="2">
        <v>3136</v>
      </c>
      <c r="P61" t="s">
        <v>74</v>
      </c>
      <c r="S61" t="s">
        <v>33</v>
      </c>
      <c r="X61" t="s">
        <v>34</v>
      </c>
      <c r="AA61" t="s">
        <v>38</v>
      </c>
    </row>
    <row r="62" spans="1:27" hidden="1">
      <c r="A62" t="s">
        <v>299</v>
      </c>
      <c r="B62" t="s">
        <v>300</v>
      </c>
      <c r="C62" t="e">
        <f>VLOOKUP(B62,Sheet2!$A$2:$A$392,1,0)</f>
        <v>#N/A</v>
      </c>
      <c r="E62" t="s">
        <v>52</v>
      </c>
      <c r="F62" t="s">
        <v>28</v>
      </c>
      <c r="G62" t="s">
        <v>59</v>
      </c>
      <c r="I62" t="s">
        <v>301</v>
      </c>
      <c r="J62" s="2">
        <v>37927</v>
      </c>
      <c r="K62" s="3">
        <v>179.97</v>
      </c>
      <c r="L62" s="2">
        <v>23302</v>
      </c>
      <c r="N62">
        <v>10.756</v>
      </c>
      <c r="O62" t="s">
        <v>61</v>
      </c>
      <c r="P62" t="s">
        <v>302</v>
      </c>
      <c r="R62" t="s">
        <v>32</v>
      </c>
      <c r="S62" t="s">
        <v>33</v>
      </c>
      <c r="T62" t="s">
        <v>34</v>
      </c>
      <c r="U62" t="s">
        <v>35</v>
      </c>
      <c r="V62" s="2">
        <v>5</v>
      </c>
      <c r="W62" t="s">
        <v>63</v>
      </c>
      <c r="X62" t="s">
        <v>34</v>
      </c>
      <c r="Y62" t="s">
        <v>64</v>
      </c>
      <c r="Z62" t="s">
        <v>303</v>
      </c>
      <c r="AA62" t="s">
        <v>38</v>
      </c>
    </row>
    <row r="63" spans="1:27">
      <c r="A63" t="s">
        <v>304</v>
      </c>
      <c r="B63" t="s">
        <v>305</v>
      </c>
      <c r="C63" t="str">
        <f>VLOOKUP(B63,Sheet2!$A$2:$A$392,1,0)</f>
        <v>KM. ARTHA PRIMA</v>
      </c>
      <c r="E63" t="s">
        <v>27</v>
      </c>
      <c r="F63" t="s">
        <v>41</v>
      </c>
      <c r="G63" t="s">
        <v>29</v>
      </c>
      <c r="J63" s="2">
        <v>1200</v>
      </c>
      <c r="K63">
        <v>60.1</v>
      </c>
      <c r="L63" s="2">
        <v>1000</v>
      </c>
      <c r="M63" s="2">
        <v>10000</v>
      </c>
      <c r="N63" s="2">
        <v>5</v>
      </c>
      <c r="O63" t="s">
        <v>254</v>
      </c>
      <c r="P63" t="s">
        <v>304</v>
      </c>
      <c r="R63" t="s">
        <v>42</v>
      </c>
      <c r="S63" t="s">
        <v>33</v>
      </c>
      <c r="U63" t="s">
        <v>44</v>
      </c>
      <c r="X63" t="s">
        <v>34</v>
      </c>
      <c r="Y63" t="s">
        <v>45</v>
      </c>
      <c r="Z63" t="s">
        <v>306</v>
      </c>
      <c r="AA63" t="s">
        <v>38</v>
      </c>
    </row>
    <row r="64" spans="1:27" hidden="1">
      <c r="A64" t="s">
        <v>307</v>
      </c>
      <c r="B64" t="s">
        <v>308</v>
      </c>
      <c r="C64" t="e">
        <f>VLOOKUP(B64,Sheet2!$A$2:$A$392,1,0)</f>
        <v>#N/A</v>
      </c>
      <c r="E64" t="s">
        <v>72</v>
      </c>
      <c r="G64" t="s">
        <v>73</v>
      </c>
      <c r="I64" t="s">
        <v>42</v>
      </c>
      <c r="J64" s="2">
        <v>3136</v>
      </c>
      <c r="K64" s="3">
        <v>91.52</v>
      </c>
      <c r="L64" s="2">
        <v>3136</v>
      </c>
      <c r="P64" t="s">
        <v>74</v>
      </c>
      <c r="S64" t="s">
        <v>33</v>
      </c>
      <c r="X64" t="s">
        <v>34</v>
      </c>
      <c r="AA64" t="s">
        <v>38</v>
      </c>
    </row>
    <row r="65" spans="1:27" hidden="1">
      <c r="A65" t="s">
        <v>309</v>
      </c>
      <c r="B65" t="s">
        <v>310</v>
      </c>
      <c r="C65" t="e">
        <f>VLOOKUP(B65,Sheet2!$A$2:$A$392,1,0)</f>
        <v>#N/A</v>
      </c>
      <c r="E65" t="s">
        <v>72</v>
      </c>
      <c r="G65" t="s">
        <v>73</v>
      </c>
      <c r="I65" t="s">
        <v>42</v>
      </c>
      <c r="J65" s="2">
        <v>3152</v>
      </c>
      <c r="K65">
        <v>91.5</v>
      </c>
      <c r="L65" s="2">
        <v>3152</v>
      </c>
      <c r="P65" t="s">
        <v>74</v>
      </c>
      <c r="S65" t="s">
        <v>33</v>
      </c>
      <c r="X65" t="s">
        <v>34</v>
      </c>
      <c r="AA65" t="s">
        <v>38</v>
      </c>
    </row>
    <row r="66" spans="1:27" hidden="1">
      <c r="A66" t="s">
        <v>311</v>
      </c>
      <c r="B66" t="s">
        <v>312</v>
      </c>
      <c r="C66" t="e">
        <f>VLOOKUP(B66,Sheet2!$A$2:$A$392,1,0)</f>
        <v>#N/A</v>
      </c>
      <c r="E66" t="s">
        <v>40</v>
      </c>
      <c r="F66" t="s">
        <v>41</v>
      </c>
      <c r="G66" t="s">
        <v>59</v>
      </c>
      <c r="I66" t="s">
        <v>42</v>
      </c>
      <c r="J66" s="2">
        <v>3697</v>
      </c>
      <c r="K66" s="2">
        <v>80</v>
      </c>
      <c r="L66" s="2">
        <v>1465</v>
      </c>
      <c r="O66" t="s">
        <v>61</v>
      </c>
      <c r="P66" t="s">
        <v>313</v>
      </c>
      <c r="R66" t="s">
        <v>42</v>
      </c>
      <c r="S66" t="s">
        <v>33</v>
      </c>
      <c r="T66" t="s">
        <v>34</v>
      </c>
      <c r="U66" t="s">
        <v>44</v>
      </c>
      <c r="W66" t="s">
        <v>63</v>
      </c>
      <c r="X66" t="s">
        <v>34</v>
      </c>
      <c r="Y66" t="s">
        <v>64</v>
      </c>
      <c r="Z66" t="s">
        <v>314</v>
      </c>
      <c r="AA66" t="s">
        <v>38</v>
      </c>
    </row>
    <row r="67" spans="1:27" hidden="1">
      <c r="A67" t="s">
        <v>315</v>
      </c>
      <c r="B67" t="s">
        <v>316</v>
      </c>
      <c r="C67" t="e">
        <f>VLOOKUP(B67,Sheet2!$A$2:$A$392,1,0)</f>
        <v>#N/A</v>
      </c>
      <c r="E67" t="s">
        <v>40</v>
      </c>
      <c r="F67" t="s">
        <v>41</v>
      </c>
      <c r="G67" t="s">
        <v>59</v>
      </c>
      <c r="J67" s="2">
        <v>7000</v>
      </c>
      <c r="K67" s="3">
        <v>87.78</v>
      </c>
      <c r="L67" s="2">
        <v>2435</v>
      </c>
      <c r="O67" t="s">
        <v>61</v>
      </c>
      <c r="P67" t="s">
        <v>317</v>
      </c>
      <c r="R67" t="s">
        <v>42</v>
      </c>
      <c r="S67" t="s">
        <v>33</v>
      </c>
      <c r="U67" t="s">
        <v>44</v>
      </c>
      <c r="W67" t="s">
        <v>63</v>
      </c>
      <c r="X67" t="s">
        <v>34</v>
      </c>
      <c r="Y67" t="s">
        <v>64</v>
      </c>
      <c r="Z67" t="s">
        <v>318</v>
      </c>
      <c r="AA67" t="s">
        <v>38</v>
      </c>
    </row>
    <row r="68" spans="1:27" hidden="1">
      <c r="A68" t="s">
        <v>319</v>
      </c>
      <c r="B68" t="s">
        <v>320</v>
      </c>
      <c r="C68" t="e">
        <f>VLOOKUP(B68,Sheet2!$A$2:$A$392,1,0)</f>
        <v>#N/A</v>
      </c>
      <c r="E68" t="s">
        <v>206</v>
      </c>
      <c r="F68" t="s">
        <v>41</v>
      </c>
      <c r="G68" t="s">
        <v>29</v>
      </c>
      <c r="J68" s="2">
        <v>400</v>
      </c>
      <c r="K68" s="2">
        <v>70</v>
      </c>
      <c r="L68" s="2">
        <v>150</v>
      </c>
      <c r="P68" s="2">
        <v>1</v>
      </c>
      <c r="Q68" t="s">
        <v>34</v>
      </c>
      <c r="R68" t="s">
        <v>42</v>
      </c>
      <c r="S68" t="s">
        <v>33</v>
      </c>
      <c r="U68" t="s">
        <v>35</v>
      </c>
      <c r="X68" t="s">
        <v>34</v>
      </c>
      <c r="Y68" t="s">
        <v>45</v>
      </c>
      <c r="Z68" t="s">
        <v>321</v>
      </c>
      <c r="AA68" t="s">
        <v>38</v>
      </c>
    </row>
    <row r="69" spans="1:27" hidden="1">
      <c r="A69" t="s">
        <v>322</v>
      </c>
      <c r="B69" t="s">
        <v>323</v>
      </c>
      <c r="C69" t="e">
        <f>VLOOKUP(B69,Sheet2!$A$2:$A$392,1,0)</f>
        <v>#N/A</v>
      </c>
      <c r="E69" t="s">
        <v>52</v>
      </c>
      <c r="F69" t="s">
        <v>28</v>
      </c>
      <c r="G69" t="s">
        <v>29</v>
      </c>
      <c r="I69" t="s">
        <v>301</v>
      </c>
      <c r="J69" s="2">
        <v>32739</v>
      </c>
      <c r="K69" s="2">
        <v>177</v>
      </c>
      <c r="L69" s="2">
        <v>19885</v>
      </c>
      <c r="P69" t="s">
        <v>324</v>
      </c>
      <c r="R69" t="s">
        <v>32</v>
      </c>
      <c r="S69" t="s">
        <v>33</v>
      </c>
      <c r="T69" t="s">
        <v>34</v>
      </c>
      <c r="U69" t="s">
        <v>35</v>
      </c>
      <c r="X69" t="s">
        <v>34</v>
      </c>
      <c r="Y69" t="s">
        <v>45</v>
      </c>
      <c r="Z69" t="s">
        <v>325</v>
      </c>
      <c r="AA69" t="s">
        <v>38</v>
      </c>
    </row>
    <row r="70" spans="1:27" hidden="1">
      <c r="A70" t="s">
        <v>326</v>
      </c>
      <c r="B70" t="s">
        <v>327</v>
      </c>
      <c r="C70" t="e">
        <f>VLOOKUP(B70,Sheet2!$A$2:$A$392,1,0)</f>
        <v>#N/A</v>
      </c>
      <c r="E70" t="s">
        <v>27</v>
      </c>
      <c r="F70" t="s">
        <v>41</v>
      </c>
      <c r="G70" t="s">
        <v>29</v>
      </c>
      <c r="I70" t="s">
        <v>42</v>
      </c>
      <c r="J70" s="2">
        <v>1057</v>
      </c>
      <c r="K70" s="2">
        <v>48</v>
      </c>
      <c r="L70" s="2">
        <v>726</v>
      </c>
      <c r="P70" t="s">
        <v>328</v>
      </c>
      <c r="R70" t="s">
        <v>32</v>
      </c>
      <c r="S70" t="s">
        <v>33</v>
      </c>
      <c r="T70" t="s">
        <v>34</v>
      </c>
      <c r="U70" t="s">
        <v>35</v>
      </c>
      <c r="X70" t="s">
        <v>34</v>
      </c>
      <c r="Y70" t="s">
        <v>45</v>
      </c>
      <c r="Z70" t="s">
        <v>329</v>
      </c>
      <c r="AA70" t="s">
        <v>38</v>
      </c>
    </row>
    <row r="71" spans="1:27">
      <c r="A71" t="s">
        <v>330</v>
      </c>
      <c r="B71" t="s">
        <v>331</v>
      </c>
      <c r="C71" t="str">
        <f>VLOOKUP(B71,Sheet2!$A$2:$A$392,1,0)</f>
        <v>KM. ASIA PUTRA</v>
      </c>
      <c r="E71" t="s">
        <v>27</v>
      </c>
      <c r="F71" t="s">
        <v>41</v>
      </c>
      <c r="G71" t="s">
        <v>29</v>
      </c>
      <c r="I71" t="s">
        <v>42</v>
      </c>
      <c r="J71" s="2">
        <v>2150</v>
      </c>
      <c r="K71" s="2">
        <v>60</v>
      </c>
      <c r="L71" s="2">
        <v>1145</v>
      </c>
      <c r="M71" s="2">
        <v>1600</v>
      </c>
      <c r="N71" s="3">
        <v>5.04</v>
      </c>
      <c r="P71" t="s">
        <v>332</v>
      </c>
      <c r="R71" t="s">
        <v>32</v>
      </c>
      <c r="S71" t="s">
        <v>33</v>
      </c>
      <c r="T71" t="s">
        <v>34</v>
      </c>
      <c r="U71" t="s">
        <v>35</v>
      </c>
      <c r="X71" t="s">
        <v>34</v>
      </c>
      <c r="Y71" t="s">
        <v>45</v>
      </c>
      <c r="Z71" t="s">
        <v>333</v>
      </c>
      <c r="AA71" t="s">
        <v>38</v>
      </c>
    </row>
    <row r="72" spans="1:27" hidden="1">
      <c r="A72" t="s">
        <v>334</v>
      </c>
      <c r="B72" t="s">
        <v>335</v>
      </c>
      <c r="C72" t="e">
        <f>VLOOKUP(B72,Sheet2!$A$2:$A$392,1,0)</f>
        <v>#N/A</v>
      </c>
      <c r="E72" t="s">
        <v>249</v>
      </c>
      <c r="G72" t="s">
        <v>336</v>
      </c>
      <c r="I72" t="s">
        <v>42</v>
      </c>
      <c r="J72" s="2">
        <v>8528</v>
      </c>
      <c r="K72" s="2">
        <v>114</v>
      </c>
      <c r="L72" s="2">
        <v>6093</v>
      </c>
      <c r="P72" t="s">
        <v>337</v>
      </c>
      <c r="S72" t="s">
        <v>33</v>
      </c>
      <c r="X72" t="s">
        <v>34</v>
      </c>
      <c r="AA72" t="s">
        <v>38</v>
      </c>
    </row>
    <row r="73" spans="1:27" hidden="1">
      <c r="A73" t="s">
        <v>338</v>
      </c>
      <c r="B73" t="s">
        <v>339</v>
      </c>
      <c r="C73" t="e">
        <f>VLOOKUP(B73,Sheet2!$A$2:$A$392,1,0)</f>
        <v>#N/A</v>
      </c>
      <c r="E73" t="s">
        <v>27</v>
      </c>
      <c r="F73" t="s">
        <v>41</v>
      </c>
      <c r="G73" t="s">
        <v>340</v>
      </c>
      <c r="I73" t="s">
        <v>42</v>
      </c>
      <c r="J73" s="2">
        <v>2350</v>
      </c>
      <c r="K73">
        <v>76.2</v>
      </c>
      <c r="L73" s="2">
        <v>1293</v>
      </c>
      <c r="M73" s="2">
        <v>700</v>
      </c>
      <c r="N73" s="3">
        <v>4.43</v>
      </c>
      <c r="O73" t="s">
        <v>341</v>
      </c>
      <c r="P73" t="s">
        <v>342</v>
      </c>
      <c r="R73" t="s">
        <v>42</v>
      </c>
      <c r="S73" t="s">
        <v>33</v>
      </c>
      <c r="T73" t="s">
        <v>106</v>
      </c>
      <c r="U73" t="s">
        <v>44</v>
      </c>
      <c r="V73" s="2">
        <v>2</v>
      </c>
      <c r="X73" t="s">
        <v>34</v>
      </c>
      <c r="Y73" t="s">
        <v>154</v>
      </c>
      <c r="Z73" t="s">
        <v>343</v>
      </c>
      <c r="AA73" t="s">
        <v>38</v>
      </c>
    </row>
    <row r="74" spans="1:27" hidden="1">
      <c r="A74" t="s">
        <v>344</v>
      </c>
      <c r="B74" t="s">
        <v>345</v>
      </c>
      <c r="C74" t="e">
        <f>VLOOKUP(B74,Sheet2!$A$2:$A$392,1,0)</f>
        <v>#N/A</v>
      </c>
      <c r="E74" t="s">
        <v>40</v>
      </c>
      <c r="G74" t="s">
        <v>100</v>
      </c>
      <c r="I74" t="s">
        <v>42</v>
      </c>
      <c r="J74" s="2">
        <v>42</v>
      </c>
      <c r="K74">
        <v>23.5</v>
      </c>
      <c r="L74" s="2">
        <v>137</v>
      </c>
      <c r="P74" t="s">
        <v>313</v>
      </c>
      <c r="S74" t="s">
        <v>33</v>
      </c>
      <c r="X74" t="s">
        <v>34</v>
      </c>
      <c r="AA74" t="s">
        <v>38</v>
      </c>
    </row>
    <row r="75" spans="1:27" hidden="1">
      <c r="A75" t="s">
        <v>346</v>
      </c>
      <c r="B75" t="s">
        <v>347</v>
      </c>
      <c r="C75" t="e">
        <f>VLOOKUP(B75,Sheet2!$A$2:$A$392,1,0)</f>
        <v>#N/A</v>
      </c>
      <c r="E75" t="s">
        <v>40</v>
      </c>
      <c r="G75" t="s">
        <v>100</v>
      </c>
      <c r="I75" t="s">
        <v>42</v>
      </c>
      <c r="J75" s="2">
        <v>42</v>
      </c>
      <c r="K75" s="3">
        <v>23.76</v>
      </c>
      <c r="L75" s="2">
        <v>140</v>
      </c>
      <c r="P75" t="s">
        <v>348</v>
      </c>
      <c r="S75" t="s">
        <v>33</v>
      </c>
      <c r="X75" t="s">
        <v>34</v>
      </c>
      <c r="AA75" t="s">
        <v>38</v>
      </c>
    </row>
    <row r="76" spans="1:27" hidden="1">
      <c r="A76" t="s">
        <v>349</v>
      </c>
      <c r="B76" t="s">
        <v>350</v>
      </c>
      <c r="C76" t="e">
        <f>VLOOKUP(B76,Sheet2!$A$2:$A$392,1,0)</f>
        <v>#N/A</v>
      </c>
      <c r="E76" t="s">
        <v>27</v>
      </c>
      <c r="F76" t="s">
        <v>28</v>
      </c>
      <c r="G76" t="s">
        <v>29</v>
      </c>
      <c r="J76" s="2">
        <v>6650</v>
      </c>
      <c r="K76" s="2">
        <v>104</v>
      </c>
      <c r="L76" s="2">
        <v>4462</v>
      </c>
      <c r="P76" t="s">
        <v>351</v>
      </c>
      <c r="R76" t="s">
        <v>352</v>
      </c>
      <c r="S76" t="s">
        <v>33</v>
      </c>
      <c r="U76" t="s">
        <v>35</v>
      </c>
      <c r="X76" t="s">
        <v>34</v>
      </c>
      <c r="Y76" t="s">
        <v>45</v>
      </c>
      <c r="Z76" t="s">
        <v>321</v>
      </c>
      <c r="AA76" t="s">
        <v>38</v>
      </c>
    </row>
    <row r="77" spans="1:27" hidden="1">
      <c r="A77" t="s">
        <v>353</v>
      </c>
      <c r="B77" t="s">
        <v>354</v>
      </c>
      <c r="C77" t="e">
        <f>VLOOKUP(B77,Sheet2!$A$2:$A$392,1,0)</f>
        <v>#N/A</v>
      </c>
      <c r="E77" t="s">
        <v>40</v>
      </c>
      <c r="G77" t="s">
        <v>355</v>
      </c>
      <c r="I77" t="s">
        <v>42</v>
      </c>
      <c r="J77" s="2">
        <v>185</v>
      </c>
      <c r="K77">
        <v>23.5</v>
      </c>
      <c r="L77" s="2">
        <v>140</v>
      </c>
      <c r="P77" t="s">
        <v>356</v>
      </c>
      <c r="S77" t="s">
        <v>33</v>
      </c>
      <c r="X77" t="s">
        <v>34</v>
      </c>
      <c r="AA77" t="s">
        <v>38</v>
      </c>
    </row>
    <row r="78" spans="1:27" hidden="1">
      <c r="A78" t="s">
        <v>357</v>
      </c>
      <c r="B78" t="s">
        <v>358</v>
      </c>
      <c r="C78" t="e">
        <f>VLOOKUP(B78,Sheet2!$A$2:$A$392,1,0)</f>
        <v>#N/A</v>
      </c>
      <c r="E78" t="s">
        <v>72</v>
      </c>
      <c r="G78" t="s">
        <v>73</v>
      </c>
      <c r="I78" t="s">
        <v>42</v>
      </c>
      <c r="J78" s="2">
        <v>2144</v>
      </c>
      <c r="K78">
        <v>82.3</v>
      </c>
      <c r="L78" s="2">
        <v>2144</v>
      </c>
      <c r="P78" s="2">
        <v>0</v>
      </c>
      <c r="S78" t="s">
        <v>33</v>
      </c>
      <c r="X78" t="s">
        <v>34</v>
      </c>
      <c r="AA78" t="s">
        <v>38</v>
      </c>
    </row>
    <row r="79" spans="1:27" hidden="1">
      <c r="A79" t="s">
        <v>359</v>
      </c>
      <c r="B79" t="s">
        <v>360</v>
      </c>
      <c r="C79" t="e">
        <f>VLOOKUP(B79,Sheet2!$A$2:$A$392,1,0)</f>
        <v>#N/A</v>
      </c>
      <c r="E79" t="s">
        <v>27</v>
      </c>
      <c r="F79" t="s">
        <v>41</v>
      </c>
      <c r="G79" t="s">
        <v>29</v>
      </c>
      <c r="I79" t="s">
        <v>42</v>
      </c>
      <c r="J79" s="2">
        <v>2600</v>
      </c>
      <c r="K79" s="2">
        <v>74</v>
      </c>
      <c r="L79" s="2">
        <v>1433</v>
      </c>
      <c r="M79" s="2">
        <v>1000</v>
      </c>
      <c r="P79" t="s">
        <v>361</v>
      </c>
      <c r="R79" t="s">
        <v>32</v>
      </c>
      <c r="S79" t="s">
        <v>33</v>
      </c>
      <c r="T79" t="s">
        <v>34</v>
      </c>
      <c r="U79" t="s">
        <v>35</v>
      </c>
      <c r="X79" t="s">
        <v>34</v>
      </c>
      <c r="Y79" t="s">
        <v>45</v>
      </c>
      <c r="Z79" t="s">
        <v>362</v>
      </c>
      <c r="AA79" t="s">
        <v>38</v>
      </c>
    </row>
    <row r="80" spans="1:27" hidden="1">
      <c r="A80" t="s">
        <v>363</v>
      </c>
      <c r="B80" t="s">
        <v>364</v>
      </c>
      <c r="C80" t="e">
        <f>VLOOKUP(B80,Sheet2!$A$2:$A$392,1,0)</f>
        <v>#N/A</v>
      </c>
      <c r="E80" t="s">
        <v>72</v>
      </c>
      <c r="G80" t="s">
        <v>355</v>
      </c>
      <c r="I80" t="s">
        <v>42</v>
      </c>
      <c r="J80" s="2">
        <v>4010</v>
      </c>
      <c r="K80">
        <v>76.2</v>
      </c>
      <c r="L80" s="2">
        <v>2005</v>
      </c>
      <c r="P80" t="s">
        <v>74</v>
      </c>
      <c r="S80" t="s">
        <v>33</v>
      </c>
      <c r="X80" t="s">
        <v>34</v>
      </c>
      <c r="AA80" t="s">
        <v>38</v>
      </c>
    </row>
    <row r="81" spans="1:27" hidden="1">
      <c r="A81" t="s">
        <v>365</v>
      </c>
      <c r="B81" t="s">
        <v>366</v>
      </c>
      <c r="C81" t="e">
        <f>VLOOKUP(B81,Sheet2!$A$2:$A$392,1,0)</f>
        <v>#N/A</v>
      </c>
      <c r="E81" t="s">
        <v>170</v>
      </c>
      <c r="I81" t="s">
        <v>42</v>
      </c>
      <c r="J81" s="2">
        <v>4896</v>
      </c>
      <c r="K81">
        <v>90.9</v>
      </c>
      <c r="L81" s="2">
        <v>3129</v>
      </c>
      <c r="P81" t="s">
        <v>367</v>
      </c>
      <c r="S81" t="s">
        <v>33</v>
      </c>
      <c r="X81" t="s">
        <v>34</v>
      </c>
      <c r="AA81" t="s">
        <v>38</v>
      </c>
    </row>
    <row r="82" spans="1:27" hidden="1">
      <c r="A82" t="s">
        <v>368</v>
      </c>
      <c r="B82" t="s">
        <v>369</v>
      </c>
      <c r="C82" t="e">
        <f>VLOOKUP(B82,Sheet2!$A$2:$A$392,1,0)</f>
        <v>#N/A</v>
      </c>
      <c r="E82" t="s">
        <v>40</v>
      </c>
      <c r="F82" t="s">
        <v>41</v>
      </c>
      <c r="G82" t="s">
        <v>29</v>
      </c>
      <c r="I82" t="s">
        <v>42</v>
      </c>
      <c r="J82" s="2">
        <v>8000</v>
      </c>
      <c r="K82" s="2">
        <v>91</v>
      </c>
      <c r="L82" s="2">
        <v>3298</v>
      </c>
      <c r="P82" t="s">
        <v>185</v>
      </c>
      <c r="R82" t="s">
        <v>42</v>
      </c>
      <c r="S82" t="s">
        <v>33</v>
      </c>
      <c r="T82" t="s">
        <v>34</v>
      </c>
      <c r="U82" t="s">
        <v>35</v>
      </c>
      <c r="X82" t="s">
        <v>34</v>
      </c>
      <c r="Y82" t="s">
        <v>45</v>
      </c>
      <c r="Z82" t="s">
        <v>370</v>
      </c>
      <c r="AA82" t="s">
        <v>38</v>
      </c>
    </row>
    <row r="83" spans="1:27" hidden="1">
      <c r="A83" t="s">
        <v>371</v>
      </c>
      <c r="B83" t="s">
        <v>372</v>
      </c>
      <c r="C83" t="e">
        <f>VLOOKUP(B83,Sheet2!$A$2:$A$392,1,0)</f>
        <v>#N/A</v>
      </c>
      <c r="E83" t="s">
        <v>40</v>
      </c>
      <c r="F83" t="s">
        <v>41</v>
      </c>
      <c r="G83" t="s">
        <v>29</v>
      </c>
      <c r="I83" t="s">
        <v>42</v>
      </c>
      <c r="J83" s="2">
        <v>8000</v>
      </c>
      <c r="K83" s="2">
        <v>91</v>
      </c>
      <c r="L83" s="2">
        <v>3155</v>
      </c>
      <c r="P83" t="s">
        <v>185</v>
      </c>
      <c r="R83" t="s">
        <v>42</v>
      </c>
      <c r="S83" t="s">
        <v>33</v>
      </c>
      <c r="T83" t="s">
        <v>34</v>
      </c>
      <c r="U83" t="s">
        <v>35</v>
      </c>
      <c r="X83" t="s">
        <v>34</v>
      </c>
      <c r="Y83" t="s">
        <v>45</v>
      </c>
      <c r="Z83" t="s">
        <v>370</v>
      </c>
      <c r="AA83" t="s">
        <v>38</v>
      </c>
    </row>
    <row r="84" spans="1:27" hidden="1">
      <c r="A84" t="s">
        <v>373</v>
      </c>
      <c r="B84" t="s">
        <v>374</v>
      </c>
      <c r="C84" t="e">
        <f>VLOOKUP(B84,Sheet2!$A$2:$A$392,1,0)</f>
        <v>#N/A</v>
      </c>
      <c r="E84" t="s">
        <v>72</v>
      </c>
      <c r="G84" t="s">
        <v>115</v>
      </c>
      <c r="I84" t="s">
        <v>42</v>
      </c>
      <c r="J84" s="2">
        <v>7500</v>
      </c>
      <c r="K84" s="3">
        <v>91.44</v>
      </c>
      <c r="L84" s="2">
        <v>3107</v>
      </c>
      <c r="P84" t="s">
        <v>74</v>
      </c>
      <c r="S84" t="s">
        <v>33</v>
      </c>
      <c r="X84" t="s">
        <v>34</v>
      </c>
      <c r="AA84" t="s">
        <v>38</v>
      </c>
    </row>
    <row r="85" spans="1:27" hidden="1">
      <c r="A85" t="s">
        <v>375</v>
      </c>
      <c r="B85" t="s">
        <v>376</v>
      </c>
      <c r="C85" t="e">
        <f>VLOOKUP(B85,Sheet2!$A$2:$A$392,1,0)</f>
        <v>#N/A</v>
      </c>
      <c r="E85" t="s">
        <v>27</v>
      </c>
      <c r="F85" t="s">
        <v>41</v>
      </c>
      <c r="G85" t="s">
        <v>29</v>
      </c>
      <c r="I85" t="s">
        <v>42</v>
      </c>
      <c r="J85" s="2">
        <v>8278</v>
      </c>
      <c r="K85" s="2">
        <v>99</v>
      </c>
      <c r="L85" s="2">
        <v>5753</v>
      </c>
      <c r="P85" t="s">
        <v>377</v>
      </c>
      <c r="R85" t="s">
        <v>32</v>
      </c>
      <c r="S85" t="s">
        <v>33</v>
      </c>
      <c r="T85" t="s">
        <v>34</v>
      </c>
      <c r="U85" t="s">
        <v>35</v>
      </c>
      <c r="X85" t="s">
        <v>34</v>
      </c>
      <c r="Y85" t="s">
        <v>378</v>
      </c>
      <c r="Z85" t="s">
        <v>379</v>
      </c>
      <c r="AA85" t="s">
        <v>38</v>
      </c>
    </row>
    <row r="86" spans="1:27">
      <c r="A86" t="s">
        <v>380</v>
      </c>
      <c r="B86" t="s">
        <v>381</v>
      </c>
      <c r="C86" t="str">
        <f>VLOOKUP(B86,Sheet2!$A$2:$A$392,1,0)</f>
        <v>TB. AVERY / BG. NAOMI</v>
      </c>
      <c r="E86" t="s">
        <v>40</v>
      </c>
      <c r="F86" t="s">
        <v>41</v>
      </c>
      <c r="G86" t="s">
        <v>382</v>
      </c>
      <c r="I86" t="s">
        <v>42</v>
      </c>
      <c r="J86" s="2">
        <v>8000</v>
      </c>
      <c r="K86" s="3">
        <v>91.44</v>
      </c>
      <c r="L86" s="2">
        <v>3145</v>
      </c>
      <c r="M86" s="2">
        <v>1645</v>
      </c>
      <c r="N86" s="2">
        <v>4</v>
      </c>
      <c r="O86" t="s">
        <v>383</v>
      </c>
      <c r="P86" t="s">
        <v>384</v>
      </c>
      <c r="R86" t="s">
        <v>42</v>
      </c>
      <c r="S86" t="s">
        <v>33</v>
      </c>
      <c r="T86" t="s">
        <v>34</v>
      </c>
      <c r="U86" t="s">
        <v>35</v>
      </c>
      <c r="V86" s="2">
        <v>0</v>
      </c>
      <c r="X86" t="s">
        <v>147</v>
      </c>
      <c r="Y86" t="s">
        <v>45</v>
      </c>
      <c r="Z86" t="s">
        <v>385</v>
      </c>
      <c r="AA86" t="s">
        <v>38</v>
      </c>
    </row>
    <row r="87" spans="1:27" hidden="1">
      <c r="A87" t="s">
        <v>386</v>
      </c>
      <c r="B87" t="s">
        <v>387</v>
      </c>
      <c r="C87" t="e">
        <f>VLOOKUP(B87,Sheet2!$A$2:$A$392,1,0)</f>
        <v>#N/A</v>
      </c>
      <c r="E87" t="s">
        <v>40</v>
      </c>
      <c r="G87" t="s">
        <v>388</v>
      </c>
      <c r="I87" t="s">
        <v>42</v>
      </c>
      <c r="J87" s="2">
        <v>1000</v>
      </c>
      <c r="K87">
        <v>23.9</v>
      </c>
      <c r="L87" s="2">
        <v>152</v>
      </c>
      <c r="P87" t="s">
        <v>389</v>
      </c>
      <c r="S87" t="s">
        <v>33</v>
      </c>
      <c r="X87" t="s">
        <v>34</v>
      </c>
      <c r="AA87" t="s">
        <v>38</v>
      </c>
    </row>
    <row r="88" spans="1:27" hidden="1">
      <c r="A88" t="s">
        <v>390</v>
      </c>
      <c r="B88" t="s">
        <v>391</v>
      </c>
      <c r="C88" t="e">
        <f>VLOOKUP(B88,Sheet2!$A$2:$A$392,1,0)</f>
        <v>#N/A</v>
      </c>
      <c r="E88" t="s">
        <v>72</v>
      </c>
      <c r="G88" t="s">
        <v>388</v>
      </c>
      <c r="I88" t="s">
        <v>42</v>
      </c>
      <c r="J88" s="2">
        <v>1878</v>
      </c>
      <c r="K88" s="3">
        <v>75.290000000000006</v>
      </c>
      <c r="L88" s="2">
        <v>1878</v>
      </c>
      <c r="P88" t="s">
        <v>392</v>
      </c>
      <c r="S88" t="s">
        <v>33</v>
      </c>
      <c r="X88" t="s">
        <v>34</v>
      </c>
      <c r="AA88" t="s">
        <v>38</v>
      </c>
    </row>
    <row r="89" spans="1:27" hidden="1">
      <c r="A89" t="s">
        <v>393</v>
      </c>
      <c r="B89" t="s">
        <v>394</v>
      </c>
      <c r="C89" t="e">
        <f>VLOOKUP(B89,Sheet2!$A$2:$A$392,1,0)</f>
        <v>#N/A</v>
      </c>
      <c r="E89" t="s">
        <v>170</v>
      </c>
      <c r="I89" t="s">
        <v>42</v>
      </c>
      <c r="J89" s="2">
        <v>6507</v>
      </c>
      <c r="K89" s="3">
        <v>90.72</v>
      </c>
      <c r="L89" s="2">
        <v>3611</v>
      </c>
      <c r="P89" t="s">
        <v>395</v>
      </c>
      <c r="S89" t="s">
        <v>33</v>
      </c>
      <c r="X89" t="s">
        <v>34</v>
      </c>
      <c r="AA89" t="s">
        <v>38</v>
      </c>
    </row>
    <row r="90" spans="1:27" hidden="1">
      <c r="A90" t="s">
        <v>396</v>
      </c>
      <c r="B90" t="s">
        <v>397</v>
      </c>
      <c r="C90" t="e">
        <f>VLOOKUP(B90,Sheet2!$A$2:$A$392,1,0)</f>
        <v>#N/A</v>
      </c>
      <c r="E90" t="s">
        <v>170</v>
      </c>
      <c r="I90" t="s">
        <v>42</v>
      </c>
      <c r="J90" s="2">
        <v>6320</v>
      </c>
      <c r="K90" s="2">
        <v>105</v>
      </c>
      <c r="L90" s="2">
        <v>3060</v>
      </c>
      <c r="P90" t="s">
        <v>398</v>
      </c>
      <c r="S90" t="s">
        <v>33</v>
      </c>
      <c r="X90" t="s">
        <v>34</v>
      </c>
      <c r="AA90" t="s">
        <v>38</v>
      </c>
    </row>
    <row r="91" spans="1:27" hidden="1">
      <c r="A91" t="s">
        <v>399</v>
      </c>
      <c r="B91" t="s">
        <v>400</v>
      </c>
      <c r="C91" t="e">
        <f>VLOOKUP(B91,Sheet2!$A$2:$A$392,1,0)</f>
        <v>#N/A</v>
      </c>
      <c r="E91" t="s">
        <v>40</v>
      </c>
      <c r="F91" t="s">
        <v>41</v>
      </c>
      <c r="G91" t="s">
        <v>29</v>
      </c>
      <c r="I91" t="s">
        <v>42</v>
      </c>
      <c r="J91" s="2">
        <v>8000</v>
      </c>
      <c r="K91" s="2">
        <v>91</v>
      </c>
      <c r="L91" s="2">
        <v>3408</v>
      </c>
      <c r="P91" t="s">
        <v>401</v>
      </c>
      <c r="R91" t="s">
        <v>42</v>
      </c>
      <c r="S91" t="s">
        <v>33</v>
      </c>
      <c r="T91" t="s">
        <v>34</v>
      </c>
      <c r="U91" t="s">
        <v>35</v>
      </c>
      <c r="X91" t="s">
        <v>34</v>
      </c>
      <c r="Y91" t="s">
        <v>45</v>
      </c>
      <c r="Z91" t="s">
        <v>402</v>
      </c>
      <c r="AA91" t="s">
        <v>38</v>
      </c>
    </row>
    <row r="92" spans="1:27" hidden="1">
      <c r="A92" t="s">
        <v>403</v>
      </c>
      <c r="B92" t="s">
        <v>404</v>
      </c>
      <c r="C92" t="e">
        <f>VLOOKUP(B92,Sheet2!$A$2:$A$392,1,0)</f>
        <v>#N/A</v>
      </c>
      <c r="E92" t="s">
        <v>40</v>
      </c>
      <c r="F92" t="s">
        <v>41</v>
      </c>
      <c r="G92" t="s">
        <v>29</v>
      </c>
      <c r="I92" t="s">
        <v>42</v>
      </c>
      <c r="J92" s="2">
        <v>10000</v>
      </c>
      <c r="K92" s="2">
        <v>100</v>
      </c>
      <c r="L92" s="2">
        <v>4050</v>
      </c>
      <c r="P92" t="s">
        <v>405</v>
      </c>
      <c r="R92" t="s">
        <v>42</v>
      </c>
      <c r="S92" t="s">
        <v>33</v>
      </c>
      <c r="T92" t="s">
        <v>34</v>
      </c>
      <c r="U92" t="s">
        <v>44</v>
      </c>
      <c r="X92" t="s">
        <v>34</v>
      </c>
      <c r="Y92" t="s">
        <v>45</v>
      </c>
      <c r="Z92" t="s">
        <v>406</v>
      </c>
      <c r="AA92" t="s">
        <v>38</v>
      </c>
    </row>
    <row r="93" spans="1:27" hidden="1">
      <c r="A93" t="s">
        <v>407</v>
      </c>
      <c r="B93" t="s">
        <v>408</v>
      </c>
      <c r="C93" t="e">
        <f>VLOOKUP(B93,Sheet2!$A$2:$A$392,1,0)</f>
        <v>#N/A</v>
      </c>
      <c r="E93" t="s">
        <v>40</v>
      </c>
      <c r="F93" t="s">
        <v>41</v>
      </c>
      <c r="G93" t="s">
        <v>29</v>
      </c>
      <c r="I93" t="s">
        <v>42</v>
      </c>
      <c r="J93" s="2">
        <v>10000</v>
      </c>
      <c r="K93" s="2">
        <v>94</v>
      </c>
      <c r="L93" s="2">
        <v>4767</v>
      </c>
      <c r="P93" t="s">
        <v>185</v>
      </c>
      <c r="R93" t="s">
        <v>42</v>
      </c>
      <c r="S93" t="s">
        <v>33</v>
      </c>
      <c r="T93" t="s">
        <v>34</v>
      </c>
      <c r="U93" t="s">
        <v>35</v>
      </c>
      <c r="X93" t="s">
        <v>34</v>
      </c>
      <c r="Y93" t="s">
        <v>45</v>
      </c>
      <c r="Z93" t="s">
        <v>409</v>
      </c>
      <c r="AA93" t="s">
        <v>38</v>
      </c>
    </row>
    <row r="94" spans="1:27" hidden="1">
      <c r="A94" t="s">
        <v>410</v>
      </c>
      <c r="B94" t="s">
        <v>411</v>
      </c>
      <c r="C94" t="e">
        <f>VLOOKUP(B94,Sheet2!$A$2:$A$392,1,0)</f>
        <v>#N/A</v>
      </c>
      <c r="E94" t="s">
        <v>40</v>
      </c>
      <c r="F94" t="s">
        <v>41</v>
      </c>
      <c r="G94" t="s">
        <v>29</v>
      </c>
      <c r="I94" t="s">
        <v>42</v>
      </c>
      <c r="J94" s="2">
        <v>8000</v>
      </c>
      <c r="K94" s="2">
        <v>91</v>
      </c>
      <c r="L94" s="2">
        <v>3399</v>
      </c>
      <c r="P94" t="s">
        <v>185</v>
      </c>
      <c r="R94" t="s">
        <v>42</v>
      </c>
      <c r="S94" t="s">
        <v>33</v>
      </c>
      <c r="T94" t="s">
        <v>34</v>
      </c>
      <c r="U94" t="s">
        <v>35</v>
      </c>
      <c r="X94" t="s">
        <v>34</v>
      </c>
      <c r="Y94" t="s">
        <v>45</v>
      </c>
      <c r="Z94" t="s">
        <v>412</v>
      </c>
      <c r="AA94" t="s">
        <v>38</v>
      </c>
    </row>
    <row r="95" spans="1:27">
      <c r="A95" t="s">
        <v>413</v>
      </c>
      <c r="B95" t="s">
        <v>414</v>
      </c>
      <c r="C95" t="str">
        <f>VLOOKUP(B95,Sheet2!$A$2:$A$392,1,0)</f>
        <v>TB. LIBERTY 10 / BG. AZAMARA 3039</v>
      </c>
      <c r="E95" t="s">
        <v>40</v>
      </c>
      <c r="F95" t="s">
        <v>41</v>
      </c>
      <c r="G95" t="s">
        <v>415</v>
      </c>
      <c r="J95" s="2">
        <v>9000</v>
      </c>
      <c r="K95" s="2">
        <v>91</v>
      </c>
      <c r="L95" s="2">
        <v>3976</v>
      </c>
      <c r="P95" t="s">
        <v>416</v>
      </c>
      <c r="R95" t="s">
        <v>42</v>
      </c>
      <c r="S95" t="s">
        <v>33</v>
      </c>
      <c r="U95" t="s">
        <v>35</v>
      </c>
      <c r="W95" t="s">
        <v>63</v>
      </c>
      <c r="X95" t="s">
        <v>34</v>
      </c>
      <c r="Y95" t="s">
        <v>64</v>
      </c>
      <c r="Z95" t="s">
        <v>417</v>
      </c>
      <c r="AA95" t="s">
        <v>38</v>
      </c>
    </row>
    <row r="96" spans="1:27" hidden="1">
      <c r="A96" t="s">
        <v>418</v>
      </c>
      <c r="B96" t="s">
        <v>419</v>
      </c>
      <c r="C96" t="e">
        <f>VLOOKUP(B96,Sheet2!$A$2:$A$392,1,0)</f>
        <v>#N/A</v>
      </c>
      <c r="E96" t="s">
        <v>72</v>
      </c>
      <c r="F96" t="s">
        <v>41</v>
      </c>
      <c r="G96" t="s">
        <v>125</v>
      </c>
      <c r="I96" t="s">
        <v>42</v>
      </c>
      <c r="J96" s="2">
        <v>1755</v>
      </c>
      <c r="K96">
        <v>70.099999999999994</v>
      </c>
      <c r="L96" s="2">
        <v>1755</v>
      </c>
      <c r="O96" t="s">
        <v>420</v>
      </c>
      <c r="P96" t="s">
        <v>74</v>
      </c>
      <c r="R96" t="s">
        <v>42</v>
      </c>
      <c r="S96" t="s">
        <v>33</v>
      </c>
      <c r="T96" t="s">
        <v>34</v>
      </c>
      <c r="U96" t="s">
        <v>35</v>
      </c>
      <c r="X96" t="s">
        <v>34</v>
      </c>
      <c r="Y96" t="s">
        <v>132</v>
      </c>
      <c r="Z96" t="s">
        <v>421</v>
      </c>
      <c r="AA96" t="s">
        <v>38</v>
      </c>
    </row>
    <row r="97" spans="1:27" hidden="1">
      <c r="A97" t="s">
        <v>422</v>
      </c>
      <c r="B97" t="s">
        <v>423</v>
      </c>
      <c r="C97" t="e">
        <f>VLOOKUP(B97,Sheet2!$A$2:$A$392,1,0)</f>
        <v>#N/A</v>
      </c>
      <c r="E97" t="s">
        <v>72</v>
      </c>
      <c r="G97" t="s">
        <v>424</v>
      </c>
      <c r="I97" t="s">
        <v>42</v>
      </c>
      <c r="J97" s="2">
        <v>1</v>
      </c>
      <c r="K97">
        <v>82.3</v>
      </c>
      <c r="L97" s="2">
        <v>2137</v>
      </c>
      <c r="P97" t="s">
        <v>74</v>
      </c>
      <c r="S97" t="s">
        <v>33</v>
      </c>
      <c r="X97" t="s">
        <v>34</v>
      </c>
      <c r="AA97" t="s">
        <v>38</v>
      </c>
    </row>
    <row r="98" spans="1:27" hidden="1">
      <c r="A98" t="s">
        <v>425</v>
      </c>
      <c r="B98" t="s">
        <v>426</v>
      </c>
      <c r="C98" t="e">
        <f>VLOOKUP(B98,Sheet2!$A$2:$A$392,1,0)</f>
        <v>#N/A</v>
      </c>
      <c r="E98" t="s">
        <v>72</v>
      </c>
      <c r="G98" t="s">
        <v>427</v>
      </c>
      <c r="I98" t="s">
        <v>42</v>
      </c>
      <c r="J98" s="2">
        <v>3136</v>
      </c>
      <c r="K98" s="3">
        <v>91.52</v>
      </c>
      <c r="L98" s="2">
        <v>3136</v>
      </c>
      <c r="P98" t="s">
        <v>74</v>
      </c>
      <c r="S98" t="s">
        <v>33</v>
      </c>
      <c r="X98" t="s">
        <v>34</v>
      </c>
      <c r="AA98" t="s">
        <v>38</v>
      </c>
    </row>
    <row r="99" spans="1:27" hidden="1">
      <c r="A99" t="s">
        <v>428</v>
      </c>
      <c r="B99" t="s">
        <v>429</v>
      </c>
      <c r="C99" t="e">
        <f>VLOOKUP(B99,Sheet2!$A$2:$A$392,1,0)</f>
        <v>#N/A</v>
      </c>
      <c r="E99" t="s">
        <v>72</v>
      </c>
      <c r="G99" t="s">
        <v>125</v>
      </c>
      <c r="I99" t="s">
        <v>42</v>
      </c>
      <c r="J99" s="2">
        <v>1961</v>
      </c>
      <c r="K99">
        <v>70.099999999999994</v>
      </c>
      <c r="L99" s="2">
        <v>1961</v>
      </c>
      <c r="P99" t="s">
        <v>74</v>
      </c>
      <c r="S99" t="s">
        <v>33</v>
      </c>
      <c r="X99" t="s">
        <v>34</v>
      </c>
      <c r="AA99" t="s">
        <v>38</v>
      </c>
    </row>
    <row r="100" spans="1:27" hidden="1">
      <c r="A100" t="s">
        <v>430</v>
      </c>
      <c r="B100" t="s">
        <v>431</v>
      </c>
      <c r="C100" t="e">
        <f>VLOOKUP(B100,Sheet2!$A$2:$A$392,1,0)</f>
        <v>#N/A</v>
      </c>
      <c r="E100" t="s">
        <v>40</v>
      </c>
      <c r="F100" t="s">
        <v>41</v>
      </c>
      <c r="G100" t="s">
        <v>29</v>
      </c>
      <c r="J100" s="2">
        <v>7500</v>
      </c>
      <c r="K100" s="2">
        <v>91</v>
      </c>
      <c r="L100" s="2">
        <v>3266</v>
      </c>
      <c r="P100" t="s">
        <v>432</v>
      </c>
      <c r="R100" t="s">
        <v>42</v>
      </c>
      <c r="S100" t="s">
        <v>33</v>
      </c>
      <c r="U100" t="s">
        <v>35</v>
      </c>
      <c r="X100" t="s">
        <v>34</v>
      </c>
      <c r="Y100" t="s">
        <v>45</v>
      </c>
      <c r="Z100" t="s">
        <v>433</v>
      </c>
      <c r="AA100" t="s">
        <v>38</v>
      </c>
    </row>
    <row r="101" spans="1:27" hidden="1">
      <c r="A101" t="s">
        <v>434</v>
      </c>
      <c r="B101" t="s">
        <v>435</v>
      </c>
      <c r="C101" t="e">
        <f>VLOOKUP(B101,Sheet2!$A$2:$A$392,1,0)</f>
        <v>#N/A</v>
      </c>
      <c r="E101" t="s">
        <v>40</v>
      </c>
      <c r="F101" t="s">
        <v>41</v>
      </c>
      <c r="G101" t="s">
        <v>29</v>
      </c>
      <c r="I101" t="s">
        <v>42</v>
      </c>
      <c r="J101" s="2">
        <v>7500</v>
      </c>
      <c r="K101" s="2">
        <v>91</v>
      </c>
      <c r="L101" s="2">
        <v>3295</v>
      </c>
      <c r="P101" t="s">
        <v>436</v>
      </c>
      <c r="R101" t="s">
        <v>42</v>
      </c>
      <c r="S101" t="s">
        <v>33</v>
      </c>
      <c r="T101" t="s">
        <v>34</v>
      </c>
      <c r="U101" t="s">
        <v>44</v>
      </c>
      <c r="W101" t="s">
        <v>165</v>
      </c>
      <c r="X101" t="s">
        <v>34</v>
      </c>
      <c r="Y101" t="s">
        <v>245</v>
      </c>
      <c r="Z101" t="s">
        <v>437</v>
      </c>
      <c r="AA101" t="s">
        <v>38</v>
      </c>
    </row>
    <row r="102" spans="1:27">
      <c r="A102" t="s">
        <v>438</v>
      </c>
      <c r="B102" t="s">
        <v>439</v>
      </c>
      <c r="C102" t="str">
        <f>VLOOKUP(B102,Sheet2!$A$2:$A$392,1,0)</f>
        <v>TB. ARTHA KALTIM 12 / BG. ASK XII</v>
      </c>
      <c r="E102" t="s">
        <v>40</v>
      </c>
      <c r="F102" t="s">
        <v>41</v>
      </c>
      <c r="G102" t="s">
        <v>293</v>
      </c>
      <c r="J102" s="2">
        <v>8500</v>
      </c>
      <c r="K102" s="3">
        <v>91.44</v>
      </c>
      <c r="L102" s="2">
        <v>3099</v>
      </c>
      <c r="P102" t="s">
        <v>440</v>
      </c>
      <c r="R102" t="s">
        <v>42</v>
      </c>
      <c r="S102" t="s">
        <v>33</v>
      </c>
      <c r="U102" t="s">
        <v>44</v>
      </c>
      <c r="W102" t="s">
        <v>63</v>
      </c>
      <c r="X102" t="s">
        <v>34</v>
      </c>
      <c r="Y102" t="s">
        <v>64</v>
      </c>
      <c r="Z102" t="s">
        <v>441</v>
      </c>
      <c r="AA102" t="s">
        <v>38</v>
      </c>
    </row>
    <row r="103" spans="1:27" hidden="1">
      <c r="A103" t="s">
        <v>442</v>
      </c>
      <c r="B103" t="s">
        <v>443</v>
      </c>
      <c r="C103" t="e">
        <f>VLOOKUP(B103,Sheet2!$A$2:$A$392,1,0)</f>
        <v>#N/A</v>
      </c>
      <c r="E103" t="s">
        <v>206</v>
      </c>
      <c r="F103" t="s">
        <v>41</v>
      </c>
      <c r="G103" t="s">
        <v>29</v>
      </c>
      <c r="J103" s="2">
        <v>400</v>
      </c>
      <c r="K103" s="2">
        <v>70</v>
      </c>
      <c r="L103" s="2">
        <v>150</v>
      </c>
      <c r="P103" t="s">
        <v>442</v>
      </c>
      <c r="Q103" t="s">
        <v>34</v>
      </c>
      <c r="R103" t="s">
        <v>42</v>
      </c>
      <c r="S103" t="s">
        <v>33</v>
      </c>
      <c r="U103" t="s">
        <v>35</v>
      </c>
      <c r="X103" t="s">
        <v>34</v>
      </c>
      <c r="Y103" t="s">
        <v>45</v>
      </c>
      <c r="Z103" t="s">
        <v>444</v>
      </c>
      <c r="AA103" t="s">
        <v>38</v>
      </c>
    </row>
    <row r="104" spans="1:27" hidden="1">
      <c r="A104" t="s">
        <v>445</v>
      </c>
      <c r="B104" t="s">
        <v>446</v>
      </c>
      <c r="C104" t="e">
        <f>VLOOKUP(B104,Sheet2!$A$2:$A$392,1,0)</f>
        <v>#N/A</v>
      </c>
      <c r="E104" t="s">
        <v>27</v>
      </c>
      <c r="I104" t="s">
        <v>42</v>
      </c>
      <c r="J104" s="2">
        <v>6736</v>
      </c>
      <c r="K104" s="2">
        <v>108</v>
      </c>
      <c r="L104" s="2">
        <v>5573</v>
      </c>
      <c r="P104" t="s">
        <v>447</v>
      </c>
      <c r="S104" t="s">
        <v>33</v>
      </c>
      <c r="X104" t="s">
        <v>34</v>
      </c>
      <c r="AA104" t="s">
        <v>38</v>
      </c>
    </row>
    <row r="105" spans="1:27" hidden="1">
      <c r="A105" t="s">
        <v>448</v>
      </c>
      <c r="B105" t="s">
        <v>449</v>
      </c>
      <c r="C105" t="e">
        <f>VLOOKUP(B105,Sheet2!$A$2:$A$392,1,0)</f>
        <v>#N/A</v>
      </c>
      <c r="E105" t="s">
        <v>27</v>
      </c>
      <c r="F105" t="s">
        <v>41</v>
      </c>
      <c r="G105" t="s">
        <v>59</v>
      </c>
      <c r="J105" s="2">
        <v>7300</v>
      </c>
      <c r="K105" s="3">
        <v>121.42</v>
      </c>
      <c r="L105" s="2">
        <v>4705</v>
      </c>
      <c r="M105" s="2">
        <v>2000</v>
      </c>
      <c r="N105">
        <v>6.3</v>
      </c>
      <c r="O105" t="s">
        <v>61</v>
      </c>
      <c r="P105" t="s">
        <v>450</v>
      </c>
      <c r="R105" t="s">
        <v>42</v>
      </c>
      <c r="S105" t="s">
        <v>33</v>
      </c>
      <c r="U105" t="s">
        <v>44</v>
      </c>
      <c r="V105" s="2">
        <v>3</v>
      </c>
      <c r="W105" t="s">
        <v>63</v>
      </c>
      <c r="X105" t="s">
        <v>34</v>
      </c>
      <c r="Y105" t="s">
        <v>64</v>
      </c>
      <c r="Z105" t="s">
        <v>451</v>
      </c>
      <c r="AA105" t="s">
        <v>38</v>
      </c>
    </row>
    <row r="106" spans="1:27" hidden="1">
      <c r="A106" t="s">
        <v>452</v>
      </c>
      <c r="B106" t="s">
        <v>453</v>
      </c>
      <c r="C106" t="e">
        <f>VLOOKUP(B106,Sheet2!$A$2:$A$392,1,0)</f>
        <v>#N/A</v>
      </c>
      <c r="E106" t="s">
        <v>72</v>
      </c>
      <c r="F106" t="s">
        <v>41</v>
      </c>
      <c r="G106" t="s">
        <v>29</v>
      </c>
      <c r="I106" t="s">
        <v>42</v>
      </c>
      <c r="J106" s="2">
        <v>10000</v>
      </c>
      <c r="K106" s="2">
        <v>100</v>
      </c>
      <c r="L106" s="2">
        <v>10000</v>
      </c>
      <c r="M106" s="2">
        <v>10000</v>
      </c>
      <c r="N106" s="2">
        <v>1</v>
      </c>
      <c r="O106" t="s">
        <v>254</v>
      </c>
      <c r="P106" t="s">
        <v>452</v>
      </c>
      <c r="R106" t="s">
        <v>42</v>
      </c>
      <c r="S106" t="s">
        <v>33</v>
      </c>
      <c r="T106" t="s">
        <v>34</v>
      </c>
      <c r="U106" t="s">
        <v>44</v>
      </c>
      <c r="V106" s="2">
        <v>1</v>
      </c>
      <c r="W106" t="s">
        <v>165</v>
      </c>
      <c r="X106" t="s">
        <v>34</v>
      </c>
      <c r="Y106" t="s">
        <v>245</v>
      </c>
      <c r="Z106" t="s">
        <v>454</v>
      </c>
      <c r="AA106" t="s">
        <v>38</v>
      </c>
    </row>
    <row r="107" spans="1:27" hidden="1">
      <c r="A107" t="s">
        <v>455</v>
      </c>
      <c r="B107" t="s">
        <v>456</v>
      </c>
      <c r="C107" t="e">
        <f>VLOOKUP(B107,Sheet2!$A$2:$A$392,1,0)</f>
        <v>#N/A</v>
      </c>
      <c r="E107" t="s">
        <v>27</v>
      </c>
      <c r="F107" t="s">
        <v>41</v>
      </c>
      <c r="G107" t="s">
        <v>59</v>
      </c>
      <c r="J107" s="2">
        <v>0</v>
      </c>
      <c r="K107">
        <v>88.2</v>
      </c>
      <c r="L107" s="2">
        <v>2009</v>
      </c>
      <c r="O107" t="s">
        <v>254</v>
      </c>
      <c r="P107" t="s">
        <v>455</v>
      </c>
      <c r="R107" t="s">
        <v>42</v>
      </c>
      <c r="S107" t="s">
        <v>33</v>
      </c>
      <c r="U107" t="s">
        <v>44</v>
      </c>
      <c r="W107" t="s">
        <v>63</v>
      </c>
      <c r="X107" t="s">
        <v>34</v>
      </c>
      <c r="Y107" t="s">
        <v>64</v>
      </c>
      <c r="Z107" t="s">
        <v>457</v>
      </c>
      <c r="AA107" t="s">
        <v>38</v>
      </c>
    </row>
    <row r="108" spans="1:27" hidden="1">
      <c r="A108" t="s">
        <v>458</v>
      </c>
      <c r="B108" t="s">
        <v>459</v>
      </c>
      <c r="C108" t="e">
        <f>VLOOKUP(B108,Sheet2!$A$2:$A$392,1,0)</f>
        <v>#N/A</v>
      </c>
      <c r="E108" t="s">
        <v>40</v>
      </c>
      <c r="F108" t="s">
        <v>41</v>
      </c>
      <c r="G108" t="s">
        <v>460</v>
      </c>
      <c r="I108" t="s">
        <v>42</v>
      </c>
      <c r="J108" s="2">
        <v>3600</v>
      </c>
      <c r="K108" s="2">
        <v>80</v>
      </c>
      <c r="L108" s="2">
        <v>1416</v>
      </c>
      <c r="P108" t="s">
        <v>461</v>
      </c>
      <c r="R108" t="s">
        <v>42</v>
      </c>
      <c r="S108" t="s">
        <v>33</v>
      </c>
      <c r="T108" t="s">
        <v>34</v>
      </c>
      <c r="U108" t="s">
        <v>44</v>
      </c>
      <c r="W108" t="s">
        <v>63</v>
      </c>
      <c r="X108" t="s">
        <v>34</v>
      </c>
      <c r="Y108" t="s">
        <v>64</v>
      </c>
      <c r="Z108" t="s">
        <v>462</v>
      </c>
      <c r="AA108" t="s">
        <v>38</v>
      </c>
    </row>
    <row r="109" spans="1:27" hidden="1">
      <c r="A109" t="s">
        <v>463</v>
      </c>
      <c r="B109" t="s">
        <v>464</v>
      </c>
      <c r="C109" t="e">
        <f>VLOOKUP(B109,Sheet2!$A$2:$A$392,1,0)</f>
        <v>#N/A</v>
      </c>
      <c r="E109" t="s">
        <v>40</v>
      </c>
      <c r="F109" t="s">
        <v>41</v>
      </c>
      <c r="G109" t="s">
        <v>460</v>
      </c>
      <c r="I109" t="s">
        <v>42</v>
      </c>
      <c r="J109" s="2">
        <v>3600</v>
      </c>
      <c r="K109" s="2">
        <v>80</v>
      </c>
      <c r="L109" s="2">
        <v>1416</v>
      </c>
      <c r="O109" t="s">
        <v>281</v>
      </c>
      <c r="P109" t="s">
        <v>461</v>
      </c>
      <c r="R109" t="s">
        <v>42</v>
      </c>
      <c r="S109" t="s">
        <v>33</v>
      </c>
      <c r="T109" t="s">
        <v>34</v>
      </c>
      <c r="U109" t="s">
        <v>44</v>
      </c>
      <c r="W109" t="s">
        <v>63</v>
      </c>
      <c r="X109" t="s">
        <v>34</v>
      </c>
      <c r="Y109" t="s">
        <v>64</v>
      </c>
      <c r="Z109" t="s">
        <v>465</v>
      </c>
      <c r="AA109" t="s">
        <v>38</v>
      </c>
    </row>
    <row r="110" spans="1:27" hidden="1">
      <c r="A110" t="s">
        <v>466</v>
      </c>
      <c r="B110" t="s">
        <v>467</v>
      </c>
      <c r="C110" t="e">
        <f>VLOOKUP(B110,Sheet2!$A$2:$A$392,1,0)</f>
        <v>#N/A</v>
      </c>
      <c r="E110" t="s">
        <v>40</v>
      </c>
      <c r="F110" t="s">
        <v>41</v>
      </c>
      <c r="G110" t="s">
        <v>29</v>
      </c>
      <c r="I110" t="s">
        <v>42</v>
      </c>
      <c r="J110" s="2">
        <v>8000</v>
      </c>
      <c r="K110" s="3">
        <v>90.71</v>
      </c>
      <c r="L110" s="2">
        <v>3459</v>
      </c>
      <c r="P110" t="s">
        <v>468</v>
      </c>
      <c r="R110" t="s">
        <v>42</v>
      </c>
      <c r="S110" t="s">
        <v>33</v>
      </c>
      <c r="T110" t="s">
        <v>34</v>
      </c>
      <c r="U110" t="s">
        <v>35</v>
      </c>
      <c r="X110" t="s">
        <v>34</v>
      </c>
      <c r="Y110" t="s">
        <v>45</v>
      </c>
      <c r="Z110" t="s">
        <v>469</v>
      </c>
      <c r="AA110" t="s">
        <v>38</v>
      </c>
    </row>
    <row r="111" spans="1:27" hidden="1">
      <c r="A111" t="s">
        <v>470</v>
      </c>
      <c r="B111" t="s">
        <v>471</v>
      </c>
      <c r="C111" t="e">
        <f>VLOOKUP(B111,Sheet2!$A$2:$A$392,1,0)</f>
        <v>#N/A</v>
      </c>
      <c r="E111" t="s">
        <v>40</v>
      </c>
      <c r="F111" t="s">
        <v>41</v>
      </c>
      <c r="G111" t="s">
        <v>29</v>
      </c>
      <c r="I111" t="s">
        <v>42</v>
      </c>
      <c r="J111" s="2">
        <v>7500</v>
      </c>
      <c r="K111" s="2">
        <v>91</v>
      </c>
      <c r="L111" s="2">
        <v>3234</v>
      </c>
      <c r="M111" s="2">
        <v>1100</v>
      </c>
      <c r="P111" t="s">
        <v>472</v>
      </c>
      <c r="R111" t="s">
        <v>42</v>
      </c>
      <c r="S111" t="s">
        <v>33</v>
      </c>
      <c r="T111" t="s">
        <v>34</v>
      </c>
      <c r="U111" t="s">
        <v>35</v>
      </c>
      <c r="W111" t="s">
        <v>165</v>
      </c>
      <c r="X111" t="s">
        <v>34</v>
      </c>
      <c r="Y111" t="s">
        <v>245</v>
      </c>
      <c r="Z111" t="s">
        <v>473</v>
      </c>
      <c r="AA111" t="s">
        <v>38</v>
      </c>
    </row>
    <row r="112" spans="1:27" hidden="1">
      <c r="A112" t="s">
        <v>474</v>
      </c>
      <c r="B112" t="s">
        <v>475</v>
      </c>
      <c r="C112" t="e">
        <f>VLOOKUP(B112,Sheet2!$A$2:$A$392,1,0)</f>
        <v>#N/A</v>
      </c>
      <c r="E112" t="s">
        <v>72</v>
      </c>
      <c r="F112" t="s">
        <v>41</v>
      </c>
      <c r="G112" t="s">
        <v>158</v>
      </c>
      <c r="I112" t="s">
        <v>42</v>
      </c>
      <c r="J112" s="2">
        <v>7500</v>
      </c>
      <c r="K112" s="3">
        <v>91.44</v>
      </c>
      <c r="L112" s="2">
        <v>3222</v>
      </c>
      <c r="P112" t="s">
        <v>74</v>
      </c>
      <c r="R112" t="s">
        <v>42</v>
      </c>
      <c r="S112" t="s">
        <v>33</v>
      </c>
      <c r="T112" t="s">
        <v>34</v>
      </c>
      <c r="U112" t="s">
        <v>35</v>
      </c>
      <c r="X112" t="s">
        <v>147</v>
      </c>
      <c r="Y112" t="s">
        <v>45</v>
      </c>
      <c r="Z112" t="s">
        <v>385</v>
      </c>
      <c r="AA112" t="s">
        <v>38</v>
      </c>
    </row>
    <row r="113" spans="1:27" hidden="1">
      <c r="A113" t="s">
        <v>476</v>
      </c>
      <c r="B113" t="s">
        <v>477</v>
      </c>
      <c r="C113" t="e">
        <f>VLOOKUP(B113,Sheet2!$A$2:$A$392,1,0)</f>
        <v>#N/A</v>
      </c>
      <c r="E113" t="s">
        <v>40</v>
      </c>
      <c r="F113" t="s">
        <v>41</v>
      </c>
      <c r="G113" t="s">
        <v>29</v>
      </c>
      <c r="I113" t="s">
        <v>42</v>
      </c>
      <c r="J113" s="2">
        <v>8000</v>
      </c>
      <c r="K113" s="2">
        <v>87</v>
      </c>
      <c r="L113" s="2">
        <v>3336</v>
      </c>
      <c r="P113" t="s">
        <v>478</v>
      </c>
      <c r="R113" t="s">
        <v>42</v>
      </c>
      <c r="S113" t="s">
        <v>33</v>
      </c>
      <c r="T113" t="s">
        <v>34</v>
      </c>
      <c r="U113" t="s">
        <v>35</v>
      </c>
      <c r="W113" t="s">
        <v>165</v>
      </c>
      <c r="X113" t="s">
        <v>34</v>
      </c>
      <c r="Y113" t="s">
        <v>245</v>
      </c>
      <c r="Z113" t="s">
        <v>479</v>
      </c>
      <c r="AA113" t="s">
        <v>38</v>
      </c>
    </row>
    <row r="114" spans="1:27" hidden="1">
      <c r="A114" t="s">
        <v>480</v>
      </c>
      <c r="B114" t="s">
        <v>481</v>
      </c>
      <c r="C114" t="e">
        <f>VLOOKUP(B114,Sheet2!$A$2:$A$392,1,0)</f>
        <v>#N/A</v>
      </c>
      <c r="E114" t="s">
        <v>40</v>
      </c>
      <c r="F114" t="s">
        <v>41</v>
      </c>
      <c r="G114" t="s">
        <v>29</v>
      </c>
      <c r="J114" s="2">
        <v>800</v>
      </c>
      <c r="K114" s="2">
        <v>87</v>
      </c>
      <c r="L114" s="2">
        <v>3299</v>
      </c>
      <c r="O114" t="s">
        <v>482</v>
      </c>
      <c r="P114" t="s">
        <v>483</v>
      </c>
      <c r="R114" t="s">
        <v>42</v>
      </c>
      <c r="S114" t="s">
        <v>33</v>
      </c>
      <c r="U114" t="s">
        <v>35</v>
      </c>
      <c r="X114" t="s">
        <v>34</v>
      </c>
      <c r="Y114" t="s">
        <v>45</v>
      </c>
      <c r="Z114" t="s">
        <v>484</v>
      </c>
      <c r="AA114" t="s">
        <v>38</v>
      </c>
    </row>
    <row r="115" spans="1:27" hidden="1">
      <c r="A115" t="s">
        <v>485</v>
      </c>
      <c r="B115" t="s">
        <v>486</v>
      </c>
      <c r="C115" t="e">
        <f>VLOOKUP(B115,Sheet2!$A$2:$A$392,1,0)</f>
        <v>#N/A</v>
      </c>
      <c r="E115" t="s">
        <v>40</v>
      </c>
      <c r="F115" t="s">
        <v>41</v>
      </c>
      <c r="G115" t="s">
        <v>29</v>
      </c>
      <c r="I115" t="s">
        <v>42</v>
      </c>
      <c r="J115" s="2">
        <v>7500</v>
      </c>
      <c r="K115" s="2">
        <v>91</v>
      </c>
      <c r="L115" s="2">
        <v>3358</v>
      </c>
      <c r="P115" t="s">
        <v>487</v>
      </c>
      <c r="R115" t="s">
        <v>42</v>
      </c>
      <c r="S115" t="s">
        <v>33</v>
      </c>
      <c r="T115" t="s">
        <v>34</v>
      </c>
      <c r="U115" t="s">
        <v>35</v>
      </c>
      <c r="X115" t="s">
        <v>34</v>
      </c>
      <c r="Y115" t="s">
        <v>45</v>
      </c>
      <c r="Z115" t="s">
        <v>488</v>
      </c>
      <c r="AA115" t="s">
        <v>38</v>
      </c>
    </row>
    <row r="116" spans="1:27">
      <c r="A116" t="s">
        <v>489</v>
      </c>
      <c r="B116" t="s">
        <v>490</v>
      </c>
      <c r="C116" t="str">
        <f>VLOOKUP(B116,Sheet2!$A$2:$A$392,1,0)</f>
        <v>TB. EMILY / BG. GRACE</v>
      </c>
      <c r="E116" t="s">
        <v>40</v>
      </c>
      <c r="F116" t="s">
        <v>41</v>
      </c>
      <c r="G116" t="s">
        <v>382</v>
      </c>
      <c r="J116" s="2">
        <v>7600</v>
      </c>
      <c r="K116" s="3">
        <v>94.49</v>
      </c>
      <c r="L116" s="2">
        <v>3145</v>
      </c>
      <c r="M116" s="2">
        <v>2060</v>
      </c>
      <c r="N116">
        <v>4.4000000000000004</v>
      </c>
      <c r="O116" t="s">
        <v>383</v>
      </c>
      <c r="P116" t="s">
        <v>491</v>
      </c>
      <c r="R116" t="s">
        <v>42</v>
      </c>
      <c r="S116" t="s">
        <v>33</v>
      </c>
      <c r="U116" t="s">
        <v>44</v>
      </c>
      <c r="V116" s="2">
        <v>1</v>
      </c>
      <c r="W116" t="s">
        <v>63</v>
      </c>
      <c r="X116" t="s">
        <v>34</v>
      </c>
      <c r="Y116" t="s">
        <v>64</v>
      </c>
      <c r="Z116" t="s">
        <v>492</v>
      </c>
      <c r="AA116" t="s">
        <v>38</v>
      </c>
    </row>
    <row r="117" spans="1:27" hidden="1">
      <c r="A117" t="s">
        <v>493</v>
      </c>
      <c r="B117" t="s">
        <v>494</v>
      </c>
      <c r="C117" t="e">
        <f>VLOOKUP(B117,Sheet2!$A$2:$A$392,1,0)</f>
        <v>#N/A</v>
      </c>
      <c r="E117" t="s">
        <v>40</v>
      </c>
      <c r="F117" t="s">
        <v>41</v>
      </c>
      <c r="G117" t="s">
        <v>382</v>
      </c>
      <c r="I117" t="s">
        <v>42</v>
      </c>
      <c r="J117" s="2">
        <v>8000</v>
      </c>
      <c r="K117" s="3">
        <v>87.78</v>
      </c>
      <c r="L117" s="2">
        <v>3104</v>
      </c>
      <c r="M117" s="2">
        <v>2060</v>
      </c>
      <c r="N117">
        <v>4.4000000000000004</v>
      </c>
      <c r="O117" t="s">
        <v>383</v>
      </c>
      <c r="P117" t="s">
        <v>495</v>
      </c>
      <c r="R117" t="s">
        <v>42</v>
      </c>
      <c r="S117" t="s">
        <v>33</v>
      </c>
      <c r="T117" t="s">
        <v>34</v>
      </c>
      <c r="U117" t="s">
        <v>44</v>
      </c>
      <c r="V117" s="2">
        <v>1</v>
      </c>
      <c r="W117" t="s">
        <v>63</v>
      </c>
      <c r="X117" t="s">
        <v>34</v>
      </c>
      <c r="Y117" t="s">
        <v>64</v>
      </c>
      <c r="Z117" t="s">
        <v>496</v>
      </c>
      <c r="AA117" t="s">
        <v>38</v>
      </c>
    </row>
    <row r="118" spans="1:27">
      <c r="A118" t="s">
        <v>497</v>
      </c>
      <c r="B118" t="s">
        <v>498</v>
      </c>
      <c r="C118" t="str">
        <f>VLOOKUP(B118,Sheet2!$A$2:$A$392,1,0)</f>
        <v>TB. SYUKUR 54 / BG. SYUKUR 49</v>
      </c>
      <c r="E118" t="s">
        <v>40</v>
      </c>
      <c r="F118" t="s">
        <v>41</v>
      </c>
      <c r="G118" t="s">
        <v>382</v>
      </c>
      <c r="J118" s="2">
        <v>8000</v>
      </c>
      <c r="K118" s="3">
        <v>94.49</v>
      </c>
      <c r="L118" s="2">
        <v>3379</v>
      </c>
      <c r="M118" s="2">
        <v>2060</v>
      </c>
      <c r="N118">
        <v>4.4000000000000004</v>
      </c>
      <c r="O118" t="s">
        <v>383</v>
      </c>
      <c r="P118" t="s">
        <v>499</v>
      </c>
      <c r="R118" t="s">
        <v>42</v>
      </c>
      <c r="S118" t="s">
        <v>33</v>
      </c>
      <c r="U118" t="s">
        <v>44</v>
      </c>
      <c r="V118" s="2">
        <v>1</v>
      </c>
      <c r="W118" t="s">
        <v>63</v>
      </c>
      <c r="X118" t="s">
        <v>34</v>
      </c>
      <c r="Y118" t="s">
        <v>64</v>
      </c>
      <c r="Z118" t="s">
        <v>500</v>
      </c>
      <c r="AA118" t="s">
        <v>38</v>
      </c>
    </row>
    <row r="119" spans="1:27" hidden="1">
      <c r="A119" t="s">
        <v>501</v>
      </c>
      <c r="B119" t="s">
        <v>502</v>
      </c>
      <c r="C119" t="e">
        <f>VLOOKUP(B119,Sheet2!$A$2:$A$392,1,0)</f>
        <v>#N/A</v>
      </c>
      <c r="E119" t="s">
        <v>249</v>
      </c>
      <c r="G119" t="s">
        <v>336</v>
      </c>
      <c r="I119" t="s">
        <v>42</v>
      </c>
      <c r="J119" s="2">
        <v>5180</v>
      </c>
      <c r="K119">
        <v>96.5</v>
      </c>
      <c r="L119" s="2">
        <v>2998</v>
      </c>
      <c r="P119" t="s">
        <v>503</v>
      </c>
      <c r="S119" t="s">
        <v>33</v>
      </c>
      <c r="X119" t="s">
        <v>34</v>
      </c>
      <c r="AA119" t="s">
        <v>38</v>
      </c>
    </row>
    <row r="120" spans="1:27" hidden="1">
      <c r="A120" t="s">
        <v>504</v>
      </c>
      <c r="B120" t="s">
        <v>505</v>
      </c>
      <c r="C120" t="e">
        <f>VLOOKUP(B120,Sheet2!$A$2:$A$392,1,0)</f>
        <v>#N/A</v>
      </c>
      <c r="E120" t="s">
        <v>40</v>
      </c>
      <c r="F120" t="s">
        <v>41</v>
      </c>
      <c r="G120" t="s">
        <v>29</v>
      </c>
      <c r="I120" t="s">
        <v>42</v>
      </c>
      <c r="J120" s="2">
        <v>0</v>
      </c>
      <c r="K120" s="2">
        <v>70</v>
      </c>
      <c r="L120" s="2">
        <v>0</v>
      </c>
      <c r="P120" s="2">
        <v>1234</v>
      </c>
      <c r="R120" t="s">
        <v>42</v>
      </c>
      <c r="S120" t="s">
        <v>33</v>
      </c>
      <c r="T120" t="s">
        <v>106</v>
      </c>
      <c r="U120" t="s">
        <v>44</v>
      </c>
      <c r="X120" t="s">
        <v>34</v>
      </c>
      <c r="Y120" t="s">
        <v>142</v>
      </c>
      <c r="Z120" t="s">
        <v>506</v>
      </c>
      <c r="AA120" t="s">
        <v>38</v>
      </c>
    </row>
    <row r="121" spans="1:27" hidden="1">
      <c r="A121" t="s">
        <v>507</v>
      </c>
      <c r="B121" t="s">
        <v>508</v>
      </c>
      <c r="C121" t="e">
        <f>VLOOKUP(B121,Sheet2!$A$2:$A$392,1,0)</f>
        <v>#N/A</v>
      </c>
      <c r="E121" t="s">
        <v>40</v>
      </c>
      <c r="F121" t="s">
        <v>41</v>
      </c>
      <c r="G121" t="s">
        <v>29</v>
      </c>
      <c r="I121" t="s">
        <v>42</v>
      </c>
      <c r="J121" s="2">
        <v>8000</v>
      </c>
      <c r="K121" s="2">
        <v>91</v>
      </c>
      <c r="L121" s="2">
        <v>3375</v>
      </c>
      <c r="P121" t="s">
        <v>509</v>
      </c>
      <c r="R121" t="s">
        <v>42</v>
      </c>
      <c r="S121" t="s">
        <v>33</v>
      </c>
      <c r="T121" t="s">
        <v>34</v>
      </c>
      <c r="U121" t="s">
        <v>35</v>
      </c>
      <c r="W121" t="s">
        <v>165</v>
      </c>
      <c r="X121" t="s">
        <v>34</v>
      </c>
      <c r="Y121" t="s">
        <v>245</v>
      </c>
      <c r="Z121" t="s">
        <v>510</v>
      </c>
      <c r="AA121" t="s">
        <v>38</v>
      </c>
    </row>
    <row r="122" spans="1:27" hidden="1">
      <c r="A122" t="s">
        <v>511</v>
      </c>
      <c r="B122" t="s">
        <v>512</v>
      </c>
      <c r="C122" t="e">
        <f>VLOOKUP(B122,Sheet2!$A$2:$A$392,1,0)</f>
        <v>#N/A</v>
      </c>
      <c r="E122" t="s">
        <v>40</v>
      </c>
      <c r="F122" t="s">
        <v>41</v>
      </c>
      <c r="G122" t="s">
        <v>29</v>
      </c>
      <c r="I122" t="s">
        <v>42</v>
      </c>
      <c r="J122" s="2">
        <v>8000</v>
      </c>
      <c r="K122" s="2">
        <v>91</v>
      </c>
      <c r="L122" s="2">
        <v>3335</v>
      </c>
      <c r="M122" s="2">
        <v>1030</v>
      </c>
      <c r="P122" t="s">
        <v>513</v>
      </c>
      <c r="R122" t="s">
        <v>42</v>
      </c>
      <c r="S122" t="s">
        <v>33</v>
      </c>
      <c r="T122" t="s">
        <v>34</v>
      </c>
      <c r="U122" t="s">
        <v>44</v>
      </c>
      <c r="W122" t="s">
        <v>165</v>
      </c>
      <c r="X122" t="s">
        <v>34</v>
      </c>
      <c r="Y122" t="s">
        <v>245</v>
      </c>
      <c r="Z122" t="s">
        <v>514</v>
      </c>
      <c r="AA122" t="s">
        <v>38</v>
      </c>
    </row>
    <row r="123" spans="1:27" hidden="1">
      <c r="A123" t="s">
        <v>515</v>
      </c>
      <c r="B123" t="s">
        <v>516</v>
      </c>
      <c r="C123" t="e">
        <f>VLOOKUP(B123,Sheet2!$A$2:$A$392,1,0)</f>
        <v>#N/A</v>
      </c>
      <c r="E123" t="s">
        <v>40</v>
      </c>
      <c r="F123" t="s">
        <v>41</v>
      </c>
      <c r="G123" t="s">
        <v>29</v>
      </c>
      <c r="I123" t="s">
        <v>42</v>
      </c>
      <c r="J123" s="2">
        <v>7800</v>
      </c>
      <c r="K123" s="2">
        <v>91</v>
      </c>
      <c r="L123" s="2">
        <v>3361</v>
      </c>
      <c r="P123" t="s">
        <v>517</v>
      </c>
      <c r="R123" t="s">
        <v>42</v>
      </c>
      <c r="S123" t="s">
        <v>33</v>
      </c>
      <c r="T123" t="s">
        <v>34</v>
      </c>
      <c r="U123" t="s">
        <v>44</v>
      </c>
      <c r="W123" t="s">
        <v>518</v>
      </c>
      <c r="X123" t="s">
        <v>34</v>
      </c>
      <c r="Y123" t="s">
        <v>519</v>
      </c>
      <c r="Z123" t="s">
        <v>520</v>
      </c>
      <c r="AA123" t="s">
        <v>38</v>
      </c>
    </row>
    <row r="124" spans="1:27" hidden="1">
      <c r="A124" t="s">
        <v>521</v>
      </c>
      <c r="B124" t="s">
        <v>522</v>
      </c>
      <c r="C124" t="e">
        <f>VLOOKUP(B124,Sheet2!$A$2:$A$392,1,0)</f>
        <v>#N/A</v>
      </c>
      <c r="E124" t="s">
        <v>40</v>
      </c>
      <c r="F124" t="s">
        <v>41</v>
      </c>
      <c r="G124" t="s">
        <v>29</v>
      </c>
      <c r="I124" t="s">
        <v>42</v>
      </c>
      <c r="J124" s="2">
        <v>8000</v>
      </c>
      <c r="K124" s="2">
        <v>91</v>
      </c>
      <c r="L124" s="2">
        <v>3361</v>
      </c>
      <c r="M124" s="2">
        <v>1030</v>
      </c>
      <c r="P124" t="s">
        <v>523</v>
      </c>
      <c r="R124" t="s">
        <v>42</v>
      </c>
      <c r="S124" t="s">
        <v>33</v>
      </c>
      <c r="T124" t="s">
        <v>34</v>
      </c>
      <c r="U124" t="s">
        <v>44</v>
      </c>
      <c r="W124" t="s">
        <v>165</v>
      </c>
      <c r="X124" t="s">
        <v>34</v>
      </c>
      <c r="Y124" t="s">
        <v>245</v>
      </c>
      <c r="Z124" t="s">
        <v>524</v>
      </c>
      <c r="AA124" t="s">
        <v>38</v>
      </c>
    </row>
    <row r="125" spans="1:27" hidden="1">
      <c r="A125" t="s">
        <v>525</v>
      </c>
      <c r="B125" t="s">
        <v>526</v>
      </c>
      <c r="C125" t="e">
        <f>VLOOKUP(B125,Sheet2!$A$2:$A$392,1,0)</f>
        <v>#N/A</v>
      </c>
      <c r="E125" t="s">
        <v>40</v>
      </c>
      <c r="F125" t="s">
        <v>41</v>
      </c>
      <c r="G125" t="s">
        <v>29</v>
      </c>
      <c r="I125" t="s">
        <v>42</v>
      </c>
      <c r="J125" s="2">
        <v>8000</v>
      </c>
      <c r="K125" s="2">
        <v>91</v>
      </c>
      <c r="L125" s="2">
        <v>3361</v>
      </c>
      <c r="M125" s="2">
        <v>1030</v>
      </c>
      <c r="P125" t="s">
        <v>527</v>
      </c>
      <c r="R125" t="s">
        <v>42</v>
      </c>
      <c r="S125" t="s">
        <v>33</v>
      </c>
      <c r="T125" t="s">
        <v>34</v>
      </c>
      <c r="U125" t="s">
        <v>44</v>
      </c>
      <c r="W125" t="s">
        <v>165</v>
      </c>
      <c r="X125" t="s">
        <v>34</v>
      </c>
      <c r="Y125" t="s">
        <v>245</v>
      </c>
      <c r="Z125" t="s">
        <v>528</v>
      </c>
      <c r="AA125" t="s">
        <v>38</v>
      </c>
    </row>
    <row r="126" spans="1:27" hidden="1">
      <c r="A126" t="s">
        <v>529</v>
      </c>
      <c r="B126" t="s">
        <v>530</v>
      </c>
      <c r="C126" t="e">
        <f>VLOOKUP(B126,Sheet2!$A$2:$A$392,1,0)</f>
        <v>#N/A</v>
      </c>
      <c r="E126" t="s">
        <v>40</v>
      </c>
      <c r="F126" t="s">
        <v>41</v>
      </c>
      <c r="G126" t="s">
        <v>29</v>
      </c>
      <c r="I126" t="s">
        <v>42</v>
      </c>
      <c r="J126" s="2">
        <v>10341</v>
      </c>
      <c r="K126" s="2">
        <v>100</v>
      </c>
      <c r="L126" s="2">
        <v>4391</v>
      </c>
      <c r="P126" t="s">
        <v>531</v>
      </c>
      <c r="R126" t="s">
        <v>42</v>
      </c>
      <c r="S126" t="s">
        <v>33</v>
      </c>
      <c r="T126" t="s">
        <v>34</v>
      </c>
      <c r="U126" t="s">
        <v>44</v>
      </c>
      <c r="W126" t="s">
        <v>165</v>
      </c>
      <c r="X126" t="s">
        <v>34</v>
      </c>
      <c r="Y126" t="s">
        <v>245</v>
      </c>
      <c r="Z126" t="s">
        <v>532</v>
      </c>
      <c r="AA126" t="s">
        <v>38</v>
      </c>
    </row>
    <row r="127" spans="1:27">
      <c r="A127" t="s">
        <v>533</v>
      </c>
      <c r="B127" t="s">
        <v>534</v>
      </c>
      <c r="C127" t="str">
        <f>VLOOKUP(B127,Sheet2!$A$2:$A$392,1,0)</f>
        <v>KM. BAHARI 35</v>
      </c>
      <c r="E127" t="s">
        <v>27</v>
      </c>
      <c r="F127" t="s">
        <v>41</v>
      </c>
      <c r="G127" t="s">
        <v>29</v>
      </c>
      <c r="J127" s="2">
        <v>4548</v>
      </c>
      <c r="K127" s="2">
        <v>88</v>
      </c>
      <c r="L127" s="2">
        <v>2274</v>
      </c>
      <c r="N127" s="2">
        <v>5</v>
      </c>
      <c r="O127" t="s">
        <v>482</v>
      </c>
      <c r="P127" t="s">
        <v>535</v>
      </c>
      <c r="Q127" t="s">
        <v>34</v>
      </c>
      <c r="R127" t="s">
        <v>32</v>
      </c>
      <c r="S127" t="s">
        <v>33</v>
      </c>
      <c r="U127" t="s">
        <v>35</v>
      </c>
      <c r="X127" t="s">
        <v>34</v>
      </c>
      <c r="Y127" t="s">
        <v>45</v>
      </c>
      <c r="Z127" t="s">
        <v>536</v>
      </c>
      <c r="AA127" t="s">
        <v>38</v>
      </c>
    </row>
    <row r="128" spans="1:27" hidden="1">
      <c r="A128" t="s">
        <v>537</v>
      </c>
      <c r="B128" t="s">
        <v>538</v>
      </c>
      <c r="C128" t="e">
        <f>VLOOKUP(B128,Sheet2!$A$2:$A$392,1,0)</f>
        <v>#N/A</v>
      </c>
      <c r="E128" t="s">
        <v>27</v>
      </c>
      <c r="F128" t="s">
        <v>41</v>
      </c>
      <c r="G128" t="s">
        <v>222</v>
      </c>
      <c r="I128" t="s">
        <v>42</v>
      </c>
      <c r="J128" s="2">
        <v>4000</v>
      </c>
      <c r="K128">
        <v>91.5</v>
      </c>
      <c r="L128" s="2">
        <v>1800</v>
      </c>
      <c r="O128" t="s">
        <v>223</v>
      </c>
      <c r="P128" t="s">
        <v>539</v>
      </c>
      <c r="R128" t="s">
        <v>42</v>
      </c>
      <c r="S128" t="s">
        <v>33</v>
      </c>
      <c r="T128" t="s">
        <v>106</v>
      </c>
      <c r="U128" t="s">
        <v>44</v>
      </c>
      <c r="V128" s="2">
        <v>2</v>
      </c>
      <c r="W128" t="s">
        <v>518</v>
      </c>
      <c r="X128" t="s">
        <v>34</v>
      </c>
      <c r="Y128" t="s">
        <v>519</v>
      </c>
      <c r="Z128" t="s">
        <v>540</v>
      </c>
      <c r="AA128" t="s">
        <v>38</v>
      </c>
    </row>
    <row r="129" spans="1:27" hidden="1">
      <c r="A129" t="s">
        <v>541</v>
      </c>
      <c r="B129" t="s">
        <v>542</v>
      </c>
      <c r="C129" t="e">
        <f>VLOOKUP(B129,Sheet2!$A$2:$A$392,1,0)</f>
        <v>#N/A</v>
      </c>
      <c r="E129" t="s">
        <v>52</v>
      </c>
      <c r="F129" t="s">
        <v>28</v>
      </c>
      <c r="G129" t="s">
        <v>29</v>
      </c>
      <c r="I129" t="s">
        <v>301</v>
      </c>
      <c r="J129" s="2">
        <v>47183</v>
      </c>
      <c r="K129" s="2">
        <v>186</v>
      </c>
      <c r="L129" s="2">
        <v>25807</v>
      </c>
      <c r="P129" t="s">
        <v>543</v>
      </c>
      <c r="R129" t="s">
        <v>32</v>
      </c>
      <c r="S129" t="s">
        <v>33</v>
      </c>
      <c r="T129" t="s">
        <v>34</v>
      </c>
      <c r="U129" t="s">
        <v>35</v>
      </c>
      <c r="W129" t="s">
        <v>165</v>
      </c>
      <c r="X129" t="s">
        <v>34</v>
      </c>
      <c r="Y129" t="s">
        <v>245</v>
      </c>
      <c r="Z129" t="s">
        <v>544</v>
      </c>
      <c r="AA129" t="s">
        <v>38</v>
      </c>
    </row>
    <row r="130" spans="1:27" hidden="1">
      <c r="A130" t="s">
        <v>545</v>
      </c>
      <c r="B130" t="s">
        <v>546</v>
      </c>
      <c r="C130" t="e">
        <f>VLOOKUP(B130,Sheet2!$A$2:$A$392,1,0)</f>
        <v>#N/A</v>
      </c>
      <c r="E130" t="s">
        <v>27</v>
      </c>
      <c r="F130" t="s">
        <v>41</v>
      </c>
      <c r="G130" t="s">
        <v>29</v>
      </c>
      <c r="I130" t="s">
        <v>42</v>
      </c>
      <c r="J130" s="2">
        <v>2500</v>
      </c>
      <c r="K130" s="2">
        <v>72</v>
      </c>
      <c r="L130" s="2">
        <v>1312</v>
      </c>
      <c r="P130" t="s">
        <v>547</v>
      </c>
      <c r="R130" t="s">
        <v>32</v>
      </c>
      <c r="S130" t="s">
        <v>33</v>
      </c>
      <c r="T130" t="s">
        <v>34</v>
      </c>
      <c r="U130" t="s">
        <v>35</v>
      </c>
      <c r="V130" s="2">
        <v>2</v>
      </c>
      <c r="X130" t="s">
        <v>34</v>
      </c>
      <c r="Y130" t="s">
        <v>45</v>
      </c>
      <c r="Z130" t="s">
        <v>548</v>
      </c>
      <c r="AA130" t="s">
        <v>38</v>
      </c>
    </row>
    <row r="131" spans="1:27" hidden="1">
      <c r="A131" t="s">
        <v>549</v>
      </c>
      <c r="B131" t="s">
        <v>550</v>
      </c>
      <c r="C131" t="e">
        <f>VLOOKUP(B131,Sheet2!$A$2:$A$392,1,0)</f>
        <v>#N/A</v>
      </c>
      <c r="E131" t="s">
        <v>40</v>
      </c>
      <c r="F131" t="s">
        <v>41</v>
      </c>
      <c r="G131" t="s">
        <v>29</v>
      </c>
      <c r="I131" t="s">
        <v>42</v>
      </c>
      <c r="J131" s="2">
        <v>7500</v>
      </c>
      <c r="K131" s="2">
        <v>87</v>
      </c>
      <c r="L131" s="2">
        <v>3327</v>
      </c>
      <c r="P131" t="s">
        <v>551</v>
      </c>
      <c r="R131" t="s">
        <v>42</v>
      </c>
      <c r="S131" t="s">
        <v>33</v>
      </c>
      <c r="T131" t="s">
        <v>34</v>
      </c>
      <c r="U131" t="s">
        <v>44</v>
      </c>
      <c r="W131" t="s">
        <v>63</v>
      </c>
      <c r="X131" t="s">
        <v>34</v>
      </c>
      <c r="Y131" t="s">
        <v>64</v>
      </c>
      <c r="Z131" t="s">
        <v>552</v>
      </c>
      <c r="AA131" t="s">
        <v>38</v>
      </c>
    </row>
    <row r="132" spans="1:27" hidden="1">
      <c r="A132" t="s">
        <v>553</v>
      </c>
      <c r="B132" t="s">
        <v>554</v>
      </c>
      <c r="C132" t="e">
        <f>VLOOKUP(B132,Sheet2!$A$2:$A$392,1,0)</f>
        <v>#N/A</v>
      </c>
      <c r="E132" t="s">
        <v>27</v>
      </c>
      <c r="G132" t="s">
        <v>555</v>
      </c>
      <c r="I132" t="s">
        <v>42</v>
      </c>
      <c r="J132" s="2">
        <v>1123</v>
      </c>
      <c r="K132">
        <v>66.3</v>
      </c>
      <c r="L132" s="2">
        <v>1001</v>
      </c>
      <c r="P132" t="s">
        <v>556</v>
      </c>
      <c r="S132" t="s">
        <v>33</v>
      </c>
      <c r="X132" t="s">
        <v>34</v>
      </c>
      <c r="AA132" t="s">
        <v>38</v>
      </c>
    </row>
    <row r="133" spans="1:27" hidden="1">
      <c r="A133" t="s">
        <v>557</v>
      </c>
      <c r="B133" t="s">
        <v>558</v>
      </c>
      <c r="C133" t="e">
        <f>VLOOKUP(B133,Sheet2!$A$2:$A$392,1,0)</f>
        <v>#N/A</v>
      </c>
      <c r="E133" t="s">
        <v>72</v>
      </c>
      <c r="G133" t="s">
        <v>355</v>
      </c>
      <c r="I133" t="s">
        <v>42</v>
      </c>
      <c r="J133" s="2">
        <v>2000</v>
      </c>
      <c r="K133" s="3">
        <v>54.02</v>
      </c>
      <c r="L133" s="2">
        <v>942</v>
      </c>
      <c r="P133" t="s">
        <v>74</v>
      </c>
      <c r="S133" t="s">
        <v>33</v>
      </c>
      <c r="X133" t="s">
        <v>34</v>
      </c>
      <c r="AA133" t="s">
        <v>38</v>
      </c>
    </row>
    <row r="134" spans="1:27" hidden="1">
      <c r="A134" t="s">
        <v>559</v>
      </c>
      <c r="B134" t="s">
        <v>560</v>
      </c>
      <c r="C134" t="e">
        <f>VLOOKUP(B134,Sheet2!$A$2:$A$392,1,0)</f>
        <v>#N/A</v>
      </c>
      <c r="E134" t="s">
        <v>40</v>
      </c>
      <c r="G134" t="s">
        <v>424</v>
      </c>
      <c r="I134" t="s">
        <v>42</v>
      </c>
      <c r="J134" s="2">
        <v>448</v>
      </c>
      <c r="K134" s="2">
        <v>27</v>
      </c>
      <c r="L134" s="2">
        <v>248</v>
      </c>
      <c r="P134" t="s">
        <v>561</v>
      </c>
      <c r="S134" t="s">
        <v>33</v>
      </c>
      <c r="X134" t="s">
        <v>34</v>
      </c>
      <c r="AA134" t="s">
        <v>38</v>
      </c>
    </row>
    <row r="135" spans="1:27" hidden="1">
      <c r="A135" t="s">
        <v>562</v>
      </c>
      <c r="B135" t="s">
        <v>563</v>
      </c>
      <c r="C135" t="e">
        <f>VLOOKUP(B135,Sheet2!$A$2:$A$392,1,0)</f>
        <v>#N/A</v>
      </c>
      <c r="E135" t="s">
        <v>93</v>
      </c>
      <c r="G135" t="s">
        <v>94</v>
      </c>
      <c r="I135" t="s">
        <v>42</v>
      </c>
      <c r="J135" s="2">
        <v>117</v>
      </c>
      <c r="K135">
        <v>51.7</v>
      </c>
      <c r="L135" s="2">
        <v>390</v>
      </c>
      <c r="P135" t="s">
        <v>564</v>
      </c>
      <c r="S135" t="s">
        <v>33</v>
      </c>
      <c r="X135" t="s">
        <v>34</v>
      </c>
      <c r="AA135" t="s">
        <v>38</v>
      </c>
    </row>
    <row r="136" spans="1:27" hidden="1">
      <c r="A136" t="s">
        <v>565</v>
      </c>
      <c r="B136" t="s">
        <v>566</v>
      </c>
      <c r="C136" t="e">
        <f>VLOOKUP(B136,Sheet2!$A$2:$A$392,1,0)</f>
        <v>#N/A</v>
      </c>
      <c r="E136" t="s">
        <v>40</v>
      </c>
      <c r="F136" t="s">
        <v>41</v>
      </c>
      <c r="G136" t="s">
        <v>29</v>
      </c>
      <c r="I136" t="s">
        <v>42</v>
      </c>
      <c r="J136" s="2">
        <v>8000</v>
      </c>
      <c r="K136" s="2">
        <v>87</v>
      </c>
      <c r="L136" s="2">
        <v>3376</v>
      </c>
      <c r="P136" t="s">
        <v>561</v>
      </c>
      <c r="R136" t="s">
        <v>42</v>
      </c>
      <c r="S136" t="s">
        <v>33</v>
      </c>
      <c r="T136" t="s">
        <v>34</v>
      </c>
      <c r="U136" t="s">
        <v>35</v>
      </c>
      <c r="X136" t="s">
        <v>34</v>
      </c>
      <c r="Y136" t="s">
        <v>45</v>
      </c>
      <c r="Z136" t="s">
        <v>567</v>
      </c>
      <c r="AA136" t="s">
        <v>38</v>
      </c>
    </row>
    <row r="137" spans="1:27" hidden="1">
      <c r="A137" t="s">
        <v>568</v>
      </c>
      <c r="B137" t="s">
        <v>569</v>
      </c>
      <c r="C137" t="e">
        <f>VLOOKUP(B137,Sheet2!$A$2:$A$392,1,0)</f>
        <v>#N/A</v>
      </c>
      <c r="E137" t="s">
        <v>249</v>
      </c>
      <c r="G137" t="s">
        <v>336</v>
      </c>
      <c r="I137" t="s">
        <v>42</v>
      </c>
      <c r="J137" s="2">
        <v>5253</v>
      </c>
      <c r="K137">
        <v>96.5</v>
      </c>
      <c r="L137" s="2">
        <v>2997</v>
      </c>
      <c r="P137" t="s">
        <v>570</v>
      </c>
      <c r="S137" t="s">
        <v>33</v>
      </c>
      <c r="X137" t="s">
        <v>34</v>
      </c>
      <c r="AA137" t="s">
        <v>38</v>
      </c>
    </row>
    <row r="138" spans="1:27" hidden="1">
      <c r="A138" t="s">
        <v>571</v>
      </c>
      <c r="B138" t="s">
        <v>572</v>
      </c>
      <c r="C138" t="e">
        <f>VLOOKUP(B138,Sheet2!$A$2:$A$392,1,0)</f>
        <v>#N/A</v>
      </c>
      <c r="E138" t="s">
        <v>72</v>
      </c>
      <c r="G138" t="s">
        <v>424</v>
      </c>
      <c r="I138" t="s">
        <v>42</v>
      </c>
      <c r="J138" s="2">
        <v>4162</v>
      </c>
      <c r="K138">
        <v>82.3</v>
      </c>
      <c r="L138" s="2">
        <v>2162</v>
      </c>
      <c r="P138" t="s">
        <v>74</v>
      </c>
      <c r="S138" t="s">
        <v>33</v>
      </c>
      <c r="X138" t="s">
        <v>34</v>
      </c>
      <c r="AA138" t="s">
        <v>38</v>
      </c>
    </row>
    <row r="139" spans="1:27" hidden="1">
      <c r="A139" t="s">
        <v>573</v>
      </c>
      <c r="B139" t="s">
        <v>574</v>
      </c>
      <c r="C139" t="e">
        <f>VLOOKUP(B139,Sheet2!$A$2:$A$392,1,0)</f>
        <v>#N/A</v>
      </c>
      <c r="E139" t="s">
        <v>72</v>
      </c>
      <c r="G139" t="s">
        <v>424</v>
      </c>
      <c r="I139" t="s">
        <v>42</v>
      </c>
      <c r="J139" s="2">
        <v>4500</v>
      </c>
      <c r="K139">
        <v>82.3</v>
      </c>
      <c r="L139" s="2">
        <v>2118</v>
      </c>
      <c r="P139" t="s">
        <v>74</v>
      </c>
      <c r="S139" t="s">
        <v>33</v>
      </c>
      <c r="X139" t="s">
        <v>34</v>
      </c>
      <c r="AA139" t="s">
        <v>38</v>
      </c>
    </row>
    <row r="140" spans="1:27">
      <c r="A140" t="s">
        <v>575</v>
      </c>
      <c r="B140" t="s">
        <v>576</v>
      </c>
      <c r="C140" t="str">
        <f>VLOOKUP(B140,Sheet2!$A$2:$A$392,1,0)</f>
        <v>TB. VARIA USAHA 18 / BG. LINTAS SEGARA 10</v>
      </c>
      <c r="E140" t="s">
        <v>40</v>
      </c>
      <c r="F140" t="s">
        <v>41</v>
      </c>
      <c r="G140" t="s">
        <v>29</v>
      </c>
      <c r="J140" s="2">
        <v>7000</v>
      </c>
      <c r="K140" s="2">
        <v>91</v>
      </c>
      <c r="L140" s="2">
        <v>3352</v>
      </c>
      <c r="P140" t="s">
        <v>577</v>
      </c>
      <c r="R140" t="s">
        <v>42</v>
      </c>
      <c r="S140" t="s">
        <v>33</v>
      </c>
      <c r="U140" t="s">
        <v>44</v>
      </c>
      <c r="X140" t="s">
        <v>34</v>
      </c>
      <c r="Y140" t="s">
        <v>45</v>
      </c>
      <c r="Z140" t="s">
        <v>578</v>
      </c>
      <c r="AA140" t="s">
        <v>38</v>
      </c>
    </row>
    <row r="141" spans="1:27" hidden="1">
      <c r="A141" t="s">
        <v>579</v>
      </c>
      <c r="B141" t="s">
        <v>580</v>
      </c>
      <c r="C141" t="e">
        <f>VLOOKUP(B141,Sheet2!$A$2:$A$392,1,0)</f>
        <v>#N/A</v>
      </c>
      <c r="E141" t="s">
        <v>40</v>
      </c>
      <c r="F141" t="s">
        <v>41</v>
      </c>
      <c r="G141" t="s">
        <v>29</v>
      </c>
      <c r="I141" t="s">
        <v>42</v>
      </c>
      <c r="J141" s="2">
        <v>7500</v>
      </c>
      <c r="K141" s="2">
        <v>87</v>
      </c>
      <c r="L141" s="2">
        <v>3293</v>
      </c>
      <c r="P141" t="s">
        <v>185</v>
      </c>
      <c r="R141" t="s">
        <v>581</v>
      </c>
      <c r="S141" t="s">
        <v>33</v>
      </c>
      <c r="T141" t="s">
        <v>34</v>
      </c>
      <c r="U141" t="s">
        <v>35</v>
      </c>
      <c r="X141" t="s">
        <v>34</v>
      </c>
      <c r="Y141" t="s">
        <v>45</v>
      </c>
      <c r="Z141" t="s">
        <v>582</v>
      </c>
      <c r="AA141" t="s">
        <v>38</v>
      </c>
    </row>
    <row r="142" spans="1:27" hidden="1">
      <c r="A142" t="s">
        <v>583</v>
      </c>
      <c r="B142" t="s">
        <v>584</v>
      </c>
      <c r="C142" t="e">
        <f>VLOOKUP(B142,Sheet2!$A$2:$A$392,1,0)</f>
        <v>#N/A</v>
      </c>
      <c r="E142" t="s">
        <v>52</v>
      </c>
      <c r="F142" t="s">
        <v>41</v>
      </c>
      <c r="G142" t="s">
        <v>585</v>
      </c>
      <c r="I142" t="s">
        <v>42</v>
      </c>
      <c r="J142" s="2">
        <v>5108</v>
      </c>
      <c r="K142" s="2">
        <v>96</v>
      </c>
      <c r="L142" s="2">
        <v>2864</v>
      </c>
      <c r="P142" t="s">
        <v>586</v>
      </c>
      <c r="R142" t="s">
        <v>42</v>
      </c>
      <c r="S142" t="s">
        <v>33</v>
      </c>
      <c r="T142" t="s">
        <v>34</v>
      </c>
      <c r="U142" t="s">
        <v>44</v>
      </c>
      <c r="W142" t="s">
        <v>518</v>
      </c>
      <c r="X142" t="s">
        <v>34</v>
      </c>
      <c r="Y142" t="s">
        <v>519</v>
      </c>
      <c r="Z142" t="s">
        <v>587</v>
      </c>
      <c r="AA142" t="s">
        <v>38</v>
      </c>
    </row>
    <row r="143" spans="1:27">
      <c r="A143" t="s">
        <v>588</v>
      </c>
      <c r="B143" t="s">
        <v>589</v>
      </c>
      <c r="C143" t="str">
        <f>VLOOKUP(B143,Sheet2!$A$2:$A$392,1,0)</f>
        <v>TB. HARRY 01 / BG. BULESKO III</v>
      </c>
      <c r="E143" t="s">
        <v>40</v>
      </c>
      <c r="F143" t="s">
        <v>41</v>
      </c>
      <c r="G143" t="s">
        <v>29</v>
      </c>
      <c r="I143" t="s">
        <v>42</v>
      </c>
      <c r="J143" s="2">
        <v>8000</v>
      </c>
      <c r="K143" s="2">
        <v>91</v>
      </c>
      <c r="L143" s="2">
        <v>3341</v>
      </c>
      <c r="P143" t="s">
        <v>590</v>
      </c>
      <c r="R143" t="s">
        <v>42</v>
      </c>
      <c r="S143" t="s">
        <v>33</v>
      </c>
      <c r="T143" t="s">
        <v>34</v>
      </c>
      <c r="U143" t="s">
        <v>44</v>
      </c>
      <c r="X143" t="s">
        <v>34</v>
      </c>
      <c r="Y143" t="s">
        <v>45</v>
      </c>
      <c r="Z143" t="s">
        <v>591</v>
      </c>
      <c r="AA143" t="s">
        <v>38</v>
      </c>
    </row>
    <row r="144" spans="1:27" hidden="1">
      <c r="A144" t="s">
        <v>592</v>
      </c>
      <c r="B144" t="s">
        <v>593</v>
      </c>
      <c r="C144" t="e">
        <f>VLOOKUP(B144,Sheet2!$A$2:$A$392,1,0)</f>
        <v>#N/A</v>
      </c>
      <c r="E144" t="s">
        <v>40</v>
      </c>
      <c r="F144" t="s">
        <v>41</v>
      </c>
      <c r="G144" t="s">
        <v>29</v>
      </c>
      <c r="I144" t="s">
        <v>42</v>
      </c>
      <c r="J144" s="2">
        <v>10000</v>
      </c>
      <c r="K144" s="2">
        <v>100</v>
      </c>
      <c r="L144" s="2">
        <v>10000</v>
      </c>
      <c r="M144" s="2">
        <v>10000</v>
      </c>
      <c r="N144" s="2">
        <v>1</v>
      </c>
      <c r="P144" t="s">
        <v>592</v>
      </c>
      <c r="R144" t="s">
        <v>42</v>
      </c>
      <c r="S144" t="s">
        <v>33</v>
      </c>
      <c r="T144" t="s">
        <v>34</v>
      </c>
      <c r="U144" t="s">
        <v>44</v>
      </c>
      <c r="V144" s="2">
        <v>1</v>
      </c>
      <c r="X144" t="s">
        <v>34</v>
      </c>
      <c r="Y144" t="s">
        <v>142</v>
      </c>
      <c r="Z144" t="s">
        <v>594</v>
      </c>
      <c r="AA144" t="s">
        <v>38</v>
      </c>
    </row>
    <row r="145" spans="1:27" hidden="1">
      <c r="A145" t="s">
        <v>595</v>
      </c>
      <c r="B145" t="s">
        <v>596</v>
      </c>
      <c r="C145" t="e">
        <f>VLOOKUP(B145,Sheet2!$A$2:$A$392,1,0)</f>
        <v>#N/A</v>
      </c>
      <c r="E145" t="s">
        <v>40</v>
      </c>
      <c r="F145" t="s">
        <v>41</v>
      </c>
      <c r="G145" t="s">
        <v>29</v>
      </c>
      <c r="I145" t="s">
        <v>42</v>
      </c>
      <c r="J145" s="2">
        <v>10000</v>
      </c>
      <c r="K145" s="3">
        <v>87.78</v>
      </c>
      <c r="L145" s="2">
        <v>10000</v>
      </c>
      <c r="M145" s="2">
        <v>10000</v>
      </c>
      <c r="N145" s="2">
        <v>1</v>
      </c>
      <c r="P145" t="s">
        <v>595</v>
      </c>
      <c r="R145" t="s">
        <v>42</v>
      </c>
      <c r="S145" t="s">
        <v>33</v>
      </c>
      <c r="T145" t="s">
        <v>34</v>
      </c>
      <c r="U145" t="s">
        <v>44</v>
      </c>
      <c r="V145" s="2">
        <v>1</v>
      </c>
      <c r="X145" t="s">
        <v>34</v>
      </c>
      <c r="Y145" t="s">
        <v>142</v>
      </c>
      <c r="Z145" t="s">
        <v>597</v>
      </c>
      <c r="AA145" t="s">
        <v>38</v>
      </c>
    </row>
    <row r="146" spans="1:27">
      <c r="A146" t="s">
        <v>598</v>
      </c>
      <c r="B146" t="s">
        <v>599</v>
      </c>
      <c r="C146" t="str">
        <f>VLOOKUP(B146,Sheet2!$A$2:$A$392,1,0)</f>
        <v>BERKAT MAKMUR 8</v>
      </c>
      <c r="E146" t="s">
        <v>27</v>
      </c>
      <c r="F146" t="s">
        <v>41</v>
      </c>
      <c r="G146" t="s">
        <v>29</v>
      </c>
      <c r="J146" s="2">
        <v>4500</v>
      </c>
      <c r="K146">
        <v>96.9</v>
      </c>
      <c r="L146" s="2">
        <v>2978</v>
      </c>
      <c r="O146" t="s">
        <v>482</v>
      </c>
      <c r="P146" t="s">
        <v>600</v>
      </c>
      <c r="R146" t="s">
        <v>32</v>
      </c>
      <c r="S146" t="s">
        <v>33</v>
      </c>
      <c r="U146" t="s">
        <v>35</v>
      </c>
      <c r="X146" t="s">
        <v>34</v>
      </c>
      <c r="Y146" t="s">
        <v>45</v>
      </c>
      <c r="Z146" t="s">
        <v>601</v>
      </c>
      <c r="AA146" t="s">
        <v>38</v>
      </c>
    </row>
    <row r="147" spans="1:27" hidden="1">
      <c r="A147" t="s">
        <v>602</v>
      </c>
      <c r="B147" t="s">
        <v>603</v>
      </c>
      <c r="C147" t="e">
        <f>VLOOKUP(B147,Sheet2!$A$2:$A$392,1,0)</f>
        <v>#N/A</v>
      </c>
      <c r="E147" t="s">
        <v>40</v>
      </c>
      <c r="F147" t="s">
        <v>41</v>
      </c>
      <c r="G147" t="s">
        <v>29</v>
      </c>
      <c r="I147" t="s">
        <v>42</v>
      </c>
      <c r="J147" s="2">
        <v>10000</v>
      </c>
      <c r="K147" s="2">
        <v>100</v>
      </c>
      <c r="L147" s="2">
        <v>10000</v>
      </c>
      <c r="M147" s="2">
        <v>10000</v>
      </c>
      <c r="N147" s="2">
        <v>1</v>
      </c>
      <c r="P147" t="s">
        <v>602</v>
      </c>
      <c r="R147" t="s">
        <v>42</v>
      </c>
      <c r="S147" t="s">
        <v>33</v>
      </c>
      <c r="T147" t="s">
        <v>34</v>
      </c>
      <c r="U147" t="s">
        <v>44</v>
      </c>
      <c r="V147" s="2">
        <v>1</v>
      </c>
      <c r="X147" t="s">
        <v>34</v>
      </c>
      <c r="Y147" t="s">
        <v>142</v>
      </c>
      <c r="Z147" t="s">
        <v>597</v>
      </c>
      <c r="AA147" t="s">
        <v>38</v>
      </c>
    </row>
    <row r="148" spans="1:27" hidden="1">
      <c r="A148" t="s">
        <v>604</v>
      </c>
      <c r="B148" t="s">
        <v>605</v>
      </c>
      <c r="C148" t="e">
        <f>VLOOKUP(B148,Sheet2!$A$2:$A$392,1,0)</f>
        <v>#N/A</v>
      </c>
      <c r="E148" t="s">
        <v>40</v>
      </c>
      <c r="F148" t="s">
        <v>41</v>
      </c>
      <c r="G148" t="s">
        <v>158</v>
      </c>
      <c r="I148" t="s">
        <v>42</v>
      </c>
      <c r="J148" s="2">
        <v>3151</v>
      </c>
      <c r="K148" s="3">
        <v>87.84</v>
      </c>
      <c r="L148" s="2">
        <v>3151</v>
      </c>
      <c r="P148" t="s">
        <v>606</v>
      </c>
      <c r="R148" t="s">
        <v>42</v>
      </c>
      <c r="S148" t="s">
        <v>33</v>
      </c>
      <c r="T148" t="s">
        <v>106</v>
      </c>
      <c r="U148" t="s">
        <v>35</v>
      </c>
      <c r="W148" t="s">
        <v>63</v>
      </c>
      <c r="X148" t="s">
        <v>34</v>
      </c>
      <c r="Y148" t="s">
        <v>64</v>
      </c>
      <c r="Z148" t="s">
        <v>607</v>
      </c>
      <c r="AA148" t="s">
        <v>38</v>
      </c>
    </row>
    <row r="149" spans="1:27" hidden="1">
      <c r="A149" t="s">
        <v>608</v>
      </c>
      <c r="B149" t="s">
        <v>609</v>
      </c>
      <c r="C149" t="e">
        <f>VLOOKUP(B149,Sheet2!$A$2:$A$392,1,0)</f>
        <v>#N/A</v>
      </c>
      <c r="E149" t="s">
        <v>40</v>
      </c>
      <c r="F149" t="s">
        <v>41</v>
      </c>
      <c r="G149" t="s">
        <v>610</v>
      </c>
      <c r="J149" s="2">
        <v>8500</v>
      </c>
      <c r="K149" s="3">
        <v>91.44</v>
      </c>
      <c r="L149" s="2">
        <v>3346</v>
      </c>
      <c r="P149" t="s">
        <v>611</v>
      </c>
      <c r="R149" t="s">
        <v>42</v>
      </c>
      <c r="S149" t="s">
        <v>33</v>
      </c>
      <c r="U149" t="s">
        <v>44</v>
      </c>
      <c r="W149" t="s">
        <v>63</v>
      </c>
      <c r="X149" t="s">
        <v>34</v>
      </c>
      <c r="Y149" t="s">
        <v>64</v>
      </c>
      <c r="Z149" t="s">
        <v>612</v>
      </c>
      <c r="AA149" t="s">
        <v>38</v>
      </c>
    </row>
    <row r="150" spans="1:27" hidden="1">
      <c r="A150" t="s">
        <v>613</v>
      </c>
      <c r="B150" t="s">
        <v>614</v>
      </c>
      <c r="C150" t="e">
        <f>VLOOKUP(B150,Sheet2!$A$2:$A$392,1,0)</f>
        <v>#N/A</v>
      </c>
      <c r="E150" t="s">
        <v>40</v>
      </c>
      <c r="F150" t="s">
        <v>41</v>
      </c>
      <c r="G150" t="s">
        <v>158</v>
      </c>
      <c r="I150" t="s">
        <v>42</v>
      </c>
      <c r="J150" s="2">
        <v>3151</v>
      </c>
      <c r="K150" s="2">
        <v>8784</v>
      </c>
      <c r="L150" s="2">
        <v>3151</v>
      </c>
      <c r="P150" t="s">
        <v>606</v>
      </c>
      <c r="R150" t="s">
        <v>42</v>
      </c>
      <c r="S150" t="s">
        <v>33</v>
      </c>
      <c r="T150" t="s">
        <v>106</v>
      </c>
      <c r="U150" t="s">
        <v>35</v>
      </c>
      <c r="X150" t="s">
        <v>147</v>
      </c>
      <c r="Y150" t="s">
        <v>154</v>
      </c>
      <c r="Z150" t="s">
        <v>615</v>
      </c>
      <c r="AA150" t="s">
        <v>38</v>
      </c>
    </row>
    <row r="151" spans="1:27" hidden="1">
      <c r="A151" t="s">
        <v>616</v>
      </c>
      <c r="B151" t="s">
        <v>617</v>
      </c>
      <c r="C151" t="e">
        <f>VLOOKUP(B151,Sheet2!$A$2:$A$392,1,0)</f>
        <v>#N/A</v>
      </c>
      <c r="E151" t="s">
        <v>27</v>
      </c>
      <c r="F151" t="s">
        <v>41</v>
      </c>
      <c r="G151" t="s">
        <v>29</v>
      </c>
      <c r="I151" t="s">
        <v>42</v>
      </c>
      <c r="J151" s="2">
        <v>5954</v>
      </c>
      <c r="K151" s="2">
        <v>108</v>
      </c>
      <c r="L151" s="2">
        <v>3654</v>
      </c>
      <c r="M151" s="2">
        <v>4500</v>
      </c>
      <c r="N151" s="2">
        <v>6</v>
      </c>
      <c r="P151" t="s">
        <v>618</v>
      </c>
      <c r="R151" t="s">
        <v>32</v>
      </c>
      <c r="S151" t="s">
        <v>33</v>
      </c>
      <c r="T151" t="s">
        <v>34</v>
      </c>
      <c r="U151" t="s">
        <v>35</v>
      </c>
      <c r="X151" t="s">
        <v>34</v>
      </c>
      <c r="Y151" t="s">
        <v>45</v>
      </c>
      <c r="Z151" t="s">
        <v>619</v>
      </c>
      <c r="AA151" t="s">
        <v>38</v>
      </c>
    </row>
    <row r="152" spans="1:27" hidden="1">
      <c r="A152" t="s">
        <v>620</v>
      </c>
      <c r="B152" t="s">
        <v>621</v>
      </c>
      <c r="C152" t="e">
        <f>VLOOKUP(B152,Sheet2!$A$2:$A$392,1,0)</f>
        <v>#N/A</v>
      </c>
      <c r="E152" t="s">
        <v>27</v>
      </c>
      <c r="F152" t="s">
        <v>41</v>
      </c>
      <c r="G152" t="s">
        <v>158</v>
      </c>
      <c r="J152" s="2">
        <v>2700</v>
      </c>
      <c r="K152">
        <v>78.8</v>
      </c>
      <c r="L152" s="2">
        <v>1632</v>
      </c>
      <c r="O152" t="s">
        <v>159</v>
      </c>
      <c r="P152" t="s">
        <v>622</v>
      </c>
      <c r="R152" t="s">
        <v>581</v>
      </c>
      <c r="S152" t="s">
        <v>33</v>
      </c>
      <c r="U152" t="s">
        <v>35</v>
      </c>
      <c r="W152" t="s">
        <v>63</v>
      </c>
      <c r="X152" t="s">
        <v>34</v>
      </c>
      <c r="Y152" t="s">
        <v>64</v>
      </c>
      <c r="Z152" t="s">
        <v>623</v>
      </c>
      <c r="AA152" t="s">
        <v>38</v>
      </c>
    </row>
    <row r="153" spans="1:27" hidden="1">
      <c r="A153" t="s">
        <v>624</v>
      </c>
      <c r="B153" t="s">
        <v>625</v>
      </c>
      <c r="C153" t="e">
        <f>VLOOKUP(B153,Sheet2!$A$2:$A$392,1,0)</f>
        <v>#N/A</v>
      </c>
      <c r="E153" t="s">
        <v>249</v>
      </c>
      <c r="G153" t="s">
        <v>250</v>
      </c>
      <c r="I153" t="s">
        <v>42</v>
      </c>
      <c r="J153" s="2">
        <v>8180</v>
      </c>
      <c r="K153">
        <v>119.9</v>
      </c>
      <c r="L153" s="2">
        <v>6640</v>
      </c>
      <c r="P153" t="s">
        <v>626</v>
      </c>
      <c r="S153" t="s">
        <v>33</v>
      </c>
      <c r="X153" t="s">
        <v>34</v>
      </c>
      <c r="AA153" t="s">
        <v>38</v>
      </c>
    </row>
    <row r="154" spans="1:27" hidden="1">
      <c r="A154" t="s">
        <v>627</v>
      </c>
      <c r="B154" t="s">
        <v>628</v>
      </c>
      <c r="C154" t="e">
        <f>VLOOKUP(B154,Sheet2!$A$2:$A$392,1,0)</f>
        <v>#N/A</v>
      </c>
      <c r="E154" t="s">
        <v>40</v>
      </c>
      <c r="G154" t="s">
        <v>629</v>
      </c>
      <c r="I154" t="s">
        <v>42</v>
      </c>
      <c r="J154" s="2">
        <v>67</v>
      </c>
      <c r="K154" s="3">
        <v>20.64</v>
      </c>
      <c r="L154" s="2">
        <v>113</v>
      </c>
      <c r="P154" t="s">
        <v>630</v>
      </c>
      <c r="S154" t="s">
        <v>33</v>
      </c>
      <c r="X154" t="s">
        <v>34</v>
      </c>
      <c r="AA154" t="s">
        <v>38</v>
      </c>
    </row>
    <row r="155" spans="1:27" hidden="1">
      <c r="A155" t="s">
        <v>631</v>
      </c>
      <c r="B155" t="s">
        <v>632</v>
      </c>
      <c r="C155" t="e">
        <f>VLOOKUP(B155,Sheet2!$A$2:$A$392,1,0)</f>
        <v>#N/A</v>
      </c>
      <c r="E155" t="s">
        <v>40</v>
      </c>
      <c r="G155" t="s">
        <v>629</v>
      </c>
      <c r="I155" t="s">
        <v>42</v>
      </c>
      <c r="J155" s="2">
        <v>31</v>
      </c>
      <c r="K155">
        <v>21.5</v>
      </c>
      <c r="L155" s="2">
        <v>102</v>
      </c>
      <c r="P155" t="s">
        <v>633</v>
      </c>
      <c r="S155" t="s">
        <v>33</v>
      </c>
      <c r="X155" t="s">
        <v>34</v>
      </c>
      <c r="AA155" t="s">
        <v>38</v>
      </c>
    </row>
    <row r="156" spans="1:27" hidden="1">
      <c r="A156" t="s">
        <v>634</v>
      </c>
      <c r="B156" t="s">
        <v>635</v>
      </c>
      <c r="C156" t="e">
        <f>VLOOKUP(B156,Sheet2!$A$2:$A$392,1,0)</f>
        <v>#N/A</v>
      </c>
      <c r="E156" t="s">
        <v>27</v>
      </c>
      <c r="F156" t="s">
        <v>41</v>
      </c>
      <c r="G156" t="s">
        <v>29</v>
      </c>
      <c r="J156" s="2">
        <v>10000</v>
      </c>
      <c r="K156" s="2">
        <v>100</v>
      </c>
      <c r="L156" s="2">
        <v>10000</v>
      </c>
      <c r="M156" s="2">
        <v>10000</v>
      </c>
      <c r="N156" s="2">
        <v>1</v>
      </c>
      <c r="O156" t="s">
        <v>254</v>
      </c>
      <c r="P156" t="s">
        <v>634</v>
      </c>
      <c r="R156" t="s">
        <v>42</v>
      </c>
      <c r="S156" t="s">
        <v>33</v>
      </c>
      <c r="U156" t="s">
        <v>44</v>
      </c>
      <c r="V156" s="2">
        <v>1</v>
      </c>
      <c r="X156" t="s">
        <v>34</v>
      </c>
      <c r="Y156" t="s">
        <v>45</v>
      </c>
      <c r="Z156" t="s">
        <v>636</v>
      </c>
      <c r="AA156" t="s">
        <v>38</v>
      </c>
    </row>
    <row r="157" spans="1:27" hidden="1">
      <c r="A157" t="s">
        <v>637</v>
      </c>
      <c r="B157" t="s">
        <v>638</v>
      </c>
      <c r="C157" t="e">
        <f>VLOOKUP(B157,Sheet2!$A$2:$A$392,1,0)</f>
        <v>#N/A</v>
      </c>
      <c r="E157" t="s">
        <v>40</v>
      </c>
      <c r="F157" t="s">
        <v>41</v>
      </c>
      <c r="G157" t="s">
        <v>29</v>
      </c>
      <c r="I157" t="s">
        <v>42</v>
      </c>
      <c r="J157" s="2">
        <v>5000</v>
      </c>
      <c r="K157" s="2">
        <v>76</v>
      </c>
      <c r="L157" s="2">
        <v>1990</v>
      </c>
      <c r="P157" t="s">
        <v>185</v>
      </c>
      <c r="R157" t="s">
        <v>42</v>
      </c>
      <c r="S157" t="s">
        <v>33</v>
      </c>
      <c r="T157" t="s">
        <v>34</v>
      </c>
      <c r="U157" t="s">
        <v>35</v>
      </c>
      <c r="X157" t="s">
        <v>34</v>
      </c>
      <c r="Y157" t="s">
        <v>45</v>
      </c>
      <c r="Z157" t="s">
        <v>639</v>
      </c>
      <c r="AA157" t="s">
        <v>38</v>
      </c>
    </row>
    <row r="158" spans="1:27" hidden="1">
      <c r="A158" t="s">
        <v>640</v>
      </c>
      <c r="B158" t="s">
        <v>641</v>
      </c>
      <c r="C158" t="e">
        <f>VLOOKUP(B158,Sheet2!$A$2:$A$392,1,0)</f>
        <v>#N/A</v>
      </c>
      <c r="E158" t="s">
        <v>40</v>
      </c>
      <c r="F158" t="s">
        <v>41</v>
      </c>
      <c r="I158" t="s">
        <v>42</v>
      </c>
      <c r="J158" s="2">
        <v>8000</v>
      </c>
      <c r="K158" s="3">
        <v>91.44</v>
      </c>
      <c r="L158" s="2">
        <v>3064</v>
      </c>
      <c r="P158" t="s">
        <v>74</v>
      </c>
      <c r="R158" t="s">
        <v>42</v>
      </c>
      <c r="S158" t="s">
        <v>33</v>
      </c>
      <c r="T158" t="s">
        <v>34</v>
      </c>
      <c r="U158" t="s">
        <v>44</v>
      </c>
      <c r="X158" t="s">
        <v>34</v>
      </c>
      <c r="Y158" t="s">
        <v>45</v>
      </c>
      <c r="Z158" t="s">
        <v>642</v>
      </c>
      <c r="AA158" t="s">
        <v>38</v>
      </c>
    </row>
    <row r="159" spans="1:27" hidden="1">
      <c r="A159" t="s">
        <v>643</v>
      </c>
      <c r="B159" t="s">
        <v>644</v>
      </c>
      <c r="C159" t="e">
        <f>VLOOKUP(B159,Sheet2!$A$2:$A$392,1,0)</f>
        <v>#N/A</v>
      </c>
      <c r="E159" t="s">
        <v>40</v>
      </c>
      <c r="F159" t="s">
        <v>41</v>
      </c>
      <c r="G159" t="s">
        <v>610</v>
      </c>
      <c r="J159" s="2">
        <v>8000</v>
      </c>
      <c r="K159" s="3">
        <v>91.44</v>
      </c>
      <c r="L159" s="2">
        <v>3269</v>
      </c>
      <c r="P159" t="s">
        <v>645</v>
      </c>
      <c r="R159" t="s">
        <v>42</v>
      </c>
      <c r="S159" t="s">
        <v>33</v>
      </c>
      <c r="U159" t="s">
        <v>44</v>
      </c>
      <c r="W159" t="s">
        <v>63</v>
      </c>
      <c r="X159" t="s">
        <v>34</v>
      </c>
      <c r="Y159" t="s">
        <v>64</v>
      </c>
      <c r="Z159" t="s">
        <v>646</v>
      </c>
      <c r="AA159" t="s">
        <v>38</v>
      </c>
    </row>
    <row r="160" spans="1:27" hidden="1">
      <c r="A160" t="s">
        <v>647</v>
      </c>
      <c r="B160" t="s">
        <v>648</v>
      </c>
      <c r="C160" t="e">
        <f>VLOOKUP(B160,Sheet2!$A$2:$A$392,1,0)</f>
        <v>#N/A</v>
      </c>
      <c r="E160" t="s">
        <v>40</v>
      </c>
      <c r="F160" t="s">
        <v>41</v>
      </c>
      <c r="G160" t="s">
        <v>610</v>
      </c>
      <c r="I160" t="s">
        <v>42</v>
      </c>
      <c r="J160" s="2">
        <v>8000</v>
      </c>
      <c r="K160" s="3">
        <v>91.44</v>
      </c>
      <c r="L160" s="2">
        <v>3270</v>
      </c>
      <c r="P160" t="s">
        <v>649</v>
      </c>
      <c r="R160" t="s">
        <v>42</v>
      </c>
      <c r="S160" t="s">
        <v>33</v>
      </c>
      <c r="T160" t="s">
        <v>34</v>
      </c>
      <c r="U160" t="s">
        <v>44</v>
      </c>
      <c r="W160" t="s">
        <v>63</v>
      </c>
      <c r="X160" t="s">
        <v>34</v>
      </c>
      <c r="Y160" t="s">
        <v>64</v>
      </c>
      <c r="Z160" t="s">
        <v>650</v>
      </c>
      <c r="AA160" t="s">
        <v>38</v>
      </c>
    </row>
    <row r="161" spans="1:27">
      <c r="A161" t="s">
        <v>651</v>
      </c>
      <c r="B161" t="s">
        <v>652</v>
      </c>
      <c r="C161" t="str">
        <f>VLOOKUP(B161,Sheet2!$A$2:$A$392,1,0)</f>
        <v>TB. STAR DOLPHIN / BG. PARTA JAYA 3008</v>
      </c>
      <c r="E161" t="s">
        <v>40</v>
      </c>
      <c r="F161" t="s">
        <v>41</v>
      </c>
      <c r="G161" t="s">
        <v>293</v>
      </c>
      <c r="J161" s="2">
        <v>8000</v>
      </c>
      <c r="K161" s="3">
        <v>91.52</v>
      </c>
      <c r="L161" s="2">
        <v>3142</v>
      </c>
      <c r="O161" t="s">
        <v>294</v>
      </c>
      <c r="P161" t="s">
        <v>653</v>
      </c>
      <c r="R161" t="s">
        <v>42</v>
      </c>
      <c r="S161" t="s">
        <v>33</v>
      </c>
      <c r="U161" t="s">
        <v>44</v>
      </c>
      <c r="W161" t="s">
        <v>63</v>
      </c>
      <c r="X161" t="s">
        <v>34</v>
      </c>
      <c r="Y161" t="s">
        <v>64</v>
      </c>
      <c r="Z161" t="s">
        <v>654</v>
      </c>
      <c r="AA161" t="s">
        <v>38</v>
      </c>
    </row>
    <row r="162" spans="1:27" hidden="1">
      <c r="A162" t="s">
        <v>655</v>
      </c>
      <c r="B162" t="s">
        <v>656</v>
      </c>
      <c r="C162" t="e">
        <f>VLOOKUP(B162,Sheet2!$A$2:$A$392,1,0)</f>
        <v>#N/A</v>
      </c>
      <c r="E162" t="s">
        <v>40</v>
      </c>
      <c r="F162" t="s">
        <v>41</v>
      </c>
      <c r="G162" t="s">
        <v>293</v>
      </c>
      <c r="J162" s="2">
        <v>8000</v>
      </c>
      <c r="K162" s="3">
        <v>91.44</v>
      </c>
      <c r="L162" s="2">
        <v>3249</v>
      </c>
      <c r="O162" t="s">
        <v>294</v>
      </c>
      <c r="P162" t="s">
        <v>657</v>
      </c>
      <c r="R162" t="s">
        <v>42</v>
      </c>
      <c r="S162" t="s">
        <v>33</v>
      </c>
      <c r="U162" t="s">
        <v>35</v>
      </c>
      <c r="W162" t="s">
        <v>63</v>
      </c>
      <c r="X162" t="s">
        <v>34</v>
      </c>
      <c r="Y162" t="s">
        <v>64</v>
      </c>
      <c r="Z162" t="s">
        <v>658</v>
      </c>
      <c r="AA162" t="s">
        <v>38</v>
      </c>
    </row>
    <row r="163" spans="1:27" hidden="1">
      <c r="A163" t="s">
        <v>659</v>
      </c>
      <c r="B163" t="s">
        <v>660</v>
      </c>
      <c r="C163" t="e">
        <f>VLOOKUP(B163,Sheet2!$A$2:$A$392,1,0)</f>
        <v>#N/A</v>
      </c>
      <c r="E163" t="s">
        <v>40</v>
      </c>
      <c r="F163" t="s">
        <v>41</v>
      </c>
      <c r="G163" t="s">
        <v>29</v>
      </c>
      <c r="I163" t="s">
        <v>42</v>
      </c>
      <c r="J163" s="2">
        <v>8000</v>
      </c>
      <c r="K163" s="2">
        <v>87</v>
      </c>
      <c r="L163" s="2">
        <v>3314</v>
      </c>
      <c r="P163" t="s">
        <v>661</v>
      </c>
      <c r="R163" t="s">
        <v>42</v>
      </c>
      <c r="S163" t="s">
        <v>33</v>
      </c>
      <c r="T163" t="s">
        <v>34</v>
      </c>
      <c r="U163" t="s">
        <v>35</v>
      </c>
      <c r="X163" t="s">
        <v>34</v>
      </c>
      <c r="Y163" t="s">
        <v>45</v>
      </c>
      <c r="Z163" t="s">
        <v>662</v>
      </c>
      <c r="AA163" t="s">
        <v>38</v>
      </c>
    </row>
    <row r="164" spans="1:27" hidden="1">
      <c r="A164" t="s">
        <v>663</v>
      </c>
      <c r="B164" t="s">
        <v>664</v>
      </c>
      <c r="C164" t="e">
        <f>VLOOKUP(B164,Sheet2!$A$2:$A$392,1,0)</f>
        <v>#N/A</v>
      </c>
      <c r="E164" t="s">
        <v>40</v>
      </c>
      <c r="F164" t="s">
        <v>41</v>
      </c>
      <c r="G164" t="s">
        <v>29</v>
      </c>
      <c r="I164" t="s">
        <v>42</v>
      </c>
      <c r="J164" s="2">
        <v>8000</v>
      </c>
      <c r="K164" s="2">
        <v>88</v>
      </c>
      <c r="L164" s="2">
        <v>3322</v>
      </c>
      <c r="P164" t="s">
        <v>665</v>
      </c>
      <c r="R164" t="s">
        <v>42</v>
      </c>
      <c r="S164" t="s">
        <v>33</v>
      </c>
      <c r="T164" t="s">
        <v>34</v>
      </c>
      <c r="U164" t="s">
        <v>35</v>
      </c>
      <c r="W164" t="s">
        <v>165</v>
      </c>
      <c r="X164" t="s">
        <v>34</v>
      </c>
      <c r="Y164" t="s">
        <v>245</v>
      </c>
      <c r="Z164" t="s">
        <v>666</v>
      </c>
      <c r="AA164" t="s">
        <v>38</v>
      </c>
    </row>
    <row r="165" spans="1:27" hidden="1">
      <c r="A165" t="s">
        <v>667</v>
      </c>
      <c r="B165" t="s">
        <v>668</v>
      </c>
      <c r="C165" t="e">
        <f>VLOOKUP(B165,Sheet2!$A$2:$A$392,1,0)</f>
        <v>#N/A</v>
      </c>
      <c r="E165" t="s">
        <v>27</v>
      </c>
      <c r="F165" t="s">
        <v>41</v>
      </c>
      <c r="G165" t="s">
        <v>29</v>
      </c>
      <c r="J165" s="2">
        <v>2562</v>
      </c>
      <c r="K165" s="3">
        <v>73.25</v>
      </c>
      <c r="L165" s="2">
        <v>1434</v>
      </c>
      <c r="P165" t="s">
        <v>669</v>
      </c>
      <c r="R165" t="s">
        <v>32</v>
      </c>
      <c r="S165" t="s">
        <v>33</v>
      </c>
      <c r="U165" t="s">
        <v>35</v>
      </c>
      <c r="X165" t="s">
        <v>34</v>
      </c>
      <c r="Y165" t="s">
        <v>45</v>
      </c>
      <c r="Z165" t="s">
        <v>670</v>
      </c>
      <c r="AA165" t="s">
        <v>38</v>
      </c>
    </row>
    <row r="166" spans="1:27" hidden="1">
      <c r="A166" t="s">
        <v>671</v>
      </c>
      <c r="B166" t="s">
        <v>672</v>
      </c>
      <c r="C166" t="e">
        <f>VLOOKUP(B166,Sheet2!$A$2:$A$392,1,0)</f>
        <v>#N/A</v>
      </c>
      <c r="E166" t="s">
        <v>121</v>
      </c>
      <c r="G166" t="s">
        <v>673</v>
      </c>
      <c r="I166" t="s">
        <v>42</v>
      </c>
      <c r="J166" s="2">
        <v>2510</v>
      </c>
      <c r="K166">
        <v>70.099999999999994</v>
      </c>
      <c r="L166" s="2">
        <v>1793</v>
      </c>
      <c r="P166" t="s">
        <v>674</v>
      </c>
      <c r="S166" t="s">
        <v>33</v>
      </c>
      <c r="X166" t="s">
        <v>34</v>
      </c>
      <c r="Y166" t="s">
        <v>96</v>
      </c>
      <c r="Z166" t="s">
        <v>675</v>
      </c>
      <c r="AA166" t="s">
        <v>38</v>
      </c>
    </row>
    <row r="167" spans="1:27" hidden="1">
      <c r="A167" t="s">
        <v>676</v>
      </c>
      <c r="B167" t="s">
        <v>677</v>
      </c>
      <c r="C167" t="e">
        <f>VLOOKUP(B167,Sheet2!$A$2:$A$392,1,0)</f>
        <v>#N/A</v>
      </c>
      <c r="E167" t="s">
        <v>206</v>
      </c>
      <c r="F167" t="s">
        <v>41</v>
      </c>
      <c r="G167" t="s">
        <v>29</v>
      </c>
      <c r="J167" s="2">
        <v>400</v>
      </c>
      <c r="K167" s="2">
        <v>70</v>
      </c>
      <c r="L167" s="2">
        <v>150</v>
      </c>
      <c r="P167" s="2">
        <v>1</v>
      </c>
      <c r="Q167" t="s">
        <v>34</v>
      </c>
      <c r="R167" t="s">
        <v>42</v>
      </c>
      <c r="S167" t="s">
        <v>33</v>
      </c>
      <c r="U167" t="s">
        <v>35</v>
      </c>
      <c r="X167" t="s">
        <v>34</v>
      </c>
      <c r="Y167" t="s">
        <v>45</v>
      </c>
      <c r="Z167" t="s">
        <v>678</v>
      </c>
      <c r="AA167" t="s">
        <v>38</v>
      </c>
    </row>
    <row r="168" spans="1:27" hidden="1">
      <c r="A168" t="s">
        <v>679</v>
      </c>
      <c r="B168" t="s">
        <v>680</v>
      </c>
      <c r="C168" t="e">
        <f>VLOOKUP(B168,Sheet2!$A$2:$A$392,1,0)</f>
        <v>#N/A</v>
      </c>
      <c r="E168" t="s">
        <v>40</v>
      </c>
      <c r="F168" t="s">
        <v>41</v>
      </c>
      <c r="G168" t="s">
        <v>29</v>
      </c>
      <c r="I168" t="s">
        <v>42</v>
      </c>
      <c r="J168" s="2">
        <v>5500</v>
      </c>
      <c r="K168" s="2">
        <v>82</v>
      </c>
      <c r="L168" s="2">
        <v>2283</v>
      </c>
      <c r="P168" t="s">
        <v>681</v>
      </c>
      <c r="R168" t="s">
        <v>42</v>
      </c>
      <c r="S168" t="s">
        <v>33</v>
      </c>
      <c r="T168" t="s">
        <v>34</v>
      </c>
      <c r="U168" t="s">
        <v>35</v>
      </c>
      <c r="X168" t="s">
        <v>34</v>
      </c>
      <c r="Y168" t="s">
        <v>45</v>
      </c>
      <c r="Z168" t="s">
        <v>682</v>
      </c>
      <c r="AA168" t="s">
        <v>38</v>
      </c>
    </row>
    <row r="169" spans="1:27" hidden="1">
      <c r="A169" t="s">
        <v>683</v>
      </c>
      <c r="B169" t="s">
        <v>684</v>
      </c>
      <c r="C169" t="e">
        <f>VLOOKUP(B169,Sheet2!$A$2:$A$392,1,0)</f>
        <v>#N/A</v>
      </c>
      <c r="E169" t="s">
        <v>52</v>
      </c>
      <c r="F169" t="s">
        <v>28</v>
      </c>
      <c r="G169" t="s">
        <v>59</v>
      </c>
      <c r="I169" t="s">
        <v>685</v>
      </c>
      <c r="J169">
        <v>56.441000000000003</v>
      </c>
      <c r="K169" s="2">
        <v>189</v>
      </c>
      <c r="L169" s="2">
        <v>32032</v>
      </c>
      <c r="O169" t="s">
        <v>61</v>
      </c>
      <c r="P169" t="s">
        <v>686</v>
      </c>
      <c r="R169" t="s">
        <v>685</v>
      </c>
      <c r="S169" t="s">
        <v>33</v>
      </c>
      <c r="T169" t="s">
        <v>34</v>
      </c>
      <c r="U169" t="s">
        <v>35</v>
      </c>
      <c r="W169" t="s">
        <v>63</v>
      </c>
      <c r="X169" t="s">
        <v>34</v>
      </c>
      <c r="Y169" t="s">
        <v>64</v>
      </c>
      <c r="Z169" t="s">
        <v>687</v>
      </c>
      <c r="AA169" t="s">
        <v>38</v>
      </c>
    </row>
    <row r="170" spans="1:27" hidden="1">
      <c r="A170" t="s">
        <v>688</v>
      </c>
      <c r="B170" t="s">
        <v>689</v>
      </c>
      <c r="C170" t="e">
        <f>VLOOKUP(B170,Sheet2!$A$2:$A$392,1,0)</f>
        <v>#N/A</v>
      </c>
      <c r="E170" t="s">
        <v>27</v>
      </c>
      <c r="F170" t="s">
        <v>41</v>
      </c>
      <c r="G170" t="s">
        <v>29</v>
      </c>
      <c r="I170" t="s">
        <v>42</v>
      </c>
      <c r="J170" s="2">
        <v>5431</v>
      </c>
      <c r="K170" s="2">
        <v>98</v>
      </c>
      <c r="L170" s="2">
        <v>2920</v>
      </c>
      <c r="M170" s="2">
        <v>2400</v>
      </c>
      <c r="N170" s="2">
        <v>6</v>
      </c>
      <c r="P170" t="s">
        <v>690</v>
      </c>
      <c r="R170" t="s">
        <v>581</v>
      </c>
      <c r="S170" t="s">
        <v>33</v>
      </c>
      <c r="T170" t="s">
        <v>34</v>
      </c>
      <c r="U170" t="s">
        <v>35</v>
      </c>
      <c r="X170" t="s">
        <v>34</v>
      </c>
      <c r="Y170" t="s">
        <v>45</v>
      </c>
      <c r="Z170" t="s">
        <v>691</v>
      </c>
      <c r="AA170" t="s">
        <v>38</v>
      </c>
    </row>
    <row r="171" spans="1:27" hidden="1">
      <c r="A171" t="s">
        <v>692</v>
      </c>
      <c r="B171" t="s">
        <v>693</v>
      </c>
      <c r="C171" t="e">
        <f>VLOOKUP(B171,Sheet2!$A$2:$A$392,1,0)</f>
        <v>#N/A</v>
      </c>
      <c r="E171" t="s">
        <v>40</v>
      </c>
      <c r="F171" t="s">
        <v>41</v>
      </c>
      <c r="G171" t="s">
        <v>29</v>
      </c>
      <c r="I171" t="s">
        <v>42</v>
      </c>
      <c r="J171" s="2">
        <v>7300</v>
      </c>
      <c r="K171" s="2">
        <v>91</v>
      </c>
      <c r="L171" s="2">
        <v>3311</v>
      </c>
      <c r="P171" s="2">
        <v>1234</v>
      </c>
      <c r="R171" t="s">
        <v>694</v>
      </c>
      <c r="S171" t="s">
        <v>33</v>
      </c>
      <c r="T171" t="s">
        <v>34</v>
      </c>
      <c r="U171" t="s">
        <v>44</v>
      </c>
      <c r="W171" t="s">
        <v>165</v>
      </c>
      <c r="X171" t="s">
        <v>34</v>
      </c>
      <c r="Y171" t="s">
        <v>245</v>
      </c>
      <c r="Z171" t="s">
        <v>695</v>
      </c>
      <c r="AA171" t="s">
        <v>38</v>
      </c>
    </row>
    <row r="172" spans="1:27" hidden="1">
      <c r="A172" t="s">
        <v>696</v>
      </c>
      <c r="B172" t="s">
        <v>697</v>
      </c>
      <c r="C172" t="e">
        <f>VLOOKUP(B172,Sheet2!$A$2:$A$392,1,0)</f>
        <v>#N/A</v>
      </c>
      <c r="E172" t="s">
        <v>40</v>
      </c>
      <c r="F172" t="s">
        <v>41</v>
      </c>
      <c r="G172" t="s">
        <v>29</v>
      </c>
      <c r="I172" t="s">
        <v>42</v>
      </c>
      <c r="J172" s="2">
        <v>8000</v>
      </c>
      <c r="K172" s="2">
        <v>87</v>
      </c>
      <c r="L172" s="2">
        <v>3343</v>
      </c>
      <c r="P172" t="s">
        <v>185</v>
      </c>
      <c r="R172" t="s">
        <v>42</v>
      </c>
      <c r="S172" t="s">
        <v>33</v>
      </c>
      <c r="T172" t="s">
        <v>34</v>
      </c>
      <c r="U172" t="s">
        <v>35</v>
      </c>
      <c r="X172" t="s">
        <v>34</v>
      </c>
      <c r="Y172" t="s">
        <v>45</v>
      </c>
      <c r="Z172" t="s">
        <v>698</v>
      </c>
      <c r="AA172" t="s">
        <v>38</v>
      </c>
    </row>
    <row r="173" spans="1:27" hidden="1">
      <c r="A173" t="s">
        <v>699</v>
      </c>
      <c r="B173" t="s">
        <v>700</v>
      </c>
      <c r="C173" t="e">
        <f>VLOOKUP(B173,Sheet2!$A$2:$A$392,1,0)</f>
        <v>#N/A</v>
      </c>
      <c r="E173" t="s">
        <v>93</v>
      </c>
      <c r="G173" t="s">
        <v>94</v>
      </c>
      <c r="I173" t="s">
        <v>42</v>
      </c>
      <c r="J173" s="2">
        <v>228</v>
      </c>
      <c r="K173" s="3">
        <v>65.92</v>
      </c>
      <c r="L173" s="2">
        <v>758</v>
      </c>
      <c r="P173" t="s">
        <v>701</v>
      </c>
      <c r="S173" t="s">
        <v>33</v>
      </c>
      <c r="X173" t="s">
        <v>34</v>
      </c>
      <c r="AA173" t="s">
        <v>38</v>
      </c>
    </row>
    <row r="174" spans="1:27">
      <c r="A174" t="s">
        <v>702</v>
      </c>
      <c r="B174" t="s">
        <v>703</v>
      </c>
      <c r="C174" t="str">
        <f>VLOOKUP(B174,Sheet2!$A$2:$A$392,1,0)</f>
        <v>TB. SMS 160 10 / BG. SMS 10</v>
      </c>
      <c r="E174" t="s">
        <v>40</v>
      </c>
      <c r="F174" t="s">
        <v>41</v>
      </c>
      <c r="G174" t="s">
        <v>293</v>
      </c>
      <c r="J174" s="2">
        <v>8000</v>
      </c>
      <c r="K174" s="2">
        <v>92</v>
      </c>
      <c r="L174" s="2">
        <v>3197</v>
      </c>
      <c r="M174" s="2">
        <v>1220</v>
      </c>
      <c r="N174">
        <v>5.5</v>
      </c>
      <c r="O174" t="s">
        <v>294</v>
      </c>
      <c r="P174" t="s">
        <v>704</v>
      </c>
      <c r="R174" t="s">
        <v>42</v>
      </c>
      <c r="S174" t="s">
        <v>33</v>
      </c>
      <c r="U174" t="s">
        <v>35</v>
      </c>
      <c r="W174" t="s">
        <v>63</v>
      </c>
      <c r="X174" t="s">
        <v>34</v>
      </c>
      <c r="Y174" t="s">
        <v>64</v>
      </c>
      <c r="Z174" t="s">
        <v>705</v>
      </c>
      <c r="AA174" t="s">
        <v>38</v>
      </c>
    </row>
    <row r="175" spans="1:27" hidden="1">
      <c r="A175" t="s">
        <v>706</v>
      </c>
      <c r="B175" t="s">
        <v>707</v>
      </c>
      <c r="C175" t="e">
        <f>VLOOKUP(B175,Sheet2!$A$2:$A$392,1,0)</f>
        <v>#N/A</v>
      </c>
      <c r="E175" t="s">
        <v>40</v>
      </c>
      <c r="F175" t="s">
        <v>41</v>
      </c>
      <c r="G175" t="s">
        <v>29</v>
      </c>
      <c r="I175" t="s">
        <v>42</v>
      </c>
      <c r="J175" s="2">
        <v>7500</v>
      </c>
      <c r="K175" s="2">
        <v>91</v>
      </c>
      <c r="L175" s="2">
        <v>3366</v>
      </c>
      <c r="P175" s="2">
        <v>1234</v>
      </c>
      <c r="R175" t="s">
        <v>42</v>
      </c>
      <c r="S175" t="s">
        <v>33</v>
      </c>
      <c r="T175" t="s">
        <v>34</v>
      </c>
      <c r="U175" t="s">
        <v>44</v>
      </c>
      <c r="W175" t="s">
        <v>165</v>
      </c>
      <c r="X175" t="s">
        <v>34</v>
      </c>
      <c r="Y175" t="s">
        <v>245</v>
      </c>
      <c r="Z175" t="s">
        <v>437</v>
      </c>
      <c r="AA175" t="s">
        <v>38</v>
      </c>
    </row>
    <row r="176" spans="1:27" hidden="1">
      <c r="A176" t="s">
        <v>708</v>
      </c>
      <c r="B176" t="s">
        <v>709</v>
      </c>
      <c r="C176" t="e">
        <f>VLOOKUP(B176,Sheet2!$A$2:$A$392,1,0)</f>
        <v>#N/A</v>
      </c>
      <c r="E176" t="s">
        <v>40</v>
      </c>
      <c r="F176" t="s">
        <v>41</v>
      </c>
      <c r="G176" t="s">
        <v>29</v>
      </c>
      <c r="I176" t="s">
        <v>42</v>
      </c>
      <c r="J176" s="2">
        <v>7500</v>
      </c>
      <c r="K176" s="2">
        <v>87</v>
      </c>
      <c r="L176" s="2">
        <v>3381</v>
      </c>
      <c r="M176" s="2">
        <v>829</v>
      </c>
      <c r="P176" t="s">
        <v>710</v>
      </c>
      <c r="R176" t="s">
        <v>42</v>
      </c>
      <c r="S176" t="s">
        <v>33</v>
      </c>
      <c r="T176" t="s">
        <v>34</v>
      </c>
      <c r="U176" t="s">
        <v>44</v>
      </c>
      <c r="W176" t="s">
        <v>165</v>
      </c>
      <c r="X176" t="s">
        <v>34</v>
      </c>
      <c r="Y176" t="s">
        <v>245</v>
      </c>
      <c r="Z176" t="s">
        <v>711</v>
      </c>
      <c r="AA176" t="s">
        <v>38</v>
      </c>
    </row>
    <row r="177" spans="1:27" hidden="1">
      <c r="A177" t="s">
        <v>712</v>
      </c>
      <c r="B177" t="s">
        <v>713</v>
      </c>
      <c r="C177" t="e">
        <f>VLOOKUP(B177,Sheet2!$A$2:$A$392,1,0)</f>
        <v>#N/A</v>
      </c>
      <c r="E177" t="s">
        <v>40</v>
      </c>
      <c r="F177" t="s">
        <v>41</v>
      </c>
      <c r="G177" t="s">
        <v>29</v>
      </c>
      <c r="I177" t="s">
        <v>42</v>
      </c>
      <c r="J177" s="2">
        <v>7500</v>
      </c>
      <c r="K177" s="2">
        <v>87</v>
      </c>
      <c r="L177" s="2">
        <v>3435</v>
      </c>
      <c r="M177" s="2">
        <v>829</v>
      </c>
      <c r="P177" s="2">
        <v>12345</v>
      </c>
      <c r="R177" t="s">
        <v>42</v>
      </c>
      <c r="S177" t="s">
        <v>33</v>
      </c>
      <c r="T177" t="s">
        <v>34</v>
      </c>
      <c r="U177" t="s">
        <v>44</v>
      </c>
      <c r="W177" t="s">
        <v>165</v>
      </c>
      <c r="X177" t="s">
        <v>34</v>
      </c>
      <c r="Y177" t="s">
        <v>245</v>
      </c>
      <c r="Z177" t="s">
        <v>714</v>
      </c>
      <c r="AA177" t="s">
        <v>38</v>
      </c>
    </row>
    <row r="178" spans="1:27" hidden="1">
      <c r="A178" t="s">
        <v>715</v>
      </c>
      <c r="B178" t="s">
        <v>716</v>
      </c>
      <c r="C178" t="e">
        <f>VLOOKUP(B178,Sheet2!$A$2:$A$392,1,0)</f>
        <v>#N/A</v>
      </c>
      <c r="E178" t="s">
        <v>40</v>
      </c>
      <c r="F178" t="s">
        <v>41</v>
      </c>
      <c r="G178" t="s">
        <v>29</v>
      </c>
      <c r="I178" t="s">
        <v>42</v>
      </c>
      <c r="J178" s="2">
        <v>7500</v>
      </c>
      <c r="K178" s="2">
        <v>91</v>
      </c>
      <c r="L178" s="2">
        <v>3347</v>
      </c>
      <c r="P178" t="s">
        <v>717</v>
      </c>
      <c r="R178" t="s">
        <v>42</v>
      </c>
      <c r="S178" t="s">
        <v>33</v>
      </c>
      <c r="T178" t="s">
        <v>34</v>
      </c>
      <c r="U178" t="s">
        <v>44</v>
      </c>
      <c r="W178" t="s">
        <v>165</v>
      </c>
      <c r="X178" t="s">
        <v>34</v>
      </c>
      <c r="Y178" t="s">
        <v>245</v>
      </c>
      <c r="Z178" t="s">
        <v>718</v>
      </c>
      <c r="AA178" t="s">
        <v>38</v>
      </c>
    </row>
    <row r="179" spans="1:27" hidden="1">
      <c r="A179" t="s">
        <v>719</v>
      </c>
      <c r="B179" t="s">
        <v>720</v>
      </c>
      <c r="C179" t="e">
        <f>VLOOKUP(B179,Sheet2!$A$2:$A$392,1,0)</f>
        <v>#N/A</v>
      </c>
      <c r="E179" t="s">
        <v>40</v>
      </c>
      <c r="F179" t="s">
        <v>41</v>
      </c>
      <c r="G179" t="s">
        <v>29</v>
      </c>
      <c r="I179" t="s">
        <v>42</v>
      </c>
      <c r="J179" s="2">
        <v>10000</v>
      </c>
      <c r="K179" s="2">
        <v>100</v>
      </c>
      <c r="L179" s="2">
        <v>10000</v>
      </c>
      <c r="M179" s="2">
        <v>10000</v>
      </c>
      <c r="N179" s="2">
        <v>1</v>
      </c>
      <c r="P179" t="s">
        <v>719</v>
      </c>
      <c r="R179" t="s">
        <v>42</v>
      </c>
      <c r="S179" t="s">
        <v>33</v>
      </c>
      <c r="T179" t="s">
        <v>34</v>
      </c>
      <c r="U179" t="s">
        <v>44</v>
      </c>
      <c r="V179" s="2">
        <v>1</v>
      </c>
      <c r="X179" t="s">
        <v>34</v>
      </c>
      <c r="Y179" t="s">
        <v>142</v>
      </c>
      <c r="Z179" t="s">
        <v>597</v>
      </c>
      <c r="AA179" t="s">
        <v>38</v>
      </c>
    </row>
    <row r="180" spans="1:27" hidden="1">
      <c r="A180" t="s">
        <v>721</v>
      </c>
      <c r="B180" t="s">
        <v>722</v>
      </c>
      <c r="C180" t="e">
        <f>VLOOKUP(B180,Sheet2!$A$2:$A$392,1,0)</f>
        <v>#N/A</v>
      </c>
      <c r="E180" t="s">
        <v>40</v>
      </c>
      <c r="G180" t="s">
        <v>629</v>
      </c>
      <c r="I180" t="s">
        <v>42</v>
      </c>
      <c r="J180" s="2">
        <v>141</v>
      </c>
      <c r="K180" s="3">
        <v>21.03</v>
      </c>
      <c r="L180" s="2">
        <v>141</v>
      </c>
      <c r="P180" t="s">
        <v>723</v>
      </c>
      <c r="S180" t="s">
        <v>33</v>
      </c>
      <c r="X180" t="s">
        <v>34</v>
      </c>
      <c r="AA180" t="s">
        <v>38</v>
      </c>
    </row>
    <row r="181" spans="1:27" hidden="1">
      <c r="A181" t="s">
        <v>724</v>
      </c>
      <c r="B181" t="s">
        <v>725</v>
      </c>
      <c r="C181" t="e">
        <f>VLOOKUP(B181,Sheet2!$A$2:$A$392,1,0)</f>
        <v>#N/A</v>
      </c>
      <c r="E181" t="s">
        <v>27</v>
      </c>
      <c r="F181" t="s">
        <v>41</v>
      </c>
      <c r="G181" t="s">
        <v>59</v>
      </c>
      <c r="J181" s="2">
        <v>881</v>
      </c>
      <c r="K181" s="3">
        <v>72.06</v>
      </c>
      <c r="L181" s="2">
        <v>1474</v>
      </c>
      <c r="P181" t="s">
        <v>726</v>
      </c>
      <c r="R181" t="s">
        <v>42</v>
      </c>
      <c r="S181" t="s">
        <v>33</v>
      </c>
      <c r="U181" t="s">
        <v>35</v>
      </c>
      <c r="W181" t="s">
        <v>63</v>
      </c>
      <c r="X181" t="s">
        <v>34</v>
      </c>
      <c r="Y181" t="s">
        <v>64</v>
      </c>
      <c r="Z181" t="s">
        <v>727</v>
      </c>
      <c r="AA181" t="s">
        <v>38</v>
      </c>
    </row>
    <row r="182" spans="1:27" hidden="1">
      <c r="A182" t="s">
        <v>728</v>
      </c>
      <c r="B182" t="s">
        <v>729</v>
      </c>
      <c r="C182" t="e">
        <f>VLOOKUP(B182,Sheet2!$A$2:$A$392,1,0)</f>
        <v>#N/A</v>
      </c>
      <c r="E182" t="s">
        <v>206</v>
      </c>
      <c r="F182" t="s">
        <v>41</v>
      </c>
      <c r="G182" t="s">
        <v>29</v>
      </c>
      <c r="J182" s="2">
        <v>400</v>
      </c>
      <c r="K182" s="2">
        <v>70</v>
      </c>
      <c r="L182" s="2">
        <v>150</v>
      </c>
      <c r="P182" s="2">
        <v>1</v>
      </c>
      <c r="Q182" t="s">
        <v>34</v>
      </c>
      <c r="R182" t="s">
        <v>42</v>
      </c>
      <c r="S182" t="s">
        <v>33</v>
      </c>
      <c r="U182" t="s">
        <v>35</v>
      </c>
      <c r="X182" t="s">
        <v>34</v>
      </c>
      <c r="Y182" t="s">
        <v>45</v>
      </c>
      <c r="Z182" t="s">
        <v>730</v>
      </c>
      <c r="AA182" t="s">
        <v>38</v>
      </c>
    </row>
    <row r="183" spans="1:27" hidden="1">
      <c r="A183" t="s">
        <v>731</v>
      </c>
      <c r="B183" t="s">
        <v>732</v>
      </c>
      <c r="C183" t="e">
        <f>VLOOKUP(B183,Sheet2!$A$2:$A$392,1,0)</f>
        <v>#N/A</v>
      </c>
      <c r="E183" t="s">
        <v>733</v>
      </c>
      <c r="G183" t="s">
        <v>734</v>
      </c>
      <c r="I183" t="s">
        <v>42</v>
      </c>
      <c r="J183" s="2">
        <v>3375</v>
      </c>
      <c r="K183" s="2">
        <v>130</v>
      </c>
      <c r="L183" s="2">
        <v>14649</v>
      </c>
      <c r="P183" t="s">
        <v>735</v>
      </c>
      <c r="S183" t="s">
        <v>33</v>
      </c>
      <c r="X183" t="s">
        <v>34</v>
      </c>
      <c r="AA183" t="s">
        <v>38</v>
      </c>
    </row>
    <row r="184" spans="1:27" hidden="1">
      <c r="A184" t="s">
        <v>736</v>
      </c>
      <c r="B184" t="s">
        <v>737</v>
      </c>
      <c r="C184" t="e">
        <f>VLOOKUP(B184,Sheet2!$A$2:$A$392,1,0)</f>
        <v>#N/A</v>
      </c>
      <c r="E184" t="s">
        <v>170</v>
      </c>
      <c r="I184" t="s">
        <v>42</v>
      </c>
      <c r="J184" s="2">
        <v>106560</v>
      </c>
      <c r="K184">
        <v>240.5</v>
      </c>
      <c r="L184" s="2">
        <v>57683</v>
      </c>
      <c r="P184" t="s">
        <v>738</v>
      </c>
      <c r="S184" t="s">
        <v>33</v>
      </c>
      <c r="X184" t="s">
        <v>34</v>
      </c>
      <c r="AA184" t="s">
        <v>38</v>
      </c>
    </row>
    <row r="185" spans="1:27" hidden="1">
      <c r="A185" t="s">
        <v>739</v>
      </c>
      <c r="B185" t="s">
        <v>740</v>
      </c>
      <c r="C185" t="e">
        <f>VLOOKUP(B185,Sheet2!$A$2:$A$392,1,0)</f>
        <v>#N/A</v>
      </c>
      <c r="E185" t="s">
        <v>40</v>
      </c>
      <c r="F185" t="s">
        <v>41</v>
      </c>
      <c r="G185" t="s">
        <v>29</v>
      </c>
      <c r="I185" t="s">
        <v>42</v>
      </c>
      <c r="J185" s="2">
        <v>10000</v>
      </c>
      <c r="K185" s="2">
        <v>100</v>
      </c>
      <c r="L185" s="2">
        <v>10000</v>
      </c>
      <c r="M185" s="2">
        <v>10000</v>
      </c>
      <c r="N185" s="2">
        <v>1</v>
      </c>
      <c r="P185" t="s">
        <v>739</v>
      </c>
      <c r="R185" t="s">
        <v>42</v>
      </c>
      <c r="S185" t="s">
        <v>33</v>
      </c>
      <c r="T185" t="s">
        <v>34</v>
      </c>
      <c r="U185" t="s">
        <v>44</v>
      </c>
      <c r="V185" s="2">
        <v>1</v>
      </c>
      <c r="X185" t="s">
        <v>34</v>
      </c>
      <c r="Y185" t="s">
        <v>142</v>
      </c>
      <c r="Z185" t="s">
        <v>741</v>
      </c>
      <c r="AA185" t="s">
        <v>38</v>
      </c>
    </row>
    <row r="186" spans="1:27" hidden="1">
      <c r="A186" t="s">
        <v>742</v>
      </c>
      <c r="B186" t="s">
        <v>743</v>
      </c>
      <c r="C186" t="e">
        <f>VLOOKUP(B186,Sheet2!$A$2:$A$392,1,0)</f>
        <v>#N/A</v>
      </c>
      <c r="E186" t="s">
        <v>27</v>
      </c>
      <c r="I186" t="s">
        <v>42</v>
      </c>
      <c r="J186" s="2">
        <v>109</v>
      </c>
      <c r="K186">
        <v>244.6</v>
      </c>
      <c r="L186" s="2">
        <v>61764</v>
      </c>
      <c r="P186" t="s">
        <v>744</v>
      </c>
      <c r="S186" t="s">
        <v>33</v>
      </c>
      <c r="X186" t="s">
        <v>34</v>
      </c>
      <c r="AA186" t="s">
        <v>38</v>
      </c>
    </row>
    <row r="187" spans="1:27" hidden="1">
      <c r="A187" t="s">
        <v>745</v>
      </c>
      <c r="B187" t="s">
        <v>746</v>
      </c>
      <c r="C187" t="e">
        <f>VLOOKUP(B187,Sheet2!$A$2:$A$392,1,0)</f>
        <v>#N/A</v>
      </c>
      <c r="E187" t="s">
        <v>72</v>
      </c>
      <c r="G187" t="s">
        <v>747</v>
      </c>
      <c r="I187" t="s">
        <v>42</v>
      </c>
      <c r="J187" s="2">
        <v>1000</v>
      </c>
      <c r="K187" s="2">
        <v>1</v>
      </c>
      <c r="L187" s="2">
        <v>3145</v>
      </c>
      <c r="P187" s="2">
        <v>1</v>
      </c>
      <c r="S187" t="s">
        <v>33</v>
      </c>
      <c r="X187" t="s">
        <v>34</v>
      </c>
      <c r="AA187" t="s">
        <v>38</v>
      </c>
    </row>
    <row r="188" spans="1:27" hidden="1">
      <c r="A188" t="s">
        <v>748</v>
      </c>
      <c r="B188" t="s">
        <v>749</v>
      </c>
      <c r="C188" t="e">
        <f>VLOOKUP(B188,Sheet2!$A$2:$A$392,1,0)</f>
        <v>#N/A</v>
      </c>
      <c r="E188" t="s">
        <v>40</v>
      </c>
      <c r="F188" t="s">
        <v>41</v>
      </c>
      <c r="G188" t="s">
        <v>29</v>
      </c>
      <c r="I188" t="s">
        <v>42</v>
      </c>
      <c r="J188" s="2">
        <v>7800</v>
      </c>
      <c r="K188" s="2">
        <v>91</v>
      </c>
      <c r="L188" s="2">
        <v>3135</v>
      </c>
      <c r="P188" t="s">
        <v>185</v>
      </c>
      <c r="R188" t="s">
        <v>42</v>
      </c>
      <c r="S188" t="s">
        <v>33</v>
      </c>
      <c r="T188" t="s">
        <v>34</v>
      </c>
      <c r="U188" t="s">
        <v>44</v>
      </c>
      <c r="V188" s="2">
        <v>1</v>
      </c>
      <c r="W188" t="s">
        <v>165</v>
      </c>
      <c r="X188" t="s">
        <v>34</v>
      </c>
      <c r="Y188" t="s">
        <v>245</v>
      </c>
      <c r="Z188" t="s">
        <v>437</v>
      </c>
      <c r="AA188" t="s">
        <v>38</v>
      </c>
    </row>
    <row r="189" spans="1:27">
      <c r="A189" t="s">
        <v>750</v>
      </c>
      <c r="B189" t="s">
        <v>751</v>
      </c>
      <c r="C189" t="str">
        <f>VLOOKUP(B189,Sheet2!$A$2:$A$392,1,0)</f>
        <v>KM. BINTANG 28</v>
      </c>
      <c r="E189" t="s">
        <v>27</v>
      </c>
      <c r="F189" t="s">
        <v>41</v>
      </c>
      <c r="G189" t="s">
        <v>29</v>
      </c>
      <c r="J189" s="2">
        <v>1000</v>
      </c>
      <c r="K189" s="2">
        <v>50</v>
      </c>
      <c r="L189" s="2">
        <v>641</v>
      </c>
      <c r="P189" t="s">
        <v>752</v>
      </c>
      <c r="R189" t="s">
        <v>244</v>
      </c>
      <c r="S189" t="s">
        <v>33</v>
      </c>
      <c r="U189" t="s">
        <v>35</v>
      </c>
      <c r="X189" t="s">
        <v>34</v>
      </c>
      <c r="Y189" t="s">
        <v>45</v>
      </c>
      <c r="Z189" t="s">
        <v>753</v>
      </c>
      <c r="AA189" t="s">
        <v>38</v>
      </c>
    </row>
    <row r="190" spans="1:27" hidden="1">
      <c r="A190" t="s">
        <v>754</v>
      </c>
      <c r="B190" t="s">
        <v>755</v>
      </c>
      <c r="C190" t="e">
        <f>VLOOKUP(B190,Sheet2!$A$2:$A$392,1,0)</f>
        <v>#N/A</v>
      </c>
      <c r="E190" t="s">
        <v>40</v>
      </c>
      <c r="F190" t="s">
        <v>41</v>
      </c>
      <c r="G190" t="s">
        <v>756</v>
      </c>
      <c r="J190" s="2">
        <v>10000</v>
      </c>
      <c r="K190" s="3">
        <v>91.44</v>
      </c>
      <c r="L190" s="2">
        <v>3219</v>
      </c>
      <c r="N190" s="2">
        <v>4</v>
      </c>
      <c r="O190" t="s">
        <v>757</v>
      </c>
      <c r="P190" t="s">
        <v>758</v>
      </c>
      <c r="R190" t="s">
        <v>42</v>
      </c>
      <c r="S190" t="s">
        <v>33</v>
      </c>
      <c r="U190" t="s">
        <v>35</v>
      </c>
      <c r="W190" t="s">
        <v>63</v>
      </c>
      <c r="X190" t="s">
        <v>34</v>
      </c>
      <c r="Y190" t="s">
        <v>64</v>
      </c>
      <c r="Z190" t="s">
        <v>759</v>
      </c>
      <c r="AA190" t="s">
        <v>38</v>
      </c>
    </row>
    <row r="191" spans="1:27">
      <c r="A191" t="s">
        <v>760</v>
      </c>
      <c r="B191" t="s">
        <v>761</v>
      </c>
      <c r="C191" t="str">
        <f>VLOOKUP(B191,Sheet2!$A$2:$A$392,1,0)</f>
        <v>TB. KARYA STAR 80 / BG. TELAGA MAKMUR 30</v>
      </c>
      <c r="E191" t="s">
        <v>40</v>
      </c>
      <c r="F191" t="s">
        <v>41</v>
      </c>
      <c r="G191" t="s">
        <v>756</v>
      </c>
      <c r="J191" s="2">
        <v>7500</v>
      </c>
      <c r="K191" s="3">
        <v>91.44</v>
      </c>
      <c r="L191" s="2">
        <v>3219</v>
      </c>
      <c r="N191" s="2">
        <v>4</v>
      </c>
      <c r="O191" t="s">
        <v>757</v>
      </c>
      <c r="P191" t="s">
        <v>762</v>
      </c>
      <c r="R191" t="s">
        <v>42</v>
      </c>
      <c r="S191" t="s">
        <v>33</v>
      </c>
      <c r="U191" t="s">
        <v>35</v>
      </c>
      <c r="V191" s="2">
        <v>1</v>
      </c>
      <c r="W191" t="s">
        <v>63</v>
      </c>
      <c r="X191" t="s">
        <v>34</v>
      </c>
      <c r="Y191" t="s">
        <v>64</v>
      </c>
      <c r="Z191" t="s">
        <v>763</v>
      </c>
      <c r="AA191" t="s">
        <v>38</v>
      </c>
    </row>
    <row r="192" spans="1:27" hidden="1">
      <c r="A192" t="s">
        <v>764</v>
      </c>
      <c r="B192" t="s">
        <v>765</v>
      </c>
      <c r="C192" t="e">
        <f>VLOOKUP(B192,Sheet2!$A$2:$A$392,1,0)</f>
        <v>#N/A</v>
      </c>
      <c r="E192" t="s">
        <v>40</v>
      </c>
      <c r="F192" t="s">
        <v>41</v>
      </c>
      <c r="G192" t="s">
        <v>29</v>
      </c>
      <c r="I192" t="s">
        <v>42</v>
      </c>
      <c r="J192" s="2">
        <v>8000</v>
      </c>
      <c r="K192" s="2">
        <v>92</v>
      </c>
      <c r="L192" s="2">
        <v>3296</v>
      </c>
      <c r="P192" t="s">
        <v>766</v>
      </c>
      <c r="R192" t="s">
        <v>42</v>
      </c>
      <c r="S192" t="s">
        <v>33</v>
      </c>
      <c r="T192" t="s">
        <v>34</v>
      </c>
      <c r="U192" t="s">
        <v>35</v>
      </c>
      <c r="W192" t="s">
        <v>165</v>
      </c>
      <c r="X192" t="s">
        <v>34</v>
      </c>
      <c r="Y192" t="s">
        <v>245</v>
      </c>
      <c r="Z192" t="s">
        <v>767</v>
      </c>
      <c r="AA192" t="s">
        <v>38</v>
      </c>
    </row>
    <row r="193" spans="1:27" hidden="1">
      <c r="A193" t="s">
        <v>768</v>
      </c>
      <c r="B193" t="s">
        <v>769</v>
      </c>
      <c r="C193" t="e">
        <f>VLOOKUP(B193,Sheet2!$A$2:$A$392,1,0)</f>
        <v>#N/A</v>
      </c>
      <c r="E193" t="s">
        <v>40</v>
      </c>
      <c r="F193" t="s">
        <v>41</v>
      </c>
      <c r="G193" t="s">
        <v>29</v>
      </c>
      <c r="I193" t="s">
        <v>42</v>
      </c>
      <c r="J193" s="2">
        <v>8000</v>
      </c>
      <c r="K193" s="2">
        <v>92</v>
      </c>
      <c r="L193" s="2">
        <v>3324</v>
      </c>
      <c r="P193" t="s">
        <v>770</v>
      </c>
      <c r="R193" t="s">
        <v>42</v>
      </c>
      <c r="S193" t="s">
        <v>33</v>
      </c>
      <c r="T193" t="s">
        <v>34</v>
      </c>
      <c r="U193" t="s">
        <v>35</v>
      </c>
      <c r="W193" t="s">
        <v>165</v>
      </c>
      <c r="X193" t="s">
        <v>34</v>
      </c>
      <c r="Y193" t="s">
        <v>245</v>
      </c>
      <c r="Z193" t="s">
        <v>767</v>
      </c>
      <c r="AA193" t="s">
        <v>38</v>
      </c>
    </row>
    <row r="194" spans="1:27" hidden="1">
      <c r="A194" t="s">
        <v>771</v>
      </c>
      <c r="B194" t="s">
        <v>772</v>
      </c>
      <c r="C194" t="e">
        <f>VLOOKUP(B194,Sheet2!$A$2:$A$392,1,0)</f>
        <v>#N/A</v>
      </c>
      <c r="E194" t="s">
        <v>40</v>
      </c>
      <c r="F194" t="s">
        <v>41</v>
      </c>
      <c r="G194" t="s">
        <v>29</v>
      </c>
      <c r="I194" t="s">
        <v>42</v>
      </c>
      <c r="J194" s="2">
        <v>8000</v>
      </c>
      <c r="K194" s="2">
        <v>92</v>
      </c>
      <c r="L194" s="2">
        <v>3289</v>
      </c>
      <c r="P194" t="s">
        <v>773</v>
      </c>
      <c r="R194" t="s">
        <v>42</v>
      </c>
      <c r="S194" t="s">
        <v>33</v>
      </c>
      <c r="T194" t="s">
        <v>34</v>
      </c>
      <c r="U194" t="s">
        <v>35</v>
      </c>
      <c r="W194" t="s">
        <v>165</v>
      </c>
      <c r="X194" t="s">
        <v>34</v>
      </c>
      <c r="Y194" t="s">
        <v>245</v>
      </c>
      <c r="Z194" t="s">
        <v>767</v>
      </c>
      <c r="AA194" t="s">
        <v>38</v>
      </c>
    </row>
    <row r="195" spans="1:27" hidden="1">
      <c r="A195" t="s">
        <v>774</v>
      </c>
      <c r="B195" t="s">
        <v>775</v>
      </c>
      <c r="C195" t="e">
        <f>VLOOKUP(B195,Sheet2!$A$2:$A$392,1,0)</f>
        <v>#N/A</v>
      </c>
      <c r="E195" t="s">
        <v>40</v>
      </c>
      <c r="F195" t="s">
        <v>41</v>
      </c>
      <c r="G195" t="s">
        <v>29</v>
      </c>
      <c r="I195" t="s">
        <v>42</v>
      </c>
      <c r="J195" s="2">
        <v>8000</v>
      </c>
      <c r="K195" s="2">
        <v>92</v>
      </c>
      <c r="L195" s="2">
        <v>3306</v>
      </c>
      <c r="P195" t="s">
        <v>776</v>
      </c>
      <c r="R195" t="s">
        <v>42</v>
      </c>
      <c r="S195" t="s">
        <v>33</v>
      </c>
      <c r="T195" t="s">
        <v>34</v>
      </c>
      <c r="U195" t="s">
        <v>35</v>
      </c>
      <c r="W195" t="s">
        <v>165</v>
      </c>
      <c r="X195" t="s">
        <v>34</v>
      </c>
      <c r="Y195" t="s">
        <v>245</v>
      </c>
      <c r="Z195" t="s">
        <v>767</v>
      </c>
      <c r="AA195" t="s">
        <v>38</v>
      </c>
    </row>
    <row r="196" spans="1:27" hidden="1">
      <c r="A196" t="s">
        <v>777</v>
      </c>
      <c r="B196" t="s">
        <v>778</v>
      </c>
      <c r="C196" t="e">
        <f>VLOOKUP(B196,Sheet2!$A$2:$A$392,1,0)</f>
        <v>#N/A</v>
      </c>
      <c r="E196" t="s">
        <v>27</v>
      </c>
      <c r="F196" t="s">
        <v>41</v>
      </c>
      <c r="G196" t="s">
        <v>59</v>
      </c>
      <c r="J196" s="2">
        <v>3500</v>
      </c>
      <c r="K196" s="2">
        <v>88</v>
      </c>
      <c r="L196" s="2">
        <v>2009</v>
      </c>
      <c r="M196" s="2">
        <v>1000</v>
      </c>
      <c r="P196" t="s">
        <v>779</v>
      </c>
      <c r="R196" t="s">
        <v>32</v>
      </c>
      <c r="S196" t="s">
        <v>33</v>
      </c>
      <c r="U196" t="s">
        <v>35</v>
      </c>
      <c r="W196" t="s">
        <v>63</v>
      </c>
      <c r="X196" t="s">
        <v>34</v>
      </c>
      <c r="Y196" t="s">
        <v>64</v>
      </c>
      <c r="Z196" t="s">
        <v>780</v>
      </c>
      <c r="AA196" t="s">
        <v>38</v>
      </c>
    </row>
    <row r="197" spans="1:27" hidden="1">
      <c r="A197" t="s">
        <v>781</v>
      </c>
      <c r="B197" t="s">
        <v>782</v>
      </c>
      <c r="C197" t="e">
        <f>VLOOKUP(B197,Sheet2!$A$2:$A$392,1,0)</f>
        <v>#N/A</v>
      </c>
      <c r="E197" t="s">
        <v>27</v>
      </c>
      <c r="F197" t="s">
        <v>41</v>
      </c>
      <c r="G197" t="s">
        <v>29</v>
      </c>
      <c r="I197" t="s">
        <v>42</v>
      </c>
      <c r="J197" s="2">
        <v>3500</v>
      </c>
      <c r="K197" s="2">
        <v>96</v>
      </c>
      <c r="L197" s="2">
        <v>2849</v>
      </c>
      <c r="P197" t="s">
        <v>783</v>
      </c>
      <c r="R197" t="s">
        <v>32</v>
      </c>
      <c r="S197" t="s">
        <v>33</v>
      </c>
      <c r="T197" t="s">
        <v>34</v>
      </c>
      <c r="U197" t="s">
        <v>35</v>
      </c>
      <c r="W197" t="s">
        <v>165</v>
      </c>
      <c r="X197" t="s">
        <v>34</v>
      </c>
      <c r="Y197" t="s">
        <v>245</v>
      </c>
      <c r="Z197" t="s">
        <v>784</v>
      </c>
      <c r="AA197" t="s">
        <v>38</v>
      </c>
    </row>
    <row r="198" spans="1:27">
      <c r="A198" t="s">
        <v>785</v>
      </c>
      <c r="B198" t="s">
        <v>786</v>
      </c>
      <c r="C198" t="str">
        <f>VLOOKUP(B198,Sheet2!$A$2:$A$392,1,0)</f>
        <v>KM. BINTAN UTAMA</v>
      </c>
      <c r="E198" t="s">
        <v>27</v>
      </c>
      <c r="F198" t="s">
        <v>41</v>
      </c>
      <c r="G198" t="s">
        <v>29</v>
      </c>
      <c r="I198" t="s">
        <v>42</v>
      </c>
      <c r="J198" s="2">
        <v>4400</v>
      </c>
      <c r="K198" s="2">
        <v>95</v>
      </c>
      <c r="L198" s="2">
        <v>2598</v>
      </c>
      <c r="P198" t="s">
        <v>787</v>
      </c>
      <c r="R198" t="s">
        <v>32</v>
      </c>
      <c r="S198" t="s">
        <v>33</v>
      </c>
      <c r="T198" t="s">
        <v>34</v>
      </c>
      <c r="U198" t="s">
        <v>35</v>
      </c>
      <c r="X198" t="s">
        <v>34</v>
      </c>
      <c r="Y198" t="s">
        <v>45</v>
      </c>
      <c r="Z198" t="s">
        <v>788</v>
      </c>
      <c r="AA198" t="s">
        <v>38</v>
      </c>
    </row>
    <row r="199" spans="1:27" hidden="1">
      <c r="A199" t="s">
        <v>789</v>
      </c>
      <c r="B199" t="s">
        <v>790</v>
      </c>
      <c r="C199" t="e">
        <f>VLOOKUP(B199,Sheet2!$A$2:$A$392,1,0)</f>
        <v>#N/A</v>
      </c>
      <c r="E199" t="s">
        <v>40</v>
      </c>
      <c r="F199" t="s">
        <v>41</v>
      </c>
      <c r="G199" t="s">
        <v>29</v>
      </c>
      <c r="I199" t="s">
        <v>42</v>
      </c>
      <c r="J199" s="2">
        <v>8000</v>
      </c>
      <c r="K199" s="2">
        <v>92</v>
      </c>
      <c r="L199" s="2">
        <v>3296</v>
      </c>
      <c r="P199" t="s">
        <v>791</v>
      </c>
      <c r="R199" t="s">
        <v>42</v>
      </c>
      <c r="S199" t="s">
        <v>33</v>
      </c>
      <c r="T199" t="s">
        <v>34</v>
      </c>
      <c r="U199" t="s">
        <v>35</v>
      </c>
      <c r="W199" t="s">
        <v>165</v>
      </c>
      <c r="X199" t="s">
        <v>34</v>
      </c>
      <c r="Y199" t="s">
        <v>245</v>
      </c>
      <c r="Z199" t="s">
        <v>767</v>
      </c>
      <c r="AA199" t="s">
        <v>38</v>
      </c>
    </row>
    <row r="200" spans="1:27" hidden="1">
      <c r="A200" t="s">
        <v>792</v>
      </c>
      <c r="B200" t="s">
        <v>793</v>
      </c>
      <c r="C200" t="e">
        <f>VLOOKUP(B200,Sheet2!$A$2:$A$392,1,0)</f>
        <v>#N/A</v>
      </c>
      <c r="E200" t="s">
        <v>40</v>
      </c>
      <c r="F200" t="s">
        <v>41</v>
      </c>
      <c r="G200" t="s">
        <v>29</v>
      </c>
      <c r="I200" t="s">
        <v>42</v>
      </c>
      <c r="J200" s="2">
        <v>10000</v>
      </c>
      <c r="K200" s="2">
        <v>100</v>
      </c>
      <c r="L200" s="2">
        <v>10000</v>
      </c>
      <c r="M200" s="2">
        <v>10000</v>
      </c>
      <c r="N200" s="2">
        <v>1</v>
      </c>
      <c r="O200" t="s">
        <v>254</v>
      </c>
      <c r="P200" t="s">
        <v>792</v>
      </c>
      <c r="R200" t="s">
        <v>42</v>
      </c>
      <c r="S200" t="s">
        <v>33</v>
      </c>
      <c r="T200" t="s">
        <v>34</v>
      </c>
      <c r="U200" t="s">
        <v>44</v>
      </c>
      <c r="V200" s="2">
        <v>1</v>
      </c>
      <c r="W200" t="s">
        <v>165</v>
      </c>
      <c r="X200" t="s">
        <v>34</v>
      </c>
      <c r="Y200" t="s">
        <v>245</v>
      </c>
      <c r="Z200" t="s">
        <v>794</v>
      </c>
      <c r="AA200" t="s">
        <v>38</v>
      </c>
    </row>
    <row r="201" spans="1:27" hidden="1">
      <c r="A201" t="s">
        <v>795</v>
      </c>
      <c r="B201" t="s">
        <v>796</v>
      </c>
      <c r="C201" t="e">
        <f>VLOOKUP(B201,Sheet2!$A$2:$A$392,1,0)</f>
        <v>#N/A</v>
      </c>
      <c r="E201" t="s">
        <v>27</v>
      </c>
      <c r="F201" t="s">
        <v>41</v>
      </c>
      <c r="G201" t="s">
        <v>29</v>
      </c>
      <c r="I201" t="s">
        <v>42</v>
      </c>
      <c r="J201" s="2">
        <v>1960</v>
      </c>
      <c r="K201" s="2">
        <v>76</v>
      </c>
      <c r="L201" s="2">
        <v>1368</v>
      </c>
      <c r="P201" t="s">
        <v>797</v>
      </c>
      <c r="R201" t="s">
        <v>32</v>
      </c>
      <c r="S201" t="s">
        <v>33</v>
      </c>
      <c r="T201" t="s">
        <v>34</v>
      </c>
      <c r="U201" t="s">
        <v>35</v>
      </c>
      <c r="X201" t="s">
        <v>34</v>
      </c>
      <c r="Y201" t="s">
        <v>45</v>
      </c>
      <c r="Z201" t="s">
        <v>798</v>
      </c>
      <c r="AA201" t="s">
        <v>38</v>
      </c>
    </row>
    <row r="202" spans="1:27" hidden="1">
      <c r="A202" t="s">
        <v>799</v>
      </c>
      <c r="B202" t="s">
        <v>800</v>
      </c>
      <c r="C202" t="e">
        <f>VLOOKUP(B202,Sheet2!$A$2:$A$392,1,0)</f>
        <v>#N/A</v>
      </c>
      <c r="E202" t="s">
        <v>40</v>
      </c>
      <c r="G202" t="s">
        <v>424</v>
      </c>
      <c r="I202" t="s">
        <v>42</v>
      </c>
      <c r="J202" s="2">
        <v>1</v>
      </c>
      <c r="K202" s="3">
        <v>28.57</v>
      </c>
      <c r="L202" s="2">
        <v>250</v>
      </c>
      <c r="P202" t="s">
        <v>801</v>
      </c>
      <c r="S202" t="s">
        <v>33</v>
      </c>
      <c r="X202" t="s">
        <v>34</v>
      </c>
      <c r="AA202" t="s">
        <v>38</v>
      </c>
    </row>
    <row r="203" spans="1:27" hidden="1">
      <c r="A203" t="s">
        <v>802</v>
      </c>
      <c r="B203" t="s">
        <v>803</v>
      </c>
      <c r="C203" t="e">
        <f>VLOOKUP(B203,Sheet2!$A$2:$A$392,1,0)</f>
        <v>#N/A</v>
      </c>
      <c r="E203" t="s">
        <v>52</v>
      </c>
      <c r="F203" t="s">
        <v>28</v>
      </c>
      <c r="G203" t="s">
        <v>59</v>
      </c>
      <c r="I203" t="s">
        <v>60</v>
      </c>
      <c r="J203" s="2">
        <v>52491</v>
      </c>
      <c r="K203" s="3">
        <v>189.99</v>
      </c>
      <c r="L203" s="2">
        <v>30057</v>
      </c>
      <c r="M203" s="2">
        <v>1440</v>
      </c>
      <c r="N203" s="2">
        <v>12</v>
      </c>
      <c r="O203" t="s">
        <v>61</v>
      </c>
      <c r="P203" t="s">
        <v>804</v>
      </c>
      <c r="R203" t="s">
        <v>60</v>
      </c>
      <c r="S203" t="s">
        <v>33</v>
      </c>
      <c r="T203" t="s">
        <v>34</v>
      </c>
      <c r="U203" t="s">
        <v>35</v>
      </c>
      <c r="W203" t="s">
        <v>63</v>
      </c>
      <c r="X203" t="s">
        <v>34</v>
      </c>
      <c r="Y203" t="s">
        <v>64</v>
      </c>
      <c r="Z203" t="s">
        <v>805</v>
      </c>
      <c r="AA203" t="s">
        <v>38</v>
      </c>
    </row>
    <row r="204" spans="1:27" hidden="1">
      <c r="A204" t="s">
        <v>806</v>
      </c>
      <c r="B204" t="s">
        <v>807</v>
      </c>
      <c r="C204" t="e">
        <f>VLOOKUP(B204,Sheet2!$A$2:$A$392,1,0)</f>
        <v>#N/A</v>
      </c>
      <c r="E204" t="s">
        <v>40</v>
      </c>
      <c r="G204" t="s">
        <v>424</v>
      </c>
      <c r="I204" t="s">
        <v>42</v>
      </c>
      <c r="J204" s="2">
        <v>1</v>
      </c>
      <c r="K204" s="3">
        <v>24.32</v>
      </c>
      <c r="L204" s="2">
        <v>162</v>
      </c>
      <c r="P204" t="s">
        <v>808</v>
      </c>
      <c r="S204" t="s">
        <v>33</v>
      </c>
      <c r="X204" t="s">
        <v>34</v>
      </c>
      <c r="AA204" t="s">
        <v>38</v>
      </c>
    </row>
    <row r="205" spans="1:27" hidden="1">
      <c r="A205" t="s">
        <v>809</v>
      </c>
      <c r="B205" t="s">
        <v>810</v>
      </c>
      <c r="C205" t="e">
        <f>VLOOKUP(B205,Sheet2!$A$2:$A$392,1,0)</f>
        <v>#N/A</v>
      </c>
      <c r="E205" t="s">
        <v>40</v>
      </c>
      <c r="G205" t="s">
        <v>424</v>
      </c>
      <c r="I205" t="s">
        <v>42</v>
      </c>
      <c r="J205" s="2">
        <v>1</v>
      </c>
      <c r="K205">
        <v>26.4</v>
      </c>
      <c r="L205" s="2">
        <v>250</v>
      </c>
      <c r="P205" t="s">
        <v>811</v>
      </c>
      <c r="S205" t="s">
        <v>33</v>
      </c>
      <c r="X205" t="s">
        <v>34</v>
      </c>
      <c r="AA205" t="s">
        <v>38</v>
      </c>
    </row>
    <row r="206" spans="1:27" hidden="1">
      <c r="A206" t="s">
        <v>812</v>
      </c>
      <c r="B206" t="s">
        <v>813</v>
      </c>
      <c r="C206" t="e">
        <f>VLOOKUP(B206,Sheet2!$A$2:$A$392,1,0)</f>
        <v>#N/A</v>
      </c>
      <c r="E206" t="s">
        <v>40</v>
      </c>
      <c r="G206" t="s">
        <v>424</v>
      </c>
      <c r="I206" t="s">
        <v>42</v>
      </c>
      <c r="J206" s="2">
        <v>1</v>
      </c>
      <c r="K206" s="3">
        <v>28.57</v>
      </c>
      <c r="L206" s="2">
        <v>255</v>
      </c>
      <c r="P206" t="s">
        <v>814</v>
      </c>
      <c r="S206" t="s">
        <v>33</v>
      </c>
      <c r="X206" t="s">
        <v>34</v>
      </c>
      <c r="AA206" t="s">
        <v>38</v>
      </c>
    </row>
    <row r="207" spans="1:27" hidden="1">
      <c r="A207" t="s">
        <v>815</v>
      </c>
      <c r="B207" t="s">
        <v>816</v>
      </c>
      <c r="C207" t="e">
        <f>VLOOKUP(B207,Sheet2!$A$2:$A$392,1,0)</f>
        <v>#N/A</v>
      </c>
      <c r="E207" t="s">
        <v>40</v>
      </c>
      <c r="G207" t="s">
        <v>73</v>
      </c>
      <c r="I207" t="s">
        <v>42</v>
      </c>
      <c r="J207" s="2">
        <v>162</v>
      </c>
      <c r="K207" s="3">
        <v>25.62</v>
      </c>
      <c r="L207" s="2">
        <v>162</v>
      </c>
      <c r="P207" t="s">
        <v>817</v>
      </c>
      <c r="S207" t="s">
        <v>33</v>
      </c>
      <c r="X207" t="s">
        <v>34</v>
      </c>
      <c r="AA207" t="s">
        <v>38</v>
      </c>
    </row>
    <row r="208" spans="1:27" hidden="1">
      <c r="A208" t="s">
        <v>818</v>
      </c>
      <c r="B208" t="s">
        <v>819</v>
      </c>
      <c r="C208" t="e">
        <f>VLOOKUP(B208,Sheet2!$A$2:$A$392,1,0)</f>
        <v>#N/A</v>
      </c>
      <c r="E208" t="s">
        <v>72</v>
      </c>
      <c r="G208" t="s">
        <v>129</v>
      </c>
      <c r="I208" t="s">
        <v>42</v>
      </c>
      <c r="J208" s="2">
        <v>1183</v>
      </c>
      <c r="K208">
        <v>60.8</v>
      </c>
      <c r="L208" s="2">
        <v>1183</v>
      </c>
      <c r="P208" t="s">
        <v>74</v>
      </c>
      <c r="S208" t="s">
        <v>33</v>
      </c>
      <c r="X208" t="s">
        <v>34</v>
      </c>
      <c r="AA208" t="s">
        <v>38</v>
      </c>
    </row>
    <row r="209" spans="1:27" hidden="1">
      <c r="A209" t="s">
        <v>820</v>
      </c>
      <c r="B209" t="s">
        <v>821</v>
      </c>
      <c r="C209" t="e">
        <f>VLOOKUP(B209,Sheet2!$A$2:$A$392,1,0)</f>
        <v>#N/A</v>
      </c>
      <c r="E209" t="s">
        <v>72</v>
      </c>
      <c r="G209" t="s">
        <v>202</v>
      </c>
      <c r="I209" t="s">
        <v>42</v>
      </c>
      <c r="J209" s="2">
        <v>1</v>
      </c>
      <c r="K209" s="3">
        <v>87.84</v>
      </c>
      <c r="L209" s="2">
        <v>3103</v>
      </c>
      <c r="P209" t="s">
        <v>74</v>
      </c>
      <c r="S209" t="s">
        <v>33</v>
      </c>
      <c r="X209" t="s">
        <v>34</v>
      </c>
      <c r="AA209" t="s">
        <v>38</v>
      </c>
    </row>
    <row r="210" spans="1:27" hidden="1">
      <c r="A210" t="s">
        <v>822</v>
      </c>
      <c r="B210" t="s">
        <v>823</v>
      </c>
      <c r="C210" t="e">
        <f>VLOOKUP(B210,Sheet2!$A$2:$A$392,1,0)</f>
        <v>#N/A</v>
      </c>
      <c r="E210" t="s">
        <v>40</v>
      </c>
      <c r="G210" t="s">
        <v>202</v>
      </c>
      <c r="I210" t="s">
        <v>42</v>
      </c>
      <c r="J210" s="2">
        <v>1</v>
      </c>
      <c r="K210">
        <v>25.2</v>
      </c>
      <c r="L210" s="2">
        <v>136</v>
      </c>
      <c r="P210" t="s">
        <v>824</v>
      </c>
      <c r="S210" t="s">
        <v>33</v>
      </c>
      <c r="X210" t="s">
        <v>34</v>
      </c>
      <c r="AA210" t="s">
        <v>38</v>
      </c>
    </row>
    <row r="211" spans="1:27" hidden="1">
      <c r="A211" t="s">
        <v>825</v>
      </c>
      <c r="B211" t="s">
        <v>826</v>
      </c>
      <c r="C211" t="e">
        <f>VLOOKUP(B211,Sheet2!$A$2:$A$392,1,0)</f>
        <v>#N/A</v>
      </c>
      <c r="E211" t="s">
        <v>72</v>
      </c>
      <c r="G211" t="s">
        <v>827</v>
      </c>
      <c r="I211" t="s">
        <v>42</v>
      </c>
      <c r="J211" s="2">
        <v>3900</v>
      </c>
      <c r="K211" s="3">
        <v>79.010000000000005</v>
      </c>
      <c r="L211" s="2">
        <v>2224</v>
      </c>
      <c r="P211" t="s">
        <v>74</v>
      </c>
      <c r="S211" t="s">
        <v>33</v>
      </c>
      <c r="X211" t="s">
        <v>34</v>
      </c>
      <c r="Y211" t="s">
        <v>142</v>
      </c>
      <c r="Z211" t="s">
        <v>828</v>
      </c>
      <c r="AA211" t="s">
        <v>38</v>
      </c>
    </row>
    <row r="212" spans="1:27" hidden="1">
      <c r="A212" t="s">
        <v>829</v>
      </c>
      <c r="B212" t="s">
        <v>830</v>
      </c>
      <c r="C212" t="e">
        <f>VLOOKUP(B212,Sheet2!$A$2:$A$392,1,0)</f>
        <v>#N/A</v>
      </c>
      <c r="E212" t="s">
        <v>40</v>
      </c>
      <c r="G212" t="s">
        <v>831</v>
      </c>
      <c r="I212" t="s">
        <v>42</v>
      </c>
      <c r="J212" s="2">
        <v>200</v>
      </c>
      <c r="K212">
        <v>23.5</v>
      </c>
      <c r="L212" s="2">
        <v>138</v>
      </c>
      <c r="P212" t="s">
        <v>832</v>
      </c>
      <c r="S212" t="s">
        <v>33</v>
      </c>
      <c r="X212" t="s">
        <v>34</v>
      </c>
      <c r="AA212" t="s">
        <v>38</v>
      </c>
    </row>
    <row r="213" spans="1:27" hidden="1">
      <c r="A213" t="s">
        <v>833</v>
      </c>
      <c r="B213" t="s">
        <v>834</v>
      </c>
      <c r="C213" t="e">
        <f>VLOOKUP(B213,Sheet2!$A$2:$A$392,1,0)</f>
        <v>#N/A</v>
      </c>
      <c r="E213" t="s">
        <v>72</v>
      </c>
      <c r="G213" t="s">
        <v>831</v>
      </c>
      <c r="I213" t="s">
        <v>42</v>
      </c>
      <c r="J213" s="2">
        <v>944</v>
      </c>
      <c r="K213" s="3">
        <v>91.44</v>
      </c>
      <c r="L213" s="2">
        <v>3145</v>
      </c>
      <c r="P213" t="s">
        <v>392</v>
      </c>
      <c r="S213" t="s">
        <v>33</v>
      </c>
      <c r="X213" t="s">
        <v>34</v>
      </c>
      <c r="AA213" t="s">
        <v>38</v>
      </c>
    </row>
    <row r="214" spans="1:27" hidden="1">
      <c r="A214" t="s">
        <v>835</v>
      </c>
      <c r="B214" t="s">
        <v>836</v>
      </c>
      <c r="C214" t="e">
        <f>VLOOKUP(B214,Sheet2!$A$2:$A$392,1,0)</f>
        <v>#N/A</v>
      </c>
      <c r="E214" t="s">
        <v>40</v>
      </c>
      <c r="G214" t="s">
        <v>73</v>
      </c>
      <c r="I214" t="s">
        <v>42</v>
      </c>
      <c r="J214" s="2">
        <v>162</v>
      </c>
      <c r="K214" s="3">
        <v>25.62</v>
      </c>
      <c r="L214" s="2">
        <v>162</v>
      </c>
      <c r="P214" t="s">
        <v>837</v>
      </c>
      <c r="S214" t="s">
        <v>33</v>
      </c>
      <c r="X214" t="s">
        <v>34</v>
      </c>
      <c r="AA214" t="s">
        <v>38</v>
      </c>
    </row>
    <row r="215" spans="1:27" hidden="1">
      <c r="A215" t="s">
        <v>838</v>
      </c>
      <c r="B215" t="s">
        <v>839</v>
      </c>
      <c r="C215" t="e">
        <f>VLOOKUP(B215,Sheet2!$A$2:$A$392,1,0)</f>
        <v>#N/A</v>
      </c>
      <c r="E215" t="s">
        <v>72</v>
      </c>
      <c r="G215" t="s">
        <v>629</v>
      </c>
      <c r="I215" t="s">
        <v>42</v>
      </c>
      <c r="J215" s="2">
        <v>1703</v>
      </c>
      <c r="K215" s="3">
        <v>73.760000000000005</v>
      </c>
      <c r="L215" s="2">
        <v>1703</v>
      </c>
      <c r="P215" t="s">
        <v>74</v>
      </c>
      <c r="S215" t="s">
        <v>33</v>
      </c>
      <c r="X215" t="s">
        <v>34</v>
      </c>
      <c r="AA215" t="s">
        <v>38</v>
      </c>
    </row>
    <row r="216" spans="1:27" hidden="1">
      <c r="A216" t="s">
        <v>840</v>
      </c>
      <c r="B216" t="s">
        <v>841</v>
      </c>
      <c r="C216" t="e">
        <f>VLOOKUP(B216,Sheet2!$A$2:$A$392,1,0)</f>
        <v>#N/A</v>
      </c>
      <c r="E216" t="s">
        <v>27</v>
      </c>
      <c r="F216" t="s">
        <v>41</v>
      </c>
      <c r="G216" t="s">
        <v>842</v>
      </c>
      <c r="I216" t="s">
        <v>42</v>
      </c>
      <c r="J216" s="2">
        <v>900</v>
      </c>
      <c r="K216" s="3">
        <v>44.98</v>
      </c>
      <c r="L216" s="2">
        <v>488</v>
      </c>
      <c r="M216" s="2">
        <v>550</v>
      </c>
      <c r="N216" s="2">
        <v>5</v>
      </c>
      <c r="P216" t="s">
        <v>843</v>
      </c>
      <c r="R216" t="s">
        <v>42</v>
      </c>
      <c r="S216" t="s">
        <v>33</v>
      </c>
      <c r="T216" t="s">
        <v>34</v>
      </c>
      <c r="U216" t="s">
        <v>35</v>
      </c>
      <c r="V216" s="2">
        <v>1</v>
      </c>
      <c r="X216" t="s">
        <v>34</v>
      </c>
      <c r="Y216" t="s">
        <v>55</v>
      </c>
      <c r="Z216" t="s">
        <v>844</v>
      </c>
      <c r="AA216" t="s">
        <v>38</v>
      </c>
    </row>
    <row r="217" spans="1:27" hidden="1">
      <c r="A217" t="s">
        <v>845</v>
      </c>
      <c r="B217" t="s">
        <v>846</v>
      </c>
      <c r="C217" t="e">
        <f>VLOOKUP(B217,Sheet2!$A$2:$A$392,1,0)</f>
        <v>#N/A</v>
      </c>
      <c r="E217" t="s">
        <v>27</v>
      </c>
      <c r="F217" t="s">
        <v>41</v>
      </c>
      <c r="G217" t="s">
        <v>847</v>
      </c>
      <c r="J217" s="2">
        <v>1100</v>
      </c>
      <c r="K217" s="3">
        <v>48.45</v>
      </c>
      <c r="L217" s="2">
        <v>633</v>
      </c>
      <c r="M217" s="2">
        <v>1000</v>
      </c>
      <c r="N217" s="2">
        <v>5</v>
      </c>
      <c r="O217" t="s">
        <v>848</v>
      </c>
      <c r="P217" t="s">
        <v>849</v>
      </c>
      <c r="R217" t="s">
        <v>42</v>
      </c>
      <c r="S217" t="s">
        <v>33</v>
      </c>
      <c r="U217" t="s">
        <v>35</v>
      </c>
      <c r="V217" s="2">
        <v>1</v>
      </c>
      <c r="X217" t="s">
        <v>34</v>
      </c>
      <c r="Y217" t="s">
        <v>154</v>
      </c>
      <c r="Z217" t="s">
        <v>850</v>
      </c>
      <c r="AA217" t="s">
        <v>38</v>
      </c>
    </row>
    <row r="218" spans="1:27" hidden="1">
      <c r="A218" t="s">
        <v>851</v>
      </c>
      <c r="B218" t="s">
        <v>852</v>
      </c>
      <c r="C218" t="e">
        <f>VLOOKUP(B218,Sheet2!$A$2:$A$392,1,0)</f>
        <v>#N/A</v>
      </c>
      <c r="E218" t="s">
        <v>27</v>
      </c>
      <c r="F218" t="s">
        <v>41</v>
      </c>
      <c r="G218" t="s">
        <v>29</v>
      </c>
      <c r="I218" t="s">
        <v>42</v>
      </c>
      <c r="J218" s="2">
        <v>2550</v>
      </c>
      <c r="K218" s="2">
        <v>69</v>
      </c>
      <c r="L218" s="2">
        <v>1473</v>
      </c>
      <c r="P218" t="s">
        <v>853</v>
      </c>
      <c r="R218" t="s">
        <v>32</v>
      </c>
      <c r="S218" t="s">
        <v>33</v>
      </c>
      <c r="T218" t="s">
        <v>34</v>
      </c>
      <c r="U218" t="s">
        <v>35</v>
      </c>
      <c r="X218" t="s">
        <v>34</v>
      </c>
      <c r="Y218" t="s">
        <v>45</v>
      </c>
      <c r="Z218" t="s">
        <v>854</v>
      </c>
      <c r="AA218" t="s">
        <v>38</v>
      </c>
    </row>
    <row r="219" spans="1:27" hidden="1">
      <c r="A219" t="s">
        <v>855</v>
      </c>
      <c r="B219" t="s">
        <v>856</v>
      </c>
      <c r="C219" t="e">
        <f>VLOOKUP(B219,Sheet2!$A$2:$A$392,1,0)</f>
        <v>#N/A</v>
      </c>
      <c r="E219" t="s">
        <v>40</v>
      </c>
      <c r="G219" t="s">
        <v>857</v>
      </c>
      <c r="I219" t="s">
        <v>42</v>
      </c>
      <c r="J219" s="2">
        <v>200</v>
      </c>
      <c r="K219" s="3">
        <v>23.34</v>
      </c>
      <c r="L219" s="2">
        <v>118</v>
      </c>
      <c r="P219" t="s">
        <v>858</v>
      </c>
      <c r="S219" t="s">
        <v>33</v>
      </c>
      <c r="X219" t="s">
        <v>34</v>
      </c>
      <c r="AA219" t="s">
        <v>38</v>
      </c>
    </row>
    <row r="220" spans="1:27">
      <c r="A220" t="s">
        <v>859</v>
      </c>
      <c r="B220" t="s">
        <v>860</v>
      </c>
      <c r="C220" t="str">
        <f>VLOOKUP(B220,Sheet2!$A$2:$A$392,1,0)</f>
        <v>KM. CEMCON</v>
      </c>
      <c r="E220" t="s">
        <v>52</v>
      </c>
      <c r="F220" t="s">
        <v>41</v>
      </c>
      <c r="G220" t="s">
        <v>59</v>
      </c>
      <c r="J220" s="2">
        <v>6243</v>
      </c>
      <c r="K220" s="2">
        <v>106</v>
      </c>
      <c r="L220" s="2">
        <v>3870</v>
      </c>
      <c r="O220" t="s">
        <v>61</v>
      </c>
      <c r="P220" t="s">
        <v>861</v>
      </c>
      <c r="R220" t="s">
        <v>32</v>
      </c>
      <c r="S220" t="s">
        <v>33</v>
      </c>
      <c r="U220" t="s">
        <v>35</v>
      </c>
      <c r="W220" t="s">
        <v>63</v>
      </c>
      <c r="X220" t="s">
        <v>34</v>
      </c>
      <c r="Y220" t="s">
        <v>64</v>
      </c>
      <c r="Z220" t="s">
        <v>862</v>
      </c>
      <c r="AA220" t="s">
        <v>38</v>
      </c>
    </row>
    <row r="221" spans="1:27" hidden="1">
      <c r="A221" t="s">
        <v>863</v>
      </c>
      <c r="B221" t="s">
        <v>864</v>
      </c>
      <c r="C221" t="e">
        <f>VLOOKUP(B221,Sheet2!$A$2:$A$392,1,0)</f>
        <v>#N/A</v>
      </c>
      <c r="E221" t="s">
        <v>196</v>
      </c>
      <c r="F221" t="s">
        <v>28</v>
      </c>
      <c r="G221" t="s">
        <v>59</v>
      </c>
      <c r="J221" s="2">
        <v>12504</v>
      </c>
      <c r="K221" s="2">
        <v>146</v>
      </c>
      <c r="L221" s="2">
        <v>9950</v>
      </c>
      <c r="M221" s="2">
        <v>552</v>
      </c>
      <c r="N221" s="2">
        <v>9</v>
      </c>
      <c r="O221" t="s">
        <v>61</v>
      </c>
      <c r="P221" t="s">
        <v>865</v>
      </c>
      <c r="R221" t="s">
        <v>32</v>
      </c>
      <c r="S221" t="s">
        <v>33</v>
      </c>
      <c r="U221" t="s">
        <v>35</v>
      </c>
      <c r="V221" s="2">
        <v>4</v>
      </c>
      <c r="W221" t="s">
        <v>63</v>
      </c>
      <c r="X221" t="s">
        <v>34</v>
      </c>
      <c r="Y221" t="s">
        <v>64</v>
      </c>
      <c r="Z221" t="s">
        <v>866</v>
      </c>
      <c r="AA221" t="s">
        <v>38</v>
      </c>
    </row>
    <row r="222" spans="1:27" hidden="1">
      <c r="A222" t="s">
        <v>867</v>
      </c>
      <c r="B222" t="s">
        <v>868</v>
      </c>
      <c r="C222" t="e">
        <f>VLOOKUP(B222,Sheet2!$A$2:$A$392,1,0)</f>
        <v>#N/A</v>
      </c>
      <c r="E222" t="s">
        <v>196</v>
      </c>
      <c r="F222" t="s">
        <v>41</v>
      </c>
      <c r="G222" t="s">
        <v>59</v>
      </c>
      <c r="J222" s="2">
        <v>1815</v>
      </c>
      <c r="K222" s="2">
        <v>109</v>
      </c>
      <c r="L222" s="2">
        <v>4974</v>
      </c>
      <c r="M222" s="2">
        <v>3640</v>
      </c>
      <c r="O222" t="s">
        <v>61</v>
      </c>
      <c r="P222" t="s">
        <v>869</v>
      </c>
      <c r="R222" t="s">
        <v>32</v>
      </c>
      <c r="S222" t="s">
        <v>33</v>
      </c>
      <c r="U222" t="s">
        <v>35</v>
      </c>
      <c r="V222" s="2">
        <v>4</v>
      </c>
      <c r="X222" t="s">
        <v>34</v>
      </c>
      <c r="Y222" t="s">
        <v>45</v>
      </c>
      <c r="Z222" t="s">
        <v>870</v>
      </c>
      <c r="AA222" t="s">
        <v>38</v>
      </c>
    </row>
    <row r="223" spans="1:27" hidden="1">
      <c r="A223" t="s">
        <v>871</v>
      </c>
      <c r="B223" t="s">
        <v>872</v>
      </c>
      <c r="C223" t="e">
        <f>VLOOKUP(B223,Sheet2!$A$2:$A$392,1,0)</f>
        <v>#N/A</v>
      </c>
      <c r="E223" t="s">
        <v>27</v>
      </c>
      <c r="F223" t="s">
        <v>41</v>
      </c>
      <c r="G223" t="s">
        <v>29</v>
      </c>
      <c r="I223" t="s">
        <v>42</v>
      </c>
      <c r="J223" s="2">
        <v>1100</v>
      </c>
      <c r="K223" s="2">
        <v>52</v>
      </c>
      <c r="L223" s="2">
        <v>659</v>
      </c>
      <c r="P223" t="s">
        <v>873</v>
      </c>
      <c r="R223" t="s">
        <v>32</v>
      </c>
      <c r="S223" t="s">
        <v>33</v>
      </c>
      <c r="T223" t="s">
        <v>34</v>
      </c>
      <c r="U223" t="s">
        <v>35</v>
      </c>
      <c r="X223" t="s">
        <v>34</v>
      </c>
      <c r="Y223" t="s">
        <v>45</v>
      </c>
      <c r="Z223" t="s">
        <v>874</v>
      </c>
      <c r="AA223" t="s">
        <v>38</v>
      </c>
    </row>
    <row r="224" spans="1:27">
      <c r="A224" t="s">
        <v>875</v>
      </c>
      <c r="B224" t="s">
        <v>876</v>
      </c>
      <c r="C224" t="str">
        <f>VLOOKUP(B224,Sheet2!$A$2:$A$392,1,0)</f>
        <v>MV. CHIEF SEATLE</v>
      </c>
      <c r="E224" t="s">
        <v>52</v>
      </c>
      <c r="F224" t="s">
        <v>28</v>
      </c>
      <c r="G224" t="s">
        <v>59</v>
      </c>
      <c r="I224" t="s">
        <v>301</v>
      </c>
      <c r="J224" s="2">
        <v>52428</v>
      </c>
      <c r="K224" s="3">
        <v>189.99</v>
      </c>
      <c r="L224" s="2">
        <v>30174</v>
      </c>
      <c r="O224" t="s">
        <v>61</v>
      </c>
      <c r="P224" t="s">
        <v>877</v>
      </c>
      <c r="R224" t="s">
        <v>301</v>
      </c>
      <c r="S224" t="s">
        <v>33</v>
      </c>
      <c r="T224" t="s">
        <v>34</v>
      </c>
      <c r="U224" t="s">
        <v>35</v>
      </c>
      <c r="W224" t="s">
        <v>63</v>
      </c>
      <c r="X224" t="s">
        <v>34</v>
      </c>
      <c r="Y224" t="s">
        <v>64</v>
      </c>
      <c r="Z224" t="s">
        <v>878</v>
      </c>
      <c r="AA224" t="s">
        <v>38</v>
      </c>
    </row>
    <row r="225" spans="1:27" hidden="1">
      <c r="A225" t="s">
        <v>879</v>
      </c>
      <c r="B225" t="s">
        <v>880</v>
      </c>
      <c r="C225" t="e">
        <f>VLOOKUP(B225,Sheet2!$A$2:$A$392,1,0)</f>
        <v>#N/A</v>
      </c>
      <c r="E225" t="s">
        <v>206</v>
      </c>
      <c r="F225" t="s">
        <v>41</v>
      </c>
      <c r="G225" t="s">
        <v>29</v>
      </c>
      <c r="J225" s="2">
        <v>400</v>
      </c>
      <c r="K225" s="2">
        <v>70</v>
      </c>
      <c r="L225" s="2">
        <v>150</v>
      </c>
      <c r="P225" s="2">
        <v>11111</v>
      </c>
      <c r="Q225" t="s">
        <v>34</v>
      </c>
      <c r="R225" t="s">
        <v>42</v>
      </c>
      <c r="S225" t="s">
        <v>33</v>
      </c>
      <c r="U225" t="s">
        <v>35</v>
      </c>
      <c r="X225" t="s">
        <v>34</v>
      </c>
      <c r="Y225" t="s">
        <v>45</v>
      </c>
      <c r="Z225" t="s">
        <v>881</v>
      </c>
      <c r="AA225" t="s">
        <v>38</v>
      </c>
    </row>
    <row r="226" spans="1:27" hidden="1">
      <c r="A226" t="s">
        <v>882</v>
      </c>
      <c r="B226" t="s">
        <v>883</v>
      </c>
      <c r="C226" t="e">
        <f>VLOOKUP(B226,Sheet2!$A$2:$A$392,1,0)</f>
        <v>#N/A</v>
      </c>
      <c r="E226" t="s">
        <v>27</v>
      </c>
      <c r="F226" t="s">
        <v>41</v>
      </c>
      <c r="G226" t="s">
        <v>158</v>
      </c>
      <c r="J226" s="2">
        <v>3650</v>
      </c>
      <c r="K226" s="2">
        <v>98</v>
      </c>
      <c r="L226" s="2">
        <v>3267</v>
      </c>
      <c r="M226" s="2">
        <v>1831</v>
      </c>
      <c r="P226" t="s">
        <v>884</v>
      </c>
      <c r="R226" t="s">
        <v>42</v>
      </c>
      <c r="S226" t="s">
        <v>33</v>
      </c>
      <c r="U226" t="s">
        <v>35</v>
      </c>
      <c r="W226" t="s">
        <v>63</v>
      </c>
      <c r="X226" t="s">
        <v>34</v>
      </c>
      <c r="Y226" t="s">
        <v>64</v>
      </c>
      <c r="Z226" t="s">
        <v>885</v>
      </c>
      <c r="AA226" t="s">
        <v>38</v>
      </c>
    </row>
    <row r="227" spans="1:27">
      <c r="A227" t="s">
        <v>886</v>
      </c>
      <c r="B227" t="s">
        <v>887</v>
      </c>
      <c r="C227" t="str">
        <f>VLOOKUP(B227,Sheet2!$A$2:$A$392,1,0)</f>
        <v>KM. CITRA KARYA PAPUA</v>
      </c>
      <c r="E227" t="s">
        <v>27</v>
      </c>
      <c r="F227" t="s">
        <v>41</v>
      </c>
      <c r="G227" t="s">
        <v>29</v>
      </c>
      <c r="I227" t="s">
        <v>42</v>
      </c>
      <c r="J227" s="2">
        <v>2300</v>
      </c>
      <c r="K227" s="2">
        <v>75</v>
      </c>
      <c r="L227" s="2">
        <v>1485</v>
      </c>
      <c r="P227" t="s">
        <v>888</v>
      </c>
      <c r="R227" t="s">
        <v>32</v>
      </c>
      <c r="S227" t="s">
        <v>33</v>
      </c>
      <c r="T227" t="s">
        <v>34</v>
      </c>
      <c r="U227" t="s">
        <v>35</v>
      </c>
      <c r="X227" t="s">
        <v>34</v>
      </c>
      <c r="Y227" t="s">
        <v>142</v>
      </c>
      <c r="Z227" t="s">
        <v>889</v>
      </c>
      <c r="AA227" t="s">
        <v>38</v>
      </c>
    </row>
    <row r="228" spans="1:27" hidden="1">
      <c r="A228" t="s">
        <v>890</v>
      </c>
      <c r="B228" t="s">
        <v>891</v>
      </c>
      <c r="C228" t="e">
        <f>VLOOKUP(B228,Sheet2!$A$2:$A$392,1,0)</f>
        <v>#N/A</v>
      </c>
      <c r="E228" t="s">
        <v>72</v>
      </c>
      <c r="G228" t="s">
        <v>73</v>
      </c>
      <c r="I228" t="s">
        <v>42</v>
      </c>
      <c r="J228" s="2">
        <v>2125</v>
      </c>
      <c r="K228">
        <v>82.3</v>
      </c>
      <c r="L228" s="2">
        <v>2125</v>
      </c>
      <c r="P228" t="s">
        <v>74</v>
      </c>
      <c r="S228" t="s">
        <v>33</v>
      </c>
      <c r="X228" t="s">
        <v>34</v>
      </c>
      <c r="AA228" t="s">
        <v>38</v>
      </c>
    </row>
    <row r="229" spans="1:27" hidden="1">
      <c r="A229" t="s">
        <v>892</v>
      </c>
      <c r="B229" t="s">
        <v>893</v>
      </c>
      <c r="C229" t="e">
        <f>VLOOKUP(B229,Sheet2!$A$2:$A$392,1,0)</f>
        <v>#N/A</v>
      </c>
      <c r="E229" t="s">
        <v>72</v>
      </c>
      <c r="G229" t="s">
        <v>73</v>
      </c>
      <c r="I229" t="s">
        <v>42</v>
      </c>
      <c r="J229" s="2">
        <v>2125</v>
      </c>
      <c r="K229">
        <v>82.3</v>
      </c>
      <c r="L229" s="2">
        <v>2125</v>
      </c>
      <c r="P229" t="s">
        <v>74</v>
      </c>
      <c r="S229" t="s">
        <v>33</v>
      </c>
      <c r="X229" t="s">
        <v>34</v>
      </c>
      <c r="AA229" t="s">
        <v>38</v>
      </c>
    </row>
    <row r="230" spans="1:27">
      <c r="A230" t="s">
        <v>894</v>
      </c>
      <c r="B230" t="s">
        <v>895</v>
      </c>
      <c r="C230" t="str">
        <f>VLOOKUP(B230,Sheet2!$A$2:$A$392,1,0)</f>
        <v>MV. CEMCON</v>
      </c>
      <c r="E230" t="s">
        <v>52</v>
      </c>
      <c r="F230" t="s">
        <v>41</v>
      </c>
      <c r="G230" t="s">
        <v>59</v>
      </c>
      <c r="J230" s="2">
        <v>6243</v>
      </c>
      <c r="K230" s="2">
        <v>106</v>
      </c>
      <c r="L230" s="2">
        <v>3875</v>
      </c>
      <c r="O230" t="s">
        <v>61</v>
      </c>
      <c r="P230" t="s">
        <v>861</v>
      </c>
      <c r="Q230" t="s">
        <v>34</v>
      </c>
      <c r="R230" t="s">
        <v>42</v>
      </c>
      <c r="S230" t="s">
        <v>33</v>
      </c>
      <c r="U230" t="s">
        <v>44</v>
      </c>
      <c r="W230" t="s">
        <v>63</v>
      </c>
      <c r="X230" t="s">
        <v>34</v>
      </c>
      <c r="Y230" t="s">
        <v>64</v>
      </c>
      <c r="Z230" t="s">
        <v>896</v>
      </c>
      <c r="AA230" t="s">
        <v>38</v>
      </c>
    </row>
    <row r="231" spans="1:27">
      <c r="A231" t="s">
        <v>897</v>
      </c>
      <c r="B231" t="s">
        <v>898</v>
      </c>
      <c r="C231" t="str">
        <f>VLOOKUP(B231,Sheet2!$A$2:$A$392,1,0)</f>
        <v>KM. CAHAYA MANGGALA</v>
      </c>
      <c r="E231" t="s">
        <v>27</v>
      </c>
      <c r="F231" t="s">
        <v>41</v>
      </c>
      <c r="G231" t="s">
        <v>29</v>
      </c>
      <c r="J231" s="2">
        <v>2500</v>
      </c>
      <c r="K231" s="2">
        <v>74</v>
      </c>
      <c r="L231" s="2">
        <v>1332</v>
      </c>
      <c r="O231" t="s">
        <v>482</v>
      </c>
      <c r="P231" t="s">
        <v>899</v>
      </c>
      <c r="R231" t="s">
        <v>581</v>
      </c>
      <c r="S231" t="s">
        <v>33</v>
      </c>
      <c r="U231" t="s">
        <v>35</v>
      </c>
      <c r="X231" t="s">
        <v>34</v>
      </c>
      <c r="Y231" t="s">
        <v>45</v>
      </c>
      <c r="Z231" t="s">
        <v>900</v>
      </c>
      <c r="AA231" t="s">
        <v>38</v>
      </c>
    </row>
    <row r="232" spans="1:27">
      <c r="A232" t="s">
        <v>901</v>
      </c>
      <c r="B232" t="s">
        <v>902</v>
      </c>
      <c r="C232" t="str">
        <f>VLOOKUP(B232,Sheet2!$A$2:$A$392,1,0)</f>
        <v>KM. CAMRY</v>
      </c>
      <c r="E232" t="s">
        <v>27</v>
      </c>
      <c r="F232" t="s">
        <v>41</v>
      </c>
      <c r="G232" t="s">
        <v>29</v>
      </c>
      <c r="J232" s="2">
        <v>1470</v>
      </c>
      <c r="K232" s="3">
        <v>77.38</v>
      </c>
      <c r="L232" s="2">
        <v>1700</v>
      </c>
      <c r="P232" t="s">
        <v>903</v>
      </c>
      <c r="R232" t="s">
        <v>32</v>
      </c>
      <c r="S232" t="s">
        <v>33</v>
      </c>
      <c r="U232" t="s">
        <v>35</v>
      </c>
      <c r="W232" t="s">
        <v>165</v>
      </c>
      <c r="X232" t="s">
        <v>34</v>
      </c>
      <c r="Y232" t="s">
        <v>166</v>
      </c>
      <c r="Z232" t="s">
        <v>904</v>
      </c>
      <c r="AA232" t="s">
        <v>38</v>
      </c>
    </row>
    <row r="233" spans="1:27" hidden="1">
      <c r="A233" t="s">
        <v>905</v>
      </c>
      <c r="B233" t="s">
        <v>906</v>
      </c>
      <c r="C233" t="e">
        <f>VLOOKUP(B233,Sheet2!$A$2:$A$392,1,0)</f>
        <v>#N/A</v>
      </c>
      <c r="E233" t="s">
        <v>52</v>
      </c>
      <c r="F233" t="s">
        <v>41</v>
      </c>
      <c r="G233" t="s">
        <v>907</v>
      </c>
      <c r="J233" s="2">
        <v>12504</v>
      </c>
      <c r="K233" s="2">
        <v>146</v>
      </c>
      <c r="L233" s="2">
        <v>9950</v>
      </c>
      <c r="P233" t="s">
        <v>865</v>
      </c>
      <c r="R233" t="s">
        <v>32</v>
      </c>
      <c r="S233" t="s">
        <v>33</v>
      </c>
      <c r="U233" t="s">
        <v>35</v>
      </c>
      <c r="X233" t="s">
        <v>34</v>
      </c>
      <c r="Y233" t="s">
        <v>45</v>
      </c>
      <c r="Z233" t="s">
        <v>908</v>
      </c>
      <c r="AA233" t="s">
        <v>38</v>
      </c>
    </row>
    <row r="234" spans="1:27">
      <c r="A234" t="s">
        <v>909</v>
      </c>
      <c r="B234" t="s">
        <v>910</v>
      </c>
      <c r="C234" t="str">
        <f>VLOOKUP(B234,Sheet2!$A$2:$A$392,1,0)</f>
        <v>MV. CEMTRANS</v>
      </c>
      <c r="E234" t="s">
        <v>52</v>
      </c>
      <c r="F234" t="s">
        <v>41</v>
      </c>
      <c r="G234" t="s">
        <v>59</v>
      </c>
      <c r="J234" s="2">
        <v>7060</v>
      </c>
      <c r="K234" s="3">
        <v>109.75</v>
      </c>
      <c r="L234" s="2">
        <v>4707</v>
      </c>
      <c r="N234" s="2">
        <v>7</v>
      </c>
      <c r="O234" t="s">
        <v>61</v>
      </c>
      <c r="P234" t="s">
        <v>911</v>
      </c>
      <c r="R234" t="s">
        <v>42</v>
      </c>
      <c r="S234" t="s">
        <v>33</v>
      </c>
      <c r="U234" t="s">
        <v>35</v>
      </c>
      <c r="W234" t="s">
        <v>63</v>
      </c>
      <c r="X234" t="s">
        <v>34</v>
      </c>
      <c r="Y234" t="s">
        <v>64</v>
      </c>
      <c r="Z234" t="s">
        <v>912</v>
      </c>
      <c r="AA234" t="s">
        <v>38</v>
      </c>
    </row>
    <row r="235" spans="1:27">
      <c r="A235" t="s">
        <v>913</v>
      </c>
      <c r="B235" t="s">
        <v>914</v>
      </c>
      <c r="C235" t="str">
        <f>VLOOKUP(B235,Sheet2!$A$2:$A$392,1,0)</f>
        <v>CITRA NUSANTARA 01</v>
      </c>
      <c r="E235" t="s">
        <v>27</v>
      </c>
      <c r="F235" t="s">
        <v>41</v>
      </c>
      <c r="G235" t="s">
        <v>158</v>
      </c>
      <c r="I235" t="s">
        <v>42</v>
      </c>
      <c r="J235" s="2">
        <v>2000</v>
      </c>
      <c r="K235" s="3">
        <v>71.150000000000006</v>
      </c>
      <c r="L235" s="2">
        <v>1306</v>
      </c>
      <c r="O235" t="s">
        <v>159</v>
      </c>
      <c r="P235" t="s">
        <v>915</v>
      </c>
      <c r="R235" t="s">
        <v>581</v>
      </c>
      <c r="S235" t="s">
        <v>33</v>
      </c>
      <c r="T235" t="s">
        <v>34</v>
      </c>
      <c r="U235" t="s">
        <v>35</v>
      </c>
      <c r="W235" t="s">
        <v>63</v>
      </c>
      <c r="X235" t="s">
        <v>34</v>
      </c>
      <c r="Y235" t="s">
        <v>64</v>
      </c>
      <c r="Z235" t="s">
        <v>916</v>
      </c>
      <c r="AA235" t="s">
        <v>38</v>
      </c>
    </row>
    <row r="236" spans="1:27" hidden="1">
      <c r="A236" t="s">
        <v>917</v>
      </c>
      <c r="B236" t="s">
        <v>918</v>
      </c>
      <c r="C236" t="e">
        <f>VLOOKUP(B236,Sheet2!$A$2:$A$392,1,0)</f>
        <v>#N/A</v>
      </c>
      <c r="E236" t="s">
        <v>40</v>
      </c>
      <c r="G236" t="s">
        <v>125</v>
      </c>
      <c r="I236" t="s">
        <v>42</v>
      </c>
      <c r="J236" s="2">
        <v>138</v>
      </c>
      <c r="K236" s="2">
        <v>25</v>
      </c>
      <c r="L236" s="2">
        <v>138</v>
      </c>
      <c r="P236" t="s">
        <v>919</v>
      </c>
      <c r="S236" t="s">
        <v>33</v>
      </c>
      <c r="X236" t="s">
        <v>34</v>
      </c>
      <c r="AA236" t="s">
        <v>38</v>
      </c>
    </row>
    <row r="237" spans="1:27" hidden="1">
      <c r="A237" t="s">
        <v>920</v>
      </c>
      <c r="B237" t="s">
        <v>921</v>
      </c>
      <c r="C237" t="e">
        <f>VLOOKUP(B237,Sheet2!$A$2:$A$392,1,0)</f>
        <v>#N/A</v>
      </c>
      <c r="E237" t="s">
        <v>72</v>
      </c>
      <c r="G237" t="s">
        <v>922</v>
      </c>
      <c r="I237" t="s">
        <v>42</v>
      </c>
      <c r="J237" s="2">
        <v>2026</v>
      </c>
      <c r="K237">
        <v>76.2</v>
      </c>
      <c r="L237" s="2">
        <v>2026</v>
      </c>
      <c r="P237" t="s">
        <v>74</v>
      </c>
      <c r="S237" t="s">
        <v>33</v>
      </c>
      <c r="X237" t="s">
        <v>34</v>
      </c>
      <c r="Y237" t="s">
        <v>96</v>
      </c>
      <c r="Z237" t="s">
        <v>923</v>
      </c>
      <c r="AA237" t="s">
        <v>38</v>
      </c>
    </row>
    <row r="238" spans="1:27" hidden="1">
      <c r="A238" t="s">
        <v>924</v>
      </c>
      <c r="B238" t="s">
        <v>925</v>
      </c>
      <c r="C238" t="e">
        <f>VLOOKUP(B238,Sheet2!$A$2:$A$392,1,0)</f>
        <v>#N/A</v>
      </c>
      <c r="E238" t="s">
        <v>170</v>
      </c>
      <c r="I238" t="s">
        <v>42</v>
      </c>
      <c r="J238" s="2">
        <v>36362</v>
      </c>
      <c r="K238" s="3">
        <v>179.93</v>
      </c>
      <c r="L238" s="2">
        <v>22560</v>
      </c>
      <c r="P238" t="s">
        <v>926</v>
      </c>
      <c r="S238" t="s">
        <v>33</v>
      </c>
      <c r="X238" t="s">
        <v>34</v>
      </c>
      <c r="AA238" t="s">
        <v>38</v>
      </c>
    </row>
    <row r="239" spans="1:27" hidden="1">
      <c r="A239" t="s">
        <v>927</v>
      </c>
      <c r="B239" t="s">
        <v>928</v>
      </c>
      <c r="C239" t="e">
        <f>VLOOKUP(B239,Sheet2!$A$2:$A$392,1,0)</f>
        <v>#N/A</v>
      </c>
      <c r="E239" t="s">
        <v>121</v>
      </c>
      <c r="G239" t="s">
        <v>125</v>
      </c>
      <c r="I239" t="s">
        <v>42</v>
      </c>
      <c r="J239" s="2">
        <v>532</v>
      </c>
      <c r="K239" s="3">
        <v>67.12</v>
      </c>
      <c r="L239" s="2">
        <v>922</v>
      </c>
      <c r="P239" t="s">
        <v>929</v>
      </c>
      <c r="S239" t="s">
        <v>33</v>
      </c>
      <c r="X239" t="s">
        <v>34</v>
      </c>
      <c r="AA239" t="s">
        <v>38</v>
      </c>
    </row>
    <row r="240" spans="1:27" hidden="1">
      <c r="A240" t="s">
        <v>930</v>
      </c>
      <c r="B240" t="s">
        <v>931</v>
      </c>
      <c r="C240" t="e">
        <f>VLOOKUP(B240,Sheet2!$A$2:$A$392,1,0)</f>
        <v>#N/A</v>
      </c>
      <c r="E240" t="s">
        <v>170</v>
      </c>
      <c r="I240" t="s">
        <v>42</v>
      </c>
      <c r="J240" s="2">
        <v>108112</v>
      </c>
      <c r="K240" s="3">
        <v>243.56</v>
      </c>
      <c r="L240" s="2">
        <v>58243</v>
      </c>
      <c r="P240" t="s">
        <v>932</v>
      </c>
      <c r="S240" t="s">
        <v>33</v>
      </c>
      <c r="X240" t="s">
        <v>34</v>
      </c>
      <c r="AA240" t="s">
        <v>38</v>
      </c>
    </row>
    <row r="241" spans="1:27" hidden="1">
      <c r="A241" t="s">
        <v>933</v>
      </c>
      <c r="B241" t="s">
        <v>934</v>
      </c>
      <c r="C241" t="e">
        <f>VLOOKUP(B241,Sheet2!$A$2:$A$392,1,0)</f>
        <v>#N/A</v>
      </c>
      <c r="E241" t="s">
        <v>52</v>
      </c>
      <c r="F241" t="s">
        <v>41</v>
      </c>
      <c r="G241" t="s">
        <v>29</v>
      </c>
      <c r="I241" t="s">
        <v>42</v>
      </c>
      <c r="J241" s="2">
        <v>6500</v>
      </c>
      <c r="K241" s="2">
        <v>86</v>
      </c>
      <c r="L241" s="2">
        <v>4634</v>
      </c>
      <c r="M241" s="2">
        <v>3600</v>
      </c>
      <c r="N241" s="2">
        <v>7</v>
      </c>
      <c r="P241" t="s">
        <v>185</v>
      </c>
      <c r="R241" t="s">
        <v>32</v>
      </c>
      <c r="S241" t="s">
        <v>33</v>
      </c>
      <c r="T241" t="s">
        <v>34</v>
      </c>
      <c r="U241" t="s">
        <v>35</v>
      </c>
      <c r="W241" t="s">
        <v>63</v>
      </c>
      <c r="X241" t="s">
        <v>34</v>
      </c>
      <c r="Y241" t="s">
        <v>64</v>
      </c>
      <c r="Z241" t="s">
        <v>935</v>
      </c>
      <c r="AA241" t="s">
        <v>38</v>
      </c>
    </row>
    <row r="242" spans="1:27">
      <c r="A242" t="s">
        <v>936</v>
      </c>
      <c r="B242" t="s">
        <v>937</v>
      </c>
      <c r="C242" t="str">
        <f>VLOOKUP(B242,Sheet2!$A$2:$A$392,1,0)</f>
        <v>KM.CAHAYA BARU NO.2</v>
      </c>
      <c r="E242" t="s">
        <v>27</v>
      </c>
      <c r="F242" t="s">
        <v>41</v>
      </c>
      <c r="G242" t="s">
        <v>842</v>
      </c>
      <c r="I242" t="s">
        <v>42</v>
      </c>
      <c r="J242" s="2">
        <v>1200</v>
      </c>
      <c r="K242" s="3">
        <v>46.82</v>
      </c>
      <c r="L242" s="2">
        <v>647</v>
      </c>
      <c r="M242" s="2">
        <v>1000</v>
      </c>
      <c r="N242" s="2">
        <v>5</v>
      </c>
      <c r="O242" t="s">
        <v>938</v>
      </c>
      <c r="P242" t="s">
        <v>843</v>
      </c>
      <c r="R242" t="s">
        <v>42</v>
      </c>
      <c r="S242" t="s">
        <v>33</v>
      </c>
      <c r="U242" t="s">
        <v>44</v>
      </c>
      <c r="V242" s="2">
        <v>1</v>
      </c>
      <c r="X242" t="s">
        <v>34</v>
      </c>
      <c r="Y242" t="s">
        <v>55</v>
      </c>
      <c r="Z242" t="s">
        <v>939</v>
      </c>
      <c r="AA242" t="s">
        <v>38</v>
      </c>
    </row>
    <row r="243" spans="1:27" hidden="1">
      <c r="A243" t="s">
        <v>940</v>
      </c>
      <c r="B243" t="s">
        <v>941</v>
      </c>
      <c r="C243" t="e">
        <f>VLOOKUP(B243,Sheet2!$A$2:$A$392,1,0)</f>
        <v>#N/A</v>
      </c>
      <c r="E243" t="s">
        <v>170</v>
      </c>
      <c r="F243" t="s">
        <v>41</v>
      </c>
      <c r="I243" t="s">
        <v>42</v>
      </c>
      <c r="J243" s="2">
        <v>107200</v>
      </c>
      <c r="K243">
        <v>246.8</v>
      </c>
      <c r="L243" s="2">
        <v>58153</v>
      </c>
      <c r="P243" t="s">
        <v>942</v>
      </c>
      <c r="R243" t="s">
        <v>42</v>
      </c>
      <c r="S243" t="s">
        <v>33</v>
      </c>
      <c r="T243" t="s">
        <v>34</v>
      </c>
      <c r="U243" t="s">
        <v>35</v>
      </c>
      <c r="X243" t="s">
        <v>34</v>
      </c>
      <c r="Y243" t="s">
        <v>132</v>
      </c>
      <c r="Z243" t="s">
        <v>943</v>
      </c>
      <c r="AA243" t="s">
        <v>38</v>
      </c>
    </row>
    <row r="244" spans="1:27" hidden="1">
      <c r="A244" t="s">
        <v>944</v>
      </c>
      <c r="B244" t="s">
        <v>945</v>
      </c>
      <c r="C244" t="e">
        <f>VLOOKUP(B244,Sheet2!$A$2:$A$392,1,0)</f>
        <v>#N/A</v>
      </c>
      <c r="E244" t="s">
        <v>40</v>
      </c>
      <c r="G244" t="s">
        <v>125</v>
      </c>
      <c r="I244" t="s">
        <v>42</v>
      </c>
      <c r="J244" s="2">
        <v>228</v>
      </c>
      <c r="K244" s="2">
        <v>30</v>
      </c>
      <c r="L244" s="2">
        <v>228</v>
      </c>
      <c r="P244" t="s">
        <v>946</v>
      </c>
      <c r="S244" t="s">
        <v>33</v>
      </c>
      <c r="X244" t="s">
        <v>34</v>
      </c>
      <c r="AA244" t="s">
        <v>38</v>
      </c>
    </row>
    <row r="245" spans="1:27" hidden="1">
      <c r="A245" t="s">
        <v>947</v>
      </c>
      <c r="B245" t="s">
        <v>948</v>
      </c>
      <c r="C245" t="e">
        <f>VLOOKUP(B245,Sheet2!$A$2:$A$392,1,0)</f>
        <v>#N/A</v>
      </c>
      <c r="E245" t="s">
        <v>72</v>
      </c>
      <c r="G245" t="s">
        <v>125</v>
      </c>
      <c r="I245" t="s">
        <v>42</v>
      </c>
      <c r="J245" s="2">
        <v>3155</v>
      </c>
      <c r="K245">
        <v>91.5</v>
      </c>
      <c r="L245" s="2">
        <v>3155</v>
      </c>
      <c r="P245" t="s">
        <v>949</v>
      </c>
      <c r="S245" t="s">
        <v>33</v>
      </c>
      <c r="X245" t="s">
        <v>34</v>
      </c>
      <c r="AA245" t="s">
        <v>38</v>
      </c>
    </row>
    <row r="246" spans="1:27" hidden="1">
      <c r="A246" t="s">
        <v>950</v>
      </c>
      <c r="B246" t="s">
        <v>951</v>
      </c>
      <c r="C246" t="e">
        <f>VLOOKUP(B246,Sheet2!$A$2:$A$392,1,0)</f>
        <v>#N/A</v>
      </c>
      <c r="E246" t="s">
        <v>40</v>
      </c>
      <c r="G246" t="s">
        <v>125</v>
      </c>
      <c r="I246" t="s">
        <v>42</v>
      </c>
      <c r="J246" s="2">
        <v>207</v>
      </c>
      <c r="K246" s="3">
        <v>23.36</v>
      </c>
      <c r="L246" s="2">
        <v>207</v>
      </c>
      <c r="P246" t="s">
        <v>952</v>
      </c>
      <c r="S246" t="s">
        <v>33</v>
      </c>
      <c r="X246" t="s">
        <v>34</v>
      </c>
      <c r="AA246" t="s">
        <v>38</v>
      </c>
    </row>
    <row r="247" spans="1:27" hidden="1">
      <c r="A247" t="s">
        <v>953</v>
      </c>
      <c r="B247" t="s">
        <v>954</v>
      </c>
      <c r="C247" t="e">
        <f>VLOOKUP(B247,Sheet2!$A$2:$A$392,1,0)</f>
        <v>#N/A</v>
      </c>
      <c r="E247" t="s">
        <v>40</v>
      </c>
      <c r="G247" t="s">
        <v>125</v>
      </c>
      <c r="I247" t="s">
        <v>42</v>
      </c>
      <c r="J247" s="2">
        <v>66</v>
      </c>
      <c r="K247" s="3">
        <v>30.25</v>
      </c>
      <c r="L247" s="2">
        <v>220</v>
      </c>
      <c r="P247" t="s">
        <v>955</v>
      </c>
      <c r="S247" t="s">
        <v>33</v>
      </c>
      <c r="X247" t="s">
        <v>34</v>
      </c>
      <c r="AA247" t="s">
        <v>38</v>
      </c>
    </row>
    <row r="248" spans="1:27" hidden="1">
      <c r="A248" t="s">
        <v>956</v>
      </c>
      <c r="B248" t="s">
        <v>957</v>
      </c>
      <c r="C248" t="e">
        <f>VLOOKUP(B248,Sheet2!$A$2:$A$392,1,0)</f>
        <v>#N/A</v>
      </c>
      <c r="E248" t="s">
        <v>72</v>
      </c>
      <c r="G248" t="s">
        <v>125</v>
      </c>
      <c r="I248" t="s">
        <v>42</v>
      </c>
      <c r="J248" s="2">
        <v>8209532</v>
      </c>
      <c r="K248" s="3">
        <v>87.78</v>
      </c>
      <c r="L248" s="2">
        <v>3084</v>
      </c>
      <c r="P248" t="s">
        <v>949</v>
      </c>
      <c r="S248" t="s">
        <v>33</v>
      </c>
      <c r="X248" t="s">
        <v>34</v>
      </c>
      <c r="AA248" t="s">
        <v>38</v>
      </c>
    </row>
    <row r="249" spans="1:27" hidden="1">
      <c r="A249" t="s">
        <v>958</v>
      </c>
      <c r="B249" t="s">
        <v>959</v>
      </c>
      <c r="C249" t="e">
        <f>VLOOKUP(B249,Sheet2!$A$2:$A$392,1,0)</f>
        <v>#N/A</v>
      </c>
      <c r="E249" t="s">
        <v>40</v>
      </c>
      <c r="G249" t="s">
        <v>125</v>
      </c>
      <c r="I249" t="s">
        <v>42</v>
      </c>
      <c r="J249" s="2">
        <v>174</v>
      </c>
      <c r="K249" s="2">
        <v>26</v>
      </c>
      <c r="L249" s="2">
        <v>174</v>
      </c>
      <c r="P249" t="s">
        <v>960</v>
      </c>
      <c r="S249" t="s">
        <v>33</v>
      </c>
      <c r="X249" t="s">
        <v>34</v>
      </c>
      <c r="AA249" t="s">
        <v>38</v>
      </c>
    </row>
    <row r="250" spans="1:27" hidden="1">
      <c r="A250" t="s">
        <v>961</v>
      </c>
      <c r="B250" t="s">
        <v>962</v>
      </c>
      <c r="C250" t="e">
        <f>VLOOKUP(B250,Sheet2!$A$2:$A$392,1,0)</f>
        <v>#N/A</v>
      </c>
      <c r="E250" t="s">
        <v>72</v>
      </c>
      <c r="G250" t="s">
        <v>125</v>
      </c>
      <c r="I250" t="s">
        <v>42</v>
      </c>
      <c r="J250" s="2">
        <v>1879</v>
      </c>
      <c r="K250" s="3">
        <v>21.34</v>
      </c>
      <c r="L250" s="2">
        <v>1879</v>
      </c>
      <c r="P250" t="s">
        <v>949</v>
      </c>
      <c r="S250" t="s">
        <v>33</v>
      </c>
      <c r="X250" t="s">
        <v>34</v>
      </c>
      <c r="AA250" t="s">
        <v>38</v>
      </c>
    </row>
    <row r="251" spans="1:27" hidden="1">
      <c r="A251" t="s">
        <v>963</v>
      </c>
      <c r="B251" t="s">
        <v>964</v>
      </c>
      <c r="C251" t="e">
        <f>VLOOKUP(B251,Sheet2!$A$2:$A$392,1,0)</f>
        <v>#N/A</v>
      </c>
      <c r="E251" t="s">
        <v>72</v>
      </c>
      <c r="G251" t="s">
        <v>125</v>
      </c>
      <c r="I251" t="s">
        <v>42</v>
      </c>
      <c r="J251" s="2">
        <v>918</v>
      </c>
      <c r="K251" s="3">
        <v>87.78</v>
      </c>
      <c r="L251" s="2">
        <v>3060</v>
      </c>
      <c r="P251" t="s">
        <v>949</v>
      </c>
      <c r="S251" t="s">
        <v>33</v>
      </c>
      <c r="X251" t="s">
        <v>34</v>
      </c>
      <c r="AA251" t="s">
        <v>38</v>
      </c>
    </row>
    <row r="252" spans="1:27" hidden="1">
      <c r="A252" t="s">
        <v>965</v>
      </c>
      <c r="B252" t="s">
        <v>966</v>
      </c>
      <c r="C252" t="e">
        <f>VLOOKUP(B252,Sheet2!$A$2:$A$392,1,0)</f>
        <v>#N/A</v>
      </c>
      <c r="E252" t="s">
        <v>40</v>
      </c>
      <c r="G252" t="s">
        <v>125</v>
      </c>
      <c r="I252" t="s">
        <v>42</v>
      </c>
      <c r="J252" s="2">
        <v>8142012</v>
      </c>
      <c r="K252" s="3">
        <v>27.93</v>
      </c>
      <c r="L252" s="2">
        <v>215</v>
      </c>
      <c r="P252" t="s">
        <v>967</v>
      </c>
      <c r="S252" t="s">
        <v>33</v>
      </c>
      <c r="X252" t="s">
        <v>34</v>
      </c>
      <c r="AA252" t="s">
        <v>38</v>
      </c>
    </row>
    <row r="253" spans="1:27" hidden="1">
      <c r="A253" t="s">
        <v>968</v>
      </c>
      <c r="B253" t="s">
        <v>969</v>
      </c>
      <c r="C253" t="e">
        <f>VLOOKUP(B253,Sheet2!$A$2:$A$392,1,0)</f>
        <v>#N/A</v>
      </c>
      <c r="D253" s="2">
        <v>612134</v>
      </c>
      <c r="E253" t="s">
        <v>72</v>
      </c>
      <c r="F253" t="s">
        <v>28</v>
      </c>
      <c r="G253" t="s">
        <v>125</v>
      </c>
      <c r="J253" s="2">
        <v>2367</v>
      </c>
      <c r="K253">
        <v>82.3</v>
      </c>
      <c r="L253" s="2">
        <v>2367</v>
      </c>
      <c r="P253" t="s">
        <v>949</v>
      </c>
      <c r="R253" t="s">
        <v>970</v>
      </c>
      <c r="S253" t="s">
        <v>33</v>
      </c>
      <c r="U253" t="s">
        <v>44</v>
      </c>
      <c r="V253" s="2">
        <v>1</v>
      </c>
      <c r="X253" t="s">
        <v>34</v>
      </c>
      <c r="Y253" t="s">
        <v>142</v>
      </c>
      <c r="Z253" t="s">
        <v>971</v>
      </c>
      <c r="AA253" t="s">
        <v>38</v>
      </c>
    </row>
    <row r="254" spans="1:27" hidden="1">
      <c r="A254" t="s">
        <v>972</v>
      </c>
      <c r="B254" t="s">
        <v>973</v>
      </c>
      <c r="C254" t="e">
        <f>VLOOKUP(B254,Sheet2!$A$2:$A$392,1,0)</f>
        <v>#N/A</v>
      </c>
      <c r="E254" t="s">
        <v>40</v>
      </c>
      <c r="G254" t="s">
        <v>125</v>
      </c>
      <c r="I254" t="s">
        <v>42</v>
      </c>
      <c r="J254" s="2">
        <v>8209532</v>
      </c>
      <c r="K254" s="2">
        <v>29</v>
      </c>
      <c r="L254" s="2">
        <v>238</v>
      </c>
      <c r="P254" t="s">
        <v>974</v>
      </c>
      <c r="S254" t="s">
        <v>33</v>
      </c>
      <c r="X254" t="s">
        <v>34</v>
      </c>
      <c r="AA254" t="s">
        <v>38</v>
      </c>
    </row>
    <row r="255" spans="1:27" hidden="1">
      <c r="A255" t="s">
        <v>975</v>
      </c>
      <c r="B255" t="s">
        <v>976</v>
      </c>
      <c r="C255" t="e">
        <f>VLOOKUP(B255,Sheet2!$A$2:$A$392,1,0)</f>
        <v>#N/A</v>
      </c>
      <c r="E255" t="s">
        <v>40</v>
      </c>
      <c r="G255" t="s">
        <v>125</v>
      </c>
      <c r="I255" t="s">
        <v>42</v>
      </c>
      <c r="J255" s="2">
        <v>8214015</v>
      </c>
      <c r="K255" s="3">
        <v>28.52</v>
      </c>
      <c r="L255" s="2">
        <v>220</v>
      </c>
      <c r="P255" t="s">
        <v>977</v>
      </c>
      <c r="S255" t="s">
        <v>33</v>
      </c>
      <c r="X255" t="s">
        <v>34</v>
      </c>
      <c r="AA255" t="s">
        <v>38</v>
      </c>
    </row>
    <row r="256" spans="1:27" hidden="1">
      <c r="A256" t="s">
        <v>978</v>
      </c>
      <c r="B256" t="s">
        <v>979</v>
      </c>
      <c r="C256" t="e">
        <f>VLOOKUP(B256,Sheet2!$A$2:$A$392,1,0)</f>
        <v>#N/A</v>
      </c>
      <c r="E256" t="s">
        <v>72</v>
      </c>
      <c r="G256" t="s">
        <v>125</v>
      </c>
      <c r="I256" t="s">
        <v>42</v>
      </c>
      <c r="J256" s="2">
        <v>8214015</v>
      </c>
      <c r="K256" s="3">
        <v>91.44</v>
      </c>
      <c r="L256" s="2">
        <v>3058</v>
      </c>
      <c r="P256" t="s">
        <v>949</v>
      </c>
      <c r="S256" t="s">
        <v>33</v>
      </c>
      <c r="X256" t="s">
        <v>34</v>
      </c>
      <c r="AA256" t="s">
        <v>38</v>
      </c>
    </row>
    <row r="257" spans="1:27" hidden="1">
      <c r="A257" t="s">
        <v>980</v>
      </c>
      <c r="B257" t="s">
        <v>981</v>
      </c>
      <c r="C257" t="e">
        <f>VLOOKUP(B257,Sheet2!$A$2:$A$392,1,0)</f>
        <v>#N/A</v>
      </c>
      <c r="E257" t="s">
        <v>40</v>
      </c>
      <c r="G257" t="s">
        <v>125</v>
      </c>
      <c r="I257" t="s">
        <v>42</v>
      </c>
      <c r="J257" s="2">
        <v>237</v>
      </c>
      <c r="K257" s="3">
        <v>29.33</v>
      </c>
      <c r="L257" s="2">
        <v>237</v>
      </c>
      <c r="P257" t="s">
        <v>982</v>
      </c>
      <c r="S257" t="s">
        <v>33</v>
      </c>
      <c r="X257" t="s">
        <v>34</v>
      </c>
      <c r="AA257" t="s">
        <v>38</v>
      </c>
    </row>
    <row r="258" spans="1:27" hidden="1">
      <c r="A258" t="s">
        <v>983</v>
      </c>
      <c r="B258" t="s">
        <v>984</v>
      </c>
      <c r="C258" t="e">
        <f>VLOOKUP(B258,Sheet2!$A$2:$A$392,1,0)</f>
        <v>#N/A</v>
      </c>
      <c r="E258" t="s">
        <v>72</v>
      </c>
      <c r="G258" t="s">
        <v>125</v>
      </c>
      <c r="I258" t="s">
        <v>42</v>
      </c>
      <c r="J258" s="2">
        <v>3128</v>
      </c>
      <c r="K258" s="3">
        <v>91.44</v>
      </c>
      <c r="L258" s="2">
        <v>3128</v>
      </c>
      <c r="P258" t="s">
        <v>74</v>
      </c>
      <c r="S258" t="s">
        <v>33</v>
      </c>
      <c r="X258" t="s">
        <v>34</v>
      </c>
      <c r="AA258" t="s">
        <v>38</v>
      </c>
    </row>
    <row r="259" spans="1:27" hidden="1">
      <c r="A259" t="s">
        <v>985</v>
      </c>
      <c r="B259" t="s">
        <v>986</v>
      </c>
      <c r="C259" t="e">
        <f>VLOOKUP(B259,Sheet2!$A$2:$A$392,1,0)</f>
        <v>#N/A</v>
      </c>
      <c r="E259" t="s">
        <v>40</v>
      </c>
      <c r="G259" t="s">
        <v>125</v>
      </c>
      <c r="I259" t="s">
        <v>42</v>
      </c>
      <c r="J259" s="2">
        <v>73</v>
      </c>
      <c r="K259" s="2">
        <v>28</v>
      </c>
      <c r="L259" s="2">
        <v>243</v>
      </c>
      <c r="P259" t="s">
        <v>987</v>
      </c>
      <c r="S259" t="s">
        <v>33</v>
      </c>
      <c r="X259" t="s">
        <v>34</v>
      </c>
      <c r="AA259" t="s">
        <v>38</v>
      </c>
    </row>
    <row r="260" spans="1:27" hidden="1">
      <c r="A260" t="s">
        <v>988</v>
      </c>
      <c r="B260" t="s">
        <v>989</v>
      </c>
      <c r="C260" t="e">
        <f>VLOOKUP(B260,Sheet2!$A$2:$A$392,1,0)</f>
        <v>#N/A</v>
      </c>
      <c r="E260" t="s">
        <v>72</v>
      </c>
      <c r="G260" t="s">
        <v>125</v>
      </c>
      <c r="I260" t="s">
        <v>42</v>
      </c>
      <c r="J260" s="2">
        <v>939</v>
      </c>
      <c r="K260" s="2">
        <v>87</v>
      </c>
      <c r="L260" s="2">
        <v>3128</v>
      </c>
      <c r="P260" t="s">
        <v>949</v>
      </c>
      <c r="S260" t="s">
        <v>33</v>
      </c>
      <c r="X260" t="s">
        <v>34</v>
      </c>
      <c r="AA260" t="s">
        <v>38</v>
      </c>
    </row>
    <row r="261" spans="1:27" hidden="1">
      <c r="A261" t="s">
        <v>990</v>
      </c>
      <c r="B261" t="s">
        <v>991</v>
      </c>
      <c r="C261" t="e">
        <f>VLOOKUP(B261,Sheet2!$A$2:$A$392,1,0)</f>
        <v>#N/A</v>
      </c>
      <c r="E261" t="s">
        <v>40</v>
      </c>
      <c r="G261" t="s">
        <v>125</v>
      </c>
      <c r="I261" t="s">
        <v>42</v>
      </c>
      <c r="J261" s="2">
        <v>239</v>
      </c>
      <c r="K261" s="3">
        <v>28.68</v>
      </c>
      <c r="L261" s="2">
        <v>239</v>
      </c>
      <c r="P261" t="s">
        <v>992</v>
      </c>
      <c r="S261" t="s">
        <v>33</v>
      </c>
      <c r="X261" t="s">
        <v>34</v>
      </c>
      <c r="AA261" t="s">
        <v>38</v>
      </c>
    </row>
    <row r="262" spans="1:27" hidden="1">
      <c r="A262" t="s">
        <v>993</v>
      </c>
      <c r="B262" t="s">
        <v>994</v>
      </c>
      <c r="C262" t="e">
        <f>VLOOKUP(B262,Sheet2!$A$2:$A$392,1,0)</f>
        <v>#N/A</v>
      </c>
      <c r="E262" t="s">
        <v>72</v>
      </c>
      <c r="G262" t="s">
        <v>125</v>
      </c>
      <c r="I262" t="s">
        <v>42</v>
      </c>
      <c r="J262" s="2">
        <v>3128</v>
      </c>
      <c r="K262" s="3">
        <v>87.78</v>
      </c>
      <c r="L262" s="2">
        <v>3128</v>
      </c>
      <c r="P262" t="s">
        <v>949</v>
      </c>
      <c r="S262" t="s">
        <v>33</v>
      </c>
      <c r="X262" t="s">
        <v>34</v>
      </c>
      <c r="AA262" t="s">
        <v>38</v>
      </c>
    </row>
    <row r="263" spans="1:27" hidden="1">
      <c r="A263" t="s">
        <v>995</v>
      </c>
      <c r="B263" t="s">
        <v>996</v>
      </c>
      <c r="C263" t="e">
        <f>VLOOKUP(B263,Sheet2!$A$2:$A$392,1,0)</f>
        <v>#N/A</v>
      </c>
      <c r="E263" t="s">
        <v>40</v>
      </c>
      <c r="G263" t="s">
        <v>125</v>
      </c>
      <c r="I263" t="s">
        <v>42</v>
      </c>
      <c r="J263" s="2">
        <v>238</v>
      </c>
      <c r="K263" s="3">
        <v>29.36</v>
      </c>
      <c r="L263" s="2">
        <v>238</v>
      </c>
      <c r="P263" t="s">
        <v>997</v>
      </c>
      <c r="S263" t="s">
        <v>33</v>
      </c>
      <c r="X263" t="s">
        <v>34</v>
      </c>
      <c r="AA263" t="s">
        <v>38</v>
      </c>
    </row>
    <row r="264" spans="1:27" hidden="1">
      <c r="A264" t="s">
        <v>998</v>
      </c>
      <c r="B264" t="s">
        <v>999</v>
      </c>
      <c r="C264" t="e">
        <f>VLOOKUP(B264,Sheet2!$A$2:$A$392,1,0)</f>
        <v>#N/A</v>
      </c>
      <c r="E264" t="s">
        <v>72</v>
      </c>
      <c r="G264" t="s">
        <v>125</v>
      </c>
      <c r="I264" t="s">
        <v>42</v>
      </c>
      <c r="J264" s="2">
        <v>3128</v>
      </c>
      <c r="K264" s="3">
        <v>91.44</v>
      </c>
      <c r="L264" s="2">
        <v>3128</v>
      </c>
      <c r="P264" t="s">
        <v>74</v>
      </c>
      <c r="S264" t="s">
        <v>33</v>
      </c>
      <c r="X264" t="s">
        <v>34</v>
      </c>
      <c r="AA264" t="s">
        <v>38</v>
      </c>
    </row>
    <row r="265" spans="1:27" hidden="1">
      <c r="A265" t="s">
        <v>1000</v>
      </c>
      <c r="B265" t="s">
        <v>1001</v>
      </c>
      <c r="C265" t="e">
        <f>VLOOKUP(B265,Sheet2!$A$2:$A$392,1,0)</f>
        <v>#N/A</v>
      </c>
      <c r="E265" t="s">
        <v>40</v>
      </c>
      <c r="G265" t="s">
        <v>125</v>
      </c>
      <c r="I265" t="s">
        <v>42</v>
      </c>
      <c r="J265" s="2">
        <v>242</v>
      </c>
      <c r="K265" s="3">
        <v>29.38</v>
      </c>
      <c r="L265" s="2">
        <v>242</v>
      </c>
      <c r="P265" t="s">
        <v>1002</v>
      </c>
      <c r="S265" t="s">
        <v>33</v>
      </c>
      <c r="X265" t="s">
        <v>34</v>
      </c>
      <c r="AA265" t="s">
        <v>38</v>
      </c>
    </row>
    <row r="266" spans="1:27" hidden="1">
      <c r="A266" t="s">
        <v>1003</v>
      </c>
      <c r="B266" t="s">
        <v>1004</v>
      </c>
      <c r="C266" t="e">
        <f>VLOOKUP(B266,Sheet2!$A$2:$A$392,1,0)</f>
        <v>#N/A</v>
      </c>
      <c r="E266" t="s">
        <v>72</v>
      </c>
      <c r="G266" t="s">
        <v>125</v>
      </c>
      <c r="I266" t="s">
        <v>42</v>
      </c>
      <c r="J266" s="2">
        <v>3128</v>
      </c>
      <c r="K266" s="3">
        <v>91.44</v>
      </c>
      <c r="L266" s="2">
        <v>3128</v>
      </c>
      <c r="P266" t="s">
        <v>74</v>
      </c>
      <c r="S266" t="s">
        <v>33</v>
      </c>
      <c r="X266" t="s">
        <v>34</v>
      </c>
      <c r="AA266" t="s">
        <v>38</v>
      </c>
    </row>
    <row r="267" spans="1:27" hidden="1">
      <c r="A267" t="s">
        <v>1005</v>
      </c>
      <c r="B267" t="s">
        <v>1006</v>
      </c>
      <c r="C267" t="e">
        <f>VLOOKUP(B267,Sheet2!$A$2:$A$392,1,0)</f>
        <v>#N/A</v>
      </c>
      <c r="E267" t="s">
        <v>72</v>
      </c>
      <c r="G267" t="s">
        <v>125</v>
      </c>
      <c r="I267" t="s">
        <v>42</v>
      </c>
      <c r="J267" s="2">
        <v>8142012</v>
      </c>
      <c r="K267" s="3">
        <v>91.44</v>
      </c>
      <c r="L267" s="2">
        <v>3145</v>
      </c>
      <c r="P267" t="s">
        <v>949</v>
      </c>
      <c r="S267" t="s">
        <v>33</v>
      </c>
      <c r="X267" t="s">
        <v>34</v>
      </c>
      <c r="AA267" t="s">
        <v>38</v>
      </c>
    </row>
    <row r="268" spans="1:27" hidden="1">
      <c r="A268" t="s">
        <v>1007</v>
      </c>
      <c r="B268" t="s">
        <v>1008</v>
      </c>
      <c r="C268" t="e">
        <f>VLOOKUP(B268,Sheet2!$A$2:$A$392,1,0)</f>
        <v>#N/A</v>
      </c>
      <c r="E268" t="s">
        <v>40</v>
      </c>
      <c r="G268" t="s">
        <v>125</v>
      </c>
      <c r="I268" t="s">
        <v>42</v>
      </c>
      <c r="J268" s="2">
        <v>227</v>
      </c>
      <c r="K268" s="3">
        <v>28.26</v>
      </c>
      <c r="L268" s="2">
        <v>227</v>
      </c>
      <c r="P268" t="s">
        <v>1009</v>
      </c>
      <c r="S268" t="s">
        <v>33</v>
      </c>
      <c r="X268" t="s">
        <v>34</v>
      </c>
      <c r="AA268" t="s">
        <v>38</v>
      </c>
    </row>
    <row r="269" spans="1:27" hidden="1">
      <c r="A269" t="s">
        <v>1010</v>
      </c>
      <c r="B269" t="s">
        <v>1011</v>
      </c>
      <c r="C269" t="e">
        <f>VLOOKUP(B269,Sheet2!$A$2:$A$392,1,0)</f>
        <v>#N/A</v>
      </c>
      <c r="E269" t="s">
        <v>72</v>
      </c>
      <c r="G269" t="s">
        <v>125</v>
      </c>
      <c r="I269" t="s">
        <v>42</v>
      </c>
      <c r="J269" s="2">
        <v>3145</v>
      </c>
      <c r="K269" s="3">
        <v>91.44</v>
      </c>
      <c r="L269" s="2">
        <v>3145</v>
      </c>
      <c r="P269" t="s">
        <v>74</v>
      </c>
      <c r="S269" t="s">
        <v>33</v>
      </c>
      <c r="X269" t="s">
        <v>34</v>
      </c>
      <c r="AA269" t="s">
        <v>38</v>
      </c>
    </row>
    <row r="270" spans="1:27" hidden="1">
      <c r="A270" t="s">
        <v>1012</v>
      </c>
      <c r="B270" t="s">
        <v>1013</v>
      </c>
      <c r="C270" t="e">
        <f>VLOOKUP(B270,Sheet2!$A$2:$A$392,1,0)</f>
        <v>#N/A</v>
      </c>
      <c r="E270" t="s">
        <v>40</v>
      </c>
      <c r="F270" t="s">
        <v>41</v>
      </c>
      <c r="G270" t="s">
        <v>125</v>
      </c>
      <c r="I270" t="s">
        <v>42</v>
      </c>
      <c r="J270" s="2">
        <v>8409674</v>
      </c>
      <c r="K270" s="3">
        <v>28.23</v>
      </c>
      <c r="L270" s="2">
        <v>222</v>
      </c>
      <c r="O270" t="s">
        <v>420</v>
      </c>
      <c r="P270" t="s">
        <v>1014</v>
      </c>
      <c r="R270" t="s">
        <v>42</v>
      </c>
      <c r="S270" t="s">
        <v>33</v>
      </c>
      <c r="T270" t="s">
        <v>106</v>
      </c>
      <c r="U270" t="s">
        <v>35</v>
      </c>
      <c r="X270" t="s">
        <v>34</v>
      </c>
      <c r="Y270" t="s">
        <v>1015</v>
      </c>
      <c r="Z270" t="s">
        <v>1016</v>
      </c>
      <c r="AA270" t="s">
        <v>38</v>
      </c>
    </row>
    <row r="271" spans="1:27" hidden="1">
      <c r="A271" t="s">
        <v>1017</v>
      </c>
      <c r="B271" t="s">
        <v>1018</v>
      </c>
      <c r="C271" t="e">
        <f>VLOOKUP(B271,Sheet2!$A$2:$A$392,1,0)</f>
        <v>#N/A</v>
      </c>
      <c r="E271" t="s">
        <v>72</v>
      </c>
      <c r="G271" t="s">
        <v>125</v>
      </c>
      <c r="I271" t="s">
        <v>42</v>
      </c>
      <c r="J271" s="2">
        <v>8409674</v>
      </c>
      <c r="K271" s="3">
        <v>87.78</v>
      </c>
      <c r="L271" s="2">
        <v>3112</v>
      </c>
      <c r="P271" t="s">
        <v>949</v>
      </c>
      <c r="S271" t="s">
        <v>33</v>
      </c>
      <c r="X271" t="s">
        <v>34</v>
      </c>
      <c r="AA271" t="s">
        <v>38</v>
      </c>
    </row>
    <row r="272" spans="1:27" hidden="1">
      <c r="A272" t="s">
        <v>1019</v>
      </c>
      <c r="B272" t="s">
        <v>1020</v>
      </c>
      <c r="C272" t="e">
        <f>VLOOKUP(B272,Sheet2!$A$2:$A$392,1,0)</f>
        <v>#N/A</v>
      </c>
      <c r="E272" t="s">
        <v>40</v>
      </c>
      <c r="G272" t="s">
        <v>125</v>
      </c>
      <c r="I272" t="s">
        <v>42</v>
      </c>
      <c r="J272" s="2">
        <v>226</v>
      </c>
      <c r="K272" s="3">
        <v>28.44</v>
      </c>
      <c r="L272" s="2">
        <v>226</v>
      </c>
      <c r="P272" t="s">
        <v>1021</v>
      </c>
      <c r="S272" t="s">
        <v>33</v>
      </c>
      <c r="X272" t="s">
        <v>34</v>
      </c>
      <c r="AA272" t="s">
        <v>38</v>
      </c>
    </row>
    <row r="273" spans="1:27" hidden="1">
      <c r="A273" t="s">
        <v>1022</v>
      </c>
      <c r="B273" t="s">
        <v>1023</v>
      </c>
      <c r="C273" t="e">
        <f>VLOOKUP(B273,Sheet2!$A$2:$A$392,1,0)</f>
        <v>#N/A</v>
      </c>
      <c r="E273" t="s">
        <v>72</v>
      </c>
      <c r="G273" t="s">
        <v>125</v>
      </c>
      <c r="I273" t="s">
        <v>42</v>
      </c>
      <c r="J273" s="2">
        <v>3116</v>
      </c>
      <c r="K273" s="3">
        <v>91.44</v>
      </c>
      <c r="L273" s="2">
        <v>3116</v>
      </c>
      <c r="P273" t="s">
        <v>74</v>
      </c>
      <c r="S273" t="s">
        <v>33</v>
      </c>
      <c r="X273" t="s">
        <v>34</v>
      </c>
      <c r="AA273" t="s">
        <v>38</v>
      </c>
    </row>
    <row r="274" spans="1:27" hidden="1">
      <c r="A274" t="s">
        <v>1024</v>
      </c>
      <c r="B274" t="s">
        <v>1025</v>
      </c>
      <c r="C274" t="e">
        <f>VLOOKUP(B274,Sheet2!$A$2:$A$392,1,0)</f>
        <v>#N/A</v>
      </c>
      <c r="E274" t="s">
        <v>40</v>
      </c>
      <c r="G274" t="s">
        <v>125</v>
      </c>
      <c r="I274" t="s">
        <v>42</v>
      </c>
      <c r="J274" s="2">
        <v>229</v>
      </c>
      <c r="K274">
        <v>28.5</v>
      </c>
      <c r="L274" s="2">
        <v>229</v>
      </c>
      <c r="P274" t="s">
        <v>1026</v>
      </c>
      <c r="S274" t="s">
        <v>33</v>
      </c>
      <c r="X274" t="s">
        <v>34</v>
      </c>
      <c r="AA274" t="s">
        <v>38</v>
      </c>
    </row>
    <row r="275" spans="1:27" hidden="1">
      <c r="A275" t="s">
        <v>1027</v>
      </c>
      <c r="B275" t="s">
        <v>1028</v>
      </c>
      <c r="C275" t="e">
        <f>VLOOKUP(B275,Sheet2!$A$2:$A$392,1,0)</f>
        <v>#N/A</v>
      </c>
      <c r="E275" t="s">
        <v>72</v>
      </c>
      <c r="G275" t="s">
        <v>125</v>
      </c>
      <c r="I275" t="s">
        <v>42</v>
      </c>
      <c r="J275" s="2">
        <v>3297</v>
      </c>
      <c r="K275" s="3">
        <v>96.01</v>
      </c>
      <c r="L275" s="2">
        <v>3297</v>
      </c>
      <c r="P275" t="s">
        <v>949</v>
      </c>
      <c r="S275" t="s">
        <v>33</v>
      </c>
      <c r="X275" t="s">
        <v>34</v>
      </c>
      <c r="AA275" t="s">
        <v>38</v>
      </c>
    </row>
    <row r="276" spans="1:27" hidden="1">
      <c r="A276" t="s">
        <v>1029</v>
      </c>
      <c r="B276" t="s">
        <v>1030</v>
      </c>
      <c r="C276" t="e">
        <f>VLOOKUP(B276,Sheet2!$A$2:$A$392,1,0)</f>
        <v>#N/A</v>
      </c>
      <c r="E276" t="s">
        <v>40</v>
      </c>
      <c r="G276" t="s">
        <v>125</v>
      </c>
      <c r="I276" t="s">
        <v>42</v>
      </c>
      <c r="J276" s="2">
        <v>227</v>
      </c>
      <c r="K276">
        <v>28.7</v>
      </c>
      <c r="L276" s="2">
        <v>227</v>
      </c>
      <c r="P276" t="s">
        <v>1031</v>
      </c>
      <c r="S276" t="s">
        <v>33</v>
      </c>
      <c r="X276" t="s">
        <v>34</v>
      </c>
      <c r="AA276" t="s">
        <v>38</v>
      </c>
    </row>
    <row r="277" spans="1:27" hidden="1">
      <c r="A277" t="s">
        <v>1032</v>
      </c>
      <c r="B277" t="s">
        <v>1033</v>
      </c>
      <c r="C277" t="e">
        <f>VLOOKUP(B277,Sheet2!$A$2:$A$392,1,0)</f>
        <v>#N/A</v>
      </c>
      <c r="E277" t="s">
        <v>72</v>
      </c>
      <c r="G277" t="s">
        <v>125</v>
      </c>
      <c r="I277" t="s">
        <v>42</v>
      </c>
      <c r="J277" s="2">
        <v>3139</v>
      </c>
      <c r="K277" s="3">
        <v>91.44</v>
      </c>
      <c r="L277" s="2">
        <v>3139</v>
      </c>
      <c r="P277" t="s">
        <v>74</v>
      </c>
      <c r="S277" t="s">
        <v>33</v>
      </c>
      <c r="X277" t="s">
        <v>34</v>
      </c>
      <c r="AA277" t="s">
        <v>38</v>
      </c>
    </row>
    <row r="278" spans="1:27" hidden="1">
      <c r="A278" t="s">
        <v>1034</v>
      </c>
      <c r="B278" t="s">
        <v>1035</v>
      </c>
      <c r="C278" t="e">
        <f>VLOOKUP(B278,Sheet2!$A$2:$A$392,1,0)</f>
        <v>#N/A</v>
      </c>
      <c r="E278" t="s">
        <v>93</v>
      </c>
      <c r="G278" t="s">
        <v>94</v>
      </c>
      <c r="I278" t="s">
        <v>42</v>
      </c>
      <c r="J278" s="2">
        <v>500</v>
      </c>
      <c r="K278">
        <v>49.2</v>
      </c>
      <c r="L278" s="2">
        <v>281</v>
      </c>
      <c r="P278" t="s">
        <v>1036</v>
      </c>
      <c r="S278" t="s">
        <v>33</v>
      </c>
      <c r="X278" t="s">
        <v>34</v>
      </c>
      <c r="AA278" t="s">
        <v>38</v>
      </c>
    </row>
    <row r="279" spans="1:27" hidden="1">
      <c r="A279" t="s">
        <v>1037</v>
      </c>
      <c r="B279" t="s">
        <v>1038</v>
      </c>
      <c r="C279" t="e">
        <f>VLOOKUP(B279,Sheet2!$A$2:$A$392,1,0)</f>
        <v>#N/A</v>
      </c>
      <c r="E279" t="s">
        <v>40</v>
      </c>
      <c r="G279" t="s">
        <v>1039</v>
      </c>
      <c r="I279" t="s">
        <v>42</v>
      </c>
      <c r="J279" s="2">
        <v>202</v>
      </c>
      <c r="K279" s="3">
        <v>28.55</v>
      </c>
      <c r="L279" s="2">
        <v>202</v>
      </c>
      <c r="P279" t="s">
        <v>1040</v>
      </c>
      <c r="S279" t="s">
        <v>33</v>
      </c>
      <c r="X279" t="s">
        <v>34</v>
      </c>
      <c r="AA279" t="s">
        <v>38</v>
      </c>
    </row>
    <row r="280" spans="1:27" hidden="1">
      <c r="A280" t="s">
        <v>1041</v>
      </c>
      <c r="B280" t="s">
        <v>1042</v>
      </c>
      <c r="C280" t="e">
        <f>VLOOKUP(B280,Sheet2!$A$2:$A$392,1,0)</f>
        <v>#N/A</v>
      </c>
      <c r="E280" t="s">
        <v>27</v>
      </c>
      <c r="F280" t="s">
        <v>41</v>
      </c>
      <c r="G280" t="s">
        <v>29</v>
      </c>
      <c r="J280" s="2">
        <v>1900</v>
      </c>
      <c r="K280">
        <v>70.400000000000006</v>
      </c>
      <c r="L280" s="2">
        <v>1106</v>
      </c>
      <c r="M280" s="2">
        <v>1000</v>
      </c>
      <c r="N280" s="3">
        <v>4.29</v>
      </c>
      <c r="P280" t="s">
        <v>1043</v>
      </c>
      <c r="R280" t="s">
        <v>42</v>
      </c>
      <c r="S280" t="s">
        <v>33</v>
      </c>
      <c r="U280" t="s">
        <v>35</v>
      </c>
      <c r="V280" s="2">
        <v>1</v>
      </c>
      <c r="X280" t="s">
        <v>34</v>
      </c>
      <c r="Y280" t="s">
        <v>45</v>
      </c>
      <c r="Z280" t="s">
        <v>1044</v>
      </c>
      <c r="AA280" t="s">
        <v>38</v>
      </c>
    </row>
    <row r="281" spans="1:27" hidden="1">
      <c r="A281" t="s">
        <v>1045</v>
      </c>
      <c r="B281" t="s">
        <v>1046</v>
      </c>
      <c r="C281" t="e">
        <f>VLOOKUP(B281,Sheet2!$A$2:$A$392,1,0)</f>
        <v>#N/A</v>
      </c>
      <c r="E281" t="s">
        <v>196</v>
      </c>
      <c r="F281" t="s">
        <v>28</v>
      </c>
      <c r="G281" t="s">
        <v>222</v>
      </c>
      <c r="I281" t="s">
        <v>197</v>
      </c>
      <c r="J281" s="2">
        <v>25039</v>
      </c>
      <c r="K281" s="3">
        <v>168.76</v>
      </c>
      <c r="L281" s="2">
        <v>16102</v>
      </c>
      <c r="M281" s="2">
        <v>5882</v>
      </c>
      <c r="N281">
        <v>9.5</v>
      </c>
      <c r="O281" t="s">
        <v>223</v>
      </c>
      <c r="P281" t="s">
        <v>1047</v>
      </c>
      <c r="R281" t="s">
        <v>581</v>
      </c>
      <c r="S281" t="s">
        <v>33</v>
      </c>
      <c r="T281" t="s">
        <v>34</v>
      </c>
      <c r="U281" t="s">
        <v>35</v>
      </c>
      <c r="V281" s="2">
        <v>4</v>
      </c>
      <c r="X281" t="s">
        <v>34</v>
      </c>
      <c r="Y281" t="s">
        <v>154</v>
      </c>
      <c r="Z281" t="s">
        <v>1048</v>
      </c>
      <c r="AA281" t="s">
        <v>38</v>
      </c>
    </row>
    <row r="282" spans="1:27" hidden="1">
      <c r="A282" t="s">
        <v>1049</v>
      </c>
      <c r="B282" t="s">
        <v>1050</v>
      </c>
      <c r="C282" t="e">
        <f>VLOOKUP(B282,Sheet2!$A$2:$A$392,1,0)</f>
        <v>#N/A</v>
      </c>
      <c r="E282" t="s">
        <v>27</v>
      </c>
      <c r="F282" t="s">
        <v>41</v>
      </c>
      <c r="G282" t="s">
        <v>29</v>
      </c>
      <c r="I282" t="s">
        <v>42</v>
      </c>
      <c r="J282" s="2">
        <v>2000</v>
      </c>
      <c r="K282" s="2">
        <v>78</v>
      </c>
      <c r="L282" s="2">
        <v>1675</v>
      </c>
      <c r="P282" t="s">
        <v>1051</v>
      </c>
      <c r="R282" t="s">
        <v>32</v>
      </c>
      <c r="S282" t="s">
        <v>33</v>
      </c>
      <c r="T282" t="s">
        <v>34</v>
      </c>
      <c r="U282" t="s">
        <v>35</v>
      </c>
      <c r="X282" t="s">
        <v>34</v>
      </c>
      <c r="Y282" t="s">
        <v>378</v>
      </c>
      <c r="Z282" t="s">
        <v>1052</v>
      </c>
      <c r="AA282" t="s">
        <v>38</v>
      </c>
    </row>
    <row r="283" spans="1:27" hidden="1">
      <c r="A283" t="s">
        <v>1053</v>
      </c>
      <c r="B283" t="s">
        <v>1054</v>
      </c>
      <c r="C283" t="e">
        <f>VLOOKUP(B283,Sheet2!$A$2:$A$392,1,0)</f>
        <v>#N/A</v>
      </c>
      <c r="E283" t="s">
        <v>27</v>
      </c>
      <c r="I283" t="s">
        <v>42</v>
      </c>
      <c r="J283" s="2">
        <v>3560</v>
      </c>
      <c r="K283" s="3">
        <v>91.95</v>
      </c>
      <c r="L283" s="2">
        <v>2755</v>
      </c>
      <c r="P283" t="s">
        <v>1055</v>
      </c>
      <c r="S283" t="s">
        <v>33</v>
      </c>
      <c r="X283" t="s">
        <v>34</v>
      </c>
      <c r="AA283" t="s">
        <v>38</v>
      </c>
    </row>
    <row r="284" spans="1:27" hidden="1">
      <c r="A284" t="s">
        <v>1056</v>
      </c>
      <c r="B284" t="s">
        <v>1057</v>
      </c>
      <c r="C284" t="e">
        <f>VLOOKUP(B284,Sheet2!$A$2:$A$392,1,0)</f>
        <v>#N/A</v>
      </c>
      <c r="E284" t="s">
        <v>27</v>
      </c>
      <c r="F284" t="s">
        <v>41</v>
      </c>
      <c r="G284" t="s">
        <v>585</v>
      </c>
      <c r="J284" s="2">
        <v>3100</v>
      </c>
      <c r="K284" s="2">
        <v>83</v>
      </c>
      <c r="L284" s="2">
        <v>1965</v>
      </c>
      <c r="M284" s="2">
        <v>2100</v>
      </c>
      <c r="N284" s="2">
        <v>55</v>
      </c>
      <c r="O284" t="s">
        <v>1058</v>
      </c>
      <c r="P284" t="s">
        <v>1059</v>
      </c>
      <c r="R284" t="s">
        <v>42</v>
      </c>
      <c r="S284" t="s">
        <v>33</v>
      </c>
      <c r="U284" t="s">
        <v>44</v>
      </c>
      <c r="V284" s="2">
        <v>2</v>
      </c>
      <c r="X284" t="s">
        <v>34</v>
      </c>
      <c r="Y284" t="s">
        <v>154</v>
      </c>
      <c r="Z284" t="s">
        <v>1060</v>
      </c>
      <c r="AA284" t="s">
        <v>38</v>
      </c>
    </row>
    <row r="285" spans="1:27" hidden="1">
      <c r="A285" t="s">
        <v>1061</v>
      </c>
      <c r="B285" t="s">
        <v>1062</v>
      </c>
      <c r="C285" t="e">
        <f>VLOOKUP(B285,Sheet2!$A$2:$A$392,1,0)</f>
        <v>#N/A</v>
      </c>
      <c r="E285" t="s">
        <v>1063</v>
      </c>
      <c r="F285" t="s">
        <v>41</v>
      </c>
      <c r="G285" t="s">
        <v>1064</v>
      </c>
      <c r="I285" t="s">
        <v>42</v>
      </c>
      <c r="J285" s="2">
        <v>2149</v>
      </c>
      <c r="K285" s="3">
        <v>67.510000000000005</v>
      </c>
      <c r="L285" s="2">
        <v>1944</v>
      </c>
      <c r="P285" t="s">
        <v>1065</v>
      </c>
      <c r="R285" t="s">
        <v>42</v>
      </c>
      <c r="S285" t="s">
        <v>33</v>
      </c>
      <c r="T285" t="s">
        <v>34</v>
      </c>
      <c r="U285" t="s">
        <v>35</v>
      </c>
      <c r="X285" t="s">
        <v>34</v>
      </c>
      <c r="Y285" t="s">
        <v>117</v>
      </c>
      <c r="Z285" t="s">
        <v>1066</v>
      </c>
      <c r="AA285" t="s">
        <v>38</v>
      </c>
    </row>
    <row r="286" spans="1:27" hidden="1">
      <c r="A286" t="s">
        <v>1067</v>
      </c>
      <c r="B286" t="s">
        <v>1068</v>
      </c>
      <c r="C286" t="e">
        <f>VLOOKUP(B286,Sheet2!$A$2:$A$392,1,0)</f>
        <v>#N/A</v>
      </c>
      <c r="E286" t="s">
        <v>27</v>
      </c>
      <c r="F286" t="s">
        <v>41</v>
      </c>
      <c r="G286" t="s">
        <v>29</v>
      </c>
      <c r="I286" t="s">
        <v>42</v>
      </c>
      <c r="J286" s="2">
        <v>1630</v>
      </c>
      <c r="K286" s="2">
        <v>71</v>
      </c>
      <c r="L286" s="2">
        <v>1321</v>
      </c>
      <c r="M286" s="2">
        <v>1300</v>
      </c>
      <c r="N286" s="2">
        <v>5</v>
      </c>
      <c r="P286" t="s">
        <v>1069</v>
      </c>
      <c r="R286" t="s">
        <v>32</v>
      </c>
      <c r="S286" t="s">
        <v>33</v>
      </c>
      <c r="T286" t="s">
        <v>34</v>
      </c>
      <c r="U286" t="s">
        <v>35</v>
      </c>
      <c r="X286" t="s">
        <v>34</v>
      </c>
      <c r="Y286" t="s">
        <v>45</v>
      </c>
      <c r="Z286" t="s">
        <v>1070</v>
      </c>
      <c r="AA286" t="s">
        <v>38</v>
      </c>
    </row>
    <row r="287" spans="1:27">
      <c r="A287" t="s">
        <v>1071</v>
      </c>
      <c r="B287" t="s">
        <v>1072</v>
      </c>
      <c r="C287" t="str">
        <f>VLOOKUP(B287,Sheet2!$A$2:$A$392,1,0)</f>
        <v>MV. DONGGALA VIII</v>
      </c>
      <c r="E287" t="s">
        <v>27</v>
      </c>
      <c r="F287" t="s">
        <v>41</v>
      </c>
      <c r="G287" t="s">
        <v>29</v>
      </c>
      <c r="J287" s="2">
        <v>1630</v>
      </c>
      <c r="K287" s="2">
        <v>71</v>
      </c>
      <c r="L287" s="2">
        <v>1321</v>
      </c>
      <c r="M287" s="2">
        <v>1300</v>
      </c>
      <c r="N287" s="2">
        <v>5</v>
      </c>
      <c r="P287" t="s">
        <v>1069</v>
      </c>
      <c r="R287" t="s">
        <v>32</v>
      </c>
      <c r="S287" t="s">
        <v>33</v>
      </c>
      <c r="U287" t="s">
        <v>35</v>
      </c>
      <c r="X287" t="s">
        <v>34</v>
      </c>
      <c r="Y287" t="s">
        <v>45</v>
      </c>
      <c r="Z287" t="s">
        <v>1073</v>
      </c>
      <c r="AA287" t="s">
        <v>38</v>
      </c>
    </row>
    <row r="288" spans="1:27" hidden="1">
      <c r="A288" t="s">
        <v>1074</v>
      </c>
      <c r="B288" t="s">
        <v>1075</v>
      </c>
      <c r="C288" t="e">
        <f>VLOOKUP(B288,Sheet2!$A$2:$A$392,1,0)</f>
        <v>#N/A</v>
      </c>
      <c r="E288" t="s">
        <v>40</v>
      </c>
      <c r="G288" t="s">
        <v>355</v>
      </c>
      <c r="I288" t="s">
        <v>42</v>
      </c>
      <c r="J288" s="2">
        <v>200</v>
      </c>
      <c r="K288" s="3">
        <v>23.16</v>
      </c>
      <c r="L288" s="2">
        <v>109</v>
      </c>
      <c r="P288" t="s">
        <v>1076</v>
      </c>
      <c r="S288" t="s">
        <v>33</v>
      </c>
      <c r="X288" t="s">
        <v>34</v>
      </c>
      <c r="AA288" t="s">
        <v>38</v>
      </c>
    </row>
    <row r="289" spans="1:27" hidden="1">
      <c r="A289" t="s">
        <v>1077</v>
      </c>
      <c r="B289" t="s">
        <v>1078</v>
      </c>
      <c r="C289" t="e">
        <f>VLOOKUP(B289,Sheet2!$A$2:$A$392,1,0)</f>
        <v>#N/A</v>
      </c>
      <c r="E289" t="s">
        <v>1063</v>
      </c>
      <c r="G289" t="s">
        <v>1064</v>
      </c>
      <c r="I289" t="s">
        <v>42</v>
      </c>
      <c r="J289" s="2">
        <v>17970</v>
      </c>
      <c r="K289" s="3">
        <v>155.04</v>
      </c>
      <c r="L289" s="2">
        <v>9865</v>
      </c>
      <c r="P289" t="s">
        <v>1079</v>
      </c>
      <c r="S289" t="s">
        <v>33</v>
      </c>
      <c r="X289" t="s">
        <v>34</v>
      </c>
      <c r="AA289" t="s">
        <v>38</v>
      </c>
    </row>
    <row r="290" spans="1:27">
      <c r="A290" t="s">
        <v>1080</v>
      </c>
      <c r="B290" t="s">
        <v>1081</v>
      </c>
      <c r="C290" t="str">
        <f>VLOOKUP(B290,Sheet2!$A$2:$A$392,1,0)</f>
        <v>TB. DUTA KAPUAS 10/BG. KAPUAS 312</v>
      </c>
      <c r="E290" t="s">
        <v>40</v>
      </c>
      <c r="F290" t="s">
        <v>41</v>
      </c>
      <c r="G290" t="s">
        <v>382</v>
      </c>
      <c r="I290" t="s">
        <v>42</v>
      </c>
      <c r="J290" s="2">
        <v>8000</v>
      </c>
      <c r="K290" s="3">
        <v>94.49</v>
      </c>
      <c r="L290" s="2">
        <v>3584</v>
      </c>
      <c r="M290" s="2">
        <v>1900</v>
      </c>
      <c r="N290" s="2">
        <v>3</v>
      </c>
      <c r="O290" t="s">
        <v>383</v>
      </c>
      <c r="P290" t="s">
        <v>1082</v>
      </c>
      <c r="R290" t="s">
        <v>42</v>
      </c>
      <c r="S290" t="s">
        <v>33</v>
      </c>
      <c r="T290" t="s">
        <v>34</v>
      </c>
      <c r="U290" t="s">
        <v>35</v>
      </c>
      <c r="V290" s="2">
        <v>0</v>
      </c>
      <c r="W290" t="s">
        <v>63</v>
      </c>
      <c r="X290" t="s">
        <v>34</v>
      </c>
      <c r="Y290" t="s">
        <v>64</v>
      </c>
      <c r="Z290" t="s">
        <v>1083</v>
      </c>
      <c r="AA290" t="s">
        <v>38</v>
      </c>
    </row>
    <row r="291" spans="1:27">
      <c r="A291" t="s">
        <v>1084</v>
      </c>
      <c r="B291" t="s">
        <v>1085</v>
      </c>
      <c r="C291" t="str">
        <f>VLOOKUP(B291,Sheet2!$A$2:$A$392,1,0)</f>
        <v>TB. DEL 02 / BG. BKT 305</v>
      </c>
      <c r="E291" t="s">
        <v>40</v>
      </c>
      <c r="F291" t="s">
        <v>41</v>
      </c>
      <c r="G291" t="s">
        <v>293</v>
      </c>
      <c r="J291" s="2">
        <v>8000</v>
      </c>
      <c r="K291" s="2">
        <v>91</v>
      </c>
      <c r="L291" s="2">
        <v>3472</v>
      </c>
      <c r="O291" t="s">
        <v>294</v>
      </c>
      <c r="P291" t="s">
        <v>1086</v>
      </c>
      <c r="R291" t="s">
        <v>42</v>
      </c>
      <c r="S291" t="s">
        <v>33</v>
      </c>
      <c r="U291" t="s">
        <v>35</v>
      </c>
      <c r="W291" t="s">
        <v>63</v>
      </c>
      <c r="X291" t="s">
        <v>34</v>
      </c>
      <c r="Y291" t="s">
        <v>64</v>
      </c>
      <c r="Z291" t="s">
        <v>1087</v>
      </c>
      <c r="AA291" t="s">
        <v>38</v>
      </c>
    </row>
    <row r="292" spans="1:27">
      <c r="A292" t="s">
        <v>1088</v>
      </c>
      <c r="B292" t="s">
        <v>1089</v>
      </c>
      <c r="C292" t="str">
        <f>VLOOKUP(B292,Sheet2!$A$2:$A$392,1,0)</f>
        <v>TB. DHARMA 10 / BG. HM 308</v>
      </c>
      <c r="E292" t="s">
        <v>40</v>
      </c>
      <c r="F292" t="s">
        <v>41</v>
      </c>
      <c r="G292" t="s">
        <v>29</v>
      </c>
      <c r="I292" t="s">
        <v>42</v>
      </c>
      <c r="J292" s="2">
        <v>8000</v>
      </c>
      <c r="K292" s="2">
        <v>87</v>
      </c>
      <c r="L292" s="2">
        <v>3354</v>
      </c>
      <c r="P292" t="s">
        <v>1090</v>
      </c>
      <c r="R292" t="s">
        <v>581</v>
      </c>
      <c r="S292" t="s">
        <v>33</v>
      </c>
      <c r="T292" t="s">
        <v>34</v>
      </c>
      <c r="U292" t="s">
        <v>35</v>
      </c>
      <c r="X292" t="s">
        <v>34</v>
      </c>
      <c r="Y292" t="s">
        <v>45</v>
      </c>
      <c r="Z292" t="s">
        <v>1091</v>
      </c>
      <c r="AA292" t="s">
        <v>38</v>
      </c>
    </row>
    <row r="293" spans="1:27">
      <c r="A293" t="s">
        <v>1092</v>
      </c>
      <c r="B293" t="s">
        <v>1093</v>
      </c>
      <c r="C293" t="str">
        <f>VLOOKUP(B293,Sheet2!$A$2:$A$392,1,0)</f>
        <v>KM. DAMAI SEJAHTERA 5</v>
      </c>
      <c r="E293" t="s">
        <v>27</v>
      </c>
      <c r="F293" t="s">
        <v>41</v>
      </c>
      <c r="G293" t="s">
        <v>158</v>
      </c>
      <c r="J293" s="2">
        <v>2700</v>
      </c>
      <c r="K293" s="2">
        <v>65</v>
      </c>
      <c r="L293" s="2">
        <v>1533</v>
      </c>
      <c r="P293" t="s">
        <v>1094</v>
      </c>
      <c r="R293" t="s">
        <v>581</v>
      </c>
      <c r="S293" t="s">
        <v>33</v>
      </c>
      <c r="U293" t="s">
        <v>35</v>
      </c>
      <c r="W293" t="s">
        <v>63</v>
      </c>
      <c r="X293" t="s">
        <v>34</v>
      </c>
      <c r="Y293" t="s">
        <v>64</v>
      </c>
      <c r="Z293" t="s">
        <v>1095</v>
      </c>
      <c r="AA293" t="s">
        <v>38</v>
      </c>
    </row>
    <row r="294" spans="1:27" hidden="1">
      <c r="A294" t="s">
        <v>1096</v>
      </c>
      <c r="B294" t="s">
        <v>1097</v>
      </c>
      <c r="C294" t="e">
        <f>VLOOKUP(B294,Sheet2!$A$2:$A$392,1,0)</f>
        <v>#N/A</v>
      </c>
      <c r="E294" t="s">
        <v>52</v>
      </c>
      <c r="F294" t="s">
        <v>41</v>
      </c>
      <c r="G294" t="s">
        <v>59</v>
      </c>
      <c r="I294" t="s">
        <v>42</v>
      </c>
      <c r="J294" s="2">
        <v>4500</v>
      </c>
      <c r="K294" s="3">
        <v>92.65</v>
      </c>
      <c r="L294" s="2">
        <v>2646</v>
      </c>
      <c r="O294" t="s">
        <v>61</v>
      </c>
      <c r="P294" t="s">
        <v>1098</v>
      </c>
      <c r="R294" t="s">
        <v>42</v>
      </c>
      <c r="S294" t="s">
        <v>33</v>
      </c>
      <c r="T294" t="s">
        <v>34</v>
      </c>
      <c r="U294" t="s">
        <v>44</v>
      </c>
      <c r="W294" t="s">
        <v>63</v>
      </c>
      <c r="X294" t="s">
        <v>34</v>
      </c>
      <c r="Y294" t="s">
        <v>64</v>
      </c>
      <c r="Z294" t="s">
        <v>1099</v>
      </c>
      <c r="AA294" t="s">
        <v>38</v>
      </c>
    </row>
    <row r="295" spans="1:27" hidden="1">
      <c r="A295" t="s">
        <v>1100</v>
      </c>
      <c r="B295" t="s">
        <v>1101</v>
      </c>
      <c r="C295" t="e">
        <f>VLOOKUP(B295,Sheet2!$A$2:$A$392,1,0)</f>
        <v>#N/A</v>
      </c>
      <c r="E295" t="s">
        <v>52</v>
      </c>
      <c r="F295" t="s">
        <v>41</v>
      </c>
      <c r="G295" t="s">
        <v>29</v>
      </c>
      <c r="I295" t="s">
        <v>42</v>
      </c>
      <c r="J295" s="2">
        <v>1549</v>
      </c>
      <c r="K295">
        <v>69.2</v>
      </c>
      <c r="L295" s="2">
        <v>1058</v>
      </c>
      <c r="P295" t="s">
        <v>1102</v>
      </c>
      <c r="R295" t="s">
        <v>32</v>
      </c>
      <c r="S295" t="s">
        <v>33</v>
      </c>
      <c r="T295" t="s">
        <v>106</v>
      </c>
      <c r="U295" t="s">
        <v>35</v>
      </c>
      <c r="W295" t="s">
        <v>165</v>
      </c>
      <c r="X295" t="s">
        <v>34</v>
      </c>
      <c r="Y295" t="s">
        <v>245</v>
      </c>
      <c r="Z295" t="s">
        <v>1103</v>
      </c>
      <c r="AA295" t="s">
        <v>38</v>
      </c>
    </row>
    <row r="296" spans="1:27" hidden="1">
      <c r="A296" t="s">
        <v>1104</v>
      </c>
      <c r="B296" t="s">
        <v>1105</v>
      </c>
      <c r="C296" t="e">
        <f>VLOOKUP(B296,Sheet2!$A$2:$A$392,1,0)</f>
        <v>#N/A</v>
      </c>
      <c r="E296" t="s">
        <v>121</v>
      </c>
      <c r="G296" t="s">
        <v>89</v>
      </c>
      <c r="I296" t="s">
        <v>42</v>
      </c>
      <c r="J296" s="2">
        <v>337</v>
      </c>
      <c r="K296" s="3">
        <v>38.67</v>
      </c>
      <c r="L296" s="2">
        <v>241</v>
      </c>
      <c r="P296" t="s">
        <v>1106</v>
      </c>
      <c r="S296" t="s">
        <v>33</v>
      </c>
      <c r="X296" t="s">
        <v>34</v>
      </c>
      <c r="Y296" t="s">
        <v>96</v>
      </c>
      <c r="Z296" t="s">
        <v>1107</v>
      </c>
      <c r="AA296" t="s">
        <v>38</v>
      </c>
    </row>
    <row r="297" spans="1:27" hidden="1">
      <c r="A297" t="s">
        <v>1108</v>
      </c>
      <c r="B297" t="s">
        <v>1109</v>
      </c>
      <c r="C297" t="e">
        <f>VLOOKUP(B297,Sheet2!$A$2:$A$392,1,0)</f>
        <v>#N/A</v>
      </c>
      <c r="E297" t="s">
        <v>93</v>
      </c>
      <c r="G297" t="s">
        <v>89</v>
      </c>
      <c r="I297" t="s">
        <v>42</v>
      </c>
      <c r="J297" s="2">
        <v>931</v>
      </c>
      <c r="K297" s="3">
        <v>67.88</v>
      </c>
      <c r="L297" s="2">
        <v>665</v>
      </c>
      <c r="P297" t="s">
        <v>1110</v>
      </c>
      <c r="S297" t="s">
        <v>33</v>
      </c>
      <c r="X297" t="s">
        <v>34</v>
      </c>
      <c r="AA297" t="s">
        <v>38</v>
      </c>
    </row>
    <row r="298" spans="1:27">
      <c r="A298" t="s">
        <v>1111</v>
      </c>
      <c r="B298" t="s">
        <v>1112</v>
      </c>
      <c r="C298" t="str">
        <f>VLOOKUP(B298,Sheet2!$A$2:$A$392,1,0)</f>
        <v>MV. DARYA SATYA</v>
      </c>
      <c r="E298" t="s">
        <v>52</v>
      </c>
      <c r="F298" t="s">
        <v>28</v>
      </c>
      <c r="G298" t="s">
        <v>59</v>
      </c>
      <c r="I298" t="s">
        <v>1113</v>
      </c>
      <c r="J298" s="2">
        <v>63220</v>
      </c>
      <c r="K298" s="3">
        <v>199.99</v>
      </c>
      <c r="L298" s="2">
        <v>36019</v>
      </c>
      <c r="O298" t="s">
        <v>61</v>
      </c>
      <c r="P298" t="s">
        <v>1114</v>
      </c>
      <c r="R298" t="s">
        <v>1113</v>
      </c>
      <c r="S298" t="s">
        <v>33</v>
      </c>
      <c r="T298" t="s">
        <v>34</v>
      </c>
      <c r="U298" t="s">
        <v>44</v>
      </c>
      <c r="W298" t="s">
        <v>63</v>
      </c>
      <c r="X298" t="s">
        <v>34</v>
      </c>
      <c r="Y298" t="s">
        <v>64</v>
      </c>
      <c r="Z298" t="s">
        <v>1115</v>
      </c>
      <c r="AA298" t="s">
        <v>38</v>
      </c>
    </row>
    <row r="299" spans="1:27" hidden="1">
      <c r="A299" t="s">
        <v>1116</v>
      </c>
      <c r="B299" t="s">
        <v>1117</v>
      </c>
      <c r="C299" t="e">
        <f>VLOOKUP(B299,Sheet2!$A$2:$A$392,1,0)</f>
        <v>#N/A</v>
      </c>
      <c r="E299" t="s">
        <v>27</v>
      </c>
      <c r="F299" t="s">
        <v>41</v>
      </c>
      <c r="G299" t="s">
        <v>158</v>
      </c>
      <c r="J299" s="2">
        <v>2500</v>
      </c>
      <c r="K299" s="2">
        <v>85</v>
      </c>
      <c r="L299" s="2">
        <v>2216</v>
      </c>
      <c r="P299" t="s">
        <v>1118</v>
      </c>
      <c r="R299" t="s">
        <v>42</v>
      </c>
      <c r="S299" t="s">
        <v>33</v>
      </c>
      <c r="U299" t="s">
        <v>44</v>
      </c>
      <c r="V299" s="2">
        <v>1</v>
      </c>
      <c r="W299" t="s">
        <v>63</v>
      </c>
      <c r="X299" t="s">
        <v>34</v>
      </c>
      <c r="Y299" t="s">
        <v>64</v>
      </c>
      <c r="Z299" t="s">
        <v>1119</v>
      </c>
      <c r="AA299" t="s">
        <v>38</v>
      </c>
    </row>
    <row r="300" spans="1:27" hidden="1">
      <c r="A300" t="s">
        <v>1120</v>
      </c>
      <c r="B300" t="s">
        <v>1121</v>
      </c>
      <c r="C300" t="e">
        <f>VLOOKUP(B300,Sheet2!$A$2:$A$392,1,0)</f>
        <v>#N/A</v>
      </c>
      <c r="E300" t="s">
        <v>52</v>
      </c>
      <c r="F300" t="s">
        <v>28</v>
      </c>
      <c r="G300" t="s">
        <v>59</v>
      </c>
      <c r="I300" t="s">
        <v>1113</v>
      </c>
      <c r="J300" s="2">
        <v>55783</v>
      </c>
      <c r="K300" s="3">
        <v>189.99</v>
      </c>
      <c r="L300" s="2">
        <v>32672</v>
      </c>
      <c r="P300" t="s">
        <v>1122</v>
      </c>
      <c r="R300" t="s">
        <v>1113</v>
      </c>
      <c r="S300" t="s">
        <v>33</v>
      </c>
      <c r="T300" t="s">
        <v>34</v>
      </c>
      <c r="U300" t="s">
        <v>35</v>
      </c>
      <c r="W300" t="s">
        <v>63</v>
      </c>
      <c r="X300" t="s">
        <v>34</v>
      </c>
      <c r="Y300" t="s">
        <v>64</v>
      </c>
      <c r="Z300" t="s">
        <v>1123</v>
      </c>
      <c r="AA300" t="s">
        <v>38</v>
      </c>
    </row>
    <row r="301" spans="1:27" hidden="1">
      <c r="A301" t="s">
        <v>1124</v>
      </c>
      <c r="B301" t="s">
        <v>1125</v>
      </c>
      <c r="C301" t="e">
        <f>VLOOKUP(B301,Sheet2!$A$2:$A$392,1,0)</f>
        <v>#N/A</v>
      </c>
      <c r="E301" t="s">
        <v>27</v>
      </c>
      <c r="F301" t="s">
        <v>41</v>
      </c>
      <c r="G301" t="s">
        <v>29</v>
      </c>
      <c r="I301" t="s">
        <v>42</v>
      </c>
      <c r="J301" s="2">
        <v>1800</v>
      </c>
      <c r="K301" s="2">
        <v>66</v>
      </c>
      <c r="L301" s="2">
        <v>1015</v>
      </c>
      <c r="N301" s="2">
        <v>4</v>
      </c>
      <c r="P301" t="s">
        <v>1126</v>
      </c>
      <c r="R301" t="s">
        <v>581</v>
      </c>
      <c r="S301" t="s">
        <v>33</v>
      </c>
      <c r="T301" t="s">
        <v>34</v>
      </c>
      <c r="U301" t="s">
        <v>35</v>
      </c>
      <c r="X301" t="s">
        <v>34</v>
      </c>
      <c r="Y301" t="s">
        <v>45</v>
      </c>
      <c r="Z301" t="s">
        <v>1127</v>
      </c>
      <c r="AA301" t="s">
        <v>38</v>
      </c>
    </row>
    <row r="302" spans="1:27" hidden="1">
      <c r="A302" t="s">
        <v>1128</v>
      </c>
      <c r="B302" t="s">
        <v>1129</v>
      </c>
      <c r="C302" t="e">
        <f>VLOOKUP(B302,Sheet2!$A$2:$A$392,1,0)</f>
        <v>#N/A</v>
      </c>
      <c r="E302" t="s">
        <v>170</v>
      </c>
      <c r="I302" t="s">
        <v>42</v>
      </c>
      <c r="J302" s="2">
        <v>1250</v>
      </c>
      <c r="K302">
        <v>62.2</v>
      </c>
      <c r="L302" s="2">
        <v>801</v>
      </c>
      <c r="P302" t="s">
        <v>1130</v>
      </c>
      <c r="S302" t="s">
        <v>33</v>
      </c>
      <c r="X302" t="s">
        <v>34</v>
      </c>
      <c r="AA302" t="s">
        <v>38</v>
      </c>
    </row>
    <row r="303" spans="1:27" hidden="1">
      <c r="A303" t="s">
        <v>1131</v>
      </c>
      <c r="B303" t="s">
        <v>1132</v>
      </c>
      <c r="C303" t="e">
        <f>VLOOKUP(B303,Sheet2!$A$2:$A$392,1,0)</f>
        <v>#N/A</v>
      </c>
      <c r="E303" t="s">
        <v>93</v>
      </c>
      <c r="F303" t="s">
        <v>41</v>
      </c>
      <c r="G303" t="s">
        <v>29</v>
      </c>
      <c r="I303" t="s">
        <v>42</v>
      </c>
      <c r="J303" s="2">
        <v>1200</v>
      </c>
      <c r="K303" s="2">
        <v>59</v>
      </c>
      <c r="L303" s="2">
        <v>707</v>
      </c>
      <c r="P303" t="s">
        <v>1133</v>
      </c>
      <c r="R303" t="s">
        <v>42</v>
      </c>
      <c r="S303" t="s">
        <v>33</v>
      </c>
      <c r="T303" t="s">
        <v>34</v>
      </c>
      <c r="U303" t="s">
        <v>35</v>
      </c>
      <c r="X303" t="s">
        <v>34</v>
      </c>
      <c r="Y303" t="s">
        <v>45</v>
      </c>
      <c r="Z303" t="s">
        <v>1134</v>
      </c>
      <c r="AA303" t="s">
        <v>38</v>
      </c>
    </row>
    <row r="304" spans="1:27" hidden="1">
      <c r="A304" t="s">
        <v>1135</v>
      </c>
      <c r="B304" t="s">
        <v>1136</v>
      </c>
      <c r="C304" t="e">
        <f>VLOOKUP(B304,Sheet2!$A$2:$A$392,1,0)</f>
        <v>#N/A</v>
      </c>
      <c r="E304" t="s">
        <v>72</v>
      </c>
      <c r="G304" t="s">
        <v>857</v>
      </c>
      <c r="I304" t="s">
        <v>42</v>
      </c>
      <c r="J304" s="2">
        <v>2700</v>
      </c>
      <c r="K304">
        <v>70.400000000000006</v>
      </c>
      <c r="L304" s="2">
        <v>1155</v>
      </c>
      <c r="P304" s="2">
        <v>0</v>
      </c>
      <c r="S304" t="s">
        <v>33</v>
      </c>
      <c r="X304" t="s">
        <v>34</v>
      </c>
      <c r="AA304" t="s">
        <v>38</v>
      </c>
    </row>
    <row r="305" spans="1:27" hidden="1">
      <c r="A305" t="s">
        <v>1137</v>
      </c>
      <c r="B305" t="s">
        <v>1138</v>
      </c>
      <c r="C305" t="e">
        <f>VLOOKUP(B305,Sheet2!$A$2:$A$392,1,0)</f>
        <v>#N/A</v>
      </c>
      <c r="E305" t="s">
        <v>170</v>
      </c>
      <c r="G305" t="s">
        <v>355</v>
      </c>
      <c r="I305" t="s">
        <v>42</v>
      </c>
      <c r="J305" s="2">
        <v>6688</v>
      </c>
      <c r="K305" s="3">
        <v>104.99</v>
      </c>
      <c r="L305" s="2">
        <v>4432</v>
      </c>
      <c r="P305" t="s">
        <v>1139</v>
      </c>
      <c r="S305" t="s">
        <v>33</v>
      </c>
      <c r="X305" t="s">
        <v>34</v>
      </c>
      <c r="AA305" t="s">
        <v>38</v>
      </c>
    </row>
    <row r="306" spans="1:27" hidden="1">
      <c r="A306" t="s">
        <v>1140</v>
      </c>
      <c r="B306" t="s">
        <v>1141</v>
      </c>
      <c r="C306" t="e">
        <f>VLOOKUP(B306,Sheet2!$A$2:$A$392,1,0)</f>
        <v>#N/A</v>
      </c>
      <c r="E306" t="s">
        <v>72</v>
      </c>
      <c r="G306" t="s">
        <v>857</v>
      </c>
      <c r="I306" t="s">
        <v>42</v>
      </c>
      <c r="J306" s="2">
        <v>5000</v>
      </c>
      <c r="K306" s="2">
        <v>67</v>
      </c>
      <c r="L306" s="2">
        <v>2144</v>
      </c>
      <c r="P306" s="2">
        <v>0</v>
      </c>
      <c r="S306" t="s">
        <v>33</v>
      </c>
      <c r="X306" t="s">
        <v>34</v>
      </c>
      <c r="AA306" t="s">
        <v>38</v>
      </c>
    </row>
    <row r="307" spans="1:27" hidden="1">
      <c r="A307" t="s">
        <v>1142</v>
      </c>
      <c r="B307" t="s">
        <v>1143</v>
      </c>
      <c r="C307" t="e">
        <f>VLOOKUP(B307,Sheet2!$A$2:$A$392,1,0)</f>
        <v>#N/A</v>
      </c>
      <c r="E307" t="s">
        <v>170</v>
      </c>
      <c r="I307" t="s">
        <v>42</v>
      </c>
      <c r="J307" s="2">
        <v>105715</v>
      </c>
      <c r="K307" s="3">
        <v>240.99</v>
      </c>
      <c r="L307" s="2">
        <v>56693</v>
      </c>
      <c r="P307" t="s">
        <v>1144</v>
      </c>
      <c r="S307" t="s">
        <v>33</v>
      </c>
      <c r="X307" t="s">
        <v>34</v>
      </c>
      <c r="AA307" t="s">
        <v>38</v>
      </c>
    </row>
    <row r="308" spans="1:27" hidden="1">
      <c r="A308" t="s">
        <v>1145</v>
      </c>
      <c r="B308" t="s">
        <v>1146</v>
      </c>
      <c r="C308" t="e">
        <f>VLOOKUP(B308,Sheet2!$A$2:$A$392,1,0)</f>
        <v>#N/A</v>
      </c>
      <c r="E308" t="s">
        <v>72</v>
      </c>
      <c r="G308" t="s">
        <v>115</v>
      </c>
      <c r="I308" t="s">
        <v>42</v>
      </c>
      <c r="J308" s="2">
        <v>200</v>
      </c>
      <c r="K308" s="3">
        <v>45.72</v>
      </c>
      <c r="L308" s="2">
        <v>575</v>
      </c>
      <c r="P308" s="2">
        <v>0</v>
      </c>
      <c r="S308" t="s">
        <v>33</v>
      </c>
      <c r="X308" t="s">
        <v>34</v>
      </c>
      <c r="AA308" t="s">
        <v>38</v>
      </c>
    </row>
    <row r="309" spans="1:27" hidden="1">
      <c r="A309" t="s">
        <v>1147</v>
      </c>
      <c r="B309" t="s">
        <v>1148</v>
      </c>
      <c r="C309" t="e">
        <f>VLOOKUP(B309,Sheet2!$A$2:$A$392,1,0)</f>
        <v>#N/A</v>
      </c>
      <c r="E309" t="s">
        <v>72</v>
      </c>
      <c r="G309" t="s">
        <v>115</v>
      </c>
      <c r="I309" t="s">
        <v>42</v>
      </c>
      <c r="J309" s="2">
        <v>3000</v>
      </c>
      <c r="K309" s="3">
        <v>54.86</v>
      </c>
      <c r="L309" s="2">
        <v>821</v>
      </c>
      <c r="P309" t="s">
        <v>74</v>
      </c>
      <c r="S309" t="s">
        <v>33</v>
      </c>
      <c r="X309" t="s">
        <v>34</v>
      </c>
      <c r="AA309" t="s">
        <v>38</v>
      </c>
    </row>
    <row r="310" spans="1:27" hidden="1">
      <c r="A310" t="s">
        <v>1149</v>
      </c>
      <c r="B310" t="s">
        <v>1150</v>
      </c>
      <c r="C310" t="e">
        <f>VLOOKUP(B310,Sheet2!$A$2:$A$392,1,0)</f>
        <v>#N/A</v>
      </c>
      <c r="E310" t="s">
        <v>40</v>
      </c>
      <c r="F310" t="s">
        <v>41</v>
      </c>
      <c r="G310" t="s">
        <v>29</v>
      </c>
      <c r="I310" t="s">
        <v>42</v>
      </c>
      <c r="J310" s="2">
        <v>8000</v>
      </c>
      <c r="K310" s="2">
        <v>91</v>
      </c>
      <c r="L310" s="2">
        <v>3385</v>
      </c>
      <c r="P310" t="s">
        <v>1151</v>
      </c>
      <c r="R310" t="s">
        <v>42</v>
      </c>
      <c r="S310" t="s">
        <v>33</v>
      </c>
      <c r="T310" t="s">
        <v>34</v>
      </c>
      <c r="U310" t="s">
        <v>35</v>
      </c>
      <c r="X310" t="s">
        <v>34</v>
      </c>
      <c r="Y310" t="s">
        <v>45</v>
      </c>
      <c r="Z310" t="s">
        <v>1152</v>
      </c>
      <c r="AA310" t="s">
        <v>38</v>
      </c>
    </row>
    <row r="311" spans="1:27" hidden="1">
      <c r="A311" t="s">
        <v>1153</v>
      </c>
      <c r="B311" t="s">
        <v>1154</v>
      </c>
      <c r="C311" t="e">
        <f>VLOOKUP(B311,Sheet2!$A$2:$A$392,1,0)</f>
        <v>#N/A</v>
      </c>
      <c r="E311" t="s">
        <v>40</v>
      </c>
      <c r="F311" t="s">
        <v>41</v>
      </c>
      <c r="G311" t="s">
        <v>29</v>
      </c>
      <c r="I311" t="s">
        <v>42</v>
      </c>
      <c r="J311" s="2">
        <v>8000</v>
      </c>
      <c r="K311" s="2">
        <v>91</v>
      </c>
      <c r="L311" s="2">
        <v>3471</v>
      </c>
      <c r="P311" t="s">
        <v>185</v>
      </c>
      <c r="R311" t="s">
        <v>42</v>
      </c>
      <c r="S311" t="s">
        <v>33</v>
      </c>
      <c r="T311" t="s">
        <v>34</v>
      </c>
      <c r="U311" t="s">
        <v>35</v>
      </c>
      <c r="X311" t="s">
        <v>34</v>
      </c>
      <c r="Y311" t="s">
        <v>45</v>
      </c>
      <c r="Z311" t="s">
        <v>1155</v>
      </c>
      <c r="AA311" t="s">
        <v>38</v>
      </c>
    </row>
    <row r="312" spans="1:27" hidden="1">
      <c r="A312" t="s">
        <v>1156</v>
      </c>
      <c r="B312" t="s">
        <v>1157</v>
      </c>
      <c r="C312" t="e">
        <f>VLOOKUP(B312,Sheet2!$A$2:$A$392,1,0)</f>
        <v>#N/A</v>
      </c>
      <c r="E312" t="s">
        <v>40</v>
      </c>
      <c r="F312" t="s">
        <v>41</v>
      </c>
      <c r="G312" t="s">
        <v>29</v>
      </c>
      <c r="I312" t="s">
        <v>42</v>
      </c>
      <c r="J312" s="2">
        <v>8000</v>
      </c>
      <c r="K312" s="2">
        <v>91</v>
      </c>
      <c r="L312" s="2">
        <v>3471</v>
      </c>
      <c r="P312" t="s">
        <v>185</v>
      </c>
      <c r="R312" t="s">
        <v>42</v>
      </c>
      <c r="S312" t="s">
        <v>33</v>
      </c>
      <c r="T312" t="s">
        <v>34</v>
      </c>
      <c r="U312" t="s">
        <v>35</v>
      </c>
      <c r="X312" t="s">
        <v>34</v>
      </c>
      <c r="Y312" t="s">
        <v>45</v>
      </c>
      <c r="Z312" t="s">
        <v>1155</v>
      </c>
      <c r="AA312" t="s">
        <v>38</v>
      </c>
    </row>
    <row r="313" spans="1:27">
      <c r="A313" t="s">
        <v>1158</v>
      </c>
      <c r="B313" t="s">
        <v>1159</v>
      </c>
      <c r="C313" t="str">
        <f>VLOOKUP(B313,Sheet2!$A$2:$A$392,1,0)</f>
        <v>KM. EDEN</v>
      </c>
      <c r="E313" t="s">
        <v>27</v>
      </c>
      <c r="F313" t="s">
        <v>41</v>
      </c>
      <c r="G313" t="s">
        <v>29</v>
      </c>
      <c r="I313" t="s">
        <v>42</v>
      </c>
      <c r="J313" s="2">
        <v>5000</v>
      </c>
      <c r="K313" s="2">
        <v>97</v>
      </c>
      <c r="L313" s="2">
        <v>2972</v>
      </c>
      <c r="P313" t="s">
        <v>185</v>
      </c>
      <c r="R313" t="s">
        <v>581</v>
      </c>
      <c r="S313" t="s">
        <v>33</v>
      </c>
      <c r="T313" t="s">
        <v>34</v>
      </c>
      <c r="U313" t="s">
        <v>35</v>
      </c>
      <c r="X313" t="s">
        <v>34</v>
      </c>
      <c r="Y313" t="s">
        <v>45</v>
      </c>
      <c r="Z313" t="s">
        <v>1160</v>
      </c>
      <c r="AA313" t="s">
        <v>38</v>
      </c>
    </row>
    <row r="314" spans="1:27" hidden="1">
      <c r="A314" t="s">
        <v>1161</v>
      </c>
      <c r="B314" t="s">
        <v>1162</v>
      </c>
      <c r="C314" t="e">
        <f>VLOOKUP(B314,Sheet2!$A$2:$A$392,1,0)</f>
        <v>#N/A</v>
      </c>
      <c r="E314" t="s">
        <v>40</v>
      </c>
      <c r="G314" t="s">
        <v>427</v>
      </c>
      <c r="I314" t="s">
        <v>42</v>
      </c>
      <c r="J314" s="2">
        <v>188</v>
      </c>
      <c r="K314" s="2">
        <v>26</v>
      </c>
      <c r="L314" s="2">
        <v>188</v>
      </c>
      <c r="P314" t="s">
        <v>1163</v>
      </c>
      <c r="S314" t="s">
        <v>33</v>
      </c>
      <c r="X314" t="s">
        <v>34</v>
      </c>
      <c r="AA314" t="s">
        <v>38</v>
      </c>
    </row>
    <row r="315" spans="1:27" hidden="1">
      <c r="A315" t="s">
        <v>1164</v>
      </c>
      <c r="B315" t="s">
        <v>1165</v>
      </c>
      <c r="C315" t="e">
        <f>VLOOKUP(B315,Sheet2!$A$2:$A$392,1,0)</f>
        <v>#N/A</v>
      </c>
      <c r="E315" t="s">
        <v>40</v>
      </c>
      <c r="F315" t="s">
        <v>41</v>
      </c>
      <c r="G315" t="s">
        <v>29</v>
      </c>
      <c r="I315" t="s">
        <v>42</v>
      </c>
      <c r="J315" s="2">
        <v>8000</v>
      </c>
      <c r="K315" s="2">
        <v>91</v>
      </c>
      <c r="L315" s="2">
        <v>3357</v>
      </c>
      <c r="P315" t="s">
        <v>1166</v>
      </c>
      <c r="R315" t="s">
        <v>42</v>
      </c>
      <c r="S315" t="s">
        <v>33</v>
      </c>
      <c r="T315" t="s">
        <v>34</v>
      </c>
      <c r="U315" t="s">
        <v>35</v>
      </c>
      <c r="X315" t="s">
        <v>34</v>
      </c>
      <c r="Y315" t="s">
        <v>45</v>
      </c>
      <c r="Z315" t="s">
        <v>1167</v>
      </c>
      <c r="AA315" t="s">
        <v>38</v>
      </c>
    </row>
    <row r="316" spans="1:27" hidden="1">
      <c r="A316" t="s">
        <v>1168</v>
      </c>
      <c r="B316" t="s">
        <v>1169</v>
      </c>
      <c r="C316" t="e">
        <f>VLOOKUP(B316,Sheet2!$A$2:$A$392,1,0)</f>
        <v>#N/A</v>
      </c>
      <c r="E316" t="s">
        <v>40</v>
      </c>
      <c r="F316" t="s">
        <v>41</v>
      </c>
      <c r="G316" t="s">
        <v>29</v>
      </c>
      <c r="I316" t="s">
        <v>42</v>
      </c>
      <c r="J316" s="2">
        <v>8000</v>
      </c>
      <c r="K316" s="2">
        <v>91</v>
      </c>
      <c r="L316" s="2">
        <v>3367</v>
      </c>
      <c r="M316" s="2">
        <v>2000</v>
      </c>
      <c r="P316" t="s">
        <v>1151</v>
      </c>
      <c r="R316" t="s">
        <v>42</v>
      </c>
      <c r="S316" t="s">
        <v>33</v>
      </c>
      <c r="T316" t="s">
        <v>34</v>
      </c>
      <c r="U316" t="s">
        <v>35</v>
      </c>
      <c r="X316" t="s">
        <v>34</v>
      </c>
      <c r="Y316" t="s">
        <v>45</v>
      </c>
      <c r="Z316" t="s">
        <v>1170</v>
      </c>
      <c r="AA316" t="s">
        <v>38</v>
      </c>
    </row>
    <row r="317" spans="1:27" hidden="1">
      <c r="A317" t="s">
        <v>1171</v>
      </c>
      <c r="B317" t="s">
        <v>1172</v>
      </c>
      <c r="C317" t="e">
        <f>VLOOKUP(B317,Sheet2!$A$2:$A$392,1,0)</f>
        <v>#N/A</v>
      </c>
      <c r="E317" t="s">
        <v>40</v>
      </c>
      <c r="F317" t="s">
        <v>41</v>
      </c>
      <c r="G317" t="s">
        <v>29</v>
      </c>
      <c r="I317" t="s">
        <v>42</v>
      </c>
      <c r="J317" s="2">
        <v>8000</v>
      </c>
      <c r="K317" s="2">
        <v>91</v>
      </c>
      <c r="L317" s="2">
        <v>3475</v>
      </c>
      <c r="P317" t="s">
        <v>1173</v>
      </c>
      <c r="R317" t="s">
        <v>42</v>
      </c>
      <c r="S317" t="s">
        <v>33</v>
      </c>
      <c r="T317" t="s">
        <v>34</v>
      </c>
      <c r="U317" t="s">
        <v>35</v>
      </c>
      <c r="X317" t="s">
        <v>34</v>
      </c>
      <c r="Y317" t="s">
        <v>45</v>
      </c>
      <c r="Z317" t="s">
        <v>1174</v>
      </c>
      <c r="AA317" t="s">
        <v>38</v>
      </c>
    </row>
    <row r="318" spans="1:27" hidden="1">
      <c r="A318" t="s">
        <v>1175</v>
      </c>
      <c r="B318" t="s">
        <v>1176</v>
      </c>
      <c r="C318" t="e">
        <f>VLOOKUP(B318,Sheet2!$A$2:$A$392,1,0)</f>
        <v>#N/A</v>
      </c>
      <c r="E318" t="s">
        <v>40</v>
      </c>
      <c r="F318" t="s">
        <v>41</v>
      </c>
      <c r="G318" t="s">
        <v>29</v>
      </c>
      <c r="I318" t="s">
        <v>42</v>
      </c>
      <c r="J318" s="2">
        <v>8000</v>
      </c>
      <c r="K318" s="2">
        <v>91</v>
      </c>
      <c r="L318" s="2">
        <v>3502</v>
      </c>
      <c r="P318" t="s">
        <v>1177</v>
      </c>
      <c r="R318" t="s">
        <v>42</v>
      </c>
      <c r="S318" t="s">
        <v>33</v>
      </c>
      <c r="T318" t="s">
        <v>34</v>
      </c>
      <c r="U318" t="s">
        <v>35</v>
      </c>
      <c r="X318" t="s">
        <v>34</v>
      </c>
      <c r="Y318" t="s">
        <v>45</v>
      </c>
      <c r="Z318" t="s">
        <v>1178</v>
      </c>
      <c r="AA318" t="s">
        <v>38</v>
      </c>
    </row>
    <row r="319" spans="1:27" hidden="1">
      <c r="A319" t="s">
        <v>1179</v>
      </c>
      <c r="B319" t="s">
        <v>1180</v>
      </c>
      <c r="C319" t="e">
        <f>VLOOKUP(B319,Sheet2!$A$2:$A$392,1,0)</f>
        <v>#N/A</v>
      </c>
      <c r="E319" t="s">
        <v>40</v>
      </c>
      <c r="G319" t="s">
        <v>424</v>
      </c>
      <c r="I319" t="s">
        <v>42</v>
      </c>
      <c r="J319" s="2">
        <v>1</v>
      </c>
      <c r="K319">
        <v>28.6</v>
      </c>
      <c r="L319" s="2">
        <v>236</v>
      </c>
      <c r="P319" t="s">
        <v>1181</v>
      </c>
      <c r="S319" t="s">
        <v>33</v>
      </c>
      <c r="X319" t="s">
        <v>34</v>
      </c>
      <c r="AA319" t="s">
        <v>38</v>
      </c>
    </row>
    <row r="320" spans="1:27" hidden="1">
      <c r="A320" t="s">
        <v>1182</v>
      </c>
      <c r="B320" t="s">
        <v>1183</v>
      </c>
      <c r="C320" t="e">
        <f>VLOOKUP(B320,Sheet2!$A$2:$A$392,1,0)</f>
        <v>#N/A</v>
      </c>
      <c r="E320" t="s">
        <v>40</v>
      </c>
      <c r="F320" t="s">
        <v>41</v>
      </c>
      <c r="G320" t="s">
        <v>29</v>
      </c>
      <c r="I320" t="s">
        <v>42</v>
      </c>
      <c r="J320" s="2">
        <v>5500</v>
      </c>
      <c r="K320" s="2">
        <v>79</v>
      </c>
      <c r="L320" s="2">
        <v>2309</v>
      </c>
      <c r="P320" t="s">
        <v>185</v>
      </c>
      <c r="R320" t="s">
        <v>42</v>
      </c>
      <c r="S320" t="s">
        <v>33</v>
      </c>
      <c r="T320" t="s">
        <v>34</v>
      </c>
      <c r="U320" t="s">
        <v>35</v>
      </c>
      <c r="X320" t="s">
        <v>34</v>
      </c>
      <c r="Y320" t="s">
        <v>45</v>
      </c>
      <c r="Z320" t="s">
        <v>1184</v>
      </c>
      <c r="AA320" t="s">
        <v>38</v>
      </c>
    </row>
    <row r="321" spans="1:27" hidden="1">
      <c r="A321" t="s">
        <v>1185</v>
      </c>
      <c r="B321" t="s">
        <v>1186</v>
      </c>
      <c r="C321" t="e">
        <f>VLOOKUP(B321,Sheet2!$A$2:$A$392,1,0)</f>
        <v>#N/A</v>
      </c>
      <c r="E321" t="s">
        <v>27</v>
      </c>
      <c r="F321" t="s">
        <v>41</v>
      </c>
      <c r="G321" t="s">
        <v>1187</v>
      </c>
      <c r="I321" t="s">
        <v>42</v>
      </c>
      <c r="J321" s="2">
        <v>1441</v>
      </c>
      <c r="K321">
        <v>58.7</v>
      </c>
      <c r="L321" s="2">
        <v>1441</v>
      </c>
      <c r="O321" t="s">
        <v>1188</v>
      </c>
      <c r="P321" t="s">
        <v>1189</v>
      </c>
      <c r="R321" t="s">
        <v>42</v>
      </c>
      <c r="S321" t="s">
        <v>33</v>
      </c>
      <c r="T321" t="s">
        <v>106</v>
      </c>
      <c r="U321" t="s">
        <v>35</v>
      </c>
      <c r="X321" t="s">
        <v>34</v>
      </c>
      <c r="Y321" t="s">
        <v>132</v>
      </c>
      <c r="Z321" t="s">
        <v>1190</v>
      </c>
      <c r="AA321" t="s">
        <v>38</v>
      </c>
    </row>
    <row r="322" spans="1:27" hidden="1">
      <c r="A322" t="s">
        <v>1191</v>
      </c>
      <c r="B322" t="s">
        <v>1192</v>
      </c>
      <c r="C322" t="e">
        <f>VLOOKUP(B322,Sheet2!$A$2:$A$392,1,0)</f>
        <v>#N/A</v>
      </c>
      <c r="E322" t="s">
        <v>93</v>
      </c>
      <c r="G322" t="s">
        <v>94</v>
      </c>
      <c r="I322" t="s">
        <v>42</v>
      </c>
      <c r="J322" s="2">
        <v>328</v>
      </c>
      <c r="K322" s="3">
        <v>70.52</v>
      </c>
      <c r="L322" s="2">
        <v>1092</v>
      </c>
      <c r="P322" t="s">
        <v>1193</v>
      </c>
      <c r="S322" t="s">
        <v>33</v>
      </c>
      <c r="X322" t="s">
        <v>34</v>
      </c>
      <c r="AA322" t="s">
        <v>38</v>
      </c>
    </row>
    <row r="323" spans="1:27" hidden="1">
      <c r="A323" t="s">
        <v>1194</v>
      </c>
      <c r="B323" t="s">
        <v>1195</v>
      </c>
      <c r="C323" t="e">
        <f>VLOOKUP(B323,Sheet2!$A$2:$A$392,1,0)</f>
        <v>#N/A</v>
      </c>
      <c r="E323" t="s">
        <v>52</v>
      </c>
      <c r="F323" t="s">
        <v>28</v>
      </c>
      <c r="G323" t="s">
        <v>59</v>
      </c>
      <c r="I323" t="s">
        <v>301</v>
      </c>
      <c r="J323">
        <v>54.768000000000001</v>
      </c>
      <c r="K323" s="3">
        <v>188.99</v>
      </c>
      <c r="L323">
        <v>30.638000000000002</v>
      </c>
      <c r="P323" t="s">
        <v>1196</v>
      </c>
      <c r="R323" t="s">
        <v>301</v>
      </c>
      <c r="S323" t="s">
        <v>33</v>
      </c>
      <c r="T323" t="s">
        <v>34</v>
      </c>
      <c r="U323" t="s">
        <v>35</v>
      </c>
      <c r="W323" t="s">
        <v>63</v>
      </c>
      <c r="X323" t="s">
        <v>34</v>
      </c>
      <c r="Y323" t="s">
        <v>64</v>
      </c>
      <c r="Z323" t="s">
        <v>1197</v>
      </c>
      <c r="AA323" t="s">
        <v>38</v>
      </c>
    </row>
    <row r="324" spans="1:27" hidden="1">
      <c r="A324" t="s">
        <v>1198</v>
      </c>
      <c r="B324" t="s">
        <v>1199</v>
      </c>
      <c r="C324" t="e">
        <f>VLOOKUP(B324,Sheet2!$A$2:$A$392,1,0)</f>
        <v>#N/A</v>
      </c>
      <c r="E324" t="s">
        <v>40</v>
      </c>
      <c r="G324" t="s">
        <v>125</v>
      </c>
      <c r="I324" t="s">
        <v>42</v>
      </c>
      <c r="J324" s="2">
        <v>177</v>
      </c>
      <c r="K324" s="2">
        <v>26</v>
      </c>
      <c r="L324" s="2">
        <v>177</v>
      </c>
      <c r="P324" t="s">
        <v>1200</v>
      </c>
      <c r="S324" t="s">
        <v>33</v>
      </c>
      <c r="X324" t="s">
        <v>34</v>
      </c>
      <c r="AA324" t="s">
        <v>38</v>
      </c>
    </row>
    <row r="325" spans="1:27" hidden="1">
      <c r="A325" t="s">
        <v>1201</v>
      </c>
      <c r="B325" t="s">
        <v>1202</v>
      </c>
      <c r="C325" t="e">
        <f>VLOOKUP(B325,Sheet2!$A$2:$A$392,1,0)</f>
        <v>#N/A</v>
      </c>
      <c r="E325" t="s">
        <v>40</v>
      </c>
      <c r="G325" t="s">
        <v>857</v>
      </c>
      <c r="I325" t="s">
        <v>42</v>
      </c>
      <c r="J325" s="2">
        <v>500</v>
      </c>
      <c r="K325" s="3">
        <v>28.05</v>
      </c>
      <c r="L325" s="2">
        <v>251</v>
      </c>
      <c r="P325" t="s">
        <v>1203</v>
      </c>
      <c r="S325" t="s">
        <v>33</v>
      </c>
      <c r="X325" t="s">
        <v>34</v>
      </c>
      <c r="AA325" t="s">
        <v>38</v>
      </c>
    </row>
    <row r="326" spans="1:27" hidden="1">
      <c r="A326" t="s">
        <v>1204</v>
      </c>
      <c r="B326" t="s">
        <v>1205</v>
      </c>
      <c r="C326" t="e">
        <f>VLOOKUP(B326,Sheet2!$A$2:$A$392,1,0)</f>
        <v>#N/A</v>
      </c>
      <c r="E326" t="s">
        <v>40</v>
      </c>
      <c r="F326" t="s">
        <v>41</v>
      </c>
      <c r="G326" t="s">
        <v>857</v>
      </c>
      <c r="I326" t="s">
        <v>42</v>
      </c>
      <c r="J326" s="2">
        <v>250</v>
      </c>
      <c r="K326">
        <v>26.7</v>
      </c>
      <c r="L326" s="2">
        <v>176</v>
      </c>
      <c r="O326" t="s">
        <v>1206</v>
      </c>
      <c r="P326" t="s">
        <v>1207</v>
      </c>
      <c r="R326" t="s">
        <v>42</v>
      </c>
      <c r="S326" t="s">
        <v>33</v>
      </c>
      <c r="T326" t="s">
        <v>106</v>
      </c>
      <c r="U326" t="s">
        <v>35</v>
      </c>
      <c r="X326" t="s">
        <v>34</v>
      </c>
      <c r="Y326" t="s">
        <v>1208</v>
      </c>
      <c r="Z326" t="s">
        <v>1209</v>
      </c>
      <c r="AA326" t="s">
        <v>38</v>
      </c>
    </row>
    <row r="327" spans="1:27" hidden="1">
      <c r="A327" t="s">
        <v>1210</v>
      </c>
      <c r="B327" t="s">
        <v>1211</v>
      </c>
      <c r="C327" t="e">
        <f>VLOOKUP(B327,Sheet2!$A$2:$A$392,1,0)</f>
        <v>#N/A</v>
      </c>
      <c r="E327" t="s">
        <v>40</v>
      </c>
      <c r="F327" t="s">
        <v>41</v>
      </c>
      <c r="G327" t="s">
        <v>1212</v>
      </c>
      <c r="I327" t="s">
        <v>42</v>
      </c>
      <c r="J327" s="2">
        <v>43</v>
      </c>
      <c r="K327">
        <v>23.8</v>
      </c>
      <c r="L327" s="2">
        <v>141</v>
      </c>
      <c r="P327" t="s">
        <v>1213</v>
      </c>
      <c r="R327" t="s">
        <v>42</v>
      </c>
      <c r="S327" t="s">
        <v>33</v>
      </c>
      <c r="T327" t="s">
        <v>34</v>
      </c>
      <c r="U327" t="s">
        <v>35</v>
      </c>
      <c r="X327" t="s">
        <v>34</v>
      </c>
      <c r="Y327" t="s">
        <v>1208</v>
      </c>
      <c r="Z327" t="s">
        <v>1214</v>
      </c>
      <c r="AA327" t="s">
        <v>38</v>
      </c>
    </row>
    <row r="328" spans="1:27" hidden="1">
      <c r="A328" t="s">
        <v>1215</v>
      </c>
      <c r="B328" t="s">
        <v>1216</v>
      </c>
      <c r="C328" t="e">
        <f>VLOOKUP(B328,Sheet2!$A$2:$A$392,1,0)</f>
        <v>#N/A</v>
      </c>
      <c r="E328" t="s">
        <v>40</v>
      </c>
      <c r="G328" t="s">
        <v>115</v>
      </c>
      <c r="I328" t="s">
        <v>42</v>
      </c>
      <c r="J328" s="2">
        <v>491</v>
      </c>
      <c r="K328" s="3">
        <v>24.09</v>
      </c>
      <c r="L328" s="2">
        <v>136</v>
      </c>
      <c r="P328" t="s">
        <v>1217</v>
      </c>
      <c r="S328" t="s">
        <v>33</v>
      </c>
      <c r="X328" t="s">
        <v>34</v>
      </c>
      <c r="AA328" t="s">
        <v>38</v>
      </c>
    </row>
    <row r="329" spans="1:27" hidden="1">
      <c r="A329" t="s">
        <v>1218</v>
      </c>
      <c r="B329" t="s">
        <v>1219</v>
      </c>
      <c r="C329" t="e">
        <f>VLOOKUP(B329,Sheet2!$A$2:$A$392,1,0)</f>
        <v>#N/A</v>
      </c>
      <c r="E329" t="s">
        <v>40</v>
      </c>
      <c r="G329" t="s">
        <v>427</v>
      </c>
      <c r="I329" t="s">
        <v>42</v>
      </c>
      <c r="J329" s="2">
        <v>54</v>
      </c>
      <c r="K329" s="2">
        <v>36</v>
      </c>
      <c r="L329" s="2">
        <v>177</v>
      </c>
      <c r="P329" t="s">
        <v>1220</v>
      </c>
      <c r="S329" t="s">
        <v>33</v>
      </c>
      <c r="X329" t="s">
        <v>34</v>
      </c>
      <c r="AA329" t="s">
        <v>38</v>
      </c>
    </row>
    <row r="330" spans="1:27" hidden="1">
      <c r="A330" t="s">
        <v>1221</v>
      </c>
      <c r="B330" t="s">
        <v>1222</v>
      </c>
      <c r="C330" t="e">
        <f>VLOOKUP(B330,Sheet2!$A$2:$A$392,1,0)</f>
        <v>#N/A</v>
      </c>
      <c r="E330" t="s">
        <v>40</v>
      </c>
      <c r="G330" t="s">
        <v>115</v>
      </c>
      <c r="I330" t="s">
        <v>42</v>
      </c>
      <c r="J330" s="2">
        <v>200</v>
      </c>
      <c r="K330" s="3">
        <v>21.44</v>
      </c>
      <c r="L330" s="2">
        <v>145</v>
      </c>
      <c r="P330" t="s">
        <v>1223</v>
      </c>
      <c r="S330" t="s">
        <v>33</v>
      </c>
      <c r="X330" t="s">
        <v>34</v>
      </c>
      <c r="AA330" t="s">
        <v>38</v>
      </c>
    </row>
    <row r="331" spans="1:27" hidden="1">
      <c r="A331" t="s">
        <v>1224</v>
      </c>
      <c r="B331" t="s">
        <v>1225</v>
      </c>
      <c r="C331" t="e">
        <f>VLOOKUP(B331,Sheet2!$A$2:$A$392,1,0)</f>
        <v>#N/A</v>
      </c>
      <c r="E331" t="s">
        <v>40</v>
      </c>
      <c r="F331" t="s">
        <v>41</v>
      </c>
      <c r="G331" t="s">
        <v>29</v>
      </c>
      <c r="I331" t="s">
        <v>42</v>
      </c>
      <c r="J331" s="2">
        <v>8000</v>
      </c>
      <c r="K331" s="2">
        <v>91</v>
      </c>
      <c r="L331" s="2">
        <v>3350</v>
      </c>
      <c r="P331" t="s">
        <v>1226</v>
      </c>
      <c r="R331" t="s">
        <v>42</v>
      </c>
      <c r="S331" t="s">
        <v>33</v>
      </c>
      <c r="T331" t="s">
        <v>34</v>
      </c>
      <c r="U331" t="s">
        <v>35</v>
      </c>
      <c r="X331" t="s">
        <v>34</v>
      </c>
      <c r="Y331" t="s">
        <v>45</v>
      </c>
      <c r="Z331" t="s">
        <v>1227</v>
      </c>
      <c r="AA331" t="s">
        <v>38</v>
      </c>
    </row>
    <row r="332" spans="1:27" hidden="1">
      <c r="A332" t="s">
        <v>1228</v>
      </c>
      <c r="B332" t="s">
        <v>1229</v>
      </c>
      <c r="C332" t="e">
        <f>VLOOKUP(B332,Sheet2!$A$2:$A$392,1,0)</f>
        <v>#N/A</v>
      </c>
      <c r="E332" t="s">
        <v>40</v>
      </c>
      <c r="F332" t="s">
        <v>41</v>
      </c>
      <c r="G332" t="s">
        <v>29</v>
      </c>
      <c r="I332" t="s">
        <v>42</v>
      </c>
      <c r="J332" s="2">
        <v>5500</v>
      </c>
      <c r="K332" s="2">
        <v>76</v>
      </c>
      <c r="L332" s="2">
        <v>2346</v>
      </c>
      <c r="P332" t="s">
        <v>1230</v>
      </c>
      <c r="R332" t="s">
        <v>42</v>
      </c>
      <c r="S332" t="s">
        <v>33</v>
      </c>
      <c r="T332" t="s">
        <v>34</v>
      </c>
      <c r="U332" t="s">
        <v>35</v>
      </c>
      <c r="X332" t="s">
        <v>34</v>
      </c>
      <c r="Y332" t="s">
        <v>45</v>
      </c>
      <c r="Z332" t="s">
        <v>1231</v>
      </c>
      <c r="AA332" t="s">
        <v>38</v>
      </c>
    </row>
    <row r="333" spans="1:27" hidden="1">
      <c r="A333" t="s">
        <v>1232</v>
      </c>
      <c r="B333" t="s">
        <v>1233</v>
      </c>
      <c r="C333" t="e">
        <f>VLOOKUP(B333,Sheet2!$A$2:$A$392,1,0)</f>
        <v>#N/A</v>
      </c>
      <c r="E333" t="s">
        <v>40</v>
      </c>
      <c r="G333" t="s">
        <v>857</v>
      </c>
      <c r="I333" t="s">
        <v>42</v>
      </c>
      <c r="J333" s="2">
        <v>200</v>
      </c>
      <c r="K333">
        <v>21.5</v>
      </c>
      <c r="L333" s="2">
        <v>159</v>
      </c>
      <c r="P333" t="s">
        <v>1234</v>
      </c>
      <c r="S333" t="s">
        <v>33</v>
      </c>
      <c r="X333" t="s">
        <v>34</v>
      </c>
      <c r="AA333" t="s">
        <v>38</v>
      </c>
    </row>
    <row r="334" spans="1:27" hidden="1">
      <c r="A334" t="s">
        <v>1235</v>
      </c>
      <c r="B334" t="s">
        <v>1236</v>
      </c>
      <c r="C334" t="e">
        <f>VLOOKUP(B334,Sheet2!$A$2:$A$392,1,0)</f>
        <v>#N/A</v>
      </c>
      <c r="E334" t="s">
        <v>72</v>
      </c>
      <c r="G334" t="s">
        <v>427</v>
      </c>
      <c r="I334" t="s">
        <v>42</v>
      </c>
      <c r="J334" s="2">
        <v>939</v>
      </c>
      <c r="K334" s="3">
        <v>91.44</v>
      </c>
      <c r="L334" s="2">
        <v>3129</v>
      </c>
      <c r="P334" t="s">
        <v>1237</v>
      </c>
      <c r="S334" t="s">
        <v>33</v>
      </c>
      <c r="X334" t="s">
        <v>34</v>
      </c>
      <c r="AA334" t="s">
        <v>38</v>
      </c>
    </row>
    <row r="335" spans="1:27">
      <c r="A335" t="s">
        <v>1238</v>
      </c>
      <c r="B335" t="s">
        <v>1239</v>
      </c>
      <c r="C335" t="str">
        <f>VLOOKUP(B335,Sheet2!$A$2:$A$392,1,0)</f>
        <v>KM. FU NO.2</v>
      </c>
      <c r="E335" t="s">
        <v>27</v>
      </c>
      <c r="F335" t="s">
        <v>41</v>
      </c>
      <c r="G335" t="s">
        <v>29</v>
      </c>
      <c r="I335" t="s">
        <v>42</v>
      </c>
      <c r="J335" s="2">
        <v>3800</v>
      </c>
      <c r="K335" s="3">
        <v>87.82</v>
      </c>
      <c r="L335" s="2">
        <v>1827</v>
      </c>
      <c r="M335" s="2">
        <v>1000</v>
      </c>
      <c r="N335">
        <v>6.4</v>
      </c>
      <c r="O335" t="s">
        <v>254</v>
      </c>
      <c r="P335" t="s">
        <v>1240</v>
      </c>
      <c r="R335" t="s">
        <v>42</v>
      </c>
      <c r="S335" t="s">
        <v>33</v>
      </c>
      <c r="U335" t="s">
        <v>44</v>
      </c>
      <c r="V335" s="2">
        <v>1</v>
      </c>
      <c r="X335" t="s">
        <v>34</v>
      </c>
      <c r="Y335" t="s">
        <v>1241</v>
      </c>
      <c r="Z335" t="s">
        <v>1242</v>
      </c>
      <c r="AA335" t="s">
        <v>38</v>
      </c>
    </row>
    <row r="336" spans="1:27" hidden="1">
      <c r="A336" t="s">
        <v>1243</v>
      </c>
      <c r="B336" t="s">
        <v>1244</v>
      </c>
      <c r="C336" t="e">
        <f>VLOOKUP(B336,Sheet2!$A$2:$A$392,1,0)</f>
        <v>#N/A</v>
      </c>
      <c r="E336" t="s">
        <v>72</v>
      </c>
      <c r="G336" t="s">
        <v>427</v>
      </c>
      <c r="I336" t="s">
        <v>42</v>
      </c>
      <c r="J336" s="2">
        <v>5338</v>
      </c>
      <c r="K336">
        <v>106.8</v>
      </c>
      <c r="L336" s="2">
        <v>5338</v>
      </c>
      <c r="P336" t="s">
        <v>74</v>
      </c>
      <c r="S336" t="s">
        <v>33</v>
      </c>
      <c r="X336" t="s">
        <v>34</v>
      </c>
      <c r="AA336" t="s">
        <v>38</v>
      </c>
    </row>
    <row r="337" spans="1:27" hidden="1">
      <c r="A337" t="s">
        <v>1245</v>
      </c>
      <c r="B337" t="s">
        <v>1246</v>
      </c>
      <c r="C337" t="e">
        <f>VLOOKUP(B337,Sheet2!$A$2:$A$392,1,0)</f>
        <v>#N/A</v>
      </c>
      <c r="E337" t="s">
        <v>72</v>
      </c>
      <c r="G337" t="s">
        <v>427</v>
      </c>
      <c r="I337" t="s">
        <v>42</v>
      </c>
      <c r="J337" s="2">
        <v>3141</v>
      </c>
      <c r="K337" s="2">
        <v>87</v>
      </c>
      <c r="L337" s="2">
        <v>3141</v>
      </c>
      <c r="P337" s="2">
        <v>0</v>
      </c>
      <c r="S337" t="s">
        <v>33</v>
      </c>
      <c r="X337" t="s">
        <v>34</v>
      </c>
      <c r="AA337" t="s">
        <v>38</v>
      </c>
    </row>
    <row r="338" spans="1:27" hidden="1">
      <c r="A338" t="s">
        <v>1247</v>
      </c>
      <c r="B338" t="s">
        <v>1248</v>
      </c>
      <c r="C338" t="e">
        <f>VLOOKUP(B338,Sheet2!$A$2:$A$392,1,0)</f>
        <v>#N/A</v>
      </c>
      <c r="E338" t="s">
        <v>72</v>
      </c>
      <c r="F338" t="s">
        <v>41</v>
      </c>
      <c r="G338" t="s">
        <v>355</v>
      </c>
      <c r="I338" t="s">
        <v>42</v>
      </c>
      <c r="J338" s="2">
        <v>3500</v>
      </c>
      <c r="K338" s="2">
        <v>72</v>
      </c>
      <c r="L338" s="2">
        <v>1818</v>
      </c>
      <c r="O338" t="s">
        <v>1249</v>
      </c>
      <c r="P338" t="s">
        <v>74</v>
      </c>
      <c r="R338" t="s">
        <v>42</v>
      </c>
      <c r="S338" t="s">
        <v>33</v>
      </c>
      <c r="T338" t="s">
        <v>106</v>
      </c>
      <c r="U338" t="s">
        <v>35</v>
      </c>
      <c r="X338" t="s">
        <v>34</v>
      </c>
      <c r="Y338" t="s">
        <v>1015</v>
      </c>
      <c r="Z338" t="s">
        <v>1250</v>
      </c>
      <c r="AA338" t="s">
        <v>38</v>
      </c>
    </row>
    <row r="339" spans="1:27" hidden="1">
      <c r="A339" t="s">
        <v>1251</v>
      </c>
      <c r="B339" t="s">
        <v>1252</v>
      </c>
      <c r="C339" t="e">
        <f>VLOOKUP(B339,Sheet2!$A$2:$A$392,1,0)</f>
        <v>#N/A</v>
      </c>
      <c r="E339" t="s">
        <v>40</v>
      </c>
      <c r="G339" t="s">
        <v>129</v>
      </c>
      <c r="I339" t="s">
        <v>42</v>
      </c>
      <c r="J339" s="2">
        <v>133</v>
      </c>
      <c r="K339">
        <v>23.5</v>
      </c>
      <c r="L339" s="2">
        <v>133</v>
      </c>
      <c r="P339" t="s">
        <v>1253</v>
      </c>
      <c r="S339" t="s">
        <v>33</v>
      </c>
      <c r="X339" t="s">
        <v>34</v>
      </c>
      <c r="AA339" t="s">
        <v>38</v>
      </c>
    </row>
    <row r="340" spans="1:27" hidden="1">
      <c r="A340" t="s">
        <v>1254</v>
      </c>
      <c r="B340" t="s">
        <v>1255</v>
      </c>
      <c r="C340" t="e">
        <f>VLOOKUP(B340,Sheet2!$A$2:$A$392,1,0)</f>
        <v>#N/A</v>
      </c>
      <c r="E340" t="s">
        <v>40</v>
      </c>
      <c r="G340" t="s">
        <v>355</v>
      </c>
      <c r="I340" t="s">
        <v>42</v>
      </c>
      <c r="J340" s="2">
        <v>350</v>
      </c>
      <c r="K340" s="3">
        <v>24.75</v>
      </c>
      <c r="L340" s="2">
        <v>160</v>
      </c>
      <c r="P340" t="s">
        <v>1256</v>
      </c>
      <c r="S340" t="s">
        <v>33</v>
      </c>
      <c r="X340" t="s">
        <v>34</v>
      </c>
      <c r="AA340" t="s">
        <v>38</v>
      </c>
    </row>
    <row r="341" spans="1:27" hidden="1">
      <c r="A341" t="s">
        <v>1257</v>
      </c>
      <c r="B341" t="s">
        <v>1258</v>
      </c>
      <c r="C341" t="e">
        <f>VLOOKUP(B341,Sheet2!$A$2:$A$392,1,0)</f>
        <v>#N/A</v>
      </c>
      <c r="E341" t="s">
        <v>72</v>
      </c>
      <c r="G341" t="s">
        <v>427</v>
      </c>
      <c r="I341" t="s">
        <v>42</v>
      </c>
      <c r="J341" s="2">
        <v>3114</v>
      </c>
      <c r="K341" s="3">
        <v>91.44</v>
      </c>
      <c r="L341" s="2">
        <v>3114</v>
      </c>
      <c r="P341" t="s">
        <v>74</v>
      </c>
      <c r="S341" t="s">
        <v>33</v>
      </c>
      <c r="X341" t="s">
        <v>34</v>
      </c>
      <c r="AA341" t="s">
        <v>38</v>
      </c>
    </row>
    <row r="342" spans="1:27" hidden="1">
      <c r="A342" t="s">
        <v>1259</v>
      </c>
      <c r="B342" t="s">
        <v>1260</v>
      </c>
      <c r="C342" t="e">
        <f>VLOOKUP(B342,Sheet2!$A$2:$A$392,1,0)</f>
        <v>#N/A</v>
      </c>
      <c r="E342" t="s">
        <v>40</v>
      </c>
      <c r="G342" t="s">
        <v>1261</v>
      </c>
      <c r="I342" t="s">
        <v>42</v>
      </c>
      <c r="J342" s="2">
        <v>158</v>
      </c>
      <c r="K342" s="3">
        <v>24.95</v>
      </c>
      <c r="L342" s="2">
        <v>158</v>
      </c>
      <c r="P342" t="s">
        <v>1262</v>
      </c>
      <c r="S342" t="s">
        <v>33</v>
      </c>
      <c r="X342" t="s">
        <v>34</v>
      </c>
      <c r="AA342" t="s">
        <v>38</v>
      </c>
    </row>
    <row r="343" spans="1:27" hidden="1">
      <c r="A343" t="s">
        <v>1263</v>
      </c>
      <c r="B343" t="s">
        <v>1264</v>
      </c>
      <c r="C343" t="e">
        <f>VLOOKUP(B343,Sheet2!$A$2:$A$392,1,0)</f>
        <v>#N/A</v>
      </c>
      <c r="E343" t="s">
        <v>170</v>
      </c>
      <c r="I343" t="s">
        <v>42</v>
      </c>
      <c r="J343" s="2">
        <v>30770</v>
      </c>
      <c r="K343" s="2">
        <v>180</v>
      </c>
      <c r="L343" s="2">
        <v>22481</v>
      </c>
      <c r="P343" t="s">
        <v>1265</v>
      </c>
      <c r="S343" t="s">
        <v>33</v>
      </c>
      <c r="X343" t="s">
        <v>34</v>
      </c>
      <c r="AA343" t="s">
        <v>38</v>
      </c>
    </row>
    <row r="344" spans="1:27" hidden="1">
      <c r="A344" t="s">
        <v>1266</v>
      </c>
      <c r="B344" t="s">
        <v>1267</v>
      </c>
      <c r="C344" t="e">
        <f>VLOOKUP(B344,Sheet2!$A$2:$A$392,1,0)</f>
        <v>#N/A</v>
      </c>
      <c r="E344" t="s">
        <v>40</v>
      </c>
      <c r="F344" t="s">
        <v>41</v>
      </c>
      <c r="G344" t="s">
        <v>29</v>
      </c>
      <c r="I344" t="s">
        <v>42</v>
      </c>
      <c r="J344" s="2">
        <v>8000</v>
      </c>
      <c r="K344" s="2">
        <v>87</v>
      </c>
      <c r="L344" s="2">
        <v>3221</v>
      </c>
      <c r="P344" t="s">
        <v>185</v>
      </c>
      <c r="R344" t="s">
        <v>42</v>
      </c>
      <c r="S344" t="s">
        <v>33</v>
      </c>
      <c r="T344" t="s">
        <v>34</v>
      </c>
      <c r="U344" t="s">
        <v>35</v>
      </c>
      <c r="X344" t="s">
        <v>34</v>
      </c>
      <c r="Y344" t="s">
        <v>45</v>
      </c>
      <c r="Z344" t="s">
        <v>1268</v>
      </c>
      <c r="AA344" t="s">
        <v>38</v>
      </c>
    </row>
    <row r="345" spans="1:27">
      <c r="A345" t="s">
        <v>1269</v>
      </c>
      <c r="B345" t="s">
        <v>1270</v>
      </c>
      <c r="C345" t="str">
        <f>VLOOKUP(B345,Sheet2!$A$2:$A$392,1,0)</f>
        <v>FORTUNE ISLAND</v>
      </c>
      <c r="E345" t="s">
        <v>52</v>
      </c>
      <c r="F345" t="s">
        <v>28</v>
      </c>
      <c r="G345" t="s">
        <v>29</v>
      </c>
      <c r="I345" t="s">
        <v>42</v>
      </c>
      <c r="J345" s="2">
        <v>7150</v>
      </c>
      <c r="K345">
        <v>96.7</v>
      </c>
      <c r="L345" s="2">
        <v>4736</v>
      </c>
      <c r="P345" t="s">
        <v>1271</v>
      </c>
      <c r="R345" t="s">
        <v>32</v>
      </c>
      <c r="S345" t="s">
        <v>33</v>
      </c>
      <c r="T345" t="s">
        <v>34</v>
      </c>
      <c r="U345" t="s">
        <v>35</v>
      </c>
      <c r="X345" t="s">
        <v>34</v>
      </c>
      <c r="Y345" t="s">
        <v>45</v>
      </c>
      <c r="Z345" t="s">
        <v>1272</v>
      </c>
      <c r="AA345" t="s">
        <v>38</v>
      </c>
    </row>
    <row r="346" spans="1:27" hidden="1">
      <c r="A346" t="s">
        <v>1273</v>
      </c>
      <c r="B346" t="s">
        <v>1274</v>
      </c>
      <c r="C346" t="e">
        <f>VLOOKUP(B346,Sheet2!$A$2:$A$392,1,0)</f>
        <v>#N/A</v>
      </c>
      <c r="E346" t="s">
        <v>27</v>
      </c>
      <c r="F346" t="s">
        <v>41</v>
      </c>
      <c r="G346" t="s">
        <v>29</v>
      </c>
      <c r="I346" t="s">
        <v>42</v>
      </c>
      <c r="J346" s="2">
        <v>2100</v>
      </c>
      <c r="K346" s="2">
        <v>74</v>
      </c>
      <c r="L346" s="2">
        <v>1211</v>
      </c>
      <c r="P346" t="s">
        <v>1275</v>
      </c>
      <c r="R346" t="s">
        <v>32</v>
      </c>
      <c r="S346" t="s">
        <v>33</v>
      </c>
      <c r="T346" t="s">
        <v>34</v>
      </c>
      <c r="U346" t="s">
        <v>35</v>
      </c>
      <c r="W346" t="s">
        <v>165</v>
      </c>
      <c r="X346" t="s">
        <v>34</v>
      </c>
      <c r="Y346" t="s">
        <v>166</v>
      </c>
      <c r="Z346" t="s">
        <v>1276</v>
      </c>
      <c r="AA346" t="s">
        <v>38</v>
      </c>
    </row>
    <row r="347" spans="1:27" hidden="1">
      <c r="A347" t="s">
        <v>1277</v>
      </c>
      <c r="B347" t="s">
        <v>1278</v>
      </c>
      <c r="C347" t="e">
        <f>VLOOKUP(B347,Sheet2!$A$2:$A$392,1,0)</f>
        <v>#N/A</v>
      </c>
      <c r="E347" t="s">
        <v>52</v>
      </c>
      <c r="F347" t="s">
        <v>28</v>
      </c>
      <c r="G347" t="s">
        <v>151</v>
      </c>
      <c r="J347" s="2">
        <v>46903</v>
      </c>
      <c r="K347" s="3">
        <v>185.74</v>
      </c>
      <c r="L347" s="2">
        <v>26063</v>
      </c>
      <c r="M347" s="2">
        <v>10150</v>
      </c>
      <c r="N347" s="2">
        <v>12</v>
      </c>
      <c r="O347" t="s">
        <v>152</v>
      </c>
      <c r="P347" t="s">
        <v>1279</v>
      </c>
      <c r="R347" t="s">
        <v>60</v>
      </c>
      <c r="S347" t="s">
        <v>33</v>
      </c>
      <c r="U347" t="s">
        <v>35</v>
      </c>
      <c r="V347" s="2">
        <v>5</v>
      </c>
      <c r="X347" t="s">
        <v>34</v>
      </c>
      <c r="Y347" t="s">
        <v>154</v>
      </c>
      <c r="Z347" t="s">
        <v>1280</v>
      </c>
      <c r="AA347" t="s">
        <v>38</v>
      </c>
    </row>
    <row r="348" spans="1:27" hidden="1">
      <c r="A348" t="s">
        <v>1281</v>
      </c>
      <c r="B348" t="s">
        <v>1282</v>
      </c>
      <c r="C348" t="e">
        <f>VLOOKUP(B348,Sheet2!$A$2:$A$392,1,0)</f>
        <v>#N/A</v>
      </c>
      <c r="E348" t="s">
        <v>249</v>
      </c>
      <c r="G348" t="s">
        <v>336</v>
      </c>
      <c r="I348" t="s">
        <v>42</v>
      </c>
      <c r="J348" s="2">
        <v>4674</v>
      </c>
      <c r="K348">
        <v>95.9</v>
      </c>
      <c r="L348" s="2">
        <v>2979</v>
      </c>
      <c r="P348" t="s">
        <v>1283</v>
      </c>
      <c r="S348" t="s">
        <v>33</v>
      </c>
      <c r="X348" t="s">
        <v>34</v>
      </c>
      <c r="AA348" t="s">
        <v>38</v>
      </c>
    </row>
    <row r="349" spans="1:27">
      <c r="A349" t="s">
        <v>1284</v>
      </c>
      <c r="B349" t="s">
        <v>1285</v>
      </c>
      <c r="C349" t="str">
        <f>VLOOKUP(B349,Sheet2!$A$2:$A$392,1,0)</f>
        <v>TB. FRANSISCUS 02 / BG. MJL 3015</v>
      </c>
      <c r="E349" t="s">
        <v>40</v>
      </c>
      <c r="F349" t="s">
        <v>41</v>
      </c>
      <c r="G349" t="s">
        <v>29</v>
      </c>
      <c r="I349" t="s">
        <v>42</v>
      </c>
      <c r="J349" s="2">
        <v>8000</v>
      </c>
      <c r="K349" s="2">
        <v>91</v>
      </c>
      <c r="L349" s="2">
        <v>3258</v>
      </c>
      <c r="P349" t="s">
        <v>1286</v>
      </c>
      <c r="R349" t="s">
        <v>42</v>
      </c>
      <c r="S349" t="s">
        <v>33</v>
      </c>
      <c r="T349" t="s">
        <v>34</v>
      </c>
      <c r="U349" t="s">
        <v>44</v>
      </c>
      <c r="X349" t="s">
        <v>34</v>
      </c>
      <c r="Y349" t="s">
        <v>45</v>
      </c>
      <c r="Z349" t="s">
        <v>1287</v>
      </c>
      <c r="AA349" t="s">
        <v>38</v>
      </c>
    </row>
    <row r="350" spans="1:27" hidden="1">
      <c r="A350" t="s">
        <v>1288</v>
      </c>
      <c r="B350" t="s">
        <v>1289</v>
      </c>
      <c r="C350" t="e">
        <f>VLOOKUP(B350,Sheet2!$A$2:$A$392,1,0)</f>
        <v>#N/A</v>
      </c>
      <c r="E350" t="s">
        <v>40</v>
      </c>
      <c r="F350" t="s">
        <v>41</v>
      </c>
      <c r="G350" t="s">
        <v>59</v>
      </c>
      <c r="I350" t="s">
        <v>42</v>
      </c>
      <c r="J350" s="2">
        <v>7810</v>
      </c>
      <c r="K350" s="3">
        <v>87.78</v>
      </c>
      <c r="L350" s="2">
        <v>3107</v>
      </c>
      <c r="O350" t="s">
        <v>61</v>
      </c>
      <c r="P350" t="s">
        <v>432</v>
      </c>
      <c r="R350" t="s">
        <v>42</v>
      </c>
      <c r="S350" t="s">
        <v>33</v>
      </c>
      <c r="T350" t="s">
        <v>34</v>
      </c>
      <c r="U350" t="s">
        <v>44</v>
      </c>
      <c r="W350" t="s">
        <v>63</v>
      </c>
      <c r="X350" t="s">
        <v>34</v>
      </c>
      <c r="Y350" t="s">
        <v>64</v>
      </c>
      <c r="Z350" t="s">
        <v>1290</v>
      </c>
      <c r="AA350" t="s">
        <v>38</v>
      </c>
    </row>
    <row r="351" spans="1:27" hidden="1">
      <c r="A351" t="s">
        <v>1291</v>
      </c>
      <c r="B351" t="s">
        <v>1292</v>
      </c>
      <c r="C351" t="e">
        <f>VLOOKUP(B351,Sheet2!$A$2:$A$392,1,0)</f>
        <v>#N/A</v>
      </c>
      <c r="E351" t="s">
        <v>52</v>
      </c>
      <c r="F351" t="s">
        <v>28</v>
      </c>
      <c r="G351" t="s">
        <v>59</v>
      </c>
      <c r="I351" t="s">
        <v>30</v>
      </c>
      <c r="J351" s="2">
        <v>56756</v>
      </c>
      <c r="K351" s="3">
        <v>189.99</v>
      </c>
      <c r="L351">
        <v>33.042000000000002</v>
      </c>
      <c r="P351" t="s">
        <v>1293</v>
      </c>
      <c r="R351" t="s">
        <v>30</v>
      </c>
      <c r="S351" t="s">
        <v>33</v>
      </c>
      <c r="T351" t="s">
        <v>34</v>
      </c>
      <c r="U351" t="s">
        <v>35</v>
      </c>
      <c r="W351" t="s">
        <v>63</v>
      </c>
      <c r="X351" t="s">
        <v>34</v>
      </c>
      <c r="Y351" t="s">
        <v>64</v>
      </c>
      <c r="Z351" t="s">
        <v>1294</v>
      </c>
      <c r="AA351" t="s">
        <v>38</v>
      </c>
    </row>
    <row r="352" spans="1:27">
      <c r="A352" t="s">
        <v>1295</v>
      </c>
      <c r="B352" t="s">
        <v>1296</v>
      </c>
      <c r="C352" t="str">
        <f>VLOOKUP(B352,Sheet2!$A$2:$A$392,1,0)</f>
        <v>TB. SETIA ABADI / BG. FERY 9</v>
      </c>
      <c r="E352" t="s">
        <v>40</v>
      </c>
      <c r="F352" t="s">
        <v>41</v>
      </c>
      <c r="G352" t="s">
        <v>29</v>
      </c>
      <c r="I352" t="s">
        <v>42</v>
      </c>
      <c r="J352" s="2">
        <v>5800</v>
      </c>
      <c r="K352">
        <v>82.3</v>
      </c>
      <c r="L352" s="2">
        <v>2296</v>
      </c>
      <c r="P352" t="s">
        <v>1297</v>
      </c>
      <c r="R352" t="s">
        <v>581</v>
      </c>
      <c r="S352" t="s">
        <v>33</v>
      </c>
      <c r="T352" t="s">
        <v>34</v>
      </c>
      <c r="U352" t="s">
        <v>44</v>
      </c>
      <c r="X352" t="s">
        <v>34</v>
      </c>
      <c r="Y352" t="s">
        <v>45</v>
      </c>
      <c r="Z352" t="s">
        <v>1298</v>
      </c>
      <c r="AA352" t="s">
        <v>38</v>
      </c>
    </row>
    <row r="353" spans="1:27" hidden="1">
      <c r="A353" t="s">
        <v>1299</v>
      </c>
      <c r="B353" t="s">
        <v>1300</v>
      </c>
      <c r="C353" t="e">
        <f>VLOOKUP(B353,Sheet2!$A$2:$A$392,1,0)</f>
        <v>#N/A</v>
      </c>
      <c r="E353" t="s">
        <v>40</v>
      </c>
      <c r="F353" t="s">
        <v>41</v>
      </c>
      <c r="G353" t="s">
        <v>1301</v>
      </c>
      <c r="I353" t="s">
        <v>42</v>
      </c>
      <c r="J353" s="2">
        <v>886</v>
      </c>
      <c r="K353" s="3">
        <v>27.38</v>
      </c>
      <c r="L353" s="2">
        <v>186</v>
      </c>
      <c r="P353" t="s">
        <v>1302</v>
      </c>
      <c r="S353" t="s">
        <v>33</v>
      </c>
      <c r="T353" t="s">
        <v>34</v>
      </c>
      <c r="X353" t="s">
        <v>34</v>
      </c>
      <c r="Y353" t="s">
        <v>117</v>
      </c>
      <c r="Z353" t="s">
        <v>1303</v>
      </c>
      <c r="AA353" t="s">
        <v>38</v>
      </c>
    </row>
    <row r="354" spans="1:27" hidden="1">
      <c r="A354" t="s">
        <v>1304</v>
      </c>
      <c r="B354" t="s">
        <v>1305</v>
      </c>
      <c r="C354" t="e">
        <f>VLOOKUP(B354,Sheet2!$A$2:$A$392,1,0)</f>
        <v>#N/A</v>
      </c>
      <c r="E354" t="s">
        <v>27</v>
      </c>
      <c r="F354" t="s">
        <v>41</v>
      </c>
      <c r="G354" t="s">
        <v>29</v>
      </c>
      <c r="I354" t="s">
        <v>42</v>
      </c>
      <c r="J354" s="2">
        <v>1200</v>
      </c>
      <c r="K354">
        <v>61.2</v>
      </c>
      <c r="L354" s="2">
        <v>1000</v>
      </c>
      <c r="M354" s="2">
        <v>15000</v>
      </c>
      <c r="N354" s="2">
        <v>5</v>
      </c>
      <c r="O354" t="s">
        <v>254</v>
      </c>
      <c r="P354" t="s">
        <v>1304</v>
      </c>
      <c r="R354" t="s">
        <v>42</v>
      </c>
      <c r="S354" t="s">
        <v>33</v>
      </c>
      <c r="T354" t="s">
        <v>34</v>
      </c>
      <c r="U354" t="s">
        <v>44</v>
      </c>
      <c r="X354" t="s">
        <v>34</v>
      </c>
      <c r="Y354" t="s">
        <v>142</v>
      </c>
      <c r="Z354" t="s">
        <v>1306</v>
      </c>
      <c r="AA354" t="s">
        <v>38</v>
      </c>
    </row>
    <row r="355" spans="1:27" hidden="1">
      <c r="A355" t="s">
        <v>1307</v>
      </c>
      <c r="B355" t="s">
        <v>1308</v>
      </c>
      <c r="C355" t="e">
        <f>VLOOKUP(B355,Sheet2!$A$2:$A$392,1,0)</f>
        <v>#N/A</v>
      </c>
      <c r="E355" t="s">
        <v>27</v>
      </c>
      <c r="F355" t="s">
        <v>41</v>
      </c>
      <c r="G355" t="s">
        <v>340</v>
      </c>
      <c r="I355" t="s">
        <v>42</v>
      </c>
      <c r="J355" s="2">
        <v>2800</v>
      </c>
      <c r="K355" s="3">
        <v>78.77</v>
      </c>
      <c r="L355" s="2">
        <v>1634</v>
      </c>
      <c r="M355" s="2">
        <v>1000</v>
      </c>
      <c r="N355" s="3">
        <v>5.26</v>
      </c>
      <c r="O355" t="s">
        <v>341</v>
      </c>
      <c r="P355" t="s">
        <v>1309</v>
      </c>
      <c r="R355" t="s">
        <v>42</v>
      </c>
      <c r="S355" t="s">
        <v>33</v>
      </c>
      <c r="T355" t="s">
        <v>34</v>
      </c>
      <c r="U355" t="s">
        <v>44</v>
      </c>
      <c r="X355" t="s">
        <v>34</v>
      </c>
      <c r="Y355" t="s">
        <v>154</v>
      </c>
      <c r="Z355" t="s">
        <v>1310</v>
      </c>
      <c r="AA355" t="s">
        <v>38</v>
      </c>
    </row>
    <row r="356" spans="1:27" hidden="1">
      <c r="A356" t="s">
        <v>1311</v>
      </c>
      <c r="B356" t="s">
        <v>1312</v>
      </c>
      <c r="C356" t="e">
        <f>VLOOKUP(B356,Sheet2!$A$2:$A$392,1,0)</f>
        <v>#N/A</v>
      </c>
      <c r="E356" t="s">
        <v>93</v>
      </c>
      <c r="G356" t="s">
        <v>1313</v>
      </c>
      <c r="I356" t="s">
        <v>42</v>
      </c>
      <c r="J356" s="2">
        <v>1050</v>
      </c>
      <c r="K356" s="2">
        <v>63</v>
      </c>
      <c r="L356" s="2">
        <v>775</v>
      </c>
      <c r="P356" t="s">
        <v>1314</v>
      </c>
      <c r="S356" t="s">
        <v>33</v>
      </c>
      <c r="X356" t="s">
        <v>34</v>
      </c>
      <c r="AA356" t="s">
        <v>38</v>
      </c>
    </row>
    <row r="357" spans="1:27" hidden="1">
      <c r="A357" t="s">
        <v>1315</v>
      </c>
      <c r="B357" t="s">
        <v>1316</v>
      </c>
      <c r="C357" t="e">
        <f>VLOOKUP(B357,Sheet2!$A$2:$A$392,1,0)</f>
        <v>#N/A</v>
      </c>
      <c r="E357" t="s">
        <v>93</v>
      </c>
      <c r="G357" t="s">
        <v>1301</v>
      </c>
      <c r="I357" t="s">
        <v>42</v>
      </c>
      <c r="J357" s="2">
        <v>1440</v>
      </c>
      <c r="K357" s="3">
        <v>70.709999999999994</v>
      </c>
      <c r="L357" s="2">
        <v>855</v>
      </c>
      <c r="P357" t="s">
        <v>1317</v>
      </c>
      <c r="S357" t="s">
        <v>33</v>
      </c>
      <c r="X357" t="s">
        <v>34</v>
      </c>
      <c r="AA357" t="s">
        <v>38</v>
      </c>
    </row>
    <row r="358" spans="1:27" hidden="1">
      <c r="A358" t="s">
        <v>1318</v>
      </c>
      <c r="B358" t="s">
        <v>1319</v>
      </c>
      <c r="C358" t="e">
        <f>VLOOKUP(B358,Sheet2!$A$2:$A$392,1,0)</f>
        <v>#N/A</v>
      </c>
      <c r="E358" t="s">
        <v>170</v>
      </c>
      <c r="I358" t="s">
        <v>42</v>
      </c>
      <c r="J358" s="2">
        <v>16887</v>
      </c>
      <c r="K358" s="2">
        <v>133</v>
      </c>
      <c r="L358" s="2">
        <v>9149</v>
      </c>
      <c r="P358" t="s">
        <v>1320</v>
      </c>
      <c r="S358" t="s">
        <v>33</v>
      </c>
      <c r="X358" t="s">
        <v>34</v>
      </c>
      <c r="AA358" t="s">
        <v>38</v>
      </c>
    </row>
    <row r="359" spans="1:27" hidden="1">
      <c r="A359" t="s">
        <v>1321</v>
      </c>
      <c r="B359" t="s">
        <v>1322</v>
      </c>
      <c r="C359" t="e">
        <f>VLOOKUP(B359,Sheet2!$A$2:$A$392,1,0)</f>
        <v>#N/A</v>
      </c>
      <c r="E359" t="s">
        <v>72</v>
      </c>
      <c r="G359" t="s">
        <v>555</v>
      </c>
      <c r="I359" t="s">
        <v>42</v>
      </c>
      <c r="J359" s="2">
        <v>6500</v>
      </c>
      <c r="K359">
        <v>76.2</v>
      </c>
      <c r="L359" s="2">
        <v>1980</v>
      </c>
      <c r="P359" s="2">
        <v>0</v>
      </c>
      <c r="S359" t="s">
        <v>33</v>
      </c>
      <c r="X359" t="s">
        <v>34</v>
      </c>
      <c r="AA359" t="s">
        <v>38</v>
      </c>
    </row>
    <row r="360" spans="1:27" hidden="1">
      <c r="A360" t="s">
        <v>1323</v>
      </c>
      <c r="B360" t="s">
        <v>1324</v>
      </c>
      <c r="C360" t="e">
        <f>VLOOKUP(B360,Sheet2!$A$2:$A$392,1,0)</f>
        <v>#N/A</v>
      </c>
      <c r="E360" t="s">
        <v>40</v>
      </c>
      <c r="F360" t="s">
        <v>41</v>
      </c>
      <c r="G360" t="s">
        <v>29</v>
      </c>
      <c r="J360" s="2">
        <v>8000</v>
      </c>
      <c r="K360" s="2">
        <v>87</v>
      </c>
      <c r="L360" s="2">
        <v>3317</v>
      </c>
      <c r="M360" s="2">
        <v>1032</v>
      </c>
      <c r="P360" t="s">
        <v>1325</v>
      </c>
      <c r="R360" t="s">
        <v>581</v>
      </c>
      <c r="S360" t="s">
        <v>33</v>
      </c>
      <c r="U360" t="s">
        <v>35</v>
      </c>
      <c r="X360" t="s">
        <v>34</v>
      </c>
      <c r="Y360" t="s">
        <v>45</v>
      </c>
      <c r="Z360" t="s">
        <v>1326</v>
      </c>
      <c r="AA360" t="s">
        <v>38</v>
      </c>
    </row>
    <row r="361" spans="1:27" hidden="1">
      <c r="A361" t="s">
        <v>1327</v>
      </c>
      <c r="B361" t="s">
        <v>1328</v>
      </c>
      <c r="C361" t="e">
        <f>VLOOKUP(B361,Sheet2!$A$2:$A$392,1,0)</f>
        <v>#N/A</v>
      </c>
      <c r="E361" t="s">
        <v>40</v>
      </c>
      <c r="F361" t="s">
        <v>41</v>
      </c>
      <c r="G361" t="s">
        <v>29</v>
      </c>
      <c r="I361" t="s">
        <v>42</v>
      </c>
      <c r="J361" s="2">
        <v>8000</v>
      </c>
      <c r="K361" s="2">
        <v>91</v>
      </c>
      <c r="L361" s="2">
        <v>3387</v>
      </c>
      <c r="P361" t="s">
        <v>1329</v>
      </c>
      <c r="R361" t="s">
        <v>42</v>
      </c>
      <c r="S361" t="s">
        <v>33</v>
      </c>
      <c r="T361" t="s">
        <v>34</v>
      </c>
      <c r="U361" t="s">
        <v>35</v>
      </c>
      <c r="X361" t="s">
        <v>34</v>
      </c>
      <c r="Y361" t="s">
        <v>45</v>
      </c>
      <c r="Z361" t="s">
        <v>1330</v>
      </c>
      <c r="AA361" t="s">
        <v>38</v>
      </c>
    </row>
    <row r="362" spans="1:27">
      <c r="A362" t="s">
        <v>1331</v>
      </c>
      <c r="B362" t="s">
        <v>1332</v>
      </c>
      <c r="C362" t="str">
        <f>VLOOKUP(B362,Sheet2!$A$2:$A$392,1,0)</f>
        <v>TB. TRANS POWER 165 / BG. GOLD TRANS 323</v>
      </c>
      <c r="E362" t="s">
        <v>40</v>
      </c>
      <c r="F362" t="s">
        <v>41</v>
      </c>
      <c r="G362" t="s">
        <v>29</v>
      </c>
      <c r="J362" s="2">
        <v>9000</v>
      </c>
      <c r="K362" s="2">
        <v>91</v>
      </c>
      <c r="L362" s="2">
        <v>3436</v>
      </c>
      <c r="P362" t="s">
        <v>1333</v>
      </c>
      <c r="R362" t="s">
        <v>694</v>
      </c>
      <c r="S362" t="s">
        <v>33</v>
      </c>
      <c r="U362" t="s">
        <v>44</v>
      </c>
      <c r="X362" t="s">
        <v>34</v>
      </c>
      <c r="Y362" t="s">
        <v>45</v>
      </c>
      <c r="Z362" t="s">
        <v>1334</v>
      </c>
      <c r="AA362" t="s">
        <v>38</v>
      </c>
    </row>
    <row r="363" spans="1:27" hidden="1">
      <c r="A363" t="s">
        <v>1335</v>
      </c>
      <c r="B363" t="s">
        <v>1336</v>
      </c>
      <c r="C363" t="e">
        <f>VLOOKUP(B363,Sheet2!$A$2:$A$392,1,0)</f>
        <v>#N/A</v>
      </c>
      <c r="E363" t="s">
        <v>1337</v>
      </c>
      <c r="I363" t="s">
        <v>42</v>
      </c>
      <c r="J363" s="2">
        <v>2398</v>
      </c>
      <c r="K363" s="2">
        <v>99</v>
      </c>
      <c r="L363" s="2">
        <v>3966</v>
      </c>
      <c r="P363" t="s">
        <v>1338</v>
      </c>
      <c r="S363" t="s">
        <v>33</v>
      </c>
      <c r="X363" t="s">
        <v>34</v>
      </c>
      <c r="AA363" t="s">
        <v>38</v>
      </c>
    </row>
    <row r="364" spans="1:27" hidden="1">
      <c r="A364" t="s">
        <v>1339</v>
      </c>
      <c r="B364" t="s">
        <v>1340</v>
      </c>
      <c r="C364" t="e">
        <f>VLOOKUP(B364,Sheet2!$A$2:$A$392,1,0)</f>
        <v>#N/A</v>
      </c>
      <c r="E364" t="s">
        <v>170</v>
      </c>
      <c r="I364" t="s">
        <v>42</v>
      </c>
      <c r="J364" s="2">
        <v>88322</v>
      </c>
      <c r="K364">
        <v>244.5</v>
      </c>
      <c r="L364" s="2">
        <v>63005</v>
      </c>
      <c r="P364" t="s">
        <v>1341</v>
      </c>
      <c r="S364" t="s">
        <v>33</v>
      </c>
      <c r="X364" t="s">
        <v>34</v>
      </c>
      <c r="AA364" t="s">
        <v>38</v>
      </c>
    </row>
    <row r="365" spans="1:27" hidden="1">
      <c r="A365" t="s">
        <v>1342</v>
      </c>
      <c r="B365" t="s">
        <v>1343</v>
      </c>
      <c r="C365" t="e">
        <f>VLOOKUP(B365,Sheet2!$A$2:$A$392,1,0)</f>
        <v>#N/A</v>
      </c>
      <c r="E365" t="s">
        <v>27</v>
      </c>
      <c r="I365" t="s">
        <v>42</v>
      </c>
      <c r="J365" s="2">
        <v>32203</v>
      </c>
      <c r="K365" s="2">
        <v>180</v>
      </c>
      <c r="L365" s="2">
        <v>23328</v>
      </c>
      <c r="P365" t="s">
        <v>1344</v>
      </c>
      <c r="S365" t="s">
        <v>33</v>
      </c>
      <c r="X365" t="s">
        <v>34</v>
      </c>
      <c r="AA365" t="s">
        <v>38</v>
      </c>
    </row>
    <row r="366" spans="1:27" hidden="1">
      <c r="A366" t="s">
        <v>1345</v>
      </c>
      <c r="B366" t="s">
        <v>1346</v>
      </c>
      <c r="C366" t="e">
        <f>VLOOKUP(B366,Sheet2!$A$2:$A$392,1,0)</f>
        <v>#N/A</v>
      </c>
      <c r="E366" t="s">
        <v>170</v>
      </c>
      <c r="I366" t="s">
        <v>42</v>
      </c>
      <c r="J366" s="2">
        <v>40648</v>
      </c>
      <c r="K366">
        <v>228.6</v>
      </c>
      <c r="L366" s="2">
        <v>57174</v>
      </c>
      <c r="P366" t="s">
        <v>1347</v>
      </c>
      <c r="S366" t="s">
        <v>33</v>
      </c>
      <c r="X366" t="s">
        <v>34</v>
      </c>
      <c r="AA366" t="s">
        <v>38</v>
      </c>
    </row>
    <row r="367" spans="1:27" hidden="1">
      <c r="A367" t="s">
        <v>1348</v>
      </c>
      <c r="B367" t="s">
        <v>1349</v>
      </c>
      <c r="C367" t="e">
        <f>VLOOKUP(B367,Sheet2!$A$2:$A$392,1,0)</f>
        <v>#N/A</v>
      </c>
      <c r="E367" t="s">
        <v>170</v>
      </c>
      <c r="I367" t="s">
        <v>42</v>
      </c>
      <c r="J367" s="2">
        <v>44995</v>
      </c>
      <c r="K367" s="3">
        <v>175.32</v>
      </c>
      <c r="L367" s="2">
        <v>28828</v>
      </c>
      <c r="P367" t="s">
        <v>1350</v>
      </c>
      <c r="S367" t="s">
        <v>33</v>
      </c>
      <c r="X367" t="s">
        <v>34</v>
      </c>
      <c r="AA367" t="s">
        <v>38</v>
      </c>
    </row>
    <row r="368" spans="1:27" hidden="1">
      <c r="A368" t="s">
        <v>1351</v>
      </c>
      <c r="B368" t="s">
        <v>1352</v>
      </c>
      <c r="C368" t="e">
        <f>VLOOKUP(B368,Sheet2!$A$2:$A$392,1,0)</f>
        <v>#N/A</v>
      </c>
      <c r="E368" t="s">
        <v>170</v>
      </c>
      <c r="I368" t="s">
        <v>42</v>
      </c>
      <c r="J368" s="2">
        <v>1329</v>
      </c>
      <c r="K368" s="3">
        <v>64.989999999999995</v>
      </c>
      <c r="L368" s="2">
        <v>729</v>
      </c>
      <c r="P368" t="s">
        <v>1353</v>
      </c>
      <c r="S368" t="s">
        <v>33</v>
      </c>
      <c r="X368" t="s">
        <v>34</v>
      </c>
      <c r="AA368" t="s">
        <v>38</v>
      </c>
    </row>
    <row r="369" spans="1:27" hidden="1">
      <c r="A369" t="s">
        <v>1354</v>
      </c>
      <c r="B369" t="s">
        <v>1355</v>
      </c>
      <c r="C369" t="e">
        <f>VLOOKUP(B369,Sheet2!$A$2:$A$392,1,0)</f>
        <v>#N/A</v>
      </c>
      <c r="E369" t="s">
        <v>196</v>
      </c>
      <c r="F369" t="s">
        <v>41</v>
      </c>
      <c r="G369" t="s">
        <v>907</v>
      </c>
      <c r="I369" t="s">
        <v>42</v>
      </c>
      <c r="J369" s="2">
        <v>1891</v>
      </c>
      <c r="K369" s="2">
        <v>114</v>
      </c>
      <c r="L369" s="2">
        <v>4667</v>
      </c>
      <c r="N369" s="2">
        <v>6</v>
      </c>
      <c r="O369" t="s">
        <v>1356</v>
      </c>
      <c r="P369" t="s">
        <v>1357</v>
      </c>
      <c r="R369" t="s">
        <v>32</v>
      </c>
      <c r="S369" t="s">
        <v>33</v>
      </c>
      <c r="T369" t="s">
        <v>34</v>
      </c>
      <c r="U369" t="s">
        <v>35</v>
      </c>
      <c r="V369" s="2">
        <v>6</v>
      </c>
      <c r="X369" t="s">
        <v>34</v>
      </c>
      <c r="Y369" t="s">
        <v>154</v>
      </c>
      <c r="Z369" t="s">
        <v>1358</v>
      </c>
      <c r="AA369" t="s">
        <v>38</v>
      </c>
    </row>
    <row r="370" spans="1:27" hidden="1">
      <c r="A370" t="s">
        <v>1359</v>
      </c>
      <c r="B370" t="s">
        <v>1360</v>
      </c>
      <c r="C370" t="e">
        <f>VLOOKUP(B370,Sheet2!$A$2:$A$392,1,0)</f>
        <v>#N/A</v>
      </c>
      <c r="E370" t="s">
        <v>27</v>
      </c>
      <c r="F370" t="s">
        <v>41</v>
      </c>
      <c r="G370" t="s">
        <v>29</v>
      </c>
      <c r="I370" t="s">
        <v>42</v>
      </c>
      <c r="J370" s="2">
        <v>1200</v>
      </c>
      <c r="K370" s="2">
        <v>58</v>
      </c>
      <c r="L370" s="2">
        <v>1148</v>
      </c>
      <c r="M370" s="2">
        <v>10000</v>
      </c>
      <c r="N370" s="2">
        <v>5</v>
      </c>
      <c r="O370" t="s">
        <v>254</v>
      </c>
      <c r="P370" t="s">
        <v>1359</v>
      </c>
      <c r="R370" t="s">
        <v>42</v>
      </c>
      <c r="S370" t="s">
        <v>33</v>
      </c>
      <c r="T370" t="s">
        <v>34</v>
      </c>
      <c r="U370" t="s">
        <v>44</v>
      </c>
      <c r="X370" t="s">
        <v>34</v>
      </c>
      <c r="Y370" t="s">
        <v>142</v>
      </c>
      <c r="Z370" t="s">
        <v>1361</v>
      </c>
      <c r="AA370" t="s">
        <v>38</v>
      </c>
    </row>
    <row r="371" spans="1:27">
      <c r="A371" t="s">
        <v>1362</v>
      </c>
      <c r="B371" t="s">
        <v>1363</v>
      </c>
      <c r="C371" t="str">
        <f>VLOOKUP(B371,Sheet2!$A$2:$A$392,1,0)</f>
        <v>KM. GULF DAOUD</v>
      </c>
      <c r="E371" t="s">
        <v>27</v>
      </c>
      <c r="F371" t="s">
        <v>41</v>
      </c>
      <c r="G371" t="s">
        <v>29</v>
      </c>
      <c r="I371" t="s">
        <v>42</v>
      </c>
      <c r="J371" s="2">
        <v>2500</v>
      </c>
      <c r="K371" s="2">
        <v>73</v>
      </c>
      <c r="L371" s="2">
        <v>1697</v>
      </c>
      <c r="P371" t="s">
        <v>1364</v>
      </c>
      <c r="R371" t="s">
        <v>32</v>
      </c>
      <c r="S371" t="s">
        <v>33</v>
      </c>
      <c r="T371" t="s">
        <v>34</v>
      </c>
      <c r="U371" t="s">
        <v>35</v>
      </c>
      <c r="X371" t="s">
        <v>34</v>
      </c>
      <c r="Y371" t="s">
        <v>45</v>
      </c>
      <c r="Z371" t="s">
        <v>1365</v>
      </c>
      <c r="AA371" t="s">
        <v>38</v>
      </c>
    </row>
    <row r="372" spans="1:27" hidden="1">
      <c r="A372" t="s">
        <v>1366</v>
      </c>
      <c r="B372" t="s">
        <v>1367</v>
      </c>
      <c r="C372" t="e">
        <f>VLOOKUP(B372,Sheet2!$A$2:$A$392,1,0)</f>
        <v>#N/A</v>
      </c>
      <c r="E372" t="s">
        <v>27</v>
      </c>
      <c r="F372" t="s">
        <v>41</v>
      </c>
      <c r="G372" t="s">
        <v>158</v>
      </c>
      <c r="J372" s="2">
        <v>5192</v>
      </c>
      <c r="K372" s="2">
        <v>98</v>
      </c>
      <c r="L372" s="2">
        <v>3062</v>
      </c>
      <c r="O372" t="s">
        <v>159</v>
      </c>
      <c r="P372" t="s">
        <v>1368</v>
      </c>
      <c r="R372" t="s">
        <v>32</v>
      </c>
      <c r="S372" t="s">
        <v>33</v>
      </c>
      <c r="U372" t="s">
        <v>35</v>
      </c>
      <c r="W372" t="s">
        <v>63</v>
      </c>
      <c r="X372" t="s">
        <v>34</v>
      </c>
      <c r="Y372" t="s">
        <v>64</v>
      </c>
      <c r="Z372" t="s">
        <v>1369</v>
      </c>
      <c r="AA372" t="s">
        <v>38</v>
      </c>
    </row>
    <row r="373" spans="1:27" hidden="1">
      <c r="A373" t="s">
        <v>1370</v>
      </c>
      <c r="B373" t="s">
        <v>1371</v>
      </c>
      <c r="C373" t="e">
        <f>VLOOKUP(B373,Sheet2!$A$2:$A$392,1,0)</f>
        <v>#N/A</v>
      </c>
      <c r="E373" t="s">
        <v>27</v>
      </c>
      <c r="I373" t="s">
        <v>42</v>
      </c>
      <c r="J373" s="2">
        <v>128775</v>
      </c>
      <c r="K373">
        <v>243.8</v>
      </c>
      <c r="L373" s="2">
        <v>60380</v>
      </c>
      <c r="P373" t="s">
        <v>1372</v>
      </c>
      <c r="S373" t="s">
        <v>33</v>
      </c>
      <c r="X373" t="s">
        <v>34</v>
      </c>
      <c r="AA373" t="s">
        <v>38</v>
      </c>
    </row>
    <row r="374" spans="1:27" hidden="1">
      <c r="A374" t="s">
        <v>1373</v>
      </c>
      <c r="B374" t="s">
        <v>1374</v>
      </c>
      <c r="C374" t="e">
        <f>VLOOKUP(B374,Sheet2!$A$2:$A$392,1,0)</f>
        <v>#N/A</v>
      </c>
      <c r="E374" t="s">
        <v>170</v>
      </c>
      <c r="I374" t="s">
        <v>42</v>
      </c>
      <c r="J374" s="2">
        <v>18119</v>
      </c>
      <c r="K374" s="3">
        <v>146.09</v>
      </c>
      <c r="L374" s="2">
        <v>11793</v>
      </c>
      <c r="P374" t="s">
        <v>1375</v>
      </c>
      <c r="S374" t="s">
        <v>33</v>
      </c>
      <c r="X374" t="s">
        <v>34</v>
      </c>
      <c r="AA374" t="s">
        <v>38</v>
      </c>
    </row>
    <row r="375" spans="1:27" hidden="1">
      <c r="A375" t="s">
        <v>1376</v>
      </c>
      <c r="B375" t="s">
        <v>1377</v>
      </c>
      <c r="C375" t="e">
        <f>VLOOKUP(B375,Sheet2!$A$2:$A$392,1,0)</f>
        <v>#N/A</v>
      </c>
      <c r="E375" t="s">
        <v>249</v>
      </c>
      <c r="G375" t="s">
        <v>250</v>
      </c>
      <c r="I375" t="s">
        <v>42</v>
      </c>
      <c r="J375" s="2">
        <v>5824</v>
      </c>
      <c r="K375">
        <v>107.8</v>
      </c>
      <c r="L375" s="2">
        <v>4990</v>
      </c>
      <c r="P375" t="s">
        <v>1378</v>
      </c>
      <c r="S375" t="s">
        <v>33</v>
      </c>
      <c r="X375" t="s">
        <v>34</v>
      </c>
      <c r="AA375" t="s">
        <v>38</v>
      </c>
    </row>
    <row r="376" spans="1:27" hidden="1">
      <c r="A376" t="s">
        <v>1379</v>
      </c>
      <c r="B376" t="s">
        <v>1380</v>
      </c>
      <c r="C376" t="e">
        <f>VLOOKUP(B376,Sheet2!$A$2:$A$392,1,0)</f>
        <v>#N/A</v>
      </c>
      <c r="E376" t="s">
        <v>1337</v>
      </c>
      <c r="I376" t="s">
        <v>42</v>
      </c>
      <c r="J376" s="2">
        <v>3213</v>
      </c>
      <c r="K376" s="2">
        <v>96</v>
      </c>
      <c r="L376" s="2">
        <v>3352</v>
      </c>
      <c r="P376" t="s">
        <v>1381</v>
      </c>
      <c r="S376" t="s">
        <v>33</v>
      </c>
      <c r="X376" t="s">
        <v>34</v>
      </c>
      <c r="AA376" t="s">
        <v>38</v>
      </c>
    </row>
    <row r="377" spans="1:27" hidden="1">
      <c r="A377" t="s">
        <v>1382</v>
      </c>
      <c r="B377" t="s">
        <v>1383</v>
      </c>
      <c r="C377" t="e">
        <f>VLOOKUP(B377,Sheet2!$A$2:$A$392,1,0)</f>
        <v>#N/A</v>
      </c>
      <c r="E377" t="s">
        <v>40</v>
      </c>
      <c r="F377" t="s">
        <v>41</v>
      </c>
      <c r="G377" t="s">
        <v>59</v>
      </c>
      <c r="I377" t="s">
        <v>42</v>
      </c>
      <c r="J377" s="2">
        <v>8210</v>
      </c>
      <c r="K377" s="3">
        <v>87.78</v>
      </c>
      <c r="L377" s="2">
        <v>3117</v>
      </c>
      <c r="P377" t="s">
        <v>1384</v>
      </c>
      <c r="R377" t="s">
        <v>42</v>
      </c>
      <c r="S377" t="s">
        <v>33</v>
      </c>
      <c r="T377" t="s">
        <v>34</v>
      </c>
      <c r="U377" t="s">
        <v>44</v>
      </c>
      <c r="W377" t="s">
        <v>63</v>
      </c>
      <c r="X377" t="s">
        <v>34</v>
      </c>
      <c r="Y377" t="s">
        <v>64</v>
      </c>
      <c r="Z377" t="s">
        <v>1385</v>
      </c>
      <c r="AA377" t="s">
        <v>38</v>
      </c>
    </row>
    <row r="378" spans="1:27" hidden="1">
      <c r="A378" t="s">
        <v>1386</v>
      </c>
      <c r="B378" t="s">
        <v>1387</v>
      </c>
      <c r="C378" t="e">
        <f>VLOOKUP(B378,Sheet2!$A$2:$A$392,1,0)</f>
        <v>#N/A</v>
      </c>
      <c r="E378" t="s">
        <v>40</v>
      </c>
      <c r="F378" t="s">
        <v>41</v>
      </c>
      <c r="G378" t="s">
        <v>59</v>
      </c>
      <c r="I378" t="s">
        <v>42</v>
      </c>
      <c r="J378" s="2">
        <v>7900</v>
      </c>
      <c r="K378" s="3">
        <v>87.84</v>
      </c>
      <c r="L378" s="2">
        <v>3357</v>
      </c>
      <c r="O378" t="s">
        <v>61</v>
      </c>
      <c r="P378" t="s">
        <v>1388</v>
      </c>
      <c r="R378" t="s">
        <v>42</v>
      </c>
      <c r="S378" t="s">
        <v>33</v>
      </c>
      <c r="T378" t="s">
        <v>34</v>
      </c>
      <c r="U378" t="s">
        <v>44</v>
      </c>
      <c r="W378" t="s">
        <v>63</v>
      </c>
      <c r="X378" t="s">
        <v>34</v>
      </c>
      <c r="Y378" t="s">
        <v>64</v>
      </c>
      <c r="Z378" t="s">
        <v>1389</v>
      </c>
      <c r="AA378" t="s">
        <v>38</v>
      </c>
    </row>
    <row r="379" spans="1:27" hidden="1">
      <c r="A379" t="s">
        <v>1390</v>
      </c>
      <c r="B379" t="s">
        <v>1391</v>
      </c>
      <c r="C379" t="e">
        <f>VLOOKUP(B379,Sheet2!$A$2:$A$392,1,0)</f>
        <v>#N/A</v>
      </c>
      <c r="E379" t="s">
        <v>40</v>
      </c>
      <c r="F379" t="s">
        <v>41</v>
      </c>
      <c r="G379" t="s">
        <v>59</v>
      </c>
      <c r="J379" s="2">
        <v>7900</v>
      </c>
      <c r="K379" s="3">
        <v>87.78</v>
      </c>
      <c r="L379" s="2">
        <v>3117</v>
      </c>
      <c r="O379" t="s">
        <v>482</v>
      </c>
      <c r="P379" t="s">
        <v>1392</v>
      </c>
      <c r="Q379" t="s">
        <v>34</v>
      </c>
      <c r="R379" t="s">
        <v>42</v>
      </c>
      <c r="S379" t="s">
        <v>33</v>
      </c>
      <c r="U379" t="s">
        <v>44</v>
      </c>
      <c r="W379" t="s">
        <v>63</v>
      </c>
      <c r="X379" t="s">
        <v>34</v>
      </c>
      <c r="Y379" t="s">
        <v>64</v>
      </c>
      <c r="Z379" t="s">
        <v>1393</v>
      </c>
      <c r="AA379" t="s">
        <v>38</v>
      </c>
    </row>
    <row r="380" spans="1:27" hidden="1">
      <c r="A380" t="s">
        <v>1394</v>
      </c>
      <c r="B380" t="s">
        <v>1395</v>
      </c>
      <c r="C380" t="e">
        <f>VLOOKUP(B380,Sheet2!$A$2:$A$392,1,0)</f>
        <v>#N/A</v>
      </c>
      <c r="E380" t="s">
        <v>40</v>
      </c>
      <c r="F380" t="s">
        <v>41</v>
      </c>
      <c r="G380" t="s">
        <v>29</v>
      </c>
      <c r="J380" s="2">
        <v>7792</v>
      </c>
      <c r="K380" s="3">
        <v>87.78</v>
      </c>
      <c r="L380" s="2">
        <v>3238</v>
      </c>
      <c r="O380" t="s">
        <v>482</v>
      </c>
      <c r="P380" t="s">
        <v>1396</v>
      </c>
      <c r="R380" t="s">
        <v>42</v>
      </c>
      <c r="S380" t="s">
        <v>33</v>
      </c>
      <c r="U380" t="s">
        <v>44</v>
      </c>
      <c r="X380" t="s">
        <v>34</v>
      </c>
      <c r="Y380" t="s">
        <v>45</v>
      </c>
      <c r="Z380" t="s">
        <v>1397</v>
      </c>
      <c r="AA380" t="s">
        <v>38</v>
      </c>
    </row>
    <row r="381" spans="1:27">
      <c r="A381" t="s">
        <v>1398</v>
      </c>
      <c r="B381" t="s">
        <v>1399</v>
      </c>
      <c r="C381" t="str">
        <f>VLOOKUP(B381,Sheet2!$A$2:$A$392,1,0)</f>
        <v>KM. GALATIA 05</v>
      </c>
      <c r="E381" t="s">
        <v>27</v>
      </c>
      <c r="F381" t="s">
        <v>41</v>
      </c>
      <c r="G381" t="s">
        <v>59</v>
      </c>
      <c r="J381" s="2">
        <v>2854</v>
      </c>
      <c r="K381">
        <v>95.3</v>
      </c>
      <c r="L381" s="2">
        <v>2854</v>
      </c>
      <c r="O381" t="s">
        <v>61</v>
      </c>
      <c r="P381" s="2">
        <v>1234</v>
      </c>
      <c r="Q381" t="s">
        <v>34</v>
      </c>
      <c r="R381" t="s">
        <v>42</v>
      </c>
      <c r="S381" t="s">
        <v>33</v>
      </c>
      <c r="U381" t="s">
        <v>35</v>
      </c>
      <c r="W381" t="s">
        <v>63</v>
      </c>
      <c r="X381" t="s">
        <v>34</v>
      </c>
      <c r="Y381" t="s">
        <v>64</v>
      </c>
      <c r="Z381" t="s">
        <v>1400</v>
      </c>
      <c r="AA381" t="s">
        <v>38</v>
      </c>
    </row>
    <row r="382" spans="1:27" hidden="1">
      <c r="A382" t="s">
        <v>1401</v>
      </c>
      <c r="B382" t="s">
        <v>1402</v>
      </c>
      <c r="C382" t="e">
        <f>VLOOKUP(B382,Sheet2!$A$2:$A$392,1,0)</f>
        <v>#N/A</v>
      </c>
      <c r="E382" t="s">
        <v>40</v>
      </c>
      <c r="G382" t="s">
        <v>73</v>
      </c>
      <c r="I382" t="s">
        <v>42</v>
      </c>
      <c r="J382" s="2">
        <v>180</v>
      </c>
      <c r="K382">
        <v>25.5</v>
      </c>
      <c r="L382" s="2">
        <v>180</v>
      </c>
      <c r="P382" t="s">
        <v>1403</v>
      </c>
      <c r="S382" t="s">
        <v>33</v>
      </c>
      <c r="X382" t="s">
        <v>34</v>
      </c>
      <c r="AA382" t="s">
        <v>38</v>
      </c>
    </row>
    <row r="383" spans="1:27" hidden="1">
      <c r="A383" t="s">
        <v>1404</v>
      </c>
      <c r="B383" t="s">
        <v>1405</v>
      </c>
      <c r="C383" t="e">
        <f>VLOOKUP(B383,Sheet2!$A$2:$A$392,1,0)</f>
        <v>#N/A</v>
      </c>
      <c r="E383" t="s">
        <v>40</v>
      </c>
      <c r="G383" t="s">
        <v>355</v>
      </c>
      <c r="I383" t="s">
        <v>42</v>
      </c>
      <c r="J383" s="2">
        <v>120</v>
      </c>
      <c r="K383" s="2">
        <v>26</v>
      </c>
      <c r="L383" s="2">
        <v>74</v>
      </c>
      <c r="P383" t="s">
        <v>1406</v>
      </c>
      <c r="S383" t="s">
        <v>33</v>
      </c>
      <c r="X383" t="s">
        <v>34</v>
      </c>
      <c r="AA383" t="s">
        <v>38</v>
      </c>
    </row>
    <row r="384" spans="1:27" hidden="1">
      <c r="A384" t="s">
        <v>1407</v>
      </c>
      <c r="B384" t="s">
        <v>1408</v>
      </c>
      <c r="C384" t="e">
        <f>VLOOKUP(B384,Sheet2!$A$2:$A$392,1,0)</f>
        <v>#N/A</v>
      </c>
      <c r="E384" t="s">
        <v>27</v>
      </c>
      <c r="I384" t="s">
        <v>42</v>
      </c>
      <c r="J384" s="2">
        <v>6715</v>
      </c>
      <c r="K384" s="2">
        <v>105</v>
      </c>
      <c r="L384" s="2">
        <v>4731</v>
      </c>
      <c r="P384" t="s">
        <v>1409</v>
      </c>
      <c r="S384" t="s">
        <v>33</v>
      </c>
      <c r="X384" t="s">
        <v>34</v>
      </c>
      <c r="AA384" t="s">
        <v>38</v>
      </c>
    </row>
    <row r="385" spans="1:27" hidden="1">
      <c r="A385" t="s">
        <v>1410</v>
      </c>
      <c r="B385" t="s">
        <v>1411</v>
      </c>
      <c r="C385" t="e">
        <f>VLOOKUP(B385,Sheet2!$A$2:$A$392,1,0)</f>
        <v>#N/A</v>
      </c>
      <c r="E385" t="s">
        <v>121</v>
      </c>
      <c r="G385" t="s">
        <v>125</v>
      </c>
      <c r="I385" t="s">
        <v>42</v>
      </c>
      <c r="J385" s="2">
        <v>445</v>
      </c>
      <c r="K385">
        <v>55.4</v>
      </c>
      <c r="L385" s="2">
        <v>445</v>
      </c>
      <c r="P385" t="s">
        <v>1412</v>
      </c>
      <c r="S385" t="s">
        <v>33</v>
      </c>
      <c r="X385" t="s">
        <v>34</v>
      </c>
      <c r="AA385" t="s">
        <v>38</v>
      </c>
    </row>
    <row r="386" spans="1:27">
      <c r="A386" t="s">
        <v>1413</v>
      </c>
      <c r="B386" t="s">
        <v>1414</v>
      </c>
      <c r="C386" t="str">
        <f>VLOOKUP(B386,Sheet2!$A$2:$A$392,1,0)</f>
        <v>GRACIA 18</v>
      </c>
      <c r="E386" t="s">
        <v>27</v>
      </c>
      <c r="F386" t="s">
        <v>41</v>
      </c>
      <c r="G386" t="s">
        <v>29</v>
      </c>
      <c r="J386" s="2">
        <v>1200</v>
      </c>
      <c r="K386">
        <v>65.5</v>
      </c>
      <c r="L386" s="2">
        <v>1148</v>
      </c>
      <c r="M386" s="2">
        <v>15000</v>
      </c>
      <c r="N386" s="2">
        <v>5</v>
      </c>
      <c r="O386" t="s">
        <v>254</v>
      </c>
      <c r="P386" t="s">
        <v>1415</v>
      </c>
      <c r="R386" t="s">
        <v>42</v>
      </c>
      <c r="S386" t="s">
        <v>33</v>
      </c>
      <c r="U386" t="s">
        <v>44</v>
      </c>
      <c r="X386" t="s">
        <v>34</v>
      </c>
      <c r="Y386" t="s">
        <v>45</v>
      </c>
      <c r="Z386" t="s">
        <v>1416</v>
      </c>
      <c r="AA386" t="s">
        <v>38</v>
      </c>
    </row>
    <row r="387" spans="1:27" hidden="1">
      <c r="A387" t="s">
        <v>1417</v>
      </c>
      <c r="B387" t="s">
        <v>1418</v>
      </c>
      <c r="C387" t="e">
        <f>VLOOKUP(B387,Sheet2!$A$2:$A$392,1,0)</f>
        <v>#N/A</v>
      </c>
      <c r="E387" t="s">
        <v>27</v>
      </c>
      <c r="F387" t="s">
        <v>41</v>
      </c>
      <c r="G387" t="s">
        <v>29</v>
      </c>
      <c r="I387" t="s">
        <v>42</v>
      </c>
      <c r="J387" s="2">
        <v>8000</v>
      </c>
      <c r="K387" s="2">
        <v>122</v>
      </c>
      <c r="L387" s="2">
        <v>5659</v>
      </c>
      <c r="N387">
        <v>6.9</v>
      </c>
      <c r="P387" t="s">
        <v>1419</v>
      </c>
      <c r="R387" t="s">
        <v>581</v>
      </c>
      <c r="S387" t="s">
        <v>33</v>
      </c>
      <c r="T387" t="s">
        <v>34</v>
      </c>
      <c r="U387" t="s">
        <v>35</v>
      </c>
      <c r="X387" t="s">
        <v>34</v>
      </c>
      <c r="Y387" t="s">
        <v>45</v>
      </c>
      <c r="Z387" t="s">
        <v>1420</v>
      </c>
      <c r="AA387" t="s">
        <v>38</v>
      </c>
    </row>
    <row r="388" spans="1:27" hidden="1">
      <c r="A388" t="s">
        <v>1421</v>
      </c>
      <c r="B388" t="s">
        <v>1422</v>
      </c>
      <c r="C388" t="e">
        <f>VLOOKUP(B388,Sheet2!$A$2:$A$392,1,0)</f>
        <v>#N/A</v>
      </c>
      <c r="E388" t="s">
        <v>27</v>
      </c>
      <c r="F388" t="s">
        <v>41</v>
      </c>
      <c r="G388" t="s">
        <v>29</v>
      </c>
      <c r="I388" t="s">
        <v>42</v>
      </c>
      <c r="J388" s="2">
        <v>2000</v>
      </c>
      <c r="K388" s="2">
        <v>74</v>
      </c>
      <c r="L388" s="2">
        <v>1426</v>
      </c>
      <c r="M388" s="2">
        <v>1800</v>
      </c>
      <c r="N388" s="2">
        <v>4</v>
      </c>
      <c r="P388" t="s">
        <v>1423</v>
      </c>
      <c r="R388" t="s">
        <v>32</v>
      </c>
      <c r="S388" t="s">
        <v>33</v>
      </c>
      <c r="T388" t="s">
        <v>34</v>
      </c>
      <c r="U388" t="s">
        <v>35</v>
      </c>
      <c r="X388" t="s">
        <v>34</v>
      </c>
      <c r="Y388" t="s">
        <v>45</v>
      </c>
      <c r="Z388" t="s">
        <v>1070</v>
      </c>
      <c r="AA388" t="s">
        <v>38</v>
      </c>
    </row>
    <row r="389" spans="1:27" hidden="1">
      <c r="A389" t="s">
        <v>1424</v>
      </c>
      <c r="B389" t="s">
        <v>1425</v>
      </c>
      <c r="C389" t="e">
        <f>VLOOKUP(B389,Sheet2!$A$2:$A$392,1,0)</f>
        <v>#N/A</v>
      </c>
      <c r="E389" t="s">
        <v>27</v>
      </c>
      <c r="F389" t="s">
        <v>41</v>
      </c>
      <c r="G389" t="s">
        <v>158</v>
      </c>
      <c r="I389" t="s">
        <v>42</v>
      </c>
      <c r="J389" s="2">
        <v>8400</v>
      </c>
      <c r="K389" s="3">
        <v>91.87</v>
      </c>
      <c r="L389" s="2">
        <v>5532</v>
      </c>
      <c r="O389" t="s">
        <v>159</v>
      </c>
      <c r="P389" t="s">
        <v>1426</v>
      </c>
      <c r="R389" t="s">
        <v>32</v>
      </c>
      <c r="S389" t="s">
        <v>33</v>
      </c>
      <c r="T389" t="s">
        <v>34</v>
      </c>
      <c r="U389" t="s">
        <v>35</v>
      </c>
      <c r="X389" t="s">
        <v>147</v>
      </c>
      <c r="Y389" t="s">
        <v>45</v>
      </c>
      <c r="Z389" t="s">
        <v>1427</v>
      </c>
      <c r="AA389" t="s">
        <v>38</v>
      </c>
    </row>
    <row r="390" spans="1:27" hidden="1">
      <c r="A390" t="s">
        <v>1428</v>
      </c>
      <c r="B390" t="s">
        <v>1429</v>
      </c>
      <c r="C390" t="e">
        <f>VLOOKUP(B390,Sheet2!$A$2:$A$392,1,0)</f>
        <v>#N/A</v>
      </c>
      <c r="E390" t="s">
        <v>170</v>
      </c>
      <c r="I390" t="s">
        <v>42</v>
      </c>
      <c r="J390" s="2">
        <v>36038</v>
      </c>
      <c r="K390" s="2">
        <v>183</v>
      </c>
      <c r="L390" s="2">
        <v>23682</v>
      </c>
      <c r="P390" t="s">
        <v>1430</v>
      </c>
      <c r="S390" t="s">
        <v>33</v>
      </c>
      <c r="X390" t="s">
        <v>34</v>
      </c>
      <c r="AA390" t="s">
        <v>38</v>
      </c>
    </row>
    <row r="391" spans="1:27" hidden="1">
      <c r="A391" t="s">
        <v>1431</v>
      </c>
      <c r="B391" t="s">
        <v>1432</v>
      </c>
      <c r="C391" t="e">
        <f>VLOOKUP(B391,Sheet2!$A$2:$A$392,1,0)</f>
        <v>#N/A</v>
      </c>
      <c r="E391" t="s">
        <v>40</v>
      </c>
      <c r="F391" t="s">
        <v>41</v>
      </c>
      <c r="G391" t="s">
        <v>29</v>
      </c>
      <c r="I391" t="s">
        <v>42</v>
      </c>
      <c r="J391" s="2">
        <v>8000</v>
      </c>
      <c r="K391" s="2">
        <v>91</v>
      </c>
      <c r="L391" s="2">
        <v>3346</v>
      </c>
      <c r="P391" t="s">
        <v>1433</v>
      </c>
      <c r="R391" t="s">
        <v>581</v>
      </c>
      <c r="S391" t="s">
        <v>33</v>
      </c>
      <c r="T391" t="s">
        <v>34</v>
      </c>
      <c r="U391" t="s">
        <v>35</v>
      </c>
      <c r="X391" t="s">
        <v>34</v>
      </c>
      <c r="Y391" t="s">
        <v>45</v>
      </c>
      <c r="Z391" t="s">
        <v>1434</v>
      </c>
      <c r="AA391" t="s">
        <v>38</v>
      </c>
    </row>
    <row r="392" spans="1:27" hidden="1">
      <c r="A392" t="s">
        <v>1435</v>
      </c>
      <c r="B392" t="s">
        <v>1436</v>
      </c>
      <c r="C392" t="e">
        <f>VLOOKUP(B392,Sheet2!$A$2:$A$392,1,0)</f>
        <v>#N/A</v>
      </c>
      <c r="E392" t="s">
        <v>40</v>
      </c>
      <c r="F392" t="s">
        <v>41</v>
      </c>
      <c r="G392" t="s">
        <v>29</v>
      </c>
      <c r="I392" t="s">
        <v>42</v>
      </c>
      <c r="J392" s="2">
        <v>8000</v>
      </c>
      <c r="K392" s="2">
        <v>87</v>
      </c>
      <c r="L392" s="2">
        <v>3482</v>
      </c>
      <c r="P392" t="s">
        <v>1437</v>
      </c>
      <c r="R392" t="s">
        <v>581</v>
      </c>
      <c r="S392" t="s">
        <v>33</v>
      </c>
      <c r="T392" t="s">
        <v>34</v>
      </c>
      <c r="U392" t="s">
        <v>35</v>
      </c>
      <c r="X392" t="s">
        <v>34</v>
      </c>
      <c r="Y392" t="s">
        <v>45</v>
      </c>
      <c r="Z392" t="s">
        <v>1438</v>
      </c>
      <c r="AA392" t="s">
        <v>38</v>
      </c>
    </row>
    <row r="393" spans="1:27" hidden="1">
      <c r="A393" t="s">
        <v>1439</v>
      </c>
      <c r="B393" t="s">
        <v>1440</v>
      </c>
      <c r="C393" t="e">
        <f>VLOOKUP(B393,Sheet2!$A$2:$A$392,1,0)</f>
        <v>#N/A</v>
      </c>
      <c r="E393" t="s">
        <v>170</v>
      </c>
      <c r="I393" t="s">
        <v>42</v>
      </c>
      <c r="J393" s="2">
        <v>41109</v>
      </c>
      <c r="K393">
        <v>179.8</v>
      </c>
      <c r="L393" s="2">
        <v>25961</v>
      </c>
      <c r="P393" t="s">
        <v>1441</v>
      </c>
      <c r="S393" t="s">
        <v>33</v>
      </c>
      <c r="X393" t="s">
        <v>34</v>
      </c>
      <c r="AA393" t="s">
        <v>38</v>
      </c>
    </row>
    <row r="394" spans="1:27" hidden="1">
      <c r="A394" t="s">
        <v>1442</v>
      </c>
      <c r="B394" t="s">
        <v>1443</v>
      </c>
      <c r="C394" t="e">
        <f>VLOOKUP(B394,Sheet2!$A$2:$A$392,1,0)</f>
        <v>#N/A</v>
      </c>
      <c r="E394" t="s">
        <v>1337</v>
      </c>
      <c r="I394" t="s">
        <v>42</v>
      </c>
      <c r="J394" s="2">
        <v>1500</v>
      </c>
      <c r="K394">
        <v>67.8</v>
      </c>
      <c r="L394" s="2">
        <v>1488</v>
      </c>
      <c r="P394" t="s">
        <v>1444</v>
      </c>
      <c r="S394" t="s">
        <v>33</v>
      </c>
      <c r="X394" t="s">
        <v>34</v>
      </c>
      <c r="AA394" t="s">
        <v>38</v>
      </c>
    </row>
    <row r="395" spans="1:27" hidden="1">
      <c r="A395" t="s">
        <v>1445</v>
      </c>
      <c r="B395" t="s">
        <v>1446</v>
      </c>
      <c r="C395" t="e">
        <f>VLOOKUP(B395,Sheet2!$A$2:$A$392,1,0)</f>
        <v>#N/A</v>
      </c>
      <c r="E395" t="s">
        <v>40</v>
      </c>
      <c r="F395" t="s">
        <v>41</v>
      </c>
      <c r="G395" t="s">
        <v>29</v>
      </c>
      <c r="I395" t="s">
        <v>42</v>
      </c>
      <c r="J395" s="2">
        <v>8000</v>
      </c>
      <c r="K395" s="2">
        <v>91</v>
      </c>
      <c r="L395" s="2">
        <v>3315</v>
      </c>
      <c r="P395" t="s">
        <v>1447</v>
      </c>
      <c r="R395" t="s">
        <v>42</v>
      </c>
      <c r="S395" t="s">
        <v>33</v>
      </c>
      <c r="T395" t="s">
        <v>34</v>
      </c>
      <c r="U395" t="s">
        <v>44</v>
      </c>
      <c r="X395" t="s">
        <v>34</v>
      </c>
      <c r="Y395" t="s">
        <v>45</v>
      </c>
      <c r="Z395" t="s">
        <v>1448</v>
      </c>
      <c r="AA395" t="s">
        <v>38</v>
      </c>
    </row>
    <row r="396" spans="1:27" hidden="1">
      <c r="A396" t="s">
        <v>1449</v>
      </c>
      <c r="B396" t="s">
        <v>1450</v>
      </c>
      <c r="C396" t="e">
        <f>VLOOKUP(B396,Sheet2!$A$2:$A$392,1,0)</f>
        <v>#N/A</v>
      </c>
      <c r="E396" t="s">
        <v>40</v>
      </c>
      <c r="F396" t="s">
        <v>41</v>
      </c>
      <c r="G396" t="s">
        <v>29</v>
      </c>
      <c r="I396" t="s">
        <v>42</v>
      </c>
      <c r="J396" s="2">
        <v>9000</v>
      </c>
      <c r="K396" s="2">
        <v>91</v>
      </c>
      <c r="L396" s="2">
        <v>3649</v>
      </c>
      <c r="P396" t="s">
        <v>1451</v>
      </c>
      <c r="R396" t="s">
        <v>42</v>
      </c>
      <c r="S396" t="s">
        <v>33</v>
      </c>
      <c r="T396" t="s">
        <v>34</v>
      </c>
      <c r="U396" t="s">
        <v>35</v>
      </c>
      <c r="X396" t="s">
        <v>34</v>
      </c>
      <c r="Y396" t="s">
        <v>45</v>
      </c>
      <c r="Z396" t="s">
        <v>1452</v>
      </c>
      <c r="AA396" t="s">
        <v>38</v>
      </c>
    </row>
    <row r="397" spans="1:27" hidden="1">
      <c r="A397" t="s">
        <v>1453</v>
      </c>
      <c r="B397" t="s">
        <v>1454</v>
      </c>
      <c r="C397" t="e">
        <f>VLOOKUP(B397,Sheet2!$A$2:$A$392,1,0)</f>
        <v>#N/A</v>
      </c>
      <c r="E397" t="s">
        <v>40</v>
      </c>
      <c r="G397" t="s">
        <v>922</v>
      </c>
      <c r="I397" t="s">
        <v>42</v>
      </c>
      <c r="J397" s="2">
        <v>768</v>
      </c>
      <c r="K397" s="3">
        <v>26.57</v>
      </c>
      <c r="L397" s="2">
        <v>197</v>
      </c>
      <c r="P397" t="s">
        <v>1455</v>
      </c>
      <c r="S397" t="s">
        <v>33</v>
      </c>
      <c r="X397" t="s">
        <v>34</v>
      </c>
      <c r="Y397" t="s">
        <v>96</v>
      </c>
      <c r="Z397" t="s">
        <v>1456</v>
      </c>
      <c r="AA397" t="s">
        <v>38</v>
      </c>
    </row>
    <row r="398" spans="1:27" hidden="1">
      <c r="A398" t="s">
        <v>1457</v>
      </c>
      <c r="B398" t="s">
        <v>1458</v>
      </c>
      <c r="C398" t="e">
        <f>VLOOKUP(B398,Sheet2!$A$2:$A$392,1,0)</f>
        <v>#N/A</v>
      </c>
      <c r="E398" t="s">
        <v>40</v>
      </c>
      <c r="F398" t="s">
        <v>41</v>
      </c>
      <c r="G398" t="s">
        <v>29</v>
      </c>
      <c r="I398" t="s">
        <v>42</v>
      </c>
      <c r="J398" s="2">
        <v>8000</v>
      </c>
      <c r="K398" s="2">
        <v>91</v>
      </c>
      <c r="L398" s="2">
        <v>3346</v>
      </c>
      <c r="P398" t="s">
        <v>1459</v>
      </c>
      <c r="R398" t="s">
        <v>42</v>
      </c>
      <c r="S398" t="s">
        <v>33</v>
      </c>
      <c r="T398" t="s">
        <v>34</v>
      </c>
      <c r="U398" t="s">
        <v>35</v>
      </c>
      <c r="X398" t="s">
        <v>34</v>
      </c>
      <c r="Y398" t="s">
        <v>45</v>
      </c>
      <c r="Z398" t="s">
        <v>1460</v>
      </c>
      <c r="AA398" t="s">
        <v>38</v>
      </c>
    </row>
    <row r="399" spans="1:27" hidden="1">
      <c r="A399" t="s">
        <v>1461</v>
      </c>
      <c r="B399" t="s">
        <v>1462</v>
      </c>
      <c r="C399" t="e">
        <f>VLOOKUP(B399,Sheet2!$A$2:$A$392,1,0)</f>
        <v>#N/A</v>
      </c>
      <c r="E399" t="s">
        <v>72</v>
      </c>
      <c r="G399" t="s">
        <v>125</v>
      </c>
      <c r="I399" t="s">
        <v>42</v>
      </c>
      <c r="J399" s="2">
        <v>2629</v>
      </c>
      <c r="K399">
        <v>76.2</v>
      </c>
      <c r="L399" s="2">
        <v>2629</v>
      </c>
      <c r="P399" t="s">
        <v>74</v>
      </c>
      <c r="S399" t="s">
        <v>33</v>
      </c>
      <c r="X399" t="s">
        <v>34</v>
      </c>
      <c r="AA399" t="s">
        <v>38</v>
      </c>
    </row>
    <row r="400" spans="1:27" hidden="1">
      <c r="A400" t="s">
        <v>1463</v>
      </c>
      <c r="B400" t="s">
        <v>1464</v>
      </c>
      <c r="C400" t="e">
        <f>VLOOKUP(B400,Sheet2!$A$2:$A$392,1,0)</f>
        <v>#N/A</v>
      </c>
      <c r="E400" t="s">
        <v>40</v>
      </c>
      <c r="F400" t="s">
        <v>41</v>
      </c>
      <c r="G400" t="s">
        <v>59</v>
      </c>
      <c r="J400" s="2">
        <v>8000</v>
      </c>
      <c r="K400" s="2">
        <v>91</v>
      </c>
      <c r="L400" s="2">
        <v>3361</v>
      </c>
      <c r="P400" t="s">
        <v>1465</v>
      </c>
      <c r="R400" t="s">
        <v>42</v>
      </c>
      <c r="S400" t="s">
        <v>33</v>
      </c>
      <c r="U400" t="s">
        <v>35</v>
      </c>
      <c r="W400" t="s">
        <v>63</v>
      </c>
      <c r="X400" t="s">
        <v>34</v>
      </c>
      <c r="Y400" t="s">
        <v>64</v>
      </c>
      <c r="Z400" t="s">
        <v>1466</v>
      </c>
      <c r="AA400" t="s">
        <v>38</v>
      </c>
    </row>
    <row r="401" spans="1:27">
      <c r="A401" t="s">
        <v>1467</v>
      </c>
      <c r="B401" t="s">
        <v>1468</v>
      </c>
      <c r="C401" t="str">
        <f>VLOOKUP(B401,Sheet2!$A$2:$A$392,1,0)</f>
        <v>TB. HASNUR 07 / BG. HASNUR 307</v>
      </c>
      <c r="E401" t="s">
        <v>40</v>
      </c>
      <c r="F401" t="s">
        <v>41</v>
      </c>
      <c r="G401" t="s">
        <v>29</v>
      </c>
      <c r="J401" s="2">
        <v>8000</v>
      </c>
      <c r="K401" s="2">
        <v>91</v>
      </c>
      <c r="L401" s="2">
        <v>3355</v>
      </c>
      <c r="O401" t="s">
        <v>482</v>
      </c>
      <c r="P401" t="s">
        <v>1469</v>
      </c>
      <c r="R401" t="s">
        <v>694</v>
      </c>
      <c r="S401" t="s">
        <v>33</v>
      </c>
      <c r="U401" t="s">
        <v>35</v>
      </c>
      <c r="X401" t="s">
        <v>34</v>
      </c>
      <c r="Y401" t="s">
        <v>45</v>
      </c>
      <c r="Z401" t="s">
        <v>1470</v>
      </c>
      <c r="AA401" t="s">
        <v>38</v>
      </c>
    </row>
    <row r="402" spans="1:27" hidden="1">
      <c r="A402" t="s">
        <v>1471</v>
      </c>
      <c r="B402" t="s">
        <v>1472</v>
      </c>
      <c r="C402" t="e">
        <f>VLOOKUP(B402,Sheet2!$A$2:$A$392,1,0)</f>
        <v>#N/A</v>
      </c>
      <c r="E402" t="s">
        <v>40</v>
      </c>
      <c r="F402" t="s">
        <v>41</v>
      </c>
      <c r="G402" t="s">
        <v>29</v>
      </c>
      <c r="I402" t="s">
        <v>42</v>
      </c>
      <c r="J402" s="2">
        <v>8000</v>
      </c>
      <c r="K402" s="2">
        <v>91</v>
      </c>
      <c r="L402" s="2">
        <v>3373</v>
      </c>
      <c r="P402" t="s">
        <v>1469</v>
      </c>
      <c r="R402" t="s">
        <v>42</v>
      </c>
      <c r="S402" t="s">
        <v>33</v>
      </c>
      <c r="T402" t="s">
        <v>34</v>
      </c>
      <c r="U402" t="s">
        <v>44</v>
      </c>
      <c r="W402" t="s">
        <v>165</v>
      </c>
      <c r="X402" t="s">
        <v>34</v>
      </c>
      <c r="Y402" t="s">
        <v>245</v>
      </c>
      <c r="Z402" t="s">
        <v>1473</v>
      </c>
      <c r="AA402" t="s">
        <v>38</v>
      </c>
    </row>
    <row r="403" spans="1:27" hidden="1">
      <c r="A403" t="s">
        <v>1474</v>
      </c>
      <c r="B403" t="s">
        <v>1475</v>
      </c>
      <c r="C403" t="e">
        <f>VLOOKUP(B403,Sheet2!$A$2:$A$392,1,0)</f>
        <v>#N/A</v>
      </c>
      <c r="E403" t="s">
        <v>40</v>
      </c>
      <c r="F403" t="s">
        <v>41</v>
      </c>
      <c r="G403" t="s">
        <v>29</v>
      </c>
      <c r="I403" t="s">
        <v>42</v>
      </c>
      <c r="J403" s="2">
        <v>8000</v>
      </c>
      <c r="K403" s="2">
        <v>91</v>
      </c>
      <c r="L403" s="2">
        <v>3310</v>
      </c>
      <c r="P403" t="s">
        <v>1476</v>
      </c>
      <c r="R403" t="s">
        <v>42</v>
      </c>
      <c r="S403" t="s">
        <v>33</v>
      </c>
      <c r="T403" t="s">
        <v>34</v>
      </c>
      <c r="U403" t="s">
        <v>35</v>
      </c>
      <c r="X403" t="s">
        <v>34</v>
      </c>
      <c r="Y403" t="s">
        <v>45</v>
      </c>
      <c r="Z403" t="s">
        <v>1477</v>
      </c>
      <c r="AA403" t="s">
        <v>38</v>
      </c>
    </row>
    <row r="404" spans="1:27" hidden="1">
      <c r="A404" t="s">
        <v>1478</v>
      </c>
      <c r="B404" t="s">
        <v>1479</v>
      </c>
      <c r="C404" t="e">
        <f>VLOOKUP(B404,Sheet2!$A$2:$A$392,1,0)</f>
        <v>#N/A</v>
      </c>
      <c r="E404" t="s">
        <v>40</v>
      </c>
      <c r="F404" t="s">
        <v>41</v>
      </c>
      <c r="G404" t="s">
        <v>29</v>
      </c>
      <c r="I404" t="s">
        <v>42</v>
      </c>
      <c r="J404" s="2">
        <v>7500</v>
      </c>
      <c r="K404" s="2">
        <v>91</v>
      </c>
      <c r="L404" s="2">
        <v>3316</v>
      </c>
      <c r="P404" t="s">
        <v>1480</v>
      </c>
      <c r="R404" t="s">
        <v>42</v>
      </c>
      <c r="S404" t="s">
        <v>33</v>
      </c>
      <c r="T404" t="s">
        <v>34</v>
      </c>
      <c r="U404" t="s">
        <v>35</v>
      </c>
      <c r="X404" t="s">
        <v>34</v>
      </c>
      <c r="Y404" t="s">
        <v>45</v>
      </c>
      <c r="Z404" t="s">
        <v>1481</v>
      </c>
      <c r="AA404" t="s">
        <v>38</v>
      </c>
    </row>
    <row r="405" spans="1:27" hidden="1">
      <c r="A405" t="s">
        <v>1482</v>
      </c>
      <c r="B405" t="s">
        <v>1483</v>
      </c>
      <c r="C405" t="e">
        <f>VLOOKUP(B405,Sheet2!$A$2:$A$392,1,0)</f>
        <v>#N/A</v>
      </c>
      <c r="E405" t="s">
        <v>40</v>
      </c>
      <c r="F405" t="s">
        <v>41</v>
      </c>
      <c r="G405" t="s">
        <v>29</v>
      </c>
      <c r="I405" t="s">
        <v>42</v>
      </c>
      <c r="J405" s="2">
        <v>8000</v>
      </c>
      <c r="K405" s="2">
        <v>91</v>
      </c>
      <c r="L405" s="2">
        <v>3507</v>
      </c>
      <c r="P405" t="s">
        <v>1484</v>
      </c>
      <c r="R405" t="s">
        <v>42</v>
      </c>
      <c r="S405" t="s">
        <v>33</v>
      </c>
      <c r="T405" t="s">
        <v>34</v>
      </c>
      <c r="U405" t="s">
        <v>35</v>
      </c>
      <c r="X405" t="s">
        <v>34</v>
      </c>
      <c r="Y405" t="s">
        <v>45</v>
      </c>
      <c r="Z405" t="s">
        <v>1485</v>
      </c>
      <c r="AA405" t="s">
        <v>38</v>
      </c>
    </row>
    <row r="406" spans="1:27" hidden="1">
      <c r="A406" t="s">
        <v>1486</v>
      </c>
      <c r="B406" t="s">
        <v>1487</v>
      </c>
      <c r="C406" t="e">
        <f>VLOOKUP(B406,Sheet2!$A$2:$A$392,1,0)</f>
        <v>#N/A</v>
      </c>
      <c r="E406" t="s">
        <v>40</v>
      </c>
      <c r="F406" t="s">
        <v>41</v>
      </c>
      <c r="G406" t="s">
        <v>29</v>
      </c>
      <c r="I406" t="s">
        <v>42</v>
      </c>
      <c r="J406" s="2">
        <v>11961</v>
      </c>
      <c r="K406" s="2">
        <v>100</v>
      </c>
      <c r="L406" s="2">
        <v>4523</v>
      </c>
      <c r="M406" s="2">
        <v>1200</v>
      </c>
      <c r="N406" s="2">
        <v>23</v>
      </c>
      <c r="P406" t="s">
        <v>1488</v>
      </c>
      <c r="R406" t="s">
        <v>42</v>
      </c>
      <c r="S406" t="s">
        <v>33</v>
      </c>
      <c r="T406" t="s">
        <v>34</v>
      </c>
      <c r="U406" t="s">
        <v>44</v>
      </c>
      <c r="W406" t="s">
        <v>165</v>
      </c>
      <c r="X406" t="s">
        <v>34</v>
      </c>
      <c r="Y406" t="s">
        <v>166</v>
      </c>
      <c r="Z406" t="s">
        <v>1489</v>
      </c>
      <c r="AA406" t="s">
        <v>38</v>
      </c>
    </row>
    <row r="407" spans="1:27" hidden="1">
      <c r="A407" t="s">
        <v>1490</v>
      </c>
      <c r="B407" t="s">
        <v>1491</v>
      </c>
      <c r="C407" t="e">
        <f>VLOOKUP(B407,Sheet2!$A$2:$A$392,1,0)</f>
        <v>#N/A</v>
      </c>
      <c r="E407" t="s">
        <v>40</v>
      </c>
      <c r="F407" t="s">
        <v>41</v>
      </c>
      <c r="G407" t="s">
        <v>29</v>
      </c>
      <c r="I407" t="s">
        <v>42</v>
      </c>
      <c r="J407" s="2">
        <v>10000</v>
      </c>
      <c r="K407" s="2">
        <v>100</v>
      </c>
      <c r="L407" s="2">
        <v>4456</v>
      </c>
      <c r="P407" t="s">
        <v>1492</v>
      </c>
      <c r="R407" t="s">
        <v>42</v>
      </c>
      <c r="S407" t="s">
        <v>33</v>
      </c>
      <c r="T407" t="s">
        <v>34</v>
      </c>
      <c r="U407" t="s">
        <v>35</v>
      </c>
      <c r="X407" t="s">
        <v>34</v>
      </c>
      <c r="Y407" t="s">
        <v>45</v>
      </c>
      <c r="Z407" t="s">
        <v>1493</v>
      </c>
      <c r="AA407" t="s">
        <v>38</v>
      </c>
    </row>
    <row r="408" spans="1:27" hidden="1">
      <c r="A408" t="s">
        <v>1494</v>
      </c>
      <c r="B408" t="s">
        <v>1495</v>
      </c>
      <c r="C408" t="e">
        <f>VLOOKUP(B408,Sheet2!$A$2:$A$392,1,0)</f>
        <v>#N/A</v>
      </c>
      <c r="E408" t="s">
        <v>40</v>
      </c>
      <c r="F408" t="s">
        <v>41</v>
      </c>
      <c r="G408" t="s">
        <v>29</v>
      </c>
      <c r="I408" t="s">
        <v>42</v>
      </c>
      <c r="J408" s="2">
        <v>10000</v>
      </c>
      <c r="K408" s="2">
        <v>100</v>
      </c>
      <c r="L408" s="2">
        <v>4456</v>
      </c>
      <c r="P408" t="s">
        <v>1492</v>
      </c>
      <c r="R408" t="s">
        <v>42</v>
      </c>
      <c r="S408" t="s">
        <v>33</v>
      </c>
      <c r="T408" t="s">
        <v>34</v>
      </c>
      <c r="U408" t="s">
        <v>35</v>
      </c>
      <c r="X408" t="s">
        <v>34</v>
      </c>
      <c r="Y408" t="s">
        <v>45</v>
      </c>
      <c r="Z408" t="s">
        <v>1496</v>
      </c>
      <c r="AA408" t="s">
        <v>38</v>
      </c>
    </row>
    <row r="409" spans="1:27" hidden="1">
      <c r="A409" t="s">
        <v>1497</v>
      </c>
      <c r="B409" t="s">
        <v>1498</v>
      </c>
      <c r="C409" t="e">
        <f>VLOOKUP(B409,Sheet2!$A$2:$A$392,1,0)</f>
        <v>#N/A</v>
      </c>
      <c r="E409" t="s">
        <v>40</v>
      </c>
      <c r="G409" t="s">
        <v>388</v>
      </c>
      <c r="I409" t="s">
        <v>42</v>
      </c>
      <c r="J409" s="2">
        <v>206</v>
      </c>
      <c r="K409" s="3">
        <v>29.02</v>
      </c>
      <c r="L409" s="2">
        <v>206</v>
      </c>
      <c r="P409" t="s">
        <v>1499</v>
      </c>
      <c r="S409" t="s">
        <v>33</v>
      </c>
      <c r="X409" t="s">
        <v>34</v>
      </c>
      <c r="AA409" t="s">
        <v>38</v>
      </c>
    </row>
    <row r="410" spans="1:27" hidden="1">
      <c r="A410" t="s">
        <v>1500</v>
      </c>
      <c r="B410" t="s">
        <v>1501</v>
      </c>
      <c r="C410" t="e">
        <f>VLOOKUP(B410,Sheet2!$A$2:$A$392,1,0)</f>
        <v>#N/A</v>
      </c>
      <c r="E410" t="s">
        <v>40</v>
      </c>
      <c r="F410" t="s">
        <v>41</v>
      </c>
      <c r="G410" t="s">
        <v>293</v>
      </c>
      <c r="J410" s="2">
        <v>8000</v>
      </c>
      <c r="K410" s="3">
        <v>91.44</v>
      </c>
      <c r="L410" s="2">
        <v>3071</v>
      </c>
      <c r="M410" s="2">
        <v>1600</v>
      </c>
      <c r="N410" s="2">
        <v>5</v>
      </c>
      <c r="O410" t="s">
        <v>294</v>
      </c>
      <c r="P410" t="s">
        <v>1502</v>
      </c>
      <c r="R410" t="s">
        <v>42</v>
      </c>
      <c r="S410" t="s">
        <v>33</v>
      </c>
      <c r="U410" t="s">
        <v>35</v>
      </c>
      <c r="W410" t="s">
        <v>63</v>
      </c>
      <c r="X410" t="s">
        <v>34</v>
      </c>
      <c r="Y410" t="s">
        <v>64</v>
      </c>
      <c r="Z410" t="s">
        <v>1503</v>
      </c>
      <c r="AA410" t="s">
        <v>38</v>
      </c>
    </row>
    <row r="411" spans="1:27" hidden="1">
      <c r="A411" t="s">
        <v>1504</v>
      </c>
      <c r="B411" t="s">
        <v>1505</v>
      </c>
      <c r="C411" t="e">
        <f>VLOOKUP(B411,Sheet2!$A$2:$A$392,1,0)</f>
        <v>#N/A</v>
      </c>
      <c r="E411" t="s">
        <v>40</v>
      </c>
      <c r="F411" t="s">
        <v>41</v>
      </c>
      <c r="G411" t="s">
        <v>29</v>
      </c>
      <c r="I411" t="s">
        <v>42</v>
      </c>
      <c r="J411" s="2">
        <v>3078</v>
      </c>
      <c r="K411" s="3">
        <v>91.44</v>
      </c>
      <c r="L411" s="2">
        <v>3078</v>
      </c>
      <c r="P411" t="s">
        <v>509</v>
      </c>
      <c r="R411" t="s">
        <v>42</v>
      </c>
      <c r="S411" t="s">
        <v>33</v>
      </c>
      <c r="T411" t="s">
        <v>106</v>
      </c>
      <c r="U411" t="s">
        <v>35</v>
      </c>
      <c r="X411" t="s">
        <v>34</v>
      </c>
      <c r="Y411" t="s">
        <v>142</v>
      </c>
      <c r="Z411" t="s">
        <v>1506</v>
      </c>
      <c r="AA411" t="s">
        <v>38</v>
      </c>
    </row>
    <row r="412" spans="1:27" hidden="1">
      <c r="A412" t="s">
        <v>1507</v>
      </c>
      <c r="B412" t="s">
        <v>1508</v>
      </c>
      <c r="C412" t="e">
        <f>VLOOKUP(B412,Sheet2!$A$2:$A$392,1,0)</f>
        <v>#N/A</v>
      </c>
      <c r="E412" t="s">
        <v>27</v>
      </c>
      <c r="F412" t="s">
        <v>41</v>
      </c>
      <c r="G412" t="s">
        <v>29</v>
      </c>
      <c r="I412" t="s">
        <v>42</v>
      </c>
      <c r="J412" s="2">
        <v>1500</v>
      </c>
      <c r="K412" s="2">
        <v>61</v>
      </c>
      <c r="L412" s="2">
        <v>1063</v>
      </c>
      <c r="P412" t="s">
        <v>1509</v>
      </c>
      <c r="R412" t="s">
        <v>32</v>
      </c>
      <c r="S412" t="s">
        <v>33</v>
      </c>
      <c r="T412" t="s">
        <v>34</v>
      </c>
      <c r="U412" t="s">
        <v>35</v>
      </c>
      <c r="X412" t="s">
        <v>34</v>
      </c>
      <c r="Y412" t="s">
        <v>45</v>
      </c>
      <c r="Z412" t="s">
        <v>1510</v>
      </c>
      <c r="AA412" t="s">
        <v>38</v>
      </c>
    </row>
    <row r="413" spans="1:27">
      <c r="A413" t="s">
        <v>1511</v>
      </c>
      <c r="B413" t="s">
        <v>1512</v>
      </c>
      <c r="C413" t="str">
        <f>VLOOKUP(B413,Sheet2!$A$2:$A$392,1,0)</f>
        <v>MV. HALUAN SENTOSA</v>
      </c>
      <c r="E413" t="s">
        <v>196</v>
      </c>
      <c r="F413" t="s">
        <v>41</v>
      </c>
      <c r="G413" t="s">
        <v>1513</v>
      </c>
      <c r="J413" s="2">
        <v>1641</v>
      </c>
      <c r="K413" s="2">
        <v>70</v>
      </c>
      <c r="L413" s="2">
        <v>1005</v>
      </c>
      <c r="M413" s="2">
        <v>1500</v>
      </c>
      <c r="N413" s="2">
        <v>5</v>
      </c>
      <c r="O413" t="s">
        <v>482</v>
      </c>
      <c r="P413" t="s">
        <v>1514</v>
      </c>
      <c r="R413" t="s">
        <v>42</v>
      </c>
      <c r="S413" t="s">
        <v>33</v>
      </c>
      <c r="U413" t="s">
        <v>35</v>
      </c>
      <c r="V413" s="2">
        <v>2</v>
      </c>
      <c r="X413" t="s">
        <v>34</v>
      </c>
      <c r="Y413" t="s">
        <v>45</v>
      </c>
      <c r="Z413" t="s">
        <v>1515</v>
      </c>
      <c r="AA413" t="s">
        <v>38</v>
      </c>
    </row>
    <row r="414" spans="1:27" hidden="1">
      <c r="A414" t="s">
        <v>1516</v>
      </c>
      <c r="B414" t="s">
        <v>1517</v>
      </c>
      <c r="C414" t="e">
        <f>VLOOKUP(B414,Sheet2!$A$2:$A$392,1,0)</f>
        <v>#N/A</v>
      </c>
      <c r="E414" t="s">
        <v>196</v>
      </c>
      <c r="F414" t="s">
        <v>28</v>
      </c>
      <c r="G414" t="s">
        <v>29</v>
      </c>
      <c r="I414" t="s">
        <v>352</v>
      </c>
      <c r="J414" s="2">
        <v>5142</v>
      </c>
      <c r="K414">
        <v>92.5</v>
      </c>
      <c r="L414" s="2">
        <v>2999</v>
      </c>
      <c r="P414" t="s">
        <v>1518</v>
      </c>
      <c r="R414" t="s">
        <v>352</v>
      </c>
      <c r="S414" t="s">
        <v>33</v>
      </c>
      <c r="T414" t="s">
        <v>34</v>
      </c>
      <c r="U414" t="s">
        <v>35</v>
      </c>
      <c r="X414" t="s">
        <v>34</v>
      </c>
      <c r="Y414" t="s">
        <v>45</v>
      </c>
      <c r="Z414" t="s">
        <v>1519</v>
      </c>
      <c r="AA414" t="s">
        <v>38</v>
      </c>
    </row>
    <row r="415" spans="1:27">
      <c r="A415" t="s">
        <v>1520</v>
      </c>
      <c r="B415" t="s">
        <v>1521</v>
      </c>
      <c r="C415" t="str">
        <f>VLOOKUP(B415,Sheet2!$A$2:$A$392,1,0)</f>
        <v>KM. HEBAT</v>
      </c>
      <c r="E415" t="s">
        <v>196</v>
      </c>
      <c r="F415" t="s">
        <v>28</v>
      </c>
      <c r="G415" t="s">
        <v>59</v>
      </c>
      <c r="I415" t="s">
        <v>42</v>
      </c>
      <c r="J415" s="2">
        <v>8079</v>
      </c>
      <c r="K415" s="2">
        <v>111</v>
      </c>
      <c r="L415" s="2">
        <v>4941</v>
      </c>
      <c r="O415" t="s">
        <v>61</v>
      </c>
      <c r="P415" t="s">
        <v>1522</v>
      </c>
      <c r="R415" t="s">
        <v>42</v>
      </c>
      <c r="S415" t="s">
        <v>33</v>
      </c>
      <c r="T415" t="s">
        <v>34</v>
      </c>
      <c r="U415" t="s">
        <v>35</v>
      </c>
      <c r="W415" t="s">
        <v>63</v>
      </c>
      <c r="X415" t="s">
        <v>34</v>
      </c>
      <c r="Y415" t="s">
        <v>64</v>
      </c>
      <c r="Z415" t="s">
        <v>1523</v>
      </c>
      <c r="AA415" t="s">
        <v>38</v>
      </c>
    </row>
    <row r="416" spans="1:27" hidden="1">
      <c r="A416" t="s">
        <v>1524</v>
      </c>
      <c r="B416" t="s">
        <v>1525</v>
      </c>
      <c r="C416" t="e">
        <f>VLOOKUP(B416,Sheet2!$A$2:$A$392,1,0)</f>
        <v>#N/A</v>
      </c>
      <c r="E416" t="s">
        <v>27</v>
      </c>
      <c r="F416" t="s">
        <v>41</v>
      </c>
      <c r="I416" t="s">
        <v>42</v>
      </c>
      <c r="J416" s="2">
        <v>214</v>
      </c>
      <c r="K416" s="2">
        <v>33</v>
      </c>
      <c r="L416" s="2">
        <v>299</v>
      </c>
      <c r="M416" s="2">
        <v>0</v>
      </c>
      <c r="N416" s="2">
        <v>4</v>
      </c>
      <c r="O416" t="s">
        <v>482</v>
      </c>
      <c r="P416" t="s">
        <v>1524</v>
      </c>
      <c r="R416" t="s">
        <v>42</v>
      </c>
      <c r="S416" t="s">
        <v>33</v>
      </c>
      <c r="T416" t="s">
        <v>34</v>
      </c>
      <c r="U416" t="s">
        <v>35</v>
      </c>
      <c r="X416" t="s">
        <v>34</v>
      </c>
      <c r="Y416" t="s">
        <v>45</v>
      </c>
      <c r="Z416" t="s">
        <v>1526</v>
      </c>
      <c r="AA416" t="s">
        <v>38</v>
      </c>
    </row>
    <row r="417" spans="1:27">
      <c r="A417" t="s">
        <v>1527</v>
      </c>
      <c r="B417" t="s">
        <v>1528</v>
      </c>
      <c r="C417" t="str">
        <f>VLOOKUP(B417,Sheet2!$A$2:$A$392,1,0)</f>
        <v>MV. HELI</v>
      </c>
      <c r="E417" t="s">
        <v>52</v>
      </c>
      <c r="F417" t="s">
        <v>28</v>
      </c>
      <c r="G417" t="s">
        <v>29</v>
      </c>
      <c r="I417" t="s">
        <v>301</v>
      </c>
      <c r="J417" s="2">
        <v>37452</v>
      </c>
      <c r="K417" s="3">
        <v>186.96</v>
      </c>
      <c r="L417" s="2">
        <v>22668</v>
      </c>
      <c r="P417" t="s">
        <v>1529</v>
      </c>
      <c r="R417" t="s">
        <v>244</v>
      </c>
      <c r="S417" t="s">
        <v>33</v>
      </c>
      <c r="T417" t="s">
        <v>34</v>
      </c>
      <c r="U417" t="s">
        <v>35</v>
      </c>
      <c r="X417" t="s">
        <v>34</v>
      </c>
      <c r="Y417" t="s">
        <v>45</v>
      </c>
      <c r="Z417" t="s">
        <v>1530</v>
      </c>
      <c r="AA417" t="s">
        <v>38</v>
      </c>
    </row>
    <row r="418" spans="1:27">
      <c r="A418" t="s">
        <v>1531</v>
      </c>
      <c r="B418" t="s">
        <v>1532</v>
      </c>
      <c r="C418" t="str">
        <f>VLOOKUP(B418,Sheet2!$A$2:$A$392,1,0)</f>
        <v>KM. HENG HENG</v>
      </c>
      <c r="E418" t="s">
        <v>27</v>
      </c>
      <c r="F418" t="s">
        <v>41</v>
      </c>
      <c r="G418" t="s">
        <v>29</v>
      </c>
      <c r="I418" t="s">
        <v>42</v>
      </c>
      <c r="J418" s="2">
        <v>2450</v>
      </c>
      <c r="K418" s="2">
        <v>65</v>
      </c>
      <c r="L418" s="2">
        <v>1209</v>
      </c>
      <c r="P418" t="s">
        <v>1533</v>
      </c>
      <c r="Q418" t="s">
        <v>34</v>
      </c>
      <c r="R418" t="s">
        <v>32</v>
      </c>
      <c r="S418" t="s">
        <v>33</v>
      </c>
      <c r="T418" t="s">
        <v>34</v>
      </c>
      <c r="U418" t="s">
        <v>35</v>
      </c>
      <c r="X418" t="s">
        <v>34</v>
      </c>
      <c r="Y418" t="s">
        <v>45</v>
      </c>
      <c r="Z418" t="s">
        <v>1534</v>
      </c>
      <c r="AA418" t="s">
        <v>38</v>
      </c>
    </row>
    <row r="419" spans="1:27" hidden="1">
      <c r="A419" t="s">
        <v>1535</v>
      </c>
      <c r="B419" t="s">
        <v>1536</v>
      </c>
      <c r="C419" t="e">
        <f>VLOOKUP(B419,Sheet2!$A$2:$A$392,1,0)</f>
        <v>#N/A</v>
      </c>
      <c r="E419" t="s">
        <v>27</v>
      </c>
      <c r="F419" t="s">
        <v>28</v>
      </c>
      <c r="G419" t="s">
        <v>29</v>
      </c>
      <c r="I419" t="s">
        <v>42</v>
      </c>
      <c r="J419" s="2">
        <v>5318</v>
      </c>
      <c r="K419" s="2">
        <v>94</v>
      </c>
      <c r="L419" s="2">
        <v>3884</v>
      </c>
      <c r="N419" s="2">
        <v>7</v>
      </c>
      <c r="P419" t="s">
        <v>1537</v>
      </c>
      <c r="R419" t="s">
        <v>32</v>
      </c>
      <c r="S419" t="s">
        <v>33</v>
      </c>
      <c r="T419" t="s">
        <v>34</v>
      </c>
      <c r="U419" t="s">
        <v>35</v>
      </c>
      <c r="X419" t="s">
        <v>147</v>
      </c>
      <c r="Y419" t="s">
        <v>154</v>
      </c>
      <c r="Z419" t="s">
        <v>615</v>
      </c>
      <c r="AA419" t="s">
        <v>38</v>
      </c>
    </row>
    <row r="420" spans="1:27">
      <c r="A420" t="s">
        <v>1538</v>
      </c>
      <c r="B420" t="s">
        <v>1532</v>
      </c>
      <c r="C420" t="str">
        <f>VLOOKUP(B420,Sheet2!$A$2:$A$392,1,0)</f>
        <v>KM. HENG HENG</v>
      </c>
      <c r="E420" t="s">
        <v>27</v>
      </c>
      <c r="F420" t="s">
        <v>41</v>
      </c>
      <c r="G420" t="s">
        <v>158</v>
      </c>
      <c r="J420" s="2">
        <v>638</v>
      </c>
      <c r="K420" s="3">
        <v>70.06</v>
      </c>
      <c r="L420" s="2">
        <v>1209</v>
      </c>
      <c r="O420" t="s">
        <v>159</v>
      </c>
      <c r="P420" t="s">
        <v>1539</v>
      </c>
      <c r="R420" t="s">
        <v>32</v>
      </c>
      <c r="S420" t="s">
        <v>33</v>
      </c>
      <c r="U420" t="s">
        <v>35</v>
      </c>
      <c r="V420" s="2">
        <v>0</v>
      </c>
      <c r="W420" t="s">
        <v>63</v>
      </c>
      <c r="X420" t="s">
        <v>34</v>
      </c>
      <c r="Y420" t="s">
        <v>64</v>
      </c>
      <c r="Z420" t="s">
        <v>1540</v>
      </c>
      <c r="AA420" t="s">
        <v>38</v>
      </c>
    </row>
    <row r="421" spans="1:27" hidden="1">
      <c r="A421" t="s">
        <v>1541</v>
      </c>
      <c r="B421" t="s">
        <v>1542</v>
      </c>
      <c r="C421" t="e">
        <f>VLOOKUP(B421,Sheet2!$A$2:$A$392,1,0)</f>
        <v>#N/A</v>
      </c>
      <c r="E421" t="s">
        <v>27</v>
      </c>
      <c r="F421" t="s">
        <v>41</v>
      </c>
      <c r="G421" t="s">
        <v>29</v>
      </c>
      <c r="J421" s="2">
        <v>400</v>
      </c>
      <c r="K421" s="2">
        <v>70</v>
      </c>
      <c r="L421" s="2">
        <v>150</v>
      </c>
      <c r="M421" s="2">
        <v>500</v>
      </c>
      <c r="N421" s="2">
        <v>5</v>
      </c>
      <c r="O421" t="s">
        <v>254</v>
      </c>
      <c r="P421" t="s">
        <v>1541</v>
      </c>
      <c r="Q421" t="s">
        <v>34</v>
      </c>
      <c r="R421" t="s">
        <v>42</v>
      </c>
      <c r="S421" t="s">
        <v>33</v>
      </c>
      <c r="U421" t="s">
        <v>44</v>
      </c>
      <c r="X421" t="s">
        <v>34</v>
      </c>
      <c r="Y421" t="s">
        <v>45</v>
      </c>
      <c r="Z421" t="s">
        <v>1543</v>
      </c>
      <c r="AA421" t="s">
        <v>38</v>
      </c>
    </row>
    <row r="422" spans="1:27" hidden="1">
      <c r="A422" t="s">
        <v>1544</v>
      </c>
      <c r="B422" t="s">
        <v>1545</v>
      </c>
      <c r="C422" t="e">
        <f>VLOOKUP(B422,Sheet2!$A$2:$A$392,1,0)</f>
        <v>#N/A</v>
      </c>
      <c r="E422" t="s">
        <v>27</v>
      </c>
      <c r="F422" t="s">
        <v>41</v>
      </c>
      <c r="G422" t="s">
        <v>29</v>
      </c>
      <c r="I422" t="s">
        <v>42</v>
      </c>
      <c r="J422" s="2">
        <v>5082</v>
      </c>
      <c r="K422" s="2">
        <v>97</v>
      </c>
      <c r="L422" s="2">
        <v>2985</v>
      </c>
      <c r="P422" t="s">
        <v>1546</v>
      </c>
      <c r="R422" t="s">
        <v>581</v>
      </c>
      <c r="S422" t="s">
        <v>33</v>
      </c>
      <c r="T422" t="s">
        <v>34</v>
      </c>
      <c r="U422" t="s">
        <v>35</v>
      </c>
      <c r="X422" t="s">
        <v>34</v>
      </c>
      <c r="Y422" t="s">
        <v>45</v>
      </c>
      <c r="Z422" t="s">
        <v>1547</v>
      </c>
      <c r="AA422" t="s">
        <v>38</v>
      </c>
    </row>
    <row r="423" spans="1:27" hidden="1">
      <c r="A423" t="s">
        <v>1548</v>
      </c>
      <c r="B423" t="s">
        <v>1549</v>
      </c>
      <c r="C423" t="e">
        <f>VLOOKUP(B423,Sheet2!$A$2:$A$392,1,0)</f>
        <v>#N/A</v>
      </c>
      <c r="E423" t="s">
        <v>206</v>
      </c>
      <c r="F423" t="s">
        <v>41</v>
      </c>
      <c r="G423" t="s">
        <v>29</v>
      </c>
      <c r="J423" s="2">
        <v>400</v>
      </c>
      <c r="K423" s="2">
        <v>60</v>
      </c>
      <c r="L423" s="2">
        <v>150</v>
      </c>
      <c r="P423" s="2">
        <v>1</v>
      </c>
      <c r="Q423" t="s">
        <v>34</v>
      </c>
      <c r="R423" t="s">
        <v>42</v>
      </c>
      <c r="S423" t="s">
        <v>33</v>
      </c>
      <c r="U423" t="s">
        <v>35</v>
      </c>
      <c r="X423" t="s">
        <v>34</v>
      </c>
      <c r="Y423" t="s">
        <v>45</v>
      </c>
      <c r="Z423" t="s">
        <v>1550</v>
      </c>
      <c r="AA423" t="s">
        <v>38</v>
      </c>
    </row>
    <row r="424" spans="1:27" hidden="1">
      <c r="A424" t="s">
        <v>1551</v>
      </c>
      <c r="B424" t="s">
        <v>1552</v>
      </c>
      <c r="C424" t="e">
        <f>VLOOKUP(B424,Sheet2!$A$2:$A$392,1,0)</f>
        <v>#N/A</v>
      </c>
      <c r="E424" t="s">
        <v>249</v>
      </c>
      <c r="G424" t="s">
        <v>250</v>
      </c>
      <c r="I424" t="s">
        <v>42</v>
      </c>
      <c r="J424" s="2">
        <v>8180</v>
      </c>
      <c r="K424">
        <v>119.9</v>
      </c>
      <c r="L424" s="2">
        <v>6640</v>
      </c>
      <c r="P424" t="s">
        <v>1553</v>
      </c>
      <c r="S424" t="s">
        <v>33</v>
      </c>
      <c r="X424" t="s">
        <v>34</v>
      </c>
      <c r="AA424" t="s">
        <v>38</v>
      </c>
    </row>
    <row r="425" spans="1:27">
      <c r="A425" t="s">
        <v>1554</v>
      </c>
      <c r="B425" t="s">
        <v>1555</v>
      </c>
      <c r="C425" t="str">
        <f>VLOOKUP(B425,Sheet2!$A$2:$A$392,1,0)</f>
        <v>MV. HANEI</v>
      </c>
      <c r="E425" t="s">
        <v>27</v>
      </c>
      <c r="F425" t="s">
        <v>41</v>
      </c>
      <c r="G425" t="s">
        <v>29</v>
      </c>
      <c r="I425" t="s">
        <v>42</v>
      </c>
      <c r="J425" s="2">
        <v>3650</v>
      </c>
      <c r="K425" s="2">
        <v>88</v>
      </c>
      <c r="L425" s="2">
        <v>1944</v>
      </c>
      <c r="P425" t="s">
        <v>1556</v>
      </c>
      <c r="R425" t="s">
        <v>32</v>
      </c>
      <c r="S425" t="s">
        <v>33</v>
      </c>
      <c r="T425" t="s">
        <v>34</v>
      </c>
      <c r="U425" t="s">
        <v>35</v>
      </c>
      <c r="X425" t="s">
        <v>34</v>
      </c>
      <c r="Y425" t="s">
        <v>45</v>
      </c>
      <c r="Z425" t="s">
        <v>1557</v>
      </c>
      <c r="AA425" t="s">
        <v>38</v>
      </c>
    </row>
    <row r="426" spans="1:27" hidden="1">
      <c r="A426" t="s">
        <v>1558</v>
      </c>
      <c r="B426" t="s">
        <v>1559</v>
      </c>
      <c r="C426" t="e">
        <f>VLOOKUP(B426,Sheet2!$A$2:$A$392,1,0)</f>
        <v>#N/A</v>
      </c>
      <c r="E426" t="s">
        <v>93</v>
      </c>
      <c r="G426" t="s">
        <v>1301</v>
      </c>
      <c r="I426" t="s">
        <v>42</v>
      </c>
      <c r="J426" s="2">
        <v>600</v>
      </c>
      <c r="K426" s="3">
        <v>53.89</v>
      </c>
      <c r="L426" s="2">
        <v>382</v>
      </c>
      <c r="P426" t="s">
        <v>1560</v>
      </c>
      <c r="S426" t="s">
        <v>33</v>
      </c>
      <c r="X426" t="s">
        <v>34</v>
      </c>
      <c r="AA426" t="s">
        <v>38</v>
      </c>
    </row>
    <row r="427" spans="1:27" hidden="1">
      <c r="A427" t="s">
        <v>1561</v>
      </c>
      <c r="B427" t="s">
        <v>1562</v>
      </c>
      <c r="C427" t="e">
        <f>VLOOKUP(B427,Sheet2!$A$2:$A$392,1,0)</f>
        <v>#N/A</v>
      </c>
      <c r="E427" t="s">
        <v>40</v>
      </c>
      <c r="F427" t="s">
        <v>41</v>
      </c>
      <c r="G427" t="s">
        <v>29</v>
      </c>
      <c r="I427" t="s">
        <v>42</v>
      </c>
      <c r="J427" s="2">
        <v>5000</v>
      </c>
      <c r="K427" s="2">
        <v>82</v>
      </c>
      <c r="L427" s="2">
        <v>2243</v>
      </c>
      <c r="P427" t="s">
        <v>1563</v>
      </c>
      <c r="R427" t="s">
        <v>581</v>
      </c>
      <c r="S427" t="s">
        <v>33</v>
      </c>
      <c r="T427" t="s">
        <v>34</v>
      </c>
      <c r="U427" t="s">
        <v>44</v>
      </c>
      <c r="X427" t="s">
        <v>34</v>
      </c>
      <c r="Y427" t="s">
        <v>45</v>
      </c>
      <c r="Z427" t="s">
        <v>1564</v>
      </c>
      <c r="AA427" t="s">
        <v>38</v>
      </c>
    </row>
    <row r="428" spans="1:27" hidden="1">
      <c r="A428" t="s">
        <v>1565</v>
      </c>
      <c r="B428" t="s">
        <v>1566</v>
      </c>
      <c r="C428" t="e">
        <f>VLOOKUP(B428,Sheet2!$A$2:$A$392,1,0)</f>
        <v>#N/A</v>
      </c>
      <c r="E428" t="s">
        <v>40</v>
      </c>
      <c r="F428" t="s">
        <v>41</v>
      </c>
      <c r="G428" t="s">
        <v>29</v>
      </c>
      <c r="I428" t="s">
        <v>42</v>
      </c>
      <c r="J428" s="2">
        <v>7500</v>
      </c>
      <c r="K428" s="2">
        <v>91</v>
      </c>
      <c r="L428" s="2">
        <v>3361</v>
      </c>
      <c r="P428" t="s">
        <v>1465</v>
      </c>
      <c r="R428" t="s">
        <v>42</v>
      </c>
      <c r="S428" t="s">
        <v>33</v>
      </c>
      <c r="T428" t="s">
        <v>34</v>
      </c>
      <c r="U428" t="s">
        <v>35</v>
      </c>
      <c r="X428" t="s">
        <v>34</v>
      </c>
      <c r="Y428" t="s">
        <v>45</v>
      </c>
      <c r="Z428" t="s">
        <v>1567</v>
      </c>
      <c r="AA428" t="s">
        <v>38</v>
      </c>
    </row>
    <row r="429" spans="1:27" hidden="1">
      <c r="A429" t="s">
        <v>1568</v>
      </c>
      <c r="B429" t="s">
        <v>1569</v>
      </c>
      <c r="C429" t="e">
        <f>VLOOKUP(B429,Sheet2!$A$2:$A$392,1,0)</f>
        <v>#N/A</v>
      </c>
      <c r="E429" t="s">
        <v>40</v>
      </c>
      <c r="F429" t="s">
        <v>41</v>
      </c>
      <c r="G429" t="s">
        <v>29</v>
      </c>
      <c r="I429" t="s">
        <v>42</v>
      </c>
      <c r="J429" s="2">
        <v>10000</v>
      </c>
      <c r="K429" s="2">
        <v>100</v>
      </c>
      <c r="L429" s="2">
        <v>4519</v>
      </c>
      <c r="P429" t="s">
        <v>1570</v>
      </c>
      <c r="R429" t="s">
        <v>42</v>
      </c>
      <c r="S429" t="s">
        <v>33</v>
      </c>
      <c r="T429" t="s">
        <v>34</v>
      </c>
      <c r="U429" t="s">
        <v>35</v>
      </c>
      <c r="X429" t="s">
        <v>34</v>
      </c>
      <c r="Y429" t="s">
        <v>45</v>
      </c>
      <c r="Z429" t="s">
        <v>1571</v>
      </c>
      <c r="AA429" t="s">
        <v>38</v>
      </c>
    </row>
    <row r="430" spans="1:27" hidden="1">
      <c r="A430" t="s">
        <v>1572</v>
      </c>
      <c r="B430" t="s">
        <v>1573</v>
      </c>
      <c r="C430" t="e">
        <f>VLOOKUP(B430,Sheet2!$A$2:$A$392,1,0)</f>
        <v>#N/A</v>
      </c>
      <c r="E430" t="s">
        <v>40</v>
      </c>
      <c r="F430" t="s">
        <v>41</v>
      </c>
      <c r="G430" t="s">
        <v>29</v>
      </c>
      <c r="I430" t="s">
        <v>42</v>
      </c>
      <c r="J430" s="2">
        <v>10341</v>
      </c>
      <c r="K430" s="2">
        <v>100</v>
      </c>
      <c r="L430" s="2">
        <v>4502</v>
      </c>
      <c r="P430" t="s">
        <v>1574</v>
      </c>
      <c r="R430" t="s">
        <v>42</v>
      </c>
      <c r="S430" t="s">
        <v>33</v>
      </c>
      <c r="T430" t="s">
        <v>34</v>
      </c>
      <c r="U430" t="s">
        <v>44</v>
      </c>
      <c r="X430" t="s">
        <v>34</v>
      </c>
      <c r="Y430" t="s">
        <v>45</v>
      </c>
      <c r="Z430" t="s">
        <v>1575</v>
      </c>
      <c r="AA430" t="s">
        <v>38</v>
      </c>
    </row>
    <row r="431" spans="1:27" hidden="1">
      <c r="A431" t="s">
        <v>1576</v>
      </c>
      <c r="B431" t="s">
        <v>1577</v>
      </c>
      <c r="C431" t="e">
        <f>VLOOKUP(B431,Sheet2!$A$2:$A$392,1,0)</f>
        <v>#N/A</v>
      </c>
      <c r="E431" t="s">
        <v>40</v>
      </c>
      <c r="F431" t="s">
        <v>41</v>
      </c>
      <c r="G431" t="s">
        <v>29</v>
      </c>
      <c r="I431" t="s">
        <v>42</v>
      </c>
      <c r="J431" s="2">
        <v>8000</v>
      </c>
      <c r="K431" s="2">
        <v>91</v>
      </c>
      <c r="L431" s="2">
        <v>3296</v>
      </c>
      <c r="M431" s="2">
        <v>1100</v>
      </c>
      <c r="P431" t="s">
        <v>185</v>
      </c>
      <c r="R431" t="s">
        <v>42</v>
      </c>
      <c r="S431" t="s">
        <v>33</v>
      </c>
      <c r="T431" t="s">
        <v>34</v>
      </c>
      <c r="U431" t="s">
        <v>35</v>
      </c>
      <c r="X431" t="s">
        <v>34</v>
      </c>
      <c r="Y431" t="s">
        <v>45</v>
      </c>
      <c r="Z431" t="s">
        <v>1578</v>
      </c>
      <c r="AA431" t="s">
        <v>38</v>
      </c>
    </row>
    <row r="432" spans="1:27" hidden="1">
      <c r="A432" t="s">
        <v>1579</v>
      </c>
      <c r="B432" t="s">
        <v>1580</v>
      </c>
      <c r="C432" t="e">
        <f>VLOOKUP(B432,Sheet2!$A$2:$A$392,1,0)</f>
        <v>#N/A</v>
      </c>
      <c r="E432" t="s">
        <v>27</v>
      </c>
      <c r="F432" t="s">
        <v>41</v>
      </c>
      <c r="G432" t="s">
        <v>29</v>
      </c>
      <c r="J432" s="2">
        <v>400</v>
      </c>
      <c r="K432" s="2">
        <v>60</v>
      </c>
      <c r="L432" s="2">
        <v>120</v>
      </c>
      <c r="M432" s="2">
        <v>500</v>
      </c>
      <c r="N432" s="2">
        <v>5</v>
      </c>
      <c r="P432" t="s">
        <v>1579</v>
      </c>
      <c r="Q432" t="s">
        <v>34</v>
      </c>
      <c r="R432" t="s">
        <v>42</v>
      </c>
      <c r="S432" t="s">
        <v>33</v>
      </c>
      <c r="U432" t="s">
        <v>44</v>
      </c>
      <c r="X432" t="s">
        <v>34</v>
      </c>
      <c r="Y432" t="s">
        <v>45</v>
      </c>
      <c r="Z432" t="s">
        <v>1581</v>
      </c>
      <c r="AA432" t="s">
        <v>38</v>
      </c>
    </row>
    <row r="433" spans="1:27" hidden="1">
      <c r="A433" t="s">
        <v>1582</v>
      </c>
      <c r="B433" t="s">
        <v>1583</v>
      </c>
      <c r="C433" t="e">
        <f>VLOOKUP(B433,Sheet2!$A$2:$A$392,1,0)</f>
        <v>#N/A</v>
      </c>
      <c r="E433" t="s">
        <v>27</v>
      </c>
      <c r="F433" t="s">
        <v>41</v>
      </c>
      <c r="G433" t="s">
        <v>29</v>
      </c>
      <c r="J433" s="2">
        <v>210</v>
      </c>
      <c r="K433" s="2">
        <v>50</v>
      </c>
      <c r="L433" s="2">
        <v>400</v>
      </c>
      <c r="P433" s="2">
        <v>1234</v>
      </c>
      <c r="Q433" t="s">
        <v>34</v>
      </c>
      <c r="R433" t="s">
        <v>42</v>
      </c>
      <c r="S433" t="s">
        <v>33</v>
      </c>
      <c r="U433" t="s">
        <v>35</v>
      </c>
      <c r="X433" t="s">
        <v>34</v>
      </c>
      <c r="Y433" t="s">
        <v>1241</v>
      </c>
      <c r="Z433" t="s">
        <v>1584</v>
      </c>
      <c r="AA433" t="s">
        <v>38</v>
      </c>
    </row>
    <row r="434" spans="1:27" hidden="1">
      <c r="A434" t="s">
        <v>1585</v>
      </c>
      <c r="B434" t="s">
        <v>1586</v>
      </c>
      <c r="C434" t="e">
        <f>VLOOKUP(B434,Sheet2!$A$2:$A$392,1,0)</f>
        <v>#N/A</v>
      </c>
      <c r="E434" t="s">
        <v>40</v>
      </c>
      <c r="F434" t="s">
        <v>41</v>
      </c>
      <c r="G434" t="s">
        <v>29</v>
      </c>
      <c r="I434" t="s">
        <v>42</v>
      </c>
      <c r="J434" s="2">
        <v>8000</v>
      </c>
      <c r="K434" s="2">
        <v>91</v>
      </c>
      <c r="L434" s="2">
        <v>3361</v>
      </c>
      <c r="P434" t="s">
        <v>1587</v>
      </c>
      <c r="R434" t="s">
        <v>42</v>
      </c>
      <c r="S434" t="s">
        <v>33</v>
      </c>
      <c r="T434" t="s">
        <v>34</v>
      </c>
      <c r="U434" t="s">
        <v>44</v>
      </c>
      <c r="X434" t="s">
        <v>34</v>
      </c>
      <c r="Y434" t="s">
        <v>45</v>
      </c>
      <c r="Z434" t="s">
        <v>1588</v>
      </c>
      <c r="AA434" t="s">
        <v>38</v>
      </c>
    </row>
    <row r="435" spans="1:27" hidden="1">
      <c r="A435" t="s">
        <v>1589</v>
      </c>
      <c r="B435" t="s">
        <v>1590</v>
      </c>
      <c r="C435" t="e">
        <f>VLOOKUP(B435,Sheet2!$A$2:$A$392,1,0)</f>
        <v>#N/A</v>
      </c>
      <c r="E435" t="s">
        <v>40</v>
      </c>
      <c r="F435" t="s">
        <v>41</v>
      </c>
      <c r="G435" t="s">
        <v>29</v>
      </c>
      <c r="I435" t="s">
        <v>42</v>
      </c>
      <c r="J435" s="2">
        <v>8000</v>
      </c>
      <c r="K435" s="2">
        <v>87</v>
      </c>
      <c r="L435" s="2">
        <v>3314</v>
      </c>
      <c r="P435" t="s">
        <v>1591</v>
      </c>
      <c r="R435" t="s">
        <v>42</v>
      </c>
      <c r="S435" t="s">
        <v>33</v>
      </c>
      <c r="T435" t="s">
        <v>34</v>
      </c>
      <c r="U435" t="s">
        <v>35</v>
      </c>
      <c r="X435" t="s">
        <v>34</v>
      </c>
      <c r="Y435" t="s">
        <v>45</v>
      </c>
      <c r="Z435" t="s">
        <v>1592</v>
      </c>
      <c r="AA435" t="s">
        <v>38</v>
      </c>
    </row>
    <row r="436" spans="1:27">
      <c r="A436" t="s">
        <v>1593</v>
      </c>
      <c r="B436" t="s">
        <v>1594</v>
      </c>
      <c r="C436" t="str">
        <f>VLOOKUP(B436,Sheet2!$A$2:$A$392,1,0)</f>
        <v>TB. HASNUR 02/BG HASNUR 303</v>
      </c>
      <c r="E436" t="s">
        <v>40</v>
      </c>
      <c r="F436" t="s">
        <v>28</v>
      </c>
      <c r="G436" t="s">
        <v>29</v>
      </c>
      <c r="J436" s="2">
        <v>7900</v>
      </c>
      <c r="K436" s="3">
        <v>87.78</v>
      </c>
      <c r="L436" s="2">
        <v>4319</v>
      </c>
      <c r="O436" t="s">
        <v>482</v>
      </c>
      <c r="P436" t="s">
        <v>1595</v>
      </c>
      <c r="R436" t="s">
        <v>42</v>
      </c>
      <c r="S436" t="s">
        <v>33</v>
      </c>
      <c r="U436" t="s">
        <v>44</v>
      </c>
      <c r="X436" t="s">
        <v>34</v>
      </c>
      <c r="Y436" t="s">
        <v>45</v>
      </c>
      <c r="Z436" t="s">
        <v>1596</v>
      </c>
      <c r="AA436" t="s">
        <v>38</v>
      </c>
    </row>
    <row r="437" spans="1:27" hidden="1">
      <c r="A437" t="s">
        <v>1597</v>
      </c>
      <c r="B437" t="s">
        <v>1598</v>
      </c>
      <c r="C437" t="e">
        <f>VLOOKUP(B437,Sheet2!$A$2:$A$392,1,0)</f>
        <v>#N/A</v>
      </c>
      <c r="E437" t="s">
        <v>40</v>
      </c>
      <c r="F437" t="s">
        <v>41</v>
      </c>
      <c r="G437" t="s">
        <v>158</v>
      </c>
      <c r="I437" t="s">
        <v>42</v>
      </c>
      <c r="J437" s="2">
        <v>4500</v>
      </c>
      <c r="K437">
        <v>82.3</v>
      </c>
      <c r="L437" s="2">
        <v>200</v>
      </c>
      <c r="M437">
        <v>1.8</v>
      </c>
      <c r="N437">
        <v>3.5</v>
      </c>
      <c r="P437" t="s">
        <v>1599</v>
      </c>
      <c r="R437" t="s">
        <v>42</v>
      </c>
      <c r="S437" t="s">
        <v>33</v>
      </c>
      <c r="T437" t="s">
        <v>34</v>
      </c>
      <c r="U437" t="s">
        <v>35</v>
      </c>
      <c r="X437" t="s">
        <v>147</v>
      </c>
      <c r="Y437" t="s">
        <v>45</v>
      </c>
      <c r="Z437" t="s">
        <v>1600</v>
      </c>
      <c r="AA437" t="s">
        <v>38</v>
      </c>
    </row>
    <row r="438" spans="1:27" hidden="1">
      <c r="A438" t="s">
        <v>1601</v>
      </c>
      <c r="B438" t="s">
        <v>1602</v>
      </c>
      <c r="C438" t="e">
        <f>VLOOKUP(B438,Sheet2!$A$2:$A$392,1,0)</f>
        <v>#N/A</v>
      </c>
      <c r="E438" t="s">
        <v>40</v>
      </c>
      <c r="F438" t="s">
        <v>41</v>
      </c>
      <c r="G438" t="s">
        <v>158</v>
      </c>
      <c r="I438" t="s">
        <v>42</v>
      </c>
      <c r="J438" s="2">
        <v>4500</v>
      </c>
      <c r="K438">
        <v>82.3</v>
      </c>
      <c r="L438" s="2">
        <v>2140</v>
      </c>
      <c r="N438">
        <v>3.5</v>
      </c>
      <c r="P438" t="s">
        <v>74</v>
      </c>
      <c r="R438" t="s">
        <v>42</v>
      </c>
      <c r="S438" t="s">
        <v>33</v>
      </c>
      <c r="T438" t="s">
        <v>34</v>
      </c>
      <c r="U438" t="s">
        <v>35</v>
      </c>
      <c r="X438" t="s">
        <v>147</v>
      </c>
      <c r="Y438" t="s">
        <v>45</v>
      </c>
      <c r="Z438" t="s">
        <v>1603</v>
      </c>
      <c r="AA438" t="s">
        <v>38</v>
      </c>
    </row>
    <row r="439" spans="1:27" hidden="1">
      <c r="A439" t="s">
        <v>1604</v>
      </c>
      <c r="B439" t="s">
        <v>1605</v>
      </c>
      <c r="C439" t="e">
        <f>VLOOKUP(B439,Sheet2!$A$2:$A$392,1,0)</f>
        <v>#N/A</v>
      </c>
      <c r="E439" t="s">
        <v>52</v>
      </c>
      <c r="F439" t="s">
        <v>41</v>
      </c>
      <c r="G439" t="s">
        <v>415</v>
      </c>
      <c r="J439" s="2">
        <v>3900</v>
      </c>
      <c r="K439">
        <v>89.8</v>
      </c>
      <c r="L439" s="2">
        <v>2572</v>
      </c>
      <c r="M439" s="2">
        <v>2200</v>
      </c>
      <c r="N439" s="2">
        <v>7</v>
      </c>
      <c r="O439" t="s">
        <v>1606</v>
      </c>
      <c r="P439" t="s">
        <v>1607</v>
      </c>
      <c r="R439" t="s">
        <v>42</v>
      </c>
      <c r="S439" t="s">
        <v>33</v>
      </c>
      <c r="U439" t="s">
        <v>44</v>
      </c>
      <c r="V439" s="2">
        <v>2</v>
      </c>
      <c r="W439" t="s">
        <v>63</v>
      </c>
      <c r="X439" t="s">
        <v>34</v>
      </c>
      <c r="Y439" t="s">
        <v>64</v>
      </c>
      <c r="Z439" t="s">
        <v>1608</v>
      </c>
      <c r="AA439" t="s">
        <v>38</v>
      </c>
    </row>
    <row r="440" spans="1:27" hidden="1">
      <c r="A440" t="s">
        <v>1609</v>
      </c>
      <c r="B440" t="s">
        <v>1610</v>
      </c>
      <c r="C440" t="e">
        <f>VLOOKUP(B440,Sheet2!$A$2:$A$392,1,0)</f>
        <v>#N/A</v>
      </c>
      <c r="E440" t="s">
        <v>249</v>
      </c>
      <c r="G440" t="s">
        <v>336</v>
      </c>
      <c r="I440" t="s">
        <v>42</v>
      </c>
      <c r="J440" s="2">
        <v>10800</v>
      </c>
      <c r="K440">
        <v>130.19999999999999</v>
      </c>
      <c r="L440" s="2">
        <v>7455</v>
      </c>
      <c r="P440" t="s">
        <v>1611</v>
      </c>
      <c r="S440" t="s">
        <v>33</v>
      </c>
      <c r="X440" t="s">
        <v>34</v>
      </c>
      <c r="AA440" t="s">
        <v>38</v>
      </c>
    </row>
    <row r="441" spans="1:27" hidden="1">
      <c r="A441" t="s">
        <v>1612</v>
      </c>
      <c r="B441" t="s">
        <v>1613</v>
      </c>
      <c r="C441" t="e">
        <f>VLOOKUP(B441,Sheet2!$A$2:$A$392,1,0)</f>
        <v>#N/A</v>
      </c>
      <c r="E441" t="s">
        <v>72</v>
      </c>
      <c r="G441" t="s">
        <v>202</v>
      </c>
      <c r="I441" t="s">
        <v>42</v>
      </c>
      <c r="J441" s="2">
        <v>1</v>
      </c>
      <c r="K441" s="2">
        <v>75</v>
      </c>
      <c r="L441" s="2">
        <v>3146</v>
      </c>
      <c r="P441" t="s">
        <v>74</v>
      </c>
      <c r="S441" t="s">
        <v>33</v>
      </c>
      <c r="X441" t="s">
        <v>34</v>
      </c>
      <c r="AA441" t="s">
        <v>38</v>
      </c>
    </row>
    <row r="442" spans="1:27" hidden="1">
      <c r="A442" t="s">
        <v>1614</v>
      </c>
      <c r="B442" t="s">
        <v>1615</v>
      </c>
      <c r="C442" t="e">
        <f>VLOOKUP(B442,Sheet2!$A$2:$A$392,1,0)</f>
        <v>#N/A</v>
      </c>
      <c r="E442" t="s">
        <v>40</v>
      </c>
      <c r="F442" t="s">
        <v>41</v>
      </c>
      <c r="G442" t="s">
        <v>29</v>
      </c>
      <c r="I442" t="s">
        <v>42</v>
      </c>
      <c r="J442" s="2">
        <v>8000</v>
      </c>
      <c r="K442" s="2">
        <v>91</v>
      </c>
      <c r="L442" s="2">
        <v>3328</v>
      </c>
      <c r="P442" t="s">
        <v>1616</v>
      </c>
      <c r="R442" t="s">
        <v>581</v>
      </c>
      <c r="S442" t="s">
        <v>33</v>
      </c>
      <c r="T442" t="s">
        <v>34</v>
      </c>
      <c r="U442" t="s">
        <v>35</v>
      </c>
      <c r="X442" t="s">
        <v>34</v>
      </c>
      <c r="Y442" t="s">
        <v>45</v>
      </c>
      <c r="Z442" t="s">
        <v>1617</v>
      </c>
      <c r="AA442" t="s">
        <v>38</v>
      </c>
    </row>
    <row r="443" spans="1:27" hidden="1">
      <c r="A443" t="s">
        <v>1618</v>
      </c>
      <c r="B443" t="s">
        <v>1619</v>
      </c>
      <c r="C443" t="e">
        <f>VLOOKUP(B443,Sheet2!$A$2:$A$392,1,0)</f>
        <v>#N/A</v>
      </c>
      <c r="E443" t="s">
        <v>52</v>
      </c>
      <c r="F443" t="s">
        <v>28</v>
      </c>
      <c r="G443" t="s">
        <v>59</v>
      </c>
      <c r="I443" t="s">
        <v>1113</v>
      </c>
      <c r="J443" s="2">
        <v>55921</v>
      </c>
      <c r="K443" s="3">
        <v>189.99</v>
      </c>
      <c r="L443" s="2">
        <v>31236</v>
      </c>
      <c r="O443" t="s">
        <v>61</v>
      </c>
      <c r="P443" t="s">
        <v>1620</v>
      </c>
      <c r="R443" t="s">
        <v>1113</v>
      </c>
      <c r="S443" t="s">
        <v>33</v>
      </c>
      <c r="T443" t="s">
        <v>34</v>
      </c>
      <c r="U443" t="s">
        <v>35</v>
      </c>
      <c r="W443" t="s">
        <v>63</v>
      </c>
      <c r="X443" t="s">
        <v>34</v>
      </c>
      <c r="Y443" t="s">
        <v>64</v>
      </c>
      <c r="Z443" t="s">
        <v>1621</v>
      </c>
      <c r="AA443" t="s">
        <v>38</v>
      </c>
    </row>
    <row r="444" spans="1:27" hidden="1">
      <c r="A444" t="s">
        <v>1622</v>
      </c>
      <c r="B444" t="s">
        <v>1623</v>
      </c>
      <c r="C444" t="e">
        <f>VLOOKUP(B444,Sheet2!$A$2:$A$392,1,0)</f>
        <v>#N/A</v>
      </c>
      <c r="E444" t="s">
        <v>27</v>
      </c>
      <c r="G444" t="s">
        <v>747</v>
      </c>
      <c r="I444" t="s">
        <v>42</v>
      </c>
      <c r="J444" s="2">
        <v>2000</v>
      </c>
      <c r="K444">
        <v>89.8</v>
      </c>
      <c r="L444" s="2">
        <v>2996</v>
      </c>
      <c r="P444" t="s">
        <v>1624</v>
      </c>
      <c r="S444" t="s">
        <v>33</v>
      </c>
      <c r="X444" t="s">
        <v>34</v>
      </c>
      <c r="AA444" t="s">
        <v>38</v>
      </c>
    </row>
    <row r="445" spans="1:27" hidden="1">
      <c r="A445" t="s">
        <v>1625</v>
      </c>
      <c r="B445" t="s">
        <v>1626</v>
      </c>
      <c r="C445" t="e">
        <f>VLOOKUP(B445,Sheet2!$A$2:$A$392,1,0)</f>
        <v>#N/A</v>
      </c>
      <c r="E445" t="s">
        <v>27</v>
      </c>
      <c r="G445" t="s">
        <v>1627</v>
      </c>
      <c r="I445" t="s">
        <v>42</v>
      </c>
      <c r="J445" s="2">
        <v>12000</v>
      </c>
      <c r="K445">
        <v>129.80000000000001</v>
      </c>
      <c r="L445" s="2">
        <v>9269</v>
      </c>
      <c r="P445" t="s">
        <v>1628</v>
      </c>
      <c r="S445" t="s">
        <v>33</v>
      </c>
      <c r="X445" t="s">
        <v>34</v>
      </c>
      <c r="AA445" t="s">
        <v>38</v>
      </c>
    </row>
    <row r="446" spans="1:27" hidden="1">
      <c r="A446" t="s">
        <v>1629</v>
      </c>
      <c r="B446" t="s">
        <v>1630</v>
      </c>
      <c r="C446" t="e">
        <f>VLOOKUP(B446,Sheet2!$A$2:$A$392,1,0)</f>
        <v>#N/A</v>
      </c>
      <c r="E446" t="s">
        <v>27</v>
      </c>
      <c r="G446" t="s">
        <v>1627</v>
      </c>
      <c r="I446" t="s">
        <v>42</v>
      </c>
      <c r="J446" s="2">
        <v>12000</v>
      </c>
      <c r="K446">
        <v>121.5</v>
      </c>
      <c r="L446" s="2">
        <v>9099</v>
      </c>
      <c r="P446" t="s">
        <v>1631</v>
      </c>
      <c r="S446" t="s">
        <v>33</v>
      </c>
      <c r="X446" t="s">
        <v>34</v>
      </c>
      <c r="AA446" t="s">
        <v>38</v>
      </c>
    </row>
    <row r="447" spans="1:27">
      <c r="A447" t="s">
        <v>1632</v>
      </c>
      <c r="B447" t="s">
        <v>1633</v>
      </c>
      <c r="C447" t="str">
        <f>VLOOKUP(B447,Sheet2!$A$2:$A$392,1,0)</f>
        <v>KM. INDIMATAM</v>
      </c>
      <c r="E447" t="s">
        <v>27</v>
      </c>
      <c r="F447" t="s">
        <v>41</v>
      </c>
      <c r="G447" t="s">
        <v>29</v>
      </c>
      <c r="I447" t="s">
        <v>42</v>
      </c>
      <c r="J447" s="2">
        <v>1200</v>
      </c>
      <c r="K447" s="2">
        <v>46</v>
      </c>
      <c r="L447" s="2">
        <v>672</v>
      </c>
      <c r="P447" t="s">
        <v>1634</v>
      </c>
      <c r="R447" t="s">
        <v>32</v>
      </c>
      <c r="S447" t="s">
        <v>33</v>
      </c>
      <c r="T447" t="s">
        <v>34</v>
      </c>
      <c r="U447" t="s">
        <v>35</v>
      </c>
      <c r="W447" t="s">
        <v>165</v>
      </c>
      <c r="X447" t="s">
        <v>34</v>
      </c>
      <c r="Y447" t="s">
        <v>166</v>
      </c>
      <c r="Z447" t="s">
        <v>1635</v>
      </c>
      <c r="AA447" t="s">
        <v>38</v>
      </c>
    </row>
    <row r="448" spans="1:27" hidden="1">
      <c r="A448" t="s">
        <v>1636</v>
      </c>
      <c r="B448" t="s">
        <v>1637</v>
      </c>
      <c r="C448" t="e">
        <f>VLOOKUP(B448,Sheet2!$A$2:$A$392,1,0)</f>
        <v>#N/A</v>
      </c>
      <c r="E448" t="s">
        <v>27</v>
      </c>
      <c r="F448" t="s">
        <v>41</v>
      </c>
      <c r="G448" t="s">
        <v>29</v>
      </c>
      <c r="I448" t="s">
        <v>42</v>
      </c>
      <c r="J448" s="2">
        <v>1100</v>
      </c>
      <c r="K448" s="2">
        <v>58</v>
      </c>
      <c r="L448" s="2">
        <v>791</v>
      </c>
      <c r="P448" t="s">
        <v>1638</v>
      </c>
      <c r="R448" t="s">
        <v>32</v>
      </c>
      <c r="S448" t="s">
        <v>33</v>
      </c>
      <c r="T448" t="s">
        <v>34</v>
      </c>
      <c r="U448" t="s">
        <v>35</v>
      </c>
      <c r="X448" t="s">
        <v>34</v>
      </c>
      <c r="Y448" t="s">
        <v>45</v>
      </c>
      <c r="Z448" t="s">
        <v>1639</v>
      </c>
      <c r="AA448" t="s">
        <v>38</v>
      </c>
    </row>
    <row r="449" spans="1:27" hidden="1">
      <c r="A449" t="s">
        <v>1640</v>
      </c>
      <c r="B449" t="s">
        <v>1641</v>
      </c>
      <c r="C449" t="e">
        <f>VLOOKUP(B449,Sheet2!$A$2:$A$392,1,0)</f>
        <v>#N/A</v>
      </c>
      <c r="E449" t="s">
        <v>40</v>
      </c>
      <c r="F449" t="s">
        <v>41</v>
      </c>
      <c r="G449" t="s">
        <v>29</v>
      </c>
      <c r="I449" t="s">
        <v>42</v>
      </c>
      <c r="J449" s="2">
        <v>7000</v>
      </c>
      <c r="K449" s="2">
        <v>91</v>
      </c>
      <c r="L449" s="2">
        <v>3359</v>
      </c>
      <c r="P449" t="s">
        <v>185</v>
      </c>
      <c r="R449" t="s">
        <v>42</v>
      </c>
      <c r="S449" t="s">
        <v>33</v>
      </c>
      <c r="T449" t="s">
        <v>34</v>
      </c>
      <c r="U449" t="s">
        <v>35</v>
      </c>
      <c r="X449" t="s">
        <v>34</v>
      </c>
      <c r="Y449" t="s">
        <v>45</v>
      </c>
      <c r="Z449" t="s">
        <v>1642</v>
      </c>
      <c r="AA449" t="s">
        <v>38</v>
      </c>
    </row>
    <row r="450" spans="1:27" hidden="1">
      <c r="A450" t="s">
        <v>1643</v>
      </c>
      <c r="B450" t="s">
        <v>1644</v>
      </c>
      <c r="C450" t="e">
        <f>VLOOKUP(B450,Sheet2!$A$2:$A$392,1,0)</f>
        <v>#N/A</v>
      </c>
      <c r="E450" t="s">
        <v>52</v>
      </c>
      <c r="F450" t="s">
        <v>28</v>
      </c>
      <c r="G450" t="s">
        <v>59</v>
      </c>
      <c r="J450" s="2">
        <v>37483</v>
      </c>
      <c r="K450" s="2">
        <v>180</v>
      </c>
      <c r="L450" s="2">
        <v>23281</v>
      </c>
      <c r="O450" t="s">
        <v>61</v>
      </c>
      <c r="P450" t="s">
        <v>1645</v>
      </c>
      <c r="R450" t="s">
        <v>1113</v>
      </c>
      <c r="S450" t="s">
        <v>33</v>
      </c>
      <c r="U450" t="s">
        <v>35</v>
      </c>
      <c r="V450" s="2">
        <v>5</v>
      </c>
      <c r="W450" t="s">
        <v>63</v>
      </c>
      <c r="X450" t="s">
        <v>34</v>
      </c>
      <c r="Y450" t="s">
        <v>64</v>
      </c>
      <c r="Z450" t="s">
        <v>1646</v>
      </c>
      <c r="AA450" t="s">
        <v>38</v>
      </c>
    </row>
    <row r="451" spans="1:27" hidden="1">
      <c r="A451" t="s">
        <v>1647</v>
      </c>
      <c r="B451" t="s">
        <v>1648</v>
      </c>
      <c r="C451" t="e">
        <f>VLOOKUP(B451,Sheet2!$A$2:$A$392,1,0)</f>
        <v>#N/A</v>
      </c>
      <c r="E451" t="s">
        <v>40</v>
      </c>
      <c r="F451" t="s">
        <v>41</v>
      </c>
      <c r="G451" t="s">
        <v>29</v>
      </c>
      <c r="I451" t="s">
        <v>42</v>
      </c>
      <c r="J451" s="2">
        <v>8000</v>
      </c>
      <c r="K451" s="2">
        <v>91</v>
      </c>
      <c r="L451" s="2">
        <v>3232</v>
      </c>
      <c r="P451" t="s">
        <v>185</v>
      </c>
      <c r="R451" t="s">
        <v>42</v>
      </c>
      <c r="S451" t="s">
        <v>33</v>
      </c>
      <c r="T451" t="s">
        <v>34</v>
      </c>
      <c r="U451" t="s">
        <v>35</v>
      </c>
      <c r="X451" t="s">
        <v>34</v>
      </c>
      <c r="Y451" t="s">
        <v>45</v>
      </c>
      <c r="Z451" t="s">
        <v>1649</v>
      </c>
      <c r="AA451" t="s">
        <v>38</v>
      </c>
    </row>
    <row r="452" spans="1:27" hidden="1">
      <c r="A452" t="s">
        <v>1650</v>
      </c>
      <c r="B452" t="s">
        <v>1651</v>
      </c>
      <c r="C452" t="e">
        <f>VLOOKUP(B452,Sheet2!$A$2:$A$392,1,0)</f>
        <v>#N/A</v>
      </c>
      <c r="E452" t="s">
        <v>40</v>
      </c>
      <c r="F452" t="s">
        <v>41</v>
      </c>
      <c r="G452" t="s">
        <v>29</v>
      </c>
      <c r="I452" t="s">
        <v>42</v>
      </c>
      <c r="J452" s="2">
        <v>8000</v>
      </c>
      <c r="K452" s="2">
        <v>91</v>
      </c>
      <c r="L452" s="2">
        <v>3359</v>
      </c>
      <c r="M452" s="2">
        <v>2000</v>
      </c>
      <c r="N452" s="2">
        <v>4</v>
      </c>
      <c r="P452" t="s">
        <v>1652</v>
      </c>
      <c r="R452" t="s">
        <v>581</v>
      </c>
      <c r="S452" t="s">
        <v>33</v>
      </c>
      <c r="T452" t="s">
        <v>34</v>
      </c>
      <c r="U452" t="s">
        <v>35</v>
      </c>
      <c r="X452" t="s">
        <v>34</v>
      </c>
      <c r="Y452" t="s">
        <v>45</v>
      </c>
      <c r="Z452" t="s">
        <v>1653</v>
      </c>
      <c r="AA452" t="s">
        <v>38</v>
      </c>
    </row>
    <row r="453" spans="1:27" hidden="1">
      <c r="A453" t="s">
        <v>1654</v>
      </c>
      <c r="B453" t="s">
        <v>1655</v>
      </c>
      <c r="C453" t="e">
        <f>VLOOKUP(B453,Sheet2!$A$2:$A$392,1,0)</f>
        <v>#N/A</v>
      </c>
      <c r="E453" t="s">
        <v>93</v>
      </c>
      <c r="G453" t="s">
        <v>94</v>
      </c>
      <c r="I453" t="s">
        <v>42</v>
      </c>
      <c r="J453" s="2">
        <v>961</v>
      </c>
      <c r="K453" s="2">
        <v>60</v>
      </c>
      <c r="L453" s="2">
        <v>961</v>
      </c>
      <c r="P453" t="s">
        <v>1656</v>
      </c>
      <c r="S453" t="s">
        <v>33</v>
      </c>
      <c r="X453" t="s">
        <v>34</v>
      </c>
      <c r="Y453" t="s">
        <v>96</v>
      </c>
      <c r="Z453" t="s">
        <v>1657</v>
      </c>
      <c r="AA453" t="s">
        <v>38</v>
      </c>
    </row>
    <row r="454" spans="1:27">
      <c r="A454" t="s">
        <v>1658</v>
      </c>
      <c r="B454" t="s">
        <v>1659</v>
      </c>
      <c r="C454" t="str">
        <f>VLOOKUP(B454,Sheet2!$A$2:$A$392,1,0)</f>
        <v>KM. INDI NURMATALIA 07</v>
      </c>
      <c r="E454" t="s">
        <v>27</v>
      </c>
      <c r="F454" t="s">
        <v>41</v>
      </c>
      <c r="G454" t="s">
        <v>29</v>
      </c>
      <c r="I454" t="s">
        <v>42</v>
      </c>
      <c r="J454" s="2">
        <v>2200</v>
      </c>
      <c r="K454" s="2">
        <v>73</v>
      </c>
      <c r="L454" s="2">
        <v>1385</v>
      </c>
      <c r="P454" t="s">
        <v>1660</v>
      </c>
      <c r="R454" t="s">
        <v>32</v>
      </c>
      <c r="S454" t="s">
        <v>33</v>
      </c>
      <c r="T454" t="s">
        <v>34</v>
      </c>
      <c r="U454" t="s">
        <v>35</v>
      </c>
      <c r="X454" t="s">
        <v>34</v>
      </c>
      <c r="Y454" t="s">
        <v>378</v>
      </c>
      <c r="Z454" t="s">
        <v>1661</v>
      </c>
      <c r="AA454" t="s">
        <v>38</v>
      </c>
    </row>
    <row r="455" spans="1:27" hidden="1">
      <c r="A455" t="s">
        <v>1662</v>
      </c>
      <c r="B455" t="s">
        <v>1663</v>
      </c>
      <c r="C455" t="e">
        <f>VLOOKUP(B455,Sheet2!$A$2:$A$392,1,0)</f>
        <v>#N/A</v>
      </c>
      <c r="E455" t="s">
        <v>170</v>
      </c>
      <c r="I455" t="s">
        <v>42</v>
      </c>
      <c r="J455" s="2">
        <v>13526</v>
      </c>
      <c r="K455" s="2">
        <v>132</v>
      </c>
      <c r="L455" s="2">
        <v>7916</v>
      </c>
      <c r="P455" t="s">
        <v>1664</v>
      </c>
      <c r="S455" t="s">
        <v>33</v>
      </c>
      <c r="X455" t="s">
        <v>34</v>
      </c>
      <c r="AA455" t="s">
        <v>38</v>
      </c>
    </row>
    <row r="456" spans="1:27" hidden="1">
      <c r="A456" t="s">
        <v>1665</v>
      </c>
      <c r="B456" t="s">
        <v>1666</v>
      </c>
      <c r="C456" t="e">
        <f>VLOOKUP(B456,Sheet2!$A$2:$A$392,1,0)</f>
        <v>#N/A</v>
      </c>
      <c r="E456" t="s">
        <v>27</v>
      </c>
      <c r="F456" t="s">
        <v>41</v>
      </c>
      <c r="G456" t="s">
        <v>29</v>
      </c>
      <c r="I456" t="s">
        <v>42</v>
      </c>
      <c r="J456" s="2">
        <v>2500</v>
      </c>
      <c r="K456" s="3">
        <v>70.760000000000005</v>
      </c>
      <c r="L456" s="2">
        <v>1525</v>
      </c>
      <c r="M456" s="2">
        <v>1000</v>
      </c>
      <c r="N456">
        <v>6.8</v>
      </c>
      <c r="P456" t="s">
        <v>1667</v>
      </c>
      <c r="R456" t="s">
        <v>42</v>
      </c>
      <c r="S456" t="s">
        <v>33</v>
      </c>
      <c r="T456" t="s">
        <v>34</v>
      </c>
      <c r="U456" t="s">
        <v>35</v>
      </c>
      <c r="V456" s="2">
        <v>1</v>
      </c>
      <c r="W456" t="s">
        <v>165</v>
      </c>
      <c r="X456" t="s">
        <v>34</v>
      </c>
      <c r="Y456" t="s">
        <v>245</v>
      </c>
      <c r="Z456" t="s">
        <v>718</v>
      </c>
      <c r="AA456" t="s">
        <v>38</v>
      </c>
    </row>
    <row r="457" spans="1:27" hidden="1">
      <c r="A457" t="s">
        <v>1668</v>
      </c>
      <c r="B457" t="s">
        <v>1669</v>
      </c>
      <c r="C457" t="e">
        <f>VLOOKUP(B457,Sheet2!$A$2:$A$392,1,0)</f>
        <v>#N/A</v>
      </c>
      <c r="E457" t="s">
        <v>27</v>
      </c>
      <c r="F457" t="s">
        <v>41</v>
      </c>
      <c r="G457" t="s">
        <v>29</v>
      </c>
      <c r="I457" t="s">
        <v>42</v>
      </c>
      <c r="J457" s="2">
        <v>1250</v>
      </c>
      <c r="K457" s="2">
        <v>56</v>
      </c>
      <c r="L457" s="2">
        <v>791</v>
      </c>
      <c r="M457" s="2">
        <v>1000</v>
      </c>
      <c r="P457" t="s">
        <v>1670</v>
      </c>
      <c r="R457" t="s">
        <v>32</v>
      </c>
      <c r="S457" t="s">
        <v>33</v>
      </c>
      <c r="T457" t="s">
        <v>34</v>
      </c>
      <c r="U457" t="s">
        <v>35</v>
      </c>
      <c r="X457" t="s">
        <v>34</v>
      </c>
      <c r="Y457" t="s">
        <v>45</v>
      </c>
      <c r="Z457" t="s">
        <v>1671</v>
      </c>
      <c r="AA457" t="s">
        <v>38</v>
      </c>
    </row>
    <row r="458" spans="1:27" hidden="1">
      <c r="A458" t="s">
        <v>1672</v>
      </c>
      <c r="B458" t="s">
        <v>1673</v>
      </c>
      <c r="C458" t="e">
        <f>VLOOKUP(B458,Sheet2!$A$2:$A$392,1,0)</f>
        <v>#N/A</v>
      </c>
      <c r="E458" t="s">
        <v>52</v>
      </c>
      <c r="F458" t="s">
        <v>28</v>
      </c>
      <c r="G458" t="s">
        <v>59</v>
      </c>
      <c r="I458" t="s">
        <v>30</v>
      </c>
      <c r="J458" s="3">
        <v>38.18</v>
      </c>
      <c r="K458" s="3">
        <v>173.52</v>
      </c>
      <c r="L458">
        <v>23.259</v>
      </c>
      <c r="O458" t="s">
        <v>61</v>
      </c>
      <c r="P458" t="s">
        <v>1674</v>
      </c>
      <c r="R458" t="s">
        <v>30</v>
      </c>
      <c r="S458" t="s">
        <v>33</v>
      </c>
      <c r="T458" t="s">
        <v>34</v>
      </c>
      <c r="U458" t="s">
        <v>35</v>
      </c>
      <c r="W458" t="s">
        <v>63</v>
      </c>
      <c r="X458" t="s">
        <v>34</v>
      </c>
      <c r="Y458" t="s">
        <v>64</v>
      </c>
      <c r="Z458" t="s">
        <v>1675</v>
      </c>
      <c r="AA458" t="s">
        <v>38</v>
      </c>
    </row>
    <row r="459" spans="1:27" hidden="1">
      <c r="A459" t="s">
        <v>1676</v>
      </c>
      <c r="B459" t="s">
        <v>1677</v>
      </c>
      <c r="C459" t="e">
        <f>VLOOKUP(B459,Sheet2!$A$2:$A$392,1,0)</f>
        <v>#N/A</v>
      </c>
      <c r="E459" t="s">
        <v>40</v>
      </c>
      <c r="G459" t="s">
        <v>202</v>
      </c>
      <c r="I459" t="s">
        <v>42</v>
      </c>
      <c r="J459" s="2">
        <v>1</v>
      </c>
      <c r="K459" s="2">
        <v>25</v>
      </c>
      <c r="L459" s="2">
        <v>210</v>
      </c>
      <c r="P459" t="s">
        <v>1678</v>
      </c>
      <c r="S459" t="s">
        <v>33</v>
      </c>
      <c r="X459" t="s">
        <v>34</v>
      </c>
      <c r="AA459" t="s">
        <v>38</v>
      </c>
    </row>
    <row r="460" spans="1:27">
      <c r="A460" t="s">
        <v>1679</v>
      </c>
      <c r="B460" t="s">
        <v>1680</v>
      </c>
      <c r="C460" t="str">
        <f>VLOOKUP(B460,Sheet2!$A$2:$A$392,1,0)</f>
        <v>KM. IRAMA</v>
      </c>
      <c r="E460" t="s">
        <v>27</v>
      </c>
      <c r="F460" t="s">
        <v>41</v>
      </c>
      <c r="G460" t="s">
        <v>29</v>
      </c>
      <c r="J460" s="2">
        <v>2000</v>
      </c>
      <c r="K460">
        <v>60.1</v>
      </c>
      <c r="L460" s="2">
        <v>1149</v>
      </c>
      <c r="M460" s="2">
        <v>10000</v>
      </c>
      <c r="N460" s="2">
        <v>5</v>
      </c>
      <c r="O460" t="s">
        <v>254</v>
      </c>
      <c r="P460" t="s">
        <v>1679</v>
      </c>
      <c r="R460" t="s">
        <v>42</v>
      </c>
      <c r="S460" t="s">
        <v>33</v>
      </c>
      <c r="U460" t="s">
        <v>44</v>
      </c>
      <c r="X460" t="s">
        <v>34</v>
      </c>
      <c r="Y460" t="s">
        <v>45</v>
      </c>
      <c r="Z460" t="s">
        <v>1681</v>
      </c>
      <c r="AA460" t="s">
        <v>38</v>
      </c>
    </row>
    <row r="461" spans="1:27" hidden="1">
      <c r="A461" t="s">
        <v>1682</v>
      </c>
      <c r="B461" t="s">
        <v>1683</v>
      </c>
      <c r="C461" t="e">
        <f>VLOOKUP(B461,Sheet2!$A$2:$A$392,1,0)</f>
        <v>#N/A</v>
      </c>
      <c r="E461" t="s">
        <v>52</v>
      </c>
      <c r="F461" t="s">
        <v>41</v>
      </c>
      <c r="G461" t="s">
        <v>29</v>
      </c>
      <c r="I461" t="s">
        <v>42</v>
      </c>
      <c r="J461" s="2">
        <v>10306</v>
      </c>
      <c r="K461" s="2">
        <v>117</v>
      </c>
      <c r="L461" s="2">
        <v>7757</v>
      </c>
      <c r="N461" s="2">
        <v>6</v>
      </c>
      <c r="P461" t="s">
        <v>1684</v>
      </c>
      <c r="R461" t="s">
        <v>32</v>
      </c>
      <c r="S461" t="s">
        <v>33</v>
      </c>
      <c r="T461" t="s">
        <v>34</v>
      </c>
      <c r="U461" t="s">
        <v>35</v>
      </c>
      <c r="X461" t="s">
        <v>34</v>
      </c>
      <c r="Y461" t="s">
        <v>45</v>
      </c>
      <c r="Z461" t="s">
        <v>1685</v>
      </c>
      <c r="AA461" t="s">
        <v>38</v>
      </c>
    </row>
    <row r="462" spans="1:27" hidden="1">
      <c r="A462" t="s">
        <v>1686</v>
      </c>
      <c r="B462" t="s">
        <v>1687</v>
      </c>
      <c r="C462" t="e">
        <f>VLOOKUP(B462,Sheet2!$A$2:$A$392,1,0)</f>
        <v>#N/A</v>
      </c>
      <c r="E462" t="s">
        <v>27</v>
      </c>
      <c r="F462" t="s">
        <v>41</v>
      </c>
      <c r="G462" t="s">
        <v>29</v>
      </c>
      <c r="I462" t="s">
        <v>42</v>
      </c>
      <c r="J462" s="2">
        <v>7460</v>
      </c>
      <c r="K462" s="2">
        <v>96</v>
      </c>
      <c r="L462" s="2">
        <v>4469</v>
      </c>
      <c r="M462" s="2">
        <v>2800</v>
      </c>
      <c r="N462">
        <v>7.6</v>
      </c>
      <c r="P462" t="s">
        <v>1688</v>
      </c>
      <c r="R462" t="s">
        <v>32</v>
      </c>
      <c r="S462" t="s">
        <v>33</v>
      </c>
      <c r="T462" t="s">
        <v>34</v>
      </c>
      <c r="U462" t="s">
        <v>35</v>
      </c>
      <c r="X462" t="s">
        <v>34</v>
      </c>
      <c r="Y462" t="s">
        <v>45</v>
      </c>
      <c r="Z462" t="s">
        <v>1689</v>
      </c>
      <c r="AA462" t="s">
        <v>38</v>
      </c>
    </row>
    <row r="463" spans="1:27" hidden="1">
      <c r="A463" t="s">
        <v>1690</v>
      </c>
      <c r="B463" t="s">
        <v>1691</v>
      </c>
      <c r="C463" t="e">
        <f>VLOOKUP(B463,Sheet2!$A$2:$A$392,1,0)</f>
        <v>#N/A</v>
      </c>
      <c r="E463" t="s">
        <v>52</v>
      </c>
      <c r="F463" t="s">
        <v>28</v>
      </c>
      <c r="G463" t="s">
        <v>59</v>
      </c>
      <c r="I463" t="s">
        <v>1692</v>
      </c>
      <c r="J463" s="2">
        <v>34293</v>
      </c>
      <c r="K463" s="2">
        <v>180</v>
      </c>
      <c r="L463" s="2">
        <v>22137</v>
      </c>
      <c r="O463" t="s">
        <v>61</v>
      </c>
      <c r="P463" t="s">
        <v>1693</v>
      </c>
      <c r="R463" t="s">
        <v>1692</v>
      </c>
      <c r="S463" t="s">
        <v>33</v>
      </c>
      <c r="T463" t="s">
        <v>34</v>
      </c>
      <c r="U463" t="s">
        <v>44</v>
      </c>
      <c r="W463" t="s">
        <v>63</v>
      </c>
      <c r="X463" t="s">
        <v>34</v>
      </c>
      <c r="Y463" t="s">
        <v>64</v>
      </c>
      <c r="Z463" t="s">
        <v>1099</v>
      </c>
      <c r="AA463" t="s">
        <v>38</v>
      </c>
    </row>
    <row r="464" spans="1:27">
      <c r="A464" t="s">
        <v>1694</v>
      </c>
      <c r="B464" t="s">
        <v>1695</v>
      </c>
      <c r="C464" t="str">
        <f>VLOOKUP(B464,Sheet2!$A$2:$A$392,1,0)</f>
        <v>KM. ISA VICTORY</v>
      </c>
      <c r="E464" t="s">
        <v>27</v>
      </c>
      <c r="F464" t="s">
        <v>41</v>
      </c>
      <c r="G464" t="s">
        <v>585</v>
      </c>
      <c r="I464" t="s">
        <v>42</v>
      </c>
      <c r="J464" s="2">
        <v>3135</v>
      </c>
      <c r="K464" s="2">
        <v>109</v>
      </c>
      <c r="L464" s="2">
        <v>4929</v>
      </c>
      <c r="P464" t="s">
        <v>1696</v>
      </c>
      <c r="R464" t="s">
        <v>42</v>
      </c>
      <c r="S464" t="s">
        <v>33</v>
      </c>
      <c r="T464" t="s">
        <v>34</v>
      </c>
      <c r="U464" t="s">
        <v>44</v>
      </c>
      <c r="V464" s="2">
        <v>2</v>
      </c>
      <c r="W464" t="s">
        <v>165</v>
      </c>
      <c r="X464" t="s">
        <v>34</v>
      </c>
      <c r="Y464" t="s">
        <v>245</v>
      </c>
      <c r="Z464" t="s">
        <v>1697</v>
      </c>
      <c r="AA464" t="s">
        <v>38</v>
      </c>
    </row>
    <row r="465" spans="1:27">
      <c r="A465" t="s">
        <v>1698</v>
      </c>
      <c r="B465" t="s">
        <v>1699</v>
      </c>
      <c r="C465" t="str">
        <f>VLOOKUP(B465,Sheet2!$A$2:$A$392,1,0)</f>
        <v>KM. INTI MULIA</v>
      </c>
      <c r="E465" t="s">
        <v>27</v>
      </c>
      <c r="F465" t="s">
        <v>41</v>
      </c>
      <c r="G465" t="s">
        <v>29</v>
      </c>
      <c r="I465" t="s">
        <v>42</v>
      </c>
      <c r="J465" s="2">
        <v>2800</v>
      </c>
      <c r="K465" s="2">
        <v>72</v>
      </c>
      <c r="L465" s="2">
        <v>1568</v>
      </c>
      <c r="P465" t="s">
        <v>1700</v>
      </c>
      <c r="R465" t="s">
        <v>32</v>
      </c>
      <c r="S465" t="s">
        <v>33</v>
      </c>
      <c r="T465" t="s">
        <v>34</v>
      </c>
      <c r="U465" t="s">
        <v>35</v>
      </c>
      <c r="W465" t="s">
        <v>165</v>
      </c>
      <c r="X465" t="s">
        <v>34</v>
      </c>
      <c r="Y465" t="s">
        <v>166</v>
      </c>
      <c r="Z465" t="s">
        <v>1701</v>
      </c>
      <c r="AA465" t="s">
        <v>38</v>
      </c>
    </row>
    <row r="466" spans="1:27">
      <c r="A466" t="s">
        <v>1702</v>
      </c>
      <c r="B466" t="s">
        <v>1703</v>
      </c>
      <c r="C466" t="str">
        <f>VLOOKUP(B466,Sheet2!$A$2:$A$392,1,0)</f>
        <v>KM. INTI PRATAMA</v>
      </c>
      <c r="E466" t="s">
        <v>27</v>
      </c>
      <c r="F466" t="s">
        <v>41</v>
      </c>
      <c r="G466" t="s">
        <v>29</v>
      </c>
      <c r="I466" t="s">
        <v>42</v>
      </c>
      <c r="J466" s="2">
        <v>2000</v>
      </c>
      <c r="K466" s="2">
        <v>72</v>
      </c>
      <c r="L466" s="2">
        <v>1451</v>
      </c>
      <c r="P466" t="s">
        <v>1704</v>
      </c>
      <c r="R466" t="s">
        <v>32</v>
      </c>
      <c r="S466" t="s">
        <v>33</v>
      </c>
      <c r="T466" t="s">
        <v>34</v>
      </c>
      <c r="U466" t="s">
        <v>35</v>
      </c>
      <c r="X466" t="s">
        <v>34</v>
      </c>
      <c r="Y466" t="s">
        <v>45</v>
      </c>
      <c r="Z466" t="s">
        <v>1705</v>
      </c>
      <c r="AA466" t="s">
        <v>38</v>
      </c>
    </row>
    <row r="467" spans="1:27">
      <c r="A467" t="s">
        <v>1706</v>
      </c>
      <c r="B467" t="s">
        <v>1707</v>
      </c>
      <c r="C467" t="str">
        <f>VLOOKUP(B467,Sheet2!$A$2:$A$392,1,0)</f>
        <v>JAHAN SISTERS</v>
      </c>
      <c r="E467" t="s">
        <v>52</v>
      </c>
      <c r="F467" t="s">
        <v>28</v>
      </c>
      <c r="G467" t="s">
        <v>59</v>
      </c>
      <c r="J467" s="2">
        <v>48895</v>
      </c>
      <c r="K467" s="2">
        <v>190</v>
      </c>
      <c r="L467" s="2">
        <v>26449</v>
      </c>
      <c r="M467" s="2">
        <v>6251</v>
      </c>
      <c r="N467" s="2">
        <v>11</v>
      </c>
      <c r="O467" t="s">
        <v>1708</v>
      </c>
      <c r="P467" t="s">
        <v>1709</v>
      </c>
      <c r="R467" t="s">
        <v>32</v>
      </c>
      <c r="S467" t="s">
        <v>33</v>
      </c>
      <c r="U467" t="s">
        <v>35</v>
      </c>
      <c r="V467" s="2">
        <v>5</v>
      </c>
      <c r="W467" t="s">
        <v>63</v>
      </c>
      <c r="X467" t="s">
        <v>34</v>
      </c>
      <c r="Y467" t="s">
        <v>64</v>
      </c>
      <c r="Z467" t="s">
        <v>1710</v>
      </c>
      <c r="AA467" t="s">
        <v>38</v>
      </c>
    </row>
    <row r="468" spans="1:27" hidden="1">
      <c r="A468" t="s">
        <v>1711</v>
      </c>
      <c r="B468" t="s">
        <v>1712</v>
      </c>
      <c r="C468" t="e">
        <f>VLOOKUP(B468,Sheet2!$A$2:$A$392,1,0)</f>
        <v>#N/A</v>
      </c>
      <c r="E468" t="s">
        <v>40</v>
      </c>
      <c r="G468" t="s">
        <v>125</v>
      </c>
      <c r="I468" t="s">
        <v>42</v>
      </c>
      <c r="J468" s="2">
        <v>164</v>
      </c>
      <c r="K468" s="3">
        <v>25.47</v>
      </c>
      <c r="L468" s="2">
        <v>164</v>
      </c>
      <c r="P468" t="s">
        <v>1713</v>
      </c>
      <c r="S468" t="s">
        <v>33</v>
      </c>
      <c r="X468" t="s">
        <v>34</v>
      </c>
      <c r="AA468" t="s">
        <v>38</v>
      </c>
    </row>
    <row r="469" spans="1:27" hidden="1">
      <c r="A469" t="s">
        <v>1714</v>
      </c>
      <c r="B469" t="s">
        <v>1715</v>
      </c>
      <c r="C469" t="e">
        <f>VLOOKUP(B469,Sheet2!$A$2:$A$392,1,0)</f>
        <v>#N/A</v>
      </c>
      <c r="E469" t="s">
        <v>52</v>
      </c>
      <c r="F469" t="s">
        <v>28</v>
      </c>
      <c r="G469" t="s">
        <v>151</v>
      </c>
      <c r="J469" s="2">
        <v>44817</v>
      </c>
      <c r="K469" s="3">
        <v>185.84</v>
      </c>
      <c r="L469" s="2">
        <v>25899</v>
      </c>
      <c r="M469" s="2">
        <v>8400</v>
      </c>
      <c r="N469" s="2">
        <v>11</v>
      </c>
      <c r="O469" t="s">
        <v>1708</v>
      </c>
      <c r="P469" t="s">
        <v>1716</v>
      </c>
      <c r="R469" t="s">
        <v>32</v>
      </c>
      <c r="S469" t="s">
        <v>33</v>
      </c>
      <c r="U469" t="s">
        <v>35</v>
      </c>
      <c r="V469" s="2">
        <v>5</v>
      </c>
      <c r="X469" t="s">
        <v>34</v>
      </c>
      <c r="Y469" t="s">
        <v>154</v>
      </c>
      <c r="Z469" t="s">
        <v>1717</v>
      </c>
      <c r="AA469" t="s">
        <v>38</v>
      </c>
    </row>
    <row r="470" spans="1:27" hidden="1">
      <c r="A470" t="s">
        <v>1718</v>
      </c>
      <c r="B470" t="s">
        <v>1719</v>
      </c>
      <c r="C470" t="e">
        <f>VLOOKUP(B470,Sheet2!$A$2:$A$392,1,0)</f>
        <v>#N/A</v>
      </c>
      <c r="E470" t="s">
        <v>52</v>
      </c>
      <c r="F470" t="s">
        <v>28</v>
      </c>
      <c r="G470" t="s">
        <v>59</v>
      </c>
      <c r="I470" t="s">
        <v>42</v>
      </c>
      <c r="J470" s="2">
        <v>36830</v>
      </c>
      <c r="K470" s="2">
        <v>186</v>
      </c>
      <c r="L470" s="2">
        <v>22683</v>
      </c>
      <c r="O470" t="s">
        <v>61</v>
      </c>
      <c r="P470" t="s">
        <v>1720</v>
      </c>
      <c r="R470" t="s">
        <v>1113</v>
      </c>
      <c r="S470" t="s">
        <v>33</v>
      </c>
      <c r="T470" t="s">
        <v>34</v>
      </c>
      <c r="U470" t="s">
        <v>35</v>
      </c>
      <c r="W470" t="s">
        <v>63</v>
      </c>
      <c r="X470" t="s">
        <v>34</v>
      </c>
      <c r="Y470" t="s">
        <v>64</v>
      </c>
      <c r="Z470" t="s">
        <v>1721</v>
      </c>
      <c r="AA470" t="s">
        <v>38</v>
      </c>
    </row>
    <row r="471" spans="1:27" hidden="1">
      <c r="A471" t="s">
        <v>1722</v>
      </c>
      <c r="B471" t="s">
        <v>1723</v>
      </c>
      <c r="C471" t="e">
        <f>VLOOKUP(B471,Sheet2!$A$2:$A$392,1,0)</f>
        <v>#N/A</v>
      </c>
      <c r="E471" t="s">
        <v>40</v>
      </c>
      <c r="G471" t="s">
        <v>355</v>
      </c>
      <c r="I471" t="s">
        <v>42</v>
      </c>
      <c r="J471" s="2">
        <v>200</v>
      </c>
      <c r="K471">
        <v>23.5</v>
      </c>
      <c r="L471" s="2">
        <v>130</v>
      </c>
      <c r="P471" t="s">
        <v>1724</v>
      </c>
      <c r="S471" t="s">
        <v>33</v>
      </c>
      <c r="X471" t="s">
        <v>34</v>
      </c>
      <c r="AA471" t="s">
        <v>38</v>
      </c>
    </row>
    <row r="472" spans="1:27" hidden="1">
      <c r="A472" t="s">
        <v>1725</v>
      </c>
      <c r="B472" t="s">
        <v>1726</v>
      </c>
      <c r="C472" t="e">
        <f>VLOOKUP(B472,Sheet2!$A$2:$A$392,1,0)</f>
        <v>#N/A</v>
      </c>
      <c r="E472" t="s">
        <v>40</v>
      </c>
      <c r="G472" t="s">
        <v>355</v>
      </c>
      <c r="I472" t="s">
        <v>42</v>
      </c>
      <c r="J472" s="2">
        <v>200</v>
      </c>
      <c r="K472">
        <v>23.5</v>
      </c>
      <c r="L472" s="2">
        <v>129</v>
      </c>
      <c r="P472" t="s">
        <v>1727</v>
      </c>
      <c r="S472" t="s">
        <v>33</v>
      </c>
      <c r="X472" t="s">
        <v>34</v>
      </c>
      <c r="AA472" t="s">
        <v>38</v>
      </c>
    </row>
    <row r="473" spans="1:27" hidden="1">
      <c r="A473" t="s">
        <v>1728</v>
      </c>
      <c r="B473" t="s">
        <v>1729</v>
      </c>
      <c r="C473" t="e">
        <f>VLOOKUP(B473,Sheet2!$A$2:$A$392,1,0)</f>
        <v>#N/A</v>
      </c>
      <c r="E473" t="s">
        <v>170</v>
      </c>
      <c r="I473" t="s">
        <v>42</v>
      </c>
      <c r="J473" s="2">
        <v>105148</v>
      </c>
      <c r="K473">
        <v>242.96799999999999</v>
      </c>
      <c r="L473" s="2">
        <v>58374</v>
      </c>
      <c r="P473" t="s">
        <v>1730</v>
      </c>
      <c r="S473" t="s">
        <v>33</v>
      </c>
      <c r="X473" t="s">
        <v>34</v>
      </c>
      <c r="AA473" t="s">
        <v>38</v>
      </c>
    </row>
    <row r="474" spans="1:27" hidden="1">
      <c r="A474" t="s">
        <v>1731</v>
      </c>
      <c r="B474" t="s">
        <v>1732</v>
      </c>
      <c r="C474" t="e">
        <f>VLOOKUP(B474,Sheet2!$A$2:$A$392,1,0)</f>
        <v>#N/A</v>
      </c>
      <c r="E474" t="s">
        <v>249</v>
      </c>
      <c r="G474" t="s">
        <v>250</v>
      </c>
      <c r="I474" t="s">
        <v>42</v>
      </c>
      <c r="J474" s="2">
        <v>8100</v>
      </c>
      <c r="K474">
        <v>119.9</v>
      </c>
      <c r="L474" s="2">
        <v>6499</v>
      </c>
      <c r="P474" t="s">
        <v>1733</v>
      </c>
      <c r="S474" t="s">
        <v>33</v>
      </c>
      <c r="X474" t="s">
        <v>34</v>
      </c>
      <c r="AA474" t="s">
        <v>38</v>
      </c>
    </row>
    <row r="475" spans="1:27" hidden="1">
      <c r="A475" t="s">
        <v>1734</v>
      </c>
      <c r="B475" t="s">
        <v>1735</v>
      </c>
      <c r="C475" t="e">
        <f>VLOOKUP(B475,Sheet2!$A$2:$A$392,1,0)</f>
        <v>#N/A</v>
      </c>
      <c r="E475" t="s">
        <v>170</v>
      </c>
      <c r="I475" t="s">
        <v>42</v>
      </c>
      <c r="J475" s="2">
        <v>17039</v>
      </c>
      <c r="K475">
        <v>145.1</v>
      </c>
      <c r="L475" s="2">
        <v>11239</v>
      </c>
      <c r="P475" t="s">
        <v>1736</v>
      </c>
      <c r="S475" t="s">
        <v>33</v>
      </c>
      <c r="X475" t="s">
        <v>34</v>
      </c>
      <c r="AA475" t="s">
        <v>38</v>
      </c>
    </row>
    <row r="476" spans="1:27" hidden="1">
      <c r="A476" t="s">
        <v>1737</v>
      </c>
      <c r="B476" t="s">
        <v>1738</v>
      </c>
      <c r="C476" t="e">
        <f>VLOOKUP(B476,Sheet2!$A$2:$A$392,1,0)</f>
        <v>#N/A</v>
      </c>
      <c r="E476" t="s">
        <v>206</v>
      </c>
      <c r="F476" t="s">
        <v>41</v>
      </c>
      <c r="G476" t="s">
        <v>29</v>
      </c>
      <c r="J476" s="2">
        <v>400</v>
      </c>
      <c r="K476" s="2">
        <v>45</v>
      </c>
      <c r="L476" s="2">
        <v>350</v>
      </c>
      <c r="P476" s="2">
        <v>1</v>
      </c>
      <c r="R476" t="s">
        <v>42</v>
      </c>
      <c r="S476" t="s">
        <v>33</v>
      </c>
      <c r="U476" t="s">
        <v>35</v>
      </c>
      <c r="X476" t="s">
        <v>34</v>
      </c>
      <c r="Y476" t="s">
        <v>45</v>
      </c>
      <c r="Z476" t="s">
        <v>1739</v>
      </c>
      <c r="AA476" t="s">
        <v>38</v>
      </c>
    </row>
    <row r="477" spans="1:27">
      <c r="A477" t="s">
        <v>1740</v>
      </c>
      <c r="B477" t="s">
        <v>1741</v>
      </c>
      <c r="C477" t="str">
        <f>VLOOKUP(B477,Sheet2!$A$2:$A$392,1,0)</f>
        <v>TB. MASADA 29 / BG. JAUHAR</v>
      </c>
      <c r="E477" t="s">
        <v>40</v>
      </c>
      <c r="F477" t="s">
        <v>41</v>
      </c>
      <c r="G477" t="s">
        <v>29</v>
      </c>
      <c r="I477" t="s">
        <v>42</v>
      </c>
      <c r="J477" s="2">
        <v>8000</v>
      </c>
      <c r="K477" s="2">
        <v>91</v>
      </c>
      <c r="L477" s="2">
        <v>3367</v>
      </c>
      <c r="P477" t="s">
        <v>1742</v>
      </c>
      <c r="R477" t="s">
        <v>42</v>
      </c>
      <c r="S477" t="s">
        <v>33</v>
      </c>
      <c r="T477" t="s">
        <v>34</v>
      </c>
      <c r="U477" t="s">
        <v>44</v>
      </c>
      <c r="X477" t="s">
        <v>34</v>
      </c>
      <c r="Y477" t="s">
        <v>45</v>
      </c>
      <c r="Z477" t="s">
        <v>1743</v>
      </c>
      <c r="AA477" t="s">
        <v>38</v>
      </c>
    </row>
    <row r="478" spans="1:27" hidden="1">
      <c r="A478" t="s">
        <v>1744</v>
      </c>
      <c r="B478" t="s">
        <v>1745</v>
      </c>
      <c r="C478" t="e">
        <f>VLOOKUP(B478,Sheet2!$A$2:$A$392,1,0)</f>
        <v>#N/A</v>
      </c>
      <c r="E478" t="s">
        <v>27</v>
      </c>
      <c r="F478" t="s">
        <v>41</v>
      </c>
      <c r="G478" t="s">
        <v>29</v>
      </c>
      <c r="I478" t="s">
        <v>42</v>
      </c>
      <c r="J478" s="2">
        <v>700</v>
      </c>
      <c r="K478" s="2">
        <v>58</v>
      </c>
      <c r="L478" s="2">
        <v>698</v>
      </c>
      <c r="P478" t="s">
        <v>1746</v>
      </c>
      <c r="R478" t="s">
        <v>32</v>
      </c>
      <c r="S478" t="s">
        <v>33</v>
      </c>
      <c r="T478" t="s">
        <v>34</v>
      </c>
      <c r="U478" t="s">
        <v>35</v>
      </c>
      <c r="W478" t="s">
        <v>165</v>
      </c>
      <c r="X478" t="s">
        <v>34</v>
      </c>
      <c r="Y478" t="s">
        <v>166</v>
      </c>
      <c r="Z478" t="s">
        <v>1747</v>
      </c>
      <c r="AA478" t="s">
        <v>38</v>
      </c>
    </row>
    <row r="479" spans="1:27" hidden="1">
      <c r="A479" t="s">
        <v>1748</v>
      </c>
      <c r="B479" t="s">
        <v>1749</v>
      </c>
      <c r="C479" t="e">
        <f>VLOOKUP(B479,Sheet2!$A$2:$A$392,1,0)</f>
        <v>#N/A</v>
      </c>
      <c r="E479" t="s">
        <v>27</v>
      </c>
      <c r="F479" t="s">
        <v>41</v>
      </c>
      <c r="G479" t="s">
        <v>29</v>
      </c>
      <c r="I479" t="s">
        <v>42</v>
      </c>
      <c r="J479" s="2">
        <v>2695</v>
      </c>
      <c r="K479" s="2">
        <v>75</v>
      </c>
      <c r="L479" s="2">
        <v>1497</v>
      </c>
      <c r="P479" t="s">
        <v>1750</v>
      </c>
      <c r="R479" t="s">
        <v>32</v>
      </c>
      <c r="S479" t="s">
        <v>33</v>
      </c>
      <c r="T479" t="s">
        <v>34</v>
      </c>
      <c r="U479" t="s">
        <v>35</v>
      </c>
      <c r="X479" t="s">
        <v>34</v>
      </c>
      <c r="Y479" t="s">
        <v>45</v>
      </c>
      <c r="Z479" t="s">
        <v>1751</v>
      </c>
      <c r="AA479" t="s">
        <v>38</v>
      </c>
    </row>
    <row r="480" spans="1:27" hidden="1">
      <c r="A480" t="s">
        <v>1752</v>
      </c>
      <c r="B480" t="s">
        <v>1753</v>
      </c>
      <c r="C480" t="e">
        <f>VLOOKUP(B480,Sheet2!$A$2:$A$392,1,0)</f>
        <v>#N/A</v>
      </c>
      <c r="E480" t="s">
        <v>40</v>
      </c>
      <c r="G480" t="s">
        <v>427</v>
      </c>
      <c r="I480" t="s">
        <v>42</v>
      </c>
      <c r="J480" s="2">
        <v>229</v>
      </c>
      <c r="K480">
        <v>29.5</v>
      </c>
      <c r="L480" s="2">
        <v>229</v>
      </c>
      <c r="P480" t="s">
        <v>1754</v>
      </c>
      <c r="S480" t="s">
        <v>33</v>
      </c>
      <c r="X480" t="s">
        <v>34</v>
      </c>
      <c r="AA480" t="s">
        <v>38</v>
      </c>
    </row>
    <row r="481" spans="1:27" hidden="1">
      <c r="A481" t="s">
        <v>1755</v>
      </c>
      <c r="B481" t="s">
        <v>1756</v>
      </c>
      <c r="C481" t="e">
        <f>VLOOKUP(B481,Sheet2!$A$2:$A$392,1,0)</f>
        <v>#N/A</v>
      </c>
      <c r="E481" t="s">
        <v>170</v>
      </c>
      <c r="F481" t="s">
        <v>41</v>
      </c>
      <c r="I481" t="s">
        <v>42</v>
      </c>
      <c r="J481" s="2">
        <v>6500</v>
      </c>
      <c r="K481" s="2">
        <v>105</v>
      </c>
      <c r="L481" s="2">
        <v>4731</v>
      </c>
      <c r="P481" t="s">
        <v>1757</v>
      </c>
      <c r="S481" t="s">
        <v>33</v>
      </c>
      <c r="T481" t="s">
        <v>34</v>
      </c>
      <c r="U481" t="s">
        <v>35</v>
      </c>
      <c r="X481" t="s">
        <v>34</v>
      </c>
      <c r="Y481" t="s">
        <v>107</v>
      </c>
      <c r="Z481" t="s">
        <v>1758</v>
      </c>
      <c r="AA481" t="s">
        <v>38</v>
      </c>
    </row>
    <row r="482" spans="1:27" hidden="1">
      <c r="A482" t="s">
        <v>1759</v>
      </c>
      <c r="B482" t="s">
        <v>1760</v>
      </c>
      <c r="C482" t="e">
        <f>VLOOKUP(B482,Sheet2!$A$2:$A$392,1,0)</f>
        <v>#N/A</v>
      </c>
      <c r="E482" t="s">
        <v>40</v>
      </c>
      <c r="G482" t="s">
        <v>355</v>
      </c>
      <c r="I482" t="s">
        <v>42</v>
      </c>
      <c r="J482" s="2">
        <v>165</v>
      </c>
      <c r="K482">
        <v>23.7</v>
      </c>
      <c r="L482" s="2">
        <v>140</v>
      </c>
      <c r="P482" t="s">
        <v>1761</v>
      </c>
      <c r="S482" t="s">
        <v>33</v>
      </c>
      <c r="X482" t="s">
        <v>34</v>
      </c>
      <c r="AA482" t="s">
        <v>38</v>
      </c>
    </row>
    <row r="483" spans="1:27" hidden="1">
      <c r="A483" t="s">
        <v>1762</v>
      </c>
      <c r="B483" t="s">
        <v>1763</v>
      </c>
      <c r="C483" t="e">
        <f>VLOOKUP(B483,Sheet2!$A$2:$A$392,1,0)</f>
        <v>#N/A</v>
      </c>
      <c r="E483" t="s">
        <v>40</v>
      </c>
      <c r="F483" t="s">
        <v>41</v>
      </c>
      <c r="G483" t="s">
        <v>29</v>
      </c>
      <c r="I483" t="s">
        <v>42</v>
      </c>
      <c r="J483" s="2">
        <v>7500</v>
      </c>
      <c r="K483" s="2">
        <v>87</v>
      </c>
      <c r="L483" s="2">
        <v>3287</v>
      </c>
      <c r="P483" t="s">
        <v>185</v>
      </c>
      <c r="R483" t="s">
        <v>42</v>
      </c>
      <c r="S483" t="s">
        <v>33</v>
      </c>
      <c r="T483" t="s">
        <v>34</v>
      </c>
      <c r="U483" t="s">
        <v>35</v>
      </c>
      <c r="X483" t="s">
        <v>34</v>
      </c>
      <c r="Y483" t="s">
        <v>45</v>
      </c>
      <c r="Z483" t="s">
        <v>1764</v>
      </c>
      <c r="AA483" t="s">
        <v>38</v>
      </c>
    </row>
    <row r="484" spans="1:27" hidden="1">
      <c r="A484" t="s">
        <v>1765</v>
      </c>
      <c r="B484" t="s">
        <v>1766</v>
      </c>
      <c r="C484" t="e">
        <f>VLOOKUP(B484,Sheet2!$A$2:$A$392,1,0)</f>
        <v>#N/A</v>
      </c>
      <c r="E484" t="s">
        <v>170</v>
      </c>
      <c r="F484" t="s">
        <v>41</v>
      </c>
      <c r="G484" t="s">
        <v>104</v>
      </c>
      <c r="I484" t="s">
        <v>42</v>
      </c>
      <c r="J484" s="2">
        <v>45863</v>
      </c>
      <c r="K484" s="3">
        <v>189.83</v>
      </c>
      <c r="L484" s="2">
        <v>25943</v>
      </c>
      <c r="M484" s="2">
        <v>0</v>
      </c>
      <c r="N484" s="2">
        <v>11</v>
      </c>
      <c r="P484" t="s">
        <v>1767</v>
      </c>
      <c r="R484" t="s">
        <v>42</v>
      </c>
      <c r="S484" t="s">
        <v>33</v>
      </c>
      <c r="T484" t="s">
        <v>106</v>
      </c>
      <c r="U484" t="s">
        <v>44</v>
      </c>
      <c r="V484" s="2">
        <v>5</v>
      </c>
      <c r="X484" t="s">
        <v>34</v>
      </c>
      <c r="Y484" t="s">
        <v>107</v>
      </c>
      <c r="Z484" t="s">
        <v>1768</v>
      </c>
      <c r="AA484" t="s">
        <v>38</v>
      </c>
    </row>
    <row r="485" spans="1:27">
      <c r="A485" t="s">
        <v>1769</v>
      </c>
      <c r="B485" t="s">
        <v>1770</v>
      </c>
      <c r="C485" t="str">
        <f>VLOOKUP(B485,Sheet2!$A$2:$A$392,1,0)</f>
        <v>TB. PANCARAN 811 / BG. KALYA 102</v>
      </c>
      <c r="E485" t="s">
        <v>40</v>
      </c>
      <c r="F485" t="s">
        <v>41</v>
      </c>
      <c r="G485" t="s">
        <v>29</v>
      </c>
      <c r="I485" t="s">
        <v>42</v>
      </c>
      <c r="J485" s="2">
        <v>8000</v>
      </c>
      <c r="K485" s="2">
        <v>91</v>
      </c>
      <c r="L485" s="2">
        <v>3323</v>
      </c>
      <c r="P485" t="s">
        <v>1771</v>
      </c>
      <c r="R485" t="s">
        <v>42</v>
      </c>
      <c r="S485" t="s">
        <v>33</v>
      </c>
      <c r="T485" t="s">
        <v>34</v>
      </c>
      <c r="U485" t="s">
        <v>44</v>
      </c>
      <c r="X485" t="s">
        <v>34</v>
      </c>
      <c r="Y485" t="s">
        <v>45</v>
      </c>
      <c r="Z485" t="s">
        <v>1772</v>
      </c>
      <c r="AA485" t="s">
        <v>38</v>
      </c>
    </row>
    <row r="486" spans="1:27" hidden="1">
      <c r="A486" t="s">
        <v>1773</v>
      </c>
      <c r="B486" t="s">
        <v>1774</v>
      </c>
      <c r="C486" t="e">
        <f>VLOOKUP(B486,Sheet2!$A$2:$A$392,1,0)</f>
        <v>#N/A</v>
      </c>
      <c r="E486" t="s">
        <v>72</v>
      </c>
      <c r="G486" t="s">
        <v>29</v>
      </c>
      <c r="I486" t="s">
        <v>42</v>
      </c>
      <c r="J486" s="2">
        <v>1437</v>
      </c>
      <c r="K486">
        <v>70.099999999999994</v>
      </c>
      <c r="L486" s="2">
        <v>1437</v>
      </c>
      <c r="P486" t="s">
        <v>74</v>
      </c>
      <c r="S486" t="s">
        <v>33</v>
      </c>
      <c r="X486" t="s">
        <v>34</v>
      </c>
      <c r="AA486" t="s">
        <v>38</v>
      </c>
    </row>
    <row r="487" spans="1:27" hidden="1">
      <c r="A487" t="s">
        <v>1775</v>
      </c>
      <c r="B487" t="s">
        <v>1776</v>
      </c>
      <c r="C487" t="e">
        <f>VLOOKUP(B487,Sheet2!$A$2:$A$392,1,0)</f>
        <v>#N/A</v>
      </c>
      <c r="E487" t="s">
        <v>40</v>
      </c>
      <c r="G487" t="s">
        <v>73</v>
      </c>
      <c r="I487" t="s">
        <v>42</v>
      </c>
      <c r="J487" s="2">
        <v>202</v>
      </c>
      <c r="K487" s="3">
        <v>26.02</v>
      </c>
      <c r="L487" s="2">
        <v>202</v>
      </c>
      <c r="P487" t="s">
        <v>1777</v>
      </c>
      <c r="S487" t="s">
        <v>33</v>
      </c>
      <c r="X487" t="s">
        <v>34</v>
      </c>
      <c r="AA487" t="s">
        <v>38</v>
      </c>
    </row>
    <row r="488" spans="1:27" hidden="1">
      <c r="A488" t="s">
        <v>1778</v>
      </c>
      <c r="B488" t="s">
        <v>1779</v>
      </c>
      <c r="C488" t="e">
        <f>VLOOKUP(B488,Sheet2!$A$2:$A$392,1,0)</f>
        <v>#N/A</v>
      </c>
      <c r="E488" t="s">
        <v>40</v>
      </c>
      <c r="G488" t="s">
        <v>73</v>
      </c>
      <c r="I488" t="s">
        <v>42</v>
      </c>
      <c r="J488" s="2">
        <v>208</v>
      </c>
      <c r="K488" s="2">
        <v>26</v>
      </c>
      <c r="L488" s="2">
        <v>208</v>
      </c>
      <c r="P488" t="s">
        <v>1780</v>
      </c>
      <c r="S488" t="s">
        <v>33</v>
      </c>
      <c r="X488" t="s">
        <v>34</v>
      </c>
      <c r="AA488" t="s">
        <v>38</v>
      </c>
    </row>
    <row r="489" spans="1:27" hidden="1">
      <c r="A489" t="s">
        <v>1781</v>
      </c>
      <c r="B489" t="s">
        <v>1782</v>
      </c>
      <c r="C489" t="e">
        <f>VLOOKUP(B489,Sheet2!$A$2:$A$392,1,0)</f>
        <v>#N/A</v>
      </c>
      <c r="E489" t="s">
        <v>40</v>
      </c>
      <c r="G489" t="s">
        <v>73</v>
      </c>
      <c r="I489" t="s">
        <v>42</v>
      </c>
      <c r="J489" s="2">
        <v>197</v>
      </c>
      <c r="K489">
        <v>25.3</v>
      </c>
      <c r="L489" s="2">
        <v>197</v>
      </c>
      <c r="P489" t="s">
        <v>1783</v>
      </c>
      <c r="S489" t="s">
        <v>33</v>
      </c>
      <c r="X489" t="s">
        <v>34</v>
      </c>
      <c r="AA489" t="s">
        <v>38</v>
      </c>
    </row>
    <row r="490" spans="1:27" hidden="1">
      <c r="A490" t="s">
        <v>1784</v>
      </c>
      <c r="B490" t="s">
        <v>1785</v>
      </c>
      <c r="C490" t="e">
        <f>VLOOKUP(B490,Sheet2!$A$2:$A$392,1,0)</f>
        <v>#N/A</v>
      </c>
      <c r="E490" t="s">
        <v>40</v>
      </c>
      <c r="F490" t="s">
        <v>41</v>
      </c>
      <c r="G490" t="s">
        <v>382</v>
      </c>
      <c r="J490" s="2">
        <v>8000</v>
      </c>
      <c r="K490" s="2">
        <v>94</v>
      </c>
      <c r="L490" s="2">
        <v>3800</v>
      </c>
      <c r="O490" t="s">
        <v>383</v>
      </c>
      <c r="P490" t="s">
        <v>185</v>
      </c>
      <c r="R490" t="s">
        <v>42</v>
      </c>
      <c r="S490" t="s">
        <v>33</v>
      </c>
      <c r="U490" t="s">
        <v>35</v>
      </c>
      <c r="W490" t="s">
        <v>63</v>
      </c>
      <c r="X490" t="s">
        <v>34</v>
      </c>
      <c r="Y490" t="s">
        <v>64</v>
      </c>
      <c r="Z490" t="s">
        <v>1786</v>
      </c>
      <c r="AA490" t="s">
        <v>38</v>
      </c>
    </row>
    <row r="491" spans="1:27" hidden="1">
      <c r="A491" t="s">
        <v>1787</v>
      </c>
      <c r="B491" t="s">
        <v>1788</v>
      </c>
      <c r="C491" t="e">
        <f>VLOOKUP(B491,Sheet2!$A$2:$A$392,1,0)</f>
        <v>#N/A</v>
      </c>
      <c r="E491" t="s">
        <v>72</v>
      </c>
      <c r="G491" t="s">
        <v>94</v>
      </c>
      <c r="I491" t="s">
        <v>42</v>
      </c>
      <c r="J491" s="2">
        <v>193</v>
      </c>
      <c r="K491" s="3">
        <v>54.86</v>
      </c>
      <c r="L491" s="2">
        <v>641</v>
      </c>
      <c r="P491" t="s">
        <v>74</v>
      </c>
      <c r="S491" t="s">
        <v>33</v>
      </c>
      <c r="X491" t="s">
        <v>34</v>
      </c>
      <c r="AA491" t="s">
        <v>38</v>
      </c>
    </row>
    <row r="492" spans="1:27" hidden="1">
      <c r="A492" t="s">
        <v>1789</v>
      </c>
      <c r="B492" t="s">
        <v>1790</v>
      </c>
      <c r="C492" t="e">
        <f>VLOOKUP(B492,Sheet2!$A$2:$A$392,1,0)</f>
        <v>#N/A</v>
      </c>
      <c r="E492" t="s">
        <v>40</v>
      </c>
      <c r="G492" t="s">
        <v>73</v>
      </c>
      <c r="I492" t="s">
        <v>42</v>
      </c>
      <c r="J492" s="2">
        <v>234</v>
      </c>
      <c r="K492">
        <v>29.1</v>
      </c>
      <c r="L492" s="2">
        <v>234</v>
      </c>
      <c r="P492" t="s">
        <v>1791</v>
      </c>
      <c r="S492" t="s">
        <v>33</v>
      </c>
      <c r="X492" t="s">
        <v>34</v>
      </c>
      <c r="AA492" t="s">
        <v>38</v>
      </c>
    </row>
    <row r="493" spans="1:27" hidden="1">
      <c r="A493" t="s">
        <v>1792</v>
      </c>
      <c r="B493" t="s">
        <v>1793</v>
      </c>
      <c r="C493" t="e">
        <f>VLOOKUP(B493,Sheet2!$A$2:$A$392,1,0)</f>
        <v>#N/A</v>
      </c>
      <c r="E493" t="s">
        <v>40</v>
      </c>
      <c r="G493" t="s">
        <v>427</v>
      </c>
      <c r="I493" t="s">
        <v>42</v>
      </c>
      <c r="J493" s="2">
        <v>180</v>
      </c>
      <c r="K493" s="3">
        <v>26.03</v>
      </c>
      <c r="L493" s="2">
        <v>180</v>
      </c>
      <c r="P493" t="s">
        <v>1794</v>
      </c>
      <c r="S493" t="s">
        <v>33</v>
      </c>
      <c r="X493" t="s">
        <v>34</v>
      </c>
      <c r="AA493" t="s">
        <v>38</v>
      </c>
    </row>
    <row r="494" spans="1:27" hidden="1">
      <c r="A494" t="s">
        <v>1795</v>
      </c>
      <c r="B494" t="s">
        <v>1796</v>
      </c>
      <c r="C494" t="e">
        <f>VLOOKUP(B494,Sheet2!$A$2:$A$392,1,0)</f>
        <v>#N/A</v>
      </c>
      <c r="E494" t="s">
        <v>27</v>
      </c>
      <c r="F494" t="s">
        <v>41</v>
      </c>
      <c r="G494" t="s">
        <v>158</v>
      </c>
      <c r="I494" t="s">
        <v>42</v>
      </c>
      <c r="J494" s="2">
        <v>2500</v>
      </c>
      <c r="K494">
        <v>68.400000000000006</v>
      </c>
      <c r="L494" s="2">
        <v>1245</v>
      </c>
      <c r="O494" t="s">
        <v>159</v>
      </c>
      <c r="P494" t="s">
        <v>1797</v>
      </c>
      <c r="R494" t="s">
        <v>42</v>
      </c>
      <c r="S494" t="s">
        <v>33</v>
      </c>
      <c r="T494" t="s">
        <v>34</v>
      </c>
      <c r="U494" t="s">
        <v>35</v>
      </c>
      <c r="W494" t="s">
        <v>63</v>
      </c>
      <c r="X494" t="s">
        <v>34</v>
      </c>
      <c r="Y494" t="s">
        <v>64</v>
      </c>
      <c r="Z494" t="s">
        <v>1798</v>
      </c>
      <c r="AA494" t="s">
        <v>38</v>
      </c>
    </row>
    <row r="495" spans="1:27" hidden="1">
      <c r="A495" t="s">
        <v>1799</v>
      </c>
      <c r="B495" t="s">
        <v>1800</v>
      </c>
      <c r="C495" t="e">
        <f>VLOOKUP(B495,Sheet2!$A$2:$A$392,1,0)</f>
        <v>#N/A</v>
      </c>
      <c r="E495" t="s">
        <v>27</v>
      </c>
      <c r="F495" t="s">
        <v>41</v>
      </c>
      <c r="G495" t="s">
        <v>29</v>
      </c>
      <c r="J495" s="2">
        <v>1000</v>
      </c>
      <c r="K495">
        <v>57.6</v>
      </c>
      <c r="L495" s="2">
        <v>691</v>
      </c>
      <c r="M495" s="2">
        <v>0</v>
      </c>
      <c r="O495" t="s">
        <v>482</v>
      </c>
      <c r="P495" t="s">
        <v>1799</v>
      </c>
      <c r="R495" t="s">
        <v>42</v>
      </c>
      <c r="S495" t="s">
        <v>33</v>
      </c>
      <c r="U495" t="s">
        <v>35</v>
      </c>
      <c r="X495" t="s">
        <v>34</v>
      </c>
      <c r="Y495" t="s">
        <v>45</v>
      </c>
      <c r="Z495" t="s">
        <v>1801</v>
      </c>
      <c r="AA495" t="s">
        <v>38</v>
      </c>
    </row>
    <row r="496" spans="1:27" hidden="1">
      <c r="A496" t="s">
        <v>1802</v>
      </c>
      <c r="B496" t="s">
        <v>1803</v>
      </c>
      <c r="C496" t="e">
        <f>VLOOKUP(B496,Sheet2!$A$2:$A$392,1,0)</f>
        <v>#N/A</v>
      </c>
      <c r="E496" t="s">
        <v>27</v>
      </c>
      <c r="F496" t="s">
        <v>41</v>
      </c>
      <c r="G496" t="s">
        <v>29</v>
      </c>
      <c r="J496" s="2">
        <v>9250</v>
      </c>
      <c r="K496" s="2">
        <v>95</v>
      </c>
      <c r="L496" s="2">
        <v>6155</v>
      </c>
      <c r="M496" s="2">
        <v>7442</v>
      </c>
      <c r="N496" s="2">
        <v>0</v>
      </c>
      <c r="O496" t="s">
        <v>482</v>
      </c>
      <c r="P496" t="s">
        <v>1802</v>
      </c>
      <c r="R496" t="s">
        <v>42</v>
      </c>
      <c r="S496" t="s">
        <v>33</v>
      </c>
      <c r="U496" t="s">
        <v>44</v>
      </c>
      <c r="X496" t="s">
        <v>34</v>
      </c>
      <c r="Y496" t="s">
        <v>45</v>
      </c>
      <c r="Z496" t="s">
        <v>1804</v>
      </c>
      <c r="AA496" t="s">
        <v>38</v>
      </c>
    </row>
    <row r="497" spans="1:27" hidden="1">
      <c r="A497" t="s">
        <v>1805</v>
      </c>
      <c r="B497" t="s">
        <v>1806</v>
      </c>
      <c r="C497" t="e">
        <f>VLOOKUP(B497,Sheet2!$A$2:$A$392,1,0)</f>
        <v>#N/A</v>
      </c>
      <c r="E497" t="s">
        <v>170</v>
      </c>
      <c r="I497" t="s">
        <v>42</v>
      </c>
      <c r="J497" s="2">
        <v>1500</v>
      </c>
      <c r="K497" s="2">
        <v>65</v>
      </c>
      <c r="L497" s="2">
        <v>1439</v>
      </c>
      <c r="P497" t="s">
        <v>1807</v>
      </c>
      <c r="S497" t="s">
        <v>33</v>
      </c>
      <c r="X497" t="s">
        <v>34</v>
      </c>
      <c r="AA497" t="s">
        <v>38</v>
      </c>
    </row>
    <row r="498" spans="1:27" hidden="1">
      <c r="A498" t="s">
        <v>1808</v>
      </c>
      <c r="B498" t="s">
        <v>280</v>
      </c>
      <c r="C498" t="e">
        <f>VLOOKUP(B498,Sheet2!$A$2:$A$392,1,0)</f>
        <v>#N/A</v>
      </c>
      <c r="E498" t="s">
        <v>27</v>
      </c>
      <c r="F498" t="s">
        <v>41</v>
      </c>
      <c r="G498" t="s">
        <v>158</v>
      </c>
      <c r="I498" t="s">
        <v>42</v>
      </c>
      <c r="J498" s="2">
        <v>4500</v>
      </c>
      <c r="K498">
        <v>84.4</v>
      </c>
      <c r="L498" s="2">
        <v>2440</v>
      </c>
      <c r="O498" t="s">
        <v>159</v>
      </c>
      <c r="P498" t="s">
        <v>1809</v>
      </c>
      <c r="R498" t="s">
        <v>32</v>
      </c>
      <c r="S498" t="s">
        <v>33</v>
      </c>
      <c r="T498" t="s">
        <v>34</v>
      </c>
      <c r="U498" t="s">
        <v>35</v>
      </c>
      <c r="W498" t="s">
        <v>63</v>
      </c>
      <c r="X498" t="s">
        <v>34</v>
      </c>
      <c r="Y498" t="s">
        <v>64</v>
      </c>
      <c r="Z498" t="s">
        <v>1810</v>
      </c>
      <c r="AA498" t="s">
        <v>38</v>
      </c>
    </row>
    <row r="499" spans="1:27" hidden="1">
      <c r="A499" t="s">
        <v>1811</v>
      </c>
      <c r="B499" t="s">
        <v>1812</v>
      </c>
      <c r="C499" t="e">
        <f>VLOOKUP(B499,Sheet2!$A$2:$A$392,1,0)</f>
        <v>#N/A</v>
      </c>
      <c r="E499" t="s">
        <v>206</v>
      </c>
      <c r="F499" t="s">
        <v>41</v>
      </c>
      <c r="G499" t="s">
        <v>29</v>
      </c>
      <c r="J499" s="2">
        <v>400</v>
      </c>
      <c r="K499" s="2">
        <v>70</v>
      </c>
      <c r="L499" s="2">
        <v>150</v>
      </c>
      <c r="P499" s="2">
        <v>1111</v>
      </c>
      <c r="Q499" t="s">
        <v>34</v>
      </c>
      <c r="R499" t="s">
        <v>42</v>
      </c>
      <c r="S499" t="s">
        <v>33</v>
      </c>
      <c r="U499" t="s">
        <v>35</v>
      </c>
      <c r="X499" t="s">
        <v>34</v>
      </c>
      <c r="Y499" t="s">
        <v>45</v>
      </c>
      <c r="Z499" t="s">
        <v>1813</v>
      </c>
      <c r="AA499" t="s">
        <v>38</v>
      </c>
    </row>
    <row r="500" spans="1:27" hidden="1">
      <c r="A500" t="s">
        <v>1814</v>
      </c>
      <c r="B500" t="s">
        <v>1815</v>
      </c>
      <c r="C500" t="e">
        <f>VLOOKUP(B500,Sheet2!$A$2:$A$392,1,0)</f>
        <v>#N/A</v>
      </c>
      <c r="E500" t="s">
        <v>27</v>
      </c>
      <c r="I500" t="s">
        <v>42</v>
      </c>
      <c r="J500" s="2">
        <v>6786</v>
      </c>
      <c r="K500" s="2">
        <v>108</v>
      </c>
      <c r="L500" s="2">
        <v>5570</v>
      </c>
      <c r="P500" t="s">
        <v>1816</v>
      </c>
      <c r="S500" t="s">
        <v>33</v>
      </c>
      <c r="X500" t="s">
        <v>34</v>
      </c>
      <c r="AA500" t="s">
        <v>38</v>
      </c>
    </row>
    <row r="501" spans="1:27" hidden="1">
      <c r="A501" t="s">
        <v>1817</v>
      </c>
      <c r="B501" t="s">
        <v>1818</v>
      </c>
      <c r="C501" t="e">
        <f>VLOOKUP(B501,Sheet2!$A$2:$A$392,1,0)</f>
        <v>#N/A</v>
      </c>
      <c r="E501" t="s">
        <v>206</v>
      </c>
      <c r="F501" t="s">
        <v>41</v>
      </c>
      <c r="G501" t="s">
        <v>29</v>
      </c>
      <c r="J501" s="2">
        <v>400</v>
      </c>
      <c r="K501" s="2">
        <v>70</v>
      </c>
      <c r="L501" s="2">
        <v>150</v>
      </c>
      <c r="P501" s="2">
        <v>1</v>
      </c>
      <c r="Q501" t="s">
        <v>34</v>
      </c>
      <c r="R501" t="s">
        <v>42</v>
      </c>
      <c r="S501" t="s">
        <v>33</v>
      </c>
      <c r="U501" t="s">
        <v>35</v>
      </c>
      <c r="X501" t="s">
        <v>34</v>
      </c>
      <c r="Y501" t="s">
        <v>45</v>
      </c>
      <c r="Z501" t="s">
        <v>1819</v>
      </c>
      <c r="AA501" t="s">
        <v>38</v>
      </c>
    </row>
    <row r="502" spans="1:27" hidden="1">
      <c r="A502" t="s">
        <v>1820</v>
      </c>
      <c r="B502" t="s">
        <v>1821</v>
      </c>
      <c r="C502" t="e">
        <f>VLOOKUP(B502,Sheet2!$A$2:$A$392,1,0)</f>
        <v>#N/A</v>
      </c>
      <c r="E502" t="s">
        <v>27</v>
      </c>
      <c r="F502" t="s">
        <v>41</v>
      </c>
      <c r="G502" t="s">
        <v>29</v>
      </c>
      <c r="J502" s="2">
        <v>600</v>
      </c>
      <c r="K502" s="2">
        <v>70</v>
      </c>
      <c r="L502" s="2">
        <v>150</v>
      </c>
      <c r="P502" t="s">
        <v>1820</v>
      </c>
      <c r="Q502" t="s">
        <v>34</v>
      </c>
      <c r="R502" t="s">
        <v>42</v>
      </c>
      <c r="S502" t="s">
        <v>33</v>
      </c>
      <c r="U502" t="s">
        <v>35</v>
      </c>
      <c r="X502" t="s">
        <v>34</v>
      </c>
      <c r="Y502" t="s">
        <v>45</v>
      </c>
      <c r="Z502" t="s">
        <v>1822</v>
      </c>
      <c r="AA502" t="s">
        <v>38</v>
      </c>
    </row>
    <row r="503" spans="1:27">
      <c r="A503" t="s">
        <v>1823</v>
      </c>
      <c r="B503" t="s">
        <v>1824</v>
      </c>
      <c r="C503" t="str">
        <f>VLOOKUP(B503,Sheet2!$A$2:$A$392,1,0)</f>
        <v>KM. ASIA PESONA</v>
      </c>
      <c r="E503" t="s">
        <v>27</v>
      </c>
      <c r="F503" t="s">
        <v>41</v>
      </c>
      <c r="G503" t="s">
        <v>29</v>
      </c>
      <c r="J503" s="2">
        <v>3742</v>
      </c>
      <c r="K503">
        <v>75.5</v>
      </c>
      <c r="L503" s="2">
        <v>1497</v>
      </c>
      <c r="N503">
        <v>6.9</v>
      </c>
      <c r="O503" t="s">
        <v>482</v>
      </c>
      <c r="P503" t="s">
        <v>1825</v>
      </c>
      <c r="R503" t="s">
        <v>42</v>
      </c>
      <c r="S503" t="s">
        <v>33</v>
      </c>
      <c r="U503" t="s">
        <v>44</v>
      </c>
      <c r="V503" s="2">
        <v>1</v>
      </c>
      <c r="X503" t="s">
        <v>34</v>
      </c>
      <c r="Y503" t="s">
        <v>45</v>
      </c>
      <c r="Z503" t="s">
        <v>1826</v>
      </c>
      <c r="AA503" t="s">
        <v>38</v>
      </c>
    </row>
    <row r="504" spans="1:27" hidden="1">
      <c r="A504" t="s">
        <v>1827</v>
      </c>
      <c r="B504" t="s">
        <v>1828</v>
      </c>
      <c r="C504" t="e">
        <f>VLOOKUP(B504,Sheet2!$A$2:$A$392,1,0)</f>
        <v>#N/A</v>
      </c>
      <c r="E504" t="s">
        <v>27</v>
      </c>
      <c r="F504" t="s">
        <v>41</v>
      </c>
      <c r="G504" t="s">
        <v>29</v>
      </c>
      <c r="I504" t="s">
        <v>42</v>
      </c>
      <c r="J504" s="2">
        <v>2850</v>
      </c>
      <c r="K504" s="2">
        <v>82</v>
      </c>
      <c r="L504" s="2">
        <v>1825</v>
      </c>
      <c r="N504" s="2">
        <v>5</v>
      </c>
      <c r="P504" t="s">
        <v>1829</v>
      </c>
      <c r="R504" t="s">
        <v>32</v>
      </c>
      <c r="S504" t="s">
        <v>33</v>
      </c>
      <c r="T504" t="s">
        <v>34</v>
      </c>
      <c r="U504" t="s">
        <v>35</v>
      </c>
      <c r="X504" t="s">
        <v>34</v>
      </c>
      <c r="Y504" t="s">
        <v>45</v>
      </c>
      <c r="Z504" t="s">
        <v>1830</v>
      </c>
      <c r="AA504" t="s">
        <v>38</v>
      </c>
    </row>
    <row r="505" spans="1:27">
      <c r="A505" t="s">
        <v>1831</v>
      </c>
      <c r="B505" t="s">
        <v>1832</v>
      </c>
      <c r="C505" t="str">
        <f>VLOOKUP(B505,Sheet2!$A$2:$A$392,1,0)</f>
        <v>KM. ARTHA SENTOSA</v>
      </c>
      <c r="E505" t="s">
        <v>27</v>
      </c>
      <c r="F505" t="s">
        <v>41</v>
      </c>
      <c r="G505" t="s">
        <v>29</v>
      </c>
      <c r="I505" t="s">
        <v>42</v>
      </c>
      <c r="J505" s="2">
        <v>3000</v>
      </c>
      <c r="K505" s="2">
        <v>86</v>
      </c>
      <c r="L505" s="2">
        <v>2082</v>
      </c>
      <c r="P505" t="s">
        <v>1833</v>
      </c>
      <c r="R505" t="s">
        <v>581</v>
      </c>
      <c r="S505" t="s">
        <v>33</v>
      </c>
      <c r="T505" t="s">
        <v>34</v>
      </c>
      <c r="U505" t="s">
        <v>35</v>
      </c>
      <c r="W505" t="s">
        <v>165</v>
      </c>
      <c r="X505" t="s">
        <v>34</v>
      </c>
      <c r="Y505" t="s">
        <v>245</v>
      </c>
      <c r="Z505" t="s">
        <v>1834</v>
      </c>
      <c r="AA505" t="s">
        <v>38</v>
      </c>
    </row>
    <row r="506" spans="1:27" hidden="1">
      <c r="A506" t="s">
        <v>1835</v>
      </c>
      <c r="B506" t="s">
        <v>1836</v>
      </c>
      <c r="C506" t="e">
        <f>VLOOKUP(B506,Sheet2!$A$2:$A$392,1,0)</f>
        <v>#N/A</v>
      </c>
      <c r="E506" t="s">
        <v>27</v>
      </c>
      <c r="F506" t="s">
        <v>41</v>
      </c>
      <c r="G506" t="s">
        <v>29</v>
      </c>
      <c r="I506" t="s">
        <v>42</v>
      </c>
      <c r="J506" s="2">
        <v>2500</v>
      </c>
      <c r="K506" s="2">
        <v>63</v>
      </c>
      <c r="L506" s="2">
        <v>1372</v>
      </c>
      <c r="P506" t="s">
        <v>1837</v>
      </c>
      <c r="R506" t="s">
        <v>32</v>
      </c>
      <c r="S506" t="s">
        <v>33</v>
      </c>
      <c r="T506" t="s">
        <v>34</v>
      </c>
      <c r="U506" t="s">
        <v>35</v>
      </c>
      <c r="W506" t="s">
        <v>165</v>
      </c>
      <c r="X506" t="s">
        <v>34</v>
      </c>
      <c r="Y506" t="s">
        <v>245</v>
      </c>
      <c r="Z506" t="s">
        <v>1473</v>
      </c>
      <c r="AA506" t="s">
        <v>38</v>
      </c>
    </row>
    <row r="507" spans="1:27" hidden="1">
      <c r="A507" t="s">
        <v>1838</v>
      </c>
      <c r="B507" t="s">
        <v>1839</v>
      </c>
      <c r="C507" t="e">
        <f>VLOOKUP(B507,Sheet2!$A$2:$A$392,1,0)</f>
        <v>#N/A</v>
      </c>
      <c r="E507" t="s">
        <v>27</v>
      </c>
      <c r="F507" t="s">
        <v>41</v>
      </c>
      <c r="G507" t="s">
        <v>29</v>
      </c>
      <c r="J507" s="2">
        <v>250</v>
      </c>
      <c r="K507" s="2">
        <v>49</v>
      </c>
      <c r="L507" s="2">
        <v>200</v>
      </c>
      <c r="P507" s="2">
        <v>1234</v>
      </c>
      <c r="R507" t="s">
        <v>42</v>
      </c>
      <c r="S507" t="s">
        <v>33</v>
      </c>
      <c r="U507" t="s">
        <v>44</v>
      </c>
      <c r="X507" t="s">
        <v>34</v>
      </c>
      <c r="Y507" t="s">
        <v>1241</v>
      </c>
      <c r="Z507" t="s">
        <v>1840</v>
      </c>
      <c r="AA507" t="s">
        <v>38</v>
      </c>
    </row>
    <row r="508" spans="1:27" hidden="1">
      <c r="A508" t="s">
        <v>1841</v>
      </c>
      <c r="B508" t="s">
        <v>1842</v>
      </c>
      <c r="C508" t="e">
        <f>VLOOKUP(B508,Sheet2!$A$2:$A$392,1,0)</f>
        <v>#N/A</v>
      </c>
      <c r="E508" t="s">
        <v>27</v>
      </c>
      <c r="F508" t="s">
        <v>41</v>
      </c>
      <c r="G508" t="s">
        <v>29</v>
      </c>
      <c r="I508" t="s">
        <v>42</v>
      </c>
      <c r="J508" s="2">
        <v>2000</v>
      </c>
      <c r="K508" s="2">
        <v>75</v>
      </c>
      <c r="L508" s="2">
        <v>1497</v>
      </c>
      <c r="M508" s="2">
        <v>1324</v>
      </c>
      <c r="N508" s="2">
        <v>4</v>
      </c>
      <c r="P508" t="s">
        <v>1843</v>
      </c>
      <c r="R508" t="s">
        <v>32</v>
      </c>
      <c r="S508" t="s">
        <v>33</v>
      </c>
      <c r="T508" t="s">
        <v>34</v>
      </c>
      <c r="U508" t="s">
        <v>35</v>
      </c>
      <c r="X508" t="s">
        <v>34</v>
      </c>
      <c r="Y508" t="s">
        <v>45</v>
      </c>
      <c r="Z508" t="s">
        <v>1844</v>
      </c>
      <c r="AA508" t="s">
        <v>38</v>
      </c>
    </row>
    <row r="509" spans="1:27" hidden="1">
      <c r="A509" t="s">
        <v>1845</v>
      </c>
      <c r="B509" t="s">
        <v>1846</v>
      </c>
      <c r="C509" t="e">
        <f>VLOOKUP(B509,Sheet2!$A$2:$A$392,1,0)</f>
        <v>#N/A</v>
      </c>
      <c r="E509" t="s">
        <v>27</v>
      </c>
      <c r="F509" t="s">
        <v>41</v>
      </c>
      <c r="I509" t="s">
        <v>42</v>
      </c>
      <c r="J509" s="2">
        <v>50</v>
      </c>
      <c r="K509" s="2">
        <v>70</v>
      </c>
      <c r="L509" s="2">
        <v>164</v>
      </c>
      <c r="M509" s="2">
        <v>0</v>
      </c>
      <c r="P509" t="s">
        <v>1845</v>
      </c>
      <c r="R509" t="s">
        <v>42</v>
      </c>
      <c r="S509" t="s">
        <v>33</v>
      </c>
      <c r="T509" t="s">
        <v>34</v>
      </c>
      <c r="U509" t="s">
        <v>35</v>
      </c>
      <c r="X509" t="s">
        <v>34</v>
      </c>
      <c r="Y509" t="s">
        <v>45</v>
      </c>
      <c r="Z509" t="s">
        <v>1847</v>
      </c>
      <c r="AA509" t="s">
        <v>38</v>
      </c>
    </row>
    <row r="510" spans="1:27">
      <c r="A510" t="s">
        <v>1848</v>
      </c>
      <c r="B510" t="s">
        <v>1849</v>
      </c>
      <c r="C510" t="str">
        <f>VLOOKUP(B510,Sheet2!$A$2:$A$392,1,0)</f>
        <v>TB. PUTRA LAUTAN VII / BG. KABA PERKASA 2701</v>
      </c>
      <c r="E510" t="s">
        <v>40</v>
      </c>
      <c r="F510" t="s">
        <v>41</v>
      </c>
      <c r="G510" t="s">
        <v>29</v>
      </c>
      <c r="I510" t="s">
        <v>42</v>
      </c>
      <c r="J510" s="2">
        <v>5000</v>
      </c>
      <c r="K510" s="2">
        <v>79</v>
      </c>
      <c r="L510" s="2">
        <v>2292</v>
      </c>
      <c r="P510" t="s">
        <v>185</v>
      </c>
      <c r="R510" t="s">
        <v>42</v>
      </c>
      <c r="S510" t="s">
        <v>33</v>
      </c>
      <c r="T510" t="s">
        <v>34</v>
      </c>
      <c r="U510" t="s">
        <v>35</v>
      </c>
      <c r="X510" t="s">
        <v>34</v>
      </c>
      <c r="Y510" t="s">
        <v>45</v>
      </c>
      <c r="Z510" t="s">
        <v>1850</v>
      </c>
      <c r="AA510" t="s">
        <v>38</v>
      </c>
    </row>
    <row r="511" spans="1:27" hidden="1">
      <c r="A511" t="s">
        <v>1851</v>
      </c>
      <c r="B511" t="s">
        <v>1852</v>
      </c>
      <c r="C511" t="e">
        <f>VLOOKUP(B511,Sheet2!$A$2:$A$392,1,0)</f>
        <v>#N/A</v>
      </c>
      <c r="E511" t="s">
        <v>27</v>
      </c>
      <c r="F511" t="s">
        <v>41</v>
      </c>
      <c r="G511" t="s">
        <v>847</v>
      </c>
      <c r="J511" s="2">
        <v>2000</v>
      </c>
      <c r="K511" s="2">
        <v>81</v>
      </c>
      <c r="L511" s="2">
        <v>2034</v>
      </c>
      <c r="O511" t="s">
        <v>848</v>
      </c>
      <c r="P511" t="s">
        <v>1853</v>
      </c>
      <c r="R511" t="s">
        <v>42</v>
      </c>
      <c r="S511" t="s">
        <v>33</v>
      </c>
      <c r="U511" t="s">
        <v>35</v>
      </c>
      <c r="V511" s="2">
        <v>2</v>
      </c>
      <c r="X511" t="s">
        <v>147</v>
      </c>
      <c r="Y511" t="s">
        <v>154</v>
      </c>
      <c r="Z511" t="s">
        <v>1854</v>
      </c>
      <c r="AA511" t="s">
        <v>38</v>
      </c>
    </row>
    <row r="512" spans="1:27" hidden="1">
      <c r="A512" t="s">
        <v>1855</v>
      </c>
      <c r="B512" t="s">
        <v>1856</v>
      </c>
      <c r="C512" t="e">
        <f>VLOOKUP(B512,Sheet2!$A$2:$A$392,1,0)</f>
        <v>#N/A</v>
      </c>
      <c r="E512" t="s">
        <v>27</v>
      </c>
      <c r="F512" t="s">
        <v>41</v>
      </c>
      <c r="G512" t="s">
        <v>29</v>
      </c>
      <c r="J512" s="2">
        <v>347</v>
      </c>
      <c r="K512" s="3">
        <v>23.93</v>
      </c>
      <c r="L512" s="2">
        <v>205</v>
      </c>
      <c r="P512" t="s">
        <v>1855</v>
      </c>
      <c r="Q512" t="s">
        <v>34</v>
      </c>
      <c r="R512" t="s">
        <v>42</v>
      </c>
      <c r="S512" t="s">
        <v>33</v>
      </c>
      <c r="U512" t="s">
        <v>35</v>
      </c>
      <c r="X512" t="s">
        <v>34</v>
      </c>
      <c r="Y512" t="s">
        <v>45</v>
      </c>
      <c r="Z512" t="s">
        <v>1857</v>
      </c>
      <c r="AA512" t="s">
        <v>38</v>
      </c>
    </row>
    <row r="513" spans="1:27" hidden="1">
      <c r="A513" t="s">
        <v>1858</v>
      </c>
      <c r="B513" t="s">
        <v>1859</v>
      </c>
      <c r="C513" t="e">
        <f>VLOOKUP(B513,Sheet2!$A$2:$A$392,1,0)</f>
        <v>#N/A</v>
      </c>
      <c r="E513" t="s">
        <v>27</v>
      </c>
      <c r="F513" t="s">
        <v>41</v>
      </c>
      <c r="G513" t="s">
        <v>29</v>
      </c>
      <c r="I513" t="s">
        <v>42</v>
      </c>
      <c r="J513" s="2">
        <v>1500</v>
      </c>
      <c r="K513" s="2">
        <v>56</v>
      </c>
      <c r="L513" s="2">
        <v>712</v>
      </c>
      <c r="P513" t="s">
        <v>1860</v>
      </c>
      <c r="R513" t="s">
        <v>32</v>
      </c>
      <c r="S513" t="s">
        <v>33</v>
      </c>
      <c r="T513" t="s">
        <v>34</v>
      </c>
      <c r="U513" t="s">
        <v>35</v>
      </c>
      <c r="W513" t="s">
        <v>165</v>
      </c>
      <c r="X513" t="s">
        <v>34</v>
      </c>
      <c r="Y513" t="s">
        <v>245</v>
      </c>
      <c r="Z513" t="s">
        <v>544</v>
      </c>
      <c r="AA513" t="s">
        <v>38</v>
      </c>
    </row>
    <row r="514" spans="1:27" hidden="1">
      <c r="A514" t="s">
        <v>1861</v>
      </c>
      <c r="B514" t="s">
        <v>1862</v>
      </c>
      <c r="C514" t="e">
        <f>VLOOKUP(B514,Sheet2!$A$2:$A$392,1,0)</f>
        <v>#N/A</v>
      </c>
      <c r="E514" t="s">
        <v>27</v>
      </c>
      <c r="F514" t="s">
        <v>41</v>
      </c>
      <c r="G514" t="s">
        <v>158</v>
      </c>
      <c r="J514" s="2">
        <v>3415</v>
      </c>
      <c r="K514" s="2">
        <v>79</v>
      </c>
      <c r="L514" s="2">
        <v>2207</v>
      </c>
      <c r="M514" s="2">
        <v>1800</v>
      </c>
      <c r="N514" s="3">
        <v>5.74</v>
      </c>
      <c r="P514" t="s">
        <v>1863</v>
      </c>
      <c r="R514" t="s">
        <v>1864</v>
      </c>
      <c r="S514" t="s">
        <v>33</v>
      </c>
      <c r="U514" t="s">
        <v>35</v>
      </c>
      <c r="W514" t="s">
        <v>63</v>
      </c>
      <c r="X514" t="s">
        <v>34</v>
      </c>
      <c r="Y514" t="s">
        <v>64</v>
      </c>
      <c r="Z514" t="s">
        <v>1865</v>
      </c>
      <c r="AA514" t="s">
        <v>38</v>
      </c>
    </row>
    <row r="515" spans="1:27" hidden="1">
      <c r="A515" t="s">
        <v>1866</v>
      </c>
      <c r="B515" t="s">
        <v>1867</v>
      </c>
      <c r="C515" t="e">
        <f>VLOOKUP(B515,Sheet2!$A$2:$A$392,1,0)</f>
        <v>#N/A</v>
      </c>
      <c r="E515" t="s">
        <v>27</v>
      </c>
      <c r="F515" t="s">
        <v>41</v>
      </c>
      <c r="G515" t="s">
        <v>29</v>
      </c>
      <c r="I515" t="s">
        <v>42</v>
      </c>
      <c r="J515" s="2">
        <v>2350</v>
      </c>
      <c r="K515" s="2">
        <v>72</v>
      </c>
      <c r="L515" s="2">
        <v>1358</v>
      </c>
      <c r="N515">
        <v>6.9</v>
      </c>
      <c r="P515" t="s">
        <v>1868</v>
      </c>
      <c r="R515" t="s">
        <v>32</v>
      </c>
      <c r="S515" t="s">
        <v>33</v>
      </c>
      <c r="T515" t="s">
        <v>34</v>
      </c>
      <c r="U515" t="s">
        <v>35</v>
      </c>
      <c r="V515" s="2">
        <v>1</v>
      </c>
      <c r="X515" t="s">
        <v>34</v>
      </c>
      <c r="Y515" t="s">
        <v>45</v>
      </c>
      <c r="Z515" t="s">
        <v>1869</v>
      </c>
      <c r="AA515" t="s">
        <v>38</v>
      </c>
    </row>
    <row r="516" spans="1:27" hidden="1">
      <c r="A516" t="s">
        <v>1870</v>
      </c>
      <c r="B516" t="s">
        <v>1871</v>
      </c>
      <c r="C516" t="e">
        <f>VLOOKUP(B516,Sheet2!$A$2:$A$392,1,0)</f>
        <v>#N/A</v>
      </c>
      <c r="E516" t="s">
        <v>27</v>
      </c>
      <c r="F516" t="s">
        <v>41</v>
      </c>
      <c r="G516" t="s">
        <v>29</v>
      </c>
      <c r="I516" t="s">
        <v>42</v>
      </c>
      <c r="J516" s="2">
        <v>250</v>
      </c>
      <c r="K516" s="2">
        <v>70</v>
      </c>
      <c r="L516" s="2">
        <v>99</v>
      </c>
      <c r="M516" s="2">
        <v>0</v>
      </c>
      <c r="N516" s="2">
        <v>3</v>
      </c>
      <c r="P516" t="s">
        <v>1870</v>
      </c>
      <c r="R516" t="s">
        <v>42</v>
      </c>
      <c r="S516" t="s">
        <v>33</v>
      </c>
      <c r="U516" t="s">
        <v>35</v>
      </c>
      <c r="X516" t="s">
        <v>34</v>
      </c>
      <c r="Y516" t="s">
        <v>45</v>
      </c>
      <c r="Z516" t="s">
        <v>1872</v>
      </c>
      <c r="AA516" t="s">
        <v>38</v>
      </c>
    </row>
    <row r="517" spans="1:27" hidden="1">
      <c r="A517" t="s">
        <v>1873</v>
      </c>
      <c r="B517" t="s">
        <v>1874</v>
      </c>
      <c r="C517" t="e">
        <f>VLOOKUP(B517,Sheet2!$A$2:$A$392,1,0)</f>
        <v>#N/A</v>
      </c>
      <c r="E517" t="s">
        <v>27</v>
      </c>
      <c r="F517" t="s">
        <v>41</v>
      </c>
      <c r="G517" t="s">
        <v>158</v>
      </c>
      <c r="J517" s="2">
        <v>3415</v>
      </c>
      <c r="K517" s="3">
        <v>79.09</v>
      </c>
      <c r="L517" s="2">
        <v>2207</v>
      </c>
      <c r="O517" t="s">
        <v>159</v>
      </c>
      <c r="P517" t="s">
        <v>1863</v>
      </c>
      <c r="R517" t="s">
        <v>32</v>
      </c>
      <c r="S517" t="s">
        <v>33</v>
      </c>
      <c r="U517" t="s">
        <v>35</v>
      </c>
      <c r="W517" t="s">
        <v>63</v>
      </c>
      <c r="X517" t="s">
        <v>34</v>
      </c>
      <c r="Y517" t="s">
        <v>64</v>
      </c>
      <c r="Z517" t="s">
        <v>1875</v>
      </c>
      <c r="AA517" t="s">
        <v>38</v>
      </c>
    </row>
    <row r="518" spans="1:27" hidden="1">
      <c r="A518" t="s">
        <v>1876</v>
      </c>
      <c r="B518" t="s">
        <v>1877</v>
      </c>
      <c r="C518" t="e">
        <f>VLOOKUP(B518,Sheet2!$A$2:$A$392,1,0)</f>
        <v>#N/A</v>
      </c>
      <c r="E518" t="s">
        <v>27</v>
      </c>
      <c r="F518" t="s">
        <v>41</v>
      </c>
      <c r="G518" t="s">
        <v>29</v>
      </c>
      <c r="I518" t="s">
        <v>42</v>
      </c>
      <c r="J518" s="2">
        <v>354</v>
      </c>
      <c r="K518" s="2">
        <v>39</v>
      </c>
      <c r="L518" s="2">
        <v>457</v>
      </c>
      <c r="P518" t="s">
        <v>1876</v>
      </c>
      <c r="R518" t="s">
        <v>42</v>
      </c>
      <c r="S518" t="s">
        <v>33</v>
      </c>
      <c r="T518" t="s">
        <v>34</v>
      </c>
      <c r="U518" t="s">
        <v>35</v>
      </c>
      <c r="X518" t="s">
        <v>34</v>
      </c>
      <c r="Y518" t="s">
        <v>45</v>
      </c>
      <c r="Z518" t="s">
        <v>1878</v>
      </c>
      <c r="AA518" t="s">
        <v>38</v>
      </c>
    </row>
    <row r="519" spans="1:27">
      <c r="A519" t="s">
        <v>1879</v>
      </c>
      <c r="B519" t="s">
        <v>1880</v>
      </c>
      <c r="C519" t="str">
        <f>VLOOKUP(B519,Sheet2!$A$2:$A$392,1,0)</f>
        <v>KM. BIMA PUTRA</v>
      </c>
      <c r="E519" t="s">
        <v>27</v>
      </c>
      <c r="F519" t="s">
        <v>41</v>
      </c>
      <c r="G519" t="s">
        <v>29</v>
      </c>
      <c r="J519" s="2">
        <v>1500</v>
      </c>
      <c r="K519" s="2">
        <v>63</v>
      </c>
      <c r="L519" s="2">
        <v>901</v>
      </c>
      <c r="M519" s="2">
        <v>1000</v>
      </c>
      <c r="P519" t="s">
        <v>1881</v>
      </c>
      <c r="R519" t="s">
        <v>32</v>
      </c>
      <c r="S519" t="s">
        <v>33</v>
      </c>
      <c r="U519" t="s">
        <v>35</v>
      </c>
      <c r="V519" s="2">
        <v>2</v>
      </c>
      <c r="X519" t="s">
        <v>34</v>
      </c>
      <c r="Y519" t="s">
        <v>45</v>
      </c>
      <c r="Z519" t="s">
        <v>1882</v>
      </c>
      <c r="AA519" t="s">
        <v>38</v>
      </c>
    </row>
    <row r="520" spans="1:27" hidden="1">
      <c r="A520" t="s">
        <v>1883</v>
      </c>
      <c r="B520" t="s">
        <v>1884</v>
      </c>
      <c r="C520" t="e">
        <f>VLOOKUP(B520,Sheet2!$A$2:$A$392,1,0)</f>
        <v>#N/A</v>
      </c>
      <c r="E520" t="s">
        <v>27</v>
      </c>
      <c r="F520" t="s">
        <v>41</v>
      </c>
      <c r="G520" t="s">
        <v>29</v>
      </c>
      <c r="J520" s="2">
        <v>450</v>
      </c>
      <c r="K520" s="3">
        <v>33.93</v>
      </c>
      <c r="L520" s="2">
        <v>399</v>
      </c>
      <c r="P520" t="s">
        <v>1885</v>
      </c>
      <c r="R520" t="s">
        <v>42</v>
      </c>
      <c r="S520" t="s">
        <v>33</v>
      </c>
      <c r="U520" t="s">
        <v>35</v>
      </c>
      <c r="X520" t="s">
        <v>34</v>
      </c>
      <c r="Y520" t="s">
        <v>45</v>
      </c>
      <c r="Z520" t="s">
        <v>1886</v>
      </c>
      <c r="AA520" t="s">
        <v>38</v>
      </c>
    </row>
    <row r="521" spans="1:27" hidden="1">
      <c r="A521" t="s">
        <v>1887</v>
      </c>
      <c r="B521" t="s">
        <v>1888</v>
      </c>
      <c r="C521" t="e">
        <f>VLOOKUP(B521,Sheet2!$A$2:$A$392,1,0)</f>
        <v>#N/A</v>
      </c>
      <c r="E521" t="s">
        <v>27</v>
      </c>
      <c r="F521" t="s">
        <v>41</v>
      </c>
      <c r="I521" t="s">
        <v>42</v>
      </c>
      <c r="J521" s="2">
        <v>168</v>
      </c>
      <c r="K521" s="2">
        <v>26</v>
      </c>
      <c r="L521" s="2">
        <v>122</v>
      </c>
      <c r="P521" t="s">
        <v>1887</v>
      </c>
      <c r="R521" t="s">
        <v>42</v>
      </c>
      <c r="S521" t="s">
        <v>33</v>
      </c>
      <c r="T521" t="s">
        <v>34</v>
      </c>
      <c r="U521" t="s">
        <v>44</v>
      </c>
      <c r="X521" t="s">
        <v>34</v>
      </c>
      <c r="Y521" t="s">
        <v>45</v>
      </c>
      <c r="Z521" t="s">
        <v>1889</v>
      </c>
      <c r="AA521" t="s">
        <v>38</v>
      </c>
    </row>
    <row r="522" spans="1:27" hidden="1">
      <c r="A522" t="s">
        <v>1890</v>
      </c>
      <c r="B522" t="s">
        <v>1891</v>
      </c>
      <c r="C522" t="e">
        <f>VLOOKUP(B522,Sheet2!$A$2:$A$392,1,0)</f>
        <v>#N/A</v>
      </c>
      <c r="E522" t="s">
        <v>27</v>
      </c>
      <c r="F522" t="s">
        <v>41</v>
      </c>
      <c r="G522" t="s">
        <v>29</v>
      </c>
      <c r="J522" s="2">
        <v>400</v>
      </c>
      <c r="K522" s="2">
        <v>70</v>
      </c>
      <c r="L522" s="2">
        <v>200</v>
      </c>
      <c r="M522" s="2">
        <v>830</v>
      </c>
      <c r="N522" s="2">
        <v>3</v>
      </c>
      <c r="P522" t="s">
        <v>1890</v>
      </c>
      <c r="R522" t="s">
        <v>42</v>
      </c>
      <c r="S522" t="s">
        <v>33</v>
      </c>
      <c r="U522" t="s">
        <v>35</v>
      </c>
      <c r="X522" t="s">
        <v>34</v>
      </c>
      <c r="Y522" t="s">
        <v>45</v>
      </c>
      <c r="Z522" t="s">
        <v>1892</v>
      </c>
      <c r="AA522" t="s">
        <v>38</v>
      </c>
    </row>
    <row r="523" spans="1:27" hidden="1">
      <c r="A523" t="s">
        <v>1893</v>
      </c>
      <c r="B523" t="s">
        <v>1894</v>
      </c>
      <c r="C523" t="e">
        <f>VLOOKUP(B523,Sheet2!$A$2:$A$392,1,0)</f>
        <v>#N/A</v>
      </c>
      <c r="E523" t="s">
        <v>27</v>
      </c>
      <c r="F523" t="s">
        <v>41</v>
      </c>
      <c r="G523" t="s">
        <v>29</v>
      </c>
      <c r="I523" t="s">
        <v>42</v>
      </c>
      <c r="J523" s="2">
        <v>1500</v>
      </c>
      <c r="K523" s="2">
        <v>67</v>
      </c>
      <c r="L523" s="2">
        <v>939</v>
      </c>
      <c r="P523" t="s">
        <v>1895</v>
      </c>
      <c r="R523" t="s">
        <v>32</v>
      </c>
      <c r="S523" t="s">
        <v>33</v>
      </c>
      <c r="U523" t="s">
        <v>35</v>
      </c>
      <c r="X523" t="s">
        <v>34</v>
      </c>
      <c r="Y523" t="s">
        <v>1241</v>
      </c>
      <c r="Z523" t="s">
        <v>1896</v>
      </c>
      <c r="AA523" t="s">
        <v>38</v>
      </c>
    </row>
    <row r="524" spans="1:27" hidden="1">
      <c r="A524" t="s">
        <v>1897</v>
      </c>
      <c r="B524" t="s">
        <v>1898</v>
      </c>
      <c r="C524" t="e">
        <f>VLOOKUP(B524,Sheet2!$A$2:$A$392,1,0)</f>
        <v>#N/A</v>
      </c>
      <c r="E524" t="s">
        <v>27</v>
      </c>
      <c r="F524" t="s">
        <v>41</v>
      </c>
      <c r="G524" t="s">
        <v>29</v>
      </c>
      <c r="J524" s="2">
        <v>1150</v>
      </c>
      <c r="K524" s="2">
        <v>51</v>
      </c>
      <c r="L524" s="2">
        <v>701</v>
      </c>
      <c r="N524" s="2">
        <v>5</v>
      </c>
      <c r="P524" t="s">
        <v>1899</v>
      </c>
      <c r="R524" t="s">
        <v>32</v>
      </c>
      <c r="S524" t="s">
        <v>33</v>
      </c>
      <c r="U524" t="s">
        <v>35</v>
      </c>
      <c r="X524" t="s">
        <v>34</v>
      </c>
      <c r="Y524" t="s">
        <v>45</v>
      </c>
      <c r="Z524" t="s">
        <v>1900</v>
      </c>
      <c r="AA524" t="s">
        <v>38</v>
      </c>
    </row>
    <row r="525" spans="1:27" hidden="1">
      <c r="A525" t="s">
        <v>1901</v>
      </c>
      <c r="B525" t="s">
        <v>1902</v>
      </c>
      <c r="C525" t="e">
        <f>VLOOKUP(B525,Sheet2!$A$2:$A$392,1,0)</f>
        <v>#N/A</v>
      </c>
      <c r="E525" t="s">
        <v>27</v>
      </c>
      <c r="F525" t="s">
        <v>41</v>
      </c>
      <c r="G525" t="s">
        <v>29</v>
      </c>
      <c r="I525" t="s">
        <v>42</v>
      </c>
      <c r="J525" s="2">
        <v>150</v>
      </c>
      <c r="K525" s="2">
        <v>28</v>
      </c>
      <c r="L525" s="2">
        <v>245</v>
      </c>
      <c r="M525" s="2">
        <v>0</v>
      </c>
      <c r="N525" s="2">
        <v>4</v>
      </c>
      <c r="P525" t="s">
        <v>1901</v>
      </c>
      <c r="R525" t="s">
        <v>42</v>
      </c>
      <c r="S525" t="s">
        <v>33</v>
      </c>
      <c r="T525" t="s">
        <v>34</v>
      </c>
      <c r="U525" t="s">
        <v>35</v>
      </c>
      <c r="X525" t="s">
        <v>34</v>
      </c>
      <c r="Y525" t="s">
        <v>45</v>
      </c>
      <c r="Z525" t="s">
        <v>1903</v>
      </c>
      <c r="AA525" t="s">
        <v>38</v>
      </c>
    </row>
    <row r="526" spans="1:27">
      <c r="A526" t="s">
        <v>1904</v>
      </c>
      <c r="B526" t="s">
        <v>1905</v>
      </c>
      <c r="C526" t="str">
        <f>VLOOKUP(B526,Sheet2!$A$2:$A$392,1,0)</f>
        <v>KM. KENCANA</v>
      </c>
      <c r="E526" t="s">
        <v>27</v>
      </c>
      <c r="F526" t="s">
        <v>41</v>
      </c>
      <c r="G526" t="s">
        <v>29</v>
      </c>
      <c r="J526" s="2">
        <v>3697</v>
      </c>
      <c r="K526" s="2">
        <v>84</v>
      </c>
      <c r="L526" s="2">
        <v>2405</v>
      </c>
      <c r="M526" s="2">
        <v>3000</v>
      </c>
      <c r="N526" s="2">
        <v>6</v>
      </c>
      <c r="O526" t="s">
        <v>482</v>
      </c>
      <c r="P526" t="s">
        <v>1906</v>
      </c>
      <c r="Q526" t="s">
        <v>34</v>
      </c>
      <c r="R526" t="s">
        <v>42</v>
      </c>
      <c r="S526" t="s">
        <v>33</v>
      </c>
      <c r="U526" t="s">
        <v>35</v>
      </c>
      <c r="V526" s="2">
        <v>2</v>
      </c>
      <c r="X526" t="s">
        <v>34</v>
      </c>
      <c r="Y526" t="s">
        <v>45</v>
      </c>
      <c r="Z526" t="s">
        <v>1907</v>
      </c>
      <c r="AA526" t="s">
        <v>38</v>
      </c>
    </row>
    <row r="527" spans="1:27" hidden="1">
      <c r="A527" t="s">
        <v>1908</v>
      </c>
      <c r="B527" t="s">
        <v>1909</v>
      </c>
      <c r="C527" t="e">
        <f>VLOOKUP(B527,Sheet2!$A$2:$A$392,1,0)</f>
        <v>#N/A</v>
      </c>
      <c r="E527" t="s">
        <v>27</v>
      </c>
      <c r="F527" t="s">
        <v>41</v>
      </c>
      <c r="G527" t="s">
        <v>29</v>
      </c>
      <c r="I527" t="s">
        <v>42</v>
      </c>
      <c r="J527" s="2">
        <v>1020</v>
      </c>
      <c r="K527" s="2">
        <v>53</v>
      </c>
      <c r="L527" s="2">
        <v>920</v>
      </c>
      <c r="M527" s="2">
        <v>1000</v>
      </c>
      <c r="N527" s="2">
        <v>3</v>
      </c>
      <c r="P527" t="s">
        <v>1910</v>
      </c>
      <c r="R527" t="s">
        <v>32</v>
      </c>
      <c r="S527" t="s">
        <v>33</v>
      </c>
      <c r="T527" t="s">
        <v>34</v>
      </c>
      <c r="U527" t="s">
        <v>35</v>
      </c>
      <c r="X527" t="s">
        <v>34</v>
      </c>
      <c r="Y527" t="s">
        <v>45</v>
      </c>
      <c r="Z527" t="s">
        <v>1911</v>
      </c>
      <c r="AA527" t="s">
        <v>38</v>
      </c>
    </row>
    <row r="528" spans="1:27" hidden="1">
      <c r="A528" t="s">
        <v>1912</v>
      </c>
      <c r="B528" t="s">
        <v>1913</v>
      </c>
      <c r="C528" t="e">
        <f>VLOOKUP(B528,Sheet2!$A$2:$A$392,1,0)</f>
        <v>#N/A</v>
      </c>
      <c r="E528" t="s">
        <v>27</v>
      </c>
      <c r="F528" t="s">
        <v>41</v>
      </c>
      <c r="G528" t="s">
        <v>29</v>
      </c>
      <c r="J528" s="2">
        <v>250</v>
      </c>
      <c r="K528" s="2">
        <v>70</v>
      </c>
      <c r="L528" s="2">
        <v>150</v>
      </c>
      <c r="M528" s="2">
        <v>0</v>
      </c>
      <c r="N528" s="2">
        <v>3</v>
      </c>
      <c r="P528" s="2">
        <v>1234</v>
      </c>
      <c r="R528" t="s">
        <v>42</v>
      </c>
      <c r="S528" t="s">
        <v>33</v>
      </c>
      <c r="U528" t="s">
        <v>35</v>
      </c>
      <c r="X528" t="s">
        <v>34</v>
      </c>
      <c r="Y528" t="s">
        <v>45</v>
      </c>
      <c r="Z528" t="s">
        <v>1914</v>
      </c>
      <c r="AA528" t="s">
        <v>38</v>
      </c>
    </row>
    <row r="529" spans="1:27" hidden="1">
      <c r="A529" t="s">
        <v>1915</v>
      </c>
      <c r="B529" t="s">
        <v>1916</v>
      </c>
      <c r="C529" t="e">
        <f>VLOOKUP(B529,Sheet2!$A$2:$A$392,1,0)</f>
        <v>#N/A</v>
      </c>
      <c r="E529" t="s">
        <v>40</v>
      </c>
      <c r="G529" t="s">
        <v>427</v>
      </c>
      <c r="I529" t="s">
        <v>42</v>
      </c>
      <c r="J529" s="2">
        <v>187</v>
      </c>
      <c r="K529">
        <v>25.2</v>
      </c>
      <c r="L529" s="2">
        <v>187</v>
      </c>
      <c r="P529" t="s">
        <v>1917</v>
      </c>
      <c r="S529" t="s">
        <v>33</v>
      </c>
      <c r="X529" t="s">
        <v>34</v>
      </c>
      <c r="AA529" t="s">
        <v>38</v>
      </c>
    </row>
    <row r="530" spans="1:27">
      <c r="A530" t="s">
        <v>1918</v>
      </c>
      <c r="B530" t="s">
        <v>1919</v>
      </c>
      <c r="C530" t="str">
        <f>VLOOKUP(B530,Sheet2!$A$2:$A$392,1,0)</f>
        <v>KM. DAMAI SEJAHTERA 6</v>
      </c>
      <c r="E530" t="s">
        <v>27</v>
      </c>
      <c r="F530" t="s">
        <v>41</v>
      </c>
      <c r="G530" t="s">
        <v>29</v>
      </c>
      <c r="J530" s="2">
        <v>4500</v>
      </c>
      <c r="K530" s="2">
        <v>93</v>
      </c>
      <c r="L530" s="2">
        <v>2646</v>
      </c>
      <c r="P530" t="s">
        <v>1918</v>
      </c>
      <c r="Q530" t="s">
        <v>34</v>
      </c>
      <c r="R530" t="s">
        <v>42</v>
      </c>
      <c r="S530" t="s">
        <v>33</v>
      </c>
      <c r="U530" t="s">
        <v>44</v>
      </c>
      <c r="V530" s="2">
        <v>1</v>
      </c>
      <c r="X530" t="s">
        <v>34</v>
      </c>
      <c r="Y530" t="s">
        <v>45</v>
      </c>
      <c r="Z530" t="s">
        <v>1920</v>
      </c>
      <c r="AA530" t="s">
        <v>38</v>
      </c>
    </row>
    <row r="531" spans="1:27" hidden="1">
      <c r="A531" t="s">
        <v>1921</v>
      </c>
      <c r="B531" t="s">
        <v>1922</v>
      </c>
      <c r="C531" t="e">
        <f>VLOOKUP(B531,Sheet2!$A$2:$A$392,1,0)</f>
        <v>#N/A</v>
      </c>
      <c r="E531" t="s">
        <v>72</v>
      </c>
      <c r="G531" t="s">
        <v>125</v>
      </c>
      <c r="I531" t="s">
        <v>42</v>
      </c>
      <c r="J531" s="2">
        <v>2345</v>
      </c>
      <c r="K531">
        <v>76.2</v>
      </c>
      <c r="L531" s="2">
        <v>2345</v>
      </c>
      <c r="P531" t="s">
        <v>74</v>
      </c>
      <c r="S531" t="s">
        <v>33</v>
      </c>
      <c r="X531" t="s">
        <v>34</v>
      </c>
      <c r="AA531" t="s">
        <v>38</v>
      </c>
    </row>
    <row r="532" spans="1:27" hidden="1">
      <c r="A532" t="s">
        <v>1923</v>
      </c>
      <c r="B532" t="s">
        <v>1924</v>
      </c>
      <c r="C532" t="e">
        <f>VLOOKUP(B532,Sheet2!$A$2:$A$392,1,0)</f>
        <v>#N/A</v>
      </c>
      <c r="E532" t="s">
        <v>27</v>
      </c>
      <c r="F532" t="s">
        <v>41</v>
      </c>
      <c r="I532" t="s">
        <v>42</v>
      </c>
      <c r="J532" s="2">
        <v>23</v>
      </c>
      <c r="K532" s="2">
        <v>24</v>
      </c>
      <c r="L532" s="2">
        <v>77</v>
      </c>
      <c r="M532" s="2">
        <v>0</v>
      </c>
      <c r="P532" t="s">
        <v>1923</v>
      </c>
      <c r="R532" t="s">
        <v>42</v>
      </c>
      <c r="S532" t="s">
        <v>33</v>
      </c>
      <c r="T532" t="s">
        <v>34</v>
      </c>
      <c r="U532" t="s">
        <v>44</v>
      </c>
      <c r="X532" t="s">
        <v>34</v>
      </c>
      <c r="Y532" t="s">
        <v>45</v>
      </c>
      <c r="Z532" t="s">
        <v>1925</v>
      </c>
      <c r="AA532" t="s">
        <v>38</v>
      </c>
    </row>
    <row r="533" spans="1:27" hidden="1">
      <c r="A533" t="s">
        <v>1926</v>
      </c>
      <c r="B533" t="s">
        <v>1927</v>
      </c>
      <c r="C533" t="e">
        <f>VLOOKUP(B533,Sheet2!$A$2:$A$392,1,0)</f>
        <v>#N/A</v>
      </c>
      <c r="E533" t="s">
        <v>27</v>
      </c>
      <c r="F533" t="s">
        <v>41</v>
      </c>
      <c r="G533" t="s">
        <v>29</v>
      </c>
      <c r="I533" t="s">
        <v>42</v>
      </c>
      <c r="J533" s="2">
        <v>2000</v>
      </c>
      <c r="K533" s="2">
        <v>71</v>
      </c>
      <c r="L533" s="2">
        <v>1305</v>
      </c>
      <c r="M533" s="2">
        <v>1000</v>
      </c>
      <c r="P533" t="s">
        <v>1928</v>
      </c>
      <c r="R533" t="s">
        <v>32</v>
      </c>
      <c r="S533" t="s">
        <v>33</v>
      </c>
      <c r="T533" t="s">
        <v>34</v>
      </c>
      <c r="U533" t="s">
        <v>35</v>
      </c>
      <c r="W533" t="s">
        <v>165</v>
      </c>
      <c r="X533" t="s">
        <v>34</v>
      </c>
      <c r="Y533" t="s">
        <v>245</v>
      </c>
      <c r="Z533" t="s">
        <v>1929</v>
      </c>
      <c r="AA533" t="s">
        <v>38</v>
      </c>
    </row>
    <row r="534" spans="1:27" hidden="1">
      <c r="A534" t="s">
        <v>1930</v>
      </c>
      <c r="B534" t="s">
        <v>1931</v>
      </c>
      <c r="C534" t="e">
        <f>VLOOKUP(B534,Sheet2!$A$2:$A$392,1,0)</f>
        <v>#N/A</v>
      </c>
      <c r="E534" t="s">
        <v>27</v>
      </c>
      <c r="F534" t="s">
        <v>41</v>
      </c>
      <c r="G534" t="s">
        <v>29</v>
      </c>
      <c r="I534" t="s">
        <v>42</v>
      </c>
      <c r="J534" s="2">
        <v>600</v>
      </c>
      <c r="K534" s="2">
        <v>49</v>
      </c>
      <c r="L534" s="2">
        <v>400</v>
      </c>
      <c r="P534" t="s">
        <v>1930</v>
      </c>
      <c r="R534" t="s">
        <v>42</v>
      </c>
      <c r="S534" t="s">
        <v>33</v>
      </c>
      <c r="U534" t="s">
        <v>44</v>
      </c>
      <c r="X534" t="s">
        <v>34</v>
      </c>
      <c r="Y534" t="s">
        <v>45</v>
      </c>
      <c r="Z534" t="s">
        <v>1932</v>
      </c>
      <c r="AA534" t="s">
        <v>38</v>
      </c>
    </row>
    <row r="535" spans="1:27" hidden="1">
      <c r="A535" t="s">
        <v>1933</v>
      </c>
      <c r="B535" t="s">
        <v>1934</v>
      </c>
      <c r="C535" t="e">
        <f>VLOOKUP(B535,Sheet2!$A$2:$A$392,1,0)</f>
        <v>#N/A</v>
      </c>
      <c r="E535" t="s">
        <v>27</v>
      </c>
      <c r="I535" t="s">
        <v>42</v>
      </c>
      <c r="J535" s="2">
        <v>18773</v>
      </c>
      <c r="K535" s="2">
        <v>160</v>
      </c>
      <c r="L535" s="2">
        <v>13350</v>
      </c>
      <c r="P535" t="s">
        <v>1935</v>
      </c>
      <c r="S535" t="s">
        <v>33</v>
      </c>
      <c r="X535" t="s">
        <v>34</v>
      </c>
      <c r="AA535" t="s">
        <v>38</v>
      </c>
    </row>
    <row r="536" spans="1:27">
      <c r="A536" t="s">
        <v>1936</v>
      </c>
      <c r="B536" t="s">
        <v>1905</v>
      </c>
      <c r="C536" t="str">
        <f>VLOOKUP(B536,Sheet2!$A$2:$A$392,1,0)</f>
        <v>KM. KENCANA</v>
      </c>
      <c r="E536" t="s">
        <v>27</v>
      </c>
      <c r="F536" t="s">
        <v>41</v>
      </c>
      <c r="G536" t="s">
        <v>158</v>
      </c>
      <c r="J536" s="2">
        <v>3565</v>
      </c>
      <c r="K536" s="3">
        <v>91.91</v>
      </c>
      <c r="L536" s="2">
        <v>2405</v>
      </c>
      <c r="O536" t="s">
        <v>159</v>
      </c>
      <c r="P536" t="s">
        <v>1937</v>
      </c>
      <c r="R536" t="s">
        <v>32</v>
      </c>
      <c r="S536" t="s">
        <v>33</v>
      </c>
      <c r="U536" t="s">
        <v>35</v>
      </c>
      <c r="W536" t="s">
        <v>63</v>
      </c>
      <c r="X536" t="s">
        <v>34</v>
      </c>
      <c r="Y536" t="s">
        <v>64</v>
      </c>
      <c r="Z536" t="s">
        <v>1938</v>
      </c>
      <c r="AA536" t="s">
        <v>38</v>
      </c>
    </row>
    <row r="537" spans="1:27" hidden="1">
      <c r="A537" t="s">
        <v>1939</v>
      </c>
      <c r="B537" t="s">
        <v>1940</v>
      </c>
      <c r="C537" t="e">
        <f>VLOOKUP(B537,Sheet2!$A$2:$A$392,1,0)</f>
        <v>#N/A</v>
      </c>
      <c r="E537" t="s">
        <v>170</v>
      </c>
      <c r="I537" t="s">
        <v>42</v>
      </c>
      <c r="J537" s="2">
        <v>6500</v>
      </c>
      <c r="K537">
        <v>101.7</v>
      </c>
      <c r="L537" s="2">
        <v>5119</v>
      </c>
      <c r="P537" t="s">
        <v>1941</v>
      </c>
      <c r="S537" t="s">
        <v>33</v>
      </c>
      <c r="X537" t="s">
        <v>34</v>
      </c>
      <c r="AA537" t="s">
        <v>38</v>
      </c>
    </row>
    <row r="538" spans="1:27" hidden="1">
      <c r="A538" t="s">
        <v>1942</v>
      </c>
      <c r="B538" t="s">
        <v>1943</v>
      </c>
      <c r="C538" t="e">
        <f>VLOOKUP(B538,Sheet2!$A$2:$A$392,1,0)</f>
        <v>#N/A</v>
      </c>
      <c r="E538" t="s">
        <v>27</v>
      </c>
      <c r="F538" t="s">
        <v>41</v>
      </c>
      <c r="G538" t="s">
        <v>29</v>
      </c>
      <c r="I538" t="s">
        <v>42</v>
      </c>
      <c r="J538" s="2">
        <v>1250</v>
      </c>
      <c r="K538" s="2">
        <v>54</v>
      </c>
      <c r="L538" s="2">
        <v>671</v>
      </c>
      <c r="P538" t="s">
        <v>185</v>
      </c>
      <c r="R538" t="s">
        <v>32</v>
      </c>
      <c r="S538" t="s">
        <v>33</v>
      </c>
      <c r="T538" t="s">
        <v>34</v>
      </c>
      <c r="U538" t="s">
        <v>35</v>
      </c>
      <c r="W538" t="s">
        <v>165</v>
      </c>
      <c r="X538" t="s">
        <v>34</v>
      </c>
      <c r="Y538" t="s">
        <v>245</v>
      </c>
      <c r="Z538" t="s">
        <v>1944</v>
      </c>
      <c r="AA538" t="s">
        <v>38</v>
      </c>
    </row>
    <row r="539" spans="1:27" hidden="1">
      <c r="A539" t="s">
        <v>1945</v>
      </c>
      <c r="B539" t="s">
        <v>1946</v>
      </c>
      <c r="C539" t="e">
        <f>VLOOKUP(B539,Sheet2!$A$2:$A$392,1,0)</f>
        <v>#N/A</v>
      </c>
      <c r="E539" t="s">
        <v>72</v>
      </c>
      <c r="G539" t="s">
        <v>427</v>
      </c>
      <c r="I539" t="s">
        <v>42</v>
      </c>
      <c r="J539" s="2">
        <v>3102</v>
      </c>
      <c r="K539" s="3">
        <v>91.44</v>
      </c>
      <c r="L539" s="2">
        <v>3102</v>
      </c>
      <c r="P539" t="s">
        <v>74</v>
      </c>
      <c r="S539" t="s">
        <v>33</v>
      </c>
      <c r="X539" t="s">
        <v>34</v>
      </c>
      <c r="AA539" t="s">
        <v>38</v>
      </c>
    </row>
    <row r="540" spans="1:27" hidden="1">
      <c r="A540" t="s">
        <v>1947</v>
      </c>
      <c r="B540" t="s">
        <v>1948</v>
      </c>
      <c r="C540" t="e">
        <f>VLOOKUP(B540,Sheet2!$A$2:$A$392,1,0)</f>
        <v>#N/A</v>
      </c>
      <c r="E540" t="s">
        <v>27</v>
      </c>
      <c r="F540" t="s">
        <v>41</v>
      </c>
      <c r="G540" t="s">
        <v>29</v>
      </c>
      <c r="J540" s="2">
        <v>400</v>
      </c>
      <c r="K540" s="2">
        <v>50</v>
      </c>
      <c r="L540" s="2">
        <v>200</v>
      </c>
      <c r="P540" s="2">
        <v>1234</v>
      </c>
      <c r="Q540" t="s">
        <v>34</v>
      </c>
      <c r="R540" t="s">
        <v>42</v>
      </c>
      <c r="S540" t="s">
        <v>33</v>
      </c>
      <c r="U540" t="s">
        <v>44</v>
      </c>
      <c r="X540" t="s">
        <v>34</v>
      </c>
      <c r="Y540" t="s">
        <v>45</v>
      </c>
      <c r="Z540" t="s">
        <v>1949</v>
      </c>
      <c r="AA540" t="s">
        <v>38</v>
      </c>
    </row>
    <row r="541" spans="1:27" hidden="1">
      <c r="A541" t="s">
        <v>1950</v>
      </c>
      <c r="B541" t="s">
        <v>1951</v>
      </c>
      <c r="C541" t="e">
        <f>VLOOKUP(B541,Sheet2!$A$2:$A$392,1,0)</f>
        <v>#N/A</v>
      </c>
      <c r="E541" t="s">
        <v>40</v>
      </c>
      <c r="G541" t="s">
        <v>73</v>
      </c>
      <c r="I541" t="s">
        <v>42</v>
      </c>
      <c r="J541" s="2">
        <v>187</v>
      </c>
      <c r="K541" s="2">
        <v>26</v>
      </c>
      <c r="L541" s="2">
        <v>187</v>
      </c>
      <c r="P541" t="s">
        <v>1952</v>
      </c>
      <c r="S541" t="s">
        <v>33</v>
      </c>
      <c r="X541" t="s">
        <v>34</v>
      </c>
      <c r="AA541" t="s">
        <v>38</v>
      </c>
    </row>
    <row r="542" spans="1:27" hidden="1">
      <c r="A542" t="s">
        <v>1953</v>
      </c>
      <c r="B542" t="s">
        <v>1954</v>
      </c>
      <c r="C542" t="e">
        <f>VLOOKUP(B542,Sheet2!$A$2:$A$392,1,0)</f>
        <v>#N/A</v>
      </c>
      <c r="E542" t="s">
        <v>52</v>
      </c>
      <c r="F542" t="s">
        <v>41</v>
      </c>
      <c r="J542" s="2">
        <v>3800</v>
      </c>
      <c r="K542" s="3">
        <v>87.82</v>
      </c>
      <c r="L542" s="2">
        <v>1827</v>
      </c>
      <c r="M542" s="2">
        <v>1000</v>
      </c>
      <c r="N542">
        <v>6.4</v>
      </c>
      <c r="O542" t="s">
        <v>254</v>
      </c>
      <c r="P542" t="s">
        <v>1240</v>
      </c>
      <c r="R542" t="s">
        <v>42</v>
      </c>
      <c r="S542" t="s">
        <v>33</v>
      </c>
      <c r="U542" t="s">
        <v>44</v>
      </c>
      <c r="X542" t="s">
        <v>34</v>
      </c>
      <c r="Y542" t="s">
        <v>45</v>
      </c>
      <c r="Z542" t="s">
        <v>1955</v>
      </c>
      <c r="AA542" t="s">
        <v>38</v>
      </c>
    </row>
    <row r="543" spans="1:27" hidden="1">
      <c r="A543" t="s">
        <v>1956</v>
      </c>
      <c r="B543" t="s">
        <v>1957</v>
      </c>
      <c r="C543" t="e">
        <f>VLOOKUP(B543,Sheet2!$A$2:$A$392,1,0)</f>
        <v>#N/A</v>
      </c>
      <c r="E543" t="s">
        <v>93</v>
      </c>
      <c r="G543" t="s">
        <v>1301</v>
      </c>
      <c r="I543" t="s">
        <v>42</v>
      </c>
      <c r="J543" s="2">
        <v>530</v>
      </c>
      <c r="K543">
        <v>48.1</v>
      </c>
      <c r="L543" s="2">
        <v>317</v>
      </c>
      <c r="P543" t="s">
        <v>1958</v>
      </c>
      <c r="S543" t="s">
        <v>33</v>
      </c>
      <c r="X543" t="s">
        <v>34</v>
      </c>
      <c r="AA543" t="s">
        <v>38</v>
      </c>
    </row>
    <row r="544" spans="1:27" hidden="1">
      <c r="A544" t="s">
        <v>1959</v>
      </c>
      <c r="B544" t="s">
        <v>1960</v>
      </c>
      <c r="C544" t="e">
        <f>VLOOKUP(B544,Sheet2!$A$2:$A$392,1,0)</f>
        <v>#N/A</v>
      </c>
      <c r="E544" t="s">
        <v>27</v>
      </c>
      <c r="F544" t="s">
        <v>41</v>
      </c>
      <c r="G544" t="s">
        <v>29</v>
      </c>
      <c r="I544" t="s">
        <v>42</v>
      </c>
      <c r="J544" s="2">
        <v>2500</v>
      </c>
      <c r="K544" s="2">
        <v>74</v>
      </c>
      <c r="L544" s="2">
        <v>1462</v>
      </c>
      <c r="P544" t="s">
        <v>185</v>
      </c>
      <c r="R544" t="s">
        <v>32</v>
      </c>
      <c r="S544" t="s">
        <v>33</v>
      </c>
      <c r="T544" t="s">
        <v>34</v>
      </c>
      <c r="U544" t="s">
        <v>35</v>
      </c>
      <c r="W544" t="s">
        <v>165</v>
      </c>
      <c r="X544" t="s">
        <v>34</v>
      </c>
      <c r="Y544" t="s">
        <v>166</v>
      </c>
      <c r="Z544" t="s">
        <v>1961</v>
      </c>
      <c r="AA544" t="s">
        <v>38</v>
      </c>
    </row>
    <row r="545" spans="1:27" hidden="1">
      <c r="A545" t="s">
        <v>1962</v>
      </c>
      <c r="B545" t="s">
        <v>1963</v>
      </c>
      <c r="C545" t="e">
        <f>VLOOKUP(B545,Sheet2!$A$2:$A$392,1,0)</f>
        <v>#N/A</v>
      </c>
      <c r="E545" t="s">
        <v>27</v>
      </c>
      <c r="F545" t="s">
        <v>41</v>
      </c>
      <c r="G545" t="s">
        <v>415</v>
      </c>
      <c r="I545" t="s">
        <v>42</v>
      </c>
      <c r="J545">
        <v>8.6</v>
      </c>
      <c r="K545" s="2">
        <v>104</v>
      </c>
      <c r="L545">
        <v>6.306</v>
      </c>
      <c r="N545" s="2">
        <v>8</v>
      </c>
      <c r="P545" t="s">
        <v>1964</v>
      </c>
      <c r="R545" t="s">
        <v>42</v>
      </c>
      <c r="S545" t="s">
        <v>33</v>
      </c>
      <c r="T545" t="s">
        <v>34</v>
      </c>
      <c r="U545" t="s">
        <v>44</v>
      </c>
      <c r="V545" s="2">
        <v>1</v>
      </c>
      <c r="W545" t="s">
        <v>63</v>
      </c>
      <c r="X545" t="s">
        <v>34</v>
      </c>
      <c r="Y545" t="s">
        <v>64</v>
      </c>
      <c r="Z545" t="s">
        <v>1965</v>
      </c>
      <c r="AA545" t="s">
        <v>38</v>
      </c>
    </row>
    <row r="546" spans="1:27" hidden="1">
      <c r="A546" t="s">
        <v>1966</v>
      </c>
      <c r="B546" t="s">
        <v>1967</v>
      </c>
      <c r="C546" t="e">
        <f>VLOOKUP(B546,Sheet2!$A$2:$A$392,1,0)</f>
        <v>#N/A</v>
      </c>
      <c r="E546" t="s">
        <v>27</v>
      </c>
      <c r="F546" t="s">
        <v>41</v>
      </c>
      <c r="G546" t="s">
        <v>1968</v>
      </c>
      <c r="I546" t="s">
        <v>42</v>
      </c>
      <c r="J546" s="2">
        <v>2000</v>
      </c>
      <c r="K546" s="2">
        <v>69</v>
      </c>
      <c r="L546" s="2">
        <v>1021</v>
      </c>
      <c r="M546" s="2">
        <v>1000</v>
      </c>
      <c r="N546" s="2">
        <v>5</v>
      </c>
      <c r="O546" t="s">
        <v>281</v>
      </c>
      <c r="P546" t="s">
        <v>929</v>
      </c>
      <c r="R546" t="s">
        <v>42</v>
      </c>
      <c r="S546" t="s">
        <v>33</v>
      </c>
      <c r="T546" t="s">
        <v>34</v>
      </c>
      <c r="U546" t="s">
        <v>44</v>
      </c>
      <c r="V546" s="2">
        <v>1</v>
      </c>
      <c r="W546" t="s">
        <v>63</v>
      </c>
      <c r="X546" t="s">
        <v>34</v>
      </c>
      <c r="Y546" t="s">
        <v>64</v>
      </c>
      <c r="Z546" t="s">
        <v>1969</v>
      </c>
      <c r="AA546" t="s">
        <v>38</v>
      </c>
    </row>
    <row r="547" spans="1:27" hidden="1">
      <c r="A547" t="s">
        <v>1970</v>
      </c>
      <c r="B547" t="s">
        <v>1971</v>
      </c>
      <c r="C547" t="e">
        <f>VLOOKUP(B547,Sheet2!$A$2:$A$392,1,0)</f>
        <v>#N/A</v>
      </c>
      <c r="E547" t="s">
        <v>52</v>
      </c>
      <c r="F547" t="s">
        <v>41</v>
      </c>
      <c r="G547" t="s">
        <v>59</v>
      </c>
      <c r="I547" t="s">
        <v>42</v>
      </c>
      <c r="J547" s="2">
        <v>6527</v>
      </c>
      <c r="K547" s="2">
        <v>114</v>
      </c>
      <c r="L547" s="2">
        <v>4667</v>
      </c>
      <c r="M547" s="2">
        <v>2400</v>
      </c>
      <c r="N547" s="2">
        <v>6</v>
      </c>
      <c r="O547" t="s">
        <v>61</v>
      </c>
      <c r="P547" t="s">
        <v>1357</v>
      </c>
      <c r="R547" t="s">
        <v>32</v>
      </c>
      <c r="S547" t="s">
        <v>33</v>
      </c>
      <c r="T547" t="s">
        <v>34</v>
      </c>
      <c r="U547" t="s">
        <v>35</v>
      </c>
      <c r="X547" t="s">
        <v>147</v>
      </c>
      <c r="Y547" t="s">
        <v>45</v>
      </c>
      <c r="Z547" t="s">
        <v>1972</v>
      </c>
      <c r="AA547" t="s">
        <v>38</v>
      </c>
    </row>
    <row r="548" spans="1:27" hidden="1">
      <c r="A548" t="s">
        <v>1973</v>
      </c>
      <c r="B548" t="s">
        <v>1974</v>
      </c>
      <c r="C548" t="e">
        <f>VLOOKUP(B548,Sheet2!$A$2:$A$392,1,0)</f>
        <v>#N/A</v>
      </c>
      <c r="E548" t="s">
        <v>27</v>
      </c>
      <c r="F548" t="s">
        <v>41</v>
      </c>
      <c r="G548" t="s">
        <v>158</v>
      </c>
      <c r="J548" s="2">
        <v>7277</v>
      </c>
      <c r="K548" s="2">
        <v>91</v>
      </c>
      <c r="L548" s="2">
        <v>5532</v>
      </c>
      <c r="M548" s="2">
        <v>3300</v>
      </c>
      <c r="N548" s="2">
        <v>8</v>
      </c>
      <c r="O548" t="s">
        <v>159</v>
      </c>
      <c r="P548" t="s">
        <v>1426</v>
      </c>
      <c r="R548" t="s">
        <v>32</v>
      </c>
      <c r="S548" t="s">
        <v>33</v>
      </c>
      <c r="U548" t="s">
        <v>35</v>
      </c>
      <c r="W548" t="s">
        <v>63</v>
      </c>
      <c r="X548" t="s">
        <v>34</v>
      </c>
      <c r="Y548" t="s">
        <v>64</v>
      </c>
      <c r="Z548" t="s">
        <v>1975</v>
      </c>
      <c r="AA548" t="s">
        <v>38</v>
      </c>
    </row>
    <row r="549" spans="1:27" hidden="1">
      <c r="A549" t="s">
        <v>1976</v>
      </c>
      <c r="B549" t="s">
        <v>1977</v>
      </c>
      <c r="C549" t="e">
        <f>VLOOKUP(B549,Sheet2!$A$2:$A$392,1,0)</f>
        <v>#N/A</v>
      </c>
      <c r="E549" t="s">
        <v>27</v>
      </c>
      <c r="F549" t="s">
        <v>41</v>
      </c>
      <c r="G549" t="s">
        <v>29</v>
      </c>
      <c r="I549" t="s">
        <v>42</v>
      </c>
      <c r="J549" s="2">
        <v>250</v>
      </c>
      <c r="K549" s="2">
        <v>70</v>
      </c>
      <c r="L549" s="2">
        <v>150</v>
      </c>
      <c r="M549" s="2">
        <v>0</v>
      </c>
      <c r="P549" t="s">
        <v>1976</v>
      </c>
      <c r="R549" t="s">
        <v>42</v>
      </c>
      <c r="S549" t="s">
        <v>33</v>
      </c>
      <c r="U549" t="s">
        <v>44</v>
      </c>
      <c r="X549" t="s">
        <v>34</v>
      </c>
      <c r="Y549" t="s">
        <v>45</v>
      </c>
      <c r="Z549" t="s">
        <v>1978</v>
      </c>
      <c r="AA549" t="s">
        <v>38</v>
      </c>
    </row>
    <row r="550" spans="1:27" hidden="1">
      <c r="A550" t="s">
        <v>1979</v>
      </c>
      <c r="B550" t="s">
        <v>1980</v>
      </c>
      <c r="C550" t="e">
        <f>VLOOKUP(B550,Sheet2!$A$2:$A$392,1,0)</f>
        <v>#N/A</v>
      </c>
      <c r="E550" t="s">
        <v>52</v>
      </c>
      <c r="F550" t="s">
        <v>41</v>
      </c>
      <c r="G550" t="s">
        <v>585</v>
      </c>
      <c r="I550" t="s">
        <v>42</v>
      </c>
      <c r="J550" s="2">
        <v>4800</v>
      </c>
      <c r="K550" s="2">
        <v>98</v>
      </c>
      <c r="L550" s="2">
        <v>4675</v>
      </c>
      <c r="M550" s="2">
        <v>3000</v>
      </c>
      <c r="N550">
        <v>2.2000000000000002</v>
      </c>
      <c r="O550" t="s">
        <v>1058</v>
      </c>
      <c r="P550" t="s">
        <v>1981</v>
      </c>
      <c r="R550" t="s">
        <v>42</v>
      </c>
      <c r="S550" t="s">
        <v>33</v>
      </c>
      <c r="U550" t="s">
        <v>44</v>
      </c>
      <c r="V550" s="2">
        <v>2</v>
      </c>
      <c r="X550" t="s">
        <v>34</v>
      </c>
      <c r="Y550" t="s">
        <v>154</v>
      </c>
      <c r="Z550" t="s">
        <v>1982</v>
      </c>
      <c r="AA550" t="s">
        <v>38</v>
      </c>
    </row>
    <row r="551" spans="1:27">
      <c r="A551" t="s">
        <v>1983</v>
      </c>
      <c r="B551" t="s">
        <v>1984</v>
      </c>
      <c r="C551" t="str">
        <f>VLOOKUP(B551,Sheet2!$A$2:$A$392,1,0)</f>
        <v>KM. HARAPAN BERSAMA 323</v>
      </c>
      <c r="E551" t="s">
        <v>27</v>
      </c>
      <c r="F551" t="s">
        <v>41</v>
      </c>
      <c r="G551" t="s">
        <v>29</v>
      </c>
      <c r="J551" s="2">
        <v>2600</v>
      </c>
      <c r="K551" s="2">
        <v>69</v>
      </c>
      <c r="L551" s="2">
        <v>1559</v>
      </c>
      <c r="M551" s="2">
        <v>1000</v>
      </c>
      <c r="P551" t="s">
        <v>1985</v>
      </c>
      <c r="R551" t="s">
        <v>32</v>
      </c>
      <c r="S551" t="s">
        <v>33</v>
      </c>
      <c r="U551" t="s">
        <v>35</v>
      </c>
      <c r="V551" s="2">
        <v>2</v>
      </c>
      <c r="X551" t="s">
        <v>34</v>
      </c>
      <c r="Y551" t="s">
        <v>45</v>
      </c>
      <c r="Z551" t="s">
        <v>1986</v>
      </c>
      <c r="AA551" t="s">
        <v>38</v>
      </c>
    </row>
    <row r="552" spans="1:27">
      <c r="A552" t="s">
        <v>1987</v>
      </c>
      <c r="B552" t="s">
        <v>1988</v>
      </c>
      <c r="C552" t="str">
        <f>VLOOKUP(B552,Sheet2!$A$2:$A$392,1,0)</f>
        <v>KM. HTS 38</v>
      </c>
      <c r="E552" t="s">
        <v>27</v>
      </c>
      <c r="F552" t="s">
        <v>41</v>
      </c>
      <c r="G552" t="s">
        <v>415</v>
      </c>
      <c r="J552" s="2">
        <v>6430</v>
      </c>
      <c r="K552">
        <v>97.3</v>
      </c>
      <c r="L552" s="2">
        <v>2572</v>
      </c>
      <c r="N552" s="3">
        <v>6.85</v>
      </c>
      <c r="O552" t="s">
        <v>1606</v>
      </c>
      <c r="P552" t="s">
        <v>1607</v>
      </c>
      <c r="R552" t="s">
        <v>42</v>
      </c>
      <c r="S552" t="s">
        <v>33</v>
      </c>
      <c r="U552" t="s">
        <v>44</v>
      </c>
      <c r="V552" s="2">
        <v>1</v>
      </c>
      <c r="W552" t="s">
        <v>63</v>
      </c>
      <c r="X552" t="s">
        <v>34</v>
      </c>
      <c r="Y552" t="s">
        <v>64</v>
      </c>
      <c r="Z552" t="s">
        <v>1608</v>
      </c>
      <c r="AA552" t="s">
        <v>38</v>
      </c>
    </row>
    <row r="553" spans="1:27" hidden="1">
      <c r="A553" t="s">
        <v>1989</v>
      </c>
      <c r="B553" t="s">
        <v>1990</v>
      </c>
      <c r="C553" t="e">
        <f>VLOOKUP(B553,Sheet2!$A$2:$A$392,1,0)</f>
        <v>#N/A</v>
      </c>
      <c r="E553" t="s">
        <v>27</v>
      </c>
      <c r="F553" t="s">
        <v>41</v>
      </c>
      <c r="I553" t="s">
        <v>42</v>
      </c>
      <c r="J553" s="2">
        <v>251</v>
      </c>
      <c r="K553" s="2">
        <v>33</v>
      </c>
      <c r="L553" s="2">
        <v>339</v>
      </c>
      <c r="M553" s="2">
        <v>0</v>
      </c>
      <c r="P553" t="s">
        <v>1989</v>
      </c>
      <c r="R553" t="s">
        <v>42</v>
      </c>
      <c r="S553" t="s">
        <v>33</v>
      </c>
      <c r="T553" t="s">
        <v>34</v>
      </c>
      <c r="U553" t="s">
        <v>35</v>
      </c>
      <c r="X553" t="s">
        <v>34</v>
      </c>
      <c r="Y553" t="s">
        <v>45</v>
      </c>
      <c r="Z553" t="s">
        <v>1991</v>
      </c>
      <c r="AA553" t="s">
        <v>38</v>
      </c>
    </row>
    <row r="554" spans="1:27" hidden="1">
      <c r="A554" t="s">
        <v>1992</v>
      </c>
      <c r="B554" t="s">
        <v>1993</v>
      </c>
      <c r="C554" t="e">
        <f>VLOOKUP(B554,Sheet2!$A$2:$A$392,1,0)</f>
        <v>#N/A</v>
      </c>
      <c r="E554" t="s">
        <v>27</v>
      </c>
      <c r="F554" t="s">
        <v>41</v>
      </c>
      <c r="G554" t="s">
        <v>29</v>
      </c>
      <c r="I554" t="s">
        <v>42</v>
      </c>
      <c r="J554" s="2">
        <v>2000</v>
      </c>
      <c r="K554" s="2">
        <v>72</v>
      </c>
      <c r="L554" s="2">
        <v>1470</v>
      </c>
      <c r="N554" s="2">
        <v>7</v>
      </c>
      <c r="P554" t="s">
        <v>185</v>
      </c>
      <c r="R554" t="s">
        <v>32</v>
      </c>
      <c r="S554" t="s">
        <v>33</v>
      </c>
      <c r="T554" t="s">
        <v>34</v>
      </c>
      <c r="U554" t="s">
        <v>35</v>
      </c>
      <c r="X554" t="s">
        <v>34</v>
      </c>
      <c r="Y554" t="s">
        <v>45</v>
      </c>
      <c r="Z554" t="s">
        <v>1994</v>
      </c>
      <c r="AA554" t="s">
        <v>38</v>
      </c>
    </row>
    <row r="555" spans="1:27" hidden="1">
      <c r="A555" t="s">
        <v>1995</v>
      </c>
      <c r="B555" t="s">
        <v>1996</v>
      </c>
      <c r="C555" t="e">
        <f>VLOOKUP(B555,Sheet2!$A$2:$A$392,1,0)</f>
        <v>#N/A</v>
      </c>
      <c r="E555" t="s">
        <v>27</v>
      </c>
      <c r="F555" t="s">
        <v>28</v>
      </c>
      <c r="G555" t="s">
        <v>29</v>
      </c>
      <c r="I555" t="s">
        <v>42</v>
      </c>
      <c r="J555" s="2">
        <v>5824</v>
      </c>
      <c r="K555">
        <v>94.4</v>
      </c>
      <c r="L555" s="2">
        <v>3884</v>
      </c>
      <c r="P555" t="s">
        <v>1537</v>
      </c>
      <c r="R555" t="s">
        <v>32</v>
      </c>
      <c r="S555" t="s">
        <v>33</v>
      </c>
      <c r="T555" t="s">
        <v>34</v>
      </c>
      <c r="U555" t="s">
        <v>35</v>
      </c>
      <c r="X555" t="s">
        <v>34</v>
      </c>
      <c r="Y555" t="s">
        <v>45</v>
      </c>
      <c r="Z555" t="s">
        <v>1997</v>
      </c>
      <c r="AA555" t="s">
        <v>38</v>
      </c>
    </row>
    <row r="556" spans="1:27">
      <c r="A556" t="s">
        <v>1998</v>
      </c>
      <c r="B556" t="s">
        <v>1999</v>
      </c>
      <c r="C556" t="str">
        <f>VLOOKUP(B556,Sheet2!$A$2:$A$392,1,0)</f>
        <v>KM. HARI BARU</v>
      </c>
      <c r="E556" t="s">
        <v>27</v>
      </c>
      <c r="F556" t="s">
        <v>41</v>
      </c>
      <c r="G556" t="s">
        <v>29</v>
      </c>
      <c r="I556" t="s">
        <v>42</v>
      </c>
      <c r="J556" s="2">
        <v>1100</v>
      </c>
      <c r="K556" s="2">
        <v>52</v>
      </c>
      <c r="L556" s="2">
        <v>653</v>
      </c>
      <c r="M556" s="2">
        <v>100</v>
      </c>
      <c r="P556" t="s">
        <v>2000</v>
      </c>
      <c r="R556" t="s">
        <v>32</v>
      </c>
      <c r="S556" t="s">
        <v>33</v>
      </c>
      <c r="T556" t="s">
        <v>34</v>
      </c>
      <c r="U556" t="s">
        <v>35</v>
      </c>
      <c r="W556" t="s">
        <v>165</v>
      </c>
      <c r="X556" t="s">
        <v>34</v>
      </c>
      <c r="Y556" t="s">
        <v>245</v>
      </c>
      <c r="Z556" t="s">
        <v>2001</v>
      </c>
      <c r="AA556" t="s">
        <v>38</v>
      </c>
    </row>
    <row r="557" spans="1:27" hidden="1">
      <c r="A557" t="s">
        <v>2002</v>
      </c>
      <c r="B557" t="s">
        <v>2003</v>
      </c>
      <c r="C557" t="e">
        <f>VLOOKUP(B557,Sheet2!$A$2:$A$392,1,0)</f>
        <v>#N/A</v>
      </c>
      <c r="E557" t="s">
        <v>27</v>
      </c>
      <c r="F557" t="s">
        <v>41</v>
      </c>
      <c r="G557" t="s">
        <v>29</v>
      </c>
      <c r="J557" s="2">
        <v>150</v>
      </c>
      <c r="K557" s="2">
        <v>70</v>
      </c>
      <c r="L557" s="2">
        <v>120</v>
      </c>
      <c r="M557" s="2">
        <v>0</v>
      </c>
      <c r="N557" s="2">
        <v>4</v>
      </c>
      <c r="P557" s="2">
        <v>123</v>
      </c>
      <c r="R557" t="s">
        <v>42</v>
      </c>
      <c r="S557" t="s">
        <v>33</v>
      </c>
      <c r="U557" t="s">
        <v>44</v>
      </c>
      <c r="X557" t="s">
        <v>34</v>
      </c>
      <c r="Y557" t="s">
        <v>45</v>
      </c>
      <c r="Z557" t="s">
        <v>2004</v>
      </c>
      <c r="AA557" t="s">
        <v>38</v>
      </c>
    </row>
    <row r="558" spans="1:27" hidden="1">
      <c r="A558" t="s">
        <v>2005</v>
      </c>
      <c r="B558" t="s">
        <v>2006</v>
      </c>
      <c r="C558" t="e">
        <f>VLOOKUP(B558,Sheet2!$A$2:$A$392,1,0)</f>
        <v>#N/A</v>
      </c>
      <c r="E558" t="s">
        <v>1063</v>
      </c>
      <c r="G558" t="s">
        <v>1064</v>
      </c>
      <c r="I558" t="s">
        <v>42</v>
      </c>
      <c r="J558" s="2">
        <v>31614</v>
      </c>
      <c r="K558" s="2">
        <v>119</v>
      </c>
      <c r="L558" s="2">
        <v>9168</v>
      </c>
      <c r="P558" t="s">
        <v>2007</v>
      </c>
      <c r="S558" t="s">
        <v>33</v>
      </c>
      <c r="X558" t="s">
        <v>34</v>
      </c>
      <c r="AA558" t="s">
        <v>38</v>
      </c>
    </row>
    <row r="559" spans="1:27" hidden="1">
      <c r="A559" t="s">
        <v>2008</v>
      </c>
      <c r="B559" t="s">
        <v>2009</v>
      </c>
      <c r="C559" t="e">
        <f>VLOOKUP(B559,Sheet2!$A$2:$A$392,1,0)</f>
        <v>#N/A</v>
      </c>
      <c r="G559" t="s">
        <v>29</v>
      </c>
      <c r="I559" t="s">
        <v>42</v>
      </c>
      <c r="J559" s="2">
        <v>538</v>
      </c>
      <c r="K559" s="3">
        <v>65.25</v>
      </c>
      <c r="L559" s="2">
        <v>1794</v>
      </c>
      <c r="P559" t="s">
        <v>2010</v>
      </c>
      <c r="S559" t="s">
        <v>33</v>
      </c>
      <c r="X559" t="s">
        <v>34</v>
      </c>
      <c r="AA559" t="s">
        <v>38</v>
      </c>
    </row>
    <row r="560" spans="1:27" hidden="1">
      <c r="A560" t="s">
        <v>2011</v>
      </c>
      <c r="B560" t="s">
        <v>2012</v>
      </c>
      <c r="C560" t="e">
        <f>VLOOKUP(B560,Sheet2!$A$2:$A$392,1,0)</f>
        <v>#N/A</v>
      </c>
      <c r="E560" t="s">
        <v>1063</v>
      </c>
      <c r="G560" t="s">
        <v>1064</v>
      </c>
      <c r="I560" t="s">
        <v>42</v>
      </c>
      <c r="J560" s="2">
        <v>2508</v>
      </c>
      <c r="K560" s="3">
        <v>105.78</v>
      </c>
      <c r="L560" s="2">
        <v>5299</v>
      </c>
      <c r="P560" t="s">
        <v>2013</v>
      </c>
      <c r="S560" t="s">
        <v>33</v>
      </c>
      <c r="X560" t="s">
        <v>34</v>
      </c>
      <c r="AA560" t="s">
        <v>38</v>
      </c>
    </row>
    <row r="561" spans="1:27" hidden="1">
      <c r="A561" t="s">
        <v>2014</v>
      </c>
      <c r="B561" t="s">
        <v>2015</v>
      </c>
      <c r="C561" t="e">
        <f>VLOOKUP(B561,Sheet2!$A$2:$A$392,1,0)</f>
        <v>#N/A</v>
      </c>
      <c r="E561" t="s">
        <v>27</v>
      </c>
      <c r="F561" t="s">
        <v>41</v>
      </c>
      <c r="G561" t="s">
        <v>1513</v>
      </c>
      <c r="I561" t="s">
        <v>42</v>
      </c>
      <c r="J561" s="2">
        <v>1200</v>
      </c>
      <c r="K561">
        <v>50.6</v>
      </c>
      <c r="L561" s="2">
        <v>746</v>
      </c>
      <c r="M561" s="2">
        <v>100</v>
      </c>
      <c r="N561" s="2">
        <v>4</v>
      </c>
      <c r="O561" t="s">
        <v>1708</v>
      </c>
      <c r="P561" t="s">
        <v>2016</v>
      </c>
      <c r="R561" t="s">
        <v>32</v>
      </c>
      <c r="S561" t="s">
        <v>33</v>
      </c>
      <c r="U561" t="s">
        <v>44</v>
      </c>
      <c r="V561" s="2">
        <v>2</v>
      </c>
      <c r="X561" t="s">
        <v>34</v>
      </c>
      <c r="Y561" t="s">
        <v>55</v>
      </c>
      <c r="Z561" t="s">
        <v>2017</v>
      </c>
      <c r="AA561" t="s">
        <v>38</v>
      </c>
    </row>
    <row r="562" spans="1:27">
      <c r="A562" t="s">
        <v>2018</v>
      </c>
      <c r="B562" t="s">
        <v>2019</v>
      </c>
      <c r="C562" t="str">
        <f>VLOOKUP(B562,Sheet2!$A$2:$A$392,1,0)</f>
        <v>KM. INTI GLORY</v>
      </c>
      <c r="E562" t="s">
        <v>27</v>
      </c>
      <c r="F562" t="s">
        <v>41</v>
      </c>
      <c r="G562" t="s">
        <v>29</v>
      </c>
      <c r="I562" t="s">
        <v>42</v>
      </c>
      <c r="J562" s="2">
        <v>10000</v>
      </c>
      <c r="K562" s="2">
        <v>100</v>
      </c>
      <c r="L562" s="2">
        <v>10000</v>
      </c>
      <c r="M562" s="2">
        <v>10000</v>
      </c>
      <c r="N562" s="2">
        <v>1</v>
      </c>
      <c r="P562" t="s">
        <v>2018</v>
      </c>
      <c r="R562" t="s">
        <v>42</v>
      </c>
      <c r="S562" t="s">
        <v>33</v>
      </c>
      <c r="T562" t="s">
        <v>34</v>
      </c>
      <c r="U562" t="s">
        <v>44</v>
      </c>
      <c r="V562" s="2">
        <v>1</v>
      </c>
      <c r="W562" t="s">
        <v>165</v>
      </c>
      <c r="X562" t="s">
        <v>34</v>
      </c>
      <c r="Y562" t="s">
        <v>245</v>
      </c>
      <c r="Z562" t="s">
        <v>2020</v>
      </c>
      <c r="AA562" t="s">
        <v>38</v>
      </c>
    </row>
    <row r="563" spans="1:27">
      <c r="A563" t="s">
        <v>2021</v>
      </c>
      <c r="B563" t="s">
        <v>2022</v>
      </c>
      <c r="C563" t="str">
        <f>VLOOKUP(B563,Sheet2!$A$2:$A$392,1,0)</f>
        <v>KM. ILLANNUR</v>
      </c>
      <c r="E563" t="s">
        <v>52</v>
      </c>
      <c r="F563" t="s">
        <v>41</v>
      </c>
      <c r="G563" t="s">
        <v>585</v>
      </c>
      <c r="J563" s="2">
        <v>3500</v>
      </c>
      <c r="K563" s="2">
        <v>86</v>
      </c>
      <c r="L563" s="2">
        <v>2528</v>
      </c>
      <c r="M563" s="2">
        <v>1700</v>
      </c>
      <c r="O563" t="s">
        <v>1058</v>
      </c>
      <c r="P563" t="s">
        <v>2023</v>
      </c>
      <c r="R563" t="s">
        <v>42</v>
      </c>
      <c r="S563" t="s">
        <v>33</v>
      </c>
      <c r="U563" t="s">
        <v>44</v>
      </c>
      <c r="V563" s="2">
        <v>1</v>
      </c>
      <c r="X563" t="s">
        <v>34</v>
      </c>
      <c r="Y563" t="s">
        <v>154</v>
      </c>
      <c r="Z563" t="s">
        <v>2024</v>
      </c>
      <c r="AA563" t="s">
        <v>38</v>
      </c>
    </row>
    <row r="564" spans="1:27" hidden="1">
      <c r="A564" t="s">
        <v>2025</v>
      </c>
      <c r="B564" t="s">
        <v>2026</v>
      </c>
      <c r="C564" t="e">
        <f>VLOOKUP(B564,Sheet2!$A$2:$A$392,1,0)</f>
        <v>#N/A</v>
      </c>
      <c r="E564" t="s">
        <v>27</v>
      </c>
      <c r="F564" t="s">
        <v>28</v>
      </c>
      <c r="G564" t="s">
        <v>29</v>
      </c>
      <c r="I564" t="s">
        <v>42</v>
      </c>
      <c r="J564" s="2">
        <v>1900</v>
      </c>
      <c r="K564" s="2">
        <v>62</v>
      </c>
      <c r="L564" s="2">
        <v>1120</v>
      </c>
      <c r="M564" s="2">
        <v>1000</v>
      </c>
      <c r="N564" s="2">
        <v>3</v>
      </c>
      <c r="P564" t="s">
        <v>2027</v>
      </c>
      <c r="R564" t="s">
        <v>32</v>
      </c>
      <c r="S564" t="s">
        <v>33</v>
      </c>
      <c r="T564" t="s">
        <v>34</v>
      </c>
      <c r="U564" t="s">
        <v>35</v>
      </c>
      <c r="W564" t="s">
        <v>165</v>
      </c>
      <c r="X564" t="s">
        <v>34</v>
      </c>
      <c r="Y564" t="s">
        <v>245</v>
      </c>
      <c r="Z564" t="s">
        <v>528</v>
      </c>
      <c r="AA564" t="s">
        <v>38</v>
      </c>
    </row>
    <row r="565" spans="1:27" hidden="1">
      <c r="A565" t="s">
        <v>2028</v>
      </c>
      <c r="B565" t="s">
        <v>2029</v>
      </c>
      <c r="C565" t="e">
        <f>VLOOKUP(B565,Sheet2!$A$2:$A$392,1,0)</f>
        <v>#N/A</v>
      </c>
      <c r="E565" t="s">
        <v>206</v>
      </c>
      <c r="F565" t="s">
        <v>41</v>
      </c>
      <c r="G565" t="s">
        <v>29</v>
      </c>
      <c r="J565" s="2">
        <v>400</v>
      </c>
      <c r="K565" s="2">
        <v>45</v>
      </c>
      <c r="L565" s="2">
        <v>150</v>
      </c>
      <c r="P565" s="2">
        <v>1</v>
      </c>
      <c r="Q565" t="s">
        <v>34</v>
      </c>
      <c r="R565" t="s">
        <v>42</v>
      </c>
      <c r="S565" t="s">
        <v>33</v>
      </c>
      <c r="U565" t="s">
        <v>35</v>
      </c>
      <c r="X565" t="s">
        <v>34</v>
      </c>
      <c r="Y565" t="s">
        <v>45</v>
      </c>
      <c r="Z565" t="s">
        <v>730</v>
      </c>
      <c r="AA565" t="s">
        <v>38</v>
      </c>
    </row>
    <row r="566" spans="1:27" hidden="1">
      <c r="A566" t="s">
        <v>2030</v>
      </c>
      <c r="B566" t="s">
        <v>2031</v>
      </c>
      <c r="C566" t="e">
        <f>VLOOKUP(B566,Sheet2!$A$2:$A$392,1,0)</f>
        <v>#N/A</v>
      </c>
      <c r="E566" t="s">
        <v>72</v>
      </c>
      <c r="G566" t="s">
        <v>355</v>
      </c>
      <c r="I566" t="s">
        <v>42</v>
      </c>
      <c r="J566" s="2">
        <v>2000</v>
      </c>
      <c r="K566">
        <v>70.099999999999994</v>
      </c>
      <c r="L566" s="2">
        <v>1406</v>
      </c>
      <c r="P566" t="s">
        <v>74</v>
      </c>
      <c r="S566" t="s">
        <v>33</v>
      </c>
      <c r="X566" t="s">
        <v>34</v>
      </c>
      <c r="AA566" t="s">
        <v>38</v>
      </c>
    </row>
    <row r="567" spans="1:27" hidden="1">
      <c r="A567" t="s">
        <v>2032</v>
      </c>
      <c r="B567" t="s">
        <v>2033</v>
      </c>
      <c r="C567" t="e">
        <f>VLOOKUP(B567,Sheet2!$A$2:$A$392,1,0)</f>
        <v>#N/A</v>
      </c>
      <c r="E567" t="s">
        <v>72</v>
      </c>
      <c r="G567" t="s">
        <v>355</v>
      </c>
      <c r="I567" t="s">
        <v>42</v>
      </c>
      <c r="J567" s="2">
        <v>3000</v>
      </c>
      <c r="K567">
        <v>70.099999999999994</v>
      </c>
      <c r="L567" s="2">
        <v>1406</v>
      </c>
      <c r="P567" t="s">
        <v>74</v>
      </c>
      <c r="S567" t="s">
        <v>33</v>
      </c>
      <c r="X567" t="s">
        <v>34</v>
      </c>
      <c r="AA567" t="s">
        <v>38</v>
      </c>
    </row>
    <row r="568" spans="1:27" hidden="1">
      <c r="A568" t="s">
        <v>2034</v>
      </c>
      <c r="B568" t="s">
        <v>2035</v>
      </c>
      <c r="C568" t="e">
        <f>VLOOKUP(B568,Sheet2!$A$2:$A$392,1,0)</f>
        <v>#N/A</v>
      </c>
      <c r="E568" t="s">
        <v>206</v>
      </c>
      <c r="F568" t="s">
        <v>41</v>
      </c>
      <c r="G568" t="s">
        <v>29</v>
      </c>
      <c r="J568" s="2">
        <v>400</v>
      </c>
      <c r="K568" s="2">
        <v>45</v>
      </c>
      <c r="L568" s="2">
        <v>200</v>
      </c>
      <c r="P568" s="2">
        <v>1</v>
      </c>
      <c r="Q568" t="s">
        <v>34</v>
      </c>
      <c r="R568" t="s">
        <v>42</v>
      </c>
      <c r="S568" t="s">
        <v>33</v>
      </c>
      <c r="U568" t="s">
        <v>35</v>
      </c>
      <c r="X568" t="s">
        <v>34</v>
      </c>
      <c r="Y568" t="s">
        <v>45</v>
      </c>
      <c r="Z568" t="s">
        <v>2036</v>
      </c>
      <c r="AA568" t="s">
        <v>38</v>
      </c>
    </row>
    <row r="569" spans="1:27" hidden="1">
      <c r="A569" t="s">
        <v>2037</v>
      </c>
      <c r="B569" t="s">
        <v>2038</v>
      </c>
      <c r="C569" t="e">
        <f>VLOOKUP(B569,Sheet2!$A$2:$A$392,1,0)</f>
        <v>#N/A</v>
      </c>
      <c r="E569" t="s">
        <v>52</v>
      </c>
      <c r="F569" t="s">
        <v>28</v>
      </c>
      <c r="G569" t="s">
        <v>59</v>
      </c>
      <c r="I569" t="s">
        <v>60</v>
      </c>
      <c r="J569" s="2">
        <v>55953</v>
      </c>
      <c r="K569" s="3">
        <v>189.99</v>
      </c>
      <c r="L569" s="2">
        <v>31251</v>
      </c>
      <c r="O569" t="s">
        <v>61</v>
      </c>
      <c r="P569" t="s">
        <v>2039</v>
      </c>
      <c r="R569" t="s">
        <v>60</v>
      </c>
      <c r="S569" t="s">
        <v>33</v>
      </c>
      <c r="T569" t="s">
        <v>34</v>
      </c>
      <c r="U569" t="s">
        <v>35</v>
      </c>
      <c r="W569" t="s">
        <v>63</v>
      </c>
      <c r="X569" t="s">
        <v>34</v>
      </c>
      <c r="Y569" t="s">
        <v>64</v>
      </c>
      <c r="Z569" t="s">
        <v>2040</v>
      </c>
      <c r="AA569" t="s">
        <v>38</v>
      </c>
    </row>
    <row r="570" spans="1:27" hidden="1">
      <c r="A570" t="s">
        <v>2041</v>
      </c>
      <c r="B570" t="s">
        <v>2042</v>
      </c>
      <c r="C570" t="e">
        <f>VLOOKUP(B570,Sheet2!$A$2:$A$392,1,0)</f>
        <v>#N/A</v>
      </c>
      <c r="E570" t="s">
        <v>206</v>
      </c>
      <c r="F570" t="s">
        <v>41</v>
      </c>
      <c r="G570" t="s">
        <v>29</v>
      </c>
      <c r="J570" s="2">
        <v>400</v>
      </c>
      <c r="K570" s="2">
        <v>70</v>
      </c>
      <c r="L570" s="2">
        <v>150</v>
      </c>
      <c r="P570" s="2">
        <v>1</v>
      </c>
      <c r="Q570" t="s">
        <v>34</v>
      </c>
      <c r="R570" t="s">
        <v>42</v>
      </c>
      <c r="S570" t="s">
        <v>33</v>
      </c>
      <c r="U570" t="s">
        <v>35</v>
      </c>
      <c r="X570" t="s">
        <v>34</v>
      </c>
      <c r="Y570" t="s">
        <v>45</v>
      </c>
      <c r="Z570" t="s">
        <v>2043</v>
      </c>
      <c r="AA570" t="s">
        <v>38</v>
      </c>
    </row>
    <row r="571" spans="1:27" hidden="1">
      <c r="A571" t="s">
        <v>2044</v>
      </c>
      <c r="B571" t="s">
        <v>2045</v>
      </c>
      <c r="C571" t="e">
        <f>VLOOKUP(B571,Sheet2!$A$2:$A$392,1,0)</f>
        <v>#N/A</v>
      </c>
      <c r="E571" t="s">
        <v>40</v>
      </c>
      <c r="G571" t="s">
        <v>2046</v>
      </c>
      <c r="I571" t="s">
        <v>42</v>
      </c>
      <c r="J571" s="2">
        <v>33</v>
      </c>
      <c r="K571">
        <v>22.4</v>
      </c>
      <c r="L571" s="2">
        <v>108</v>
      </c>
      <c r="P571" t="s">
        <v>2047</v>
      </c>
      <c r="S571" t="s">
        <v>33</v>
      </c>
      <c r="X571" t="s">
        <v>34</v>
      </c>
      <c r="AA571" t="s">
        <v>38</v>
      </c>
    </row>
    <row r="572" spans="1:27" hidden="1">
      <c r="A572" t="s">
        <v>2048</v>
      </c>
      <c r="B572" t="s">
        <v>2049</v>
      </c>
      <c r="C572" t="e">
        <f>VLOOKUP(B572,Sheet2!$A$2:$A$392,1,0)</f>
        <v>#N/A</v>
      </c>
      <c r="E572" t="s">
        <v>27</v>
      </c>
      <c r="F572" t="s">
        <v>41</v>
      </c>
      <c r="G572" t="s">
        <v>29</v>
      </c>
      <c r="J572" s="2">
        <v>500</v>
      </c>
      <c r="K572" s="2">
        <v>70</v>
      </c>
      <c r="L572" s="2">
        <v>150</v>
      </c>
      <c r="M572" s="2">
        <v>1000</v>
      </c>
      <c r="N572" s="2">
        <v>1</v>
      </c>
      <c r="P572" t="s">
        <v>2048</v>
      </c>
      <c r="Q572" t="s">
        <v>34</v>
      </c>
      <c r="R572" t="s">
        <v>42</v>
      </c>
      <c r="S572" t="s">
        <v>33</v>
      </c>
      <c r="U572" t="s">
        <v>44</v>
      </c>
      <c r="V572" s="2">
        <v>1</v>
      </c>
      <c r="X572" t="s">
        <v>34</v>
      </c>
      <c r="Y572" t="s">
        <v>45</v>
      </c>
      <c r="Z572" t="s">
        <v>2050</v>
      </c>
      <c r="AA572" t="s">
        <v>38</v>
      </c>
    </row>
    <row r="573" spans="1:27" hidden="1">
      <c r="A573" t="s">
        <v>2051</v>
      </c>
      <c r="B573" t="s">
        <v>2052</v>
      </c>
      <c r="C573" t="e">
        <f>VLOOKUP(B573,Sheet2!$A$2:$A$392,1,0)</f>
        <v>#N/A</v>
      </c>
      <c r="E573" t="s">
        <v>27</v>
      </c>
      <c r="F573" t="s">
        <v>41</v>
      </c>
      <c r="G573" t="s">
        <v>29</v>
      </c>
      <c r="I573" t="s">
        <v>42</v>
      </c>
      <c r="J573" s="2">
        <v>600</v>
      </c>
      <c r="K573" s="2">
        <v>55</v>
      </c>
      <c r="L573" s="2">
        <v>150</v>
      </c>
      <c r="M573" s="2">
        <v>1000</v>
      </c>
      <c r="N573" s="2">
        <v>1</v>
      </c>
      <c r="P573" t="s">
        <v>2051</v>
      </c>
      <c r="Q573" t="s">
        <v>34</v>
      </c>
      <c r="R573" t="s">
        <v>42</v>
      </c>
      <c r="S573" t="s">
        <v>33</v>
      </c>
      <c r="T573" t="s">
        <v>34</v>
      </c>
      <c r="U573" t="s">
        <v>44</v>
      </c>
      <c r="V573" s="2">
        <v>1</v>
      </c>
      <c r="X573" t="s">
        <v>34</v>
      </c>
      <c r="Y573" t="s">
        <v>45</v>
      </c>
      <c r="Z573" t="s">
        <v>2053</v>
      </c>
      <c r="AA573" t="s">
        <v>38</v>
      </c>
    </row>
    <row r="574" spans="1:27">
      <c r="A574" t="s">
        <v>2054</v>
      </c>
      <c r="B574" t="s">
        <v>2055</v>
      </c>
      <c r="C574" t="str">
        <f>VLOOKUP(B574,Sheet2!$A$2:$A$392,1,0)</f>
        <v>KM. KAHING TIGA</v>
      </c>
      <c r="E574" t="s">
        <v>27</v>
      </c>
      <c r="F574" t="s">
        <v>41</v>
      </c>
      <c r="G574" t="s">
        <v>29</v>
      </c>
      <c r="J574" s="2">
        <v>2000</v>
      </c>
      <c r="K574" s="2">
        <v>71</v>
      </c>
      <c r="L574" s="2">
        <v>1248</v>
      </c>
      <c r="N574" s="2">
        <v>4</v>
      </c>
      <c r="O574" t="s">
        <v>482</v>
      </c>
      <c r="P574" t="s">
        <v>2056</v>
      </c>
      <c r="R574" t="s">
        <v>32</v>
      </c>
      <c r="S574" t="s">
        <v>33</v>
      </c>
      <c r="U574" t="s">
        <v>35</v>
      </c>
      <c r="X574" t="s">
        <v>34</v>
      </c>
      <c r="Y574" t="s">
        <v>45</v>
      </c>
      <c r="Z574" t="s">
        <v>2057</v>
      </c>
      <c r="AA574" t="s">
        <v>38</v>
      </c>
    </row>
    <row r="575" spans="1:27" hidden="1">
      <c r="A575" t="s">
        <v>2058</v>
      </c>
      <c r="B575" t="s">
        <v>2059</v>
      </c>
      <c r="C575" t="e">
        <f>VLOOKUP(B575,Sheet2!$A$2:$A$392,1,0)</f>
        <v>#N/A</v>
      </c>
      <c r="E575" t="s">
        <v>27</v>
      </c>
      <c r="F575" t="s">
        <v>41</v>
      </c>
      <c r="G575" t="s">
        <v>847</v>
      </c>
      <c r="I575" t="s">
        <v>42</v>
      </c>
      <c r="J575" s="2">
        <v>2100</v>
      </c>
      <c r="K575" s="2">
        <v>75</v>
      </c>
      <c r="L575" s="2">
        <v>1202</v>
      </c>
      <c r="M575" s="2">
        <v>600</v>
      </c>
      <c r="N575" s="2">
        <v>4</v>
      </c>
      <c r="O575" t="s">
        <v>848</v>
      </c>
      <c r="P575" t="s">
        <v>2060</v>
      </c>
      <c r="R575" t="s">
        <v>42</v>
      </c>
      <c r="S575" t="s">
        <v>33</v>
      </c>
      <c r="T575" t="s">
        <v>34</v>
      </c>
      <c r="U575" t="s">
        <v>44</v>
      </c>
      <c r="V575" s="2">
        <v>2</v>
      </c>
      <c r="X575" t="s">
        <v>34</v>
      </c>
      <c r="Y575" t="s">
        <v>154</v>
      </c>
      <c r="Z575" t="s">
        <v>2061</v>
      </c>
      <c r="AA575" t="s">
        <v>38</v>
      </c>
    </row>
    <row r="576" spans="1:27" hidden="1">
      <c r="A576" t="s">
        <v>2062</v>
      </c>
      <c r="B576" t="s">
        <v>2063</v>
      </c>
      <c r="C576" t="e">
        <f>VLOOKUP(B576,Sheet2!$A$2:$A$392,1,0)</f>
        <v>#N/A</v>
      </c>
      <c r="E576" t="s">
        <v>27</v>
      </c>
      <c r="F576" t="s">
        <v>41</v>
      </c>
      <c r="G576" t="s">
        <v>29</v>
      </c>
      <c r="I576" t="s">
        <v>42</v>
      </c>
      <c r="J576" s="2">
        <v>1300</v>
      </c>
      <c r="K576" s="2">
        <v>46</v>
      </c>
      <c r="L576" s="2">
        <v>526</v>
      </c>
      <c r="P576" t="s">
        <v>2064</v>
      </c>
      <c r="R576" t="s">
        <v>32</v>
      </c>
      <c r="S576" t="s">
        <v>33</v>
      </c>
      <c r="T576" t="s">
        <v>34</v>
      </c>
      <c r="U576" t="s">
        <v>35</v>
      </c>
      <c r="W576" t="s">
        <v>165</v>
      </c>
      <c r="X576" t="s">
        <v>34</v>
      </c>
      <c r="Y576" t="s">
        <v>245</v>
      </c>
      <c r="Z576" t="s">
        <v>544</v>
      </c>
      <c r="AA576" t="s">
        <v>38</v>
      </c>
    </row>
    <row r="577" spans="1:27" hidden="1">
      <c r="A577" t="s">
        <v>2065</v>
      </c>
      <c r="B577" t="s">
        <v>2066</v>
      </c>
      <c r="C577" t="e">
        <f>VLOOKUP(B577,Sheet2!$A$2:$A$392,1,0)</f>
        <v>#N/A</v>
      </c>
      <c r="E577" t="s">
        <v>27</v>
      </c>
      <c r="F577" t="s">
        <v>41</v>
      </c>
      <c r="G577" t="s">
        <v>2067</v>
      </c>
      <c r="I577" t="s">
        <v>42</v>
      </c>
      <c r="J577" s="2">
        <v>1400</v>
      </c>
      <c r="K577" s="2">
        <v>49</v>
      </c>
      <c r="L577" s="2">
        <v>637</v>
      </c>
      <c r="M577" s="2">
        <v>800</v>
      </c>
      <c r="N577" s="2">
        <v>5</v>
      </c>
      <c r="P577" t="s">
        <v>2068</v>
      </c>
      <c r="R577" t="s">
        <v>32</v>
      </c>
      <c r="S577" t="s">
        <v>33</v>
      </c>
      <c r="T577" t="s">
        <v>106</v>
      </c>
      <c r="U577" t="s">
        <v>44</v>
      </c>
      <c r="X577" t="s">
        <v>34</v>
      </c>
      <c r="Y577" t="s">
        <v>154</v>
      </c>
      <c r="Z577" t="s">
        <v>2069</v>
      </c>
      <c r="AA577" t="s">
        <v>38</v>
      </c>
    </row>
    <row r="578" spans="1:27" hidden="1">
      <c r="A578" t="s">
        <v>2070</v>
      </c>
      <c r="B578" t="s">
        <v>2071</v>
      </c>
      <c r="C578" t="e">
        <f>VLOOKUP(B578,Sheet2!$A$2:$A$392,1,0)</f>
        <v>#N/A</v>
      </c>
      <c r="E578" t="s">
        <v>27</v>
      </c>
      <c r="F578" t="s">
        <v>41</v>
      </c>
      <c r="G578" t="s">
        <v>1513</v>
      </c>
      <c r="I578" t="s">
        <v>42</v>
      </c>
      <c r="J578" s="2">
        <v>2000</v>
      </c>
      <c r="K578" s="3">
        <v>68.95</v>
      </c>
      <c r="L578" s="2">
        <v>941</v>
      </c>
      <c r="M578" s="2">
        <v>1000</v>
      </c>
      <c r="N578" s="2">
        <v>4</v>
      </c>
      <c r="O578" t="s">
        <v>482</v>
      </c>
      <c r="P578" t="s">
        <v>2072</v>
      </c>
      <c r="R578" t="s">
        <v>42</v>
      </c>
      <c r="S578" t="s">
        <v>33</v>
      </c>
      <c r="T578" t="s">
        <v>34</v>
      </c>
      <c r="U578" t="s">
        <v>44</v>
      </c>
      <c r="V578" s="2">
        <v>2</v>
      </c>
      <c r="X578" t="s">
        <v>147</v>
      </c>
      <c r="Y578" t="s">
        <v>154</v>
      </c>
      <c r="Z578" t="s">
        <v>2073</v>
      </c>
      <c r="AA578" t="s">
        <v>38</v>
      </c>
    </row>
    <row r="579" spans="1:27" hidden="1">
      <c r="A579" t="s">
        <v>2074</v>
      </c>
      <c r="B579" t="s">
        <v>2075</v>
      </c>
      <c r="C579" t="e">
        <f>VLOOKUP(B579,Sheet2!$A$2:$A$392,1,0)</f>
        <v>#N/A</v>
      </c>
      <c r="E579" t="s">
        <v>196</v>
      </c>
      <c r="F579" t="s">
        <v>41</v>
      </c>
      <c r="G579" t="s">
        <v>29</v>
      </c>
      <c r="I579" t="s">
        <v>42</v>
      </c>
      <c r="J579" s="2">
        <v>3000</v>
      </c>
      <c r="K579" s="3">
        <v>83.16</v>
      </c>
      <c r="L579" s="2">
        <v>2093</v>
      </c>
      <c r="P579" t="s">
        <v>2076</v>
      </c>
      <c r="R579" t="s">
        <v>32</v>
      </c>
      <c r="S579" t="s">
        <v>33</v>
      </c>
      <c r="T579" t="s">
        <v>34</v>
      </c>
      <c r="U579" t="s">
        <v>35</v>
      </c>
      <c r="W579" t="s">
        <v>165</v>
      </c>
      <c r="X579" t="s">
        <v>34</v>
      </c>
      <c r="Y579" t="s">
        <v>245</v>
      </c>
      <c r="Z579" t="s">
        <v>2077</v>
      </c>
      <c r="AA579" t="s">
        <v>38</v>
      </c>
    </row>
    <row r="580" spans="1:27" hidden="1">
      <c r="A580" t="s">
        <v>2078</v>
      </c>
      <c r="B580" t="s">
        <v>2079</v>
      </c>
      <c r="C580" t="e">
        <f>VLOOKUP(B580,Sheet2!$A$2:$A$392,1,0)</f>
        <v>#N/A</v>
      </c>
      <c r="E580" t="s">
        <v>27</v>
      </c>
      <c r="F580" t="s">
        <v>41</v>
      </c>
      <c r="G580" t="s">
        <v>29</v>
      </c>
      <c r="J580" s="2">
        <v>3504</v>
      </c>
      <c r="K580" s="3">
        <v>87.75</v>
      </c>
      <c r="L580" s="2">
        <v>2336</v>
      </c>
      <c r="O580" t="s">
        <v>482</v>
      </c>
      <c r="P580" t="s">
        <v>2080</v>
      </c>
      <c r="R580" t="s">
        <v>42</v>
      </c>
      <c r="S580" t="s">
        <v>33</v>
      </c>
      <c r="U580" t="s">
        <v>35</v>
      </c>
      <c r="X580" t="s">
        <v>34</v>
      </c>
      <c r="Y580" t="s">
        <v>45</v>
      </c>
      <c r="Z580" t="s">
        <v>2081</v>
      </c>
      <c r="AA580" t="s">
        <v>38</v>
      </c>
    </row>
    <row r="581" spans="1:27">
      <c r="A581" t="s">
        <v>2082</v>
      </c>
      <c r="B581" t="s">
        <v>2083</v>
      </c>
      <c r="C581" t="str">
        <f>VLOOKUP(B581,Sheet2!$A$2:$A$392,1,0)</f>
        <v>KM. LINTAS BAHARI 16</v>
      </c>
      <c r="E581" t="s">
        <v>27</v>
      </c>
      <c r="F581" t="s">
        <v>41</v>
      </c>
      <c r="G581" t="s">
        <v>29</v>
      </c>
      <c r="I581" t="s">
        <v>42</v>
      </c>
      <c r="J581" s="2">
        <v>10000</v>
      </c>
      <c r="K581" s="2">
        <v>100</v>
      </c>
      <c r="L581" s="2">
        <v>10000</v>
      </c>
      <c r="M581" s="2">
        <v>10000</v>
      </c>
      <c r="N581" s="2">
        <v>1</v>
      </c>
      <c r="P581" t="s">
        <v>2082</v>
      </c>
      <c r="R581" t="s">
        <v>42</v>
      </c>
      <c r="S581" t="s">
        <v>33</v>
      </c>
      <c r="T581" t="s">
        <v>34</v>
      </c>
      <c r="U581" t="s">
        <v>44</v>
      </c>
      <c r="V581" s="2">
        <v>1</v>
      </c>
      <c r="X581" t="s">
        <v>34</v>
      </c>
      <c r="Y581" t="s">
        <v>142</v>
      </c>
      <c r="Z581" t="s">
        <v>2084</v>
      </c>
      <c r="AA581" t="s">
        <v>38</v>
      </c>
    </row>
    <row r="582" spans="1:27">
      <c r="A582" t="s">
        <v>2085</v>
      </c>
      <c r="B582" t="s">
        <v>2086</v>
      </c>
      <c r="C582" t="str">
        <f>VLOOKUP(B582,Sheet2!$A$2:$A$392,1,0)</f>
        <v>KM. LINTAS BAHARI 19</v>
      </c>
      <c r="E582" t="s">
        <v>27</v>
      </c>
      <c r="F582" t="s">
        <v>41</v>
      </c>
      <c r="G582" t="s">
        <v>29</v>
      </c>
      <c r="I582" t="s">
        <v>42</v>
      </c>
      <c r="J582" s="2">
        <v>833</v>
      </c>
      <c r="K582" s="2">
        <v>69</v>
      </c>
      <c r="L582" s="2">
        <v>1330</v>
      </c>
      <c r="P582" t="s">
        <v>2087</v>
      </c>
      <c r="R582" t="s">
        <v>42</v>
      </c>
      <c r="S582" t="s">
        <v>33</v>
      </c>
      <c r="T582" t="s">
        <v>34</v>
      </c>
      <c r="U582" t="s">
        <v>35</v>
      </c>
      <c r="V582" s="2">
        <v>2</v>
      </c>
      <c r="W582" t="s">
        <v>165</v>
      </c>
      <c r="X582" t="s">
        <v>34</v>
      </c>
      <c r="Y582" t="s">
        <v>245</v>
      </c>
      <c r="Z582" t="s">
        <v>2088</v>
      </c>
      <c r="AA582" t="s">
        <v>38</v>
      </c>
    </row>
    <row r="583" spans="1:27" hidden="1">
      <c r="A583" t="s">
        <v>2089</v>
      </c>
      <c r="B583" t="s">
        <v>2090</v>
      </c>
      <c r="C583" t="e">
        <f>VLOOKUP(B583,Sheet2!$A$2:$A$392,1,0)</f>
        <v>#N/A</v>
      </c>
      <c r="E583" t="s">
        <v>27</v>
      </c>
      <c r="F583" t="s">
        <v>41</v>
      </c>
      <c r="G583" t="s">
        <v>847</v>
      </c>
      <c r="J583" s="2">
        <v>2000</v>
      </c>
      <c r="K583" s="2">
        <v>64</v>
      </c>
      <c r="L583" s="2">
        <v>1068</v>
      </c>
      <c r="M583" s="2">
        <v>225</v>
      </c>
      <c r="N583" s="2">
        <v>4</v>
      </c>
      <c r="O583" t="s">
        <v>848</v>
      </c>
      <c r="P583" t="s">
        <v>2091</v>
      </c>
      <c r="R583" t="s">
        <v>32</v>
      </c>
      <c r="S583" t="s">
        <v>33</v>
      </c>
      <c r="U583" t="s">
        <v>44</v>
      </c>
      <c r="V583" s="2">
        <v>2</v>
      </c>
      <c r="X583" t="s">
        <v>34</v>
      </c>
      <c r="Y583" t="s">
        <v>154</v>
      </c>
      <c r="Z583" t="s">
        <v>2092</v>
      </c>
      <c r="AA583" t="s">
        <v>38</v>
      </c>
    </row>
    <row r="584" spans="1:27">
      <c r="A584" t="s">
        <v>2093</v>
      </c>
      <c r="B584" t="s">
        <v>2094</v>
      </c>
      <c r="C584" t="str">
        <f>VLOOKUP(B584,Sheet2!$A$2:$A$392,1,0)</f>
        <v>KM. LUCKY STAR 88</v>
      </c>
      <c r="E584" t="s">
        <v>27</v>
      </c>
      <c r="F584" t="s">
        <v>41</v>
      </c>
      <c r="G584" t="s">
        <v>29</v>
      </c>
      <c r="J584" s="2">
        <v>0</v>
      </c>
      <c r="K584" s="2">
        <v>75</v>
      </c>
      <c r="L584" s="2">
        <v>1813</v>
      </c>
      <c r="P584" t="s">
        <v>2095</v>
      </c>
      <c r="R584" t="s">
        <v>42</v>
      </c>
      <c r="S584" t="s">
        <v>33</v>
      </c>
      <c r="U584" t="s">
        <v>35</v>
      </c>
      <c r="V584" s="2">
        <v>2</v>
      </c>
      <c r="X584" t="s">
        <v>34</v>
      </c>
      <c r="Y584" t="s">
        <v>45</v>
      </c>
      <c r="Z584" t="s">
        <v>2096</v>
      </c>
      <c r="AA584" t="s">
        <v>38</v>
      </c>
    </row>
    <row r="585" spans="1:27" hidden="1">
      <c r="A585" t="s">
        <v>2097</v>
      </c>
      <c r="B585" t="s">
        <v>2098</v>
      </c>
      <c r="C585" t="e">
        <f>VLOOKUP(B585,Sheet2!$A$2:$A$392,1,0)</f>
        <v>#N/A</v>
      </c>
      <c r="E585" t="s">
        <v>1063</v>
      </c>
      <c r="F585" t="s">
        <v>41</v>
      </c>
      <c r="G585" t="s">
        <v>336</v>
      </c>
      <c r="I585" t="s">
        <v>42</v>
      </c>
      <c r="J585" s="2">
        <v>4050</v>
      </c>
      <c r="K585" s="3">
        <v>100.29</v>
      </c>
      <c r="L585" s="2">
        <v>9535</v>
      </c>
      <c r="P585" t="s">
        <v>2099</v>
      </c>
      <c r="S585" t="s">
        <v>33</v>
      </c>
      <c r="T585" t="s">
        <v>34</v>
      </c>
      <c r="X585" t="s">
        <v>34</v>
      </c>
      <c r="Y585" t="s">
        <v>117</v>
      </c>
      <c r="Z585" t="s">
        <v>2100</v>
      </c>
      <c r="AA585" t="s">
        <v>38</v>
      </c>
    </row>
    <row r="586" spans="1:27" hidden="1">
      <c r="A586" t="s">
        <v>2101</v>
      </c>
      <c r="B586" t="s">
        <v>2102</v>
      </c>
      <c r="C586" t="e">
        <f>VLOOKUP(B586,Sheet2!$A$2:$A$392,1,0)</f>
        <v>#N/A</v>
      </c>
      <c r="E586" t="s">
        <v>27</v>
      </c>
      <c r="F586" t="s">
        <v>41</v>
      </c>
      <c r="G586" t="s">
        <v>29</v>
      </c>
      <c r="J586" s="2">
        <v>1300</v>
      </c>
      <c r="K586" s="2">
        <v>54</v>
      </c>
      <c r="L586" s="2">
        <v>610</v>
      </c>
      <c r="M586" s="2">
        <v>830</v>
      </c>
      <c r="N586" s="2">
        <v>3</v>
      </c>
      <c r="P586" t="s">
        <v>2101</v>
      </c>
      <c r="R586" t="s">
        <v>42</v>
      </c>
      <c r="S586" t="s">
        <v>33</v>
      </c>
      <c r="U586" t="s">
        <v>35</v>
      </c>
      <c r="X586" t="s">
        <v>34</v>
      </c>
      <c r="Y586" t="s">
        <v>1241</v>
      </c>
      <c r="Z586" t="s">
        <v>2103</v>
      </c>
      <c r="AA586" t="s">
        <v>38</v>
      </c>
    </row>
    <row r="587" spans="1:27" hidden="1">
      <c r="A587" t="s">
        <v>2104</v>
      </c>
      <c r="B587" t="s">
        <v>2105</v>
      </c>
      <c r="C587" t="e">
        <f>VLOOKUP(B587,Sheet2!$A$2:$A$392,1,0)</f>
        <v>#N/A</v>
      </c>
      <c r="E587" t="s">
        <v>27</v>
      </c>
      <c r="F587" t="s">
        <v>41</v>
      </c>
      <c r="G587" t="s">
        <v>29</v>
      </c>
      <c r="J587" s="2">
        <v>3100</v>
      </c>
      <c r="K587" s="2">
        <v>75</v>
      </c>
      <c r="L587" s="2">
        <v>1412</v>
      </c>
      <c r="M587" s="2">
        <v>0</v>
      </c>
      <c r="O587" t="s">
        <v>482</v>
      </c>
      <c r="P587" t="s">
        <v>2106</v>
      </c>
      <c r="R587" t="s">
        <v>42</v>
      </c>
      <c r="S587" t="s">
        <v>33</v>
      </c>
      <c r="U587" t="s">
        <v>44</v>
      </c>
      <c r="X587" t="s">
        <v>34</v>
      </c>
      <c r="Y587" t="s">
        <v>45</v>
      </c>
      <c r="Z587" t="s">
        <v>2107</v>
      </c>
      <c r="AA587" t="s">
        <v>38</v>
      </c>
    </row>
    <row r="588" spans="1:27">
      <c r="A588" t="s">
        <v>2108</v>
      </c>
      <c r="B588" t="s">
        <v>2109</v>
      </c>
      <c r="C588" t="str">
        <f>VLOOKUP(B588,Sheet2!$A$2:$A$392,1,0)</f>
        <v>KM. LINTAS PAPUA</v>
      </c>
      <c r="E588" t="s">
        <v>27</v>
      </c>
      <c r="F588" t="s">
        <v>41</v>
      </c>
      <c r="G588" t="s">
        <v>29</v>
      </c>
      <c r="I588" t="s">
        <v>42</v>
      </c>
      <c r="J588" s="2">
        <v>2650</v>
      </c>
      <c r="K588" s="2">
        <v>60</v>
      </c>
      <c r="L588" s="2">
        <v>1261</v>
      </c>
      <c r="M588" s="2">
        <v>1300</v>
      </c>
      <c r="N588" s="2">
        <v>4</v>
      </c>
      <c r="P588" t="s">
        <v>2110</v>
      </c>
      <c r="R588" t="s">
        <v>32</v>
      </c>
      <c r="S588" t="s">
        <v>33</v>
      </c>
      <c r="T588" t="s">
        <v>34</v>
      </c>
      <c r="U588" t="s">
        <v>35</v>
      </c>
      <c r="X588" t="s">
        <v>34</v>
      </c>
      <c r="Y588" t="s">
        <v>45</v>
      </c>
      <c r="Z588" t="s">
        <v>2111</v>
      </c>
      <c r="AA588" t="s">
        <v>38</v>
      </c>
    </row>
    <row r="589" spans="1:27" hidden="1">
      <c r="A589" t="s">
        <v>2112</v>
      </c>
      <c r="B589" t="s">
        <v>2113</v>
      </c>
      <c r="C589" t="e">
        <f>VLOOKUP(B589,Sheet2!$A$2:$A$392,1,0)</f>
        <v>#N/A</v>
      </c>
      <c r="E589" t="s">
        <v>27</v>
      </c>
      <c r="F589" t="s">
        <v>41</v>
      </c>
      <c r="G589" t="s">
        <v>29</v>
      </c>
      <c r="I589" t="s">
        <v>42</v>
      </c>
      <c r="J589" s="2">
        <v>10000</v>
      </c>
      <c r="K589" s="2">
        <v>100</v>
      </c>
      <c r="L589" s="2">
        <v>10000</v>
      </c>
      <c r="M589" s="2">
        <v>10000</v>
      </c>
      <c r="N589" s="2">
        <v>1</v>
      </c>
      <c r="O589" t="s">
        <v>254</v>
      </c>
      <c r="P589" t="s">
        <v>2112</v>
      </c>
      <c r="R589" t="s">
        <v>42</v>
      </c>
      <c r="S589" t="s">
        <v>33</v>
      </c>
      <c r="T589" t="s">
        <v>34</v>
      </c>
      <c r="U589" t="s">
        <v>44</v>
      </c>
      <c r="V589" s="2">
        <v>1</v>
      </c>
      <c r="W589" t="s">
        <v>165</v>
      </c>
      <c r="X589" t="s">
        <v>34</v>
      </c>
      <c r="Y589" t="s">
        <v>245</v>
      </c>
      <c r="Z589" t="s">
        <v>2114</v>
      </c>
      <c r="AA589" t="s">
        <v>38</v>
      </c>
    </row>
    <row r="590" spans="1:27" hidden="1">
      <c r="A590" t="s">
        <v>2115</v>
      </c>
      <c r="B590" t="s">
        <v>2116</v>
      </c>
      <c r="C590" t="e">
        <f>VLOOKUP(B590,Sheet2!$A$2:$A$392,1,0)</f>
        <v>#N/A</v>
      </c>
      <c r="E590" t="s">
        <v>40</v>
      </c>
      <c r="G590" t="s">
        <v>355</v>
      </c>
      <c r="I590" t="s">
        <v>42</v>
      </c>
      <c r="J590" s="2">
        <v>200</v>
      </c>
      <c r="K590" s="2">
        <v>23</v>
      </c>
      <c r="L590" s="2">
        <v>146</v>
      </c>
      <c r="P590" t="s">
        <v>2117</v>
      </c>
      <c r="S590" t="s">
        <v>33</v>
      </c>
      <c r="X590" t="s">
        <v>34</v>
      </c>
      <c r="AA590" t="s">
        <v>38</v>
      </c>
    </row>
    <row r="591" spans="1:27" hidden="1">
      <c r="A591" t="s">
        <v>2118</v>
      </c>
      <c r="B591" t="s">
        <v>2119</v>
      </c>
      <c r="C591" t="e">
        <f>VLOOKUP(B591,Sheet2!$A$2:$A$392,1,0)</f>
        <v>#N/A</v>
      </c>
      <c r="E591" t="s">
        <v>27</v>
      </c>
      <c r="F591" t="s">
        <v>41</v>
      </c>
      <c r="G591" t="s">
        <v>59</v>
      </c>
      <c r="J591" s="2">
        <v>3400</v>
      </c>
      <c r="K591" s="3">
        <v>84.42</v>
      </c>
      <c r="L591" s="2">
        <v>2048</v>
      </c>
      <c r="N591" s="2">
        <v>54</v>
      </c>
      <c r="O591" t="s">
        <v>61</v>
      </c>
      <c r="P591" t="s">
        <v>2120</v>
      </c>
      <c r="R591" t="s">
        <v>42</v>
      </c>
      <c r="S591" t="s">
        <v>33</v>
      </c>
      <c r="U591" t="s">
        <v>35</v>
      </c>
      <c r="W591" t="s">
        <v>63</v>
      </c>
      <c r="X591" t="s">
        <v>34</v>
      </c>
      <c r="Y591" t="s">
        <v>64</v>
      </c>
      <c r="Z591" t="s">
        <v>2121</v>
      </c>
      <c r="AA591" t="s">
        <v>38</v>
      </c>
    </row>
    <row r="592" spans="1:27" hidden="1">
      <c r="A592" t="s">
        <v>2122</v>
      </c>
      <c r="B592" t="s">
        <v>2123</v>
      </c>
      <c r="C592" t="e">
        <f>VLOOKUP(B592,Sheet2!$A$2:$A$392,1,0)</f>
        <v>#N/A</v>
      </c>
      <c r="E592" t="s">
        <v>72</v>
      </c>
      <c r="G592" t="s">
        <v>355</v>
      </c>
      <c r="I592" t="s">
        <v>42</v>
      </c>
      <c r="J592" s="2">
        <v>3500</v>
      </c>
      <c r="K592" s="3">
        <v>73.760000000000005</v>
      </c>
      <c r="L592" s="2">
        <v>1994</v>
      </c>
      <c r="P592" t="s">
        <v>74</v>
      </c>
      <c r="S592" t="s">
        <v>33</v>
      </c>
      <c r="X592" t="s">
        <v>34</v>
      </c>
      <c r="AA592" t="s">
        <v>38</v>
      </c>
    </row>
    <row r="593" spans="1:27" hidden="1">
      <c r="A593" t="s">
        <v>2124</v>
      </c>
      <c r="B593" t="s">
        <v>2125</v>
      </c>
      <c r="C593" t="e">
        <f>VLOOKUP(B593,Sheet2!$A$2:$A$392,1,0)</f>
        <v>#N/A</v>
      </c>
      <c r="E593" t="s">
        <v>27</v>
      </c>
      <c r="F593" t="s">
        <v>41</v>
      </c>
      <c r="G593" t="s">
        <v>29</v>
      </c>
      <c r="J593" s="2">
        <v>250</v>
      </c>
      <c r="K593" s="2">
        <v>70</v>
      </c>
      <c r="L593" s="2">
        <v>150</v>
      </c>
      <c r="M593" s="2">
        <v>1000</v>
      </c>
      <c r="N593" s="2">
        <v>1</v>
      </c>
      <c r="P593" t="s">
        <v>2124</v>
      </c>
      <c r="R593" t="s">
        <v>42</v>
      </c>
      <c r="S593" t="s">
        <v>33</v>
      </c>
      <c r="U593" t="s">
        <v>44</v>
      </c>
      <c r="V593" s="2">
        <v>1</v>
      </c>
      <c r="X593" t="s">
        <v>34</v>
      </c>
      <c r="Y593" t="s">
        <v>45</v>
      </c>
      <c r="Z593" t="s">
        <v>2126</v>
      </c>
      <c r="AA593" t="s">
        <v>38</v>
      </c>
    </row>
    <row r="594" spans="1:27" hidden="1">
      <c r="A594" t="s">
        <v>2127</v>
      </c>
      <c r="B594" t="s">
        <v>2128</v>
      </c>
      <c r="C594" t="e">
        <f>VLOOKUP(B594,Sheet2!$A$2:$A$392,1,0)</f>
        <v>#N/A</v>
      </c>
      <c r="E594" t="s">
        <v>249</v>
      </c>
      <c r="G594" t="s">
        <v>250</v>
      </c>
      <c r="I594" t="s">
        <v>42</v>
      </c>
      <c r="J594" s="2">
        <v>8100</v>
      </c>
      <c r="K594">
        <v>119.9</v>
      </c>
      <c r="L594" s="2">
        <v>6603</v>
      </c>
      <c r="P594" t="s">
        <v>2129</v>
      </c>
      <c r="S594" t="s">
        <v>33</v>
      </c>
      <c r="X594" t="s">
        <v>34</v>
      </c>
      <c r="AA594" t="s">
        <v>38</v>
      </c>
    </row>
    <row r="595" spans="1:27" hidden="1">
      <c r="A595" t="s">
        <v>2130</v>
      </c>
      <c r="B595" t="s">
        <v>2131</v>
      </c>
      <c r="C595" t="e">
        <f>VLOOKUP(B595,Sheet2!$A$2:$A$392,1,0)</f>
        <v>#N/A</v>
      </c>
      <c r="E595" t="s">
        <v>27</v>
      </c>
      <c r="F595" t="s">
        <v>41</v>
      </c>
      <c r="G595" t="s">
        <v>340</v>
      </c>
      <c r="J595" s="2">
        <v>2300</v>
      </c>
      <c r="K595">
        <v>74.7</v>
      </c>
      <c r="L595" s="2">
        <v>1448</v>
      </c>
      <c r="N595" s="3">
        <v>5.79</v>
      </c>
      <c r="O595" t="s">
        <v>341</v>
      </c>
      <c r="P595" t="s">
        <v>2132</v>
      </c>
      <c r="R595" t="s">
        <v>42</v>
      </c>
      <c r="S595" t="s">
        <v>33</v>
      </c>
      <c r="U595" t="s">
        <v>35</v>
      </c>
      <c r="V595" s="2">
        <v>2</v>
      </c>
      <c r="X595" t="s">
        <v>34</v>
      </c>
      <c r="Y595" t="s">
        <v>154</v>
      </c>
      <c r="Z595" t="s">
        <v>2133</v>
      </c>
      <c r="AA595" t="s">
        <v>38</v>
      </c>
    </row>
    <row r="596" spans="1:27">
      <c r="A596" t="s">
        <v>2134</v>
      </c>
      <c r="B596" t="s">
        <v>2135</v>
      </c>
      <c r="C596" t="str">
        <f>VLOOKUP(B596,Sheet2!$A$2:$A$392,1,0)</f>
        <v>KM. MANDIRI DELAPAN</v>
      </c>
      <c r="E596" t="s">
        <v>52</v>
      </c>
      <c r="F596" t="s">
        <v>41</v>
      </c>
      <c r="G596" t="s">
        <v>585</v>
      </c>
      <c r="I596" t="s">
        <v>42</v>
      </c>
      <c r="J596" s="2">
        <v>4503</v>
      </c>
      <c r="K596" s="2">
        <v>109</v>
      </c>
      <c r="L596" s="2">
        <v>4503</v>
      </c>
      <c r="M596" s="2">
        <v>3200</v>
      </c>
      <c r="N596" s="2">
        <v>58</v>
      </c>
      <c r="P596" t="s">
        <v>2136</v>
      </c>
      <c r="R596" t="s">
        <v>42</v>
      </c>
      <c r="S596" t="s">
        <v>33</v>
      </c>
      <c r="T596" t="s">
        <v>34</v>
      </c>
      <c r="U596" t="s">
        <v>44</v>
      </c>
      <c r="V596" s="2">
        <v>2</v>
      </c>
      <c r="X596" t="s">
        <v>34</v>
      </c>
      <c r="Y596" t="s">
        <v>45</v>
      </c>
      <c r="Z596" t="s">
        <v>2137</v>
      </c>
      <c r="AA596" t="s">
        <v>38</v>
      </c>
    </row>
    <row r="597" spans="1:27" hidden="1">
      <c r="A597" t="s">
        <v>2138</v>
      </c>
      <c r="B597" t="s">
        <v>2139</v>
      </c>
      <c r="C597" t="e">
        <f>VLOOKUP(B597,Sheet2!$A$2:$A$392,1,0)</f>
        <v>#N/A</v>
      </c>
      <c r="E597" t="s">
        <v>249</v>
      </c>
      <c r="F597" t="s">
        <v>41</v>
      </c>
      <c r="G597" t="s">
        <v>250</v>
      </c>
      <c r="I597" t="s">
        <v>42</v>
      </c>
      <c r="J597" s="2">
        <v>8180</v>
      </c>
      <c r="K597">
        <v>119.9</v>
      </c>
      <c r="L597" s="2">
        <v>6640</v>
      </c>
      <c r="P597" t="s">
        <v>2140</v>
      </c>
      <c r="R597" t="s">
        <v>42</v>
      </c>
      <c r="S597" t="s">
        <v>33</v>
      </c>
      <c r="T597" t="s">
        <v>34</v>
      </c>
      <c r="X597" t="s">
        <v>34</v>
      </c>
      <c r="Y597" t="s">
        <v>117</v>
      </c>
      <c r="Z597" t="s">
        <v>2141</v>
      </c>
      <c r="AA597" t="s">
        <v>38</v>
      </c>
    </row>
    <row r="598" spans="1:27" hidden="1">
      <c r="A598" t="s">
        <v>2142</v>
      </c>
      <c r="B598" t="s">
        <v>2143</v>
      </c>
      <c r="C598" t="e">
        <f>VLOOKUP(B598,Sheet2!$A$2:$A$392,1,0)</f>
        <v>#N/A</v>
      </c>
      <c r="E598" t="s">
        <v>27</v>
      </c>
      <c r="F598" t="s">
        <v>41</v>
      </c>
      <c r="I598" t="s">
        <v>42</v>
      </c>
      <c r="J598" s="2">
        <v>150</v>
      </c>
      <c r="K598" s="3">
        <v>24.38</v>
      </c>
      <c r="L598" s="2">
        <v>229</v>
      </c>
      <c r="M598" s="2">
        <v>0</v>
      </c>
      <c r="N598" s="2">
        <v>3</v>
      </c>
      <c r="P598" t="s">
        <v>2142</v>
      </c>
      <c r="R598" t="s">
        <v>42</v>
      </c>
      <c r="S598" t="s">
        <v>33</v>
      </c>
      <c r="T598" t="s">
        <v>34</v>
      </c>
      <c r="U598" t="s">
        <v>35</v>
      </c>
      <c r="X598" t="s">
        <v>34</v>
      </c>
      <c r="Y598" t="s">
        <v>45</v>
      </c>
      <c r="Z598" t="s">
        <v>2144</v>
      </c>
      <c r="AA598" t="s">
        <v>38</v>
      </c>
    </row>
    <row r="599" spans="1:27" hidden="1">
      <c r="A599" t="s">
        <v>2145</v>
      </c>
      <c r="B599" t="s">
        <v>2146</v>
      </c>
      <c r="C599" t="e">
        <f>VLOOKUP(B599,Sheet2!$A$2:$A$392,1,0)</f>
        <v>#N/A</v>
      </c>
      <c r="E599" t="s">
        <v>196</v>
      </c>
      <c r="F599" t="s">
        <v>41</v>
      </c>
      <c r="G599" t="s">
        <v>29</v>
      </c>
      <c r="J599" s="2">
        <v>1930</v>
      </c>
      <c r="K599" s="3">
        <v>69.98</v>
      </c>
      <c r="L599" s="2">
        <v>946</v>
      </c>
      <c r="O599" t="s">
        <v>482</v>
      </c>
      <c r="P599" t="s">
        <v>2147</v>
      </c>
      <c r="Q599" t="s">
        <v>34</v>
      </c>
      <c r="R599" t="s">
        <v>42</v>
      </c>
      <c r="S599" t="s">
        <v>33</v>
      </c>
      <c r="U599" t="s">
        <v>35</v>
      </c>
      <c r="X599" t="s">
        <v>34</v>
      </c>
      <c r="Y599" t="s">
        <v>45</v>
      </c>
      <c r="Z599" t="s">
        <v>2148</v>
      </c>
      <c r="AA599" t="s">
        <v>38</v>
      </c>
    </row>
    <row r="600" spans="1:27" hidden="1">
      <c r="A600" t="s">
        <v>2149</v>
      </c>
      <c r="B600" t="s">
        <v>2150</v>
      </c>
      <c r="C600" t="e">
        <f>VLOOKUP(B600,Sheet2!$A$2:$A$392,1,0)</f>
        <v>#N/A</v>
      </c>
      <c r="E600" t="s">
        <v>27</v>
      </c>
      <c r="F600" t="s">
        <v>41</v>
      </c>
      <c r="G600" t="s">
        <v>1968</v>
      </c>
      <c r="I600" t="s">
        <v>42</v>
      </c>
      <c r="J600" s="2">
        <v>3700</v>
      </c>
      <c r="K600" s="2">
        <v>100</v>
      </c>
      <c r="L600" s="2">
        <v>3027</v>
      </c>
      <c r="M600" s="2">
        <v>3600</v>
      </c>
      <c r="N600" s="2">
        <v>5</v>
      </c>
      <c r="O600" t="s">
        <v>281</v>
      </c>
      <c r="P600" t="s">
        <v>2151</v>
      </c>
      <c r="R600" t="s">
        <v>42</v>
      </c>
      <c r="S600" t="s">
        <v>33</v>
      </c>
      <c r="T600" t="s">
        <v>34</v>
      </c>
      <c r="U600" t="s">
        <v>44</v>
      </c>
      <c r="V600" s="2">
        <v>2</v>
      </c>
      <c r="X600" t="s">
        <v>147</v>
      </c>
      <c r="Y600" t="s">
        <v>45</v>
      </c>
      <c r="Z600" t="s">
        <v>2152</v>
      </c>
      <c r="AA600" t="s">
        <v>38</v>
      </c>
    </row>
    <row r="601" spans="1:27" hidden="1">
      <c r="A601" t="s">
        <v>2153</v>
      </c>
      <c r="B601" t="s">
        <v>2154</v>
      </c>
      <c r="C601" t="e">
        <f>VLOOKUP(B601,Sheet2!$A$2:$A$392,1,0)</f>
        <v>#N/A</v>
      </c>
      <c r="E601" t="s">
        <v>27</v>
      </c>
      <c r="F601" t="s">
        <v>41</v>
      </c>
      <c r="G601" t="s">
        <v>59</v>
      </c>
      <c r="I601" t="s">
        <v>42</v>
      </c>
      <c r="J601" s="2">
        <v>2400</v>
      </c>
      <c r="K601">
        <v>74.5</v>
      </c>
      <c r="L601" s="2">
        <v>1433</v>
      </c>
      <c r="M601" s="2">
        <v>1300</v>
      </c>
      <c r="N601">
        <v>5.3</v>
      </c>
      <c r="O601" t="s">
        <v>61</v>
      </c>
      <c r="P601" t="s">
        <v>2155</v>
      </c>
      <c r="R601" t="s">
        <v>32</v>
      </c>
      <c r="S601" t="s">
        <v>33</v>
      </c>
      <c r="T601" t="s">
        <v>34</v>
      </c>
      <c r="U601" t="s">
        <v>44</v>
      </c>
      <c r="V601" s="2">
        <v>3</v>
      </c>
      <c r="W601" t="s">
        <v>63</v>
      </c>
      <c r="X601" t="s">
        <v>34</v>
      </c>
      <c r="Y601" t="s">
        <v>64</v>
      </c>
      <c r="Z601" t="s">
        <v>2156</v>
      </c>
      <c r="AA601" t="s">
        <v>38</v>
      </c>
    </row>
    <row r="602" spans="1:27" hidden="1">
      <c r="A602" t="s">
        <v>2157</v>
      </c>
      <c r="B602" t="s">
        <v>2158</v>
      </c>
      <c r="C602" t="e">
        <f>VLOOKUP(B602,Sheet2!$A$2:$A$392,1,0)</f>
        <v>#N/A</v>
      </c>
      <c r="E602" t="s">
        <v>40</v>
      </c>
      <c r="F602" t="s">
        <v>41</v>
      </c>
      <c r="G602" t="s">
        <v>29</v>
      </c>
      <c r="I602" t="s">
        <v>42</v>
      </c>
      <c r="J602" s="2">
        <v>8907</v>
      </c>
      <c r="K602" s="2">
        <v>87</v>
      </c>
      <c r="L602" s="2">
        <v>3354</v>
      </c>
      <c r="P602" t="s">
        <v>2159</v>
      </c>
      <c r="R602" t="s">
        <v>42</v>
      </c>
      <c r="S602" t="s">
        <v>33</v>
      </c>
      <c r="T602" t="s">
        <v>34</v>
      </c>
      <c r="U602" t="s">
        <v>35</v>
      </c>
      <c r="X602" t="s">
        <v>34</v>
      </c>
      <c r="Y602" t="s">
        <v>45</v>
      </c>
      <c r="Z602" t="s">
        <v>2160</v>
      </c>
      <c r="AA602" t="s">
        <v>38</v>
      </c>
    </row>
    <row r="603" spans="1:27" hidden="1">
      <c r="A603" t="s">
        <v>2161</v>
      </c>
      <c r="B603" t="s">
        <v>2162</v>
      </c>
      <c r="C603" t="e">
        <f>VLOOKUP(B603,Sheet2!$A$2:$A$392,1,0)</f>
        <v>#N/A</v>
      </c>
      <c r="E603" t="s">
        <v>27</v>
      </c>
      <c r="F603" t="s">
        <v>41</v>
      </c>
      <c r="G603" t="s">
        <v>2163</v>
      </c>
      <c r="I603" t="s">
        <v>42</v>
      </c>
      <c r="J603" s="2">
        <v>1200</v>
      </c>
      <c r="K603" s="2">
        <v>56</v>
      </c>
      <c r="L603" s="2">
        <v>651</v>
      </c>
      <c r="P603" t="s">
        <v>2164</v>
      </c>
      <c r="R603" t="s">
        <v>42</v>
      </c>
      <c r="S603" t="s">
        <v>33</v>
      </c>
      <c r="T603" t="s">
        <v>34</v>
      </c>
      <c r="U603" t="s">
        <v>44</v>
      </c>
      <c r="X603" t="s">
        <v>147</v>
      </c>
      <c r="Y603" t="s">
        <v>154</v>
      </c>
      <c r="Z603" t="s">
        <v>2165</v>
      </c>
      <c r="AA603" t="s">
        <v>38</v>
      </c>
    </row>
    <row r="604" spans="1:27" hidden="1">
      <c r="A604" t="s">
        <v>2166</v>
      </c>
      <c r="B604" t="s">
        <v>2167</v>
      </c>
      <c r="C604" t="e">
        <f>VLOOKUP(B604,Sheet2!$A$2:$A$392,1,0)</f>
        <v>#N/A</v>
      </c>
      <c r="E604" t="s">
        <v>27</v>
      </c>
      <c r="F604" t="s">
        <v>41</v>
      </c>
      <c r="G604" t="s">
        <v>29</v>
      </c>
      <c r="J604" s="2">
        <v>2100</v>
      </c>
      <c r="K604" s="2">
        <v>68</v>
      </c>
      <c r="L604" s="2">
        <v>1539</v>
      </c>
      <c r="M604" s="2">
        <v>1650</v>
      </c>
      <c r="N604">
        <v>6.6</v>
      </c>
      <c r="O604" t="s">
        <v>281</v>
      </c>
      <c r="P604" t="s">
        <v>2168</v>
      </c>
      <c r="R604" t="s">
        <v>42</v>
      </c>
      <c r="S604" t="s">
        <v>33</v>
      </c>
      <c r="U604" t="s">
        <v>44</v>
      </c>
      <c r="V604" s="2">
        <v>2</v>
      </c>
      <c r="X604" t="s">
        <v>34</v>
      </c>
      <c r="Y604" t="s">
        <v>45</v>
      </c>
      <c r="Z604" t="s">
        <v>2169</v>
      </c>
      <c r="AA604" t="s">
        <v>38</v>
      </c>
    </row>
    <row r="605" spans="1:27" hidden="1">
      <c r="A605" t="s">
        <v>2170</v>
      </c>
      <c r="B605" t="s">
        <v>2171</v>
      </c>
      <c r="C605" t="e">
        <f>VLOOKUP(B605,Sheet2!$A$2:$A$392,1,0)</f>
        <v>#N/A</v>
      </c>
      <c r="E605" t="s">
        <v>27</v>
      </c>
      <c r="F605" t="s">
        <v>41</v>
      </c>
      <c r="G605" t="s">
        <v>29</v>
      </c>
      <c r="J605" s="2">
        <v>400</v>
      </c>
      <c r="K605" s="2">
        <v>70</v>
      </c>
      <c r="L605" s="2">
        <v>150</v>
      </c>
      <c r="P605" s="2">
        <v>1234</v>
      </c>
      <c r="Q605" t="s">
        <v>34</v>
      </c>
      <c r="R605" t="s">
        <v>42</v>
      </c>
      <c r="S605" t="s">
        <v>33</v>
      </c>
      <c r="U605" t="s">
        <v>35</v>
      </c>
      <c r="X605" t="s">
        <v>34</v>
      </c>
      <c r="Y605" t="s">
        <v>45</v>
      </c>
      <c r="Z605" t="s">
        <v>2172</v>
      </c>
      <c r="AA605" t="s">
        <v>38</v>
      </c>
    </row>
    <row r="606" spans="1:27">
      <c r="A606" t="s">
        <v>2173</v>
      </c>
      <c r="B606" t="s">
        <v>2174</v>
      </c>
      <c r="C606" t="str">
        <f>VLOOKUP(B606,Sheet2!$A$2:$A$392,1,0)</f>
        <v>KM. MEGA ANTARA SAMUDERA</v>
      </c>
      <c r="E606" t="s">
        <v>27</v>
      </c>
      <c r="F606" t="s">
        <v>41</v>
      </c>
      <c r="G606" t="s">
        <v>158</v>
      </c>
      <c r="I606" t="s">
        <v>42</v>
      </c>
      <c r="J606" s="2">
        <v>2100</v>
      </c>
      <c r="K606">
        <v>75.3</v>
      </c>
      <c r="L606" s="2">
        <v>1482</v>
      </c>
      <c r="O606" t="s">
        <v>159</v>
      </c>
      <c r="P606" t="s">
        <v>2175</v>
      </c>
      <c r="R606" t="s">
        <v>32</v>
      </c>
      <c r="S606" t="s">
        <v>33</v>
      </c>
      <c r="T606" t="s">
        <v>34</v>
      </c>
      <c r="U606" t="s">
        <v>35</v>
      </c>
      <c r="W606" t="s">
        <v>63</v>
      </c>
      <c r="X606" t="s">
        <v>34</v>
      </c>
      <c r="Y606" t="s">
        <v>64</v>
      </c>
      <c r="Z606" t="s">
        <v>2176</v>
      </c>
      <c r="AA606" t="s">
        <v>38</v>
      </c>
    </row>
    <row r="607" spans="1:27" hidden="1">
      <c r="A607" t="s">
        <v>2177</v>
      </c>
      <c r="B607" t="s">
        <v>2178</v>
      </c>
      <c r="C607" t="e">
        <f>VLOOKUP(B607,Sheet2!$A$2:$A$392,1,0)</f>
        <v>#N/A</v>
      </c>
      <c r="E607" t="s">
        <v>27</v>
      </c>
      <c r="F607" t="s">
        <v>41</v>
      </c>
      <c r="G607" t="s">
        <v>29</v>
      </c>
      <c r="I607" t="s">
        <v>42</v>
      </c>
      <c r="J607" s="2">
        <v>11197</v>
      </c>
      <c r="K607" s="2">
        <v>88</v>
      </c>
      <c r="L607" s="2">
        <v>4389</v>
      </c>
      <c r="M607" s="2">
        <v>2200</v>
      </c>
      <c r="N607" s="3">
        <v>6.74</v>
      </c>
      <c r="P607" t="s">
        <v>2179</v>
      </c>
      <c r="R607" t="s">
        <v>32</v>
      </c>
      <c r="S607" t="s">
        <v>33</v>
      </c>
      <c r="T607" t="s">
        <v>34</v>
      </c>
      <c r="U607" t="s">
        <v>35</v>
      </c>
      <c r="X607" t="s">
        <v>34</v>
      </c>
      <c r="Y607" t="s">
        <v>142</v>
      </c>
      <c r="Z607" t="s">
        <v>2180</v>
      </c>
      <c r="AA607" t="s">
        <v>38</v>
      </c>
    </row>
    <row r="608" spans="1:27">
      <c r="A608" t="s">
        <v>2181</v>
      </c>
      <c r="B608" t="s">
        <v>2182</v>
      </c>
      <c r="C608" t="str">
        <f>VLOOKUP(B608,Sheet2!$A$2:$A$392,1,0)</f>
        <v>KARYA NUSANTARA 8</v>
      </c>
      <c r="E608" t="s">
        <v>27</v>
      </c>
      <c r="F608" t="s">
        <v>41</v>
      </c>
      <c r="G608" t="s">
        <v>158</v>
      </c>
      <c r="I608" t="s">
        <v>42</v>
      </c>
      <c r="J608" s="2">
        <v>1600</v>
      </c>
      <c r="K608" s="3">
        <v>57.01</v>
      </c>
      <c r="L608" s="2">
        <v>1093</v>
      </c>
      <c r="O608" t="s">
        <v>159</v>
      </c>
      <c r="P608" t="s">
        <v>2183</v>
      </c>
      <c r="R608" t="s">
        <v>581</v>
      </c>
      <c r="S608" t="s">
        <v>33</v>
      </c>
      <c r="T608" t="s">
        <v>34</v>
      </c>
      <c r="U608" t="s">
        <v>35</v>
      </c>
      <c r="W608" t="s">
        <v>63</v>
      </c>
      <c r="X608" t="s">
        <v>34</v>
      </c>
      <c r="Y608" t="s">
        <v>64</v>
      </c>
      <c r="Z608" t="s">
        <v>2184</v>
      </c>
      <c r="AA608" t="s">
        <v>38</v>
      </c>
    </row>
    <row r="609" spans="1:27" hidden="1">
      <c r="A609" t="s">
        <v>2185</v>
      </c>
      <c r="B609" t="s">
        <v>2186</v>
      </c>
      <c r="C609" t="e">
        <f>VLOOKUP(B609,Sheet2!$A$2:$A$392,1,0)</f>
        <v>#N/A</v>
      </c>
      <c r="E609" t="s">
        <v>27</v>
      </c>
      <c r="F609" t="s">
        <v>41</v>
      </c>
      <c r="G609" t="s">
        <v>29</v>
      </c>
      <c r="I609" t="s">
        <v>42</v>
      </c>
      <c r="J609" s="2">
        <v>2400</v>
      </c>
      <c r="K609" s="2">
        <v>74</v>
      </c>
      <c r="L609" s="2">
        <v>499</v>
      </c>
      <c r="M609" s="2">
        <v>1800</v>
      </c>
      <c r="N609" s="2">
        <v>4</v>
      </c>
      <c r="P609" t="s">
        <v>185</v>
      </c>
      <c r="R609" t="s">
        <v>32</v>
      </c>
      <c r="S609" t="s">
        <v>33</v>
      </c>
      <c r="T609" t="s">
        <v>34</v>
      </c>
      <c r="U609" t="s">
        <v>35</v>
      </c>
      <c r="V609" s="2">
        <v>2</v>
      </c>
      <c r="X609" t="s">
        <v>34</v>
      </c>
      <c r="Y609" t="s">
        <v>45</v>
      </c>
      <c r="Z609" t="s">
        <v>2187</v>
      </c>
      <c r="AA609" t="s">
        <v>38</v>
      </c>
    </row>
    <row r="610" spans="1:27">
      <c r="A610" t="s">
        <v>2188</v>
      </c>
      <c r="B610" t="s">
        <v>2189</v>
      </c>
      <c r="C610" t="str">
        <f>VLOOKUP(B610,Sheet2!$A$2:$A$392,1,0)</f>
        <v>KM. KARYA NUSANTARA 89</v>
      </c>
      <c r="E610" t="s">
        <v>27</v>
      </c>
      <c r="F610" t="s">
        <v>41</v>
      </c>
      <c r="G610" t="s">
        <v>29</v>
      </c>
      <c r="J610" s="2">
        <v>2297</v>
      </c>
      <c r="K610" s="2">
        <v>78</v>
      </c>
      <c r="L610" s="2">
        <v>1501</v>
      </c>
      <c r="M610" s="2">
        <v>1000</v>
      </c>
      <c r="N610" s="2">
        <v>5</v>
      </c>
      <c r="P610" t="s">
        <v>2190</v>
      </c>
      <c r="R610" t="s">
        <v>32</v>
      </c>
      <c r="S610" t="s">
        <v>33</v>
      </c>
      <c r="U610" t="s">
        <v>35</v>
      </c>
      <c r="X610" t="s">
        <v>34</v>
      </c>
      <c r="Y610" t="s">
        <v>45</v>
      </c>
      <c r="Z610" t="s">
        <v>2191</v>
      </c>
      <c r="AA610" t="s">
        <v>38</v>
      </c>
    </row>
    <row r="611" spans="1:27" hidden="1">
      <c r="A611" t="s">
        <v>2192</v>
      </c>
      <c r="B611" t="s">
        <v>2193</v>
      </c>
      <c r="C611" t="e">
        <f>VLOOKUP(B611,Sheet2!$A$2:$A$392,1,0)</f>
        <v>#N/A</v>
      </c>
      <c r="E611" t="s">
        <v>27</v>
      </c>
      <c r="F611" t="s">
        <v>41</v>
      </c>
      <c r="G611" t="s">
        <v>29</v>
      </c>
      <c r="J611" s="2">
        <v>600</v>
      </c>
      <c r="K611" s="2">
        <v>70</v>
      </c>
      <c r="L611" s="2">
        <v>230</v>
      </c>
      <c r="P611" t="s">
        <v>2192</v>
      </c>
      <c r="Q611" t="s">
        <v>34</v>
      </c>
      <c r="R611" t="s">
        <v>42</v>
      </c>
      <c r="S611" t="s">
        <v>33</v>
      </c>
      <c r="U611" t="s">
        <v>44</v>
      </c>
      <c r="X611" t="s">
        <v>34</v>
      </c>
      <c r="Y611" t="s">
        <v>45</v>
      </c>
      <c r="Z611" t="s">
        <v>2194</v>
      </c>
      <c r="AA611" t="s">
        <v>38</v>
      </c>
    </row>
    <row r="612" spans="1:27" hidden="1">
      <c r="A612" t="s">
        <v>2195</v>
      </c>
      <c r="B612" t="s">
        <v>2196</v>
      </c>
      <c r="C612" t="e">
        <f>VLOOKUP(B612,Sheet2!$A$2:$A$392,1,0)</f>
        <v>#N/A</v>
      </c>
      <c r="E612" t="s">
        <v>27</v>
      </c>
      <c r="F612" t="s">
        <v>41</v>
      </c>
      <c r="G612" t="s">
        <v>29</v>
      </c>
      <c r="J612" s="2">
        <v>1500</v>
      </c>
      <c r="K612">
        <v>56.5</v>
      </c>
      <c r="L612" s="2">
        <v>923</v>
      </c>
      <c r="P612" t="s">
        <v>2197</v>
      </c>
      <c r="R612" t="s">
        <v>42</v>
      </c>
      <c r="S612" t="s">
        <v>33</v>
      </c>
      <c r="U612" t="s">
        <v>44</v>
      </c>
      <c r="V612" s="2">
        <v>1</v>
      </c>
      <c r="X612" t="s">
        <v>34</v>
      </c>
      <c r="Y612" t="s">
        <v>45</v>
      </c>
      <c r="Z612" t="s">
        <v>2198</v>
      </c>
      <c r="AA612" t="s">
        <v>38</v>
      </c>
    </row>
    <row r="613" spans="1:27" hidden="1">
      <c r="A613" t="s">
        <v>2199</v>
      </c>
      <c r="B613" t="s">
        <v>2200</v>
      </c>
      <c r="C613" t="e">
        <f>VLOOKUP(B613,Sheet2!$A$2:$A$392,1,0)</f>
        <v>#N/A</v>
      </c>
      <c r="E613" t="s">
        <v>27</v>
      </c>
      <c r="F613" t="s">
        <v>41</v>
      </c>
      <c r="G613" t="s">
        <v>29</v>
      </c>
      <c r="I613" t="s">
        <v>42</v>
      </c>
      <c r="J613" s="2">
        <v>670</v>
      </c>
      <c r="K613" s="2">
        <v>56</v>
      </c>
      <c r="L613" s="2">
        <v>670</v>
      </c>
      <c r="M613" s="2">
        <v>850</v>
      </c>
      <c r="N613" s="2">
        <v>2</v>
      </c>
      <c r="P613" t="s">
        <v>185</v>
      </c>
      <c r="Q613" t="s">
        <v>34</v>
      </c>
      <c r="R613" t="s">
        <v>32</v>
      </c>
      <c r="S613" t="s">
        <v>33</v>
      </c>
      <c r="T613" t="s">
        <v>34</v>
      </c>
      <c r="U613" t="s">
        <v>35</v>
      </c>
      <c r="X613" t="s">
        <v>34</v>
      </c>
      <c r="Y613" t="s">
        <v>45</v>
      </c>
      <c r="Z613" t="s">
        <v>2201</v>
      </c>
      <c r="AA613" t="s">
        <v>38</v>
      </c>
    </row>
    <row r="614" spans="1:27">
      <c r="A614" t="s">
        <v>2202</v>
      </c>
      <c r="B614" t="s">
        <v>2203</v>
      </c>
      <c r="C614" t="str">
        <f>VLOOKUP(B614,Sheet2!$A$2:$A$392,1,0)</f>
        <v>KM. NGADA SEJAHTERA</v>
      </c>
      <c r="E614" t="s">
        <v>27</v>
      </c>
      <c r="F614" t="s">
        <v>41</v>
      </c>
      <c r="G614" t="s">
        <v>29</v>
      </c>
      <c r="J614" s="2">
        <v>532</v>
      </c>
      <c r="K614">
        <v>80.2</v>
      </c>
      <c r="L614" s="2">
        <v>1773</v>
      </c>
      <c r="O614" t="s">
        <v>482</v>
      </c>
      <c r="P614" t="s">
        <v>2204</v>
      </c>
      <c r="Q614" t="s">
        <v>34</v>
      </c>
      <c r="R614" t="s">
        <v>32</v>
      </c>
      <c r="S614" t="s">
        <v>33</v>
      </c>
      <c r="U614" t="s">
        <v>35</v>
      </c>
      <c r="X614" t="s">
        <v>34</v>
      </c>
      <c r="Y614" t="s">
        <v>45</v>
      </c>
      <c r="Z614" t="s">
        <v>2205</v>
      </c>
      <c r="AA614" t="s">
        <v>38</v>
      </c>
    </row>
    <row r="615" spans="1:27">
      <c r="A615" t="s">
        <v>2206</v>
      </c>
      <c r="B615" t="s">
        <v>2207</v>
      </c>
      <c r="C615" t="str">
        <f>VLOOKUP(B615,Sheet2!$A$2:$A$392,1,0)</f>
        <v>KM. OVALE</v>
      </c>
      <c r="E615" t="s">
        <v>27</v>
      </c>
      <c r="F615" t="s">
        <v>41</v>
      </c>
      <c r="G615" t="s">
        <v>2067</v>
      </c>
      <c r="I615" t="s">
        <v>42</v>
      </c>
      <c r="J615" s="2">
        <v>1994</v>
      </c>
      <c r="K615" s="2">
        <v>87</v>
      </c>
      <c r="L615" s="2">
        <v>3500</v>
      </c>
      <c r="M615" s="2">
        <v>1300</v>
      </c>
      <c r="N615" s="2">
        <v>5</v>
      </c>
      <c r="P615" t="s">
        <v>2208</v>
      </c>
      <c r="R615" t="s">
        <v>42</v>
      </c>
      <c r="S615" t="s">
        <v>33</v>
      </c>
      <c r="T615" t="s">
        <v>106</v>
      </c>
      <c r="U615" t="s">
        <v>44</v>
      </c>
      <c r="V615" s="2">
        <v>2</v>
      </c>
      <c r="W615" t="s">
        <v>518</v>
      </c>
      <c r="X615" t="s">
        <v>34</v>
      </c>
      <c r="Y615" t="s">
        <v>519</v>
      </c>
      <c r="Z615" t="s">
        <v>2209</v>
      </c>
      <c r="AA615" t="s">
        <v>38</v>
      </c>
    </row>
    <row r="616" spans="1:27">
      <c r="A616" t="s">
        <v>2210</v>
      </c>
      <c r="B616" t="s">
        <v>2211</v>
      </c>
      <c r="C616" t="str">
        <f>VLOOKUP(B616,Sheet2!$A$2:$A$392,1,0)</f>
        <v>MV. KOTA PADANG</v>
      </c>
      <c r="E616" t="s">
        <v>196</v>
      </c>
      <c r="F616" t="s">
        <v>28</v>
      </c>
      <c r="G616" t="s">
        <v>907</v>
      </c>
      <c r="J616" s="2">
        <v>9646</v>
      </c>
      <c r="K616" s="2">
        <v>109</v>
      </c>
      <c r="L616" s="2">
        <v>6943</v>
      </c>
      <c r="M616">
        <v>3.9</v>
      </c>
      <c r="N616" s="2">
        <v>6</v>
      </c>
      <c r="O616" t="s">
        <v>61</v>
      </c>
      <c r="P616" t="s">
        <v>2212</v>
      </c>
      <c r="R616" t="s">
        <v>32</v>
      </c>
      <c r="S616" t="s">
        <v>33</v>
      </c>
      <c r="U616" t="s">
        <v>35</v>
      </c>
      <c r="V616" s="2">
        <v>4</v>
      </c>
      <c r="X616" t="s">
        <v>34</v>
      </c>
      <c r="Y616" t="s">
        <v>154</v>
      </c>
      <c r="Z616" t="s">
        <v>2213</v>
      </c>
      <c r="AA616" t="s">
        <v>38</v>
      </c>
    </row>
    <row r="617" spans="1:27">
      <c r="A617" t="s">
        <v>2214</v>
      </c>
      <c r="B617" t="s">
        <v>2215</v>
      </c>
      <c r="C617" t="str">
        <f>VLOOKUP(B617,Sheet2!$A$2:$A$392,1,0)</f>
        <v>MV. KOYO</v>
      </c>
      <c r="E617" t="s">
        <v>27</v>
      </c>
      <c r="F617" t="s">
        <v>41</v>
      </c>
      <c r="G617" t="s">
        <v>1513</v>
      </c>
      <c r="J617" s="2">
        <v>1700</v>
      </c>
      <c r="K617" s="2">
        <v>68</v>
      </c>
      <c r="L617" s="2">
        <v>941</v>
      </c>
      <c r="M617" s="2">
        <v>1000</v>
      </c>
      <c r="N617">
        <v>4.1479999999999997</v>
      </c>
      <c r="P617" t="s">
        <v>2072</v>
      </c>
      <c r="R617" t="s">
        <v>32</v>
      </c>
      <c r="S617" t="s">
        <v>33</v>
      </c>
      <c r="U617" t="s">
        <v>35</v>
      </c>
      <c r="X617" t="s">
        <v>34</v>
      </c>
      <c r="Y617" t="s">
        <v>154</v>
      </c>
      <c r="Z617" t="s">
        <v>2216</v>
      </c>
      <c r="AA617" t="s">
        <v>38</v>
      </c>
    </row>
    <row r="618" spans="1:27" hidden="1">
      <c r="A618" t="s">
        <v>2217</v>
      </c>
      <c r="B618" t="s">
        <v>2218</v>
      </c>
      <c r="C618" t="e">
        <f>VLOOKUP(B618,Sheet2!$A$2:$A$392,1,0)</f>
        <v>#N/A</v>
      </c>
      <c r="E618" t="s">
        <v>27</v>
      </c>
      <c r="F618" t="s">
        <v>41</v>
      </c>
      <c r="G618" t="s">
        <v>29</v>
      </c>
      <c r="J618" s="2">
        <v>2350</v>
      </c>
      <c r="K618" s="2">
        <v>73</v>
      </c>
      <c r="L618" s="2">
        <v>1312</v>
      </c>
      <c r="M618" s="2">
        <v>1450</v>
      </c>
      <c r="P618" t="s">
        <v>2219</v>
      </c>
      <c r="R618" t="s">
        <v>32</v>
      </c>
      <c r="S618" t="s">
        <v>33</v>
      </c>
      <c r="U618" t="s">
        <v>35</v>
      </c>
      <c r="X618" t="s">
        <v>34</v>
      </c>
      <c r="Y618" t="s">
        <v>45</v>
      </c>
      <c r="Z618" t="s">
        <v>2220</v>
      </c>
      <c r="AA618" t="s">
        <v>38</v>
      </c>
    </row>
    <row r="619" spans="1:27" hidden="1">
      <c r="A619" t="s">
        <v>2221</v>
      </c>
      <c r="B619" t="s">
        <v>2222</v>
      </c>
      <c r="C619" t="e">
        <f>VLOOKUP(B619,Sheet2!$A$2:$A$392,1,0)</f>
        <v>#N/A</v>
      </c>
      <c r="E619" t="s">
        <v>27</v>
      </c>
      <c r="F619" t="s">
        <v>41</v>
      </c>
      <c r="G619" t="s">
        <v>29</v>
      </c>
      <c r="J619" s="2">
        <v>2100</v>
      </c>
      <c r="K619" s="2">
        <v>76</v>
      </c>
      <c r="L619" s="2">
        <v>1281</v>
      </c>
      <c r="M619" s="2">
        <v>750</v>
      </c>
      <c r="N619" s="3">
        <v>3.33</v>
      </c>
      <c r="P619" t="s">
        <v>2223</v>
      </c>
      <c r="R619" t="s">
        <v>581</v>
      </c>
      <c r="S619" t="s">
        <v>33</v>
      </c>
      <c r="U619" t="s">
        <v>35</v>
      </c>
      <c r="X619" t="s">
        <v>34</v>
      </c>
      <c r="Y619" t="s">
        <v>45</v>
      </c>
      <c r="Z619" t="s">
        <v>2224</v>
      </c>
      <c r="AA619" t="s">
        <v>38</v>
      </c>
    </row>
    <row r="620" spans="1:27" hidden="1">
      <c r="A620" t="s">
        <v>2225</v>
      </c>
      <c r="B620" t="s">
        <v>2226</v>
      </c>
      <c r="C620" t="e">
        <f>VLOOKUP(B620,Sheet2!$A$2:$A$392,1,0)</f>
        <v>#N/A</v>
      </c>
      <c r="E620" t="s">
        <v>27</v>
      </c>
      <c r="F620" t="s">
        <v>41</v>
      </c>
      <c r="G620" t="s">
        <v>29</v>
      </c>
      <c r="I620" t="s">
        <v>42</v>
      </c>
      <c r="J620" s="2">
        <v>4096</v>
      </c>
      <c r="K620" s="2">
        <v>88</v>
      </c>
      <c r="L620" s="2">
        <v>2815</v>
      </c>
      <c r="M620" s="2">
        <v>3000</v>
      </c>
      <c r="P620" t="s">
        <v>2227</v>
      </c>
      <c r="Q620" t="s">
        <v>34</v>
      </c>
      <c r="R620" t="s">
        <v>1864</v>
      </c>
      <c r="S620" t="s">
        <v>33</v>
      </c>
      <c r="T620" t="s">
        <v>34</v>
      </c>
      <c r="U620" t="s">
        <v>35</v>
      </c>
      <c r="V620" s="2">
        <v>1</v>
      </c>
      <c r="X620" t="s">
        <v>34</v>
      </c>
      <c r="Y620" t="s">
        <v>45</v>
      </c>
      <c r="Z620" t="s">
        <v>2228</v>
      </c>
      <c r="AA620" t="s">
        <v>38</v>
      </c>
    </row>
    <row r="621" spans="1:27" hidden="1">
      <c r="A621" t="s">
        <v>2229</v>
      </c>
      <c r="B621" t="s">
        <v>2230</v>
      </c>
      <c r="C621" t="e">
        <f>VLOOKUP(B621,Sheet2!$A$2:$A$392,1,0)</f>
        <v>#N/A</v>
      </c>
      <c r="E621" t="s">
        <v>27</v>
      </c>
      <c r="F621" t="s">
        <v>41</v>
      </c>
      <c r="I621" t="s">
        <v>42</v>
      </c>
      <c r="J621" s="2">
        <v>170</v>
      </c>
      <c r="K621" s="2">
        <v>24</v>
      </c>
      <c r="L621" s="2">
        <v>51</v>
      </c>
      <c r="M621" s="2">
        <v>0</v>
      </c>
      <c r="N621" s="2">
        <v>4</v>
      </c>
      <c r="O621" t="s">
        <v>482</v>
      </c>
      <c r="P621" t="s">
        <v>2229</v>
      </c>
      <c r="R621" t="s">
        <v>42</v>
      </c>
      <c r="S621" t="s">
        <v>33</v>
      </c>
      <c r="T621" t="s">
        <v>34</v>
      </c>
      <c r="U621" t="s">
        <v>44</v>
      </c>
      <c r="X621" t="s">
        <v>34</v>
      </c>
      <c r="Y621" t="s">
        <v>45</v>
      </c>
      <c r="Z621" t="s">
        <v>2231</v>
      </c>
      <c r="AA621" t="s">
        <v>38</v>
      </c>
    </row>
    <row r="622" spans="1:27" hidden="1">
      <c r="A622" t="s">
        <v>2232</v>
      </c>
      <c r="B622" t="s">
        <v>2233</v>
      </c>
      <c r="C622" t="e">
        <f>VLOOKUP(B622,Sheet2!$A$2:$A$392,1,0)</f>
        <v>#N/A</v>
      </c>
      <c r="E622" t="s">
        <v>27</v>
      </c>
      <c r="F622" t="s">
        <v>41</v>
      </c>
      <c r="I622" t="s">
        <v>42</v>
      </c>
      <c r="J622" s="2">
        <v>400</v>
      </c>
      <c r="K622" s="2">
        <v>47</v>
      </c>
      <c r="L622" s="2">
        <v>155</v>
      </c>
      <c r="M622" s="2">
        <v>0</v>
      </c>
      <c r="N622" s="2">
        <v>3</v>
      </c>
      <c r="P622" s="2">
        <v>1234</v>
      </c>
      <c r="R622" t="s">
        <v>42</v>
      </c>
      <c r="S622" t="s">
        <v>33</v>
      </c>
      <c r="T622" t="s">
        <v>34</v>
      </c>
      <c r="U622" t="s">
        <v>35</v>
      </c>
      <c r="X622" t="s">
        <v>34</v>
      </c>
      <c r="Y622" t="s">
        <v>45</v>
      </c>
      <c r="Z622" t="s">
        <v>2234</v>
      </c>
      <c r="AA622" t="s">
        <v>38</v>
      </c>
    </row>
    <row r="623" spans="1:27" hidden="1">
      <c r="A623" t="s">
        <v>2235</v>
      </c>
      <c r="B623" t="s">
        <v>2236</v>
      </c>
      <c r="C623" t="e">
        <f>VLOOKUP(B623,Sheet2!$A$2:$A$392,1,0)</f>
        <v>#N/A</v>
      </c>
      <c r="E623" t="s">
        <v>27</v>
      </c>
      <c r="F623" t="s">
        <v>41</v>
      </c>
      <c r="G623" t="s">
        <v>2237</v>
      </c>
      <c r="I623" t="s">
        <v>42</v>
      </c>
      <c r="J623" s="2">
        <v>6422</v>
      </c>
      <c r="K623" s="3">
        <v>97.49</v>
      </c>
      <c r="L623" s="2">
        <v>4225</v>
      </c>
      <c r="M623" s="2">
        <v>2800</v>
      </c>
      <c r="N623">
        <v>6.4</v>
      </c>
      <c r="O623" t="s">
        <v>2238</v>
      </c>
      <c r="P623" t="s">
        <v>2239</v>
      </c>
      <c r="R623" t="s">
        <v>42</v>
      </c>
      <c r="S623" t="s">
        <v>33</v>
      </c>
      <c r="T623" t="s">
        <v>34</v>
      </c>
      <c r="U623" t="s">
        <v>35</v>
      </c>
      <c r="V623" s="2">
        <v>2</v>
      </c>
      <c r="X623" t="s">
        <v>34</v>
      </c>
      <c r="Y623" t="s">
        <v>154</v>
      </c>
      <c r="Z623" t="s">
        <v>2240</v>
      </c>
      <c r="AA623" t="s">
        <v>38</v>
      </c>
    </row>
    <row r="624" spans="1:27" hidden="1">
      <c r="A624" t="s">
        <v>2241</v>
      </c>
      <c r="B624" t="s">
        <v>2242</v>
      </c>
      <c r="C624" t="e">
        <f>VLOOKUP(B624,Sheet2!$A$2:$A$392,1,0)</f>
        <v>#N/A</v>
      </c>
      <c r="E624" t="s">
        <v>27</v>
      </c>
      <c r="F624" t="s">
        <v>41</v>
      </c>
      <c r="G624" t="s">
        <v>29</v>
      </c>
      <c r="I624" t="s">
        <v>42</v>
      </c>
      <c r="J624" s="2">
        <v>2300</v>
      </c>
      <c r="K624" s="2">
        <v>71</v>
      </c>
      <c r="L624" s="2">
        <v>1381</v>
      </c>
      <c r="M624" s="2">
        <v>1000</v>
      </c>
      <c r="N624" s="2">
        <v>5</v>
      </c>
      <c r="P624" t="s">
        <v>2243</v>
      </c>
      <c r="R624" t="s">
        <v>32</v>
      </c>
      <c r="S624" t="s">
        <v>33</v>
      </c>
      <c r="T624" t="s">
        <v>34</v>
      </c>
      <c r="U624" t="s">
        <v>35</v>
      </c>
      <c r="W624" t="s">
        <v>165</v>
      </c>
      <c r="X624" t="s">
        <v>34</v>
      </c>
      <c r="Y624" t="s">
        <v>166</v>
      </c>
      <c r="Z624" t="s">
        <v>2244</v>
      </c>
      <c r="AA624" t="s">
        <v>38</v>
      </c>
    </row>
    <row r="625" spans="1:27" hidden="1">
      <c r="A625" t="s">
        <v>2245</v>
      </c>
      <c r="B625" t="s">
        <v>2246</v>
      </c>
      <c r="C625" t="e">
        <f>VLOOKUP(B625,Sheet2!$A$2:$A$392,1,0)</f>
        <v>#N/A</v>
      </c>
      <c r="E625" t="s">
        <v>27</v>
      </c>
      <c r="F625" t="s">
        <v>41</v>
      </c>
      <c r="G625" t="s">
        <v>29</v>
      </c>
      <c r="I625" t="s">
        <v>42</v>
      </c>
      <c r="J625" s="2">
        <v>7867</v>
      </c>
      <c r="K625" s="3">
        <v>84.24</v>
      </c>
      <c r="L625" s="2">
        <v>3147</v>
      </c>
      <c r="P625" t="s">
        <v>2247</v>
      </c>
      <c r="R625" t="s">
        <v>42</v>
      </c>
      <c r="S625" t="s">
        <v>33</v>
      </c>
      <c r="T625" t="s">
        <v>34</v>
      </c>
      <c r="U625" t="s">
        <v>35</v>
      </c>
      <c r="X625" t="s">
        <v>34</v>
      </c>
      <c r="Y625" t="s">
        <v>45</v>
      </c>
      <c r="Z625" t="s">
        <v>2248</v>
      </c>
      <c r="AA625" t="s">
        <v>38</v>
      </c>
    </row>
    <row r="626" spans="1:27" hidden="1">
      <c r="A626" t="s">
        <v>2249</v>
      </c>
      <c r="B626" t="s">
        <v>2250</v>
      </c>
      <c r="C626" t="e">
        <f>VLOOKUP(B626,Sheet2!$A$2:$A$392,1,0)</f>
        <v>#N/A</v>
      </c>
      <c r="E626" t="s">
        <v>170</v>
      </c>
      <c r="I626" t="s">
        <v>42</v>
      </c>
      <c r="J626" s="2">
        <v>17066</v>
      </c>
      <c r="K626" s="3">
        <v>145.15</v>
      </c>
      <c r="L626" s="2">
        <v>11248</v>
      </c>
      <c r="P626" t="s">
        <v>2251</v>
      </c>
      <c r="S626" t="s">
        <v>33</v>
      </c>
      <c r="X626" t="s">
        <v>34</v>
      </c>
      <c r="AA626" t="s">
        <v>38</v>
      </c>
    </row>
    <row r="627" spans="1:27" hidden="1">
      <c r="A627" t="s">
        <v>2252</v>
      </c>
      <c r="B627" t="s">
        <v>2253</v>
      </c>
      <c r="C627" t="e">
        <f>VLOOKUP(B627,Sheet2!$A$2:$A$392,1,0)</f>
        <v>#N/A</v>
      </c>
      <c r="E627" t="s">
        <v>27</v>
      </c>
      <c r="F627" t="s">
        <v>41</v>
      </c>
      <c r="G627" t="s">
        <v>29</v>
      </c>
      <c r="J627" s="2">
        <v>1500</v>
      </c>
      <c r="K627" s="2">
        <v>51</v>
      </c>
      <c r="L627" s="2">
        <v>651</v>
      </c>
      <c r="P627" t="s">
        <v>2164</v>
      </c>
      <c r="R627" t="s">
        <v>32</v>
      </c>
      <c r="S627" t="s">
        <v>33</v>
      </c>
      <c r="U627" t="s">
        <v>35</v>
      </c>
      <c r="X627" t="s">
        <v>34</v>
      </c>
      <c r="Y627" t="s">
        <v>45</v>
      </c>
      <c r="Z627" t="s">
        <v>2254</v>
      </c>
      <c r="AA627" t="s">
        <v>38</v>
      </c>
    </row>
    <row r="628" spans="1:27">
      <c r="A628" t="s">
        <v>2255</v>
      </c>
      <c r="B628" t="s">
        <v>2256</v>
      </c>
      <c r="C628" t="str">
        <f>VLOOKUP(B628,Sheet2!$A$2:$A$392,1,0)</f>
        <v>KM. PESONA</v>
      </c>
      <c r="E628" t="s">
        <v>27</v>
      </c>
      <c r="F628" t="s">
        <v>41</v>
      </c>
      <c r="G628" t="s">
        <v>29</v>
      </c>
      <c r="J628" s="2">
        <v>2300</v>
      </c>
      <c r="K628" s="3">
        <v>75.92</v>
      </c>
      <c r="L628" s="2">
        <v>1508</v>
      </c>
      <c r="M628" s="2">
        <v>0</v>
      </c>
      <c r="N628" s="2">
        <v>4</v>
      </c>
      <c r="P628" t="s">
        <v>2257</v>
      </c>
      <c r="R628" t="s">
        <v>42</v>
      </c>
      <c r="S628" t="s">
        <v>33</v>
      </c>
      <c r="U628" t="s">
        <v>35</v>
      </c>
      <c r="X628" t="s">
        <v>34</v>
      </c>
      <c r="Y628" t="s">
        <v>45</v>
      </c>
      <c r="Z628" t="s">
        <v>2258</v>
      </c>
      <c r="AA628" t="s">
        <v>38</v>
      </c>
    </row>
    <row r="629" spans="1:27" hidden="1">
      <c r="A629" t="s">
        <v>2259</v>
      </c>
      <c r="B629" t="s">
        <v>2260</v>
      </c>
      <c r="C629" t="e">
        <f>VLOOKUP(B629,Sheet2!$A$2:$A$392,1,0)</f>
        <v>#N/A</v>
      </c>
      <c r="E629" t="s">
        <v>27</v>
      </c>
      <c r="F629" t="s">
        <v>41</v>
      </c>
      <c r="G629" t="s">
        <v>29</v>
      </c>
      <c r="I629" t="s">
        <v>42</v>
      </c>
      <c r="J629" s="2">
        <v>2400</v>
      </c>
      <c r="K629" s="2">
        <v>84</v>
      </c>
      <c r="L629" s="2">
        <v>1496</v>
      </c>
      <c r="P629" t="s">
        <v>2259</v>
      </c>
      <c r="R629" t="s">
        <v>42</v>
      </c>
      <c r="S629" t="s">
        <v>33</v>
      </c>
      <c r="T629" t="s">
        <v>34</v>
      </c>
      <c r="U629" t="s">
        <v>35</v>
      </c>
      <c r="X629" t="s">
        <v>34</v>
      </c>
      <c r="Y629" t="s">
        <v>45</v>
      </c>
      <c r="Z629" t="s">
        <v>2261</v>
      </c>
      <c r="AA629" t="s">
        <v>38</v>
      </c>
    </row>
    <row r="630" spans="1:27" hidden="1">
      <c r="A630" t="s">
        <v>2262</v>
      </c>
      <c r="B630" t="s">
        <v>2263</v>
      </c>
      <c r="C630" t="e">
        <f>VLOOKUP(B630,Sheet2!$A$2:$A$392,1,0)</f>
        <v>#N/A</v>
      </c>
      <c r="E630" t="s">
        <v>27</v>
      </c>
      <c r="F630" t="s">
        <v>41</v>
      </c>
      <c r="I630" t="s">
        <v>42</v>
      </c>
      <c r="J630" s="2">
        <v>250</v>
      </c>
      <c r="K630" s="2">
        <v>49</v>
      </c>
      <c r="L630" s="2">
        <v>100</v>
      </c>
      <c r="O630" t="s">
        <v>482</v>
      </c>
      <c r="P630" s="2">
        <v>1234</v>
      </c>
      <c r="R630" t="s">
        <v>42</v>
      </c>
      <c r="S630" t="s">
        <v>33</v>
      </c>
      <c r="T630" t="s">
        <v>34</v>
      </c>
      <c r="U630" t="s">
        <v>35</v>
      </c>
      <c r="X630" t="s">
        <v>34</v>
      </c>
      <c r="Y630" t="s">
        <v>45</v>
      </c>
      <c r="Z630" t="s">
        <v>2264</v>
      </c>
      <c r="AA630" t="s">
        <v>38</v>
      </c>
    </row>
    <row r="631" spans="1:27">
      <c r="A631" t="s">
        <v>2265</v>
      </c>
      <c r="B631" t="s">
        <v>2266</v>
      </c>
      <c r="C631" t="str">
        <f>VLOOKUP(B631,Sheet2!$A$2:$A$392,1,0)</f>
        <v>KM. PRIMA SAMUDRA</v>
      </c>
      <c r="E631" t="s">
        <v>27</v>
      </c>
      <c r="F631" t="s">
        <v>41</v>
      </c>
      <c r="G631" t="s">
        <v>29</v>
      </c>
      <c r="J631" s="2">
        <v>2102</v>
      </c>
      <c r="K631" s="2">
        <v>73</v>
      </c>
      <c r="L631" s="2">
        <v>1513</v>
      </c>
      <c r="O631" t="s">
        <v>482</v>
      </c>
      <c r="P631" t="s">
        <v>2267</v>
      </c>
      <c r="R631" t="s">
        <v>32</v>
      </c>
      <c r="S631" t="s">
        <v>33</v>
      </c>
      <c r="U631" t="s">
        <v>35</v>
      </c>
      <c r="X631" t="s">
        <v>34</v>
      </c>
      <c r="Y631" t="s">
        <v>45</v>
      </c>
      <c r="Z631" t="s">
        <v>2268</v>
      </c>
      <c r="AA631" t="s">
        <v>38</v>
      </c>
    </row>
    <row r="632" spans="1:27" hidden="1">
      <c r="A632" t="s">
        <v>2269</v>
      </c>
      <c r="B632" t="s">
        <v>2270</v>
      </c>
      <c r="C632" t="e">
        <f>VLOOKUP(B632,Sheet2!$A$2:$A$392,1,0)</f>
        <v>#N/A</v>
      </c>
      <c r="E632" t="s">
        <v>27</v>
      </c>
      <c r="F632" t="s">
        <v>41</v>
      </c>
      <c r="G632" t="s">
        <v>29</v>
      </c>
      <c r="I632" t="s">
        <v>42</v>
      </c>
      <c r="J632" s="2">
        <v>1000</v>
      </c>
      <c r="K632" s="2">
        <v>56</v>
      </c>
      <c r="L632" s="2">
        <v>694</v>
      </c>
      <c r="M632" s="2">
        <v>750</v>
      </c>
      <c r="P632" t="s">
        <v>2271</v>
      </c>
      <c r="R632" t="s">
        <v>32</v>
      </c>
      <c r="S632" t="s">
        <v>33</v>
      </c>
      <c r="T632" t="s">
        <v>34</v>
      </c>
      <c r="U632" t="s">
        <v>35</v>
      </c>
      <c r="X632" t="s">
        <v>34</v>
      </c>
      <c r="Y632" t="s">
        <v>45</v>
      </c>
      <c r="Z632" t="s">
        <v>2272</v>
      </c>
      <c r="AA632" t="s">
        <v>38</v>
      </c>
    </row>
    <row r="633" spans="1:27">
      <c r="A633" t="s">
        <v>2273</v>
      </c>
      <c r="B633" t="s">
        <v>2274</v>
      </c>
      <c r="C633" t="str">
        <f>VLOOKUP(B633,Sheet2!$A$2:$A$392,1,0)</f>
        <v>KM. RIMBA EMPAT</v>
      </c>
      <c r="E633" t="s">
        <v>196</v>
      </c>
      <c r="F633" t="s">
        <v>41</v>
      </c>
      <c r="G633" t="s">
        <v>2275</v>
      </c>
      <c r="I633" t="s">
        <v>42</v>
      </c>
      <c r="J633" s="2">
        <v>7454</v>
      </c>
      <c r="K633" s="3">
        <v>109.04</v>
      </c>
      <c r="L633" s="2">
        <v>4745</v>
      </c>
      <c r="M633" s="2">
        <v>4000</v>
      </c>
      <c r="N633">
        <v>8.1999999999999993</v>
      </c>
      <c r="O633" t="s">
        <v>2276</v>
      </c>
      <c r="P633" t="s">
        <v>2277</v>
      </c>
      <c r="Q633" t="s">
        <v>106</v>
      </c>
      <c r="R633" t="s">
        <v>42</v>
      </c>
      <c r="S633" t="s">
        <v>33</v>
      </c>
      <c r="U633" t="s">
        <v>35</v>
      </c>
      <c r="V633" s="2">
        <v>4</v>
      </c>
      <c r="X633" t="s">
        <v>34</v>
      </c>
      <c r="Y633" t="s">
        <v>55</v>
      </c>
      <c r="Z633" t="s">
        <v>2278</v>
      </c>
      <c r="AA633" t="s">
        <v>38</v>
      </c>
    </row>
    <row r="634" spans="1:27">
      <c r="A634" t="s">
        <v>2279</v>
      </c>
      <c r="B634" t="s">
        <v>2280</v>
      </c>
      <c r="C634" t="str">
        <f>VLOOKUP(B634,Sheet2!$A$2:$A$392,1,0)</f>
        <v>KM. ROYAL SHIP</v>
      </c>
      <c r="E634" t="s">
        <v>27</v>
      </c>
      <c r="F634" t="s">
        <v>41</v>
      </c>
      <c r="G634" t="s">
        <v>1968</v>
      </c>
      <c r="J634" s="2">
        <v>1914</v>
      </c>
      <c r="K634" s="3">
        <v>81.02</v>
      </c>
      <c r="L634" s="2">
        <v>1914</v>
      </c>
      <c r="O634" t="s">
        <v>281</v>
      </c>
      <c r="P634" t="s">
        <v>2281</v>
      </c>
      <c r="R634" t="s">
        <v>42</v>
      </c>
      <c r="S634" t="s">
        <v>33</v>
      </c>
      <c r="U634" t="s">
        <v>35</v>
      </c>
      <c r="W634" t="s">
        <v>63</v>
      </c>
      <c r="X634" t="s">
        <v>34</v>
      </c>
      <c r="Y634" t="s">
        <v>64</v>
      </c>
      <c r="Z634" t="s">
        <v>2282</v>
      </c>
      <c r="AA634" t="s">
        <v>38</v>
      </c>
    </row>
    <row r="635" spans="1:27" hidden="1">
      <c r="A635" t="s">
        <v>2283</v>
      </c>
      <c r="B635" t="s">
        <v>2284</v>
      </c>
      <c r="C635" t="e">
        <f>VLOOKUP(B635,Sheet2!$A$2:$A$392,1,0)</f>
        <v>#N/A</v>
      </c>
      <c r="E635" t="s">
        <v>27</v>
      </c>
      <c r="F635" t="s">
        <v>41</v>
      </c>
      <c r="G635" t="s">
        <v>29</v>
      </c>
      <c r="I635" t="s">
        <v>42</v>
      </c>
      <c r="J635" s="2">
        <v>3052</v>
      </c>
      <c r="K635" s="2">
        <v>81</v>
      </c>
      <c r="L635" s="2">
        <v>2059</v>
      </c>
      <c r="N635" s="2">
        <v>6</v>
      </c>
      <c r="P635" t="s">
        <v>2285</v>
      </c>
      <c r="Q635" t="s">
        <v>34</v>
      </c>
      <c r="R635" t="s">
        <v>244</v>
      </c>
      <c r="S635" t="s">
        <v>33</v>
      </c>
      <c r="T635" t="s">
        <v>34</v>
      </c>
      <c r="U635" t="s">
        <v>35</v>
      </c>
      <c r="X635" t="s">
        <v>34</v>
      </c>
      <c r="Y635" t="s">
        <v>45</v>
      </c>
      <c r="Z635" t="s">
        <v>2286</v>
      </c>
      <c r="AA635" t="s">
        <v>38</v>
      </c>
    </row>
    <row r="636" spans="1:27" hidden="1">
      <c r="A636" t="s">
        <v>2287</v>
      </c>
      <c r="B636" t="s">
        <v>2288</v>
      </c>
      <c r="C636" t="e">
        <f>VLOOKUP(B636,Sheet2!$A$2:$A$392,1,0)</f>
        <v>#N/A</v>
      </c>
      <c r="E636" t="s">
        <v>27</v>
      </c>
      <c r="F636" t="s">
        <v>41</v>
      </c>
      <c r="G636" t="s">
        <v>29</v>
      </c>
      <c r="J636" s="2">
        <v>1000</v>
      </c>
      <c r="K636" s="2">
        <v>59</v>
      </c>
      <c r="L636" s="2">
        <v>400</v>
      </c>
      <c r="P636" t="s">
        <v>2287</v>
      </c>
      <c r="Q636" t="s">
        <v>34</v>
      </c>
      <c r="R636" t="s">
        <v>42</v>
      </c>
      <c r="S636" t="s">
        <v>33</v>
      </c>
      <c r="U636" t="s">
        <v>44</v>
      </c>
      <c r="X636" t="s">
        <v>34</v>
      </c>
      <c r="Y636" t="s">
        <v>45</v>
      </c>
      <c r="Z636" t="s">
        <v>2289</v>
      </c>
      <c r="AA636" t="s">
        <v>38</v>
      </c>
    </row>
    <row r="637" spans="1:27" hidden="1">
      <c r="A637" t="s">
        <v>2290</v>
      </c>
      <c r="B637" t="s">
        <v>2291</v>
      </c>
      <c r="C637" t="e">
        <f>VLOOKUP(B637,Sheet2!$A$2:$A$392,1,0)</f>
        <v>#N/A</v>
      </c>
      <c r="E637" t="s">
        <v>27</v>
      </c>
      <c r="F637" t="s">
        <v>41</v>
      </c>
      <c r="G637" t="s">
        <v>29</v>
      </c>
      <c r="J637" s="2">
        <v>196</v>
      </c>
      <c r="K637" s="3">
        <v>27.16</v>
      </c>
      <c r="L637" s="2">
        <v>273</v>
      </c>
      <c r="M637" s="2">
        <v>830</v>
      </c>
      <c r="N637" s="2">
        <v>3</v>
      </c>
      <c r="P637" t="s">
        <v>2290</v>
      </c>
      <c r="Q637" t="s">
        <v>34</v>
      </c>
      <c r="R637" t="s">
        <v>42</v>
      </c>
      <c r="S637" t="s">
        <v>33</v>
      </c>
      <c r="U637" t="s">
        <v>35</v>
      </c>
      <c r="X637" t="s">
        <v>34</v>
      </c>
      <c r="Y637" t="s">
        <v>45</v>
      </c>
      <c r="Z637" t="s">
        <v>2292</v>
      </c>
      <c r="AA637" t="s">
        <v>38</v>
      </c>
    </row>
    <row r="638" spans="1:27" hidden="1">
      <c r="A638" t="s">
        <v>2293</v>
      </c>
      <c r="B638" t="s">
        <v>2294</v>
      </c>
      <c r="C638" t="e">
        <f>VLOOKUP(B638,Sheet2!$A$2:$A$392,1,0)</f>
        <v>#N/A</v>
      </c>
      <c r="E638" t="s">
        <v>27</v>
      </c>
      <c r="F638" t="s">
        <v>41</v>
      </c>
      <c r="G638" t="s">
        <v>29</v>
      </c>
      <c r="J638" s="2">
        <v>4500</v>
      </c>
      <c r="K638" s="2">
        <v>80</v>
      </c>
      <c r="L638" s="2">
        <v>2323</v>
      </c>
      <c r="M638" s="2">
        <v>2200</v>
      </c>
      <c r="P638" t="s">
        <v>2295</v>
      </c>
      <c r="R638" t="s">
        <v>42</v>
      </c>
      <c r="S638" t="s">
        <v>33</v>
      </c>
      <c r="U638" t="s">
        <v>35</v>
      </c>
      <c r="X638" t="s">
        <v>34</v>
      </c>
      <c r="Y638" t="s">
        <v>45</v>
      </c>
      <c r="Z638" t="s">
        <v>2296</v>
      </c>
      <c r="AA638" t="s">
        <v>38</v>
      </c>
    </row>
    <row r="639" spans="1:27" hidden="1">
      <c r="A639" t="s">
        <v>2297</v>
      </c>
      <c r="B639" t="s">
        <v>2298</v>
      </c>
      <c r="C639" t="e">
        <f>VLOOKUP(B639,Sheet2!$A$2:$A$392,1,0)</f>
        <v>#N/A</v>
      </c>
      <c r="E639" t="s">
        <v>52</v>
      </c>
      <c r="F639" t="s">
        <v>41</v>
      </c>
      <c r="G639" t="s">
        <v>2299</v>
      </c>
      <c r="J639" s="2">
        <v>4500</v>
      </c>
      <c r="K639" s="2">
        <v>86</v>
      </c>
      <c r="L639" s="2">
        <v>2620</v>
      </c>
      <c r="M639" s="2">
        <v>2300</v>
      </c>
      <c r="O639" t="s">
        <v>1058</v>
      </c>
      <c r="P639" t="s">
        <v>2300</v>
      </c>
      <c r="R639" t="s">
        <v>32</v>
      </c>
      <c r="S639" t="s">
        <v>33</v>
      </c>
      <c r="U639" t="s">
        <v>44</v>
      </c>
      <c r="V639" s="2">
        <v>2</v>
      </c>
      <c r="X639" t="s">
        <v>147</v>
      </c>
      <c r="Y639" t="s">
        <v>45</v>
      </c>
      <c r="Z639" t="s">
        <v>2301</v>
      </c>
      <c r="AA639" t="s">
        <v>38</v>
      </c>
    </row>
    <row r="640" spans="1:27" hidden="1">
      <c r="A640" t="s">
        <v>2302</v>
      </c>
      <c r="B640" t="s">
        <v>2303</v>
      </c>
      <c r="C640" t="e">
        <f>VLOOKUP(B640,Sheet2!$A$2:$A$392,1,0)</f>
        <v>#N/A</v>
      </c>
      <c r="E640" t="s">
        <v>40</v>
      </c>
      <c r="G640" t="s">
        <v>29</v>
      </c>
      <c r="I640" t="s">
        <v>42</v>
      </c>
      <c r="J640" s="2">
        <v>78</v>
      </c>
      <c r="K640">
        <v>19.5</v>
      </c>
      <c r="L640" s="2">
        <v>78</v>
      </c>
      <c r="P640" t="s">
        <v>2304</v>
      </c>
      <c r="S640" t="s">
        <v>33</v>
      </c>
      <c r="X640" t="s">
        <v>34</v>
      </c>
      <c r="AA640" t="s">
        <v>38</v>
      </c>
    </row>
    <row r="641" spans="1:27" hidden="1">
      <c r="A641" t="s">
        <v>2305</v>
      </c>
      <c r="B641" t="s">
        <v>2306</v>
      </c>
      <c r="C641" t="e">
        <f>VLOOKUP(B641,Sheet2!$A$2:$A$392,1,0)</f>
        <v>#N/A</v>
      </c>
      <c r="E641" t="s">
        <v>27</v>
      </c>
      <c r="F641" t="s">
        <v>41</v>
      </c>
      <c r="G641" t="s">
        <v>29</v>
      </c>
      <c r="J641" s="2">
        <v>1076</v>
      </c>
      <c r="K641" s="3">
        <v>76.39</v>
      </c>
      <c r="L641" s="2">
        <v>1701</v>
      </c>
      <c r="P641" t="s">
        <v>2307</v>
      </c>
      <c r="R641" t="s">
        <v>32</v>
      </c>
      <c r="S641" t="s">
        <v>33</v>
      </c>
      <c r="U641" t="s">
        <v>35</v>
      </c>
      <c r="X641" t="s">
        <v>34</v>
      </c>
      <c r="Y641" t="s">
        <v>45</v>
      </c>
      <c r="Z641" t="s">
        <v>2308</v>
      </c>
      <c r="AA641" t="s">
        <v>38</v>
      </c>
    </row>
    <row r="642" spans="1:27" hidden="1">
      <c r="A642" t="s">
        <v>2309</v>
      </c>
      <c r="B642" t="s">
        <v>2310</v>
      </c>
      <c r="C642" t="e">
        <f>VLOOKUP(B642,Sheet2!$A$2:$A$392,1,0)</f>
        <v>#N/A</v>
      </c>
      <c r="E642" t="s">
        <v>27</v>
      </c>
      <c r="F642" t="s">
        <v>41</v>
      </c>
      <c r="G642" t="s">
        <v>847</v>
      </c>
      <c r="I642" t="s">
        <v>42</v>
      </c>
      <c r="J642" s="2">
        <v>2500</v>
      </c>
      <c r="K642" s="3">
        <v>73.42</v>
      </c>
      <c r="L642" s="2">
        <v>1501</v>
      </c>
      <c r="M642" s="2">
        <v>1463</v>
      </c>
      <c r="N642" s="3">
        <v>5.47</v>
      </c>
      <c r="O642" t="s">
        <v>848</v>
      </c>
      <c r="P642" t="s">
        <v>2311</v>
      </c>
      <c r="R642" t="s">
        <v>32</v>
      </c>
      <c r="S642" t="s">
        <v>33</v>
      </c>
      <c r="T642" t="s">
        <v>34</v>
      </c>
      <c r="U642" t="s">
        <v>44</v>
      </c>
      <c r="V642" s="2">
        <v>2</v>
      </c>
      <c r="X642" t="s">
        <v>34</v>
      </c>
      <c r="Y642" t="s">
        <v>154</v>
      </c>
      <c r="Z642" t="s">
        <v>2312</v>
      </c>
      <c r="AA642" t="s">
        <v>38</v>
      </c>
    </row>
    <row r="643" spans="1:27" hidden="1">
      <c r="A643" t="s">
        <v>2313</v>
      </c>
      <c r="B643" t="s">
        <v>2314</v>
      </c>
      <c r="C643" t="e">
        <f>VLOOKUP(B643,Sheet2!$A$2:$A$392,1,0)</f>
        <v>#N/A</v>
      </c>
      <c r="E643" t="s">
        <v>27</v>
      </c>
      <c r="F643" t="s">
        <v>41</v>
      </c>
      <c r="G643" t="s">
        <v>29</v>
      </c>
      <c r="I643" t="s">
        <v>42</v>
      </c>
      <c r="J643" s="2">
        <v>3300</v>
      </c>
      <c r="K643" s="2">
        <v>81</v>
      </c>
      <c r="L643" s="2">
        <v>2034</v>
      </c>
      <c r="M643" s="2">
        <v>2000</v>
      </c>
      <c r="N643" s="2">
        <v>4</v>
      </c>
      <c r="P643" t="s">
        <v>1853</v>
      </c>
      <c r="R643" t="s">
        <v>32</v>
      </c>
      <c r="S643" t="s">
        <v>33</v>
      </c>
      <c r="T643" t="s">
        <v>34</v>
      </c>
      <c r="U643" t="s">
        <v>35</v>
      </c>
      <c r="X643" t="s">
        <v>34</v>
      </c>
      <c r="Y643" t="s">
        <v>45</v>
      </c>
      <c r="Z643" t="s">
        <v>2315</v>
      </c>
      <c r="AA643" t="s">
        <v>38</v>
      </c>
    </row>
    <row r="644" spans="1:27">
      <c r="A644" t="s">
        <v>2316</v>
      </c>
      <c r="B644" t="s">
        <v>2317</v>
      </c>
      <c r="C644" t="str">
        <f>VLOOKUP(B644,Sheet2!$A$2:$A$392,1,0)</f>
        <v>KM. SABUK NUSANTARA 68</v>
      </c>
      <c r="E644" t="s">
        <v>2318</v>
      </c>
      <c r="F644" t="s">
        <v>41</v>
      </c>
      <c r="G644" t="s">
        <v>2319</v>
      </c>
      <c r="J644" s="2">
        <v>600</v>
      </c>
      <c r="K644">
        <v>68.5</v>
      </c>
      <c r="L644" s="2">
        <v>2086</v>
      </c>
      <c r="M644" s="2">
        <v>2800</v>
      </c>
      <c r="N644" s="2">
        <v>3</v>
      </c>
      <c r="O644" t="s">
        <v>2320</v>
      </c>
      <c r="P644" t="s">
        <v>2321</v>
      </c>
      <c r="R644" t="s">
        <v>42</v>
      </c>
      <c r="S644" t="s">
        <v>33</v>
      </c>
      <c r="U644" t="s">
        <v>35</v>
      </c>
      <c r="V644" s="2">
        <v>1</v>
      </c>
      <c r="X644" t="s">
        <v>34</v>
      </c>
      <c r="Y644" t="s">
        <v>154</v>
      </c>
      <c r="Z644" t="s">
        <v>2322</v>
      </c>
      <c r="AA644" t="s">
        <v>38</v>
      </c>
    </row>
    <row r="645" spans="1:27" hidden="1">
      <c r="A645" t="s">
        <v>2323</v>
      </c>
      <c r="B645" t="s">
        <v>2324</v>
      </c>
      <c r="C645" t="e">
        <f>VLOOKUP(B645,Sheet2!$A$2:$A$392,1,0)</f>
        <v>#N/A</v>
      </c>
      <c r="E645" t="s">
        <v>27</v>
      </c>
      <c r="F645" t="s">
        <v>41</v>
      </c>
      <c r="G645" t="s">
        <v>29</v>
      </c>
      <c r="J645" s="2">
        <v>5802</v>
      </c>
      <c r="K645" s="2">
        <v>97</v>
      </c>
      <c r="L645" s="2">
        <v>4157</v>
      </c>
      <c r="M645" s="2">
        <v>2800</v>
      </c>
      <c r="N645" s="2">
        <v>6</v>
      </c>
      <c r="P645" t="s">
        <v>2325</v>
      </c>
      <c r="R645" t="s">
        <v>32</v>
      </c>
      <c r="S645" t="s">
        <v>33</v>
      </c>
      <c r="U645" t="s">
        <v>35</v>
      </c>
      <c r="X645" t="s">
        <v>34</v>
      </c>
      <c r="Y645" t="s">
        <v>45</v>
      </c>
      <c r="Z645" t="s">
        <v>2326</v>
      </c>
      <c r="AA645" t="s">
        <v>38</v>
      </c>
    </row>
    <row r="646" spans="1:27" hidden="1">
      <c r="A646" t="s">
        <v>2327</v>
      </c>
      <c r="B646" t="s">
        <v>2328</v>
      </c>
      <c r="C646" t="e">
        <f>VLOOKUP(B646,Sheet2!$A$2:$A$392,1,0)</f>
        <v>#N/A</v>
      </c>
      <c r="E646" t="s">
        <v>27</v>
      </c>
      <c r="F646" t="s">
        <v>41</v>
      </c>
      <c r="G646" t="s">
        <v>847</v>
      </c>
      <c r="I646" t="s">
        <v>42</v>
      </c>
      <c r="J646" s="2">
        <v>2107</v>
      </c>
      <c r="K646" s="2">
        <v>72</v>
      </c>
      <c r="L646" s="2">
        <v>1283</v>
      </c>
      <c r="M646" s="2">
        <v>1300</v>
      </c>
      <c r="N646">
        <v>4.5</v>
      </c>
      <c r="O646" t="s">
        <v>848</v>
      </c>
      <c r="P646" t="s">
        <v>2329</v>
      </c>
      <c r="R646" t="s">
        <v>32</v>
      </c>
      <c r="S646" t="s">
        <v>33</v>
      </c>
      <c r="T646" t="s">
        <v>34</v>
      </c>
      <c r="U646" t="s">
        <v>44</v>
      </c>
      <c r="V646" s="2">
        <v>2</v>
      </c>
      <c r="X646" t="s">
        <v>34</v>
      </c>
      <c r="Y646" t="s">
        <v>154</v>
      </c>
      <c r="Z646" t="s">
        <v>2330</v>
      </c>
      <c r="AA646" t="s">
        <v>38</v>
      </c>
    </row>
    <row r="647" spans="1:27" hidden="1">
      <c r="A647" t="s">
        <v>2331</v>
      </c>
      <c r="B647" t="s">
        <v>2332</v>
      </c>
      <c r="C647" t="e">
        <f>VLOOKUP(B647,Sheet2!$A$2:$A$392,1,0)</f>
        <v>#N/A</v>
      </c>
      <c r="E647" t="s">
        <v>27</v>
      </c>
      <c r="F647" t="s">
        <v>41</v>
      </c>
      <c r="G647" t="s">
        <v>29</v>
      </c>
      <c r="I647" t="s">
        <v>42</v>
      </c>
      <c r="J647" s="2">
        <v>10000</v>
      </c>
      <c r="K647" s="2">
        <v>100</v>
      </c>
      <c r="L647" s="2">
        <v>10000</v>
      </c>
      <c r="M647" s="2">
        <v>10000</v>
      </c>
      <c r="N647" s="2">
        <v>1</v>
      </c>
      <c r="O647" t="s">
        <v>254</v>
      </c>
      <c r="P647" t="s">
        <v>2331</v>
      </c>
      <c r="R647" t="s">
        <v>42</v>
      </c>
      <c r="S647" t="s">
        <v>33</v>
      </c>
      <c r="T647" t="s">
        <v>34</v>
      </c>
      <c r="U647" t="s">
        <v>44</v>
      </c>
      <c r="V647" s="2">
        <v>1</v>
      </c>
      <c r="W647" t="s">
        <v>165</v>
      </c>
      <c r="X647" t="s">
        <v>34</v>
      </c>
      <c r="Y647" t="s">
        <v>245</v>
      </c>
      <c r="Z647" t="s">
        <v>454</v>
      </c>
      <c r="AA647" t="s">
        <v>38</v>
      </c>
    </row>
    <row r="648" spans="1:27" hidden="1">
      <c r="A648" t="s">
        <v>2333</v>
      </c>
      <c r="B648" t="s">
        <v>2334</v>
      </c>
      <c r="C648" t="e">
        <f>VLOOKUP(B648,Sheet2!$A$2:$A$392,1,0)</f>
        <v>#N/A</v>
      </c>
      <c r="E648" t="s">
        <v>27</v>
      </c>
      <c r="F648" t="s">
        <v>41</v>
      </c>
      <c r="G648" t="s">
        <v>29</v>
      </c>
      <c r="J648" s="2">
        <v>163</v>
      </c>
      <c r="K648" s="2">
        <v>26</v>
      </c>
      <c r="L648" s="2">
        <v>117</v>
      </c>
      <c r="M648" s="2">
        <v>830</v>
      </c>
      <c r="P648" t="s">
        <v>2333</v>
      </c>
      <c r="R648" t="s">
        <v>42</v>
      </c>
      <c r="S648" t="s">
        <v>33</v>
      </c>
      <c r="U648" t="s">
        <v>35</v>
      </c>
      <c r="X648" t="s">
        <v>34</v>
      </c>
      <c r="Y648" t="s">
        <v>45</v>
      </c>
      <c r="Z648" t="s">
        <v>2335</v>
      </c>
      <c r="AA648" t="s">
        <v>38</v>
      </c>
    </row>
    <row r="649" spans="1:27" hidden="1">
      <c r="A649" t="s">
        <v>2336</v>
      </c>
      <c r="B649" t="s">
        <v>2337</v>
      </c>
      <c r="C649" t="e">
        <f>VLOOKUP(B649,Sheet2!$A$2:$A$392,1,0)</f>
        <v>#N/A</v>
      </c>
      <c r="E649" t="s">
        <v>27</v>
      </c>
      <c r="F649" t="s">
        <v>41</v>
      </c>
      <c r="G649" t="s">
        <v>29</v>
      </c>
      <c r="J649" s="2">
        <v>1000</v>
      </c>
      <c r="K649" s="2">
        <v>59</v>
      </c>
      <c r="L649" s="2">
        <v>400</v>
      </c>
      <c r="P649" t="s">
        <v>2336</v>
      </c>
      <c r="Q649" t="s">
        <v>34</v>
      </c>
      <c r="R649" t="s">
        <v>42</v>
      </c>
      <c r="S649" t="s">
        <v>33</v>
      </c>
      <c r="T649" t="s">
        <v>34</v>
      </c>
      <c r="U649" t="s">
        <v>44</v>
      </c>
      <c r="X649" t="s">
        <v>34</v>
      </c>
      <c r="Y649" t="s">
        <v>45</v>
      </c>
      <c r="Z649" t="s">
        <v>2338</v>
      </c>
      <c r="AA649" t="s">
        <v>38</v>
      </c>
    </row>
    <row r="650" spans="1:27">
      <c r="A650" t="s">
        <v>2339</v>
      </c>
      <c r="B650" t="s">
        <v>2340</v>
      </c>
      <c r="C650" t="str">
        <f>VLOOKUP(B650,Sheet2!$A$2:$A$392,1,0)</f>
        <v>KM. SENTOSA JAYA SBS</v>
      </c>
      <c r="E650" t="s">
        <v>27</v>
      </c>
      <c r="F650" t="s">
        <v>41</v>
      </c>
      <c r="G650" t="s">
        <v>29</v>
      </c>
      <c r="I650" t="s">
        <v>42</v>
      </c>
      <c r="J650" s="2">
        <v>329</v>
      </c>
      <c r="K650" s="2">
        <v>63</v>
      </c>
      <c r="L650" s="2">
        <v>961</v>
      </c>
      <c r="P650" t="s">
        <v>2341</v>
      </c>
      <c r="R650" t="s">
        <v>32</v>
      </c>
      <c r="S650" t="s">
        <v>33</v>
      </c>
      <c r="T650" t="s">
        <v>34</v>
      </c>
      <c r="U650" t="s">
        <v>35</v>
      </c>
      <c r="V650" s="2">
        <v>2</v>
      </c>
      <c r="W650" t="s">
        <v>165</v>
      </c>
      <c r="X650" t="s">
        <v>34</v>
      </c>
      <c r="Y650" t="s">
        <v>245</v>
      </c>
      <c r="Z650" t="s">
        <v>2342</v>
      </c>
      <c r="AA650" t="s">
        <v>38</v>
      </c>
    </row>
    <row r="651" spans="1:27" hidden="1">
      <c r="A651" t="s">
        <v>2343</v>
      </c>
      <c r="B651" t="s">
        <v>2344</v>
      </c>
      <c r="C651" t="e">
        <f>VLOOKUP(B651,Sheet2!$A$2:$A$392,1,0)</f>
        <v>#N/A</v>
      </c>
      <c r="E651" t="s">
        <v>40</v>
      </c>
      <c r="F651" t="s">
        <v>41</v>
      </c>
      <c r="G651" t="s">
        <v>29</v>
      </c>
      <c r="I651" t="s">
        <v>42</v>
      </c>
      <c r="J651" s="2">
        <v>5000</v>
      </c>
      <c r="K651" s="2">
        <v>82</v>
      </c>
      <c r="L651" s="2">
        <v>2272</v>
      </c>
      <c r="P651" t="s">
        <v>185</v>
      </c>
      <c r="R651" t="s">
        <v>42</v>
      </c>
      <c r="S651" t="s">
        <v>33</v>
      </c>
      <c r="T651" t="s">
        <v>34</v>
      </c>
      <c r="U651" t="s">
        <v>35</v>
      </c>
      <c r="X651" t="s">
        <v>34</v>
      </c>
      <c r="Y651" t="s">
        <v>45</v>
      </c>
      <c r="Z651" t="s">
        <v>2345</v>
      </c>
      <c r="AA651" t="s">
        <v>38</v>
      </c>
    </row>
    <row r="652" spans="1:27" hidden="1">
      <c r="A652" t="s">
        <v>2346</v>
      </c>
      <c r="B652" t="s">
        <v>2347</v>
      </c>
      <c r="C652" t="e">
        <f>VLOOKUP(B652,Sheet2!$A$2:$A$392,1,0)</f>
        <v>#N/A</v>
      </c>
      <c r="E652" t="s">
        <v>27</v>
      </c>
      <c r="F652" t="s">
        <v>41</v>
      </c>
      <c r="G652" t="s">
        <v>29</v>
      </c>
      <c r="J652" s="2">
        <v>2800</v>
      </c>
      <c r="K652" s="2">
        <v>8135</v>
      </c>
      <c r="L652" s="2">
        <v>1605</v>
      </c>
      <c r="O652" t="s">
        <v>482</v>
      </c>
      <c r="P652" t="s">
        <v>2348</v>
      </c>
      <c r="R652" t="s">
        <v>32</v>
      </c>
      <c r="S652" t="s">
        <v>33</v>
      </c>
      <c r="U652" t="s">
        <v>35</v>
      </c>
      <c r="Y652" t="s">
        <v>45</v>
      </c>
      <c r="Z652" t="s">
        <v>2349</v>
      </c>
      <c r="AA652" t="s">
        <v>38</v>
      </c>
    </row>
    <row r="653" spans="1:27" hidden="1">
      <c r="A653" t="s">
        <v>2350</v>
      </c>
      <c r="B653" t="s">
        <v>2351</v>
      </c>
      <c r="C653" t="e">
        <f>VLOOKUP(B653,Sheet2!$A$2:$A$392,1,0)</f>
        <v>#N/A</v>
      </c>
      <c r="E653" t="s">
        <v>52</v>
      </c>
      <c r="F653" t="s">
        <v>41</v>
      </c>
      <c r="G653" t="s">
        <v>29</v>
      </c>
      <c r="I653" t="s">
        <v>42</v>
      </c>
      <c r="J653" s="2">
        <v>3000</v>
      </c>
      <c r="K653" s="2">
        <v>96</v>
      </c>
      <c r="L653" s="2">
        <v>3810</v>
      </c>
      <c r="M653" s="2">
        <v>3500</v>
      </c>
      <c r="N653" s="2">
        <v>60</v>
      </c>
      <c r="O653" t="s">
        <v>482</v>
      </c>
      <c r="P653" t="s">
        <v>2352</v>
      </c>
      <c r="R653" t="s">
        <v>42</v>
      </c>
      <c r="S653" t="s">
        <v>33</v>
      </c>
      <c r="T653" t="s">
        <v>34</v>
      </c>
      <c r="U653" t="s">
        <v>44</v>
      </c>
      <c r="V653" s="2">
        <v>2</v>
      </c>
      <c r="X653" t="s">
        <v>34</v>
      </c>
      <c r="Y653" t="s">
        <v>45</v>
      </c>
      <c r="Z653" t="s">
        <v>2353</v>
      </c>
      <c r="AA653" t="s">
        <v>38</v>
      </c>
    </row>
    <row r="654" spans="1:27" hidden="1">
      <c r="A654" t="s">
        <v>2354</v>
      </c>
      <c r="B654" t="s">
        <v>2355</v>
      </c>
      <c r="C654" t="e">
        <f>VLOOKUP(B654,Sheet2!$A$2:$A$392,1,0)</f>
        <v>#N/A</v>
      </c>
      <c r="E654" t="s">
        <v>27</v>
      </c>
      <c r="F654" t="s">
        <v>41</v>
      </c>
      <c r="G654" t="s">
        <v>29</v>
      </c>
      <c r="I654" t="s">
        <v>42</v>
      </c>
      <c r="J654" s="2">
        <v>3598</v>
      </c>
      <c r="K654" s="2">
        <v>47</v>
      </c>
      <c r="L654" s="2">
        <v>1472</v>
      </c>
      <c r="M654" s="2">
        <v>1000</v>
      </c>
      <c r="N654" s="2">
        <v>7</v>
      </c>
      <c r="P654" t="s">
        <v>185</v>
      </c>
      <c r="R654" t="s">
        <v>32</v>
      </c>
      <c r="S654" t="s">
        <v>33</v>
      </c>
      <c r="T654" t="s">
        <v>34</v>
      </c>
      <c r="U654" t="s">
        <v>35</v>
      </c>
      <c r="X654" t="s">
        <v>34</v>
      </c>
      <c r="Y654" t="s">
        <v>45</v>
      </c>
      <c r="Z654" t="s">
        <v>2356</v>
      </c>
      <c r="AA654" t="s">
        <v>38</v>
      </c>
    </row>
    <row r="655" spans="1:27" hidden="1">
      <c r="A655" t="s">
        <v>2357</v>
      </c>
      <c r="B655" t="s">
        <v>2358</v>
      </c>
      <c r="C655" t="e">
        <f>VLOOKUP(B655,Sheet2!$A$2:$A$392,1,0)</f>
        <v>#N/A</v>
      </c>
      <c r="E655" t="s">
        <v>27</v>
      </c>
      <c r="F655" t="s">
        <v>41</v>
      </c>
      <c r="G655" t="s">
        <v>340</v>
      </c>
      <c r="I655" t="s">
        <v>42</v>
      </c>
      <c r="J655" s="2">
        <v>1700</v>
      </c>
      <c r="K655" s="3">
        <v>65.39</v>
      </c>
      <c r="L655" s="2">
        <v>1246</v>
      </c>
      <c r="M655" s="2">
        <v>1000</v>
      </c>
      <c r="N655">
        <v>4.3</v>
      </c>
      <c r="O655" t="s">
        <v>341</v>
      </c>
      <c r="P655" t="s">
        <v>2359</v>
      </c>
      <c r="R655" t="s">
        <v>42</v>
      </c>
      <c r="S655" t="s">
        <v>33</v>
      </c>
      <c r="T655" t="s">
        <v>34</v>
      </c>
      <c r="U655" t="s">
        <v>35</v>
      </c>
      <c r="V655" s="2">
        <v>1</v>
      </c>
      <c r="X655" t="s">
        <v>34</v>
      </c>
      <c r="Y655" t="s">
        <v>154</v>
      </c>
      <c r="Z655" t="s">
        <v>2360</v>
      </c>
      <c r="AA655" t="s">
        <v>38</v>
      </c>
    </row>
    <row r="656" spans="1:27">
      <c r="A656" t="s">
        <v>2361</v>
      </c>
      <c r="B656" t="s">
        <v>2362</v>
      </c>
      <c r="C656" t="str">
        <f>VLOOKUP(B656,Sheet2!$A$2:$A$392,1,0)</f>
        <v>KM. SARANA VIII</v>
      </c>
      <c r="E656" t="s">
        <v>27</v>
      </c>
      <c r="F656" t="s">
        <v>41</v>
      </c>
      <c r="G656" t="s">
        <v>29</v>
      </c>
      <c r="J656" s="2">
        <v>2915</v>
      </c>
      <c r="K656" s="2">
        <v>71</v>
      </c>
      <c r="L656" s="2">
        <v>1483</v>
      </c>
      <c r="O656" t="s">
        <v>482</v>
      </c>
      <c r="P656" t="s">
        <v>2363</v>
      </c>
      <c r="R656" t="s">
        <v>32</v>
      </c>
      <c r="S656" t="s">
        <v>33</v>
      </c>
      <c r="U656" t="s">
        <v>35</v>
      </c>
      <c r="X656" t="s">
        <v>34</v>
      </c>
      <c r="Y656" t="s">
        <v>45</v>
      </c>
      <c r="Z656" t="s">
        <v>2364</v>
      </c>
      <c r="AA656" t="s">
        <v>38</v>
      </c>
    </row>
    <row r="657" spans="1:27">
      <c r="A657" t="s">
        <v>2365</v>
      </c>
      <c r="B657" t="s">
        <v>2366</v>
      </c>
      <c r="C657" t="str">
        <f>VLOOKUP(B657,Sheet2!$A$2:$A$392,1,0)</f>
        <v>KM. STAR SHIP</v>
      </c>
      <c r="E657" t="s">
        <v>27</v>
      </c>
      <c r="F657" t="s">
        <v>41</v>
      </c>
      <c r="G657" t="s">
        <v>1968</v>
      </c>
      <c r="J657" s="2">
        <v>2100</v>
      </c>
      <c r="K657" s="2">
        <v>74</v>
      </c>
      <c r="L657" s="2">
        <v>1464</v>
      </c>
      <c r="M657" s="2">
        <v>1000</v>
      </c>
      <c r="N657" s="2">
        <v>5</v>
      </c>
      <c r="O657" t="s">
        <v>281</v>
      </c>
      <c r="P657" t="s">
        <v>2367</v>
      </c>
      <c r="R657" t="s">
        <v>42</v>
      </c>
      <c r="S657" t="s">
        <v>33</v>
      </c>
      <c r="U657" t="s">
        <v>44</v>
      </c>
      <c r="V657" s="2">
        <v>1</v>
      </c>
      <c r="W657" t="s">
        <v>63</v>
      </c>
      <c r="X657" t="s">
        <v>34</v>
      </c>
      <c r="Y657" t="s">
        <v>64</v>
      </c>
      <c r="Z657" t="s">
        <v>2368</v>
      </c>
      <c r="AA657" t="s">
        <v>38</v>
      </c>
    </row>
    <row r="658" spans="1:27" hidden="1">
      <c r="A658" t="s">
        <v>2369</v>
      </c>
      <c r="B658" t="s">
        <v>2370</v>
      </c>
      <c r="C658" t="e">
        <f>VLOOKUP(B658,Sheet2!$A$2:$A$392,1,0)</f>
        <v>#N/A</v>
      </c>
      <c r="E658" t="s">
        <v>27</v>
      </c>
      <c r="F658" t="s">
        <v>41</v>
      </c>
      <c r="G658" t="s">
        <v>29</v>
      </c>
      <c r="I658" t="s">
        <v>42</v>
      </c>
      <c r="J658" s="2">
        <v>2100</v>
      </c>
      <c r="K658" s="2">
        <v>84</v>
      </c>
      <c r="L658" s="2">
        <v>1970</v>
      </c>
      <c r="M658" s="2">
        <v>2200</v>
      </c>
      <c r="N658" s="3">
        <v>4.58</v>
      </c>
      <c r="P658" t="s">
        <v>2371</v>
      </c>
      <c r="R658" t="s">
        <v>32</v>
      </c>
      <c r="S658" t="s">
        <v>33</v>
      </c>
      <c r="T658" t="s">
        <v>34</v>
      </c>
      <c r="U658" t="s">
        <v>35</v>
      </c>
      <c r="X658" t="s">
        <v>34</v>
      </c>
      <c r="Y658" t="s">
        <v>45</v>
      </c>
      <c r="Z658" t="s">
        <v>2372</v>
      </c>
      <c r="AA658" t="s">
        <v>38</v>
      </c>
    </row>
    <row r="659" spans="1:27">
      <c r="A659" t="s">
        <v>2373</v>
      </c>
      <c r="B659" t="s">
        <v>2374</v>
      </c>
      <c r="C659" t="str">
        <f>VLOOKUP(B659,Sheet2!$A$2:$A$392,1,0)</f>
        <v>KM. SALIM MUJUR 1</v>
      </c>
      <c r="E659" t="s">
        <v>27</v>
      </c>
      <c r="F659" t="s">
        <v>41</v>
      </c>
      <c r="G659" t="s">
        <v>29</v>
      </c>
      <c r="I659" t="s">
        <v>42</v>
      </c>
      <c r="J659" s="2">
        <v>10000</v>
      </c>
      <c r="K659" s="2">
        <v>100</v>
      </c>
      <c r="L659" s="2">
        <v>10000</v>
      </c>
      <c r="M659" s="2">
        <v>10000</v>
      </c>
      <c r="N659" s="2">
        <v>1</v>
      </c>
      <c r="P659" t="s">
        <v>2373</v>
      </c>
      <c r="R659" t="s">
        <v>42</v>
      </c>
      <c r="S659" t="s">
        <v>33</v>
      </c>
      <c r="T659" t="s">
        <v>34</v>
      </c>
      <c r="U659" t="s">
        <v>44</v>
      </c>
      <c r="V659" s="2">
        <v>1</v>
      </c>
      <c r="X659" t="s">
        <v>34</v>
      </c>
      <c r="Y659" t="s">
        <v>142</v>
      </c>
      <c r="Z659" t="s">
        <v>2375</v>
      </c>
      <c r="AA659" t="s">
        <v>38</v>
      </c>
    </row>
    <row r="660" spans="1:27" hidden="1">
      <c r="A660" t="s">
        <v>2376</v>
      </c>
      <c r="B660" t="s">
        <v>2377</v>
      </c>
      <c r="C660" t="e">
        <f>VLOOKUP(B660,Sheet2!$A$2:$A$392,1,0)</f>
        <v>#N/A</v>
      </c>
      <c r="E660" t="s">
        <v>27</v>
      </c>
      <c r="F660" t="s">
        <v>41</v>
      </c>
      <c r="G660" t="s">
        <v>29</v>
      </c>
      <c r="J660" s="2">
        <v>2500</v>
      </c>
      <c r="K660" s="2">
        <v>68</v>
      </c>
      <c r="L660" s="2">
        <v>987</v>
      </c>
      <c r="P660" t="s">
        <v>2378</v>
      </c>
      <c r="R660" t="s">
        <v>32</v>
      </c>
      <c r="S660" t="s">
        <v>33</v>
      </c>
      <c r="U660" t="s">
        <v>35</v>
      </c>
      <c r="X660" t="s">
        <v>34</v>
      </c>
      <c r="Y660" t="s">
        <v>45</v>
      </c>
      <c r="Z660" t="s">
        <v>2379</v>
      </c>
      <c r="AA660" t="s">
        <v>38</v>
      </c>
    </row>
    <row r="661" spans="1:27" hidden="1">
      <c r="A661" t="s">
        <v>2380</v>
      </c>
      <c r="B661" t="s">
        <v>2381</v>
      </c>
      <c r="C661" t="e">
        <f>VLOOKUP(B661,Sheet2!$A$2:$A$392,1,0)</f>
        <v>#N/A</v>
      </c>
      <c r="E661" t="s">
        <v>27</v>
      </c>
      <c r="F661" t="s">
        <v>41</v>
      </c>
      <c r="G661" t="s">
        <v>29</v>
      </c>
      <c r="J661" s="2">
        <v>2122</v>
      </c>
      <c r="K661" s="2">
        <v>72</v>
      </c>
      <c r="L661" s="2">
        <v>1451</v>
      </c>
      <c r="O661" t="s">
        <v>482</v>
      </c>
      <c r="P661" t="s">
        <v>2382</v>
      </c>
      <c r="R661" t="s">
        <v>42</v>
      </c>
      <c r="S661" t="s">
        <v>33</v>
      </c>
      <c r="U661" t="s">
        <v>35</v>
      </c>
      <c r="X661" t="s">
        <v>34</v>
      </c>
      <c r="Y661" t="s">
        <v>45</v>
      </c>
      <c r="Z661" t="s">
        <v>2383</v>
      </c>
      <c r="AA661" t="s">
        <v>38</v>
      </c>
    </row>
    <row r="662" spans="1:27" hidden="1">
      <c r="A662" t="s">
        <v>2384</v>
      </c>
      <c r="B662" t="s">
        <v>2385</v>
      </c>
      <c r="C662" t="e">
        <f>VLOOKUP(B662,Sheet2!$A$2:$A$392,1,0)</f>
        <v>#N/A</v>
      </c>
      <c r="E662" t="s">
        <v>52</v>
      </c>
      <c r="F662" t="s">
        <v>41</v>
      </c>
      <c r="G662" t="s">
        <v>585</v>
      </c>
      <c r="I662" t="s">
        <v>42</v>
      </c>
      <c r="J662" s="2">
        <v>4364</v>
      </c>
      <c r="K662" s="3">
        <v>89.28</v>
      </c>
      <c r="L662" s="2">
        <v>3208</v>
      </c>
      <c r="O662" t="s">
        <v>1058</v>
      </c>
      <c r="P662" t="s">
        <v>2300</v>
      </c>
      <c r="R662" t="s">
        <v>42</v>
      </c>
      <c r="S662" t="s">
        <v>33</v>
      </c>
      <c r="U662" t="s">
        <v>44</v>
      </c>
      <c r="V662" s="2">
        <v>2</v>
      </c>
      <c r="X662" t="s">
        <v>34</v>
      </c>
      <c r="Y662" t="s">
        <v>154</v>
      </c>
      <c r="Z662" t="s">
        <v>2386</v>
      </c>
      <c r="AA662" t="s">
        <v>38</v>
      </c>
    </row>
    <row r="663" spans="1:27" hidden="1">
      <c r="A663" t="s">
        <v>2387</v>
      </c>
      <c r="B663" t="s">
        <v>2388</v>
      </c>
      <c r="C663" t="e">
        <f>VLOOKUP(B663,Sheet2!$A$2:$A$392,1,0)</f>
        <v>#N/A</v>
      </c>
      <c r="E663" t="s">
        <v>27</v>
      </c>
      <c r="F663" t="s">
        <v>41</v>
      </c>
      <c r="G663" t="s">
        <v>158</v>
      </c>
      <c r="I663" t="s">
        <v>42</v>
      </c>
      <c r="J663" s="2">
        <v>4500</v>
      </c>
      <c r="K663">
        <v>96.9</v>
      </c>
      <c r="L663" s="2">
        <v>2989</v>
      </c>
      <c r="P663" t="s">
        <v>2389</v>
      </c>
      <c r="R663" t="s">
        <v>42</v>
      </c>
      <c r="S663" t="s">
        <v>33</v>
      </c>
      <c r="T663" t="s">
        <v>34</v>
      </c>
      <c r="U663" t="s">
        <v>35</v>
      </c>
      <c r="W663" t="s">
        <v>63</v>
      </c>
      <c r="X663" t="s">
        <v>34</v>
      </c>
      <c r="Y663" t="s">
        <v>64</v>
      </c>
      <c r="Z663" t="s">
        <v>2390</v>
      </c>
      <c r="AA663" t="s">
        <v>38</v>
      </c>
    </row>
    <row r="664" spans="1:27" hidden="1">
      <c r="A664" t="s">
        <v>2391</v>
      </c>
      <c r="B664" t="s">
        <v>2392</v>
      </c>
      <c r="C664" t="e">
        <f>VLOOKUP(B664,Sheet2!$A$2:$A$392,1,0)</f>
        <v>#N/A</v>
      </c>
      <c r="E664" t="s">
        <v>40</v>
      </c>
      <c r="G664" t="s">
        <v>94</v>
      </c>
      <c r="I664" t="s">
        <v>42</v>
      </c>
      <c r="J664" s="2">
        <v>19</v>
      </c>
      <c r="K664" s="2">
        <v>17</v>
      </c>
      <c r="L664" s="2">
        <v>61</v>
      </c>
      <c r="P664" t="s">
        <v>2393</v>
      </c>
      <c r="S664" t="s">
        <v>33</v>
      </c>
      <c r="X664" t="s">
        <v>34</v>
      </c>
      <c r="AA664" t="s">
        <v>38</v>
      </c>
    </row>
    <row r="665" spans="1:27">
      <c r="A665" t="s">
        <v>2394</v>
      </c>
      <c r="B665" t="s">
        <v>2395</v>
      </c>
      <c r="C665" t="str">
        <f>VLOOKUP(B665,Sheet2!$A$2:$A$392,1,0)</f>
        <v>KM. SAHABAT SENTOSA</v>
      </c>
      <c r="E665" t="s">
        <v>27</v>
      </c>
      <c r="F665" t="s">
        <v>41</v>
      </c>
      <c r="G665" t="s">
        <v>585</v>
      </c>
      <c r="J665" s="2">
        <v>7413</v>
      </c>
      <c r="K665">
        <v>98.5</v>
      </c>
      <c r="L665" s="2">
        <v>4769</v>
      </c>
      <c r="M665" s="2">
        <v>2427</v>
      </c>
      <c r="N665">
        <v>8.6</v>
      </c>
      <c r="O665" t="s">
        <v>1058</v>
      </c>
      <c r="P665" t="s">
        <v>2396</v>
      </c>
      <c r="R665" t="s">
        <v>32</v>
      </c>
      <c r="S665" t="s">
        <v>33</v>
      </c>
      <c r="U665" t="s">
        <v>44</v>
      </c>
      <c r="V665" s="2">
        <v>2</v>
      </c>
      <c r="X665" t="s">
        <v>34</v>
      </c>
      <c r="Y665" t="s">
        <v>154</v>
      </c>
      <c r="Z665" t="s">
        <v>2397</v>
      </c>
      <c r="AA665" t="s">
        <v>38</v>
      </c>
    </row>
    <row r="666" spans="1:27">
      <c r="A666" t="s">
        <v>2398</v>
      </c>
      <c r="B666" t="s">
        <v>2399</v>
      </c>
      <c r="C666" t="str">
        <f>VLOOKUP(B666,Sheet2!$A$2:$A$392,1,0)</f>
        <v>KM. SINAR MAHKOTA</v>
      </c>
      <c r="E666" t="s">
        <v>27</v>
      </c>
      <c r="F666" t="s">
        <v>41</v>
      </c>
      <c r="G666" t="s">
        <v>29</v>
      </c>
      <c r="J666" s="2">
        <v>3150</v>
      </c>
      <c r="K666" s="2">
        <v>83</v>
      </c>
      <c r="L666" s="2">
        <v>1999</v>
      </c>
      <c r="P666" t="s">
        <v>2400</v>
      </c>
      <c r="R666" t="s">
        <v>32</v>
      </c>
      <c r="S666" t="s">
        <v>33</v>
      </c>
      <c r="U666" t="s">
        <v>35</v>
      </c>
      <c r="X666" t="s">
        <v>34</v>
      </c>
      <c r="Y666" t="s">
        <v>45</v>
      </c>
      <c r="Z666" t="s">
        <v>2401</v>
      </c>
      <c r="AA666" t="s">
        <v>38</v>
      </c>
    </row>
    <row r="667" spans="1:27" hidden="1">
      <c r="A667" t="s">
        <v>2402</v>
      </c>
      <c r="B667" t="s">
        <v>2403</v>
      </c>
      <c r="C667" t="e">
        <f>VLOOKUP(B667,Sheet2!$A$2:$A$392,1,0)</f>
        <v>#N/A</v>
      </c>
      <c r="E667" t="s">
        <v>27</v>
      </c>
      <c r="F667" t="s">
        <v>41</v>
      </c>
      <c r="G667" t="s">
        <v>151</v>
      </c>
      <c r="J667" s="2">
        <v>2200</v>
      </c>
      <c r="K667" s="3">
        <v>70.930000000000007</v>
      </c>
      <c r="L667" s="2">
        <v>1284</v>
      </c>
      <c r="O667" t="s">
        <v>159</v>
      </c>
      <c r="P667" t="s">
        <v>2404</v>
      </c>
      <c r="R667" t="s">
        <v>42</v>
      </c>
      <c r="S667" t="s">
        <v>33</v>
      </c>
      <c r="U667" t="s">
        <v>35</v>
      </c>
      <c r="X667" t="s">
        <v>34</v>
      </c>
      <c r="Y667" t="s">
        <v>154</v>
      </c>
      <c r="Z667" t="s">
        <v>2405</v>
      </c>
      <c r="AA667" t="s">
        <v>38</v>
      </c>
    </row>
    <row r="668" spans="1:27" hidden="1">
      <c r="A668" t="s">
        <v>2406</v>
      </c>
      <c r="B668" t="s">
        <v>2407</v>
      </c>
      <c r="C668" t="e">
        <f>VLOOKUP(B668,Sheet2!$A$2:$A$392,1,0)</f>
        <v>#N/A</v>
      </c>
      <c r="E668" t="s">
        <v>27</v>
      </c>
      <c r="F668" t="s">
        <v>41</v>
      </c>
      <c r="G668" t="s">
        <v>29</v>
      </c>
      <c r="J668" s="2">
        <v>1900</v>
      </c>
      <c r="K668" s="2">
        <v>73</v>
      </c>
      <c r="L668" s="2">
        <v>1020</v>
      </c>
      <c r="M668" s="2">
        <v>0</v>
      </c>
      <c r="O668" t="s">
        <v>482</v>
      </c>
      <c r="P668" t="s">
        <v>2406</v>
      </c>
      <c r="R668" t="s">
        <v>42</v>
      </c>
      <c r="S668" t="s">
        <v>33</v>
      </c>
      <c r="U668" t="s">
        <v>44</v>
      </c>
      <c r="X668" t="s">
        <v>34</v>
      </c>
      <c r="Y668" t="s">
        <v>45</v>
      </c>
      <c r="Z668" t="s">
        <v>2408</v>
      </c>
      <c r="AA668" t="s">
        <v>38</v>
      </c>
    </row>
    <row r="669" spans="1:27" hidden="1">
      <c r="A669" t="s">
        <v>2409</v>
      </c>
      <c r="B669" t="s">
        <v>2410</v>
      </c>
      <c r="C669" t="e">
        <f>VLOOKUP(B669,Sheet2!$A$2:$A$392,1,0)</f>
        <v>#N/A</v>
      </c>
      <c r="E669" t="s">
        <v>27</v>
      </c>
      <c r="F669" t="s">
        <v>41</v>
      </c>
      <c r="G669" t="s">
        <v>158</v>
      </c>
      <c r="J669" s="2">
        <v>3194</v>
      </c>
      <c r="K669" s="2">
        <v>74</v>
      </c>
      <c r="L669" s="2">
        <v>1597</v>
      </c>
      <c r="O669" t="s">
        <v>159</v>
      </c>
      <c r="P669" t="s">
        <v>2409</v>
      </c>
      <c r="R669" t="s">
        <v>42</v>
      </c>
      <c r="S669" t="s">
        <v>33</v>
      </c>
      <c r="U669" t="s">
        <v>44</v>
      </c>
      <c r="W669" t="s">
        <v>63</v>
      </c>
      <c r="X669" t="s">
        <v>34</v>
      </c>
      <c r="Y669" t="s">
        <v>64</v>
      </c>
      <c r="Z669" t="s">
        <v>2411</v>
      </c>
      <c r="AA669" t="s">
        <v>38</v>
      </c>
    </row>
    <row r="670" spans="1:27">
      <c r="A670" t="s">
        <v>2412</v>
      </c>
      <c r="B670" t="s">
        <v>2413</v>
      </c>
      <c r="C670" t="str">
        <f>VLOOKUP(B670,Sheet2!$A$2:$A$392,1,0)</f>
        <v>KM. TONASA LINE X</v>
      </c>
      <c r="E670" t="s">
        <v>196</v>
      </c>
      <c r="F670" t="s">
        <v>41</v>
      </c>
      <c r="G670" t="s">
        <v>29</v>
      </c>
      <c r="J670" s="2">
        <v>3994</v>
      </c>
      <c r="K670" s="2">
        <v>92</v>
      </c>
      <c r="L670" s="2">
        <v>2266</v>
      </c>
      <c r="O670" t="s">
        <v>482</v>
      </c>
      <c r="P670" t="s">
        <v>2414</v>
      </c>
      <c r="R670" t="s">
        <v>32</v>
      </c>
      <c r="S670" t="s">
        <v>33</v>
      </c>
      <c r="U670" t="s">
        <v>35</v>
      </c>
      <c r="X670" t="s">
        <v>34</v>
      </c>
      <c r="Y670" t="s">
        <v>45</v>
      </c>
      <c r="Z670" t="s">
        <v>2415</v>
      </c>
      <c r="AA670" t="s">
        <v>38</v>
      </c>
    </row>
    <row r="671" spans="1:27">
      <c r="A671" t="s">
        <v>2416</v>
      </c>
      <c r="B671" t="s">
        <v>2417</v>
      </c>
      <c r="C671" t="str">
        <f>VLOOKUP(B671,Sheet2!$A$2:$A$392,1,0)</f>
        <v>KM. TONASA LINE XIX</v>
      </c>
      <c r="E671" t="s">
        <v>52</v>
      </c>
      <c r="F671" t="s">
        <v>41</v>
      </c>
      <c r="G671" t="s">
        <v>29</v>
      </c>
      <c r="J671" s="2">
        <v>8288</v>
      </c>
      <c r="K671" s="2">
        <v>112</v>
      </c>
      <c r="L671" s="2">
        <v>7347</v>
      </c>
      <c r="O671" t="s">
        <v>482</v>
      </c>
      <c r="P671" t="s">
        <v>2418</v>
      </c>
      <c r="R671" t="s">
        <v>32</v>
      </c>
      <c r="S671" t="s">
        <v>33</v>
      </c>
      <c r="U671" t="s">
        <v>35</v>
      </c>
      <c r="X671" t="s">
        <v>34</v>
      </c>
      <c r="Y671" t="s">
        <v>45</v>
      </c>
      <c r="Z671" t="s">
        <v>2419</v>
      </c>
      <c r="AA671" t="s">
        <v>38</v>
      </c>
    </row>
    <row r="672" spans="1:27">
      <c r="A672" t="s">
        <v>2420</v>
      </c>
      <c r="B672" t="s">
        <v>2421</v>
      </c>
      <c r="C672" t="str">
        <f>VLOOKUP(B672,Sheet2!$A$2:$A$392,1,0)</f>
        <v>TB. KIETRANS 28 / BG. STAR MARINE 3005</v>
      </c>
      <c r="E672" t="s">
        <v>40</v>
      </c>
      <c r="F672" t="s">
        <v>41</v>
      </c>
      <c r="G672" t="s">
        <v>29</v>
      </c>
      <c r="I672" t="s">
        <v>42</v>
      </c>
      <c r="J672" s="2">
        <v>8000</v>
      </c>
      <c r="K672" s="2">
        <v>87</v>
      </c>
      <c r="L672" s="2">
        <v>3425</v>
      </c>
      <c r="P672" t="s">
        <v>185</v>
      </c>
      <c r="R672" t="s">
        <v>42</v>
      </c>
      <c r="S672" t="s">
        <v>33</v>
      </c>
      <c r="T672" t="s">
        <v>34</v>
      </c>
      <c r="U672" t="s">
        <v>35</v>
      </c>
      <c r="X672" t="s">
        <v>34</v>
      </c>
      <c r="Y672" t="s">
        <v>45</v>
      </c>
      <c r="Z672" t="s">
        <v>2422</v>
      </c>
      <c r="AA672" t="s">
        <v>38</v>
      </c>
    </row>
    <row r="673" spans="1:27">
      <c r="A673" t="s">
        <v>2423</v>
      </c>
      <c r="B673" t="s">
        <v>2424</v>
      </c>
      <c r="C673" t="str">
        <f>VLOOKUP(B673,Sheet2!$A$2:$A$392,1,0)</f>
        <v>TB. KIETRANS 31 / BG. STAR MARINE 3031</v>
      </c>
      <c r="E673" t="s">
        <v>40</v>
      </c>
      <c r="F673" t="s">
        <v>41</v>
      </c>
      <c r="G673" t="s">
        <v>29</v>
      </c>
      <c r="J673" s="2">
        <v>8000</v>
      </c>
      <c r="K673" s="2">
        <v>91</v>
      </c>
      <c r="L673" s="2">
        <v>3327</v>
      </c>
      <c r="P673" t="s">
        <v>2425</v>
      </c>
      <c r="R673" t="s">
        <v>42</v>
      </c>
      <c r="S673" t="s">
        <v>33</v>
      </c>
      <c r="U673" t="s">
        <v>35</v>
      </c>
      <c r="X673" t="s">
        <v>34</v>
      </c>
      <c r="Y673" t="s">
        <v>45</v>
      </c>
      <c r="Z673" t="s">
        <v>2426</v>
      </c>
      <c r="AA673" t="s">
        <v>38</v>
      </c>
    </row>
    <row r="674" spans="1:27" hidden="1">
      <c r="A674" t="s">
        <v>2427</v>
      </c>
      <c r="B674" t="s">
        <v>2428</v>
      </c>
      <c r="C674" t="e">
        <f>VLOOKUP(B674,Sheet2!$A$2:$A$392,1,0)</f>
        <v>#N/A</v>
      </c>
      <c r="E674" t="s">
        <v>40</v>
      </c>
      <c r="F674" t="s">
        <v>41</v>
      </c>
      <c r="G674" t="s">
        <v>29</v>
      </c>
      <c r="I674" t="s">
        <v>42</v>
      </c>
      <c r="J674" s="2">
        <v>8700</v>
      </c>
      <c r="K674" s="2">
        <v>91</v>
      </c>
      <c r="L674" s="2">
        <v>3786</v>
      </c>
      <c r="P674" t="s">
        <v>2429</v>
      </c>
      <c r="R674" t="s">
        <v>42</v>
      </c>
      <c r="S674" t="s">
        <v>33</v>
      </c>
      <c r="T674" t="s">
        <v>34</v>
      </c>
      <c r="U674" t="s">
        <v>44</v>
      </c>
      <c r="X674" t="s">
        <v>34</v>
      </c>
      <c r="Y674" t="s">
        <v>45</v>
      </c>
      <c r="Z674" t="s">
        <v>2430</v>
      </c>
      <c r="AA674" t="s">
        <v>38</v>
      </c>
    </row>
    <row r="675" spans="1:27" hidden="1">
      <c r="A675" t="s">
        <v>2431</v>
      </c>
      <c r="B675" t="s">
        <v>2432</v>
      </c>
      <c r="C675" t="e">
        <f>VLOOKUP(B675,Sheet2!$A$2:$A$392,1,0)</f>
        <v>#N/A</v>
      </c>
      <c r="E675" t="s">
        <v>27</v>
      </c>
      <c r="F675" t="s">
        <v>41</v>
      </c>
      <c r="G675" t="s">
        <v>29</v>
      </c>
      <c r="J675" s="2">
        <v>1000</v>
      </c>
      <c r="K675" s="2">
        <v>39</v>
      </c>
      <c r="L675" s="2">
        <v>460</v>
      </c>
      <c r="M675" s="2">
        <v>1000</v>
      </c>
      <c r="N675" s="2">
        <v>1</v>
      </c>
      <c r="P675" t="s">
        <v>2431</v>
      </c>
      <c r="Q675" t="s">
        <v>34</v>
      </c>
      <c r="R675" t="s">
        <v>42</v>
      </c>
      <c r="S675" t="s">
        <v>33</v>
      </c>
      <c r="U675" t="s">
        <v>44</v>
      </c>
      <c r="V675" s="2">
        <v>1</v>
      </c>
      <c r="X675" t="s">
        <v>34</v>
      </c>
      <c r="Y675" t="s">
        <v>45</v>
      </c>
      <c r="Z675" t="s">
        <v>2433</v>
      </c>
      <c r="AA675" t="s">
        <v>38</v>
      </c>
    </row>
    <row r="676" spans="1:27" hidden="1">
      <c r="A676" t="s">
        <v>2434</v>
      </c>
      <c r="B676" t="s">
        <v>2435</v>
      </c>
      <c r="C676" t="e">
        <f>VLOOKUP(B676,Sheet2!$A$2:$A$392,1,0)</f>
        <v>#N/A</v>
      </c>
      <c r="E676" t="s">
        <v>27</v>
      </c>
      <c r="F676" t="s">
        <v>41</v>
      </c>
      <c r="I676" t="s">
        <v>42</v>
      </c>
      <c r="J676" s="2">
        <v>20</v>
      </c>
      <c r="K676" s="2">
        <v>20</v>
      </c>
      <c r="L676" s="2">
        <v>96</v>
      </c>
      <c r="M676" s="2">
        <v>0</v>
      </c>
      <c r="N676" s="2">
        <v>0</v>
      </c>
      <c r="P676" t="s">
        <v>2434</v>
      </c>
      <c r="R676" t="s">
        <v>42</v>
      </c>
      <c r="S676" t="s">
        <v>33</v>
      </c>
      <c r="T676" t="s">
        <v>34</v>
      </c>
      <c r="U676" t="s">
        <v>44</v>
      </c>
      <c r="X676" t="s">
        <v>34</v>
      </c>
      <c r="Y676" t="s">
        <v>45</v>
      </c>
      <c r="Z676" t="s">
        <v>2436</v>
      </c>
      <c r="AA676" t="s">
        <v>38</v>
      </c>
    </row>
    <row r="677" spans="1:27" hidden="1">
      <c r="A677" t="s">
        <v>2437</v>
      </c>
      <c r="B677" t="s">
        <v>2438</v>
      </c>
      <c r="C677" t="e">
        <f>VLOOKUP(B677,Sheet2!$A$2:$A$392,1,0)</f>
        <v>#N/A</v>
      </c>
      <c r="E677" t="s">
        <v>27</v>
      </c>
      <c r="F677" t="s">
        <v>41</v>
      </c>
      <c r="G677" t="s">
        <v>29</v>
      </c>
      <c r="I677" t="s">
        <v>42</v>
      </c>
      <c r="J677" s="2">
        <v>1500</v>
      </c>
      <c r="K677" s="2">
        <v>53</v>
      </c>
      <c r="L677" s="2">
        <v>624</v>
      </c>
      <c r="P677" t="s">
        <v>2439</v>
      </c>
      <c r="R677" t="s">
        <v>32</v>
      </c>
      <c r="S677" t="s">
        <v>33</v>
      </c>
      <c r="T677" t="s">
        <v>34</v>
      </c>
      <c r="U677" t="s">
        <v>35</v>
      </c>
      <c r="W677" t="s">
        <v>165</v>
      </c>
      <c r="X677" t="s">
        <v>34</v>
      </c>
      <c r="Y677" t="s">
        <v>245</v>
      </c>
      <c r="Z677" t="s">
        <v>1697</v>
      </c>
      <c r="AA677" t="s">
        <v>38</v>
      </c>
    </row>
    <row r="678" spans="1:27" hidden="1">
      <c r="A678" t="s">
        <v>2440</v>
      </c>
      <c r="B678" t="s">
        <v>2441</v>
      </c>
      <c r="C678" t="e">
        <f>VLOOKUP(B678,Sheet2!$A$2:$A$392,1,0)</f>
        <v>#N/A</v>
      </c>
      <c r="E678" t="s">
        <v>27</v>
      </c>
      <c r="F678" t="s">
        <v>41</v>
      </c>
      <c r="G678" t="s">
        <v>847</v>
      </c>
      <c r="I678" t="s">
        <v>42</v>
      </c>
      <c r="J678" s="2">
        <v>2100</v>
      </c>
      <c r="K678" s="2">
        <v>70</v>
      </c>
      <c r="L678" s="2">
        <v>1031</v>
      </c>
      <c r="M678" s="2">
        <v>950</v>
      </c>
      <c r="N678" s="2">
        <v>5</v>
      </c>
      <c r="P678" t="s">
        <v>2442</v>
      </c>
      <c r="R678" t="s">
        <v>42</v>
      </c>
      <c r="S678" t="s">
        <v>33</v>
      </c>
      <c r="T678" t="s">
        <v>34</v>
      </c>
      <c r="U678" t="s">
        <v>44</v>
      </c>
      <c r="V678" s="2">
        <v>2</v>
      </c>
      <c r="X678" t="s">
        <v>34</v>
      </c>
      <c r="Y678" t="s">
        <v>154</v>
      </c>
      <c r="Z678" t="s">
        <v>2443</v>
      </c>
      <c r="AA678" t="s">
        <v>38</v>
      </c>
    </row>
    <row r="679" spans="1:27" hidden="1">
      <c r="A679" t="s">
        <v>2444</v>
      </c>
      <c r="B679" t="s">
        <v>2445</v>
      </c>
      <c r="C679" t="e">
        <f>VLOOKUP(B679,Sheet2!$A$2:$A$392,1,0)</f>
        <v>#N/A</v>
      </c>
      <c r="E679" t="s">
        <v>196</v>
      </c>
      <c r="F679" t="s">
        <v>41</v>
      </c>
      <c r="G679" t="s">
        <v>29</v>
      </c>
      <c r="J679" s="2">
        <v>4486</v>
      </c>
      <c r="K679" s="2">
        <v>79</v>
      </c>
      <c r="L679" s="2">
        <v>2673</v>
      </c>
      <c r="O679" t="s">
        <v>482</v>
      </c>
      <c r="P679" t="s">
        <v>2446</v>
      </c>
      <c r="R679" t="s">
        <v>32</v>
      </c>
      <c r="S679" t="s">
        <v>33</v>
      </c>
      <c r="U679" t="s">
        <v>35</v>
      </c>
      <c r="X679" t="s">
        <v>147</v>
      </c>
      <c r="Y679" t="s">
        <v>45</v>
      </c>
      <c r="Z679" t="s">
        <v>2447</v>
      </c>
      <c r="AA679" t="s">
        <v>38</v>
      </c>
    </row>
    <row r="680" spans="1:27" hidden="1">
      <c r="A680" t="s">
        <v>2448</v>
      </c>
      <c r="B680" t="s">
        <v>2449</v>
      </c>
      <c r="C680" t="e">
        <f>VLOOKUP(B680,Sheet2!$A$2:$A$392,1,0)</f>
        <v>#N/A</v>
      </c>
      <c r="E680" t="s">
        <v>196</v>
      </c>
      <c r="F680" t="s">
        <v>41</v>
      </c>
      <c r="G680" t="s">
        <v>29</v>
      </c>
      <c r="I680" t="s">
        <v>42</v>
      </c>
      <c r="J680" s="2">
        <v>3850</v>
      </c>
      <c r="K680" s="2">
        <v>84</v>
      </c>
      <c r="L680" s="2">
        <v>2294</v>
      </c>
      <c r="P680" t="s">
        <v>2450</v>
      </c>
      <c r="R680" t="s">
        <v>32</v>
      </c>
      <c r="S680" t="s">
        <v>33</v>
      </c>
      <c r="T680" t="s">
        <v>34</v>
      </c>
      <c r="U680" t="s">
        <v>35</v>
      </c>
      <c r="W680" t="s">
        <v>165</v>
      </c>
      <c r="X680" t="s">
        <v>34</v>
      </c>
      <c r="Y680" t="s">
        <v>245</v>
      </c>
      <c r="Z680" t="s">
        <v>2451</v>
      </c>
      <c r="AA680" t="s">
        <v>38</v>
      </c>
    </row>
    <row r="681" spans="1:27" hidden="1">
      <c r="A681" t="s">
        <v>2106</v>
      </c>
      <c r="B681" t="s">
        <v>2452</v>
      </c>
      <c r="C681" t="e">
        <f>VLOOKUP(B681,Sheet2!$A$2:$A$392,1,0)</f>
        <v>#N/A</v>
      </c>
      <c r="E681" t="s">
        <v>196</v>
      </c>
      <c r="F681" t="s">
        <v>41</v>
      </c>
      <c r="G681" t="s">
        <v>29</v>
      </c>
      <c r="J681" s="2">
        <v>5000</v>
      </c>
      <c r="K681" s="2">
        <v>80</v>
      </c>
      <c r="L681" s="2">
        <v>2637</v>
      </c>
      <c r="M681" s="2">
        <v>4500</v>
      </c>
      <c r="N681" s="2">
        <v>8</v>
      </c>
      <c r="O681" t="s">
        <v>482</v>
      </c>
      <c r="P681" t="s">
        <v>2446</v>
      </c>
      <c r="R681" t="s">
        <v>32</v>
      </c>
      <c r="S681" t="s">
        <v>33</v>
      </c>
      <c r="T681" t="s">
        <v>34</v>
      </c>
      <c r="U681" t="s">
        <v>35</v>
      </c>
      <c r="X681" t="s">
        <v>34</v>
      </c>
      <c r="Y681" t="s">
        <v>45</v>
      </c>
      <c r="Z681" t="s">
        <v>2453</v>
      </c>
      <c r="AA681" t="s">
        <v>38</v>
      </c>
    </row>
    <row r="682" spans="1:27" hidden="1">
      <c r="A682" t="s">
        <v>2454</v>
      </c>
      <c r="B682" t="s">
        <v>2455</v>
      </c>
      <c r="C682" t="e">
        <f>VLOOKUP(B682,Sheet2!$A$2:$A$392,1,0)</f>
        <v>#N/A</v>
      </c>
      <c r="E682" t="s">
        <v>27</v>
      </c>
      <c r="F682" t="s">
        <v>41</v>
      </c>
      <c r="G682" t="s">
        <v>29</v>
      </c>
      <c r="I682" t="s">
        <v>42</v>
      </c>
      <c r="J682" s="2">
        <v>600</v>
      </c>
      <c r="K682" s="2">
        <v>59</v>
      </c>
      <c r="L682" s="2">
        <v>400</v>
      </c>
      <c r="P682" t="s">
        <v>2454</v>
      </c>
      <c r="Q682" t="s">
        <v>34</v>
      </c>
      <c r="R682" t="s">
        <v>42</v>
      </c>
      <c r="S682" t="s">
        <v>33</v>
      </c>
      <c r="T682" t="s">
        <v>34</v>
      </c>
      <c r="U682" t="s">
        <v>35</v>
      </c>
      <c r="X682" t="s">
        <v>34</v>
      </c>
      <c r="Y682" t="s">
        <v>45</v>
      </c>
      <c r="Z682" t="s">
        <v>2456</v>
      </c>
      <c r="AA682" t="s">
        <v>38</v>
      </c>
    </row>
    <row r="683" spans="1:27" hidden="1">
      <c r="A683" t="s">
        <v>2457</v>
      </c>
      <c r="B683" t="s">
        <v>2458</v>
      </c>
      <c r="C683" t="e">
        <f>VLOOKUP(B683,Sheet2!$A$2:$A$392,1,0)</f>
        <v>#N/A</v>
      </c>
      <c r="E683" t="s">
        <v>40</v>
      </c>
      <c r="F683" t="s">
        <v>41</v>
      </c>
      <c r="G683" t="s">
        <v>29</v>
      </c>
      <c r="I683" t="s">
        <v>42</v>
      </c>
      <c r="J683" s="2">
        <v>10000</v>
      </c>
      <c r="K683" s="2">
        <v>91</v>
      </c>
      <c r="L683" s="2">
        <v>4585</v>
      </c>
      <c r="P683" t="s">
        <v>2459</v>
      </c>
      <c r="R683" t="s">
        <v>42</v>
      </c>
      <c r="S683" t="s">
        <v>33</v>
      </c>
      <c r="T683" t="s">
        <v>34</v>
      </c>
      <c r="U683" t="s">
        <v>35</v>
      </c>
      <c r="X683" t="s">
        <v>34</v>
      </c>
      <c r="Y683" t="s">
        <v>45</v>
      </c>
      <c r="Z683" t="s">
        <v>2460</v>
      </c>
      <c r="AA683" t="s">
        <v>38</v>
      </c>
    </row>
    <row r="684" spans="1:27" hidden="1">
      <c r="A684" t="s">
        <v>2461</v>
      </c>
      <c r="B684" t="s">
        <v>2462</v>
      </c>
      <c r="C684" t="e">
        <f>VLOOKUP(B684,Sheet2!$A$2:$A$392,1,0)</f>
        <v>#N/A</v>
      </c>
      <c r="E684" t="s">
        <v>27</v>
      </c>
      <c r="F684" t="s">
        <v>41</v>
      </c>
      <c r="G684" t="s">
        <v>29</v>
      </c>
      <c r="I684" t="s">
        <v>42</v>
      </c>
      <c r="J684" s="2">
        <v>6565</v>
      </c>
      <c r="K684" s="2">
        <v>107</v>
      </c>
      <c r="L684" s="2">
        <v>4255</v>
      </c>
      <c r="P684" t="s">
        <v>2463</v>
      </c>
      <c r="R684" t="s">
        <v>32</v>
      </c>
      <c r="S684" t="s">
        <v>33</v>
      </c>
      <c r="T684" t="s">
        <v>34</v>
      </c>
      <c r="U684" t="s">
        <v>35</v>
      </c>
      <c r="X684" t="s">
        <v>34</v>
      </c>
      <c r="Y684" t="s">
        <v>45</v>
      </c>
      <c r="Z684" t="s">
        <v>2464</v>
      </c>
      <c r="AA684" t="s">
        <v>38</v>
      </c>
    </row>
    <row r="685" spans="1:27" hidden="1">
      <c r="A685" t="s">
        <v>2465</v>
      </c>
      <c r="B685" t="s">
        <v>2466</v>
      </c>
      <c r="C685" t="e">
        <f>VLOOKUP(B685,Sheet2!$A$2:$A$392,1,0)</f>
        <v>#N/A</v>
      </c>
      <c r="E685" t="s">
        <v>27</v>
      </c>
      <c r="F685" t="s">
        <v>41</v>
      </c>
      <c r="G685" t="s">
        <v>29</v>
      </c>
      <c r="I685" t="s">
        <v>42</v>
      </c>
      <c r="J685" s="2">
        <v>8000</v>
      </c>
      <c r="K685" s="2">
        <v>102</v>
      </c>
      <c r="L685" s="2">
        <v>4887</v>
      </c>
      <c r="M685" s="2">
        <v>3400</v>
      </c>
      <c r="N685" s="2">
        <v>7</v>
      </c>
      <c r="P685" t="s">
        <v>2467</v>
      </c>
      <c r="R685" t="s">
        <v>32</v>
      </c>
      <c r="S685" t="s">
        <v>33</v>
      </c>
      <c r="T685" t="s">
        <v>34</v>
      </c>
      <c r="U685" t="s">
        <v>35</v>
      </c>
      <c r="X685" t="s">
        <v>34</v>
      </c>
      <c r="Y685" t="s">
        <v>45</v>
      </c>
      <c r="Z685" t="s">
        <v>2468</v>
      </c>
      <c r="AA685" t="s">
        <v>38</v>
      </c>
    </row>
    <row r="686" spans="1:27" hidden="1">
      <c r="A686" t="s">
        <v>2469</v>
      </c>
      <c r="B686" t="s">
        <v>2470</v>
      </c>
      <c r="C686" t="e">
        <f>VLOOKUP(B686,Sheet2!$A$2:$A$392,1,0)</f>
        <v>#N/A</v>
      </c>
      <c r="E686" t="s">
        <v>196</v>
      </c>
      <c r="F686" t="s">
        <v>41</v>
      </c>
      <c r="G686" t="s">
        <v>29</v>
      </c>
      <c r="I686" t="s">
        <v>42</v>
      </c>
      <c r="J686" s="2">
        <v>0</v>
      </c>
      <c r="K686" s="2">
        <v>66</v>
      </c>
      <c r="L686" s="2">
        <v>1257</v>
      </c>
      <c r="P686" t="s">
        <v>2471</v>
      </c>
      <c r="R686" t="s">
        <v>32</v>
      </c>
      <c r="S686" t="s">
        <v>33</v>
      </c>
      <c r="T686" t="s">
        <v>34</v>
      </c>
      <c r="U686" t="s">
        <v>35</v>
      </c>
      <c r="W686" t="s">
        <v>165</v>
      </c>
      <c r="X686" t="s">
        <v>34</v>
      </c>
      <c r="Y686" t="s">
        <v>245</v>
      </c>
      <c r="Z686" t="s">
        <v>2472</v>
      </c>
      <c r="AA686" t="s">
        <v>38</v>
      </c>
    </row>
    <row r="687" spans="1:27" hidden="1">
      <c r="A687" t="s">
        <v>2473</v>
      </c>
      <c r="B687" t="s">
        <v>2474</v>
      </c>
      <c r="C687" t="e">
        <f>VLOOKUP(B687,Sheet2!$A$2:$A$392,1,0)</f>
        <v>#N/A</v>
      </c>
      <c r="E687" t="s">
        <v>196</v>
      </c>
      <c r="F687" t="s">
        <v>41</v>
      </c>
      <c r="G687" t="s">
        <v>59</v>
      </c>
      <c r="J687" s="2">
        <v>4477</v>
      </c>
      <c r="K687" s="2">
        <v>85</v>
      </c>
      <c r="L687" s="2">
        <v>2472</v>
      </c>
      <c r="O687" t="s">
        <v>61</v>
      </c>
      <c r="P687" t="s">
        <v>2475</v>
      </c>
      <c r="R687" t="s">
        <v>32</v>
      </c>
      <c r="S687" t="s">
        <v>33</v>
      </c>
      <c r="U687" t="s">
        <v>35</v>
      </c>
      <c r="W687" t="s">
        <v>63</v>
      </c>
      <c r="X687" t="s">
        <v>34</v>
      </c>
      <c r="Y687" t="s">
        <v>64</v>
      </c>
      <c r="Z687" t="s">
        <v>2476</v>
      </c>
      <c r="AA687" t="s">
        <v>38</v>
      </c>
    </row>
    <row r="688" spans="1:27" hidden="1">
      <c r="A688" t="s">
        <v>2477</v>
      </c>
      <c r="B688" t="s">
        <v>2478</v>
      </c>
      <c r="C688" t="e">
        <f>VLOOKUP(B688,Sheet2!$A$2:$A$392,1,0)</f>
        <v>#N/A</v>
      </c>
      <c r="E688" t="s">
        <v>196</v>
      </c>
      <c r="F688" t="s">
        <v>41</v>
      </c>
      <c r="G688" t="s">
        <v>29</v>
      </c>
      <c r="J688" s="2">
        <v>3801</v>
      </c>
      <c r="K688" s="2">
        <v>92</v>
      </c>
      <c r="L688" s="2">
        <v>2185</v>
      </c>
      <c r="P688" t="s">
        <v>2479</v>
      </c>
      <c r="Q688" t="s">
        <v>34</v>
      </c>
      <c r="R688" t="s">
        <v>32</v>
      </c>
      <c r="S688" t="s">
        <v>33</v>
      </c>
      <c r="U688" t="s">
        <v>35</v>
      </c>
      <c r="X688" t="s">
        <v>147</v>
      </c>
      <c r="Y688" t="s">
        <v>45</v>
      </c>
      <c r="Z688" t="s">
        <v>1167</v>
      </c>
      <c r="AA688" t="s">
        <v>38</v>
      </c>
    </row>
    <row r="689" spans="1:27">
      <c r="A689" t="s">
        <v>2480</v>
      </c>
      <c r="B689" t="s">
        <v>2481</v>
      </c>
      <c r="C689" t="str">
        <f>VLOOKUP(B689,Sheet2!$A$2:$A$392,1,0)</f>
        <v>KM. TONASA LINE XXV</v>
      </c>
      <c r="E689" t="s">
        <v>196</v>
      </c>
      <c r="F689" t="s">
        <v>41</v>
      </c>
      <c r="G689" t="s">
        <v>29</v>
      </c>
      <c r="J689" s="2">
        <v>5000</v>
      </c>
      <c r="K689" s="2">
        <v>90</v>
      </c>
      <c r="L689" s="2">
        <v>3078</v>
      </c>
      <c r="M689" s="2">
        <v>3</v>
      </c>
      <c r="O689" t="s">
        <v>482</v>
      </c>
      <c r="P689" t="s">
        <v>2482</v>
      </c>
      <c r="R689" t="s">
        <v>32</v>
      </c>
      <c r="S689" t="s">
        <v>33</v>
      </c>
      <c r="U689" t="s">
        <v>35</v>
      </c>
      <c r="X689" t="s">
        <v>34</v>
      </c>
      <c r="Y689" t="s">
        <v>45</v>
      </c>
      <c r="Z689" t="s">
        <v>2483</v>
      </c>
      <c r="AA689" t="s">
        <v>38</v>
      </c>
    </row>
    <row r="690" spans="1:27">
      <c r="A690" t="s">
        <v>2484</v>
      </c>
      <c r="B690" t="s">
        <v>2485</v>
      </c>
      <c r="C690" t="str">
        <f>VLOOKUP(B690,Sheet2!$A$2:$A$392,1,0)</f>
        <v>TB. KHANSA UTAMA 01 / BG. KHANSA UTAMA 2702</v>
      </c>
      <c r="E690" t="s">
        <v>40</v>
      </c>
      <c r="F690" t="s">
        <v>41</v>
      </c>
      <c r="G690" t="s">
        <v>29</v>
      </c>
      <c r="I690" t="s">
        <v>42</v>
      </c>
      <c r="J690" s="2">
        <v>5500</v>
      </c>
      <c r="K690" s="2">
        <v>82</v>
      </c>
      <c r="L690" s="2">
        <v>2287</v>
      </c>
      <c r="P690" t="s">
        <v>2486</v>
      </c>
      <c r="R690" t="s">
        <v>42</v>
      </c>
      <c r="S690" t="s">
        <v>33</v>
      </c>
      <c r="T690" t="s">
        <v>34</v>
      </c>
      <c r="U690" t="s">
        <v>44</v>
      </c>
      <c r="X690" t="s">
        <v>34</v>
      </c>
      <c r="Y690" t="s">
        <v>45</v>
      </c>
      <c r="Z690" t="s">
        <v>2487</v>
      </c>
      <c r="AA690" t="s">
        <v>38</v>
      </c>
    </row>
    <row r="691" spans="1:27" hidden="1">
      <c r="A691" t="s">
        <v>2488</v>
      </c>
      <c r="B691" t="s">
        <v>2489</v>
      </c>
      <c r="C691" t="e">
        <f>VLOOKUP(B691,Sheet2!$A$2:$A$392,1,0)</f>
        <v>#N/A</v>
      </c>
      <c r="E691" t="s">
        <v>170</v>
      </c>
      <c r="I691" t="s">
        <v>42</v>
      </c>
      <c r="J691" s="2">
        <v>6500</v>
      </c>
      <c r="K691">
        <v>104.7</v>
      </c>
      <c r="L691" s="2">
        <v>5263</v>
      </c>
      <c r="P691" t="s">
        <v>2490</v>
      </c>
      <c r="S691" t="s">
        <v>33</v>
      </c>
      <c r="X691" t="s">
        <v>34</v>
      </c>
      <c r="AA691" t="s">
        <v>38</v>
      </c>
    </row>
    <row r="692" spans="1:27">
      <c r="A692" t="s">
        <v>2491</v>
      </c>
      <c r="B692" t="s">
        <v>2492</v>
      </c>
      <c r="C692" t="str">
        <f>VLOOKUP(B692,Sheet2!$A$2:$A$392,1,0)</f>
        <v>KM. VICTORY 8</v>
      </c>
      <c r="E692" t="s">
        <v>27</v>
      </c>
      <c r="F692" t="s">
        <v>41</v>
      </c>
      <c r="G692" t="s">
        <v>29</v>
      </c>
      <c r="J692" s="2">
        <v>2500</v>
      </c>
      <c r="K692" s="2">
        <v>76</v>
      </c>
      <c r="L692" s="2">
        <v>1519</v>
      </c>
      <c r="M692" s="2">
        <v>1000</v>
      </c>
      <c r="N692" s="2">
        <v>4</v>
      </c>
      <c r="O692" t="s">
        <v>254</v>
      </c>
      <c r="P692" t="s">
        <v>185</v>
      </c>
      <c r="R692" t="s">
        <v>32</v>
      </c>
      <c r="S692" t="s">
        <v>33</v>
      </c>
      <c r="U692" t="s">
        <v>35</v>
      </c>
      <c r="X692" t="s">
        <v>34</v>
      </c>
      <c r="Y692" t="s">
        <v>45</v>
      </c>
      <c r="Z692" t="s">
        <v>2493</v>
      </c>
      <c r="AA692" t="s">
        <v>38</v>
      </c>
    </row>
    <row r="693" spans="1:27" hidden="1">
      <c r="A693" t="s">
        <v>2494</v>
      </c>
      <c r="B693" t="s">
        <v>2495</v>
      </c>
      <c r="C693" t="e">
        <f>VLOOKUP(B693,Sheet2!$A$2:$A$392,1,0)</f>
        <v>#N/A</v>
      </c>
      <c r="E693" t="s">
        <v>72</v>
      </c>
      <c r="G693" t="s">
        <v>355</v>
      </c>
      <c r="I693" t="s">
        <v>42</v>
      </c>
      <c r="J693" s="2">
        <v>3500</v>
      </c>
      <c r="K693" s="3">
        <v>72.03</v>
      </c>
      <c r="L693" s="2">
        <v>1637</v>
      </c>
      <c r="P693" t="s">
        <v>74</v>
      </c>
      <c r="S693" t="s">
        <v>33</v>
      </c>
      <c r="X693" t="s">
        <v>34</v>
      </c>
      <c r="AA693" t="s">
        <v>38</v>
      </c>
    </row>
    <row r="694" spans="1:27" hidden="1">
      <c r="A694" t="s">
        <v>2496</v>
      </c>
      <c r="B694" t="s">
        <v>2497</v>
      </c>
      <c r="C694" t="e">
        <f>VLOOKUP(B694,Sheet2!$A$2:$A$392,1,0)</f>
        <v>#N/A</v>
      </c>
      <c r="E694" t="s">
        <v>27</v>
      </c>
      <c r="F694" t="s">
        <v>41</v>
      </c>
      <c r="G694" t="s">
        <v>29</v>
      </c>
      <c r="I694" t="s">
        <v>42</v>
      </c>
      <c r="J694" s="2">
        <v>3000</v>
      </c>
      <c r="K694" s="2">
        <v>54</v>
      </c>
      <c r="L694" s="2">
        <v>496</v>
      </c>
      <c r="P694" t="s">
        <v>2498</v>
      </c>
      <c r="R694" t="s">
        <v>42</v>
      </c>
      <c r="S694" t="s">
        <v>33</v>
      </c>
      <c r="T694" t="s">
        <v>34</v>
      </c>
      <c r="U694" t="s">
        <v>35</v>
      </c>
      <c r="W694" t="s">
        <v>165</v>
      </c>
      <c r="X694" t="s">
        <v>34</v>
      </c>
      <c r="Y694" t="s">
        <v>245</v>
      </c>
      <c r="Z694" t="s">
        <v>2499</v>
      </c>
      <c r="AA694" t="s">
        <v>38</v>
      </c>
    </row>
    <row r="695" spans="1:27" hidden="1">
      <c r="A695" t="s">
        <v>2500</v>
      </c>
      <c r="B695" t="s">
        <v>2501</v>
      </c>
      <c r="C695" t="e">
        <f>VLOOKUP(B695,Sheet2!$A$2:$A$392,1,0)</f>
        <v>#N/A</v>
      </c>
      <c r="E695" t="s">
        <v>196</v>
      </c>
      <c r="F695" t="s">
        <v>41</v>
      </c>
      <c r="G695" t="s">
        <v>340</v>
      </c>
      <c r="J695" s="2">
        <v>2300</v>
      </c>
      <c r="K695">
        <v>75.400000000000006</v>
      </c>
      <c r="L695" s="2">
        <v>1482</v>
      </c>
      <c r="M695" s="2">
        <v>10000</v>
      </c>
      <c r="N695" s="3">
        <v>4.1500000000000004</v>
      </c>
      <c r="O695" t="s">
        <v>341</v>
      </c>
      <c r="P695" t="s">
        <v>2502</v>
      </c>
      <c r="R695" t="s">
        <v>42</v>
      </c>
      <c r="S695" t="s">
        <v>33</v>
      </c>
      <c r="U695" t="s">
        <v>35</v>
      </c>
      <c r="V695" s="2">
        <v>2</v>
      </c>
      <c r="X695" t="s">
        <v>34</v>
      </c>
      <c r="Y695" t="s">
        <v>154</v>
      </c>
      <c r="Z695" t="s">
        <v>2503</v>
      </c>
      <c r="AA695" t="s">
        <v>38</v>
      </c>
    </row>
    <row r="696" spans="1:27">
      <c r="A696" t="s">
        <v>2504</v>
      </c>
      <c r="B696" t="s">
        <v>2505</v>
      </c>
      <c r="C696" t="str">
        <f>VLOOKUP(B696,Sheet2!$A$2:$A$392,1,0)</f>
        <v>KM. KAWAN SEJATI</v>
      </c>
      <c r="E696" t="s">
        <v>27</v>
      </c>
      <c r="F696" t="s">
        <v>41</v>
      </c>
      <c r="G696" t="s">
        <v>29</v>
      </c>
      <c r="I696" t="s">
        <v>42</v>
      </c>
      <c r="J696" s="2">
        <v>800</v>
      </c>
      <c r="K696" s="2">
        <v>53</v>
      </c>
      <c r="L696" s="2">
        <v>497</v>
      </c>
      <c r="P696" t="s">
        <v>2506</v>
      </c>
      <c r="R696" t="s">
        <v>32</v>
      </c>
      <c r="S696" t="s">
        <v>33</v>
      </c>
      <c r="T696" t="s">
        <v>34</v>
      </c>
      <c r="U696" t="s">
        <v>35</v>
      </c>
      <c r="X696" t="s">
        <v>34</v>
      </c>
      <c r="Y696" t="s">
        <v>45</v>
      </c>
      <c r="Z696" t="s">
        <v>2507</v>
      </c>
      <c r="AA696" t="s">
        <v>38</v>
      </c>
    </row>
    <row r="697" spans="1:27" hidden="1">
      <c r="A697" t="s">
        <v>2508</v>
      </c>
      <c r="B697" t="s">
        <v>2509</v>
      </c>
      <c r="C697" t="e">
        <f>VLOOKUP(B697,Sheet2!$A$2:$A$392,1,0)</f>
        <v>#N/A</v>
      </c>
      <c r="E697" t="s">
        <v>52</v>
      </c>
      <c r="F697" t="s">
        <v>28</v>
      </c>
      <c r="G697" t="s">
        <v>29</v>
      </c>
      <c r="I697" t="s">
        <v>301</v>
      </c>
      <c r="J697" s="2">
        <v>50236</v>
      </c>
      <c r="K697">
        <v>189.8</v>
      </c>
      <c r="L697" s="2">
        <v>27986</v>
      </c>
      <c r="P697" t="s">
        <v>2510</v>
      </c>
      <c r="R697" t="s">
        <v>32</v>
      </c>
      <c r="S697" t="s">
        <v>33</v>
      </c>
      <c r="T697" t="s">
        <v>34</v>
      </c>
      <c r="U697" t="s">
        <v>35</v>
      </c>
      <c r="W697" t="s">
        <v>165</v>
      </c>
      <c r="X697" t="s">
        <v>34</v>
      </c>
      <c r="Y697" t="s">
        <v>245</v>
      </c>
      <c r="Z697" t="s">
        <v>2511</v>
      </c>
      <c r="AA697" t="s">
        <v>38</v>
      </c>
    </row>
    <row r="698" spans="1:27" hidden="1">
      <c r="A698" t="s">
        <v>2512</v>
      </c>
      <c r="B698" t="s">
        <v>2513</v>
      </c>
      <c r="C698" t="e">
        <f>VLOOKUP(B698,Sheet2!$A$2:$A$392,1,0)</f>
        <v>#N/A</v>
      </c>
      <c r="E698" t="s">
        <v>72</v>
      </c>
      <c r="G698" t="s">
        <v>202</v>
      </c>
      <c r="I698" t="s">
        <v>42</v>
      </c>
      <c r="J698" s="2">
        <v>1</v>
      </c>
      <c r="K698" s="3">
        <v>75.290000000000006</v>
      </c>
      <c r="L698" s="2">
        <v>1896</v>
      </c>
      <c r="P698" t="s">
        <v>74</v>
      </c>
      <c r="S698" t="s">
        <v>33</v>
      </c>
      <c r="X698" t="s">
        <v>34</v>
      </c>
      <c r="AA698" t="s">
        <v>38</v>
      </c>
    </row>
    <row r="699" spans="1:27" hidden="1">
      <c r="A699" t="s">
        <v>2514</v>
      </c>
      <c r="B699" t="s">
        <v>2515</v>
      </c>
      <c r="C699" t="e">
        <f>VLOOKUP(B699,Sheet2!$A$2:$A$392,1,0)</f>
        <v>#N/A</v>
      </c>
      <c r="E699" t="s">
        <v>27</v>
      </c>
      <c r="F699" t="s">
        <v>41</v>
      </c>
      <c r="G699" t="s">
        <v>29</v>
      </c>
      <c r="J699" s="2">
        <v>1450</v>
      </c>
      <c r="K699" s="2">
        <v>75</v>
      </c>
      <c r="L699" s="2">
        <v>1174</v>
      </c>
      <c r="M699" s="2">
        <v>1200</v>
      </c>
      <c r="N699" s="2">
        <v>4</v>
      </c>
      <c r="O699" t="s">
        <v>482</v>
      </c>
      <c r="P699" t="s">
        <v>2516</v>
      </c>
      <c r="R699" t="s">
        <v>32</v>
      </c>
      <c r="S699" t="s">
        <v>33</v>
      </c>
      <c r="U699" t="s">
        <v>35</v>
      </c>
      <c r="V699" s="2">
        <v>2</v>
      </c>
      <c r="X699" t="s">
        <v>34</v>
      </c>
      <c r="Y699" t="s">
        <v>45</v>
      </c>
      <c r="Z699" t="s">
        <v>2517</v>
      </c>
      <c r="AA699" t="s">
        <v>38</v>
      </c>
    </row>
    <row r="700" spans="1:27">
      <c r="A700" t="s">
        <v>2518</v>
      </c>
      <c r="B700" t="s">
        <v>2519</v>
      </c>
      <c r="C700" t="str">
        <f>VLOOKUP(B700,Sheet2!$A$2:$A$392,1,0)</f>
        <v>KM. KARYA NIAGA</v>
      </c>
      <c r="E700" t="s">
        <v>27</v>
      </c>
      <c r="F700" t="s">
        <v>41</v>
      </c>
      <c r="G700" t="s">
        <v>29</v>
      </c>
      <c r="I700" t="s">
        <v>42</v>
      </c>
      <c r="J700" s="2">
        <v>1050</v>
      </c>
      <c r="K700" s="2">
        <v>54</v>
      </c>
      <c r="L700" s="2">
        <v>721</v>
      </c>
      <c r="P700" t="s">
        <v>2520</v>
      </c>
      <c r="R700" t="s">
        <v>32</v>
      </c>
      <c r="S700" t="s">
        <v>33</v>
      </c>
      <c r="T700" t="s">
        <v>34</v>
      </c>
      <c r="U700" t="s">
        <v>35</v>
      </c>
      <c r="X700" t="s">
        <v>34</v>
      </c>
      <c r="Y700" t="s">
        <v>45</v>
      </c>
      <c r="Z700" t="s">
        <v>2521</v>
      </c>
      <c r="AA700" t="s">
        <v>38</v>
      </c>
    </row>
    <row r="701" spans="1:27">
      <c r="A701" t="s">
        <v>2522</v>
      </c>
      <c r="B701" t="s">
        <v>2523</v>
      </c>
      <c r="C701" t="str">
        <f>VLOOKUP(B701,Sheet2!$A$2:$A$392,1,0)</f>
        <v>KM. TONASA LINE XVI</v>
      </c>
      <c r="E701" t="s">
        <v>196</v>
      </c>
      <c r="F701" t="s">
        <v>41</v>
      </c>
      <c r="G701" t="s">
        <v>59</v>
      </c>
      <c r="I701" t="s">
        <v>42</v>
      </c>
      <c r="J701" s="2">
        <v>7186</v>
      </c>
      <c r="K701" s="2">
        <v>111</v>
      </c>
      <c r="L701" s="2">
        <v>4676</v>
      </c>
      <c r="M701" s="2">
        <v>0</v>
      </c>
      <c r="N701" s="2">
        <v>0</v>
      </c>
      <c r="O701" t="s">
        <v>61</v>
      </c>
      <c r="P701" t="s">
        <v>2524</v>
      </c>
      <c r="R701" t="s">
        <v>32</v>
      </c>
      <c r="S701" t="s">
        <v>33</v>
      </c>
      <c r="U701" t="s">
        <v>35</v>
      </c>
      <c r="X701" t="s">
        <v>34</v>
      </c>
      <c r="Y701" t="s">
        <v>2525</v>
      </c>
      <c r="Z701" t="s">
        <v>2526</v>
      </c>
      <c r="AA701" t="s">
        <v>38</v>
      </c>
    </row>
    <row r="702" spans="1:27" hidden="1">
      <c r="A702" t="s">
        <v>2527</v>
      </c>
      <c r="B702" t="s">
        <v>2528</v>
      </c>
      <c r="C702" t="e">
        <f>VLOOKUP(B702,Sheet2!$A$2:$A$392,1,0)</f>
        <v>#N/A</v>
      </c>
      <c r="E702" t="s">
        <v>27</v>
      </c>
      <c r="F702" t="s">
        <v>41</v>
      </c>
      <c r="I702" t="s">
        <v>42</v>
      </c>
      <c r="J702" s="2">
        <v>331</v>
      </c>
      <c r="K702" s="2">
        <v>30</v>
      </c>
      <c r="L702" s="2">
        <v>230</v>
      </c>
      <c r="M702" s="2">
        <v>0</v>
      </c>
      <c r="N702" s="2">
        <v>4</v>
      </c>
      <c r="P702" t="s">
        <v>2527</v>
      </c>
      <c r="R702" t="s">
        <v>42</v>
      </c>
      <c r="S702" t="s">
        <v>33</v>
      </c>
      <c r="T702" t="s">
        <v>34</v>
      </c>
      <c r="U702" t="s">
        <v>44</v>
      </c>
      <c r="X702" t="s">
        <v>34</v>
      </c>
      <c r="Y702" t="s">
        <v>45</v>
      </c>
      <c r="Z702" t="s">
        <v>2529</v>
      </c>
      <c r="AA702" t="s">
        <v>38</v>
      </c>
    </row>
    <row r="703" spans="1:27" hidden="1">
      <c r="A703" t="s">
        <v>2530</v>
      </c>
      <c r="B703" t="s">
        <v>2531</v>
      </c>
      <c r="C703" t="e">
        <f>VLOOKUP(B703,Sheet2!$A$2:$A$392,1,0)</f>
        <v>#N/A</v>
      </c>
      <c r="E703" t="s">
        <v>93</v>
      </c>
      <c r="G703" t="s">
        <v>136</v>
      </c>
      <c r="I703" t="s">
        <v>42</v>
      </c>
      <c r="J703" s="2">
        <v>3000</v>
      </c>
      <c r="K703" s="3">
        <v>78.12</v>
      </c>
      <c r="L703" s="2">
        <v>1108</v>
      </c>
      <c r="P703" t="s">
        <v>2532</v>
      </c>
      <c r="S703" t="s">
        <v>33</v>
      </c>
      <c r="X703" t="s">
        <v>34</v>
      </c>
      <c r="AA703" t="s">
        <v>38</v>
      </c>
    </row>
    <row r="704" spans="1:27" hidden="1">
      <c r="A704" t="s">
        <v>2533</v>
      </c>
      <c r="B704" t="s">
        <v>2534</v>
      </c>
      <c r="C704" t="e">
        <f>VLOOKUP(B704,Sheet2!$A$2:$A$392,1,0)</f>
        <v>#N/A</v>
      </c>
      <c r="E704" t="s">
        <v>93</v>
      </c>
      <c r="G704" t="s">
        <v>136</v>
      </c>
      <c r="I704" t="s">
        <v>42</v>
      </c>
      <c r="J704" s="2">
        <v>2000</v>
      </c>
      <c r="K704" s="3">
        <v>78.12</v>
      </c>
      <c r="L704" s="2">
        <v>1108</v>
      </c>
      <c r="P704" t="s">
        <v>2535</v>
      </c>
      <c r="S704" t="s">
        <v>33</v>
      </c>
      <c r="X704" t="s">
        <v>34</v>
      </c>
      <c r="AA704" t="s">
        <v>38</v>
      </c>
    </row>
    <row r="705" spans="1:27" hidden="1">
      <c r="A705" t="s">
        <v>2536</v>
      </c>
      <c r="B705" t="s">
        <v>2537</v>
      </c>
      <c r="C705" t="e">
        <f>VLOOKUP(B705,Sheet2!$A$2:$A$392,1,0)</f>
        <v>#N/A</v>
      </c>
      <c r="E705" t="s">
        <v>40</v>
      </c>
      <c r="F705" t="s">
        <v>41</v>
      </c>
      <c r="G705" t="s">
        <v>415</v>
      </c>
      <c r="J705" s="2">
        <v>10000</v>
      </c>
      <c r="K705" s="2">
        <v>98</v>
      </c>
      <c r="L705" s="2">
        <v>4066</v>
      </c>
      <c r="P705" t="s">
        <v>185</v>
      </c>
      <c r="R705" t="s">
        <v>42</v>
      </c>
      <c r="S705" t="s">
        <v>33</v>
      </c>
      <c r="U705" t="s">
        <v>35</v>
      </c>
      <c r="W705" t="s">
        <v>63</v>
      </c>
      <c r="X705" t="s">
        <v>34</v>
      </c>
      <c r="Y705" t="s">
        <v>64</v>
      </c>
      <c r="Z705" t="s">
        <v>2538</v>
      </c>
      <c r="AA705" t="s">
        <v>38</v>
      </c>
    </row>
    <row r="706" spans="1:27" hidden="1">
      <c r="A706" t="s">
        <v>2539</v>
      </c>
      <c r="B706" t="s">
        <v>2540</v>
      </c>
      <c r="C706" t="e">
        <f>VLOOKUP(B706,Sheet2!$A$2:$A$392,1,0)</f>
        <v>#N/A</v>
      </c>
      <c r="E706" t="s">
        <v>170</v>
      </c>
      <c r="I706" t="s">
        <v>42</v>
      </c>
      <c r="J706" s="2">
        <v>3600</v>
      </c>
      <c r="K706" s="3">
        <v>91.03</v>
      </c>
      <c r="L706" s="2">
        <v>2209</v>
      </c>
      <c r="P706" t="s">
        <v>2541</v>
      </c>
      <c r="S706" t="s">
        <v>33</v>
      </c>
      <c r="X706" t="s">
        <v>34</v>
      </c>
      <c r="AA706" t="s">
        <v>38</v>
      </c>
    </row>
    <row r="707" spans="1:27" hidden="1">
      <c r="A707" t="s">
        <v>2542</v>
      </c>
      <c r="B707" t="s">
        <v>2543</v>
      </c>
      <c r="C707" t="e">
        <f>VLOOKUP(B707,Sheet2!$A$2:$A$392,1,0)</f>
        <v>#N/A</v>
      </c>
      <c r="E707" t="s">
        <v>170</v>
      </c>
      <c r="G707" t="s">
        <v>104</v>
      </c>
      <c r="I707" t="s">
        <v>42</v>
      </c>
      <c r="J707" s="2">
        <v>53026</v>
      </c>
      <c r="K707">
        <v>188.5</v>
      </c>
      <c r="L707" s="2">
        <v>29350</v>
      </c>
      <c r="P707" t="s">
        <v>2544</v>
      </c>
      <c r="S707" t="s">
        <v>33</v>
      </c>
      <c r="X707" t="s">
        <v>34</v>
      </c>
      <c r="AA707" t="s">
        <v>38</v>
      </c>
    </row>
    <row r="708" spans="1:27" hidden="1">
      <c r="A708" t="s">
        <v>2545</v>
      </c>
      <c r="B708" t="s">
        <v>2546</v>
      </c>
      <c r="C708" t="e">
        <f>VLOOKUP(B708,Sheet2!$A$2:$A$392,1,0)</f>
        <v>#N/A</v>
      </c>
      <c r="E708" t="s">
        <v>733</v>
      </c>
      <c r="G708" t="s">
        <v>734</v>
      </c>
      <c r="I708" t="s">
        <v>42</v>
      </c>
      <c r="J708" s="2">
        <v>3175</v>
      </c>
      <c r="K708">
        <v>146.5</v>
      </c>
      <c r="L708" s="2">
        <v>15136</v>
      </c>
      <c r="P708" t="s">
        <v>2547</v>
      </c>
      <c r="S708" t="s">
        <v>33</v>
      </c>
      <c r="X708" t="s">
        <v>34</v>
      </c>
      <c r="AA708" t="s">
        <v>38</v>
      </c>
    </row>
    <row r="709" spans="1:27" hidden="1">
      <c r="A709" t="s">
        <v>2548</v>
      </c>
      <c r="B709" t="s">
        <v>2549</v>
      </c>
      <c r="C709" t="e">
        <f>VLOOKUP(B709,Sheet2!$A$2:$A$392,1,0)</f>
        <v>#N/A</v>
      </c>
      <c r="E709" t="s">
        <v>733</v>
      </c>
      <c r="G709" t="s">
        <v>734</v>
      </c>
      <c r="I709" t="s">
        <v>42</v>
      </c>
      <c r="J709" s="2">
        <v>3375</v>
      </c>
      <c r="K709">
        <v>146.5</v>
      </c>
      <c r="L709" s="2">
        <v>14649</v>
      </c>
      <c r="P709" t="s">
        <v>2550</v>
      </c>
      <c r="S709" t="s">
        <v>33</v>
      </c>
      <c r="X709" t="s">
        <v>34</v>
      </c>
      <c r="AA709" t="s">
        <v>38</v>
      </c>
    </row>
    <row r="710" spans="1:27">
      <c r="A710" t="s">
        <v>2551</v>
      </c>
      <c r="B710" t="s">
        <v>2552</v>
      </c>
      <c r="C710" t="str">
        <f>VLOOKUP(B710,Sheet2!$A$2:$A$392,1,0)</f>
        <v>TB. LIBERTY 19 / BG. AZAMARA 3053</v>
      </c>
      <c r="E710" t="s">
        <v>27</v>
      </c>
      <c r="F710" t="s">
        <v>41</v>
      </c>
      <c r="G710" t="s">
        <v>415</v>
      </c>
      <c r="J710" s="2">
        <v>10000</v>
      </c>
      <c r="K710" s="2">
        <v>91</v>
      </c>
      <c r="L710" s="2">
        <v>3979</v>
      </c>
      <c r="P710" t="s">
        <v>185</v>
      </c>
      <c r="R710" t="s">
        <v>42</v>
      </c>
      <c r="S710" t="s">
        <v>33</v>
      </c>
      <c r="U710" t="s">
        <v>44</v>
      </c>
      <c r="W710" t="s">
        <v>63</v>
      </c>
      <c r="X710" t="s">
        <v>34</v>
      </c>
      <c r="Y710" t="s">
        <v>64</v>
      </c>
      <c r="Z710" t="s">
        <v>2553</v>
      </c>
      <c r="AA710" t="s">
        <v>38</v>
      </c>
    </row>
    <row r="711" spans="1:27" hidden="1">
      <c r="A711" t="s">
        <v>2554</v>
      </c>
      <c r="B711" t="s">
        <v>2555</v>
      </c>
      <c r="C711" t="e">
        <f>VLOOKUP(B711,Sheet2!$A$2:$A$392,1,0)</f>
        <v>#N/A</v>
      </c>
      <c r="E711" t="s">
        <v>40</v>
      </c>
      <c r="F711" t="s">
        <v>41</v>
      </c>
      <c r="G711" t="s">
        <v>415</v>
      </c>
      <c r="I711" t="s">
        <v>42</v>
      </c>
      <c r="J711" s="2">
        <v>5500</v>
      </c>
      <c r="K711" s="2">
        <v>79</v>
      </c>
      <c r="L711" s="2">
        <v>2494</v>
      </c>
      <c r="M711" s="2">
        <v>1220</v>
      </c>
      <c r="P711" t="s">
        <v>2556</v>
      </c>
      <c r="R711" t="s">
        <v>42</v>
      </c>
      <c r="S711" t="s">
        <v>33</v>
      </c>
      <c r="U711" t="s">
        <v>44</v>
      </c>
      <c r="X711" t="s">
        <v>34</v>
      </c>
      <c r="Y711" t="s">
        <v>2525</v>
      </c>
      <c r="Z711" t="s">
        <v>2557</v>
      </c>
      <c r="AA711" t="s">
        <v>38</v>
      </c>
    </row>
    <row r="712" spans="1:27">
      <c r="A712" t="s">
        <v>2558</v>
      </c>
      <c r="B712" t="s">
        <v>2559</v>
      </c>
      <c r="C712" t="str">
        <f>VLOOKUP(B712,Sheet2!$A$2:$A$392,1,0)</f>
        <v>TB. LIBERTY 28 / BG. AZAMARA 3058</v>
      </c>
      <c r="E712" t="s">
        <v>40</v>
      </c>
      <c r="F712" t="s">
        <v>41</v>
      </c>
      <c r="G712" t="s">
        <v>29</v>
      </c>
      <c r="I712" t="s">
        <v>42</v>
      </c>
      <c r="J712" s="2">
        <v>10000</v>
      </c>
      <c r="K712" s="2">
        <v>91</v>
      </c>
      <c r="L712" s="2">
        <v>3973</v>
      </c>
      <c r="P712" t="s">
        <v>2560</v>
      </c>
      <c r="R712" t="s">
        <v>42</v>
      </c>
      <c r="S712" t="s">
        <v>33</v>
      </c>
      <c r="T712" t="s">
        <v>34</v>
      </c>
      <c r="U712" t="s">
        <v>44</v>
      </c>
      <c r="X712" t="s">
        <v>34</v>
      </c>
      <c r="Y712" t="s">
        <v>45</v>
      </c>
      <c r="Z712" t="s">
        <v>2561</v>
      </c>
      <c r="AA712" t="s">
        <v>38</v>
      </c>
    </row>
    <row r="713" spans="1:27" hidden="1">
      <c r="A713" t="s">
        <v>2562</v>
      </c>
      <c r="B713" t="s">
        <v>2563</v>
      </c>
      <c r="C713" t="e">
        <f>VLOOKUP(B713,Sheet2!$A$2:$A$392,1,0)</f>
        <v>#N/A</v>
      </c>
      <c r="E713" t="s">
        <v>40</v>
      </c>
      <c r="F713" t="s">
        <v>41</v>
      </c>
      <c r="G713" t="s">
        <v>29</v>
      </c>
      <c r="I713" t="s">
        <v>42</v>
      </c>
      <c r="J713" s="2">
        <v>8000</v>
      </c>
      <c r="K713" s="2">
        <v>91</v>
      </c>
      <c r="L713" s="2">
        <v>3319</v>
      </c>
      <c r="P713" t="s">
        <v>2564</v>
      </c>
      <c r="R713" t="s">
        <v>42</v>
      </c>
      <c r="S713" t="s">
        <v>33</v>
      </c>
      <c r="T713" t="s">
        <v>34</v>
      </c>
      <c r="U713" t="s">
        <v>35</v>
      </c>
      <c r="X713" t="s">
        <v>34</v>
      </c>
      <c r="Y713" t="s">
        <v>45</v>
      </c>
      <c r="Z713" t="s">
        <v>273</v>
      </c>
      <c r="AA713" t="s">
        <v>38</v>
      </c>
    </row>
    <row r="714" spans="1:27" hidden="1">
      <c r="A714" t="s">
        <v>2565</v>
      </c>
      <c r="B714" t="s">
        <v>2566</v>
      </c>
      <c r="C714" t="e">
        <f>VLOOKUP(B714,Sheet2!$A$2:$A$392,1,0)</f>
        <v>#N/A</v>
      </c>
      <c r="E714" t="s">
        <v>27</v>
      </c>
      <c r="F714" t="s">
        <v>41</v>
      </c>
      <c r="G714" t="s">
        <v>29</v>
      </c>
      <c r="I714" t="s">
        <v>42</v>
      </c>
      <c r="J714" s="2">
        <v>1600</v>
      </c>
      <c r="K714" s="2">
        <v>85</v>
      </c>
      <c r="L714" s="2">
        <v>1848</v>
      </c>
      <c r="M714" s="2">
        <v>1000</v>
      </c>
      <c r="N714" s="2">
        <v>5</v>
      </c>
      <c r="P714" t="s">
        <v>185</v>
      </c>
      <c r="R714" t="s">
        <v>32</v>
      </c>
      <c r="S714" t="s">
        <v>33</v>
      </c>
      <c r="T714" t="s">
        <v>34</v>
      </c>
      <c r="U714" t="s">
        <v>35</v>
      </c>
      <c r="X714" t="s">
        <v>34</v>
      </c>
      <c r="Y714" t="s">
        <v>45</v>
      </c>
      <c r="Z714" t="s">
        <v>2567</v>
      </c>
      <c r="AA714" t="s">
        <v>38</v>
      </c>
    </row>
    <row r="715" spans="1:27" hidden="1">
      <c r="A715" t="s">
        <v>2568</v>
      </c>
      <c r="B715" t="s">
        <v>2569</v>
      </c>
      <c r="C715" t="e">
        <f>VLOOKUP(B715,Sheet2!$A$2:$A$392,1,0)</f>
        <v>#N/A</v>
      </c>
      <c r="E715" t="s">
        <v>27</v>
      </c>
      <c r="F715" t="s">
        <v>41</v>
      </c>
      <c r="G715" t="s">
        <v>29</v>
      </c>
      <c r="J715" s="2">
        <v>3100</v>
      </c>
      <c r="K715" s="3">
        <v>79.959999999999994</v>
      </c>
      <c r="L715" s="2">
        <v>1741</v>
      </c>
      <c r="N715">
        <v>5.2</v>
      </c>
      <c r="O715" t="s">
        <v>482</v>
      </c>
      <c r="P715" t="s">
        <v>2570</v>
      </c>
      <c r="R715" t="s">
        <v>32</v>
      </c>
      <c r="S715" t="s">
        <v>33</v>
      </c>
      <c r="U715" t="s">
        <v>35</v>
      </c>
      <c r="X715" t="s">
        <v>34</v>
      </c>
      <c r="Y715" t="s">
        <v>45</v>
      </c>
      <c r="Z715" t="s">
        <v>2571</v>
      </c>
      <c r="AA715" t="s">
        <v>38</v>
      </c>
    </row>
    <row r="716" spans="1:27" hidden="1">
      <c r="A716" t="s">
        <v>2572</v>
      </c>
      <c r="B716" t="s">
        <v>2573</v>
      </c>
      <c r="C716" t="e">
        <f>VLOOKUP(B716,Sheet2!$A$2:$A$392,1,0)</f>
        <v>#N/A</v>
      </c>
      <c r="E716" t="s">
        <v>27</v>
      </c>
      <c r="F716" t="s">
        <v>41</v>
      </c>
      <c r="G716" t="s">
        <v>29</v>
      </c>
      <c r="I716" t="s">
        <v>42</v>
      </c>
      <c r="J716" s="2">
        <v>2000</v>
      </c>
      <c r="K716" s="2">
        <v>76</v>
      </c>
      <c r="L716" s="2">
        <v>1578</v>
      </c>
      <c r="P716" t="s">
        <v>2574</v>
      </c>
      <c r="R716" t="s">
        <v>581</v>
      </c>
      <c r="S716" t="s">
        <v>33</v>
      </c>
      <c r="T716" t="s">
        <v>34</v>
      </c>
      <c r="U716" t="s">
        <v>35</v>
      </c>
      <c r="X716" t="s">
        <v>34</v>
      </c>
      <c r="Y716" t="s">
        <v>45</v>
      </c>
      <c r="Z716" t="s">
        <v>2575</v>
      </c>
      <c r="AA716" t="s">
        <v>38</v>
      </c>
    </row>
    <row r="717" spans="1:27" hidden="1">
      <c r="A717" t="s">
        <v>2576</v>
      </c>
      <c r="B717" t="s">
        <v>2577</v>
      </c>
      <c r="C717" t="e">
        <f>VLOOKUP(B717,Sheet2!$A$2:$A$392,1,0)</f>
        <v>#N/A</v>
      </c>
      <c r="E717" t="s">
        <v>40</v>
      </c>
      <c r="G717" t="s">
        <v>857</v>
      </c>
      <c r="I717" t="s">
        <v>42</v>
      </c>
      <c r="J717" s="2">
        <v>250</v>
      </c>
      <c r="K717" s="3">
        <v>22.74</v>
      </c>
      <c r="L717" s="2">
        <v>111</v>
      </c>
      <c r="P717" t="s">
        <v>2578</v>
      </c>
      <c r="S717" t="s">
        <v>33</v>
      </c>
      <c r="X717" t="s">
        <v>34</v>
      </c>
      <c r="AA717" t="s">
        <v>38</v>
      </c>
    </row>
    <row r="718" spans="1:27" hidden="1">
      <c r="A718" t="s">
        <v>2579</v>
      </c>
      <c r="B718" t="s">
        <v>2580</v>
      </c>
      <c r="C718" t="e">
        <f>VLOOKUP(B718,Sheet2!$A$2:$A$392,1,0)</f>
        <v>#N/A</v>
      </c>
      <c r="E718" t="s">
        <v>40</v>
      </c>
      <c r="G718" t="s">
        <v>747</v>
      </c>
      <c r="I718" t="s">
        <v>42</v>
      </c>
      <c r="J718" s="2">
        <v>100</v>
      </c>
      <c r="K718">
        <v>27.9</v>
      </c>
      <c r="L718" s="2">
        <v>189</v>
      </c>
      <c r="P718" t="s">
        <v>2581</v>
      </c>
      <c r="S718" t="s">
        <v>33</v>
      </c>
      <c r="X718" t="s">
        <v>34</v>
      </c>
      <c r="AA718" t="s">
        <v>38</v>
      </c>
    </row>
    <row r="719" spans="1:27">
      <c r="A719" t="s">
        <v>2582</v>
      </c>
      <c r="B719" t="s">
        <v>2583</v>
      </c>
      <c r="C719" t="str">
        <f>VLOOKUP(B719,Sheet2!$A$2:$A$392,1,0)</f>
        <v>TB. L MARITIM / BG. SURYA MAS</v>
      </c>
      <c r="E719" t="s">
        <v>40</v>
      </c>
      <c r="F719" t="s">
        <v>41</v>
      </c>
      <c r="G719" t="s">
        <v>29</v>
      </c>
      <c r="I719" t="s">
        <v>42</v>
      </c>
      <c r="J719" s="2">
        <v>8000</v>
      </c>
      <c r="K719" s="2">
        <v>87</v>
      </c>
      <c r="L719" s="2">
        <v>3339</v>
      </c>
      <c r="M719" s="2">
        <v>1100</v>
      </c>
      <c r="P719" t="s">
        <v>185</v>
      </c>
      <c r="R719" t="s">
        <v>42</v>
      </c>
      <c r="S719" t="s">
        <v>33</v>
      </c>
      <c r="T719" t="s">
        <v>34</v>
      </c>
      <c r="U719" t="s">
        <v>35</v>
      </c>
      <c r="X719" t="s">
        <v>34</v>
      </c>
      <c r="Y719" t="s">
        <v>45</v>
      </c>
      <c r="Z719" t="s">
        <v>2584</v>
      </c>
      <c r="AA719" t="s">
        <v>38</v>
      </c>
    </row>
    <row r="720" spans="1:27" hidden="1">
      <c r="A720" t="s">
        <v>2585</v>
      </c>
      <c r="B720" t="s">
        <v>2586</v>
      </c>
      <c r="C720" t="e">
        <f>VLOOKUP(B720,Sheet2!$A$2:$A$392,1,0)</f>
        <v>#N/A</v>
      </c>
      <c r="E720" t="s">
        <v>27</v>
      </c>
      <c r="F720" t="s">
        <v>41</v>
      </c>
      <c r="G720" t="s">
        <v>29</v>
      </c>
      <c r="I720" t="s">
        <v>42</v>
      </c>
      <c r="J720" s="2">
        <v>1500</v>
      </c>
      <c r="K720">
        <v>48.9</v>
      </c>
      <c r="L720" s="2">
        <v>1000</v>
      </c>
      <c r="M720" s="2">
        <v>10000</v>
      </c>
      <c r="N720" s="2">
        <v>5</v>
      </c>
      <c r="O720" t="s">
        <v>254</v>
      </c>
      <c r="P720" t="s">
        <v>2585</v>
      </c>
      <c r="R720" t="s">
        <v>42</v>
      </c>
      <c r="S720" t="s">
        <v>33</v>
      </c>
      <c r="T720" t="s">
        <v>34</v>
      </c>
      <c r="U720" t="s">
        <v>44</v>
      </c>
      <c r="X720" t="s">
        <v>34</v>
      </c>
      <c r="Y720" t="s">
        <v>142</v>
      </c>
      <c r="Z720" t="s">
        <v>1306</v>
      </c>
      <c r="AA720" t="s">
        <v>38</v>
      </c>
    </row>
    <row r="721" spans="1:27" hidden="1">
      <c r="A721" t="s">
        <v>2587</v>
      </c>
      <c r="B721" t="s">
        <v>2588</v>
      </c>
      <c r="C721" t="e">
        <f>VLOOKUP(B721,Sheet2!$A$2:$A$392,1,0)</f>
        <v>#N/A</v>
      </c>
      <c r="E721" t="s">
        <v>40</v>
      </c>
      <c r="G721" t="s">
        <v>125</v>
      </c>
      <c r="I721" t="s">
        <v>42</v>
      </c>
      <c r="J721" s="2">
        <v>250</v>
      </c>
      <c r="K721">
        <v>30.1</v>
      </c>
      <c r="L721" s="2">
        <v>250</v>
      </c>
      <c r="P721" t="s">
        <v>2589</v>
      </c>
      <c r="S721" t="s">
        <v>33</v>
      </c>
      <c r="X721" t="s">
        <v>34</v>
      </c>
      <c r="AA721" t="s">
        <v>38</v>
      </c>
    </row>
    <row r="722" spans="1:27" hidden="1">
      <c r="A722" t="s">
        <v>2590</v>
      </c>
      <c r="B722" t="s">
        <v>2591</v>
      </c>
      <c r="C722" t="e">
        <f>VLOOKUP(B722,Sheet2!$A$2:$A$392,1,0)</f>
        <v>#N/A</v>
      </c>
      <c r="E722" t="s">
        <v>40</v>
      </c>
      <c r="F722" t="s">
        <v>41</v>
      </c>
      <c r="G722" t="s">
        <v>29</v>
      </c>
      <c r="I722" t="s">
        <v>42</v>
      </c>
      <c r="J722" s="2">
        <v>8000</v>
      </c>
      <c r="K722" s="2">
        <v>91</v>
      </c>
      <c r="L722" s="2">
        <v>3580</v>
      </c>
      <c r="P722" t="s">
        <v>2592</v>
      </c>
      <c r="R722" t="s">
        <v>42</v>
      </c>
      <c r="S722" t="s">
        <v>33</v>
      </c>
      <c r="T722" t="s">
        <v>34</v>
      </c>
      <c r="U722" t="s">
        <v>35</v>
      </c>
      <c r="X722" t="s">
        <v>34</v>
      </c>
      <c r="Y722" t="s">
        <v>45</v>
      </c>
      <c r="Z722" t="s">
        <v>2593</v>
      </c>
      <c r="AA722" t="s">
        <v>38</v>
      </c>
    </row>
    <row r="723" spans="1:27" hidden="1">
      <c r="A723" t="s">
        <v>2594</v>
      </c>
      <c r="B723" t="s">
        <v>2595</v>
      </c>
      <c r="C723" t="e">
        <f>VLOOKUP(B723,Sheet2!$A$2:$A$392,1,0)</f>
        <v>#N/A</v>
      </c>
      <c r="E723" t="s">
        <v>72</v>
      </c>
      <c r="F723" t="s">
        <v>41</v>
      </c>
      <c r="G723" t="s">
        <v>29</v>
      </c>
      <c r="J723" s="2">
        <v>1076</v>
      </c>
      <c r="K723">
        <v>82.3</v>
      </c>
      <c r="L723" s="2">
        <v>2144</v>
      </c>
      <c r="P723" s="2">
        <v>0</v>
      </c>
      <c r="R723" t="s">
        <v>42</v>
      </c>
      <c r="S723" t="s">
        <v>33</v>
      </c>
      <c r="U723" t="s">
        <v>44</v>
      </c>
      <c r="X723" t="s">
        <v>34</v>
      </c>
      <c r="Y723" t="s">
        <v>45</v>
      </c>
      <c r="Z723" t="s">
        <v>2596</v>
      </c>
      <c r="AA723" t="s">
        <v>38</v>
      </c>
    </row>
    <row r="724" spans="1:27">
      <c r="A724" t="s">
        <v>2597</v>
      </c>
      <c r="B724" t="s">
        <v>2598</v>
      </c>
      <c r="C724" t="str">
        <f>VLOOKUP(B724,Sheet2!$A$2:$A$392,1,0)</f>
        <v>TB. VARIA USAHA 10 / BG. LINTAS SEGARA 18</v>
      </c>
      <c r="E724" t="s">
        <v>40</v>
      </c>
      <c r="F724" t="s">
        <v>41</v>
      </c>
      <c r="G724" t="s">
        <v>29</v>
      </c>
      <c r="J724" s="2">
        <v>5000</v>
      </c>
      <c r="K724" s="3">
        <v>87.78</v>
      </c>
      <c r="L724" s="2">
        <v>3103</v>
      </c>
      <c r="M724" s="2">
        <v>2000</v>
      </c>
      <c r="O724" t="s">
        <v>482</v>
      </c>
      <c r="P724" t="s">
        <v>2599</v>
      </c>
      <c r="Q724" t="s">
        <v>34</v>
      </c>
      <c r="R724" t="s">
        <v>42</v>
      </c>
      <c r="S724" t="s">
        <v>33</v>
      </c>
      <c r="U724" t="s">
        <v>44</v>
      </c>
      <c r="X724" t="s">
        <v>34</v>
      </c>
      <c r="Y724" t="s">
        <v>45</v>
      </c>
      <c r="Z724" t="s">
        <v>2600</v>
      </c>
      <c r="AA724" t="s">
        <v>38</v>
      </c>
    </row>
    <row r="725" spans="1:27">
      <c r="A725" t="s">
        <v>2601</v>
      </c>
      <c r="B725" t="s">
        <v>2602</v>
      </c>
      <c r="C725" t="str">
        <f>VLOOKUP(B725,Sheet2!$A$2:$A$392,1,0)</f>
        <v>TB. HARMONY XIX / BG. LINTAS SAMUDERA 88</v>
      </c>
      <c r="E725" t="s">
        <v>40</v>
      </c>
      <c r="F725" t="s">
        <v>41</v>
      </c>
      <c r="G725" t="s">
        <v>382</v>
      </c>
      <c r="I725" t="s">
        <v>42</v>
      </c>
      <c r="J725" s="2">
        <v>8000</v>
      </c>
      <c r="K725" s="3">
        <v>91.44</v>
      </c>
      <c r="L725" s="2">
        <v>3139</v>
      </c>
      <c r="M725" s="2">
        <v>1658</v>
      </c>
      <c r="N725" s="2">
        <v>4</v>
      </c>
      <c r="O725" t="s">
        <v>383</v>
      </c>
      <c r="P725" t="s">
        <v>2603</v>
      </c>
      <c r="R725" t="s">
        <v>42</v>
      </c>
      <c r="S725" t="s">
        <v>33</v>
      </c>
      <c r="T725" t="s">
        <v>34</v>
      </c>
      <c r="U725" t="s">
        <v>35</v>
      </c>
      <c r="V725" s="2">
        <v>0</v>
      </c>
      <c r="W725" t="s">
        <v>63</v>
      </c>
      <c r="X725" t="s">
        <v>34</v>
      </c>
      <c r="Y725" t="s">
        <v>64</v>
      </c>
      <c r="Z725" t="s">
        <v>2604</v>
      </c>
      <c r="AA725" t="s">
        <v>38</v>
      </c>
    </row>
    <row r="726" spans="1:27" hidden="1">
      <c r="A726" t="s">
        <v>2605</v>
      </c>
      <c r="B726" t="s">
        <v>2606</v>
      </c>
      <c r="C726" t="e">
        <f>VLOOKUP(B726,Sheet2!$A$2:$A$392,1,0)</f>
        <v>#N/A</v>
      </c>
      <c r="E726" t="s">
        <v>40</v>
      </c>
      <c r="F726" t="s">
        <v>41</v>
      </c>
      <c r="G726" t="s">
        <v>415</v>
      </c>
      <c r="J726" s="2">
        <v>9800</v>
      </c>
      <c r="K726" s="2">
        <v>91</v>
      </c>
      <c r="L726" s="2">
        <v>3972</v>
      </c>
      <c r="P726" t="s">
        <v>2607</v>
      </c>
      <c r="R726" t="s">
        <v>42</v>
      </c>
      <c r="S726" t="s">
        <v>33</v>
      </c>
      <c r="U726" t="s">
        <v>35</v>
      </c>
      <c r="W726" t="s">
        <v>63</v>
      </c>
      <c r="X726" t="s">
        <v>34</v>
      </c>
      <c r="Y726" t="s">
        <v>64</v>
      </c>
      <c r="Z726" t="s">
        <v>2608</v>
      </c>
      <c r="AA726" t="s">
        <v>38</v>
      </c>
    </row>
    <row r="727" spans="1:27" hidden="1">
      <c r="A727" t="s">
        <v>2609</v>
      </c>
      <c r="B727" t="s">
        <v>2610</v>
      </c>
      <c r="C727" t="e">
        <f>VLOOKUP(B727,Sheet2!$A$2:$A$392,1,0)</f>
        <v>#N/A</v>
      </c>
      <c r="E727" t="s">
        <v>27</v>
      </c>
      <c r="F727" t="s">
        <v>41</v>
      </c>
      <c r="G727" t="s">
        <v>29</v>
      </c>
      <c r="J727" s="2">
        <v>210</v>
      </c>
      <c r="K727" s="2">
        <v>60</v>
      </c>
      <c r="L727" s="2">
        <v>150</v>
      </c>
      <c r="P727" t="s">
        <v>2609</v>
      </c>
      <c r="R727" t="s">
        <v>42</v>
      </c>
      <c r="S727" t="s">
        <v>33</v>
      </c>
      <c r="U727" t="s">
        <v>35</v>
      </c>
      <c r="X727" t="s">
        <v>34</v>
      </c>
      <c r="Y727" t="s">
        <v>45</v>
      </c>
      <c r="Z727" t="s">
        <v>2611</v>
      </c>
      <c r="AA727" t="s">
        <v>38</v>
      </c>
    </row>
    <row r="728" spans="1:27" hidden="1">
      <c r="A728" t="s">
        <v>2612</v>
      </c>
      <c r="B728" t="s">
        <v>2613</v>
      </c>
      <c r="C728" t="e">
        <f>VLOOKUP(B728,Sheet2!$A$2:$A$392,1,0)</f>
        <v>#N/A</v>
      </c>
      <c r="E728" t="s">
        <v>27</v>
      </c>
      <c r="F728" t="s">
        <v>41</v>
      </c>
      <c r="G728" t="s">
        <v>29</v>
      </c>
      <c r="I728" t="s">
        <v>42</v>
      </c>
      <c r="J728" s="2">
        <v>4462</v>
      </c>
      <c r="K728" s="2">
        <v>92</v>
      </c>
      <c r="L728" s="2">
        <v>2513</v>
      </c>
      <c r="P728" t="s">
        <v>2614</v>
      </c>
      <c r="R728" t="s">
        <v>581</v>
      </c>
      <c r="S728" t="s">
        <v>33</v>
      </c>
      <c r="T728" t="s">
        <v>34</v>
      </c>
      <c r="U728" t="s">
        <v>35</v>
      </c>
      <c r="W728" t="s">
        <v>165</v>
      </c>
      <c r="X728" t="s">
        <v>34</v>
      </c>
      <c r="Y728" t="s">
        <v>245</v>
      </c>
      <c r="Z728" t="s">
        <v>2615</v>
      </c>
      <c r="AA728" t="s">
        <v>38</v>
      </c>
    </row>
    <row r="729" spans="1:27" hidden="1">
      <c r="A729" t="s">
        <v>2616</v>
      </c>
      <c r="B729" t="s">
        <v>2617</v>
      </c>
      <c r="C729" t="e">
        <f>VLOOKUP(B729,Sheet2!$A$2:$A$392,1,0)</f>
        <v>#N/A</v>
      </c>
      <c r="E729" t="s">
        <v>196</v>
      </c>
      <c r="F729" t="s">
        <v>28</v>
      </c>
      <c r="G729" t="s">
        <v>222</v>
      </c>
      <c r="I729" t="s">
        <v>225</v>
      </c>
      <c r="J729" s="2">
        <v>28979</v>
      </c>
      <c r="K729" s="2">
        <v>170</v>
      </c>
      <c r="L729" s="2">
        <v>18284</v>
      </c>
      <c r="N729" s="2">
        <v>9</v>
      </c>
      <c r="O729" t="s">
        <v>460</v>
      </c>
      <c r="P729" t="s">
        <v>2618</v>
      </c>
      <c r="R729" t="s">
        <v>225</v>
      </c>
      <c r="S729" t="s">
        <v>33</v>
      </c>
      <c r="T729" t="s">
        <v>34</v>
      </c>
      <c r="U729" t="s">
        <v>35</v>
      </c>
      <c r="V729" s="2">
        <v>5</v>
      </c>
      <c r="X729" t="s">
        <v>34</v>
      </c>
      <c r="Y729" t="s">
        <v>154</v>
      </c>
      <c r="Z729" t="s">
        <v>2619</v>
      </c>
      <c r="AA729" t="s">
        <v>38</v>
      </c>
    </row>
    <row r="730" spans="1:27" hidden="1">
      <c r="A730" t="s">
        <v>2620</v>
      </c>
      <c r="B730" t="s">
        <v>2621</v>
      </c>
      <c r="C730" t="e">
        <f>VLOOKUP(B730,Sheet2!$A$2:$A$392,1,0)</f>
        <v>#N/A</v>
      </c>
      <c r="E730" t="s">
        <v>40</v>
      </c>
      <c r="G730" t="s">
        <v>922</v>
      </c>
      <c r="I730" t="s">
        <v>42</v>
      </c>
      <c r="J730" s="2">
        <v>116</v>
      </c>
      <c r="K730" s="3">
        <v>21.25</v>
      </c>
      <c r="L730" s="2">
        <v>116</v>
      </c>
      <c r="P730" t="s">
        <v>2622</v>
      </c>
      <c r="S730" t="s">
        <v>33</v>
      </c>
      <c r="X730" t="s">
        <v>34</v>
      </c>
      <c r="Y730" t="s">
        <v>96</v>
      </c>
      <c r="Z730" t="s">
        <v>2623</v>
      </c>
      <c r="AA730" t="s">
        <v>38</v>
      </c>
    </row>
    <row r="731" spans="1:27" hidden="1">
      <c r="A731" t="s">
        <v>2624</v>
      </c>
      <c r="B731" t="s">
        <v>2625</v>
      </c>
      <c r="C731" t="e">
        <f>VLOOKUP(B731,Sheet2!$A$2:$A$392,1,0)</f>
        <v>#N/A</v>
      </c>
      <c r="E731" t="s">
        <v>72</v>
      </c>
      <c r="G731" t="s">
        <v>629</v>
      </c>
      <c r="I731" t="s">
        <v>42</v>
      </c>
      <c r="J731" s="2">
        <v>607</v>
      </c>
      <c r="K731">
        <v>52.7</v>
      </c>
      <c r="L731" s="2">
        <v>896</v>
      </c>
      <c r="P731" t="s">
        <v>74</v>
      </c>
      <c r="S731" t="s">
        <v>33</v>
      </c>
      <c r="X731" t="s">
        <v>34</v>
      </c>
      <c r="AA731" t="s">
        <v>38</v>
      </c>
    </row>
    <row r="732" spans="1:27" hidden="1">
      <c r="A732" t="s">
        <v>2626</v>
      </c>
      <c r="B732" t="s">
        <v>2627</v>
      </c>
      <c r="C732" t="e">
        <f>VLOOKUP(B732,Sheet2!$A$2:$A$392,1,0)</f>
        <v>#N/A</v>
      </c>
      <c r="E732" t="s">
        <v>52</v>
      </c>
      <c r="F732" t="s">
        <v>28</v>
      </c>
      <c r="G732" t="s">
        <v>59</v>
      </c>
      <c r="I732" t="s">
        <v>301</v>
      </c>
      <c r="J732" s="2">
        <v>40000</v>
      </c>
      <c r="K732" s="2">
        <v>183</v>
      </c>
      <c r="L732" s="2">
        <v>24386</v>
      </c>
      <c r="O732" t="s">
        <v>61</v>
      </c>
      <c r="P732" t="s">
        <v>2628</v>
      </c>
      <c r="R732" t="s">
        <v>301</v>
      </c>
      <c r="S732" t="s">
        <v>33</v>
      </c>
      <c r="T732" t="s">
        <v>34</v>
      </c>
      <c r="U732" t="s">
        <v>35</v>
      </c>
      <c r="W732" t="s">
        <v>63</v>
      </c>
      <c r="X732" t="s">
        <v>34</v>
      </c>
      <c r="Y732" t="s">
        <v>64</v>
      </c>
      <c r="Z732" t="s">
        <v>2629</v>
      </c>
      <c r="AA732" t="s">
        <v>38</v>
      </c>
    </row>
    <row r="733" spans="1:27" hidden="1">
      <c r="A733" t="s">
        <v>2630</v>
      </c>
      <c r="B733" t="s">
        <v>2631</v>
      </c>
      <c r="C733" t="e">
        <f>VLOOKUP(B733,Sheet2!$A$2:$A$392,1,0)</f>
        <v>#N/A</v>
      </c>
      <c r="E733" t="s">
        <v>40</v>
      </c>
      <c r="F733" t="s">
        <v>41</v>
      </c>
      <c r="G733" t="s">
        <v>29</v>
      </c>
      <c r="I733" t="s">
        <v>42</v>
      </c>
      <c r="J733" s="2">
        <v>8000</v>
      </c>
      <c r="K733" s="2">
        <v>91</v>
      </c>
      <c r="L733" s="2">
        <v>3314</v>
      </c>
      <c r="P733" t="s">
        <v>185</v>
      </c>
      <c r="R733" t="s">
        <v>42</v>
      </c>
      <c r="S733" t="s">
        <v>33</v>
      </c>
      <c r="T733" t="s">
        <v>34</v>
      </c>
      <c r="U733" t="s">
        <v>35</v>
      </c>
      <c r="W733" t="s">
        <v>165</v>
      </c>
      <c r="X733" t="s">
        <v>34</v>
      </c>
      <c r="Y733" t="s">
        <v>245</v>
      </c>
      <c r="Z733" t="s">
        <v>2632</v>
      </c>
      <c r="AA733" t="s">
        <v>38</v>
      </c>
    </row>
    <row r="734" spans="1:27" hidden="1">
      <c r="A734" t="s">
        <v>2633</v>
      </c>
      <c r="B734" t="s">
        <v>2634</v>
      </c>
      <c r="C734" t="e">
        <f>VLOOKUP(B734,Sheet2!$A$2:$A$392,1,0)</f>
        <v>#N/A</v>
      </c>
      <c r="E734" t="s">
        <v>52</v>
      </c>
      <c r="F734" t="s">
        <v>28</v>
      </c>
      <c r="G734" t="s">
        <v>29</v>
      </c>
      <c r="I734" t="s">
        <v>2635</v>
      </c>
      <c r="J734" s="2">
        <v>57113</v>
      </c>
      <c r="K734" s="2">
        <v>189</v>
      </c>
      <c r="L734" s="2">
        <v>31243</v>
      </c>
      <c r="N734">
        <v>12.834</v>
      </c>
      <c r="P734" t="s">
        <v>2636</v>
      </c>
      <c r="R734" t="s">
        <v>32</v>
      </c>
      <c r="S734" t="s">
        <v>33</v>
      </c>
      <c r="T734" t="s">
        <v>34</v>
      </c>
      <c r="U734" t="s">
        <v>35</v>
      </c>
      <c r="X734" t="s">
        <v>34</v>
      </c>
      <c r="Y734" t="s">
        <v>45</v>
      </c>
      <c r="Z734" t="s">
        <v>2637</v>
      </c>
      <c r="AA734" t="s">
        <v>38</v>
      </c>
    </row>
    <row r="735" spans="1:27" hidden="1">
      <c r="A735" t="s">
        <v>2638</v>
      </c>
      <c r="B735" t="s">
        <v>2639</v>
      </c>
      <c r="C735" t="e">
        <f>VLOOKUP(B735,Sheet2!$A$2:$A$392,1,0)</f>
        <v>#N/A</v>
      </c>
      <c r="E735" t="s">
        <v>27</v>
      </c>
      <c r="F735" t="s">
        <v>41</v>
      </c>
      <c r="G735" t="s">
        <v>158</v>
      </c>
      <c r="I735" t="s">
        <v>42</v>
      </c>
      <c r="J735" s="2">
        <v>2400</v>
      </c>
      <c r="K735" s="3">
        <v>82.09</v>
      </c>
      <c r="L735" s="2">
        <v>2109</v>
      </c>
      <c r="O735" t="s">
        <v>159</v>
      </c>
      <c r="P735" t="s">
        <v>2640</v>
      </c>
      <c r="R735" t="s">
        <v>32</v>
      </c>
      <c r="S735" t="s">
        <v>33</v>
      </c>
      <c r="U735" t="s">
        <v>44</v>
      </c>
      <c r="W735" t="s">
        <v>63</v>
      </c>
      <c r="X735" t="s">
        <v>34</v>
      </c>
      <c r="Y735" t="s">
        <v>64</v>
      </c>
      <c r="Z735" t="s">
        <v>2641</v>
      </c>
      <c r="AA735" t="s">
        <v>38</v>
      </c>
    </row>
    <row r="736" spans="1:27" hidden="1">
      <c r="A736" t="s">
        <v>2642</v>
      </c>
      <c r="B736" t="s">
        <v>2643</v>
      </c>
      <c r="C736" t="e">
        <f>VLOOKUP(B736,Sheet2!$A$2:$A$392,1,0)</f>
        <v>#N/A</v>
      </c>
      <c r="E736" t="s">
        <v>40</v>
      </c>
      <c r="G736" t="s">
        <v>125</v>
      </c>
      <c r="I736" t="s">
        <v>42</v>
      </c>
      <c r="J736" s="2">
        <v>224</v>
      </c>
      <c r="K736" s="2">
        <v>12</v>
      </c>
      <c r="L736" s="2">
        <v>224</v>
      </c>
      <c r="P736" t="s">
        <v>2644</v>
      </c>
      <c r="S736" t="s">
        <v>33</v>
      </c>
      <c r="X736" t="s">
        <v>34</v>
      </c>
      <c r="AA736" t="s">
        <v>38</v>
      </c>
    </row>
    <row r="737" spans="1:27" hidden="1">
      <c r="A737" t="s">
        <v>2645</v>
      </c>
      <c r="B737" t="s">
        <v>2646</v>
      </c>
      <c r="C737" t="e">
        <f>VLOOKUP(B737,Sheet2!$A$2:$A$392,1,0)</f>
        <v>#N/A</v>
      </c>
      <c r="E737" t="s">
        <v>40</v>
      </c>
      <c r="G737" t="s">
        <v>89</v>
      </c>
      <c r="I737" t="s">
        <v>42</v>
      </c>
      <c r="J737" s="2">
        <v>91</v>
      </c>
      <c r="K737">
        <v>33.1</v>
      </c>
      <c r="L737" s="2">
        <v>302</v>
      </c>
      <c r="P737" t="s">
        <v>2647</v>
      </c>
      <c r="S737" t="s">
        <v>33</v>
      </c>
      <c r="X737" t="s">
        <v>34</v>
      </c>
      <c r="AA737" t="s">
        <v>38</v>
      </c>
    </row>
    <row r="738" spans="1:27" hidden="1">
      <c r="A738" t="s">
        <v>2648</v>
      </c>
      <c r="B738" t="s">
        <v>2649</v>
      </c>
      <c r="C738" t="e">
        <f>VLOOKUP(B738,Sheet2!$A$2:$A$392,1,0)</f>
        <v>#N/A</v>
      </c>
      <c r="E738" t="s">
        <v>72</v>
      </c>
      <c r="G738" t="s">
        <v>73</v>
      </c>
      <c r="I738" t="s">
        <v>42</v>
      </c>
      <c r="J738" s="2">
        <v>1493</v>
      </c>
      <c r="K738" s="3">
        <v>73.150000000000006</v>
      </c>
      <c r="L738" s="2">
        <v>1493</v>
      </c>
      <c r="P738" s="2">
        <v>0</v>
      </c>
      <c r="S738" t="s">
        <v>33</v>
      </c>
      <c r="X738" t="s">
        <v>34</v>
      </c>
      <c r="AA738" t="s">
        <v>38</v>
      </c>
    </row>
    <row r="739" spans="1:27" hidden="1">
      <c r="A739" t="s">
        <v>2650</v>
      </c>
      <c r="B739" t="s">
        <v>2651</v>
      </c>
      <c r="C739" t="e">
        <f>VLOOKUP(B739,Sheet2!$A$2:$A$392,1,0)</f>
        <v>#N/A</v>
      </c>
      <c r="E739" t="s">
        <v>40</v>
      </c>
      <c r="G739" t="s">
        <v>831</v>
      </c>
      <c r="I739" t="s">
        <v>42</v>
      </c>
      <c r="J739" s="2">
        <v>1000</v>
      </c>
      <c r="K739" s="2">
        <v>26</v>
      </c>
      <c r="L739" s="2">
        <v>198</v>
      </c>
      <c r="P739" t="s">
        <v>2652</v>
      </c>
      <c r="S739" t="s">
        <v>33</v>
      </c>
      <c r="X739" t="s">
        <v>34</v>
      </c>
      <c r="AA739" t="s">
        <v>38</v>
      </c>
    </row>
    <row r="740" spans="1:27" hidden="1">
      <c r="A740" t="s">
        <v>2653</v>
      </c>
      <c r="B740" t="s">
        <v>2654</v>
      </c>
      <c r="C740" t="e">
        <f>VLOOKUP(B740,Sheet2!$A$2:$A$392,1,0)</f>
        <v>#N/A</v>
      </c>
      <c r="E740" t="s">
        <v>40</v>
      </c>
      <c r="G740" t="s">
        <v>136</v>
      </c>
      <c r="I740" t="s">
        <v>42</v>
      </c>
      <c r="J740" s="2">
        <v>1200</v>
      </c>
      <c r="K740" s="2">
        <v>2712</v>
      </c>
      <c r="L740" s="2">
        <v>211</v>
      </c>
      <c r="P740" t="s">
        <v>2655</v>
      </c>
      <c r="S740" t="s">
        <v>33</v>
      </c>
      <c r="X740" t="s">
        <v>34</v>
      </c>
      <c r="Y740" t="s">
        <v>96</v>
      </c>
      <c r="Z740" t="s">
        <v>2656</v>
      </c>
      <c r="AA740" t="s">
        <v>38</v>
      </c>
    </row>
    <row r="741" spans="1:27" hidden="1">
      <c r="A741" t="s">
        <v>2657</v>
      </c>
      <c r="B741" t="s">
        <v>2658</v>
      </c>
      <c r="C741" t="e">
        <f>VLOOKUP(B741,Sheet2!$A$2:$A$392,1,0)</f>
        <v>#N/A</v>
      </c>
      <c r="E741" t="s">
        <v>40</v>
      </c>
      <c r="G741" t="s">
        <v>100</v>
      </c>
      <c r="I741" t="s">
        <v>42</v>
      </c>
      <c r="J741" s="2">
        <v>38</v>
      </c>
      <c r="K741" s="3">
        <v>22.98</v>
      </c>
      <c r="L741" s="2">
        <v>126</v>
      </c>
      <c r="P741" t="s">
        <v>2659</v>
      </c>
      <c r="S741" t="s">
        <v>33</v>
      </c>
      <c r="X741" t="s">
        <v>34</v>
      </c>
      <c r="Y741" t="s">
        <v>96</v>
      </c>
      <c r="Z741" t="s">
        <v>2660</v>
      </c>
      <c r="AA741" t="s">
        <v>38</v>
      </c>
    </row>
    <row r="742" spans="1:27" hidden="1">
      <c r="A742" t="s">
        <v>2661</v>
      </c>
      <c r="B742" t="s">
        <v>2662</v>
      </c>
      <c r="C742" t="e">
        <f>VLOOKUP(B742,Sheet2!$A$2:$A$392,1,0)</f>
        <v>#N/A</v>
      </c>
      <c r="E742" t="s">
        <v>40</v>
      </c>
      <c r="G742" t="s">
        <v>136</v>
      </c>
      <c r="I742" t="s">
        <v>42</v>
      </c>
      <c r="J742" s="2">
        <v>70</v>
      </c>
      <c r="K742" s="2">
        <v>29</v>
      </c>
      <c r="L742" s="2">
        <v>232</v>
      </c>
      <c r="P742" t="s">
        <v>2663</v>
      </c>
      <c r="S742" t="s">
        <v>33</v>
      </c>
      <c r="X742" t="s">
        <v>34</v>
      </c>
      <c r="AA742" t="s">
        <v>38</v>
      </c>
    </row>
    <row r="743" spans="1:27" hidden="1">
      <c r="A743" t="s">
        <v>2664</v>
      </c>
      <c r="B743" t="s">
        <v>2665</v>
      </c>
      <c r="C743" t="e">
        <f>VLOOKUP(B743,Sheet2!$A$2:$A$392,1,0)</f>
        <v>#N/A</v>
      </c>
      <c r="E743" t="s">
        <v>40</v>
      </c>
      <c r="F743" t="s">
        <v>41</v>
      </c>
      <c r="G743" t="s">
        <v>2046</v>
      </c>
      <c r="I743" t="s">
        <v>42</v>
      </c>
      <c r="J743" s="2">
        <v>52</v>
      </c>
      <c r="K743" s="2">
        <v>20</v>
      </c>
      <c r="L743" s="2">
        <v>171</v>
      </c>
      <c r="O743" t="s">
        <v>2666</v>
      </c>
      <c r="P743" t="s">
        <v>2667</v>
      </c>
      <c r="R743" t="s">
        <v>42</v>
      </c>
      <c r="S743" t="s">
        <v>33</v>
      </c>
      <c r="T743" t="s">
        <v>34</v>
      </c>
      <c r="U743" t="s">
        <v>35</v>
      </c>
      <c r="X743" t="s">
        <v>34</v>
      </c>
      <c r="Y743" t="s">
        <v>132</v>
      </c>
      <c r="Z743" t="s">
        <v>2668</v>
      </c>
      <c r="AA743" t="s">
        <v>38</v>
      </c>
    </row>
    <row r="744" spans="1:27" hidden="1">
      <c r="A744" t="s">
        <v>2669</v>
      </c>
      <c r="B744" t="s">
        <v>2670</v>
      </c>
      <c r="C744" t="e">
        <f>VLOOKUP(B744,Sheet2!$A$2:$A$392,1,0)</f>
        <v>#N/A</v>
      </c>
      <c r="E744" t="s">
        <v>40</v>
      </c>
      <c r="F744" t="s">
        <v>41</v>
      </c>
      <c r="G744" t="s">
        <v>29</v>
      </c>
      <c r="J744" s="2">
        <v>8000</v>
      </c>
      <c r="K744" s="2">
        <v>91</v>
      </c>
      <c r="L744" s="2">
        <v>3324</v>
      </c>
      <c r="P744" t="s">
        <v>2671</v>
      </c>
      <c r="R744" t="s">
        <v>42</v>
      </c>
      <c r="S744" t="s">
        <v>33</v>
      </c>
      <c r="U744" t="s">
        <v>35</v>
      </c>
      <c r="X744" t="s">
        <v>34</v>
      </c>
      <c r="Y744" t="s">
        <v>45</v>
      </c>
      <c r="Z744" t="s">
        <v>2672</v>
      </c>
      <c r="AA744" t="s">
        <v>38</v>
      </c>
    </row>
    <row r="745" spans="1:27" hidden="1">
      <c r="A745" t="s">
        <v>2673</v>
      </c>
      <c r="B745" t="s">
        <v>2674</v>
      </c>
      <c r="C745" t="e">
        <f>VLOOKUP(B745,Sheet2!$A$2:$A$392,1,0)</f>
        <v>#N/A</v>
      </c>
      <c r="E745" t="s">
        <v>40</v>
      </c>
      <c r="F745" t="s">
        <v>41</v>
      </c>
      <c r="G745" t="s">
        <v>29</v>
      </c>
      <c r="I745" t="s">
        <v>42</v>
      </c>
      <c r="J745" s="2">
        <v>8000</v>
      </c>
      <c r="K745" s="2">
        <v>91</v>
      </c>
      <c r="L745" s="2">
        <v>3283</v>
      </c>
      <c r="M745" s="2">
        <v>1900</v>
      </c>
      <c r="P745" t="s">
        <v>2675</v>
      </c>
      <c r="R745" t="s">
        <v>42</v>
      </c>
      <c r="S745" t="s">
        <v>33</v>
      </c>
      <c r="T745" t="s">
        <v>34</v>
      </c>
      <c r="U745" t="s">
        <v>35</v>
      </c>
      <c r="X745" t="s">
        <v>34</v>
      </c>
      <c r="Y745" t="s">
        <v>45</v>
      </c>
      <c r="Z745" t="s">
        <v>2676</v>
      </c>
      <c r="AA745" t="s">
        <v>38</v>
      </c>
    </row>
    <row r="746" spans="1:27" hidden="1">
      <c r="A746" t="s">
        <v>2677</v>
      </c>
      <c r="B746" t="s">
        <v>2678</v>
      </c>
      <c r="C746" t="e">
        <f>VLOOKUP(B746,Sheet2!$A$2:$A$392,1,0)</f>
        <v>#N/A</v>
      </c>
      <c r="E746" t="s">
        <v>170</v>
      </c>
      <c r="G746" t="s">
        <v>2046</v>
      </c>
      <c r="I746" t="s">
        <v>352</v>
      </c>
      <c r="J746" s="2">
        <v>6204</v>
      </c>
      <c r="K746" s="3">
        <v>102.88</v>
      </c>
      <c r="L746" s="2">
        <v>3626</v>
      </c>
      <c r="P746" t="s">
        <v>2679</v>
      </c>
      <c r="S746" t="s">
        <v>33</v>
      </c>
      <c r="X746" t="s">
        <v>34</v>
      </c>
      <c r="AA746" t="s">
        <v>38</v>
      </c>
    </row>
    <row r="747" spans="1:27" hidden="1">
      <c r="A747" t="s">
        <v>2680</v>
      </c>
      <c r="B747" t="s">
        <v>2681</v>
      </c>
      <c r="C747" t="e">
        <f>VLOOKUP(B747,Sheet2!$A$2:$A$392,1,0)</f>
        <v>#N/A</v>
      </c>
      <c r="E747" t="s">
        <v>52</v>
      </c>
      <c r="F747" t="s">
        <v>28</v>
      </c>
      <c r="G747" t="s">
        <v>59</v>
      </c>
      <c r="I747" t="s">
        <v>60</v>
      </c>
      <c r="J747" s="2">
        <v>55641</v>
      </c>
      <c r="K747" s="3">
        <v>189.99</v>
      </c>
      <c r="L747" s="2">
        <v>31236</v>
      </c>
      <c r="O747" t="s">
        <v>61</v>
      </c>
      <c r="P747" t="s">
        <v>2682</v>
      </c>
      <c r="R747" t="s">
        <v>60</v>
      </c>
      <c r="S747" t="s">
        <v>33</v>
      </c>
      <c r="T747" t="s">
        <v>34</v>
      </c>
      <c r="U747" t="s">
        <v>35</v>
      </c>
      <c r="W747" t="s">
        <v>63</v>
      </c>
      <c r="X747" t="s">
        <v>34</v>
      </c>
      <c r="Y747" t="s">
        <v>64</v>
      </c>
      <c r="Z747" t="s">
        <v>2683</v>
      </c>
      <c r="AA747" t="s">
        <v>38</v>
      </c>
    </row>
    <row r="748" spans="1:27" hidden="1">
      <c r="A748" t="s">
        <v>2684</v>
      </c>
      <c r="B748" t="s">
        <v>2685</v>
      </c>
      <c r="C748" t="e">
        <f>VLOOKUP(B748,Sheet2!$A$2:$A$392,1,0)</f>
        <v>#N/A</v>
      </c>
      <c r="E748" t="s">
        <v>40</v>
      </c>
      <c r="G748" t="s">
        <v>747</v>
      </c>
      <c r="I748" t="s">
        <v>42</v>
      </c>
      <c r="J748" s="2">
        <v>100</v>
      </c>
      <c r="K748">
        <v>23.5</v>
      </c>
      <c r="L748" s="2">
        <v>126</v>
      </c>
      <c r="P748" s="2">
        <v>1</v>
      </c>
      <c r="S748" t="s">
        <v>33</v>
      </c>
      <c r="X748" t="s">
        <v>34</v>
      </c>
      <c r="AA748" t="s">
        <v>38</v>
      </c>
    </row>
    <row r="749" spans="1:27" hidden="1">
      <c r="A749" t="s">
        <v>2686</v>
      </c>
      <c r="B749" t="s">
        <v>2687</v>
      </c>
      <c r="C749" t="e">
        <f>VLOOKUP(B749,Sheet2!$A$2:$A$392,1,0)</f>
        <v>#N/A</v>
      </c>
      <c r="E749" t="s">
        <v>72</v>
      </c>
      <c r="G749" t="s">
        <v>2688</v>
      </c>
      <c r="I749" t="s">
        <v>42</v>
      </c>
      <c r="J749" s="2">
        <v>18116</v>
      </c>
      <c r="K749" s="2">
        <v>120</v>
      </c>
      <c r="L749" s="2">
        <v>8051</v>
      </c>
      <c r="P749" s="2">
        <v>0</v>
      </c>
      <c r="S749" t="s">
        <v>33</v>
      </c>
      <c r="X749" t="s">
        <v>34</v>
      </c>
      <c r="AA749" t="s">
        <v>38</v>
      </c>
    </row>
    <row r="750" spans="1:27" hidden="1">
      <c r="A750" t="s">
        <v>2689</v>
      </c>
      <c r="B750" t="s">
        <v>2690</v>
      </c>
      <c r="C750" t="e">
        <f>VLOOKUP(B750,Sheet2!$A$2:$A$392,1,0)</f>
        <v>#N/A</v>
      </c>
      <c r="E750" t="s">
        <v>27</v>
      </c>
      <c r="F750" t="s">
        <v>41</v>
      </c>
      <c r="G750" t="s">
        <v>158</v>
      </c>
      <c r="I750" t="s">
        <v>42</v>
      </c>
      <c r="J750" s="2">
        <v>3500</v>
      </c>
      <c r="K750">
        <v>82.6</v>
      </c>
      <c r="L750" s="2">
        <v>1997</v>
      </c>
      <c r="O750" t="s">
        <v>159</v>
      </c>
      <c r="P750" t="s">
        <v>2691</v>
      </c>
      <c r="R750" t="s">
        <v>581</v>
      </c>
      <c r="S750" t="s">
        <v>33</v>
      </c>
      <c r="T750" t="s">
        <v>34</v>
      </c>
      <c r="U750" t="s">
        <v>35</v>
      </c>
      <c r="W750" t="s">
        <v>63</v>
      </c>
      <c r="X750" t="s">
        <v>34</v>
      </c>
      <c r="Y750" t="s">
        <v>64</v>
      </c>
      <c r="Z750" t="s">
        <v>2692</v>
      </c>
      <c r="AA750" t="s">
        <v>38</v>
      </c>
    </row>
    <row r="751" spans="1:27" hidden="1">
      <c r="A751" t="s">
        <v>2693</v>
      </c>
      <c r="B751" t="s">
        <v>2694</v>
      </c>
      <c r="C751" t="e">
        <f>VLOOKUP(B751,Sheet2!$A$2:$A$392,1,0)</f>
        <v>#N/A</v>
      </c>
      <c r="E751" t="s">
        <v>170</v>
      </c>
      <c r="I751" t="s">
        <v>42</v>
      </c>
      <c r="J751" s="2">
        <v>46986</v>
      </c>
      <c r="K751">
        <v>182.5</v>
      </c>
      <c r="L751" s="2">
        <v>28480</v>
      </c>
      <c r="P751" t="s">
        <v>2695</v>
      </c>
      <c r="S751" t="s">
        <v>33</v>
      </c>
      <c r="X751" t="s">
        <v>34</v>
      </c>
      <c r="AA751" t="s">
        <v>38</v>
      </c>
    </row>
    <row r="752" spans="1:27" hidden="1">
      <c r="A752" t="s">
        <v>2696</v>
      </c>
      <c r="B752" t="s">
        <v>2697</v>
      </c>
      <c r="C752" t="e">
        <f>VLOOKUP(B752,Sheet2!$A$2:$A$392,1,0)</f>
        <v>#N/A</v>
      </c>
      <c r="E752" t="s">
        <v>40</v>
      </c>
      <c r="G752" t="s">
        <v>629</v>
      </c>
      <c r="I752" t="s">
        <v>42</v>
      </c>
      <c r="J752" s="2">
        <v>50</v>
      </c>
      <c r="K752" s="3">
        <v>17.579999999999998</v>
      </c>
      <c r="L752" s="2">
        <v>50</v>
      </c>
      <c r="P752" t="s">
        <v>2698</v>
      </c>
      <c r="S752" t="s">
        <v>33</v>
      </c>
      <c r="X752" t="s">
        <v>34</v>
      </c>
      <c r="AA752" t="s">
        <v>38</v>
      </c>
    </row>
    <row r="753" spans="1:27">
      <c r="A753" t="s">
        <v>2699</v>
      </c>
      <c r="B753" t="s">
        <v>2700</v>
      </c>
      <c r="C753" t="str">
        <f>VLOOKUP(B753,Sheet2!$A$2:$A$392,1,0)</f>
        <v>KM. MA NO. 2</v>
      </c>
      <c r="E753" t="s">
        <v>27</v>
      </c>
      <c r="F753" t="s">
        <v>41</v>
      </c>
      <c r="G753" t="s">
        <v>29</v>
      </c>
      <c r="I753" t="s">
        <v>42</v>
      </c>
      <c r="J753" s="2">
        <v>2000</v>
      </c>
      <c r="K753" s="2">
        <v>71</v>
      </c>
      <c r="L753" s="2">
        <v>1332</v>
      </c>
      <c r="M753" s="2">
        <v>1400</v>
      </c>
      <c r="P753" t="s">
        <v>2701</v>
      </c>
      <c r="R753" t="s">
        <v>32</v>
      </c>
      <c r="S753" t="s">
        <v>33</v>
      </c>
      <c r="T753" t="s">
        <v>34</v>
      </c>
      <c r="U753" t="s">
        <v>35</v>
      </c>
      <c r="X753" t="s">
        <v>34</v>
      </c>
      <c r="Y753" t="s">
        <v>45</v>
      </c>
      <c r="Z753" t="s">
        <v>2702</v>
      </c>
      <c r="AA753" t="s">
        <v>38</v>
      </c>
    </row>
    <row r="754" spans="1:27" hidden="1">
      <c r="A754" t="s">
        <v>2703</v>
      </c>
      <c r="B754" t="s">
        <v>2704</v>
      </c>
      <c r="C754" t="e">
        <f>VLOOKUP(B754,Sheet2!$A$2:$A$392,1,0)</f>
        <v>#N/A</v>
      </c>
      <c r="E754" t="s">
        <v>40</v>
      </c>
      <c r="G754" t="s">
        <v>355</v>
      </c>
      <c r="I754" t="s">
        <v>42</v>
      </c>
      <c r="J754" s="2">
        <v>191</v>
      </c>
      <c r="K754" s="3">
        <v>23.51</v>
      </c>
      <c r="L754" s="2">
        <v>143</v>
      </c>
      <c r="P754" t="s">
        <v>2705</v>
      </c>
      <c r="S754" t="s">
        <v>33</v>
      </c>
      <c r="X754" t="s">
        <v>34</v>
      </c>
      <c r="AA754" t="s">
        <v>38</v>
      </c>
    </row>
    <row r="755" spans="1:27" hidden="1">
      <c r="A755" t="s">
        <v>2706</v>
      </c>
      <c r="B755" t="s">
        <v>2707</v>
      </c>
      <c r="C755" t="e">
        <f>VLOOKUP(B755,Sheet2!$A$2:$A$392,1,0)</f>
        <v>#N/A</v>
      </c>
      <c r="E755" t="s">
        <v>52</v>
      </c>
      <c r="F755" t="s">
        <v>41</v>
      </c>
      <c r="G755" t="s">
        <v>29</v>
      </c>
      <c r="I755" t="s">
        <v>42</v>
      </c>
      <c r="J755" s="2">
        <v>13747</v>
      </c>
      <c r="K755">
        <v>86.5</v>
      </c>
      <c r="L755" s="2">
        <v>1924</v>
      </c>
      <c r="M755" s="2">
        <v>3800</v>
      </c>
      <c r="N755" s="2">
        <v>12</v>
      </c>
      <c r="O755" t="s">
        <v>254</v>
      </c>
      <c r="P755" s="2">
        <v>1234</v>
      </c>
      <c r="R755" t="s">
        <v>42</v>
      </c>
      <c r="S755" t="s">
        <v>33</v>
      </c>
      <c r="T755" t="s">
        <v>106</v>
      </c>
      <c r="U755" t="s">
        <v>44</v>
      </c>
      <c r="X755" t="s">
        <v>34</v>
      </c>
      <c r="Y755" t="s">
        <v>142</v>
      </c>
      <c r="Z755" t="s">
        <v>2708</v>
      </c>
      <c r="AA755" t="s">
        <v>38</v>
      </c>
    </row>
    <row r="756" spans="1:27" hidden="1">
      <c r="A756" t="s">
        <v>2709</v>
      </c>
      <c r="B756" t="s">
        <v>2710</v>
      </c>
      <c r="C756" t="e">
        <f>VLOOKUP(B756,Sheet2!$A$2:$A$392,1,0)</f>
        <v>#N/A</v>
      </c>
      <c r="E756" t="s">
        <v>170</v>
      </c>
      <c r="G756" t="s">
        <v>2711</v>
      </c>
      <c r="I756" t="s">
        <v>694</v>
      </c>
      <c r="J756" s="2">
        <v>87052</v>
      </c>
      <c r="K756" s="2">
        <v>229</v>
      </c>
      <c r="L756" s="2">
        <v>46982</v>
      </c>
      <c r="P756" t="s">
        <v>2712</v>
      </c>
      <c r="S756" t="s">
        <v>33</v>
      </c>
      <c r="X756" t="s">
        <v>34</v>
      </c>
      <c r="Y756" t="s">
        <v>96</v>
      </c>
      <c r="Z756" t="s">
        <v>2713</v>
      </c>
      <c r="AA756" t="s">
        <v>38</v>
      </c>
    </row>
    <row r="757" spans="1:27" hidden="1">
      <c r="A757" t="s">
        <v>2714</v>
      </c>
      <c r="B757" t="s">
        <v>2715</v>
      </c>
      <c r="C757" t="e">
        <f>VLOOKUP(B757,Sheet2!$A$2:$A$392,1,0)</f>
        <v>#N/A</v>
      </c>
      <c r="E757" t="s">
        <v>249</v>
      </c>
      <c r="G757" t="s">
        <v>336</v>
      </c>
      <c r="I757" t="s">
        <v>42</v>
      </c>
      <c r="J757" s="2">
        <v>6000</v>
      </c>
      <c r="K757" s="3">
        <v>91.46</v>
      </c>
      <c r="L757" s="2">
        <v>2996</v>
      </c>
      <c r="P757" t="s">
        <v>2716</v>
      </c>
      <c r="S757" t="s">
        <v>33</v>
      </c>
      <c r="X757" t="s">
        <v>34</v>
      </c>
      <c r="AA757" t="s">
        <v>38</v>
      </c>
    </row>
    <row r="758" spans="1:27" hidden="1">
      <c r="A758" t="s">
        <v>2717</v>
      </c>
      <c r="B758" t="s">
        <v>2718</v>
      </c>
      <c r="C758" t="e">
        <f>VLOOKUP(B758,Sheet2!$A$2:$A$392,1,0)</f>
        <v>#N/A</v>
      </c>
      <c r="E758" t="s">
        <v>52</v>
      </c>
      <c r="F758" t="s">
        <v>28</v>
      </c>
      <c r="G758" t="s">
        <v>59</v>
      </c>
      <c r="I758" t="s">
        <v>2719</v>
      </c>
      <c r="J758" s="2">
        <v>53481</v>
      </c>
      <c r="K758" s="2">
        <v>190</v>
      </c>
      <c r="L758" s="2">
        <v>32637</v>
      </c>
      <c r="M758" s="2">
        <v>9480</v>
      </c>
      <c r="N758">
        <v>12.9</v>
      </c>
      <c r="O758" t="s">
        <v>61</v>
      </c>
      <c r="P758" t="s">
        <v>2720</v>
      </c>
      <c r="R758" t="s">
        <v>2721</v>
      </c>
      <c r="S758" t="s">
        <v>33</v>
      </c>
      <c r="T758" t="s">
        <v>34</v>
      </c>
      <c r="U758" t="s">
        <v>35</v>
      </c>
      <c r="W758" t="s">
        <v>63</v>
      </c>
      <c r="X758" t="s">
        <v>34</v>
      </c>
      <c r="Y758" t="s">
        <v>64</v>
      </c>
      <c r="Z758" t="s">
        <v>2722</v>
      </c>
      <c r="AA758" t="s">
        <v>38</v>
      </c>
    </row>
    <row r="759" spans="1:27">
      <c r="A759" t="s">
        <v>2723</v>
      </c>
      <c r="B759" t="s">
        <v>2724</v>
      </c>
      <c r="C759" t="str">
        <f>VLOOKUP(B759,Sheet2!$A$2:$A$392,1,0)</f>
        <v>MV. AMMAR</v>
      </c>
      <c r="E759" t="s">
        <v>52</v>
      </c>
      <c r="F759" t="s">
        <v>28</v>
      </c>
      <c r="G759" t="s">
        <v>151</v>
      </c>
      <c r="I759" t="s">
        <v>60</v>
      </c>
      <c r="J759" s="2">
        <v>45766</v>
      </c>
      <c r="K759">
        <v>185.7</v>
      </c>
      <c r="L759" s="2">
        <v>26014</v>
      </c>
      <c r="P759" t="s">
        <v>2725</v>
      </c>
      <c r="R759" t="s">
        <v>32</v>
      </c>
      <c r="S759" t="s">
        <v>33</v>
      </c>
      <c r="T759" t="s">
        <v>106</v>
      </c>
      <c r="U759" t="s">
        <v>35</v>
      </c>
      <c r="X759" t="s">
        <v>34</v>
      </c>
      <c r="Y759" t="s">
        <v>154</v>
      </c>
      <c r="Z759" t="s">
        <v>2726</v>
      </c>
      <c r="AA759" t="s">
        <v>38</v>
      </c>
    </row>
    <row r="760" spans="1:27" hidden="1">
      <c r="A760" t="s">
        <v>2727</v>
      </c>
      <c r="B760" t="s">
        <v>2728</v>
      </c>
      <c r="C760" t="e">
        <f>VLOOKUP(B760,Sheet2!$A$2:$A$392,1,0)</f>
        <v>#N/A</v>
      </c>
      <c r="E760" t="s">
        <v>170</v>
      </c>
      <c r="I760" t="s">
        <v>42</v>
      </c>
      <c r="J760" s="2">
        <v>46248</v>
      </c>
      <c r="K760" s="2">
        <v>178</v>
      </c>
      <c r="L760" s="2">
        <v>27985</v>
      </c>
      <c r="P760" t="s">
        <v>2729</v>
      </c>
      <c r="S760" t="s">
        <v>33</v>
      </c>
      <c r="X760" t="s">
        <v>34</v>
      </c>
      <c r="AA760" t="s">
        <v>38</v>
      </c>
    </row>
    <row r="761" spans="1:27" hidden="1">
      <c r="A761" t="s">
        <v>2730</v>
      </c>
      <c r="B761" t="s">
        <v>2731</v>
      </c>
      <c r="C761" t="e">
        <f>VLOOKUP(B761,Sheet2!$A$2:$A$392,1,0)</f>
        <v>#N/A</v>
      </c>
      <c r="E761" t="s">
        <v>27</v>
      </c>
      <c r="F761" t="s">
        <v>41</v>
      </c>
      <c r="I761" t="s">
        <v>42</v>
      </c>
      <c r="J761" s="2">
        <v>3500</v>
      </c>
      <c r="K761" s="2">
        <v>90</v>
      </c>
      <c r="L761" s="2">
        <v>2938</v>
      </c>
      <c r="O761" t="s">
        <v>2732</v>
      </c>
      <c r="P761" t="s">
        <v>2733</v>
      </c>
      <c r="R761" t="s">
        <v>42</v>
      </c>
      <c r="S761" t="s">
        <v>33</v>
      </c>
      <c r="T761" t="s">
        <v>34</v>
      </c>
      <c r="U761" t="s">
        <v>35</v>
      </c>
      <c r="X761" t="s">
        <v>34</v>
      </c>
      <c r="Y761" t="s">
        <v>132</v>
      </c>
      <c r="Z761" t="s">
        <v>2734</v>
      </c>
      <c r="AA761" t="s">
        <v>38</v>
      </c>
    </row>
    <row r="762" spans="1:27">
      <c r="A762" t="s">
        <v>2735</v>
      </c>
      <c r="B762" t="s">
        <v>2736</v>
      </c>
      <c r="C762" t="str">
        <f>VLOOKUP(B762,Sheet2!$A$2:$A$392,1,0)</f>
        <v>MV. AKIJ GLOBE</v>
      </c>
      <c r="E762" t="s">
        <v>52</v>
      </c>
      <c r="F762" t="s">
        <v>28</v>
      </c>
      <c r="G762" t="s">
        <v>151</v>
      </c>
      <c r="J762" s="2">
        <v>53125</v>
      </c>
      <c r="K762" s="2">
        <v>189</v>
      </c>
      <c r="L762" s="2">
        <v>30000</v>
      </c>
      <c r="M762" s="2">
        <v>9480</v>
      </c>
      <c r="N762" s="2">
        <v>12</v>
      </c>
      <c r="O762" t="s">
        <v>152</v>
      </c>
      <c r="P762" t="s">
        <v>2737</v>
      </c>
      <c r="R762" t="s">
        <v>32</v>
      </c>
      <c r="S762" t="s">
        <v>33</v>
      </c>
      <c r="U762" t="s">
        <v>35</v>
      </c>
      <c r="X762" t="s">
        <v>34</v>
      </c>
      <c r="Y762" t="s">
        <v>154</v>
      </c>
      <c r="Z762" t="s">
        <v>2738</v>
      </c>
      <c r="AA762" t="s">
        <v>38</v>
      </c>
    </row>
    <row r="763" spans="1:27" hidden="1">
      <c r="A763" t="s">
        <v>2739</v>
      </c>
      <c r="B763" t="s">
        <v>2740</v>
      </c>
      <c r="C763" t="e">
        <f>VLOOKUP(B763,Sheet2!$A$2:$A$392,1,0)</f>
        <v>#N/A</v>
      </c>
      <c r="E763" t="s">
        <v>27</v>
      </c>
      <c r="F763" t="s">
        <v>41</v>
      </c>
      <c r="G763" t="s">
        <v>158</v>
      </c>
      <c r="I763" t="s">
        <v>42</v>
      </c>
      <c r="J763" s="2">
        <v>4000</v>
      </c>
      <c r="K763" s="3">
        <v>84.54</v>
      </c>
      <c r="L763" s="2">
        <v>2261</v>
      </c>
      <c r="O763" t="s">
        <v>159</v>
      </c>
      <c r="P763" t="s">
        <v>2741</v>
      </c>
      <c r="R763" t="s">
        <v>32</v>
      </c>
      <c r="S763" t="s">
        <v>33</v>
      </c>
      <c r="T763" t="s">
        <v>34</v>
      </c>
      <c r="U763" t="s">
        <v>35</v>
      </c>
      <c r="X763" t="s">
        <v>34</v>
      </c>
      <c r="Y763" t="s">
        <v>45</v>
      </c>
      <c r="Z763" t="s">
        <v>1994</v>
      </c>
      <c r="AA763" t="s">
        <v>38</v>
      </c>
    </row>
    <row r="764" spans="1:27" hidden="1">
      <c r="A764" t="s">
        <v>2742</v>
      </c>
      <c r="B764" t="s">
        <v>2743</v>
      </c>
      <c r="C764" t="e">
        <f>VLOOKUP(B764,Sheet2!$A$2:$A$392,1,0)</f>
        <v>#N/A</v>
      </c>
      <c r="E764" t="s">
        <v>52</v>
      </c>
      <c r="F764" t="s">
        <v>28</v>
      </c>
      <c r="G764" t="s">
        <v>59</v>
      </c>
      <c r="I764" t="s">
        <v>685</v>
      </c>
      <c r="J764" s="2">
        <v>62466</v>
      </c>
      <c r="K764" s="3">
        <v>199.98</v>
      </c>
      <c r="L764" s="2">
        <v>35335</v>
      </c>
      <c r="O764" t="s">
        <v>61</v>
      </c>
      <c r="P764" t="s">
        <v>2744</v>
      </c>
      <c r="R764" t="s">
        <v>685</v>
      </c>
      <c r="S764" t="s">
        <v>33</v>
      </c>
      <c r="T764" t="s">
        <v>34</v>
      </c>
      <c r="U764" t="s">
        <v>35</v>
      </c>
      <c r="W764" t="s">
        <v>63</v>
      </c>
      <c r="X764" t="s">
        <v>34</v>
      </c>
      <c r="Y764" t="s">
        <v>64</v>
      </c>
      <c r="Z764" t="s">
        <v>2745</v>
      </c>
      <c r="AA764" t="s">
        <v>38</v>
      </c>
    </row>
    <row r="765" spans="1:27" hidden="1">
      <c r="A765" t="s">
        <v>2746</v>
      </c>
      <c r="B765" t="s">
        <v>2747</v>
      </c>
      <c r="C765" t="e">
        <f>VLOOKUP(B765,Sheet2!$A$2:$A$392,1,0)</f>
        <v>#N/A</v>
      </c>
      <c r="E765" t="s">
        <v>52</v>
      </c>
      <c r="F765" t="s">
        <v>28</v>
      </c>
      <c r="G765" t="s">
        <v>29</v>
      </c>
      <c r="I765" t="s">
        <v>301</v>
      </c>
      <c r="J765" s="2">
        <v>37405</v>
      </c>
      <c r="K765" s="2">
        <v>190</v>
      </c>
      <c r="L765" s="2">
        <v>24150</v>
      </c>
      <c r="P765" t="s">
        <v>2748</v>
      </c>
      <c r="R765" t="s">
        <v>32</v>
      </c>
      <c r="S765" t="s">
        <v>33</v>
      </c>
      <c r="T765" t="s">
        <v>34</v>
      </c>
      <c r="U765" t="s">
        <v>35</v>
      </c>
      <c r="X765" t="s">
        <v>34</v>
      </c>
      <c r="Y765" t="s">
        <v>45</v>
      </c>
      <c r="Z765" t="s">
        <v>2749</v>
      </c>
      <c r="AA765" t="s">
        <v>38</v>
      </c>
    </row>
    <row r="766" spans="1:27" hidden="1">
      <c r="A766" t="s">
        <v>2750</v>
      </c>
      <c r="B766" t="s">
        <v>2751</v>
      </c>
      <c r="C766" t="e">
        <f>VLOOKUP(B766,Sheet2!$A$2:$A$392,1,0)</f>
        <v>#N/A</v>
      </c>
      <c r="E766" t="s">
        <v>170</v>
      </c>
      <c r="F766" t="s">
        <v>28</v>
      </c>
      <c r="G766" t="s">
        <v>115</v>
      </c>
      <c r="I766" t="s">
        <v>2752</v>
      </c>
      <c r="J766" s="2">
        <v>107160</v>
      </c>
      <c r="K766" s="2">
        <v>248</v>
      </c>
      <c r="L766" s="2">
        <v>60007</v>
      </c>
      <c r="P766" t="s">
        <v>2753</v>
      </c>
      <c r="S766" t="s">
        <v>33</v>
      </c>
      <c r="T766" t="s">
        <v>34</v>
      </c>
      <c r="X766" t="s">
        <v>34</v>
      </c>
      <c r="Y766" t="s">
        <v>117</v>
      </c>
      <c r="Z766" t="s">
        <v>2754</v>
      </c>
      <c r="AA766" t="s">
        <v>38</v>
      </c>
    </row>
    <row r="767" spans="1:27" hidden="1">
      <c r="A767" t="s">
        <v>2755</v>
      </c>
      <c r="B767" t="s">
        <v>2756</v>
      </c>
      <c r="C767" t="e">
        <f>VLOOKUP(B767,Sheet2!$A$2:$A$392,1,0)</f>
        <v>#N/A</v>
      </c>
      <c r="E767" t="s">
        <v>52</v>
      </c>
      <c r="F767" t="s">
        <v>28</v>
      </c>
      <c r="G767" t="s">
        <v>59</v>
      </c>
      <c r="I767" t="s">
        <v>1113</v>
      </c>
      <c r="J767" s="2">
        <v>54286</v>
      </c>
      <c r="K767" s="2">
        <v>189</v>
      </c>
      <c r="L767" s="2">
        <v>30669</v>
      </c>
      <c r="M767" s="2">
        <v>9480</v>
      </c>
      <c r="N767" s="2">
        <v>12</v>
      </c>
      <c r="O767" t="s">
        <v>61</v>
      </c>
      <c r="P767" t="s">
        <v>2757</v>
      </c>
      <c r="R767" t="s">
        <v>581</v>
      </c>
      <c r="S767" t="s">
        <v>33</v>
      </c>
      <c r="T767" t="s">
        <v>34</v>
      </c>
      <c r="U767" t="s">
        <v>35</v>
      </c>
      <c r="W767" t="s">
        <v>63</v>
      </c>
      <c r="X767" t="s">
        <v>34</v>
      </c>
      <c r="Y767" t="s">
        <v>64</v>
      </c>
      <c r="Z767" t="s">
        <v>2758</v>
      </c>
      <c r="AA767" t="s">
        <v>38</v>
      </c>
    </row>
    <row r="768" spans="1:27" hidden="1">
      <c r="A768" t="s">
        <v>2759</v>
      </c>
      <c r="B768" t="s">
        <v>2760</v>
      </c>
      <c r="C768" t="e">
        <f>VLOOKUP(B768,Sheet2!$A$2:$A$392,1,0)</f>
        <v>#N/A</v>
      </c>
      <c r="E768" t="s">
        <v>52</v>
      </c>
      <c r="F768" t="s">
        <v>28</v>
      </c>
      <c r="G768" t="s">
        <v>29</v>
      </c>
      <c r="I768" t="s">
        <v>301</v>
      </c>
      <c r="J768" s="2">
        <v>37717</v>
      </c>
      <c r="K768" s="3">
        <v>179.97</v>
      </c>
      <c r="L768" s="2">
        <v>23232</v>
      </c>
      <c r="P768" t="s">
        <v>2761</v>
      </c>
      <c r="R768" t="s">
        <v>32</v>
      </c>
      <c r="S768" t="s">
        <v>33</v>
      </c>
      <c r="T768" t="s">
        <v>34</v>
      </c>
      <c r="U768" t="s">
        <v>35</v>
      </c>
      <c r="W768" t="s">
        <v>165</v>
      </c>
      <c r="X768" t="s">
        <v>34</v>
      </c>
      <c r="Y768" t="s">
        <v>245</v>
      </c>
      <c r="Z768" t="s">
        <v>2762</v>
      </c>
      <c r="AA768" t="s">
        <v>38</v>
      </c>
    </row>
    <row r="769" spans="1:27" hidden="1">
      <c r="A769" t="s">
        <v>2763</v>
      </c>
      <c r="B769" t="s">
        <v>2764</v>
      </c>
      <c r="C769" t="e">
        <f>VLOOKUP(B769,Sheet2!$A$2:$A$392,1,0)</f>
        <v>#N/A</v>
      </c>
      <c r="E769" t="s">
        <v>170</v>
      </c>
      <c r="I769" t="s">
        <v>42</v>
      </c>
      <c r="J769" s="2">
        <v>15999</v>
      </c>
      <c r="K769" s="3">
        <v>137.87</v>
      </c>
      <c r="L769" s="2">
        <v>9959</v>
      </c>
      <c r="P769" t="s">
        <v>2765</v>
      </c>
      <c r="S769" t="s">
        <v>33</v>
      </c>
      <c r="X769" t="s">
        <v>34</v>
      </c>
      <c r="AA769" t="s">
        <v>38</v>
      </c>
    </row>
    <row r="770" spans="1:27">
      <c r="A770" t="s">
        <v>2766</v>
      </c>
      <c r="B770" t="s">
        <v>2767</v>
      </c>
      <c r="C770" t="str">
        <f>VLOOKUP(B770,Sheet2!$A$2:$A$392,1,0)</f>
        <v>MV. AISHA SARWAR</v>
      </c>
      <c r="E770" t="s">
        <v>52</v>
      </c>
      <c r="F770" t="s">
        <v>28</v>
      </c>
      <c r="G770" t="s">
        <v>151</v>
      </c>
      <c r="I770" t="s">
        <v>60</v>
      </c>
      <c r="J770" s="2">
        <v>48265</v>
      </c>
      <c r="K770" s="3">
        <v>189.33</v>
      </c>
      <c r="L770" s="2">
        <v>26612</v>
      </c>
      <c r="P770" t="s">
        <v>2768</v>
      </c>
      <c r="R770" t="s">
        <v>32</v>
      </c>
      <c r="S770" t="s">
        <v>33</v>
      </c>
      <c r="T770" t="s">
        <v>106</v>
      </c>
      <c r="U770" t="s">
        <v>35</v>
      </c>
      <c r="X770" t="s">
        <v>34</v>
      </c>
      <c r="Y770" t="s">
        <v>154</v>
      </c>
      <c r="Z770" t="s">
        <v>2769</v>
      </c>
      <c r="AA770" t="s">
        <v>38</v>
      </c>
    </row>
    <row r="771" spans="1:27" hidden="1">
      <c r="A771" t="s">
        <v>2770</v>
      </c>
      <c r="B771" t="s">
        <v>2771</v>
      </c>
      <c r="C771" t="e">
        <f>VLOOKUP(B771,Sheet2!$A$2:$A$392,1,0)</f>
        <v>#N/A</v>
      </c>
      <c r="E771" t="s">
        <v>72</v>
      </c>
      <c r="I771" t="s">
        <v>42</v>
      </c>
      <c r="J771" s="2">
        <v>617</v>
      </c>
      <c r="K771" s="3">
        <v>54.86</v>
      </c>
      <c r="L771" s="2">
        <v>1026</v>
      </c>
      <c r="P771" t="s">
        <v>74</v>
      </c>
      <c r="S771" t="s">
        <v>33</v>
      </c>
      <c r="X771" t="s">
        <v>34</v>
      </c>
      <c r="Y771" t="s">
        <v>96</v>
      </c>
      <c r="Z771" t="s">
        <v>2772</v>
      </c>
      <c r="AA771" t="s">
        <v>38</v>
      </c>
    </row>
    <row r="772" spans="1:27" hidden="1">
      <c r="A772" t="s">
        <v>2773</v>
      </c>
      <c r="B772" t="s">
        <v>2774</v>
      </c>
      <c r="C772" t="e">
        <f>VLOOKUP(B772,Sheet2!$A$2:$A$392,1,0)</f>
        <v>#N/A</v>
      </c>
      <c r="E772" t="s">
        <v>27</v>
      </c>
      <c r="F772" t="s">
        <v>41</v>
      </c>
      <c r="G772" t="s">
        <v>29</v>
      </c>
      <c r="I772" t="s">
        <v>42</v>
      </c>
      <c r="J772" s="2">
        <v>1500</v>
      </c>
      <c r="K772" s="2">
        <v>63</v>
      </c>
      <c r="L772" s="2">
        <v>998</v>
      </c>
      <c r="M772" s="2">
        <v>1000</v>
      </c>
      <c r="N772" s="2">
        <v>4</v>
      </c>
      <c r="P772" t="s">
        <v>2775</v>
      </c>
      <c r="R772" t="s">
        <v>32</v>
      </c>
      <c r="S772" t="s">
        <v>33</v>
      </c>
      <c r="T772" t="s">
        <v>34</v>
      </c>
      <c r="U772" t="s">
        <v>35</v>
      </c>
      <c r="X772" t="s">
        <v>34</v>
      </c>
      <c r="Y772" t="s">
        <v>45</v>
      </c>
      <c r="Z772" t="s">
        <v>2776</v>
      </c>
      <c r="AA772" t="s">
        <v>38</v>
      </c>
    </row>
    <row r="773" spans="1:27" hidden="1">
      <c r="A773" t="s">
        <v>2777</v>
      </c>
      <c r="B773" t="s">
        <v>2778</v>
      </c>
      <c r="C773" t="e">
        <f>VLOOKUP(B773,Sheet2!$A$2:$A$392,1,0)</f>
        <v>#N/A</v>
      </c>
      <c r="E773" t="s">
        <v>52</v>
      </c>
      <c r="F773" t="s">
        <v>28</v>
      </c>
      <c r="G773" t="s">
        <v>59</v>
      </c>
      <c r="I773" t="s">
        <v>60</v>
      </c>
      <c r="J773" s="2">
        <v>53094</v>
      </c>
      <c r="K773" s="2">
        <v>190</v>
      </c>
      <c r="L773" s="2">
        <v>30000</v>
      </c>
      <c r="M773" s="2">
        <v>7500</v>
      </c>
      <c r="N773">
        <v>12.8</v>
      </c>
      <c r="O773" t="s">
        <v>61</v>
      </c>
      <c r="P773" t="s">
        <v>2779</v>
      </c>
      <c r="R773" t="s">
        <v>32</v>
      </c>
      <c r="S773" t="s">
        <v>33</v>
      </c>
      <c r="T773" t="s">
        <v>34</v>
      </c>
      <c r="U773" t="s">
        <v>35</v>
      </c>
      <c r="W773" t="s">
        <v>63</v>
      </c>
      <c r="X773" t="s">
        <v>34</v>
      </c>
      <c r="Y773" t="s">
        <v>64</v>
      </c>
      <c r="Z773" t="s">
        <v>2780</v>
      </c>
      <c r="AA773" t="s">
        <v>38</v>
      </c>
    </row>
    <row r="774" spans="1:27">
      <c r="A774" t="s">
        <v>2781</v>
      </c>
      <c r="B774" t="s">
        <v>2782</v>
      </c>
      <c r="C774" t="str">
        <f>VLOOKUP(B774,Sheet2!$A$2:$A$392,1,0)</f>
        <v>MV. ALWAYS BLESSING</v>
      </c>
      <c r="E774" t="s">
        <v>52</v>
      </c>
      <c r="F774" t="s">
        <v>28</v>
      </c>
      <c r="G774" t="s">
        <v>29</v>
      </c>
      <c r="I774" t="s">
        <v>2783</v>
      </c>
      <c r="J774" s="2">
        <v>8990</v>
      </c>
      <c r="K774">
        <v>99.8</v>
      </c>
      <c r="L774" s="2">
        <v>3819</v>
      </c>
      <c r="P774" t="s">
        <v>2784</v>
      </c>
      <c r="R774" t="s">
        <v>581</v>
      </c>
      <c r="S774" t="s">
        <v>33</v>
      </c>
      <c r="T774" t="s">
        <v>34</v>
      </c>
      <c r="U774" t="s">
        <v>35</v>
      </c>
      <c r="X774" t="s">
        <v>34</v>
      </c>
      <c r="Y774" t="s">
        <v>45</v>
      </c>
      <c r="Z774" t="s">
        <v>2785</v>
      </c>
      <c r="AA774" t="s">
        <v>38</v>
      </c>
    </row>
    <row r="775" spans="1:27" hidden="1">
      <c r="A775" t="s">
        <v>2786</v>
      </c>
      <c r="B775" t="s">
        <v>2787</v>
      </c>
      <c r="C775" t="e">
        <f>VLOOKUP(B775,Sheet2!$A$2:$A$392,1,0)</f>
        <v>#N/A</v>
      </c>
      <c r="E775" t="s">
        <v>52</v>
      </c>
      <c r="F775" t="s">
        <v>28</v>
      </c>
      <c r="G775" t="s">
        <v>59</v>
      </c>
      <c r="I775" t="s">
        <v>60</v>
      </c>
      <c r="J775" s="2">
        <v>58710</v>
      </c>
      <c r="K775" s="2">
        <v>189</v>
      </c>
      <c r="L775" s="2">
        <v>32379</v>
      </c>
      <c r="M775" s="2">
        <v>8400</v>
      </c>
      <c r="N775" s="2">
        <v>12</v>
      </c>
      <c r="O775" t="s">
        <v>61</v>
      </c>
      <c r="P775" t="s">
        <v>2788</v>
      </c>
      <c r="R775" t="s">
        <v>2789</v>
      </c>
      <c r="S775" t="s">
        <v>33</v>
      </c>
      <c r="T775" t="s">
        <v>34</v>
      </c>
      <c r="U775" t="s">
        <v>35</v>
      </c>
      <c r="V775" s="2">
        <v>5</v>
      </c>
      <c r="W775" t="s">
        <v>63</v>
      </c>
      <c r="X775" t="s">
        <v>34</v>
      </c>
      <c r="Y775" t="s">
        <v>64</v>
      </c>
      <c r="Z775" t="s">
        <v>2790</v>
      </c>
      <c r="AA775" t="s">
        <v>38</v>
      </c>
    </row>
    <row r="776" spans="1:27" hidden="1">
      <c r="A776" t="s">
        <v>2791</v>
      </c>
      <c r="B776" t="s">
        <v>2792</v>
      </c>
      <c r="C776" t="e">
        <f>VLOOKUP(B776,Sheet2!$A$2:$A$392,1,0)</f>
        <v>#N/A</v>
      </c>
      <c r="E776" t="s">
        <v>27</v>
      </c>
      <c r="G776" t="s">
        <v>2793</v>
      </c>
      <c r="I776" t="s">
        <v>1692</v>
      </c>
      <c r="J776" s="2">
        <v>7881</v>
      </c>
      <c r="K776" s="2">
        <v>117</v>
      </c>
      <c r="L776" s="2">
        <v>5316</v>
      </c>
      <c r="P776" t="s">
        <v>2794</v>
      </c>
      <c r="S776" t="s">
        <v>33</v>
      </c>
      <c r="X776" t="s">
        <v>34</v>
      </c>
      <c r="AA776" t="s">
        <v>38</v>
      </c>
    </row>
    <row r="777" spans="1:27" hidden="1">
      <c r="A777" t="s">
        <v>2795</v>
      </c>
      <c r="B777" t="s">
        <v>2796</v>
      </c>
      <c r="C777" t="e">
        <f>VLOOKUP(B777,Sheet2!$A$2:$A$392,1,0)</f>
        <v>#N/A</v>
      </c>
      <c r="E777" t="s">
        <v>170</v>
      </c>
      <c r="F777" t="s">
        <v>28</v>
      </c>
      <c r="G777" t="s">
        <v>2711</v>
      </c>
      <c r="I777" t="s">
        <v>1113</v>
      </c>
      <c r="J777" s="2">
        <v>80928</v>
      </c>
      <c r="K777" s="2">
        <v>229</v>
      </c>
      <c r="L777" s="2">
        <v>44027</v>
      </c>
      <c r="O777" t="s">
        <v>2797</v>
      </c>
      <c r="P777" t="s">
        <v>2798</v>
      </c>
      <c r="S777" t="s">
        <v>33</v>
      </c>
      <c r="T777" t="s">
        <v>34</v>
      </c>
      <c r="X777" t="s">
        <v>34</v>
      </c>
      <c r="Y777" t="s">
        <v>117</v>
      </c>
      <c r="Z777" t="s">
        <v>2799</v>
      </c>
      <c r="AA777" t="s">
        <v>38</v>
      </c>
    </row>
    <row r="778" spans="1:27" hidden="1">
      <c r="A778" t="s">
        <v>2800</v>
      </c>
      <c r="B778" t="s">
        <v>2801</v>
      </c>
      <c r="C778" t="e">
        <f>VLOOKUP(B778,Sheet2!$A$2:$A$392,1,0)</f>
        <v>#N/A</v>
      </c>
      <c r="E778" t="s">
        <v>170</v>
      </c>
      <c r="G778" t="s">
        <v>831</v>
      </c>
      <c r="I778" t="s">
        <v>2802</v>
      </c>
      <c r="J778" s="2">
        <v>93385</v>
      </c>
      <c r="K778">
        <v>229.2</v>
      </c>
      <c r="L778" s="2">
        <v>51255</v>
      </c>
      <c r="P778" t="s">
        <v>2803</v>
      </c>
      <c r="S778" t="s">
        <v>33</v>
      </c>
      <c r="X778" t="s">
        <v>34</v>
      </c>
      <c r="AA778" t="s">
        <v>38</v>
      </c>
    </row>
    <row r="779" spans="1:27" hidden="1">
      <c r="A779" t="s">
        <v>2804</v>
      </c>
      <c r="B779" t="s">
        <v>2805</v>
      </c>
      <c r="C779" t="e">
        <f>VLOOKUP(B779,Sheet2!$A$2:$A$392,1,0)</f>
        <v>#N/A</v>
      </c>
      <c r="E779" t="s">
        <v>170</v>
      </c>
      <c r="G779" t="s">
        <v>115</v>
      </c>
      <c r="I779" t="s">
        <v>2635</v>
      </c>
      <c r="J779" s="2">
        <v>149999</v>
      </c>
      <c r="K779" s="2">
        <v>274</v>
      </c>
      <c r="L779" s="2">
        <v>84156</v>
      </c>
      <c r="P779" t="s">
        <v>2806</v>
      </c>
      <c r="S779" t="s">
        <v>33</v>
      </c>
      <c r="X779" t="s">
        <v>34</v>
      </c>
      <c r="Y779" t="s">
        <v>96</v>
      </c>
      <c r="Z779" t="s">
        <v>2807</v>
      </c>
      <c r="AA779" t="s">
        <v>38</v>
      </c>
    </row>
    <row r="780" spans="1:27" hidden="1">
      <c r="A780" t="s">
        <v>2808</v>
      </c>
      <c r="B780" t="s">
        <v>2809</v>
      </c>
      <c r="C780" t="e">
        <f>VLOOKUP(B780,Sheet2!$A$2:$A$392,1,0)</f>
        <v>#N/A</v>
      </c>
      <c r="E780" t="s">
        <v>40</v>
      </c>
      <c r="F780" t="s">
        <v>41</v>
      </c>
      <c r="G780" t="s">
        <v>29</v>
      </c>
      <c r="I780" t="s">
        <v>42</v>
      </c>
      <c r="J780" s="2">
        <v>78</v>
      </c>
      <c r="K780" s="2">
        <v>78</v>
      </c>
      <c r="L780" s="2">
        <v>3048</v>
      </c>
      <c r="P780" s="2">
        <v>1234</v>
      </c>
      <c r="R780" t="s">
        <v>42</v>
      </c>
      <c r="S780" t="s">
        <v>33</v>
      </c>
      <c r="T780" t="s">
        <v>106</v>
      </c>
      <c r="U780" t="s">
        <v>35</v>
      </c>
      <c r="X780" t="s">
        <v>34</v>
      </c>
      <c r="Y780" t="s">
        <v>142</v>
      </c>
      <c r="Z780" t="s">
        <v>2810</v>
      </c>
      <c r="AA780" t="s">
        <v>38</v>
      </c>
    </row>
    <row r="781" spans="1:27" hidden="1">
      <c r="A781" t="s">
        <v>2811</v>
      </c>
      <c r="B781" t="s">
        <v>2812</v>
      </c>
      <c r="C781" t="e">
        <f>VLOOKUP(B781,Sheet2!$A$2:$A$392,1,0)</f>
        <v>#N/A</v>
      </c>
      <c r="E781" t="s">
        <v>27</v>
      </c>
      <c r="F781" t="s">
        <v>41</v>
      </c>
      <c r="G781" t="s">
        <v>29</v>
      </c>
      <c r="I781" t="s">
        <v>42</v>
      </c>
      <c r="J781" s="2">
        <v>2100</v>
      </c>
      <c r="K781" s="2">
        <v>76</v>
      </c>
      <c r="L781" s="2">
        <v>1482</v>
      </c>
      <c r="P781" t="s">
        <v>2175</v>
      </c>
      <c r="R781" t="s">
        <v>32</v>
      </c>
      <c r="S781" t="s">
        <v>33</v>
      </c>
      <c r="T781" t="s">
        <v>34</v>
      </c>
      <c r="U781" t="s">
        <v>35</v>
      </c>
      <c r="X781" t="s">
        <v>34</v>
      </c>
      <c r="Y781" t="s">
        <v>45</v>
      </c>
      <c r="Z781" t="s">
        <v>1155</v>
      </c>
      <c r="AA781" t="s">
        <v>38</v>
      </c>
    </row>
    <row r="782" spans="1:27">
      <c r="A782" t="s">
        <v>2813</v>
      </c>
      <c r="B782" t="s">
        <v>2814</v>
      </c>
      <c r="C782" t="str">
        <f>VLOOKUP(B782,Sheet2!$A$2:$A$392,1,0)</f>
        <v>MV. AKIJ WAVE</v>
      </c>
      <c r="E782" t="s">
        <v>52</v>
      </c>
      <c r="F782" t="s">
        <v>28</v>
      </c>
      <c r="G782" t="s">
        <v>151</v>
      </c>
      <c r="I782" t="s">
        <v>60</v>
      </c>
      <c r="J782" s="2">
        <v>46640</v>
      </c>
      <c r="K782">
        <v>189.8</v>
      </c>
      <c r="L782" s="2">
        <v>27011</v>
      </c>
      <c r="P782" t="s">
        <v>2815</v>
      </c>
      <c r="R782" t="s">
        <v>32</v>
      </c>
      <c r="S782" t="s">
        <v>33</v>
      </c>
      <c r="T782" t="s">
        <v>106</v>
      </c>
      <c r="U782" t="s">
        <v>35</v>
      </c>
      <c r="X782" t="s">
        <v>34</v>
      </c>
      <c r="Y782" t="s">
        <v>154</v>
      </c>
      <c r="Z782" t="s">
        <v>2816</v>
      </c>
      <c r="AA782" t="s">
        <v>38</v>
      </c>
    </row>
    <row r="783" spans="1:27" hidden="1">
      <c r="A783" t="s">
        <v>2817</v>
      </c>
      <c r="B783" t="s">
        <v>2818</v>
      </c>
      <c r="C783" t="e">
        <f>VLOOKUP(B783,Sheet2!$A$2:$A$392,1,0)</f>
        <v>#N/A</v>
      </c>
      <c r="E783" t="s">
        <v>72</v>
      </c>
      <c r="G783" t="s">
        <v>355</v>
      </c>
      <c r="I783" t="s">
        <v>42</v>
      </c>
      <c r="J783" s="2">
        <v>4000</v>
      </c>
      <c r="K783">
        <v>76.2</v>
      </c>
      <c r="L783" s="2">
        <v>2018</v>
      </c>
      <c r="P783" t="s">
        <v>74</v>
      </c>
      <c r="S783" t="s">
        <v>33</v>
      </c>
      <c r="X783" t="s">
        <v>34</v>
      </c>
      <c r="AA783" t="s">
        <v>38</v>
      </c>
    </row>
    <row r="784" spans="1:27" hidden="1">
      <c r="A784" t="s">
        <v>2819</v>
      </c>
      <c r="B784" t="s">
        <v>2820</v>
      </c>
      <c r="C784" t="e">
        <f>VLOOKUP(B784,Sheet2!$A$2:$A$392,1,0)</f>
        <v>#N/A</v>
      </c>
      <c r="E784" t="s">
        <v>27</v>
      </c>
      <c r="G784" t="s">
        <v>747</v>
      </c>
      <c r="I784" t="s">
        <v>42</v>
      </c>
      <c r="J784" s="2">
        <v>6000</v>
      </c>
      <c r="K784" s="3">
        <v>121.87</v>
      </c>
      <c r="L784" s="2">
        <v>5931</v>
      </c>
      <c r="P784" t="s">
        <v>2821</v>
      </c>
      <c r="S784" t="s">
        <v>33</v>
      </c>
      <c r="X784" t="s">
        <v>34</v>
      </c>
      <c r="AA784" t="s">
        <v>38</v>
      </c>
    </row>
    <row r="785" spans="1:27" hidden="1">
      <c r="A785" t="s">
        <v>2822</v>
      </c>
      <c r="B785" t="s">
        <v>2823</v>
      </c>
      <c r="C785" t="e">
        <f>VLOOKUP(B785,Sheet2!$A$2:$A$392,1,0)</f>
        <v>#N/A</v>
      </c>
      <c r="E785" t="s">
        <v>27</v>
      </c>
      <c r="F785" t="s">
        <v>41</v>
      </c>
      <c r="G785" t="s">
        <v>415</v>
      </c>
      <c r="I785" t="s">
        <v>42</v>
      </c>
      <c r="J785" s="2">
        <v>2500</v>
      </c>
      <c r="K785" s="2">
        <v>72</v>
      </c>
      <c r="L785" s="2">
        <v>1474</v>
      </c>
      <c r="M785" s="2">
        <v>1000</v>
      </c>
      <c r="N785" s="2">
        <v>3</v>
      </c>
      <c r="P785" t="s">
        <v>2824</v>
      </c>
      <c r="R785" t="s">
        <v>42</v>
      </c>
      <c r="S785" t="s">
        <v>33</v>
      </c>
      <c r="T785" t="s">
        <v>34</v>
      </c>
      <c r="U785" t="s">
        <v>35</v>
      </c>
      <c r="X785" t="s">
        <v>34</v>
      </c>
      <c r="Y785" t="s">
        <v>45</v>
      </c>
      <c r="Z785" t="s">
        <v>2575</v>
      </c>
      <c r="AA785" t="s">
        <v>38</v>
      </c>
    </row>
    <row r="786" spans="1:27" hidden="1">
      <c r="A786" t="s">
        <v>2825</v>
      </c>
      <c r="B786" t="s">
        <v>2826</v>
      </c>
      <c r="C786" t="e">
        <f>VLOOKUP(B786,Sheet2!$A$2:$A$392,1,0)</f>
        <v>#N/A</v>
      </c>
      <c r="E786" t="s">
        <v>27</v>
      </c>
      <c r="F786" t="s">
        <v>41</v>
      </c>
      <c r="G786" t="s">
        <v>59</v>
      </c>
      <c r="I786" t="s">
        <v>42</v>
      </c>
      <c r="J786" s="2">
        <v>6000</v>
      </c>
      <c r="K786" s="3">
        <v>88.51</v>
      </c>
      <c r="L786" s="2">
        <v>2849</v>
      </c>
      <c r="M786" s="2">
        <v>3500</v>
      </c>
      <c r="N786" s="2">
        <v>6</v>
      </c>
      <c r="O786" t="s">
        <v>61</v>
      </c>
      <c r="P786" t="s">
        <v>783</v>
      </c>
      <c r="R786" t="s">
        <v>42</v>
      </c>
      <c r="S786" t="s">
        <v>33</v>
      </c>
      <c r="T786" t="s">
        <v>34</v>
      </c>
      <c r="U786" t="s">
        <v>35</v>
      </c>
      <c r="W786" t="s">
        <v>63</v>
      </c>
      <c r="X786" t="s">
        <v>34</v>
      </c>
      <c r="Y786" t="s">
        <v>64</v>
      </c>
      <c r="Z786" t="s">
        <v>2827</v>
      </c>
      <c r="AA786" t="s">
        <v>38</v>
      </c>
    </row>
    <row r="787" spans="1:27" hidden="1">
      <c r="A787" t="s">
        <v>2828</v>
      </c>
      <c r="B787" t="s">
        <v>2829</v>
      </c>
      <c r="C787" t="e">
        <f>VLOOKUP(B787,Sheet2!$A$2:$A$392,1,0)</f>
        <v>#N/A</v>
      </c>
      <c r="E787" t="s">
        <v>170</v>
      </c>
      <c r="G787" t="s">
        <v>2711</v>
      </c>
      <c r="I787" t="s">
        <v>301</v>
      </c>
      <c r="J787" s="2">
        <v>83454</v>
      </c>
      <c r="K787" s="2">
        <v>229</v>
      </c>
      <c r="L787" s="2">
        <v>44367</v>
      </c>
      <c r="P787" t="s">
        <v>2830</v>
      </c>
      <c r="S787" t="s">
        <v>33</v>
      </c>
      <c r="X787" t="s">
        <v>34</v>
      </c>
      <c r="AA787" t="s">
        <v>38</v>
      </c>
    </row>
    <row r="788" spans="1:27" hidden="1">
      <c r="A788" t="s">
        <v>2831</v>
      </c>
      <c r="B788" t="s">
        <v>2832</v>
      </c>
      <c r="C788" t="e">
        <f>VLOOKUP(B788,Sheet2!$A$2:$A$392,1,0)</f>
        <v>#N/A</v>
      </c>
      <c r="E788" t="s">
        <v>52</v>
      </c>
      <c r="F788" t="s">
        <v>28</v>
      </c>
      <c r="G788" t="s">
        <v>29</v>
      </c>
      <c r="I788" t="s">
        <v>30</v>
      </c>
      <c r="J788" s="2">
        <v>33541</v>
      </c>
      <c r="K788" s="3">
        <v>175.53</v>
      </c>
      <c r="L788" s="2">
        <v>19796</v>
      </c>
      <c r="P788" t="s">
        <v>2833</v>
      </c>
      <c r="R788" t="s">
        <v>32</v>
      </c>
      <c r="S788" t="s">
        <v>33</v>
      </c>
      <c r="T788" t="s">
        <v>34</v>
      </c>
      <c r="U788" t="s">
        <v>35</v>
      </c>
      <c r="X788" t="s">
        <v>34</v>
      </c>
      <c r="Y788" t="s">
        <v>45</v>
      </c>
      <c r="Z788" t="s">
        <v>2834</v>
      </c>
      <c r="AA788" t="s">
        <v>38</v>
      </c>
    </row>
    <row r="789" spans="1:27" hidden="1">
      <c r="A789" t="s">
        <v>2835</v>
      </c>
      <c r="B789" t="s">
        <v>2836</v>
      </c>
      <c r="C789" t="e">
        <f>VLOOKUP(B789,Sheet2!$A$2:$A$392,1,0)</f>
        <v>#N/A</v>
      </c>
      <c r="E789" t="s">
        <v>196</v>
      </c>
      <c r="F789" t="s">
        <v>28</v>
      </c>
      <c r="G789" t="s">
        <v>151</v>
      </c>
      <c r="I789" t="s">
        <v>685</v>
      </c>
      <c r="J789" s="2">
        <v>21159</v>
      </c>
      <c r="K789" s="2">
        <v>157</v>
      </c>
      <c r="L789" s="2">
        <v>15198</v>
      </c>
      <c r="P789" t="s">
        <v>2837</v>
      </c>
      <c r="R789" t="s">
        <v>32</v>
      </c>
      <c r="S789" t="s">
        <v>33</v>
      </c>
      <c r="T789" t="s">
        <v>106</v>
      </c>
      <c r="U789" t="s">
        <v>35</v>
      </c>
      <c r="W789" t="s">
        <v>63</v>
      </c>
      <c r="X789" t="s">
        <v>34</v>
      </c>
      <c r="Y789" t="s">
        <v>64</v>
      </c>
      <c r="Z789" t="s">
        <v>2838</v>
      </c>
      <c r="AA789" t="s">
        <v>38</v>
      </c>
    </row>
    <row r="790" spans="1:27" hidden="1">
      <c r="A790" t="s">
        <v>2839</v>
      </c>
      <c r="B790" t="s">
        <v>2840</v>
      </c>
      <c r="C790" t="e">
        <f>VLOOKUP(B790,Sheet2!$A$2:$A$392,1,0)</f>
        <v>#N/A</v>
      </c>
      <c r="E790" t="s">
        <v>52</v>
      </c>
      <c r="F790" t="s">
        <v>28</v>
      </c>
      <c r="G790" t="s">
        <v>29</v>
      </c>
      <c r="I790" t="s">
        <v>301</v>
      </c>
      <c r="J790" s="2">
        <v>48913</v>
      </c>
      <c r="K790" s="2">
        <v>190</v>
      </c>
      <c r="L790" s="2">
        <v>28073</v>
      </c>
      <c r="P790" t="s">
        <v>2841</v>
      </c>
      <c r="R790" t="s">
        <v>32</v>
      </c>
      <c r="S790" t="s">
        <v>33</v>
      </c>
      <c r="T790" t="s">
        <v>34</v>
      </c>
      <c r="U790" t="s">
        <v>35</v>
      </c>
      <c r="X790" t="s">
        <v>34</v>
      </c>
      <c r="Y790" t="s">
        <v>45</v>
      </c>
      <c r="Z790" t="s">
        <v>2842</v>
      </c>
      <c r="AA790" t="s">
        <v>38</v>
      </c>
    </row>
    <row r="791" spans="1:27" hidden="1">
      <c r="A791" t="s">
        <v>2843</v>
      </c>
      <c r="B791" t="s">
        <v>2844</v>
      </c>
      <c r="C791" t="e">
        <f>VLOOKUP(B791,Sheet2!$A$2:$A$392,1,0)</f>
        <v>#N/A</v>
      </c>
      <c r="E791" t="s">
        <v>40</v>
      </c>
      <c r="G791" t="s">
        <v>2688</v>
      </c>
      <c r="I791" t="s">
        <v>42</v>
      </c>
      <c r="J791" s="2">
        <v>1500</v>
      </c>
      <c r="K791">
        <v>30.8</v>
      </c>
      <c r="L791" s="2">
        <v>300</v>
      </c>
      <c r="P791" t="s">
        <v>2845</v>
      </c>
      <c r="S791" t="s">
        <v>33</v>
      </c>
      <c r="X791" t="s">
        <v>34</v>
      </c>
      <c r="AA791" t="s">
        <v>38</v>
      </c>
    </row>
    <row r="792" spans="1:27" hidden="1">
      <c r="A792" t="s">
        <v>2846</v>
      </c>
      <c r="B792" t="s">
        <v>2847</v>
      </c>
      <c r="C792" t="e">
        <f>VLOOKUP(B792,Sheet2!$A$2:$A$392,1,0)</f>
        <v>#N/A</v>
      </c>
      <c r="E792" t="s">
        <v>52</v>
      </c>
      <c r="F792" t="s">
        <v>28</v>
      </c>
      <c r="G792" t="s">
        <v>59</v>
      </c>
      <c r="I792" t="s">
        <v>30</v>
      </c>
      <c r="J792" s="2">
        <v>40125</v>
      </c>
      <c r="K792" s="2">
        <v>170</v>
      </c>
      <c r="L792" s="2">
        <v>19796</v>
      </c>
      <c r="M792" s="2">
        <v>6840</v>
      </c>
      <c r="N792" s="2">
        <v>10</v>
      </c>
      <c r="O792" t="s">
        <v>61</v>
      </c>
      <c r="P792" t="s">
        <v>2848</v>
      </c>
      <c r="R792" t="s">
        <v>32</v>
      </c>
      <c r="S792" t="s">
        <v>33</v>
      </c>
      <c r="T792" t="s">
        <v>34</v>
      </c>
      <c r="U792" t="s">
        <v>35</v>
      </c>
      <c r="W792" t="s">
        <v>63</v>
      </c>
      <c r="X792" t="s">
        <v>34</v>
      </c>
      <c r="Y792" t="s">
        <v>64</v>
      </c>
      <c r="Z792" t="s">
        <v>2849</v>
      </c>
      <c r="AA792" t="s">
        <v>38</v>
      </c>
    </row>
    <row r="793" spans="1:27" hidden="1">
      <c r="A793" t="s">
        <v>2850</v>
      </c>
      <c r="B793" t="s">
        <v>2851</v>
      </c>
      <c r="C793" t="e">
        <f>VLOOKUP(B793,Sheet2!$A$2:$A$392,1,0)</f>
        <v>#N/A</v>
      </c>
      <c r="E793" t="s">
        <v>27</v>
      </c>
      <c r="F793" t="s">
        <v>41</v>
      </c>
      <c r="G793" t="s">
        <v>29</v>
      </c>
      <c r="J793" s="2">
        <v>210</v>
      </c>
      <c r="K793" s="2">
        <v>50</v>
      </c>
      <c r="L793" s="2">
        <v>200</v>
      </c>
      <c r="P793" t="s">
        <v>2850</v>
      </c>
      <c r="Q793" t="s">
        <v>34</v>
      </c>
      <c r="R793" t="s">
        <v>42</v>
      </c>
      <c r="S793" t="s">
        <v>33</v>
      </c>
      <c r="U793" t="s">
        <v>35</v>
      </c>
      <c r="X793" t="s">
        <v>34</v>
      </c>
      <c r="Y793" t="s">
        <v>45</v>
      </c>
      <c r="Z793" t="s">
        <v>2852</v>
      </c>
      <c r="AA793" t="s">
        <v>38</v>
      </c>
    </row>
    <row r="794" spans="1:27" hidden="1">
      <c r="A794" t="s">
        <v>2853</v>
      </c>
      <c r="B794" t="s">
        <v>2854</v>
      </c>
      <c r="C794" t="e">
        <f>VLOOKUP(B794,Sheet2!$A$2:$A$392,1,0)</f>
        <v>#N/A</v>
      </c>
      <c r="E794" t="s">
        <v>27</v>
      </c>
      <c r="G794" t="s">
        <v>104</v>
      </c>
      <c r="I794" t="s">
        <v>2855</v>
      </c>
      <c r="J794" s="2">
        <v>8097</v>
      </c>
      <c r="K794" s="3">
        <v>128.44999999999999</v>
      </c>
      <c r="L794" s="2">
        <v>6310</v>
      </c>
      <c r="P794" t="s">
        <v>2856</v>
      </c>
      <c r="S794" t="s">
        <v>33</v>
      </c>
      <c r="X794" t="s">
        <v>34</v>
      </c>
      <c r="Y794" t="s">
        <v>96</v>
      </c>
      <c r="Z794" t="s">
        <v>2857</v>
      </c>
      <c r="AA794" t="s">
        <v>38</v>
      </c>
    </row>
    <row r="795" spans="1:27" hidden="1">
      <c r="A795" t="s">
        <v>2858</v>
      </c>
      <c r="B795" t="s">
        <v>2859</v>
      </c>
      <c r="C795" t="e">
        <f>VLOOKUP(B795,Sheet2!$A$2:$A$392,1,0)</f>
        <v>#N/A</v>
      </c>
      <c r="E795" t="s">
        <v>170</v>
      </c>
      <c r="G795" t="s">
        <v>2688</v>
      </c>
      <c r="I795" t="s">
        <v>2635</v>
      </c>
      <c r="J795" s="2">
        <v>78182</v>
      </c>
      <c r="K795" s="2">
        <v>225</v>
      </c>
      <c r="L795" s="2">
        <v>41650</v>
      </c>
      <c r="P795" t="s">
        <v>2860</v>
      </c>
      <c r="S795" t="s">
        <v>33</v>
      </c>
      <c r="X795" t="s">
        <v>34</v>
      </c>
      <c r="AA795" t="s">
        <v>38</v>
      </c>
    </row>
    <row r="796" spans="1:27" hidden="1">
      <c r="A796" t="s">
        <v>2861</v>
      </c>
      <c r="B796" t="s">
        <v>2862</v>
      </c>
      <c r="C796" t="e">
        <f>VLOOKUP(B796,Sheet2!$A$2:$A$392,1,0)</f>
        <v>#N/A</v>
      </c>
      <c r="E796" t="s">
        <v>52</v>
      </c>
      <c r="F796" t="s">
        <v>28</v>
      </c>
      <c r="G796" t="s">
        <v>59</v>
      </c>
      <c r="I796" t="s">
        <v>301</v>
      </c>
      <c r="J796" s="2">
        <v>61630</v>
      </c>
      <c r="K796" s="3">
        <v>199.99</v>
      </c>
      <c r="L796" s="2">
        <v>34617</v>
      </c>
      <c r="O796" t="s">
        <v>61</v>
      </c>
      <c r="P796" t="s">
        <v>2863</v>
      </c>
      <c r="R796" t="s">
        <v>301</v>
      </c>
      <c r="S796" t="s">
        <v>33</v>
      </c>
      <c r="T796" t="s">
        <v>34</v>
      </c>
      <c r="U796" t="s">
        <v>35</v>
      </c>
      <c r="W796" t="s">
        <v>63</v>
      </c>
      <c r="X796" t="s">
        <v>34</v>
      </c>
      <c r="Y796" t="s">
        <v>64</v>
      </c>
      <c r="Z796" t="s">
        <v>2864</v>
      </c>
      <c r="AA796" t="s">
        <v>38</v>
      </c>
    </row>
    <row r="797" spans="1:27" hidden="1">
      <c r="A797" t="s">
        <v>2865</v>
      </c>
      <c r="B797" t="s">
        <v>2866</v>
      </c>
      <c r="C797" t="e">
        <f>VLOOKUP(B797,Sheet2!$A$2:$A$392,1,0)</f>
        <v>#N/A</v>
      </c>
      <c r="E797" t="s">
        <v>52</v>
      </c>
      <c r="F797" t="s">
        <v>28</v>
      </c>
      <c r="G797" t="s">
        <v>151</v>
      </c>
      <c r="I797" t="s">
        <v>2635</v>
      </c>
      <c r="J797" s="2">
        <v>23693</v>
      </c>
      <c r="K797" s="3">
        <v>150.52000000000001</v>
      </c>
      <c r="L797" s="2">
        <v>14458</v>
      </c>
      <c r="P797" t="s">
        <v>2867</v>
      </c>
      <c r="R797" t="s">
        <v>32</v>
      </c>
      <c r="S797" t="s">
        <v>33</v>
      </c>
      <c r="T797" t="s">
        <v>106</v>
      </c>
      <c r="U797" t="s">
        <v>35</v>
      </c>
      <c r="X797" t="s">
        <v>34</v>
      </c>
      <c r="Y797" t="s">
        <v>154</v>
      </c>
      <c r="Z797" t="s">
        <v>2868</v>
      </c>
      <c r="AA797" t="s">
        <v>38</v>
      </c>
    </row>
    <row r="798" spans="1:27">
      <c r="A798" t="s">
        <v>2869</v>
      </c>
      <c r="B798" t="s">
        <v>2870</v>
      </c>
      <c r="C798" t="str">
        <f>VLOOKUP(B798,Sheet2!$A$2:$A$392,1,0)</f>
        <v>MV. BRAVE ROYAL</v>
      </c>
      <c r="E798" t="s">
        <v>52</v>
      </c>
      <c r="F798" t="s">
        <v>28</v>
      </c>
      <c r="G798" t="s">
        <v>151</v>
      </c>
      <c r="J798" s="2">
        <v>48893</v>
      </c>
      <c r="K798" s="2">
        <v>190</v>
      </c>
      <c r="L798" s="2">
        <v>28074</v>
      </c>
      <c r="O798" t="s">
        <v>152</v>
      </c>
      <c r="P798" t="s">
        <v>2871</v>
      </c>
      <c r="R798" t="s">
        <v>60</v>
      </c>
      <c r="S798" t="s">
        <v>33</v>
      </c>
      <c r="U798" t="s">
        <v>35</v>
      </c>
      <c r="X798" t="s">
        <v>34</v>
      </c>
      <c r="Y798" t="s">
        <v>154</v>
      </c>
      <c r="Z798" t="s">
        <v>2872</v>
      </c>
      <c r="AA798" t="s">
        <v>38</v>
      </c>
    </row>
    <row r="799" spans="1:27" hidden="1">
      <c r="A799" t="s">
        <v>2873</v>
      </c>
      <c r="B799" t="s">
        <v>2874</v>
      </c>
      <c r="C799" t="e">
        <f>VLOOKUP(B799,Sheet2!$A$2:$A$392,1,0)</f>
        <v>#N/A</v>
      </c>
      <c r="E799" t="s">
        <v>40</v>
      </c>
      <c r="F799" t="s">
        <v>41</v>
      </c>
      <c r="G799" t="s">
        <v>29</v>
      </c>
      <c r="I799" t="s">
        <v>42</v>
      </c>
      <c r="J799" s="2">
        <v>8000</v>
      </c>
      <c r="K799" s="2">
        <v>91</v>
      </c>
      <c r="L799" s="2">
        <v>3442</v>
      </c>
      <c r="P799" t="s">
        <v>2875</v>
      </c>
      <c r="R799" t="s">
        <v>42</v>
      </c>
      <c r="S799" t="s">
        <v>33</v>
      </c>
      <c r="T799" t="s">
        <v>34</v>
      </c>
      <c r="U799" t="s">
        <v>35</v>
      </c>
      <c r="X799" t="s">
        <v>34</v>
      </c>
      <c r="Y799" t="s">
        <v>45</v>
      </c>
      <c r="Z799" t="s">
        <v>2876</v>
      </c>
      <c r="AA799" t="s">
        <v>38</v>
      </c>
    </row>
    <row r="800" spans="1:27" hidden="1">
      <c r="A800" t="s">
        <v>2877</v>
      </c>
      <c r="B800" t="s">
        <v>2878</v>
      </c>
      <c r="C800" t="e">
        <f>VLOOKUP(B800,Sheet2!$A$2:$A$392,1,0)</f>
        <v>#N/A</v>
      </c>
      <c r="E800" t="s">
        <v>170</v>
      </c>
      <c r="F800" t="s">
        <v>28</v>
      </c>
      <c r="G800" t="s">
        <v>2879</v>
      </c>
      <c r="I800" t="s">
        <v>1113</v>
      </c>
      <c r="J800" s="2">
        <v>81542</v>
      </c>
      <c r="K800" s="2">
        <v>229</v>
      </c>
      <c r="L800" s="2">
        <v>44625</v>
      </c>
      <c r="O800" t="s">
        <v>2880</v>
      </c>
      <c r="P800" t="s">
        <v>2881</v>
      </c>
      <c r="S800" t="s">
        <v>33</v>
      </c>
      <c r="T800" t="s">
        <v>34</v>
      </c>
      <c r="X800" t="s">
        <v>34</v>
      </c>
      <c r="Y800" t="s">
        <v>2882</v>
      </c>
      <c r="Z800" t="s">
        <v>2883</v>
      </c>
      <c r="AA800" t="s">
        <v>38</v>
      </c>
    </row>
    <row r="801" spans="1:27" hidden="1">
      <c r="A801" t="s">
        <v>2884</v>
      </c>
      <c r="B801" t="s">
        <v>2885</v>
      </c>
      <c r="C801" t="e">
        <f>VLOOKUP(B801,Sheet2!$A$2:$A$392,1,0)</f>
        <v>#N/A</v>
      </c>
      <c r="E801" t="s">
        <v>170</v>
      </c>
      <c r="G801" t="s">
        <v>2886</v>
      </c>
      <c r="I801" t="s">
        <v>685</v>
      </c>
      <c r="J801" s="2">
        <v>95737</v>
      </c>
      <c r="K801" s="3">
        <v>234.98</v>
      </c>
      <c r="L801" s="2">
        <v>50617</v>
      </c>
      <c r="P801" t="s">
        <v>2887</v>
      </c>
      <c r="S801" t="s">
        <v>33</v>
      </c>
      <c r="X801" t="s">
        <v>34</v>
      </c>
      <c r="AA801" t="s">
        <v>38</v>
      </c>
    </row>
    <row r="802" spans="1:27" hidden="1">
      <c r="A802" t="s">
        <v>2888</v>
      </c>
      <c r="B802" t="s">
        <v>2889</v>
      </c>
      <c r="C802" t="e">
        <f>VLOOKUP(B802,Sheet2!$A$2:$A$392,1,0)</f>
        <v>#N/A</v>
      </c>
      <c r="E802" t="s">
        <v>52</v>
      </c>
      <c r="F802" t="s">
        <v>41</v>
      </c>
      <c r="G802" t="s">
        <v>29</v>
      </c>
      <c r="J802" s="2">
        <v>7500</v>
      </c>
      <c r="K802" s="2">
        <v>109</v>
      </c>
      <c r="L802" s="2">
        <v>4974</v>
      </c>
      <c r="O802" t="s">
        <v>482</v>
      </c>
      <c r="P802" t="s">
        <v>2890</v>
      </c>
      <c r="R802" t="s">
        <v>42</v>
      </c>
      <c r="S802" t="s">
        <v>33</v>
      </c>
      <c r="U802" t="s">
        <v>35</v>
      </c>
      <c r="X802" t="s">
        <v>34</v>
      </c>
      <c r="Y802" t="s">
        <v>45</v>
      </c>
      <c r="Z802" t="s">
        <v>2891</v>
      </c>
      <c r="AA802" t="s">
        <v>38</v>
      </c>
    </row>
    <row r="803" spans="1:27" hidden="1">
      <c r="A803" t="s">
        <v>2892</v>
      </c>
      <c r="B803" t="s">
        <v>2893</v>
      </c>
      <c r="C803" t="e">
        <f>VLOOKUP(B803,Sheet2!$A$2:$A$392,1,0)</f>
        <v>#N/A</v>
      </c>
      <c r="E803" t="s">
        <v>170</v>
      </c>
      <c r="F803" t="s">
        <v>28</v>
      </c>
      <c r="G803" t="s">
        <v>115</v>
      </c>
      <c r="I803" t="s">
        <v>2635</v>
      </c>
      <c r="J803" s="2">
        <v>10561</v>
      </c>
      <c r="K803" s="2">
        <v>239</v>
      </c>
      <c r="L803" s="2">
        <v>56204</v>
      </c>
      <c r="P803" t="s">
        <v>2894</v>
      </c>
      <c r="S803" t="s">
        <v>33</v>
      </c>
      <c r="T803" t="s">
        <v>34</v>
      </c>
      <c r="U803" t="s">
        <v>35</v>
      </c>
      <c r="X803" t="s">
        <v>34</v>
      </c>
      <c r="Y803" t="s">
        <v>132</v>
      </c>
      <c r="Z803" t="s">
        <v>2895</v>
      </c>
      <c r="AA803" t="s">
        <v>38</v>
      </c>
    </row>
    <row r="804" spans="1:27" hidden="1">
      <c r="A804" t="s">
        <v>2896</v>
      </c>
      <c r="B804" t="s">
        <v>2897</v>
      </c>
      <c r="C804" t="e">
        <f>VLOOKUP(B804,Sheet2!$A$2:$A$392,1,0)</f>
        <v>#N/A</v>
      </c>
      <c r="E804" t="s">
        <v>52</v>
      </c>
      <c r="F804" t="s">
        <v>28</v>
      </c>
      <c r="G804" t="s">
        <v>59</v>
      </c>
      <c r="I804" t="s">
        <v>301</v>
      </c>
      <c r="J804" s="2">
        <v>56174</v>
      </c>
      <c r="K804" s="2">
        <v>189</v>
      </c>
      <c r="L804" s="2">
        <v>31756</v>
      </c>
      <c r="M804" s="2">
        <v>9480</v>
      </c>
      <c r="N804" s="2">
        <v>12</v>
      </c>
      <c r="O804" t="s">
        <v>61</v>
      </c>
      <c r="P804" t="s">
        <v>2898</v>
      </c>
      <c r="R804" t="s">
        <v>301</v>
      </c>
      <c r="S804" t="s">
        <v>33</v>
      </c>
      <c r="T804" t="s">
        <v>34</v>
      </c>
      <c r="U804" t="s">
        <v>35</v>
      </c>
      <c r="W804" t="s">
        <v>63</v>
      </c>
      <c r="X804" t="s">
        <v>34</v>
      </c>
      <c r="Y804" t="s">
        <v>64</v>
      </c>
      <c r="Z804" t="s">
        <v>2899</v>
      </c>
      <c r="AA804" t="s">
        <v>38</v>
      </c>
    </row>
    <row r="805" spans="1:27" hidden="1">
      <c r="A805" t="s">
        <v>2900</v>
      </c>
      <c r="B805" t="s">
        <v>2901</v>
      </c>
      <c r="C805" t="e">
        <f>VLOOKUP(B805,Sheet2!$A$2:$A$392,1,0)</f>
        <v>#N/A</v>
      </c>
      <c r="E805" t="s">
        <v>170</v>
      </c>
      <c r="F805" t="s">
        <v>28</v>
      </c>
      <c r="G805" t="s">
        <v>115</v>
      </c>
      <c r="I805" t="s">
        <v>225</v>
      </c>
      <c r="J805" s="2">
        <v>104866</v>
      </c>
      <c r="K805" s="3">
        <v>243.56</v>
      </c>
      <c r="L805" s="2">
        <v>58088</v>
      </c>
      <c r="O805" t="s">
        <v>2902</v>
      </c>
      <c r="P805" t="s">
        <v>2903</v>
      </c>
      <c r="R805" t="s">
        <v>225</v>
      </c>
      <c r="S805" t="s">
        <v>33</v>
      </c>
      <c r="T805" t="s">
        <v>34</v>
      </c>
      <c r="U805" t="s">
        <v>35</v>
      </c>
      <c r="X805" t="s">
        <v>34</v>
      </c>
      <c r="Y805" t="s">
        <v>132</v>
      </c>
      <c r="Z805" t="s">
        <v>2904</v>
      </c>
      <c r="AA805" t="s">
        <v>38</v>
      </c>
    </row>
    <row r="806" spans="1:27" hidden="1">
      <c r="A806" t="s">
        <v>2905</v>
      </c>
      <c r="B806" t="s">
        <v>2906</v>
      </c>
      <c r="C806" t="e">
        <f>VLOOKUP(B806,Sheet2!$A$2:$A$392,1,0)</f>
        <v>#N/A</v>
      </c>
      <c r="E806" t="s">
        <v>40</v>
      </c>
      <c r="F806" t="s">
        <v>41</v>
      </c>
      <c r="G806" t="s">
        <v>29</v>
      </c>
      <c r="I806" t="s">
        <v>42</v>
      </c>
      <c r="J806" s="2">
        <v>8000</v>
      </c>
      <c r="K806" s="2">
        <v>91</v>
      </c>
      <c r="L806" s="2">
        <v>3442</v>
      </c>
      <c r="P806" t="s">
        <v>2875</v>
      </c>
      <c r="R806" t="s">
        <v>42</v>
      </c>
      <c r="S806" t="s">
        <v>33</v>
      </c>
      <c r="T806" t="s">
        <v>34</v>
      </c>
      <c r="U806" t="s">
        <v>35</v>
      </c>
      <c r="X806" t="s">
        <v>34</v>
      </c>
      <c r="Y806" t="s">
        <v>45</v>
      </c>
      <c r="Z806" t="s">
        <v>2907</v>
      </c>
      <c r="AA806" t="s">
        <v>38</v>
      </c>
    </row>
    <row r="807" spans="1:27">
      <c r="A807" t="s">
        <v>2908</v>
      </c>
      <c r="B807" t="s">
        <v>2909</v>
      </c>
      <c r="C807" t="str">
        <f>VLOOKUP(B807,Sheet2!$A$2:$A$392,1,0)</f>
        <v>MV. CH CLARE</v>
      </c>
      <c r="E807" t="s">
        <v>52</v>
      </c>
      <c r="F807" t="s">
        <v>28</v>
      </c>
      <c r="G807" t="s">
        <v>29</v>
      </c>
      <c r="I807" t="s">
        <v>244</v>
      </c>
      <c r="J807" s="2">
        <v>33144</v>
      </c>
      <c r="K807">
        <v>177.4</v>
      </c>
      <c r="L807" s="2">
        <v>19992</v>
      </c>
      <c r="P807" t="s">
        <v>2910</v>
      </c>
      <c r="R807" t="s">
        <v>581</v>
      </c>
      <c r="S807" t="s">
        <v>33</v>
      </c>
      <c r="T807" t="s">
        <v>34</v>
      </c>
      <c r="U807" t="s">
        <v>35</v>
      </c>
      <c r="X807" t="s">
        <v>34</v>
      </c>
      <c r="Y807" t="s">
        <v>45</v>
      </c>
      <c r="Z807" t="s">
        <v>2911</v>
      </c>
      <c r="AA807" t="s">
        <v>38</v>
      </c>
    </row>
    <row r="808" spans="1:27" hidden="1">
      <c r="A808" t="s">
        <v>2912</v>
      </c>
      <c r="B808" t="s">
        <v>2913</v>
      </c>
      <c r="C808" t="e">
        <f>VLOOKUP(B808,Sheet2!$A$2:$A$392,1,0)</f>
        <v>#N/A</v>
      </c>
      <c r="E808" t="s">
        <v>27</v>
      </c>
      <c r="G808" t="s">
        <v>181</v>
      </c>
      <c r="I808" t="s">
        <v>244</v>
      </c>
      <c r="J808" s="2">
        <v>33144</v>
      </c>
      <c r="K808">
        <v>109.2</v>
      </c>
      <c r="L808" s="2">
        <v>19992</v>
      </c>
      <c r="P808" t="s">
        <v>2914</v>
      </c>
      <c r="S808" t="s">
        <v>33</v>
      </c>
      <c r="X808" t="s">
        <v>34</v>
      </c>
      <c r="AA808" t="s">
        <v>38</v>
      </c>
    </row>
    <row r="809" spans="1:27" hidden="1">
      <c r="A809" t="s">
        <v>2915</v>
      </c>
      <c r="B809" t="s">
        <v>2916</v>
      </c>
      <c r="C809" t="e">
        <f>VLOOKUP(B809,Sheet2!$A$2:$A$392,1,0)</f>
        <v>#N/A</v>
      </c>
      <c r="E809" t="s">
        <v>40</v>
      </c>
      <c r="F809" t="s">
        <v>28</v>
      </c>
      <c r="G809" t="s">
        <v>59</v>
      </c>
      <c r="J809" s="2">
        <v>11000</v>
      </c>
      <c r="K809" s="3">
        <v>99.97</v>
      </c>
      <c r="L809" s="2">
        <v>4319</v>
      </c>
      <c r="O809" t="s">
        <v>61</v>
      </c>
      <c r="P809" t="s">
        <v>2917</v>
      </c>
      <c r="R809" t="s">
        <v>694</v>
      </c>
      <c r="S809" t="s">
        <v>33</v>
      </c>
      <c r="U809" t="s">
        <v>35</v>
      </c>
      <c r="W809" t="s">
        <v>63</v>
      </c>
      <c r="X809" t="s">
        <v>34</v>
      </c>
      <c r="Y809" t="s">
        <v>64</v>
      </c>
      <c r="Z809" t="s">
        <v>2918</v>
      </c>
      <c r="AA809" t="s">
        <v>38</v>
      </c>
    </row>
    <row r="810" spans="1:27" hidden="1">
      <c r="A810" t="s">
        <v>2919</v>
      </c>
      <c r="B810" t="s">
        <v>2920</v>
      </c>
      <c r="C810" t="e">
        <f>VLOOKUP(B810,Sheet2!$A$2:$A$392,1,0)</f>
        <v>#N/A</v>
      </c>
      <c r="E810" t="s">
        <v>196</v>
      </c>
      <c r="F810" t="s">
        <v>28</v>
      </c>
      <c r="G810" t="s">
        <v>151</v>
      </c>
      <c r="I810" t="s">
        <v>42</v>
      </c>
      <c r="J810" s="2">
        <v>9537</v>
      </c>
      <c r="K810" s="2">
        <v>127</v>
      </c>
      <c r="L810" s="2">
        <v>7258</v>
      </c>
      <c r="P810" t="s">
        <v>2921</v>
      </c>
      <c r="R810" t="s">
        <v>32</v>
      </c>
      <c r="S810" t="s">
        <v>33</v>
      </c>
      <c r="T810" t="s">
        <v>106</v>
      </c>
      <c r="U810" t="s">
        <v>35</v>
      </c>
      <c r="X810" t="s">
        <v>34</v>
      </c>
      <c r="Y810" t="s">
        <v>154</v>
      </c>
      <c r="Z810" t="s">
        <v>2165</v>
      </c>
      <c r="AA810" t="s">
        <v>38</v>
      </c>
    </row>
    <row r="811" spans="1:27">
      <c r="A811" t="s">
        <v>2922</v>
      </c>
      <c r="B811" t="s">
        <v>2923</v>
      </c>
      <c r="C811" t="str">
        <f>VLOOKUP(B811,Sheet2!$A$2:$A$392,1,0)</f>
        <v>MV. CLIPPER LIS</v>
      </c>
      <c r="E811" t="s">
        <v>52</v>
      </c>
      <c r="F811" t="s">
        <v>28</v>
      </c>
      <c r="G811" t="s">
        <v>29</v>
      </c>
      <c r="I811" t="s">
        <v>2924</v>
      </c>
      <c r="J811" s="2">
        <v>28321</v>
      </c>
      <c r="K811" s="3">
        <v>169.37</v>
      </c>
      <c r="L811" s="2">
        <v>17018</v>
      </c>
      <c r="P811" t="s">
        <v>2925</v>
      </c>
      <c r="R811" t="s">
        <v>32</v>
      </c>
      <c r="S811" t="s">
        <v>33</v>
      </c>
      <c r="T811" t="s">
        <v>34</v>
      </c>
      <c r="U811" t="s">
        <v>35</v>
      </c>
      <c r="X811" t="s">
        <v>34</v>
      </c>
      <c r="Y811" t="s">
        <v>45</v>
      </c>
      <c r="Z811" t="s">
        <v>2926</v>
      </c>
      <c r="AA811" t="s">
        <v>38</v>
      </c>
    </row>
    <row r="812" spans="1:27" hidden="1">
      <c r="A812" t="s">
        <v>2927</v>
      </c>
      <c r="B812" t="s">
        <v>2928</v>
      </c>
      <c r="C812" t="e">
        <f>VLOOKUP(B812,Sheet2!$A$2:$A$392,1,0)</f>
        <v>#N/A</v>
      </c>
      <c r="E812" t="s">
        <v>170</v>
      </c>
      <c r="G812" t="s">
        <v>2886</v>
      </c>
      <c r="I812" t="s">
        <v>1113</v>
      </c>
      <c r="J812" s="2">
        <v>74759</v>
      </c>
      <c r="K812" s="2">
        <v>225</v>
      </c>
      <c r="L812" s="2">
        <v>40524</v>
      </c>
      <c r="P812" t="s">
        <v>2929</v>
      </c>
      <c r="S812" t="s">
        <v>33</v>
      </c>
      <c r="X812" t="s">
        <v>34</v>
      </c>
      <c r="AA812" t="s">
        <v>38</v>
      </c>
    </row>
    <row r="813" spans="1:27" hidden="1">
      <c r="A813" t="s">
        <v>2930</v>
      </c>
      <c r="B813" t="s">
        <v>2931</v>
      </c>
      <c r="C813" t="e">
        <f>VLOOKUP(B813,Sheet2!$A$2:$A$392,1,0)</f>
        <v>#N/A</v>
      </c>
      <c r="E813" t="s">
        <v>52</v>
      </c>
      <c r="F813" t="s">
        <v>28</v>
      </c>
      <c r="G813" t="s">
        <v>29</v>
      </c>
      <c r="I813" t="s">
        <v>2635</v>
      </c>
      <c r="J813" s="2">
        <v>39774</v>
      </c>
      <c r="K813" s="3">
        <v>179.99</v>
      </c>
      <c r="L813" s="2">
        <v>23703</v>
      </c>
      <c r="P813" t="s">
        <v>2932</v>
      </c>
      <c r="R813" t="s">
        <v>2789</v>
      </c>
      <c r="S813" t="s">
        <v>33</v>
      </c>
      <c r="T813" t="s">
        <v>34</v>
      </c>
      <c r="U813" t="s">
        <v>35</v>
      </c>
      <c r="X813" t="s">
        <v>34</v>
      </c>
      <c r="Y813" t="s">
        <v>45</v>
      </c>
      <c r="Z813" t="s">
        <v>2933</v>
      </c>
      <c r="AA813" t="s">
        <v>38</v>
      </c>
    </row>
    <row r="814" spans="1:27" hidden="1">
      <c r="A814" t="s">
        <v>2934</v>
      </c>
      <c r="B814" t="s">
        <v>2935</v>
      </c>
      <c r="C814" t="e">
        <f>VLOOKUP(B814,Sheet2!$A$2:$A$392,1,0)</f>
        <v>#N/A</v>
      </c>
      <c r="E814" t="s">
        <v>52</v>
      </c>
      <c r="F814" t="s">
        <v>28</v>
      </c>
      <c r="G814" t="s">
        <v>59</v>
      </c>
      <c r="I814" t="s">
        <v>60</v>
      </c>
      <c r="J814" s="2">
        <v>50913</v>
      </c>
      <c r="K814" s="2">
        <v>189</v>
      </c>
      <c r="L814" s="2">
        <v>28647</v>
      </c>
      <c r="M814" s="2">
        <v>12870</v>
      </c>
      <c r="N814" s="2">
        <v>11</v>
      </c>
      <c r="O814" t="s">
        <v>61</v>
      </c>
      <c r="P814" t="s">
        <v>2936</v>
      </c>
      <c r="R814" t="s">
        <v>32</v>
      </c>
      <c r="S814" t="s">
        <v>33</v>
      </c>
      <c r="T814" t="s">
        <v>34</v>
      </c>
      <c r="U814" t="s">
        <v>35</v>
      </c>
      <c r="W814" t="s">
        <v>63</v>
      </c>
      <c r="X814" t="s">
        <v>34</v>
      </c>
      <c r="Y814" t="s">
        <v>64</v>
      </c>
      <c r="Z814" t="s">
        <v>2937</v>
      </c>
      <c r="AA814" t="s">
        <v>38</v>
      </c>
    </row>
    <row r="815" spans="1:27" hidden="1">
      <c r="A815" t="s">
        <v>2938</v>
      </c>
      <c r="B815" t="s">
        <v>2939</v>
      </c>
      <c r="C815" t="e">
        <f>VLOOKUP(B815,Sheet2!$A$2:$A$392,1,0)</f>
        <v>#N/A</v>
      </c>
      <c r="E815" t="s">
        <v>114</v>
      </c>
      <c r="F815" t="s">
        <v>41</v>
      </c>
      <c r="I815" t="s">
        <v>42</v>
      </c>
      <c r="J815" s="2">
        <v>500</v>
      </c>
      <c r="K815" s="2">
        <v>500</v>
      </c>
      <c r="L815" s="2">
        <v>10000</v>
      </c>
      <c r="O815" t="s">
        <v>2940</v>
      </c>
      <c r="P815" t="s">
        <v>74</v>
      </c>
      <c r="R815" t="s">
        <v>42</v>
      </c>
      <c r="S815" t="s">
        <v>33</v>
      </c>
      <c r="T815" t="s">
        <v>106</v>
      </c>
      <c r="U815" t="s">
        <v>35</v>
      </c>
      <c r="X815" t="s">
        <v>147</v>
      </c>
      <c r="Y815" t="s">
        <v>154</v>
      </c>
      <c r="Z815" t="s">
        <v>615</v>
      </c>
      <c r="AA815" t="s">
        <v>38</v>
      </c>
    </row>
    <row r="816" spans="1:27" hidden="1">
      <c r="A816" t="s">
        <v>2941</v>
      </c>
      <c r="B816" t="s">
        <v>2942</v>
      </c>
      <c r="C816" t="e">
        <f>VLOOKUP(B816,Sheet2!$A$2:$A$392,1,0)</f>
        <v>#N/A</v>
      </c>
      <c r="E816" t="s">
        <v>52</v>
      </c>
      <c r="F816" t="s">
        <v>28</v>
      </c>
      <c r="G816" t="s">
        <v>29</v>
      </c>
      <c r="I816" t="s">
        <v>2635</v>
      </c>
      <c r="J816" s="2">
        <v>36155</v>
      </c>
      <c r="K816" s="2">
        <v>176</v>
      </c>
      <c r="L816" s="2">
        <v>21508</v>
      </c>
      <c r="P816" t="s">
        <v>2943</v>
      </c>
      <c r="R816" t="s">
        <v>581</v>
      </c>
      <c r="S816" t="s">
        <v>33</v>
      </c>
      <c r="T816" t="s">
        <v>34</v>
      </c>
      <c r="U816" t="s">
        <v>35</v>
      </c>
      <c r="X816" t="s">
        <v>34</v>
      </c>
      <c r="Y816" t="s">
        <v>45</v>
      </c>
      <c r="Z816" t="s">
        <v>2944</v>
      </c>
      <c r="AA816" t="s">
        <v>38</v>
      </c>
    </row>
    <row r="817" spans="1:27">
      <c r="A817" t="s">
        <v>2945</v>
      </c>
      <c r="B817" t="s">
        <v>2946</v>
      </c>
      <c r="C817" t="str">
        <f>VLOOKUP(B817,Sheet2!$A$2:$A$392,1,0)</f>
        <v>MV. CEMENT SUCCESS</v>
      </c>
      <c r="E817" t="s">
        <v>196</v>
      </c>
      <c r="F817" t="s">
        <v>41</v>
      </c>
      <c r="G817" t="s">
        <v>907</v>
      </c>
      <c r="J817" s="2">
        <v>14925</v>
      </c>
      <c r="K817" s="3">
        <v>139.36000000000001</v>
      </c>
      <c r="L817" s="2">
        <v>9950</v>
      </c>
      <c r="O817" t="s">
        <v>1356</v>
      </c>
      <c r="P817" t="s">
        <v>865</v>
      </c>
      <c r="R817" t="s">
        <v>42</v>
      </c>
      <c r="S817" t="s">
        <v>33</v>
      </c>
      <c r="U817" t="s">
        <v>35</v>
      </c>
      <c r="X817" t="s">
        <v>34</v>
      </c>
      <c r="Y817" t="s">
        <v>45</v>
      </c>
      <c r="Z817" t="s">
        <v>908</v>
      </c>
      <c r="AA817" t="s">
        <v>38</v>
      </c>
    </row>
    <row r="818" spans="1:27" hidden="1">
      <c r="A818" t="s">
        <v>2947</v>
      </c>
      <c r="B818" t="s">
        <v>2948</v>
      </c>
      <c r="C818" t="e">
        <f>VLOOKUP(B818,Sheet2!$A$2:$A$392,1,0)</f>
        <v>#N/A</v>
      </c>
      <c r="E818" t="s">
        <v>27</v>
      </c>
      <c r="F818" t="s">
        <v>41</v>
      </c>
      <c r="G818" t="s">
        <v>158</v>
      </c>
      <c r="J818" s="2">
        <v>6500</v>
      </c>
      <c r="K818" s="2">
        <v>86</v>
      </c>
      <c r="L818" s="2">
        <v>4635</v>
      </c>
      <c r="M818" s="2">
        <v>1440</v>
      </c>
      <c r="N818" s="2">
        <v>10</v>
      </c>
      <c r="P818" t="s">
        <v>2949</v>
      </c>
      <c r="R818" t="s">
        <v>32</v>
      </c>
      <c r="S818" t="s">
        <v>33</v>
      </c>
      <c r="U818" t="s">
        <v>35</v>
      </c>
      <c r="W818" t="s">
        <v>63</v>
      </c>
      <c r="X818" t="s">
        <v>34</v>
      </c>
      <c r="Y818" t="s">
        <v>64</v>
      </c>
      <c r="Z818" t="s">
        <v>2950</v>
      </c>
      <c r="AA818" t="s">
        <v>38</v>
      </c>
    </row>
    <row r="819" spans="1:27" hidden="1">
      <c r="A819" t="s">
        <v>2951</v>
      </c>
      <c r="B819" t="s">
        <v>2952</v>
      </c>
      <c r="C819" t="e">
        <f>VLOOKUP(B819,Sheet2!$A$2:$A$392,1,0)</f>
        <v>#N/A</v>
      </c>
      <c r="E819" t="s">
        <v>52</v>
      </c>
      <c r="F819" t="s">
        <v>28</v>
      </c>
      <c r="G819" t="s">
        <v>59</v>
      </c>
      <c r="I819" t="s">
        <v>685</v>
      </c>
      <c r="J819" s="2">
        <v>58140</v>
      </c>
      <c r="K819" s="2">
        <v>189</v>
      </c>
      <c r="L819" s="2">
        <v>32309</v>
      </c>
      <c r="M819" s="2">
        <v>8400</v>
      </c>
      <c r="N819">
        <v>12.8</v>
      </c>
      <c r="O819" t="s">
        <v>61</v>
      </c>
      <c r="P819" t="s">
        <v>2953</v>
      </c>
      <c r="R819" t="s">
        <v>32</v>
      </c>
      <c r="S819" t="s">
        <v>33</v>
      </c>
      <c r="T819" t="s">
        <v>34</v>
      </c>
      <c r="U819" t="s">
        <v>35</v>
      </c>
      <c r="W819" t="s">
        <v>63</v>
      </c>
      <c r="X819" t="s">
        <v>34</v>
      </c>
      <c r="Y819" t="s">
        <v>64</v>
      </c>
      <c r="Z819" t="s">
        <v>2954</v>
      </c>
      <c r="AA819" t="s">
        <v>38</v>
      </c>
    </row>
    <row r="820" spans="1:27" hidden="1">
      <c r="A820" t="s">
        <v>2955</v>
      </c>
      <c r="B820" t="s">
        <v>2956</v>
      </c>
      <c r="C820" t="e">
        <f>VLOOKUP(B820,Sheet2!$A$2:$A$392,1,0)</f>
        <v>#N/A</v>
      </c>
      <c r="E820" t="s">
        <v>52</v>
      </c>
      <c r="F820" t="s">
        <v>28</v>
      </c>
      <c r="G820" t="s">
        <v>151</v>
      </c>
      <c r="I820" t="s">
        <v>60</v>
      </c>
      <c r="J820" s="2">
        <v>46640</v>
      </c>
      <c r="K820" s="2">
        <v>190</v>
      </c>
      <c r="L820" s="2">
        <v>27011</v>
      </c>
      <c r="P820" t="s">
        <v>2957</v>
      </c>
      <c r="R820" t="s">
        <v>32</v>
      </c>
      <c r="S820" t="s">
        <v>33</v>
      </c>
      <c r="T820" t="s">
        <v>106</v>
      </c>
      <c r="U820" t="s">
        <v>35</v>
      </c>
      <c r="X820" t="s">
        <v>34</v>
      </c>
      <c r="Y820" t="s">
        <v>154</v>
      </c>
      <c r="Z820" t="s">
        <v>2958</v>
      </c>
      <c r="AA820" t="s">
        <v>38</v>
      </c>
    </row>
    <row r="821" spans="1:27">
      <c r="A821" t="s">
        <v>2959</v>
      </c>
      <c r="B821" t="s">
        <v>2960</v>
      </c>
      <c r="C821" t="str">
        <f>VLOOKUP(B821,Sheet2!$A$2:$A$392,1,0)</f>
        <v>TB. MASADA 27 / BG. MJL 301</v>
      </c>
      <c r="E821" t="s">
        <v>40</v>
      </c>
      <c r="F821" t="s">
        <v>41</v>
      </c>
      <c r="G821" t="s">
        <v>29</v>
      </c>
      <c r="I821" t="s">
        <v>42</v>
      </c>
      <c r="J821" s="2">
        <v>8000</v>
      </c>
      <c r="K821" s="2">
        <v>91</v>
      </c>
      <c r="L821" s="2">
        <v>3579</v>
      </c>
      <c r="P821" t="s">
        <v>185</v>
      </c>
      <c r="R821" t="s">
        <v>42</v>
      </c>
      <c r="S821" t="s">
        <v>33</v>
      </c>
      <c r="T821" t="s">
        <v>34</v>
      </c>
      <c r="U821" t="s">
        <v>44</v>
      </c>
      <c r="X821" t="s">
        <v>34</v>
      </c>
      <c r="Y821" t="s">
        <v>45</v>
      </c>
      <c r="Z821" t="s">
        <v>2961</v>
      </c>
      <c r="AA821" t="s">
        <v>38</v>
      </c>
    </row>
    <row r="822" spans="1:27" hidden="1">
      <c r="A822" t="s">
        <v>2962</v>
      </c>
      <c r="B822" t="s">
        <v>2963</v>
      </c>
      <c r="C822" t="e">
        <f>VLOOKUP(B822,Sheet2!$A$2:$A$392,1,0)</f>
        <v>#N/A</v>
      </c>
      <c r="E822" t="s">
        <v>52</v>
      </c>
      <c r="F822" t="s">
        <v>28</v>
      </c>
      <c r="G822" t="s">
        <v>59</v>
      </c>
      <c r="I822" t="s">
        <v>30</v>
      </c>
      <c r="J822" s="2">
        <v>36845</v>
      </c>
      <c r="K822">
        <v>186.4</v>
      </c>
      <c r="L822" s="2">
        <v>22726</v>
      </c>
      <c r="M822" s="2">
        <v>7860</v>
      </c>
      <c r="N822">
        <v>10.9</v>
      </c>
      <c r="O822" t="s">
        <v>61</v>
      </c>
      <c r="P822" t="s">
        <v>2964</v>
      </c>
      <c r="R822" t="s">
        <v>244</v>
      </c>
      <c r="S822" t="s">
        <v>33</v>
      </c>
      <c r="T822" t="s">
        <v>34</v>
      </c>
      <c r="U822" t="s">
        <v>35</v>
      </c>
      <c r="W822" t="s">
        <v>63</v>
      </c>
      <c r="X822" t="s">
        <v>34</v>
      </c>
      <c r="Y822" t="s">
        <v>64</v>
      </c>
      <c r="Z822" t="s">
        <v>2965</v>
      </c>
      <c r="AA822" t="s">
        <v>38</v>
      </c>
    </row>
    <row r="823" spans="1:27" hidden="1">
      <c r="A823" t="s">
        <v>2966</v>
      </c>
      <c r="B823" t="s">
        <v>2967</v>
      </c>
      <c r="C823" t="e">
        <f>VLOOKUP(B823,Sheet2!$A$2:$A$392,1,0)</f>
        <v>#N/A</v>
      </c>
      <c r="E823" t="s">
        <v>52</v>
      </c>
      <c r="F823" t="s">
        <v>28</v>
      </c>
      <c r="G823" t="s">
        <v>59</v>
      </c>
      <c r="I823" t="s">
        <v>1113</v>
      </c>
      <c r="J823" s="2">
        <v>56896</v>
      </c>
      <c r="K823" s="3">
        <v>189.99</v>
      </c>
      <c r="L823" s="2">
        <v>33044</v>
      </c>
      <c r="M823" s="2">
        <v>9480</v>
      </c>
      <c r="N823">
        <v>12.8</v>
      </c>
      <c r="O823" t="s">
        <v>61</v>
      </c>
      <c r="P823" t="s">
        <v>2968</v>
      </c>
      <c r="R823" t="s">
        <v>581</v>
      </c>
      <c r="S823" t="s">
        <v>33</v>
      </c>
      <c r="T823" t="s">
        <v>34</v>
      </c>
      <c r="U823" t="s">
        <v>35</v>
      </c>
      <c r="W823" t="s">
        <v>63</v>
      </c>
      <c r="X823" t="s">
        <v>34</v>
      </c>
      <c r="Y823" t="s">
        <v>64</v>
      </c>
      <c r="Z823" t="s">
        <v>2969</v>
      </c>
      <c r="AA823" t="s">
        <v>38</v>
      </c>
    </row>
    <row r="824" spans="1:27" hidden="1">
      <c r="A824" t="s">
        <v>2970</v>
      </c>
      <c r="B824" t="s">
        <v>2971</v>
      </c>
      <c r="C824" t="e">
        <f>VLOOKUP(B824,Sheet2!$A$2:$A$392,1,0)</f>
        <v>#N/A</v>
      </c>
      <c r="E824" t="s">
        <v>170</v>
      </c>
      <c r="G824" t="s">
        <v>115</v>
      </c>
      <c r="I824" t="s">
        <v>2752</v>
      </c>
      <c r="J824" s="2">
        <v>149990</v>
      </c>
      <c r="K824" s="3">
        <v>274.22000000000003</v>
      </c>
      <c r="L824" s="2">
        <v>81293</v>
      </c>
      <c r="P824" t="s">
        <v>2972</v>
      </c>
      <c r="S824" t="s">
        <v>33</v>
      </c>
      <c r="X824" t="s">
        <v>34</v>
      </c>
      <c r="AA824" t="s">
        <v>38</v>
      </c>
    </row>
    <row r="825" spans="1:27" hidden="1">
      <c r="A825" t="s">
        <v>2973</v>
      </c>
      <c r="B825" t="s">
        <v>2974</v>
      </c>
      <c r="C825" t="e">
        <f>VLOOKUP(B825,Sheet2!$A$2:$A$392,1,0)</f>
        <v>#N/A</v>
      </c>
      <c r="E825" t="s">
        <v>196</v>
      </c>
      <c r="F825" t="s">
        <v>28</v>
      </c>
      <c r="G825" t="s">
        <v>151</v>
      </c>
      <c r="I825" t="s">
        <v>2975</v>
      </c>
      <c r="J825" s="2">
        <v>17586</v>
      </c>
      <c r="K825" s="3">
        <v>146.81</v>
      </c>
      <c r="L825" s="2">
        <v>10405</v>
      </c>
      <c r="P825" t="s">
        <v>2976</v>
      </c>
      <c r="R825" t="s">
        <v>32</v>
      </c>
      <c r="S825" t="s">
        <v>33</v>
      </c>
      <c r="T825" t="s">
        <v>106</v>
      </c>
      <c r="U825" t="s">
        <v>35</v>
      </c>
      <c r="W825" t="s">
        <v>518</v>
      </c>
      <c r="X825" t="s">
        <v>34</v>
      </c>
      <c r="Y825" t="s">
        <v>2977</v>
      </c>
      <c r="Z825" t="s">
        <v>2978</v>
      </c>
      <c r="AA825" t="s">
        <v>38</v>
      </c>
    </row>
    <row r="826" spans="1:27" hidden="1">
      <c r="A826" t="s">
        <v>2979</v>
      </c>
      <c r="B826" t="s">
        <v>2980</v>
      </c>
      <c r="C826" t="e">
        <f>VLOOKUP(B826,Sheet2!$A$2:$A$392,1,0)</f>
        <v>#N/A</v>
      </c>
      <c r="E826" t="s">
        <v>52</v>
      </c>
      <c r="F826" t="s">
        <v>28</v>
      </c>
      <c r="G826" t="s">
        <v>59</v>
      </c>
      <c r="I826" t="s">
        <v>301</v>
      </c>
      <c r="J826" s="2">
        <v>57903</v>
      </c>
      <c r="K826" s="3">
        <v>189.99</v>
      </c>
      <c r="L826" s="2">
        <v>32370</v>
      </c>
      <c r="M826" s="2">
        <v>8600</v>
      </c>
      <c r="N826">
        <v>12.8</v>
      </c>
      <c r="O826" t="s">
        <v>61</v>
      </c>
      <c r="P826" t="s">
        <v>2981</v>
      </c>
      <c r="R826" t="s">
        <v>301</v>
      </c>
      <c r="S826" t="s">
        <v>33</v>
      </c>
      <c r="T826" t="s">
        <v>106</v>
      </c>
      <c r="U826" t="s">
        <v>35</v>
      </c>
      <c r="W826" t="s">
        <v>63</v>
      </c>
      <c r="X826" t="s">
        <v>34</v>
      </c>
      <c r="Y826" t="s">
        <v>64</v>
      </c>
      <c r="Z826" t="s">
        <v>2982</v>
      </c>
      <c r="AA826" t="s">
        <v>38</v>
      </c>
    </row>
    <row r="827" spans="1:27" hidden="1">
      <c r="A827" t="s">
        <v>2983</v>
      </c>
      <c r="B827" t="s">
        <v>2984</v>
      </c>
      <c r="C827" t="e">
        <f>VLOOKUP(B827,Sheet2!$A$2:$A$392,1,0)</f>
        <v>#N/A</v>
      </c>
      <c r="E827" t="s">
        <v>170</v>
      </c>
      <c r="G827" t="s">
        <v>2886</v>
      </c>
      <c r="I827" t="s">
        <v>301</v>
      </c>
      <c r="J827" s="2">
        <v>81398</v>
      </c>
      <c r="K827" s="3">
        <v>229.02</v>
      </c>
      <c r="L827" s="2">
        <v>44102</v>
      </c>
      <c r="P827" t="s">
        <v>2985</v>
      </c>
      <c r="S827" t="s">
        <v>33</v>
      </c>
      <c r="X827" t="s">
        <v>34</v>
      </c>
      <c r="Y827" t="s">
        <v>96</v>
      </c>
      <c r="Z827" t="s">
        <v>2986</v>
      </c>
      <c r="AA827" t="s">
        <v>38</v>
      </c>
    </row>
    <row r="828" spans="1:27">
      <c r="A828" t="s">
        <v>2987</v>
      </c>
      <c r="B828" t="s">
        <v>2988</v>
      </c>
      <c r="C828" t="str">
        <f>VLOOKUP(B828,Sheet2!$A$2:$A$392,1,0)</f>
        <v>MV. MEDELIN FIRST</v>
      </c>
      <c r="E828" t="s">
        <v>52</v>
      </c>
      <c r="F828" t="s">
        <v>41</v>
      </c>
      <c r="G828" t="s">
        <v>29</v>
      </c>
      <c r="I828" t="s">
        <v>42</v>
      </c>
      <c r="J828" s="2">
        <v>7000</v>
      </c>
      <c r="K828" s="2">
        <v>114</v>
      </c>
      <c r="L828" s="2">
        <v>4915</v>
      </c>
      <c r="P828" t="s">
        <v>2989</v>
      </c>
      <c r="R828" t="s">
        <v>32</v>
      </c>
      <c r="S828" t="s">
        <v>33</v>
      </c>
      <c r="T828" t="s">
        <v>34</v>
      </c>
      <c r="U828" t="s">
        <v>35</v>
      </c>
      <c r="X828" t="s">
        <v>34</v>
      </c>
      <c r="Y828" t="s">
        <v>45</v>
      </c>
      <c r="Z828" t="s">
        <v>2990</v>
      </c>
      <c r="AA828" t="s">
        <v>38</v>
      </c>
    </row>
    <row r="829" spans="1:27" hidden="1">
      <c r="A829" t="s">
        <v>2991</v>
      </c>
      <c r="B829" t="s">
        <v>2992</v>
      </c>
      <c r="C829" t="e">
        <f>VLOOKUP(B829,Sheet2!$A$2:$A$392,1,0)</f>
        <v>#N/A</v>
      </c>
      <c r="E829" t="s">
        <v>52</v>
      </c>
      <c r="F829" t="s">
        <v>28</v>
      </c>
      <c r="G829" t="s">
        <v>59</v>
      </c>
      <c r="I829" t="s">
        <v>2635</v>
      </c>
      <c r="J829" s="2">
        <v>35187</v>
      </c>
      <c r="K829" s="2">
        <v>180</v>
      </c>
      <c r="L829" s="2">
        <v>23524</v>
      </c>
      <c r="M829" s="2">
        <v>6700</v>
      </c>
      <c r="N829">
        <v>9.9</v>
      </c>
      <c r="O829" t="s">
        <v>61</v>
      </c>
      <c r="P829" t="s">
        <v>2993</v>
      </c>
      <c r="R829" t="s">
        <v>244</v>
      </c>
      <c r="S829" t="s">
        <v>33</v>
      </c>
      <c r="T829" t="s">
        <v>34</v>
      </c>
      <c r="U829" t="s">
        <v>35</v>
      </c>
      <c r="W829" t="s">
        <v>63</v>
      </c>
      <c r="X829" t="s">
        <v>34</v>
      </c>
      <c r="Y829" t="s">
        <v>64</v>
      </c>
      <c r="Z829" t="s">
        <v>2994</v>
      </c>
      <c r="AA829" t="s">
        <v>38</v>
      </c>
    </row>
    <row r="830" spans="1:27" hidden="1">
      <c r="A830" t="s">
        <v>2995</v>
      </c>
      <c r="B830" t="s">
        <v>2996</v>
      </c>
      <c r="C830" t="e">
        <f>VLOOKUP(B830,Sheet2!$A$2:$A$392,1,0)</f>
        <v>#N/A</v>
      </c>
      <c r="E830" t="s">
        <v>52</v>
      </c>
      <c r="F830" t="s">
        <v>28</v>
      </c>
      <c r="G830" t="s">
        <v>29</v>
      </c>
      <c r="J830" s="2">
        <v>35193</v>
      </c>
      <c r="K830" s="2">
        <v>180</v>
      </c>
      <c r="L830" s="2">
        <v>23524</v>
      </c>
      <c r="M830" s="2">
        <v>6700</v>
      </c>
      <c r="N830" s="2">
        <v>10</v>
      </c>
      <c r="O830" t="s">
        <v>482</v>
      </c>
      <c r="P830" t="s">
        <v>2997</v>
      </c>
      <c r="R830" t="s">
        <v>244</v>
      </c>
      <c r="S830" t="s">
        <v>33</v>
      </c>
      <c r="U830" t="s">
        <v>35</v>
      </c>
      <c r="X830" t="s">
        <v>34</v>
      </c>
      <c r="Y830" t="s">
        <v>45</v>
      </c>
      <c r="Z830" t="s">
        <v>2998</v>
      </c>
      <c r="AA830" t="s">
        <v>38</v>
      </c>
    </row>
    <row r="831" spans="1:27" hidden="1">
      <c r="A831" t="s">
        <v>2999</v>
      </c>
      <c r="B831" t="s">
        <v>3000</v>
      </c>
      <c r="C831" t="e">
        <f>VLOOKUP(B831,Sheet2!$A$2:$A$392,1,0)</f>
        <v>#N/A</v>
      </c>
      <c r="E831" t="s">
        <v>170</v>
      </c>
      <c r="G831" t="s">
        <v>2886</v>
      </c>
      <c r="I831" t="s">
        <v>301</v>
      </c>
      <c r="J831" s="2">
        <v>81399</v>
      </c>
      <c r="K831" s="3">
        <v>229.02</v>
      </c>
      <c r="L831" s="2">
        <v>44102</v>
      </c>
      <c r="P831" t="s">
        <v>3001</v>
      </c>
      <c r="S831" t="s">
        <v>33</v>
      </c>
      <c r="X831" t="s">
        <v>34</v>
      </c>
      <c r="AA831" t="s">
        <v>38</v>
      </c>
    </row>
    <row r="832" spans="1:27" hidden="1">
      <c r="A832" t="s">
        <v>3002</v>
      </c>
      <c r="B832" t="s">
        <v>3003</v>
      </c>
      <c r="C832" t="e">
        <f>VLOOKUP(B832,Sheet2!$A$2:$A$392,1,0)</f>
        <v>#N/A</v>
      </c>
      <c r="E832" t="s">
        <v>170</v>
      </c>
      <c r="G832" t="s">
        <v>2046</v>
      </c>
      <c r="I832" t="s">
        <v>244</v>
      </c>
      <c r="J832" s="2">
        <v>10303</v>
      </c>
      <c r="K832" s="2">
        <v>125</v>
      </c>
      <c r="L832" s="2">
        <v>5979</v>
      </c>
      <c r="P832" t="s">
        <v>3004</v>
      </c>
      <c r="S832" t="s">
        <v>33</v>
      </c>
      <c r="X832" t="s">
        <v>34</v>
      </c>
      <c r="AA832" t="s">
        <v>38</v>
      </c>
    </row>
    <row r="833" spans="1:27" hidden="1">
      <c r="A833" t="s">
        <v>3005</v>
      </c>
      <c r="B833" t="s">
        <v>3006</v>
      </c>
      <c r="C833" t="e">
        <f>VLOOKUP(B833,Sheet2!$A$2:$A$392,1,0)</f>
        <v>#N/A</v>
      </c>
      <c r="E833" t="s">
        <v>1063</v>
      </c>
      <c r="F833" t="s">
        <v>41</v>
      </c>
      <c r="G833" t="s">
        <v>29</v>
      </c>
      <c r="I833" t="s">
        <v>42</v>
      </c>
      <c r="J833" s="2">
        <v>50</v>
      </c>
      <c r="K833" s="2">
        <v>110</v>
      </c>
      <c r="L833" s="2">
        <v>700</v>
      </c>
      <c r="M833" s="2">
        <v>10000</v>
      </c>
      <c r="N833" s="2">
        <v>5</v>
      </c>
      <c r="O833" t="s">
        <v>420</v>
      </c>
      <c r="P833" t="s">
        <v>3005</v>
      </c>
      <c r="Q833" t="s">
        <v>34</v>
      </c>
      <c r="R833" t="s">
        <v>42</v>
      </c>
      <c r="S833" t="s">
        <v>33</v>
      </c>
      <c r="T833" t="s">
        <v>34</v>
      </c>
      <c r="U833" t="s">
        <v>44</v>
      </c>
      <c r="V833" s="2">
        <v>50</v>
      </c>
      <c r="X833" t="s">
        <v>34</v>
      </c>
      <c r="Y833" t="s">
        <v>142</v>
      </c>
      <c r="Z833" t="s">
        <v>3007</v>
      </c>
      <c r="AA833" t="s">
        <v>38</v>
      </c>
    </row>
    <row r="834" spans="1:27" hidden="1">
      <c r="A834" t="s">
        <v>3008</v>
      </c>
      <c r="B834" t="s">
        <v>3009</v>
      </c>
      <c r="C834" t="e">
        <f>VLOOKUP(B834,Sheet2!$A$2:$A$392,1,0)</f>
        <v>#N/A</v>
      </c>
      <c r="E834" t="s">
        <v>170</v>
      </c>
      <c r="G834" t="s">
        <v>115</v>
      </c>
      <c r="I834" t="s">
        <v>685</v>
      </c>
      <c r="J834" s="2">
        <v>12122</v>
      </c>
      <c r="K834" s="3">
        <v>119.98</v>
      </c>
      <c r="L834" s="2">
        <v>7354</v>
      </c>
      <c r="P834" t="s">
        <v>3010</v>
      </c>
      <c r="S834" t="s">
        <v>33</v>
      </c>
      <c r="X834" t="s">
        <v>34</v>
      </c>
      <c r="Y834" t="s">
        <v>96</v>
      </c>
      <c r="Z834" t="s">
        <v>3011</v>
      </c>
      <c r="AA834" t="s">
        <v>38</v>
      </c>
    </row>
    <row r="835" spans="1:27" hidden="1">
      <c r="A835" t="s">
        <v>3012</v>
      </c>
      <c r="B835" t="s">
        <v>3013</v>
      </c>
      <c r="C835" t="e">
        <f>VLOOKUP(B835,Sheet2!$A$2:$A$392,1,0)</f>
        <v>#N/A</v>
      </c>
      <c r="E835" t="s">
        <v>52</v>
      </c>
      <c r="F835" t="s">
        <v>28</v>
      </c>
      <c r="G835" t="s">
        <v>59</v>
      </c>
      <c r="I835" t="s">
        <v>30</v>
      </c>
      <c r="J835" s="2">
        <v>33361</v>
      </c>
      <c r="K835" s="2">
        <v>179</v>
      </c>
      <c r="L835" s="2">
        <v>20987</v>
      </c>
      <c r="M835" s="2">
        <v>6480</v>
      </c>
      <c r="N835" s="2">
        <v>10</v>
      </c>
      <c r="O835" t="s">
        <v>61</v>
      </c>
      <c r="P835" t="s">
        <v>3014</v>
      </c>
      <c r="R835" t="s">
        <v>30</v>
      </c>
      <c r="S835" t="s">
        <v>33</v>
      </c>
      <c r="T835" t="s">
        <v>34</v>
      </c>
      <c r="U835" t="s">
        <v>35</v>
      </c>
      <c r="W835" t="s">
        <v>63</v>
      </c>
      <c r="X835" t="s">
        <v>34</v>
      </c>
      <c r="Y835" t="s">
        <v>64</v>
      </c>
      <c r="Z835" t="s">
        <v>3015</v>
      </c>
      <c r="AA835" t="s">
        <v>38</v>
      </c>
    </row>
    <row r="836" spans="1:27" hidden="1">
      <c r="A836" t="s">
        <v>3016</v>
      </c>
      <c r="B836" t="s">
        <v>3017</v>
      </c>
      <c r="C836" t="e">
        <f>VLOOKUP(B836,Sheet2!$A$2:$A$392,1,0)</f>
        <v>#N/A</v>
      </c>
      <c r="E836" t="s">
        <v>27</v>
      </c>
      <c r="F836" t="s">
        <v>41</v>
      </c>
      <c r="G836" t="s">
        <v>415</v>
      </c>
      <c r="J836" s="2">
        <v>2500</v>
      </c>
      <c r="K836" s="2">
        <v>77</v>
      </c>
      <c r="L836" s="2">
        <v>1965</v>
      </c>
      <c r="P836" t="s">
        <v>1059</v>
      </c>
      <c r="R836" t="s">
        <v>42</v>
      </c>
      <c r="S836" t="s">
        <v>33</v>
      </c>
      <c r="U836" t="s">
        <v>35</v>
      </c>
      <c r="W836" t="s">
        <v>63</v>
      </c>
      <c r="X836" t="s">
        <v>34</v>
      </c>
      <c r="Y836" t="s">
        <v>64</v>
      </c>
      <c r="Z836" t="s">
        <v>3018</v>
      </c>
      <c r="AA836" t="s">
        <v>38</v>
      </c>
    </row>
    <row r="837" spans="1:27" hidden="1">
      <c r="A837" t="s">
        <v>3019</v>
      </c>
      <c r="B837" t="s">
        <v>3020</v>
      </c>
      <c r="C837" t="e">
        <f>VLOOKUP(B837,Sheet2!$A$2:$A$392,1,0)</f>
        <v>#N/A</v>
      </c>
      <c r="E837" t="s">
        <v>52</v>
      </c>
      <c r="F837" t="s">
        <v>28</v>
      </c>
      <c r="G837" t="s">
        <v>59</v>
      </c>
      <c r="I837" t="s">
        <v>1113</v>
      </c>
      <c r="J837" s="2">
        <v>60446</v>
      </c>
      <c r="K837" s="3">
        <v>199.99</v>
      </c>
      <c r="L837" s="2">
        <v>34551</v>
      </c>
      <c r="M837" s="2">
        <v>7800</v>
      </c>
      <c r="N837">
        <v>12.9</v>
      </c>
      <c r="O837" t="s">
        <v>61</v>
      </c>
      <c r="P837" t="s">
        <v>3021</v>
      </c>
      <c r="R837" t="s">
        <v>32</v>
      </c>
      <c r="S837" t="s">
        <v>33</v>
      </c>
      <c r="T837" t="s">
        <v>34</v>
      </c>
      <c r="U837" t="s">
        <v>35</v>
      </c>
      <c r="W837" t="s">
        <v>63</v>
      </c>
      <c r="X837" t="s">
        <v>34</v>
      </c>
      <c r="Y837" t="s">
        <v>64</v>
      </c>
      <c r="Z837" t="s">
        <v>3022</v>
      </c>
      <c r="AA837" t="s">
        <v>38</v>
      </c>
    </row>
    <row r="838" spans="1:27" hidden="1">
      <c r="A838" t="s">
        <v>3023</v>
      </c>
      <c r="B838" t="s">
        <v>3024</v>
      </c>
      <c r="C838" t="e">
        <f>VLOOKUP(B838,Sheet2!$A$2:$A$392,1,0)</f>
        <v>#N/A</v>
      </c>
      <c r="E838" t="s">
        <v>196</v>
      </c>
      <c r="F838" t="s">
        <v>41</v>
      </c>
      <c r="G838" t="s">
        <v>59</v>
      </c>
      <c r="I838" t="s">
        <v>42</v>
      </c>
      <c r="J838" s="2">
        <v>9408</v>
      </c>
      <c r="K838">
        <v>124.7</v>
      </c>
      <c r="L838" s="2">
        <v>8037</v>
      </c>
      <c r="M838" s="2">
        <v>2560</v>
      </c>
      <c r="N838">
        <v>6.9</v>
      </c>
      <c r="O838" t="s">
        <v>61</v>
      </c>
      <c r="P838" t="s">
        <v>3025</v>
      </c>
      <c r="R838" t="s">
        <v>42</v>
      </c>
      <c r="S838" t="s">
        <v>33</v>
      </c>
      <c r="U838" t="s">
        <v>35</v>
      </c>
      <c r="W838" t="s">
        <v>63</v>
      </c>
      <c r="X838" t="s">
        <v>34</v>
      </c>
      <c r="Y838" t="s">
        <v>64</v>
      </c>
      <c r="Z838" t="s">
        <v>3026</v>
      </c>
      <c r="AA838" t="s">
        <v>38</v>
      </c>
    </row>
    <row r="839" spans="1:27" hidden="1">
      <c r="A839" t="s">
        <v>3027</v>
      </c>
      <c r="B839" t="s">
        <v>3028</v>
      </c>
      <c r="C839" t="e">
        <f>VLOOKUP(B839,Sheet2!$A$2:$A$392,1,0)</f>
        <v>#N/A</v>
      </c>
      <c r="E839" t="s">
        <v>52</v>
      </c>
      <c r="F839" t="s">
        <v>28</v>
      </c>
      <c r="G839" t="s">
        <v>29</v>
      </c>
      <c r="I839" t="s">
        <v>2635</v>
      </c>
      <c r="J839" s="2">
        <v>35193</v>
      </c>
      <c r="K839" s="3">
        <v>180.11</v>
      </c>
      <c r="L839" s="2">
        <v>23524</v>
      </c>
      <c r="P839" t="s">
        <v>2997</v>
      </c>
      <c r="R839" t="s">
        <v>244</v>
      </c>
      <c r="S839" t="s">
        <v>33</v>
      </c>
      <c r="T839" t="s">
        <v>34</v>
      </c>
      <c r="U839" t="s">
        <v>35</v>
      </c>
      <c r="X839" t="s">
        <v>34</v>
      </c>
      <c r="Y839" t="s">
        <v>45</v>
      </c>
      <c r="Z839" t="s">
        <v>3029</v>
      </c>
      <c r="AA839" t="s">
        <v>38</v>
      </c>
    </row>
    <row r="840" spans="1:27" hidden="1">
      <c r="A840" t="s">
        <v>3030</v>
      </c>
      <c r="B840" t="s">
        <v>3031</v>
      </c>
      <c r="C840" t="e">
        <f>VLOOKUP(B840,Sheet2!$A$2:$A$392,1,0)</f>
        <v>#N/A</v>
      </c>
      <c r="E840" t="s">
        <v>52</v>
      </c>
      <c r="F840" t="s">
        <v>28</v>
      </c>
      <c r="G840" t="s">
        <v>59</v>
      </c>
      <c r="I840" t="s">
        <v>301</v>
      </c>
      <c r="J840" s="2">
        <v>57905</v>
      </c>
      <c r="K840" s="3">
        <v>189.99</v>
      </c>
      <c r="L840" s="2">
        <v>32370</v>
      </c>
      <c r="O840" t="s">
        <v>61</v>
      </c>
      <c r="P840" t="s">
        <v>3032</v>
      </c>
      <c r="R840" t="s">
        <v>301</v>
      </c>
      <c r="S840" t="s">
        <v>33</v>
      </c>
      <c r="T840" t="s">
        <v>34</v>
      </c>
      <c r="U840" t="s">
        <v>35</v>
      </c>
      <c r="W840" t="s">
        <v>63</v>
      </c>
      <c r="X840" t="s">
        <v>34</v>
      </c>
      <c r="Y840" t="s">
        <v>64</v>
      </c>
      <c r="Z840" t="s">
        <v>3033</v>
      </c>
      <c r="AA840" t="s">
        <v>38</v>
      </c>
    </row>
    <row r="841" spans="1:27" hidden="1">
      <c r="A841" t="s">
        <v>3034</v>
      </c>
      <c r="B841" t="s">
        <v>3035</v>
      </c>
      <c r="C841" t="e">
        <f>VLOOKUP(B841,Sheet2!$A$2:$A$392,1,0)</f>
        <v>#N/A</v>
      </c>
      <c r="E841" t="s">
        <v>52</v>
      </c>
      <c r="F841" t="s">
        <v>28</v>
      </c>
      <c r="G841" t="s">
        <v>29</v>
      </c>
      <c r="I841" t="s">
        <v>30</v>
      </c>
      <c r="J841" s="2">
        <v>32833</v>
      </c>
      <c r="K841" s="2">
        <v>177</v>
      </c>
      <c r="L841" s="2">
        <v>19925</v>
      </c>
      <c r="P841" t="s">
        <v>3036</v>
      </c>
      <c r="R841" t="s">
        <v>32</v>
      </c>
      <c r="S841" t="s">
        <v>33</v>
      </c>
      <c r="T841" t="s">
        <v>34</v>
      </c>
      <c r="U841" t="s">
        <v>35</v>
      </c>
      <c r="X841" t="s">
        <v>34</v>
      </c>
      <c r="Y841" t="s">
        <v>45</v>
      </c>
      <c r="Z841" t="s">
        <v>3037</v>
      </c>
      <c r="AA841" t="s">
        <v>38</v>
      </c>
    </row>
    <row r="842" spans="1:27">
      <c r="A842" t="s">
        <v>3038</v>
      </c>
      <c r="B842" t="s">
        <v>3039</v>
      </c>
      <c r="C842" t="str">
        <f>VLOOKUP(B842,Sheet2!$A$2:$A$392,1,0)</f>
        <v>MV. EVER ADVANCE</v>
      </c>
      <c r="E842" t="s">
        <v>52</v>
      </c>
      <c r="F842" t="s">
        <v>28</v>
      </c>
      <c r="G842" t="s">
        <v>29</v>
      </c>
      <c r="I842" t="s">
        <v>301</v>
      </c>
      <c r="J842" s="2">
        <v>51097</v>
      </c>
      <c r="K842" s="3">
        <v>189.99</v>
      </c>
      <c r="L842" s="2">
        <v>28665</v>
      </c>
      <c r="P842" t="s">
        <v>3040</v>
      </c>
      <c r="R842" t="s">
        <v>32</v>
      </c>
      <c r="S842" t="s">
        <v>33</v>
      </c>
      <c r="T842" t="s">
        <v>34</v>
      </c>
      <c r="U842" t="s">
        <v>35</v>
      </c>
      <c r="X842" t="s">
        <v>34</v>
      </c>
      <c r="Y842" t="s">
        <v>45</v>
      </c>
      <c r="Z842" t="s">
        <v>3041</v>
      </c>
      <c r="AA842" t="s">
        <v>38</v>
      </c>
    </row>
    <row r="843" spans="1:27" hidden="1">
      <c r="A843" t="s">
        <v>3042</v>
      </c>
      <c r="B843" t="s">
        <v>3043</v>
      </c>
      <c r="C843" t="e">
        <f>VLOOKUP(B843,Sheet2!$A$2:$A$392,1,0)</f>
        <v>#N/A</v>
      </c>
      <c r="E843" t="s">
        <v>196</v>
      </c>
      <c r="F843" t="s">
        <v>41</v>
      </c>
      <c r="G843" t="s">
        <v>29</v>
      </c>
      <c r="J843" s="2">
        <v>7501</v>
      </c>
      <c r="K843" s="2">
        <v>114</v>
      </c>
      <c r="L843" s="2">
        <v>4915</v>
      </c>
      <c r="M843" s="2">
        <v>2712</v>
      </c>
      <c r="N843" s="2">
        <v>7</v>
      </c>
      <c r="O843" t="s">
        <v>482</v>
      </c>
      <c r="P843" t="s">
        <v>2989</v>
      </c>
      <c r="R843" t="s">
        <v>32</v>
      </c>
      <c r="S843" t="s">
        <v>33</v>
      </c>
      <c r="U843" t="s">
        <v>35</v>
      </c>
      <c r="V843" s="2">
        <v>4</v>
      </c>
      <c r="X843" t="s">
        <v>34</v>
      </c>
      <c r="Y843" t="s">
        <v>45</v>
      </c>
      <c r="Z843" t="s">
        <v>3044</v>
      </c>
      <c r="AA843" t="s">
        <v>38</v>
      </c>
    </row>
    <row r="844" spans="1:27" hidden="1">
      <c r="A844" t="s">
        <v>3045</v>
      </c>
      <c r="B844" t="s">
        <v>3046</v>
      </c>
      <c r="C844" t="e">
        <f>VLOOKUP(B844,Sheet2!$A$2:$A$392,1,0)</f>
        <v>#N/A</v>
      </c>
      <c r="E844" t="s">
        <v>52</v>
      </c>
      <c r="F844" t="s">
        <v>28</v>
      </c>
      <c r="G844" t="s">
        <v>29</v>
      </c>
      <c r="I844" t="s">
        <v>301</v>
      </c>
      <c r="J844" s="2">
        <v>47639</v>
      </c>
      <c r="K844" s="3">
        <v>189.99</v>
      </c>
      <c r="L844" s="2">
        <v>26449</v>
      </c>
      <c r="P844" t="s">
        <v>3047</v>
      </c>
      <c r="R844" t="s">
        <v>32</v>
      </c>
      <c r="S844" t="s">
        <v>33</v>
      </c>
      <c r="T844" t="s">
        <v>34</v>
      </c>
      <c r="U844" t="s">
        <v>35</v>
      </c>
      <c r="X844" t="s">
        <v>34</v>
      </c>
      <c r="Y844" t="s">
        <v>45</v>
      </c>
      <c r="Z844" t="s">
        <v>3048</v>
      </c>
      <c r="AA844" t="s">
        <v>38</v>
      </c>
    </row>
    <row r="845" spans="1:27" hidden="1">
      <c r="A845" t="s">
        <v>3049</v>
      </c>
      <c r="B845" t="s">
        <v>3050</v>
      </c>
      <c r="C845" t="e">
        <f>VLOOKUP(B845,Sheet2!$A$2:$A$392,1,0)</f>
        <v>#N/A</v>
      </c>
      <c r="E845" t="s">
        <v>170</v>
      </c>
      <c r="I845" t="s">
        <v>42</v>
      </c>
      <c r="J845" s="2">
        <v>29998</v>
      </c>
      <c r="K845" s="2">
        <v>167</v>
      </c>
      <c r="L845" s="2">
        <v>18521</v>
      </c>
      <c r="P845" t="s">
        <v>3051</v>
      </c>
      <c r="S845" t="s">
        <v>33</v>
      </c>
      <c r="X845" t="s">
        <v>34</v>
      </c>
      <c r="AA845" t="s">
        <v>38</v>
      </c>
    </row>
    <row r="846" spans="1:27" hidden="1">
      <c r="A846" t="s">
        <v>3052</v>
      </c>
      <c r="B846" t="s">
        <v>3053</v>
      </c>
      <c r="C846" t="e">
        <f>VLOOKUP(B846,Sheet2!$A$2:$A$392,1,0)</f>
        <v>#N/A</v>
      </c>
      <c r="E846" t="s">
        <v>196</v>
      </c>
      <c r="F846" t="s">
        <v>41</v>
      </c>
      <c r="G846" t="s">
        <v>847</v>
      </c>
      <c r="I846" t="s">
        <v>42</v>
      </c>
      <c r="J846" s="2">
        <v>6519</v>
      </c>
      <c r="K846" s="2">
        <v>107</v>
      </c>
      <c r="L846" s="2">
        <v>4430</v>
      </c>
      <c r="M846" s="2">
        <v>3600</v>
      </c>
      <c r="N846" s="3">
        <v>6.61</v>
      </c>
      <c r="O846" t="s">
        <v>848</v>
      </c>
      <c r="P846" t="s">
        <v>3054</v>
      </c>
      <c r="R846" t="s">
        <v>32</v>
      </c>
      <c r="S846" t="s">
        <v>33</v>
      </c>
      <c r="T846" t="s">
        <v>34</v>
      </c>
      <c r="U846" t="s">
        <v>35</v>
      </c>
      <c r="V846" s="2">
        <v>4</v>
      </c>
      <c r="W846" t="s">
        <v>518</v>
      </c>
      <c r="X846" t="s">
        <v>34</v>
      </c>
      <c r="Y846" t="s">
        <v>519</v>
      </c>
      <c r="Z846" t="s">
        <v>3055</v>
      </c>
      <c r="AA846" t="s">
        <v>38</v>
      </c>
    </row>
    <row r="847" spans="1:27" hidden="1">
      <c r="A847" t="s">
        <v>3056</v>
      </c>
      <c r="B847" t="s">
        <v>3057</v>
      </c>
      <c r="C847" t="e">
        <f>VLOOKUP(B847,Sheet2!$A$2:$A$392,1,0)</f>
        <v>#N/A</v>
      </c>
      <c r="E847" t="s">
        <v>52</v>
      </c>
      <c r="F847" t="s">
        <v>28</v>
      </c>
      <c r="G847" t="s">
        <v>59</v>
      </c>
      <c r="I847" t="s">
        <v>301</v>
      </c>
      <c r="J847" s="2">
        <v>53100</v>
      </c>
      <c r="K847" s="2">
        <v>190</v>
      </c>
      <c r="L847" s="2">
        <v>31117</v>
      </c>
      <c r="M847" s="2">
        <v>9400</v>
      </c>
      <c r="N847">
        <v>12.8</v>
      </c>
      <c r="O847" t="s">
        <v>61</v>
      </c>
      <c r="P847" t="s">
        <v>3058</v>
      </c>
      <c r="R847" t="s">
        <v>32</v>
      </c>
      <c r="S847" t="s">
        <v>33</v>
      </c>
      <c r="T847" t="s">
        <v>34</v>
      </c>
      <c r="U847" t="s">
        <v>35</v>
      </c>
      <c r="W847" t="s">
        <v>63</v>
      </c>
      <c r="X847" t="s">
        <v>34</v>
      </c>
      <c r="Y847" t="s">
        <v>64</v>
      </c>
      <c r="Z847" t="s">
        <v>3059</v>
      </c>
      <c r="AA847" t="s">
        <v>38</v>
      </c>
    </row>
    <row r="848" spans="1:27" hidden="1">
      <c r="A848" t="s">
        <v>3060</v>
      </c>
      <c r="B848" t="s">
        <v>3061</v>
      </c>
      <c r="C848" t="e">
        <f>VLOOKUP(B848,Sheet2!$A$2:$A$392,1,0)</f>
        <v>#N/A</v>
      </c>
      <c r="E848" t="s">
        <v>170</v>
      </c>
      <c r="F848" t="s">
        <v>28</v>
      </c>
      <c r="G848" t="s">
        <v>115</v>
      </c>
      <c r="I848" t="s">
        <v>685</v>
      </c>
      <c r="J848" s="2">
        <v>107123</v>
      </c>
      <c r="K848">
        <v>246.8</v>
      </c>
      <c r="L848" s="2">
        <v>58166</v>
      </c>
      <c r="P848" t="s">
        <v>3062</v>
      </c>
      <c r="S848" t="s">
        <v>33</v>
      </c>
      <c r="T848" t="s">
        <v>34</v>
      </c>
      <c r="X848" t="s">
        <v>34</v>
      </c>
      <c r="Y848" t="s">
        <v>132</v>
      </c>
      <c r="Z848" t="s">
        <v>3063</v>
      </c>
      <c r="AA848" t="s">
        <v>38</v>
      </c>
    </row>
    <row r="849" spans="1:27" hidden="1">
      <c r="A849" t="s">
        <v>3064</v>
      </c>
      <c r="B849" t="s">
        <v>3065</v>
      </c>
      <c r="C849" t="e">
        <f>VLOOKUP(B849,Sheet2!$A$2:$A$392,1,0)</f>
        <v>#N/A</v>
      </c>
      <c r="E849" t="s">
        <v>170</v>
      </c>
      <c r="I849" t="s">
        <v>42</v>
      </c>
      <c r="J849" s="2">
        <v>17712</v>
      </c>
      <c r="K849" s="3">
        <v>149.02000000000001</v>
      </c>
      <c r="L849" s="2">
        <v>10911</v>
      </c>
      <c r="P849" t="s">
        <v>3066</v>
      </c>
      <c r="S849" t="s">
        <v>33</v>
      </c>
      <c r="X849" t="s">
        <v>34</v>
      </c>
      <c r="AA849" t="s">
        <v>38</v>
      </c>
    </row>
    <row r="850" spans="1:27" hidden="1">
      <c r="A850" t="s">
        <v>3067</v>
      </c>
      <c r="B850" t="s">
        <v>3068</v>
      </c>
      <c r="C850" t="e">
        <f>VLOOKUP(B850,Sheet2!$A$2:$A$392,1,0)</f>
        <v>#N/A</v>
      </c>
      <c r="E850" t="s">
        <v>249</v>
      </c>
      <c r="G850" t="s">
        <v>747</v>
      </c>
      <c r="I850" t="s">
        <v>42</v>
      </c>
      <c r="J850" s="2">
        <v>5020</v>
      </c>
      <c r="K850" s="3">
        <v>98.35</v>
      </c>
      <c r="L850" s="2">
        <v>3790</v>
      </c>
      <c r="P850" t="s">
        <v>3069</v>
      </c>
      <c r="S850" t="s">
        <v>33</v>
      </c>
      <c r="X850" t="s">
        <v>34</v>
      </c>
      <c r="AA850" t="s">
        <v>38</v>
      </c>
    </row>
    <row r="851" spans="1:27">
      <c r="A851" t="s">
        <v>3070</v>
      </c>
      <c r="B851" t="s">
        <v>3071</v>
      </c>
      <c r="C851" t="str">
        <f>VLOOKUP(B851,Sheet2!$A$2:$A$392,1,0)</f>
        <v>MV. EVER FORTUNE</v>
      </c>
      <c r="E851" t="s">
        <v>52</v>
      </c>
      <c r="F851" t="s">
        <v>28</v>
      </c>
      <c r="G851" t="s">
        <v>29</v>
      </c>
      <c r="I851" t="s">
        <v>301</v>
      </c>
      <c r="J851" s="2">
        <v>36009</v>
      </c>
      <c r="K851" s="2">
        <v>180</v>
      </c>
      <c r="L851" s="2">
        <v>23426</v>
      </c>
      <c r="P851" t="s">
        <v>3072</v>
      </c>
      <c r="R851" t="s">
        <v>32</v>
      </c>
      <c r="S851" t="s">
        <v>33</v>
      </c>
      <c r="T851" t="s">
        <v>34</v>
      </c>
      <c r="U851" t="s">
        <v>35</v>
      </c>
      <c r="X851" t="s">
        <v>34</v>
      </c>
      <c r="Y851" t="s">
        <v>45</v>
      </c>
      <c r="Z851" t="s">
        <v>642</v>
      </c>
      <c r="AA851" t="s">
        <v>38</v>
      </c>
    </row>
    <row r="852" spans="1:27" hidden="1">
      <c r="A852" t="s">
        <v>3073</v>
      </c>
      <c r="B852" t="s">
        <v>3074</v>
      </c>
      <c r="C852" t="e">
        <f>VLOOKUP(B852,Sheet2!$A$2:$A$392,1,0)</f>
        <v>#N/A</v>
      </c>
      <c r="E852" t="s">
        <v>1063</v>
      </c>
      <c r="F852" t="s">
        <v>41</v>
      </c>
      <c r="G852" t="s">
        <v>3075</v>
      </c>
      <c r="I852" t="s">
        <v>42</v>
      </c>
      <c r="J852" s="2">
        <v>5770</v>
      </c>
      <c r="K852" s="2">
        <v>166</v>
      </c>
      <c r="L852" s="2">
        <v>18460</v>
      </c>
      <c r="P852" t="s">
        <v>3076</v>
      </c>
      <c r="S852" t="s">
        <v>33</v>
      </c>
      <c r="T852" t="s">
        <v>34</v>
      </c>
      <c r="X852" t="s">
        <v>34</v>
      </c>
      <c r="Y852" t="s">
        <v>117</v>
      </c>
      <c r="Z852" t="s">
        <v>3077</v>
      </c>
      <c r="AA852" t="s">
        <v>38</v>
      </c>
    </row>
    <row r="853" spans="1:27" hidden="1">
      <c r="A853" t="s">
        <v>3078</v>
      </c>
      <c r="B853" t="s">
        <v>3079</v>
      </c>
      <c r="C853" t="e">
        <f>VLOOKUP(B853,Sheet2!$A$2:$A$392,1,0)</f>
        <v>#N/A</v>
      </c>
      <c r="E853" t="s">
        <v>52</v>
      </c>
      <c r="F853" t="s">
        <v>41</v>
      </c>
      <c r="G853" t="s">
        <v>3080</v>
      </c>
      <c r="J853">
        <v>4925.6000000000004</v>
      </c>
      <c r="K853" s="3">
        <v>88.38</v>
      </c>
      <c r="L853" s="2">
        <v>2980</v>
      </c>
      <c r="O853" t="s">
        <v>3081</v>
      </c>
      <c r="P853" t="s">
        <v>3082</v>
      </c>
      <c r="R853" t="s">
        <v>42</v>
      </c>
      <c r="S853" t="s">
        <v>33</v>
      </c>
      <c r="U853" t="s">
        <v>35</v>
      </c>
      <c r="W853" t="s">
        <v>63</v>
      </c>
      <c r="X853" t="s">
        <v>34</v>
      </c>
      <c r="Y853" t="s">
        <v>64</v>
      </c>
      <c r="Z853" t="s">
        <v>3083</v>
      </c>
      <c r="AA853" t="s">
        <v>38</v>
      </c>
    </row>
    <row r="854" spans="1:27" hidden="1">
      <c r="A854" t="s">
        <v>3084</v>
      </c>
      <c r="B854" t="s">
        <v>3085</v>
      </c>
      <c r="C854" t="e">
        <f>VLOOKUP(B854,Sheet2!$A$2:$A$392,1,0)</f>
        <v>#N/A</v>
      </c>
      <c r="E854" t="s">
        <v>40</v>
      </c>
      <c r="F854" t="s">
        <v>41</v>
      </c>
      <c r="G854" t="s">
        <v>382</v>
      </c>
      <c r="I854" t="s">
        <v>42</v>
      </c>
      <c r="J854" s="2">
        <v>8000</v>
      </c>
      <c r="K854" s="2">
        <v>95</v>
      </c>
      <c r="L854" s="2">
        <v>3104</v>
      </c>
      <c r="M854" s="2">
        <v>1600</v>
      </c>
      <c r="N854" s="2">
        <v>4</v>
      </c>
      <c r="O854" t="s">
        <v>383</v>
      </c>
      <c r="P854" t="s">
        <v>3086</v>
      </c>
      <c r="R854" t="s">
        <v>42</v>
      </c>
      <c r="S854" t="s">
        <v>33</v>
      </c>
      <c r="T854" t="s">
        <v>34</v>
      </c>
      <c r="U854" t="s">
        <v>35</v>
      </c>
      <c r="V854" s="2">
        <v>0</v>
      </c>
      <c r="W854" t="s">
        <v>63</v>
      </c>
      <c r="X854" t="s">
        <v>34</v>
      </c>
      <c r="Y854" t="s">
        <v>64</v>
      </c>
      <c r="Z854" t="s">
        <v>1969</v>
      </c>
      <c r="AA854" t="s">
        <v>38</v>
      </c>
    </row>
    <row r="855" spans="1:27" hidden="1">
      <c r="A855" t="s">
        <v>3087</v>
      </c>
      <c r="B855" t="s">
        <v>3088</v>
      </c>
      <c r="C855" t="e">
        <f>VLOOKUP(B855,Sheet2!$A$2:$A$392,1,0)</f>
        <v>#N/A</v>
      </c>
      <c r="E855" t="s">
        <v>52</v>
      </c>
      <c r="F855" t="s">
        <v>28</v>
      </c>
      <c r="G855" t="s">
        <v>29</v>
      </c>
      <c r="I855" t="s">
        <v>301</v>
      </c>
      <c r="J855" s="2">
        <v>50238</v>
      </c>
      <c r="K855">
        <v>189.8</v>
      </c>
      <c r="L855" s="2">
        <v>27985</v>
      </c>
      <c r="P855" t="s">
        <v>3089</v>
      </c>
      <c r="R855" t="s">
        <v>32</v>
      </c>
      <c r="S855" t="s">
        <v>33</v>
      </c>
      <c r="T855" t="s">
        <v>34</v>
      </c>
      <c r="U855" t="s">
        <v>35</v>
      </c>
      <c r="X855" t="s">
        <v>34</v>
      </c>
      <c r="Y855" t="s">
        <v>45</v>
      </c>
      <c r="Z855" t="s">
        <v>3090</v>
      </c>
      <c r="AA855" t="s">
        <v>38</v>
      </c>
    </row>
    <row r="856" spans="1:27" hidden="1">
      <c r="A856" t="s">
        <v>3091</v>
      </c>
      <c r="B856" t="s">
        <v>3092</v>
      </c>
      <c r="C856" t="e">
        <f>VLOOKUP(B856,Sheet2!$A$2:$A$392,1,0)</f>
        <v>#N/A</v>
      </c>
      <c r="E856" t="s">
        <v>52</v>
      </c>
      <c r="F856" t="s">
        <v>28</v>
      </c>
      <c r="G856" t="s">
        <v>29</v>
      </c>
      <c r="I856" t="s">
        <v>1692</v>
      </c>
      <c r="J856" s="2">
        <v>34369</v>
      </c>
      <c r="K856" s="2">
        <v>180</v>
      </c>
      <c r="L856" s="2">
        <v>11522</v>
      </c>
      <c r="P856" t="s">
        <v>3093</v>
      </c>
      <c r="R856" t="s">
        <v>244</v>
      </c>
      <c r="S856" t="s">
        <v>33</v>
      </c>
      <c r="T856" t="s">
        <v>34</v>
      </c>
      <c r="U856" t="s">
        <v>35</v>
      </c>
      <c r="X856" t="s">
        <v>34</v>
      </c>
      <c r="Y856" t="s">
        <v>45</v>
      </c>
      <c r="Z856" t="s">
        <v>3094</v>
      </c>
      <c r="AA856" t="s">
        <v>38</v>
      </c>
    </row>
    <row r="857" spans="1:27" hidden="1">
      <c r="A857" t="s">
        <v>3095</v>
      </c>
      <c r="B857" t="s">
        <v>3096</v>
      </c>
      <c r="C857" t="e">
        <f>VLOOKUP(B857,Sheet2!$A$2:$A$392,1,0)</f>
        <v>#N/A</v>
      </c>
      <c r="E857" t="s">
        <v>27</v>
      </c>
      <c r="F857" t="s">
        <v>28</v>
      </c>
      <c r="G857" t="s">
        <v>3097</v>
      </c>
      <c r="I857" t="s">
        <v>1113</v>
      </c>
      <c r="J857" s="2">
        <v>21224</v>
      </c>
      <c r="K857" s="2">
        <v>200</v>
      </c>
      <c r="L857" s="2">
        <v>35812</v>
      </c>
      <c r="O857" t="s">
        <v>3098</v>
      </c>
      <c r="P857" t="s">
        <v>3099</v>
      </c>
      <c r="S857" t="s">
        <v>33</v>
      </c>
      <c r="T857" t="s">
        <v>34</v>
      </c>
      <c r="U857" t="s">
        <v>35</v>
      </c>
      <c r="X857" t="s">
        <v>34</v>
      </c>
      <c r="Y857" t="s">
        <v>2882</v>
      </c>
      <c r="Z857" t="s">
        <v>3100</v>
      </c>
      <c r="AA857" t="s">
        <v>38</v>
      </c>
    </row>
    <row r="858" spans="1:27" hidden="1">
      <c r="A858" t="s">
        <v>3101</v>
      </c>
      <c r="B858" t="s">
        <v>3102</v>
      </c>
      <c r="C858" t="e">
        <f>VLOOKUP(B858,Sheet2!$A$2:$A$392,1,0)</f>
        <v>#N/A</v>
      </c>
      <c r="E858" t="s">
        <v>52</v>
      </c>
      <c r="F858" t="s">
        <v>28</v>
      </c>
      <c r="G858" t="s">
        <v>59</v>
      </c>
      <c r="I858" t="s">
        <v>581</v>
      </c>
      <c r="J858" s="2">
        <v>55648</v>
      </c>
      <c r="K858">
        <v>187.8</v>
      </c>
      <c r="L858" s="2">
        <v>32537</v>
      </c>
      <c r="M858" s="2">
        <v>8820</v>
      </c>
      <c r="N858">
        <v>12.8</v>
      </c>
      <c r="O858" t="s">
        <v>61</v>
      </c>
      <c r="P858" t="s">
        <v>3103</v>
      </c>
      <c r="R858" t="s">
        <v>581</v>
      </c>
      <c r="S858" t="s">
        <v>33</v>
      </c>
      <c r="T858" t="s">
        <v>34</v>
      </c>
      <c r="U858" t="s">
        <v>35</v>
      </c>
      <c r="W858" t="s">
        <v>63</v>
      </c>
      <c r="X858" t="s">
        <v>34</v>
      </c>
      <c r="Y858" t="s">
        <v>64</v>
      </c>
      <c r="Z858" t="s">
        <v>3104</v>
      </c>
      <c r="AA858" t="s">
        <v>38</v>
      </c>
    </row>
    <row r="859" spans="1:27" hidden="1">
      <c r="A859" t="s">
        <v>3105</v>
      </c>
      <c r="B859" t="s">
        <v>3106</v>
      </c>
      <c r="C859" t="e">
        <f>VLOOKUP(B859,Sheet2!$A$2:$A$392,1,0)</f>
        <v>#N/A</v>
      </c>
      <c r="E859" t="s">
        <v>52</v>
      </c>
      <c r="F859" t="s">
        <v>41</v>
      </c>
      <c r="G859" t="s">
        <v>29</v>
      </c>
      <c r="I859" t="s">
        <v>42</v>
      </c>
      <c r="J859" s="2">
        <v>8600</v>
      </c>
      <c r="K859" s="2">
        <v>104</v>
      </c>
      <c r="L859" s="2">
        <v>6306</v>
      </c>
      <c r="P859" t="s">
        <v>1964</v>
      </c>
      <c r="R859" t="s">
        <v>32</v>
      </c>
      <c r="S859" t="s">
        <v>33</v>
      </c>
      <c r="T859" t="s">
        <v>34</v>
      </c>
      <c r="U859" t="s">
        <v>35</v>
      </c>
      <c r="V859" s="2">
        <v>2</v>
      </c>
      <c r="X859" t="s">
        <v>34</v>
      </c>
      <c r="Y859" t="s">
        <v>45</v>
      </c>
      <c r="Z859" t="s">
        <v>3107</v>
      </c>
      <c r="AA859" t="s">
        <v>38</v>
      </c>
    </row>
    <row r="860" spans="1:27" hidden="1">
      <c r="A860" t="s">
        <v>3108</v>
      </c>
      <c r="B860" t="s">
        <v>3109</v>
      </c>
      <c r="C860" t="e">
        <f>VLOOKUP(B860,Sheet2!$A$2:$A$392,1,0)</f>
        <v>#N/A</v>
      </c>
      <c r="E860" t="s">
        <v>40</v>
      </c>
      <c r="F860" t="s">
        <v>41</v>
      </c>
      <c r="G860" t="s">
        <v>29</v>
      </c>
      <c r="J860" s="2">
        <v>5000</v>
      </c>
      <c r="K860">
        <v>88.2</v>
      </c>
      <c r="L860" s="2">
        <v>3117</v>
      </c>
      <c r="M860" s="2">
        <v>2400</v>
      </c>
      <c r="N860" s="2">
        <v>5</v>
      </c>
      <c r="O860" t="s">
        <v>482</v>
      </c>
      <c r="P860" t="s">
        <v>3110</v>
      </c>
      <c r="R860" t="s">
        <v>42</v>
      </c>
      <c r="S860" t="s">
        <v>33</v>
      </c>
      <c r="U860" t="s">
        <v>35</v>
      </c>
      <c r="X860" t="s">
        <v>34</v>
      </c>
      <c r="Y860" t="s">
        <v>45</v>
      </c>
      <c r="Z860" t="s">
        <v>3111</v>
      </c>
      <c r="AA860" t="s">
        <v>38</v>
      </c>
    </row>
    <row r="861" spans="1:27">
      <c r="A861" t="s">
        <v>3112</v>
      </c>
      <c r="B861" t="s">
        <v>3113</v>
      </c>
      <c r="C861" t="str">
        <f>VLOOKUP(B861,Sheet2!$A$2:$A$392,1,0)</f>
        <v>MV. GREAT ROYAL</v>
      </c>
      <c r="E861" t="s">
        <v>52</v>
      </c>
      <c r="F861" t="s">
        <v>28</v>
      </c>
      <c r="G861" t="s">
        <v>151</v>
      </c>
      <c r="J861" s="2">
        <v>43286</v>
      </c>
      <c r="K861" s="2">
        <v>180</v>
      </c>
      <c r="L861" s="2">
        <v>23263</v>
      </c>
      <c r="N861" s="2">
        <v>11</v>
      </c>
      <c r="O861" t="s">
        <v>152</v>
      </c>
      <c r="P861" t="s">
        <v>3114</v>
      </c>
      <c r="R861" t="s">
        <v>32</v>
      </c>
      <c r="S861" t="s">
        <v>33</v>
      </c>
      <c r="U861" t="s">
        <v>35</v>
      </c>
      <c r="V861" s="2">
        <v>5</v>
      </c>
      <c r="X861" t="s">
        <v>34</v>
      </c>
      <c r="Y861" t="s">
        <v>154</v>
      </c>
      <c r="Z861" t="s">
        <v>3115</v>
      </c>
      <c r="AA861" t="s">
        <v>38</v>
      </c>
    </row>
    <row r="862" spans="1:27" hidden="1">
      <c r="A862" t="s">
        <v>3116</v>
      </c>
      <c r="B862" t="s">
        <v>3117</v>
      </c>
      <c r="C862" t="e">
        <f>VLOOKUP(B862,Sheet2!$A$2:$A$392,1,0)</f>
        <v>#N/A</v>
      </c>
      <c r="E862" t="s">
        <v>52</v>
      </c>
      <c r="F862" t="s">
        <v>28</v>
      </c>
      <c r="G862" t="s">
        <v>59</v>
      </c>
      <c r="I862" t="s">
        <v>60</v>
      </c>
      <c r="J862" s="2">
        <v>56088</v>
      </c>
      <c r="K862" s="3">
        <v>189.99</v>
      </c>
      <c r="L862" s="2">
        <v>31761</v>
      </c>
      <c r="O862" t="s">
        <v>61</v>
      </c>
      <c r="P862" t="s">
        <v>3118</v>
      </c>
      <c r="R862" t="s">
        <v>60</v>
      </c>
      <c r="S862" t="s">
        <v>33</v>
      </c>
      <c r="T862" t="s">
        <v>34</v>
      </c>
      <c r="U862" t="s">
        <v>44</v>
      </c>
      <c r="W862" t="s">
        <v>63</v>
      </c>
      <c r="X862" t="s">
        <v>34</v>
      </c>
      <c r="Y862" t="s">
        <v>64</v>
      </c>
      <c r="Z862" t="s">
        <v>3119</v>
      </c>
      <c r="AA862" t="s">
        <v>38</v>
      </c>
    </row>
    <row r="863" spans="1:27" hidden="1">
      <c r="A863" t="s">
        <v>3120</v>
      </c>
      <c r="B863" t="s">
        <v>3121</v>
      </c>
      <c r="C863" t="e">
        <f>VLOOKUP(B863,Sheet2!$A$2:$A$392,1,0)</f>
        <v>#N/A</v>
      </c>
      <c r="E863" t="s">
        <v>40</v>
      </c>
      <c r="F863" t="s">
        <v>41</v>
      </c>
      <c r="G863" t="s">
        <v>59</v>
      </c>
      <c r="I863" t="s">
        <v>42</v>
      </c>
      <c r="J863" s="2">
        <v>7790</v>
      </c>
      <c r="K863" s="3">
        <v>87.78</v>
      </c>
      <c r="L863" s="2">
        <v>3357</v>
      </c>
      <c r="P863" t="s">
        <v>3122</v>
      </c>
      <c r="R863" t="s">
        <v>42</v>
      </c>
      <c r="S863" t="s">
        <v>33</v>
      </c>
      <c r="T863" t="s">
        <v>34</v>
      </c>
      <c r="U863" t="s">
        <v>44</v>
      </c>
      <c r="W863" t="s">
        <v>63</v>
      </c>
      <c r="X863" t="s">
        <v>34</v>
      </c>
      <c r="Y863" t="s">
        <v>64</v>
      </c>
      <c r="Z863" t="s">
        <v>3123</v>
      </c>
      <c r="AA863" t="s">
        <v>38</v>
      </c>
    </row>
    <row r="864" spans="1:27">
      <c r="A864" t="s">
        <v>3124</v>
      </c>
      <c r="B864" t="s">
        <v>3125</v>
      </c>
      <c r="C864" t="str">
        <f>VLOOKUP(B864,Sheet2!$A$2:$A$392,1,0)</f>
        <v>MV. GRAND TAJIMA</v>
      </c>
      <c r="E864" t="s">
        <v>27</v>
      </c>
      <c r="F864" t="s">
        <v>28</v>
      </c>
      <c r="G864" t="s">
        <v>29</v>
      </c>
      <c r="I864" t="s">
        <v>301</v>
      </c>
      <c r="J864">
        <v>7667.8</v>
      </c>
      <c r="K864">
        <v>98.5</v>
      </c>
      <c r="L864" s="2">
        <v>4769</v>
      </c>
      <c r="P864" t="s">
        <v>3126</v>
      </c>
      <c r="R864" t="s">
        <v>32</v>
      </c>
      <c r="S864" t="s">
        <v>33</v>
      </c>
      <c r="T864" t="s">
        <v>34</v>
      </c>
      <c r="U864" t="s">
        <v>35</v>
      </c>
      <c r="X864" t="s">
        <v>34</v>
      </c>
      <c r="Y864" t="s">
        <v>45</v>
      </c>
      <c r="Z864" t="s">
        <v>3127</v>
      </c>
      <c r="AA864" t="s">
        <v>38</v>
      </c>
    </row>
    <row r="865" spans="1:27" hidden="1">
      <c r="A865" t="s">
        <v>3128</v>
      </c>
      <c r="B865" t="s">
        <v>3129</v>
      </c>
      <c r="C865" t="e">
        <f>VLOOKUP(B865,Sheet2!$A$2:$A$392,1,0)</f>
        <v>#N/A</v>
      </c>
      <c r="E865" t="s">
        <v>27</v>
      </c>
      <c r="F865" t="s">
        <v>41</v>
      </c>
      <c r="G865" t="s">
        <v>29</v>
      </c>
      <c r="I865" t="s">
        <v>42</v>
      </c>
      <c r="J865" s="2">
        <v>1050</v>
      </c>
      <c r="K865" s="2">
        <v>56</v>
      </c>
      <c r="L865" s="2">
        <v>633</v>
      </c>
      <c r="P865" t="s">
        <v>3130</v>
      </c>
      <c r="R865" t="s">
        <v>32</v>
      </c>
      <c r="S865" t="s">
        <v>33</v>
      </c>
      <c r="T865" t="s">
        <v>34</v>
      </c>
      <c r="U865" t="s">
        <v>35</v>
      </c>
      <c r="X865" t="s">
        <v>34</v>
      </c>
      <c r="Y865" t="s">
        <v>45</v>
      </c>
      <c r="Z865" t="s">
        <v>3131</v>
      </c>
      <c r="AA865" t="s">
        <v>38</v>
      </c>
    </row>
    <row r="866" spans="1:27">
      <c r="A866" t="s">
        <v>3132</v>
      </c>
      <c r="B866" t="s">
        <v>3133</v>
      </c>
      <c r="C866" t="str">
        <f>VLOOKUP(B866,Sheet2!$A$2:$A$392,1,0)</f>
        <v>MV. GRAND ROYAL EXPRESS</v>
      </c>
      <c r="E866" t="s">
        <v>52</v>
      </c>
      <c r="F866" t="s">
        <v>28</v>
      </c>
      <c r="G866" t="s">
        <v>2299</v>
      </c>
      <c r="J866" s="2">
        <v>53146</v>
      </c>
      <c r="K866" s="3">
        <v>189.94</v>
      </c>
      <c r="L866" s="2">
        <v>30000</v>
      </c>
      <c r="P866" t="s">
        <v>3134</v>
      </c>
      <c r="R866" t="s">
        <v>32</v>
      </c>
      <c r="S866" t="s">
        <v>33</v>
      </c>
      <c r="U866" t="s">
        <v>35</v>
      </c>
      <c r="X866" t="s">
        <v>34</v>
      </c>
      <c r="Y866" t="s">
        <v>154</v>
      </c>
      <c r="Z866" t="s">
        <v>3135</v>
      </c>
      <c r="AA866" t="s">
        <v>38</v>
      </c>
    </row>
    <row r="867" spans="1:27" hidden="1">
      <c r="A867" t="s">
        <v>3136</v>
      </c>
      <c r="B867" t="s">
        <v>3137</v>
      </c>
      <c r="C867" t="e">
        <f>VLOOKUP(B867,Sheet2!$A$2:$A$392,1,0)</f>
        <v>#N/A</v>
      </c>
      <c r="E867" t="s">
        <v>170</v>
      </c>
      <c r="G867" t="s">
        <v>831</v>
      </c>
      <c r="I867" t="s">
        <v>2802</v>
      </c>
      <c r="J867" s="2">
        <v>93406</v>
      </c>
      <c r="K867">
        <v>229.2</v>
      </c>
      <c r="L867" s="2">
        <v>51255</v>
      </c>
      <c r="P867" t="s">
        <v>3138</v>
      </c>
      <c r="S867" t="s">
        <v>33</v>
      </c>
      <c r="X867" t="s">
        <v>34</v>
      </c>
      <c r="AA867" t="s">
        <v>38</v>
      </c>
    </row>
    <row r="868" spans="1:27" hidden="1">
      <c r="A868" t="s">
        <v>3139</v>
      </c>
      <c r="B868" t="s">
        <v>3140</v>
      </c>
      <c r="C868" t="e">
        <f>VLOOKUP(B868,Sheet2!$A$2:$A$392,1,0)</f>
        <v>#N/A</v>
      </c>
      <c r="E868" t="s">
        <v>52</v>
      </c>
      <c r="F868" t="s">
        <v>28</v>
      </c>
      <c r="G868" t="s">
        <v>3141</v>
      </c>
      <c r="I868" t="s">
        <v>60</v>
      </c>
      <c r="J868" s="2">
        <v>42174</v>
      </c>
      <c r="K868" s="2">
        <v>180</v>
      </c>
      <c r="L868" s="2">
        <v>23263</v>
      </c>
      <c r="P868" t="s">
        <v>3114</v>
      </c>
      <c r="R868" t="s">
        <v>32</v>
      </c>
      <c r="S868" t="s">
        <v>33</v>
      </c>
      <c r="T868" t="s">
        <v>106</v>
      </c>
      <c r="U868" t="s">
        <v>35</v>
      </c>
      <c r="X868" t="s">
        <v>34</v>
      </c>
      <c r="Y868" t="s">
        <v>55</v>
      </c>
      <c r="Z868" t="s">
        <v>3142</v>
      </c>
      <c r="AA868" t="s">
        <v>38</v>
      </c>
    </row>
    <row r="869" spans="1:27">
      <c r="A869" t="s">
        <v>3143</v>
      </c>
      <c r="B869" t="s">
        <v>3144</v>
      </c>
      <c r="C869" t="str">
        <f>VLOOKUP(B869,Sheet2!$A$2:$A$392,1,0)</f>
        <v>MV. GRAND CENTURY</v>
      </c>
      <c r="E869" t="s">
        <v>52</v>
      </c>
      <c r="F869" t="s">
        <v>28</v>
      </c>
      <c r="G869" t="s">
        <v>29</v>
      </c>
      <c r="I869" t="s">
        <v>301</v>
      </c>
      <c r="J869" s="2">
        <v>6927</v>
      </c>
      <c r="K869" s="2">
        <v>98</v>
      </c>
      <c r="L869" s="2">
        <v>5394</v>
      </c>
      <c r="P869" t="s">
        <v>3145</v>
      </c>
      <c r="R869" t="s">
        <v>32</v>
      </c>
      <c r="S869" t="s">
        <v>33</v>
      </c>
      <c r="T869" t="s">
        <v>34</v>
      </c>
      <c r="U869" t="s">
        <v>35</v>
      </c>
      <c r="X869" t="s">
        <v>34</v>
      </c>
      <c r="Y869" t="s">
        <v>45</v>
      </c>
      <c r="Z869" t="s">
        <v>3146</v>
      </c>
      <c r="AA869" t="s">
        <v>38</v>
      </c>
    </row>
    <row r="870" spans="1:27">
      <c r="A870" t="s">
        <v>3147</v>
      </c>
      <c r="B870" t="s">
        <v>3133</v>
      </c>
      <c r="C870" t="str">
        <f>VLOOKUP(B870,Sheet2!$A$2:$A$392,1,0)</f>
        <v>MV. GRAND ROYAL EXPRESS</v>
      </c>
      <c r="E870" t="s">
        <v>52</v>
      </c>
      <c r="F870" t="s">
        <v>28</v>
      </c>
      <c r="G870" t="s">
        <v>151</v>
      </c>
      <c r="J870" s="2">
        <v>53146</v>
      </c>
      <c r="K870" s="3">
        <v>189.94</v>
      </c>
      <c r="L870" s="2">
        <v>30000</v>
      </c>
      <c r="O870" t="s">
        <v>152</v>
      </c>
      <c r="P870" t="s">
        <v>3134</v>
      </c>
      <c r="R870" t="s">
        <v>60</v>
      </c>
      <c r="S870" t="s">
        <v>33</v>
      </c>
      <c r="U870" t="s">
        <v>35</v>
      </c>
      <c r="V870" s="2">
        <v>5</v>
      </c>
      <c r="X870" t="s">
        <v>34</v>
      </c>
      <c r="Y870" t="s">
        <v>154</v>
      </c>
      <c r="Z870" t="s">
        <v>3135</v>
      </c>
      <c r="AA870" t="s">
        <v>38</v>
      </c>
    </row>
    <row r="871" spans="1:27" hidden="1">
      <c r="A871" t="s">
        <v>3148</v>
      </c>
      <c r="B871" t="s">
        <v>3149</v>
      </c>
      <c r="C871" t="e">
        <f>VLOOKUP(B871,Sheet2!$A$2:$A$392,1,0)</f>
        <v>#N/A</v>
      </c>
      <c r="E871" t="s">
        <v>52</v>
      </c>
      <c r="F871" t="s">
        <v>28</v>
      </c>
      <c r="G871" t="s">
        <v>59</v>
      </c>
      <c r="I871" t="s">
        <v>301</v>
      </c>
      <c r="J871" s="2">
        <v>60200</v>
      </c>
      <c r="K871" s="2">
        <v>199</v>
      </c>
      <c r="L871" s="2">
        <v>34812</v>
      </c>
      <c r="M871" s="2">
        <v>7850</v>
      </c>
      <c r="N871" s="2">
        <v>13</v>
      </c>
      <c r="O871" t="s">
        <v>61</v>
      </c>
      <c r="P871" t="s">
        <v>3150</v>
      </c>
      <c r="R871" t="s">
        <v>32</v>
      </c>
      <c r="S871" t="s">
        <v>33</v>
      </c>
      <c r="T871" t="s">
        <v>34</v>
      </c>
      <c r="U871" t="s">
        <v>35</v>
      </c>
      <c r="W871" t="s">
        <v>63</v>
      </c>
      <c r="X871" t="s">
        <v>34</v>
      </c>
      <c r="Y871" t="s">
        <v>64</v>
      </c>
      <c r="Z871" t="s">
        <v>3151</v>
      </c>
      <c r="AA871" t="s">
        <v>38</v>
      </c>
    </row>
    <row r="872" spans="1:27" hidden="1">
      <c r="A872" t="s">
        <v>3152</v>
      </c>
      <c r="B872" t="s">
        <v>3153</v>
      </c>
      <c r="C872" t="e">
        <f>VLOOKUP(B872,Sheet2!$A$2:$A$392,1,0)</f>
        <v>#N/A</v>
      </c>
      <c r="E872" t="s">
        <v>52</v>
      </c>
      <c r="F872" t="s">
        <v>28</v>
      </c>
      <c r="G872" t="s">
        <v>29</v>
      </c>
      <c r="I872" t="s">
        <v>301</v>
      </c>
      <c r="J872" s="2">
        <v>28386</v>
      </c>
      <c r="K872">
        <v>160.4</v>
      </c>
      <c r="L872" s="2">
        <v>17018</v>
      </c>
      <c r="P872" t="s">
        <v>3154</v>
      </c>
      <c r="R872" t="s">
        <v>32</v>
      </c>
      <c r="S872" t="s">
        <v>33</v>
      </c>
      <c r="T872" t="s">
        <v>34</v>
      </c>
      <c r="U872" t="s">
        <v>35</v>
      </c>
      <c r="W872" t="s">
        <v>165</v>
      </c>
      <c r="X872" t="s">
        <v>34</v>
      </c>
      <c r="Y872" t="s">
        <v>245</v>
      </c>
      <c r="Z872" t="s">
        <v>3155</v>
      </c>
      <c r="AA872" t="s">
        <v>38</v>
      </c>
    </row>
    <row r="873" spans="1:27" hidden="1">
      <c r="A873" t="s">
        <v>3156</v>
      </c>
      <c r="B873" t="s">
        <v>3157</v>
      </c>
      <c r="C873" t="e">
        <f>VLOOKUP(B873,Sheet2!$A$2:$A$392,1,0)</f>
        <v>#N/A</v>
      </c>
      <c r="E873" t="s">
        <v>52</v>
      </c>
      <c r="F873" t="s">
        <v>28</v>
      </c>
      <c r="G873" t="s">
        <v>59</v>
      </c>
      <c r="I873" t="s">
        <v>3158</v>
      </c>
      <c r="J873" s="2">
        <v>57587</v>
      </c>
      <c r="K873" s="2">
        <v>189</v>
      </c>
      <c r="L873" s="2">
        <v>32540</v>
      </c>
      <c r="M873" s="2">
        <v>8470</v>
      </c>
      <c r="N873" s="2">
        <v>12</v>
      </c>
      <c r="O873" t="s">
        <v>61</v>
      </c>
      <c r="P873" t="s">
        <v>3159</v>
      </c>
      <c r="R873" t="s">
        <v>3158</v>
      </c>
      <c r="S873" t="s">
        <v>33</v>
      </c>
      <c r="T873" t="s">
        <v>34</v>
      </c>
      <c r="U873" t="s">
        <v>35</v>
      </c>
      <c r="W873" t="s">
        <v>63</v>
      </c>
      <c r="X873" t="s">
        <v>34</v>
      </c>
      <c r="Y873" t="s">
        <v>64</v>
      </c>
      <c r="Z873" t="s">
        <v>3160</v>
      </c>
      <c r="AA873" t="s">
        <v>38</v>
      </c>
    </row>
    <row r="874" spans="1:27" hidden="1">
      <c r="A874" t="s">
        <v>3161</v>
      </c>
      <c r="B874" t="s">
        <v>3162</v>
      </c>
      <c r="C874" t="e">
        <f>VLOOKUP(B874,Sheet2!$A$2:$A$392,1,0)</f>
        <v>#N/A</v>
      </c>
      <c r="E874" t="s">
        <v>52</v>
      </c>
      <c r="F874" t="s">
        <v>28</v>
      </c>
      <c r="G874" t="s">
        <v>59</v>
      </c>
      <c r="I874" t="s">
        <v>301</v>
      </c>
      <c r="J874" s="2">
        <v>56064</v>
      </c>
      <c r="K874" s="2">
        <v>189</v>
      </c>
      <c r="L874" s="2">
        <v>31753</v>
      </c>
      <c r="M874" s="2">
        <v>9480</v>
      </c>
      <c r="N874" s="2">
        <v>12</v>
      </c>
      <c r="O874" t="s">
        <v>61</v>
      </c>
      <c r="P874" t="s">
        <v>3163</v>
      </c>
      <c r="R874" t="s">
        <v>32</v>
      </c>
      <c r="S874" t="s">
        <v>33</v>
      </c>
      <c r="T874" t="s">
        <v>34</v>
      </c>
      <c r="U874" t="s">
        <v>35</v>
      </c>
      <c r="W874" t="s">
        <v>63</v>
      </c>
      <c r="X874" t="s">
        <v>34</v>
      </c>
      <c r="Y874" t="s">
        <v>64</v>
      </c>
      <c r="Z874" t="s">
        <v>3164</v>
      </c>
      <c r="AA874" t="s">
        <v>38</v>
      </c>
    </row>
    <row r="875" spans="1:27" hidden="1">
      <c r="A875" t="s">
        <v>3165</v>
      </c>
      <c r="B875" t="s">
        <v>3166</v>
      </c>
      <c r="C875" t="e">
        <f>VLOOKUP(B875,Sheet2!$A$2:$A$392,1,0)</f>
        <v>#N/A</v>
      </c>
      <c r="E875" t="s">
        <v>52</v>
      </c>
      <c r="F875" t="s">
        <v>28</v>
      </c>
      <c r="G875" t="s">
        <v>29</v>
      </c>
      <c r="I875" t="s">
        <v>301</v>
      </c>
      <c r="J875" s="2">
        <v>43108</v>
      </c>
      <c r="K875" s="3">
        <v>184.99</v>
      </c>
      <c r="L875" s="2">
        <v>24550</v>
      </c>
      <c r="P875" t="s">
        <v>3167</v>
      </c>
      <c r="R875" t="s">
        <v>32</v>
      </c>
      <c r="S875" t="s">
        <v>33</v>
      </c>
      <c r="T875" t="s">
        <v>34</v>
      </c>
      <c r="U875" t="s">
        <v>35</v>
      </c>
      <c r="X875" t="s">
        <v>34</v>
      </c>
      <c r="Y875" t="s">
        <v>45</v>
      </c>
      <c r="Z875" t="s">
        <v>3168</v>
      </c>
      <c r="AA875" t="s">
        <v>38</v>
      </c>
    </row>
    <row r="876" spans="1:27" hidden="1">
      <c r="A876" t="s">
        <v>3169</v>
      </c>
      <c r="B876" t="s">
        <v>3170</v>
      </c>
      <c r="C876" t="e">
        <f>VLOOKUP(B876,Sheet2!$A$2:$A$392,1,0)</f>
        <v>#N/A</v>
      </c>
      <c r="E876" t="s">
        <v>27</v>
      </c>
      <c r="F876" t="s">
        <v>41</v>
      </c>
      <c r="G876" t="s">
        <v>29</v>
      </c>
      <c r="I876" t="s">
        <v>42</v>
      </c>
      <c r="J876" s="2">
        <v>5318</v>
      </c>
      <c r="K876" s="2">
        <v>95</v>
      </c>
      <c r="L876" s="2">
        <v>3884</v>
      </c>
      <c r="P876" t="s">
        <v>1537</v>
      </c>
      <c r="R876" t="s">
        <v>32</v>
      </c>
      <c r="S876" t="s">
        <v>33</v>
      </c>
      <c r="T876" t="s">
        <v>34</v>
      </c>
      <c r="U876" t="s">
        <v>35</v>
      </c>
      <c r="W876" t="s">
        <v>165</v>
      </c>
      <c r="X876" t="s">
        <v>34</v>
      </c>
      <c r="Y876" t="s">
        <v>245</v>
      </c>
      <c r="Z876" t="s">
        <v>3171</v>
      </c>
      <c r="AA876" t="s">
        <v>38</v>
      </c>
    </row>
    <row r="877" spans="1:27" hidden="1">
      <c r="A877" t="s">
        <v>3172</v>
      </c>
      <c r="B877" t="s">
        <v>3173</v>
      </c>
      <c r="C877" t="e">
        <f>VLOOKUP(B877,Sheet2!$A$2:$A$392,1,0)</f>
        <v>#N/A</v>
      </c>
      <c r="E877" t="s">
        <v>170</v>
      </c>
      <c r="G877" t="s">
        <v>2886</v>
      </c>
      <c r="I877" t="s">
        <v>30</v>
      </c>
      <c r="J877" s="2">
        <v>73288</v>
      </c>
      <c r="K877" s="2">
        <v>225</v>
      </c>
      <c r="L877" s="2">
        <v>38365</v>
      </c>
      <c r="P877" t="s">
        <v>3174</v>
      </c>
      <c r="S877" t="s">
        <v>33</v>
      </c>
      <c r="X877" t="s">
        <v>34</v>
      </c>
      <c r="AA877" t="s">
        <v>38</v>
      </c>
    </row>
    <row r="878" spans="1:27" hidden="1">
      <c r="A878" t="s">
        <v>3175</v>
      </c>
      <c r="B878" t="s">
        <v>3176</v>
      </c>
      <c r="C878" t="e">
        <f>VLOOKUP(B878,Sheet2!$A$2:$A$392,1,0)</f>
        <v>#N/A</v>
      </c>
      <c r="E878" t="s">
        <v>27</v>
      </c>
      <c r="F878" t="s">
        <v>28</v>
      </c>
      <c r="G878" t="s">
        <v>151</v>
      </c>
      <c r="I878" t="s">
        <v>352</v>
      </c>
      <c r="J878" s="2">
        <v>32816</v>
      </c>
      <c r="K878">
        <v>179.9</v>
      </c>
      <c r="L878" s="2">
        <v>20767</v>
      </c>
      <c r="P878" t="s">
        <v>3177</v>
      </c>
      <c r="R878" t="s">
        <v>32</v>
      </c>
      <c r="S878" t="s">
        <v>33</v>
      </c>
      <c r="T878" t="s">
        <v>106</v>
      </c>
      <c r="U878" t="s">
        <v>35</v>
      </c>
      <c r="X878" t="s">
        <v>34</v>
      </c>
      <c r="Y878" t="s">
        <v>154</v>
      </c>
      <c r="Z878" t="s">
        <v>3178</v>
      </c>
      <c r="AA878" t="s">
        <v>38</v>
      </c>
    </row>
    <row r="879" spans="1:27">
      <c r="A879" t="s">
        <v>3179</v>
      </c>
      <c r="B879" t="s">
        <v>1512</v>
      </c>
      <c r="C879" t="str">
        <f>VLOOKUP(B879,Sheet2!$A$2:$A$392,1,0)</f>
        <v>MV. HALUAN SENTOSA</v>
      </c>
      <c r="E879" t="s">
        <v>52</v>
      </c>
      <c r="F879" t="s">
        <v>41</v>
      </c>
      <c r="G879" t="s">
        <v>1513</v>
      </c>
      <c r="I879" t="s">
        <v>42</v>
      </c>
      <c r="J879" s="2">
        <v>1641</v>
      </c>
      <c r="K879" s="2">
        <v>70</v>
      </c>
      <c r="L879" s="2">
        <v>1005</v>
      </c>
      <c r="P879" t="s">
        <v>1514</v>
      </c>
      <c r="R879" t="s">
        <v>42</v>
      </c>
      <c r="S879" t="s">
        <v>33</v>
      </c>
      <c r="U879" t="s">
        <v>35</v>
      </c>
      <c r="X879" t="s">
        <v>34</v>
      </c>
      <c r="Y879" t="s">
        <v>154</v>
      </c>
      <c r="Z879" t="s">
        <v>3180</v>
      </c>
      <c r="AA879" t="s">
        <v>38</v>
      </c>
    </row>
    <row r="880" spans="1:27" hidden="1">
      <c r="A880" t="s">
        <v>3181</v>
      </c>
      <c r="B880" t="s">
        <v>3182</v>
      </c>
      <c r="C880" t="e">
        <f>VLOOKUP(B880,Sheet2!$A$2:$A$392,1,0)</f>
        <v>#N/A</v>
      </c>
      <c r="E880" t="s">
        <v>170</v>
      </c>
      <c r="G880" t="s">
        <v>2793</v>
      </c>
      <c r="I880" t="s">
        <v>301</v>
      </c>
      <c r="J880" s="2">
        <v>82165</v>
      </c>
      <c r="K880" s="3">
        <v>228.99</v>
      </c>
      <c r="L880" s="2">
        <v>43024</v>
      </c>
      <c r="P880" t="s">
        <v>3183</v>
      </c>
      <c r="S880" t="s">
        <v>33</v>
      </c>
      <c r="X880" t="s">
        <v>34</v>
      </c>
      <c r="AA880" t="s">
        <v>38</v>
      </c>
    </row>
    <row r="881" spans="1:27" hidden="1">
      <c r="A881" t="s">
        <v>3184</v>
      </c>
      <c r="B881" t="s">
        <v>3185</v>
      </c>
      <c r="C881" t="e">
        <f>VLOOKUP(B881,Sheet2!$A$2:$A$392,1,0)</f>
        <v>#N/A</v>
      </c>
      <c r="E881" t="s">
        <v>52</v>
      </c>
      <c r="F881" t="s">
        <v>28</v>
      </c>
      <c r="G881" t="s">
        <v>29</v>
      </c>
      <c r="I881" t="s">
        <v>685</v>
      </c>
      <c r="J881" s="2">
        <v>39802</v>
      </c>
      <c r="K881" s="3">
        <v>179.99</v>
      </c>
      <c r="L881" s="2">
        <v>24785</v>
      </c>
      <c r="P881" t="s">
        <v>3186</v>
      </c>
      <c r="R881" t="s">
        <v>581</v>
      </c>
      <c r="S881" t="s">
        <v>33</v>
      </c>
      <c r="T881" t="s">
        <v>34</v>
      </c>
      <c r="U881" t="s">
        <v>35</v>
      </c>
      <c r="X881" t="s">
        <v>34</v>
      </c>
      <c r="Y881" t="s">
        <v>45</v>
      </c>
      <c r="Z881" t="s">
        <v>3187</v>
      </c>
      <c r="AA881" t="s">
        <v>38</v>
      </c>
    </row>
    <row r="882" spans="1:27" hidden="1">
      <c r="A882" t="s">
        <v>3188</v>
      </c>
      <c r="B882" t="s">
        <v>3189</v>
      </c>
      <c r="C882" t="e">
        <f>VLOOKUP(B882,Sheet2!$A$2:$A$392,1,0)</f>
        <v>#N/A</v>
      </c>
      <c r="E882" t="s">
        <v>72</v>
      </c>
      <c r="G882" t="s">
        <v>629</v>
      </c>
      <c r="I882" t="s">
        <v>42</v>
      </c>
      <c r="J882" s="2">
        <v>1173</v>
      </c>
      <c r="K882" s="2">
        <v>60</v>
      </c>
      <c r="L882" s="2">
        <v>1173</v>
      </c>
      <c r="P882" t="s">
        <v>74</v>
      </c>
      <c r="S882" t="s">
        <v>33</v>
      </c>
      <c r="X882" t="s">
        <v>34</v>
      </c>
      <c r="AA882" t="s">
        <v>38</v>
      </c>
    </row>
    <row r="883" spans="1:27" hidden="1">
      <c r="A883" t="s">
        <v>3190</v>
      </c>
      <c r="B883" t="s">
        <v>3191</v>
      </c>
      <c r="C883" t="e">
        <f>VLOOKUP(B883,Sheet2!$A$2:$A$392,1,0)</f>
        <v>#N/A</v>
      </c>
      <c r="E883" t="s">
        <v>40</v>
      </c>
      <c r="G883" t="s">
        <v>424</v>
      </c>
      <c r="I883" t="s">
        <v>42</v>
      </c>
      <c r="J883" s="2">
        <v>1</v>
      </c>
      <c r="K883" s="3">
        <v>22.22</v>
      </c>
      <c r="L883" s="2">
        <v>137</v>
      </c>
      <c r="P883" t="s">
        <v>3192</v>
      </c>
      <c r="S883" t="s">
        <v>33</v>
      </c>
      <c r="X883" t="s">
        <v>34</v>
      </c>
      <c r="AA883" t="s">
        <v>38</v>
      </c>
    </row>
    <row r="884" spans="1:27" hidden="1">
      <c r="A884" t="s">
        <v>3193</v>
      </c>
      <c r="B884" t="s">
        <v>3194</v>
      </c>
      <c r="C884" t="e">
        <f>VLOOKUP(B884,Sheet2!$A$2:$A$392,1,0)</f>
        <v>#N/A</v>
      </c>
      <c r="E884" t="s">
        <v>170</v>
      </c>
      <c r="I884" t="s">
        <v>42</v>
      </c>
      <c r="J884" s="2">
        <v>31686</v>
      </c>
      <c r="K884" s="3">
        <v>176.51</v>
      </c>
      <c r="L884" s="2">
        <v>21524</v>
      </c>
      <c r="P884" t="s">
        <v>3195</v>
      </c>
      <c r="S884" t="s">
        <v>33</v>
      </c>
      <c r="X884" t="s">
        <v>34</v>
      </c>
      <c r="AA884" t="s">
        <v>38</v>
      </c>
    </row>
    <row r="885" spans="1:27" hidden="1">
      <c r="A885" t="s">
        <v>3196</v>
      </c>
      <c r="B885" t="s">
        <v>3197</v>
      </c>
      <c r="C885" t="e">
        <f>VLOOKUP(B885,Sheet2!$A$2:$A$392,1,0)</f>
        <v>#N/A</v>
      </c>
      <c r="E885" t="s">
        <v>170</v>
      </c>
      <c r="G885" t="s">
        <v>3198</v>
      </c>
      <c r="I885" t="s">
        <v>301</v>
      </c>
      <c r="J885" s="2">
        <v>43003</v>
      </c>
      <c r="K885">
        <v>199.9</v>
      </c>
      <c r="L885" s="2">
        <v>39145</v>
      </c>
      <c r="P885" t="s">
        <v>3199</v>
      </c>
      <c r="S885" t="s">
        <v>33</v>
      </c>
      <c r="X885" t="s">
        <v>34</v>
      </c>
      <c r="AA885" t="s">
        <v>38</v>
      </c>
    </row>
    <row r="886" spans="1:27" hidden="1">
      <c r="A886" t="s">
        <v>3200</v>
      </c>
      <c r="B886" t="s">
        <v>3201</v>
      </c>
      <c r="C886" t="e">
        <f>VLOOKUP(B886,Sheet2!$A$2:$A$392,1,0)</f>
        <v>#N/A</v>
      </c>
      <c r="E886" t="s">
        <v>40</v>
      </c>
      <c r="F886" t="s">
        <v>41</v>
      </c>
      <c r="G886" t="s">
        <v>29</v>
      </c>
      <c r="I886" t="s">
        <v>42</v>
      </c>
      <c r="J886" s="2">
        <v>4000</v>
      </c>
      <c r="K886" s="2">
        <v>73</v>
      </c>
      <c r="L886" s="2">
        <v>2122</v>
      </c>
      <c r="P886" t="s">
        <v>3202</v>
      </c>
      <c r="R886" t="s">
        <v>42</v>
      </c>
      <c r="S886" t="s">
        <v>33</v>
      </c>
      <c r="T886" t="s">
        <v>34</v>
      </c>
      <c r="U886" t="s">
        <v>35</v>
      </c>
      <c r="X886" t="s">
        <v>34</v>
      </c>
      <c r="Y886" t="s">
        <v>45</v>
      </c>
      <c r="Z886" t="s">
        <v>3203</v>
      </c>
      <c r="AA886" t="s">
        <v>38</v>
      </c>
    </row>
    <row r="887" spans="1:27" hidden="1">
      <c r="A887" t="s">
        <v>3204</v>
      </c>
      <c r="B887" t="s">
        <v>3205</v>
      </c>
      <c r="C887" t="e">
        <f>VLOOKUP(B887,Sheet2!$A$2:$A$392,1,0)</f>
        <v>#N/A</v>
      </c>
      <c r="E887" t="s">
        <v>52</v>
      </c>
      <c r="F887" t="s">
        <v>28</v>
      </c>
      <c r="G887" t="s">
        <v>59</v>
      </c>
      <c r="I887" t="s">
        <v>30</v>
      </c>
      <c r="J887" s="2">
        <v>37649</v>
      </c>
      <c r="K887">
        <v>179.9</v>
      </c>
      <c r="L887" s="2">
        <v>23386</v>
      </c>
      <c r="M887" s="2">
        <v>6820</v>
      </c>
      <c r="N887">
        <v>10.5</v>
      </c>
      <c r="O887" t="s">
        <v>61</v>
      </c>
      <c r="P887" t="s">
        <v>3206</v>
      </c>
      <c r="R887" t="s">
        <v>32</v>
      </c>
      <c r="S887" t="s">
        <v>33</v>
      </c>
      <c r="T887" t="s">
        <v>34</v>
      </c>
      <c r="U887" t="s">
        <v>35</v>
      </c>
      <c r="W887" t="s">
        <v>63</v>
      </c>
      <c r="X887" t="s">
        <v>34</v>
      </c>
      <c r="Y887" t="s">
        <v>64</v>
      </c>
      <c r="Z887" t="s">
        <v>3207</v>
      </c>
      <c r="AA887" t="s">
        <v>38</v>
      </c>
    </row>
    <row r="888" spans="1:27" hidden="1">
      <c r="A888" t="s">
        <v>3208</v>
      </c>
      <c r="B888" t="s">
        <v>3209</v>
      </c>
      <c r="C888" t="e">
        <f>VLOOKUP(B888,Sheet2!$A$2:$A$392,1,0)</f>
        <v>#N/A</v>
      </c>
      <c r="E888" t="s">
        <v>52</v>
      </c>
      <c r="F888" t="s">
        <v>28</v>
      </c>
      <c r="G888" t="s">
        <v>29</v>
      </c>
      <c r="I888" t="s">
        <v>301</v>
      </c>
      <c r="J888" s="2">
        <v>37537</v>
      </c>
      <c r="K888" s="3">
        <v>179.97</v>
      </c>
      <c r="L888" s="2">
        <v>23432</v>
      </c>
      <c r="P888" t="s">
        <v>3210</v>
      </c>
      <c r="R888" t="s">
        <v>32</v>
      </c>
      <c r="S888" t="s">
        <v>33</v>
      </c>
      <c r="T888" t="s">
        <v>34</v>
      </c>
      <c r="U888" t="s">
        <v>35</v>
      </c>
      <c r="X888" t="s">
        <v>34</v>
      </c>
      <c r="Y888" t="s">
        <v>45</v>
      </c>
      <c r="Z888" t="s">
        <v>3211</v>
      </c>
      <c r="AA888" t="s">
        <v>38</v>
      </c>
    </row>
    <row r="889" spans="1:27" hidden="1">
      <c r="A889" t="s">
        <v>3212</v>
      </c>
      <c r="B889" t="s">
        <v>3213</v>
      </c>
      <c r="C889" t="e">
        <f>VLOOKUP(B889,Sheet2!$A$2:$A$392,1,0)</f>
        <v>#N/A</v>
      </c>
      <c r="E889" t="s">
        <v>52</v>
      </c>
      <c r="F889" t="s">
        <v>28</v>
      </c>
      <c r="G889" t="s">
        <v>59</v>
      </c>
      <c r="I889" t="s">
        <v>1113</v>
      </c>
      <c r="J889" s="2">
        <v>37543</v>
      </c>
      <c r="K889" s="2">
        <v>180</v>
      </c>
      <c r="L889" s="2">
        <v>23281</v>
      </c>
      <c r="M889" s="2">
        <v>9272</v>
      </c>
      <c r="N889" s="3">
        <v>10.54</v>
      </c>
      <c r="O889" t="s">
        <v>61</v>
      </c>
      <c r="P889" t="s">
        <v>3214</v>
      </c>
      <c r="R889" t="s">
        <v>32</v>
      </c>
      <c r="S889" t="s">
        <v>33</v>
      </c>
      <c r="T889" t="s">
        <v>34</v>
      </c>
      <c r="U889" t="s">
        <v>35</v>
      </c>
      <c r="W889" t="s">
        <v>63</v>
      </c>
      <c r="X889" t="s">
        <v>34</v>
      </c>
      <c r="Y889" t="s">
        <v>64</v>
      </c>
      <c r="Z889" t="s">
        <v>3215</v>
      </c>
      <c r="AA889" t="s">
        <v>38</v>
      </c>
    </row>
    <row r="890" spans="1:27" hidden="1">
      <c r="A890" t="s">
        <v>3216</v>
      </c>
      <c r="B890" t="s">
        <v>3217</v>
      </c>
      <c r="C890" t="e">
        <f>VLOOKUP(B890,Sheet2!$A$2:$A$392,1,0)</f>
        <v>#N/A</v>
      </c>
      <c r="E890" t="s">
        <v>170</v>
      </c>
      <c r="G890" t="s">
        <v>2711</v>
      </c>
      <c r="I890" t="s">
        <v>301</v>
      </c>
      <c r="J890" s="2">
        <v>75798</v>
      </c>
      <c r="K890" s="2">
        <v>225</v>
      </c>
      <c r="L890" s="2">
        <v>38871</v>
      </c>
      <c r="P890" s="2">
        <v>0</v>
      </c>
      <c r="S890" t="s">
        <v>33</v>
      </c>
      <c r="X890" t="s">
        <v>34</v>
      </c>
      <c r="AA890" t="s">
        <v>38</v>
      </c>
    </row>
    <row r="891" spans="1:27" hidden="1">
      <c r="A891" t="s">
        <v>3218</v>
      </c>
      <c r="B891" t="s">
        <v>3219</v>
      </c>
      <c r="C891" t="e">
        <f>VLOOKUP(B891,Sheet2!$A$2:$A$392,1,0)</f>
        <v>#N/A</v>
      </c>
      <c r="E891" t="s">
        <v>40</v>
      </c>
      <c r="G891" t="s">
        <v>424</v>
      </c>
      <c r="I891" t="s">
        <v>42</v>
      </c>
      <c r="J891" s="2">
        <v>247</v>
      </c>
      <c r="K891" s="3">
        <v>22.79</v>
      </c>
      <c r="L891" s="2">
        <v>147</v>
      </c>
      <c r="P891" t="s">
        <v>3220</v>
      </c>
      <c r="S891" t="s">
        <v>33</v>
      </c>
      <c r="X891" t="s">
        <v>34</v>
      </c>
      <c r="AA891" t="s">
        <v>38</v>
      </c>
    </row>
    <row r="892" spans="1:27" hidden="1">
      <c r="A892" t="s">
        <v>3221</v>
      </c>
      <c r="B892" t="s">
        <v>3222</v>
      </c>
      <c r="C892" t="e">
        <f>VLOOKUP(B892,Sheet2!$A$2:$A$392,1,0)</f>
        <v>#N/A</v>
      </c>
      <c r="E892" t="s">
        <v>170</v>
      </c>
      <c r="I892" t="s">
        <v>42</v>
      </c>
      <c r="J892" s="2">
        <v>2080</v>
      </c>
      <c r="K892" s="3">
        <v>75.02</v>
      </c>
      <c r="L892" s="2">
        <v>1071</v>
      </c>
      <c r="P892" t="s">
        <v>3223</v>
      </c>
      <c r="S892" t="s">
        <v>33</v>
      </c>
      <c r="X892" t="s">
        <v>34</v>
      </c>
      <c r="AA892" t="s">
        <v>38</v>
      </c>
    </row>
    <row r="893" spans="1:27" hidden="1">
      <c r="A893" t="s">
        <v>3224</v>
      </c>
      <c r="B893" t="s">
        <v>3225</v>
      </c>
      <c r="C893" t="e">
        <f>VLOOKUP(B893,Sheet2!$A$2:$A$392,1,0)</f>
        <v>#N/A</v>
      </c>
      <c r="E893" t="s">
        <v>121</v>
      </c>
      <c r="F893" t="s">
        <v>41</v>
      </c>
      <c r="G893" t="s">
        <v>202</v>
      </c>
      <c r="I893" t="s">
        <v>42</v>
      </c>
      <c r="J893" s="2">
        <v>500</v>
      </c>
      <c r="K893" s="3">
        <v>37.47</v>
      </c>
      <c r="L893" s="2">
        <v>236</v>
      </c>
      <c r="P893" t="s">
        <v>3226</v>
      </c>
      <c r="S893" t="s">
        <v>33</v>
      </c>
      <c r="T893" t="s">
        <v>106</v>
      </c>
      <c r="X893" t="s">
        <v>34</v>
      </c>
      <c r="Y893" t="s">
        <v>3227</v>
      </c>
      <c r="Z893" t="s">
        <v>3228</v>
      </c>
      <c r="AA893" t="s">
        <v>38</v>
      </c>
    </row>
    <row r="894" spans="1:27">
      <c r="A894" t="s">
        <v>3229</v>
      </c>
      <c r="B894" t="s">
        <v>3230</v>
      </c>
      <c r="C894" t="str">
        <f>VLOOKUP(B894,Sheet2!$A$2:$A$392,1,0)</f>
        <v>MV. IRIANA</v>
      </c>
      <c r="E894" t="s">
        <v>52</v>
      </c>
      <c r="F894" t="s">
        <v>41</v>
      </c>
      <c r="G894" t="s">
        <v>151</v>
      </c>
      <c r="J894" s="2">
        <v>15000</v>
      </c>
      <c r="K894" s="2">
        <v>117</v>
      </c>
      <c r="L894" s="2">
        <v>7757</v>
      </c>
      <c r="M894" s="2">
        <v>2400</v>
      </c>
      <c r="N894" s="2">
        <v>4</v>
      </c>
      <c r="P894" t="s">
        <v>1684</v>
      </c>
      <c r="R894" t="s">
        <v>42</v>
      </c>
      <c r="S894" t="s">
        <v>33</v>
      </c>
      <c r="U894" t="s">
        <v>35</v>
      </c>
      <c r="X894" t="s">
        <v>34</v>
      </c>
      <c r="Y894" t="s">
        <v>154</v>
      </c>
      <c r="Z894" t="s">
        <v>3231</v>
      </c>
      <c r="AA894" t="s">
        <v>38</v>
      </c>
    </row>
    <row r="895" spans="1:27" hidden="1">
      <c r="A895" t="s">
        <v>3232</v>
      </c>
      <c r="B895" t="s">
        <v>3233</v>
      </c>
      <c r="C895" t="e">
        <f>VLOOKUP(B895,Sheet2!$A$2:$A$392,1,0)</f>
        <v>#N/A</v>
      </c>
      <c r="E895" t="s">
        <v>52</v>
      </c>
      <c r="F895" t="s">
        <v>28</v>
      </c>
      <c r="G895" t="s">
        <v>29</v>
      </c>
      <c r="I895" t="s">
        <v>30</v>
      </c>
      <c r="J895" s="2">
        <v>38180</v>
      </c>
      <c r="K895" s="2">
        <v>174</v>
      </c>
      <c r="L895" s="2">
        <v>23259</v>
      </c>
      <c r="P895" t="s">
        <v>3234</v>
      </c>
      <c r="R895" t="s">
        <v>32</v>
      </c>
      <c r="S895" t="s">
        <v>33</v>
      </c>
      <c r="T895" t="s">
        <v>34</v>
      </c>
      <c r="U895" t="s">
        <v>35</v>
      </c>
      <c r="X895" t="s">
        <v>34</v>
      </c>
      <c r="Y895" t="s">
        <v>45</v>
      </c>
      <c r="Z895" t="s">
        <v>3235</v>
      </c>
      <c r="AA895" t="s">
        <v>38</v>
      </c>
    </row>
    <row r="896" spans="1:27" hidden="1">
      <c r="A896" t="s">
        <v>3236</v>
      </c>
      <c r="B896" t="s">
        <v>3237</v>
      </c>
      <c r="C896" t="e">
        <f>VLOOKUP(B896,Sheet2!$A$2:$A$392,1,0)</f>
        <v>#N/A</v>
      </c>
      <c r="E896" t="s">
        <v>52</v>
      </c>
      <c r="F896" t="s">
        <v>28</v>
      </c>
      <c r="G896" t="s">
        <v>59</v>
      </c>
      <c r="I896" t="s">
        <v>301</v>
      </c>
      <c r="J896" s="2">
        <v>38200</v>
      </c>
      <c r="K896" s="3">
        <v>184.75</v>
      </c>
      <c r="L896" s="2">
        <v>23857</v>
      </c>
      <c r="M896" s="2">
        <v>6780</v>
      </c>
      <c r="N896" s="3">
        <v>10.02</v>
      </c>
      <c r="O896" t="s">
        <v>61</v>
      </c>
      <c r="P896" t="s">
        <v>3238</v>
      </c>
      <c r="R896" t="s">
        <v>32</v>
      </c>
      <c r="S896" t="s">
        <v>33</v>
      </c>
      <c r="T896" t="s">
        <v>34</v>
      </c>
      <c r="U896" t="s">
        <v>35</v>
      </c>
      <c r="W896" t="s">
        <v>63</v>
      </c>
      <c r="X896" t="s">
        <v>34</v>
      </c>
      <c r="Y896" t="s">
        <v>64</v>
      </c>
      <c r="Z896" t="s">
        <v>3239</v>
      </c>
      <c r="AA896" t="s">
        <v>38</v>
      </c>
    </row>
    <row r="897" spans="1:27" hidden="1">
      <c r="A897" t="s">
        <v>3240</v>
      </c>
      <c r="B897" t="s">
        <v>3241</v>
      </c>
      <c r="C897" t="e">
        <f>VLOOKUP(B897,Sheet2!$A$2:$A$392,1,0)</f>
        <v>#N/A</v>
      </c>
      <c r="E897" t="s">
        <v>27</v>
      </c>
      <c r="F897" t="s">
        <v>41</v>
      </c>
      <c r="G897" t="s">
        <v>29</v>
      </c>
      <c r="I897" t="s">
        <v>42</v>
      </c>
      <c r="J897" s="2">
        <v>2300</v>
      </c>
      <c r="K897" s="2">
        <v>69</v>
      </c>
      <c r="L897" s="2">
        <v>1560</v>
      </c>
      <c r="M897" s="2">
        <v>2000</v>
      </c>
      <c r="N897" s="2">
        <v>5</v>
      </c>
      <c r="P897" t="s">
        <v>185</v>
      </c>
      <c r="R897" t="s">
        <v>32</v>
      </c>
      <c r="S897" t="s">
        <v>33</v>
      </c>
      <c r="T897" t="s">
        <v>34</v>
      </c>
      <c r="U897" t="s">
        <v>35</v>
      </c>
      <c r="X897" t="s">
        <v>34</v>
      </c>
      <c r="Y897" t="s">
        <v>45</v>
      </c>
      <c r="Z897" t="s">
        <v>3242</v>
      </c>
      <c r="AA897" t="s">
        <v>38</v>
      </c>
    </row>
    <row r="898" spans="1:27">
      <c r="A898" t="s">
        <v>3243</v>
      </c>
      <c r="B898" t="s">
        <v>3244</v>
      </c>
      <c r="C898" t="str">
        <f>VLOOKUP(B898,Sheet2!$A$2:$A$392,1,0)</f>
        <v>MV. IKAN LANDUK</v>
      </c>
      <c r="E898" t="s">
        <v>52</v>
      </c>
      <c r="F898" t="s">
        <v>28</v>
      </c>
      <c r="G898" t="s">
        <v>29</v>
      </c>
      <c r="I898" t="s">
        <v>685</v>
      </c>
      <c r="J898" s="2">
        <v>37115</v>
      </c>
      <c r="K898" s="2">
        <v>178</v>
      </c>
      <c r="L898" s="2">
        <v>22852</v>
      </c>
      <c r="P898" t="s">
        <v>3245</v>
      </c>
      <c r="R898" t="s">
        <v>32</v>
      </c>
      <c r="S898" t="s">
        <v>33</v>
      </c>
      <c r="T898" t="s">
        <v>34</v>
      </c>
      <c r="U898" t="s">
        <v>35</v>
      </c>
      <c r="X898" t="s">
        <v>34</v>
      </c>
      <c r="Y898" t="s">
        <v>45</v>
      </c>
      <c r="Z898" t="s">
        <v>3246</v>
      </c>
      <c r="AA898" t="s">
        <v>38</v>
      </c>
    </row>
    <row r="899" spans="1:27" hidden="1">
      <c r="A899" t="s">
        <v>3247</v>
      </c>
      <c r="B899" t="s">
        <v>3248</v>
      </c>
      <c r="C899" t="e">
        <f>VLOOKUP(B899,Sheet2!$A$2:$A$392,1,0)</f>
        <v>#N/A</v>
      </c>
      <c r="E899" t="s">
        <v>40</v>
      </c>
      <c r="G899" t="s">
        <v>629</v>
      </c>
      <c r="I899" t="s">
        <v>42</v>
      </c>
      <c r="J899" s="2">
        <v>53</v>
      </c>
      <c r="K899" s="3">
        <v>20.83</v>
      </c>
      <c r="L899" s="2">
        <v>89</v>
      </c>
      <c r="P899" t="s">
        <v>3249</v>
      </c>
      <c r="S899" t="s">
        <v>33</v>
      </c>
      <c r="X899" t="s">
        <v>34</v>
      </c>
      <c r="AA899" t="s">
        <v>38</v>
      </c>
    </row>
    <row r="900" spans="1:27" hidden="1">
      <c r="A900" t="s">
        <v>3250</v>
      </c>
      <c r="B900" t="s">
        <v>3251</v>
      </c>
      <c r="C900" t="e">
        <f>VLOOKUP(B900,Sheet2!$A$2:$A$392,1,0)</f>
        <v>#N/A</v>
      </c>
      <c r="E900" t="s">
        <v>27</v>
      </c>
      <c r="F900" t="s">
        <v>41</v>
      </c>
      <c r="G900" t="s">
        <v>59</v>
      </c>
      <c r="J900" s="2">
        <v>2606</v>
      </c>
      <c r="K900" s="2">
        <v>73</v>
      </c>
      <c r="L900" s="2">
        <v>1537</v>
      </c>
      <c r="O900" t="s">
        <v>61</v>
      </c>
      <c r="P900" t="s">
        <v>3252</v>
      </c>
      <c r="R900" t="s">
        <v>581</v>
      </c>
      <c r="S900" t="s">
        <v>33</v>
      </c>
      <c r="U900" t="s">
        <v>35</v>
      </c>
      <c r="W900" t="s">
        <v>63</v>
      </c>
      <c r="X900" t="s">
        <v>34</v>
      </c>
      <c r="Y900" t="s">
        <v>64</v>
      </c>
      <c r="Z900" t="s">
        <v>3253</v>
      </c>
      <c r="AA900" t="s">
        <v>38</v>
      </c>
    </row>
    <row r="901" spans="1:27" hidden="1">
      <c r="A901" t="s">
        <v>3254</v>
      </c>
      <c r="B901" t="s">
        <v>3255</v>
      </c>
      <c r="C901" t="e">
        <f>VLOOKUP(B901,Sheet2!$A$2:$A$392,1,0)</f>
        <v>#N/A</v>
      </c>
      <c r="E901" t="s">
        <v>52</v>
      </c>
      <c r="F901" t="s">
        <v>28</v>
      </c>
      <c r="G901" t="s">
        <v>151</v>
      </c>
      <c r="J901" s="2">
        <v>46874</v>
      </c>
      <c r="K901" s="3">
        <v>185.74</v>
      </c>
      <c r="L901" s="2">
        <v>26049</v>
      </c>
      <c r="M901" s="2">
        <v>9750</v>
      </c>
      <c r="N901" s="2">
        <v>12</v>
      </c>
      <c r="O901" t="s">
        <v>152</v>
      </c>
      <c r="P901" t="s">
        <v>3256</v>
      </c>
      <c r="R901" t="s">
        <v>60</v>
      </c>
      <c r="S901" t="s">
        <v>33</v>
      </c>
      <c r="U901" t="s">
        <v>35</v>
      </c>
      <c r="V901" s="2">
        <v>5</v>
      </c>
      <c r="X901" t="s">
        <v>34</v>
      </c>
      <c r="Y901" t="s">
        <v>154</v>
      </c>
      <c r="Z901" t="s">
        <v>3257</v>
      </c>
      <c r="AA901" t="s">
        <v>38</v>
      </c>
    </row>
    <row r="902" spans="1:27" hidden="1">
      <c r="A902" t="s">
        <v>3258</v>
      </c>
      <c r="B902" t="s">
        <v>3259</v>
      </c>
      <c r="C902" t="e">
        <f>VLOOKUP(B902,Sheet2!$A$2:$A$392,1,0)</f>
        <v>#N/A</v>
      </c>
      <c r="E902" t="s">
        <v>52</v>
      </c>
      <c r="F902" t="s">
        <v>28</v>
      </c>
      <c r="G902" t="s">
        <v>59</v>
      </c>
      <c r="I902" t="s">
        <v>30</v>
      </c>
      <c r="J902" s="2">
        <v>32352</v>
      </c>
      <c r="K902" s="2">
        <v>179</v>
      </c>
      <c r="L902" s="2">
        <v>20969</v>
      </c>
      <c r="M902" s="2">
        <v>8160</v>
      </c>
      <c r="N902" s="2">
        <v>10</v>
      </c>
      <c r="O902" t="s">
        <v>61</v>
      </c>
      <c r="P902" t="s">
        <v>3260</v>
      </c>
      <c r="R902" t="s">
        <v>581</v>
      </c>
      <c r="S902" t="s">
        <v>33</v>
      </c>
      <c r="T902" t="s">
        <v>34</v>
      </c>
      <c r="U902" t="s">
        <v>35</v>
      </c>
      <c r="W902" t="s">
        <v>63</v>
      </c>
      <c r="X902" t="s">
        <v>34</v>
      </c>
      <c r="Y902" t="s">
        <v>64</v>
      </c>
      <c r="Z902" t="s">
        <v>3261</v>
      </c>
      <c r="AA902" t="s">
        <v>38</v>
      </c>
    </row>
    <row r="903" spans="1:27" hidden="1">
      <c r="A903" t="s">
        <v>3262</v>
      </c>
      <c r="B903" t="s">
        <v>3263</v>
      </c>
      <c r="C903" t="e">
        <f>VLOOKUP(B903,Sheet2!$A$2:$A$392,1,0)</f>
        <v>#N/A</v>
      </c>
      <c r="E903" t="s">
        <v>52</v>
      </c>
      <c r="F903" t="s">
        <v>41</v>
      </c>
      <c r="G903" t="s">
        <v>3080</v>
      </c>
      <c r="J903" s="2">
        <v>7581</v>
      </c>
      <c r="K903" s="2">
        <v>114</v>
      </c>
      <c r="L903" s="2">
        <v>4902</v>
      </c>
      <c r="M903" s="2">
        <v>3690</v>
      </c>
      <c r="O903" t="s">
        <v>3081</v>
      </c>
      <c r="P903" t="s">
        <v>3264</v>
      </c>
      <c r="R903" t="s">
        <v>32</v>
      </c>
      <c r="S903" t="s">
        <v>33</v>
      </c>
      <c r="U903" t="s">
        <v>35</v>
      </c>
      <c r="W903" t="s">
        <v>63</v>
      </c>
      <c r="X903" t="s">
        <v>34</v>
      </c>
      <c r="Y903" t="s">
        <v>64</v>
      </c>
      <c r="Z903" t="s">
        <v>3265</v>
      </c>
      <c r="AA903" t="s">
        <v>38</v>
      </c>
    </row>
    <row r="904" spans="1:27" hidden="1">
      <c r="A904" t="s">
        <v>3266</v>
      </c>
      <c r="B904" t="s">
        <v>3267</v>
      </c>
      <c r="C904" t="e">
        <f>VLOOKUP(B904,Sheet2!$A$2:$A$392,1,0)</f>
        <v>#N/A</v>
      </c>
      <c r="E904" t="s">
        <v>40</v>
      </c>
      <c r="F904" t="s">
        <v>41</v>
      </c>
      <c r="G904" t="s">
        <v>29</v>
      </c>
      <c r="J904" s="2">
        <v>8000</v>
      </c>
      <c r="K904" s="2">
        <v>91</v>
      </c>
      <c r="L904" s="2">
        <v>3244</v>
      </c>
      <c r="P904" t="s">
        <v>3268</v>
      </c>
      <c r="R904" t="s">
        <v>42</v>
      </c>
      <c r="S904" t="s">
        <v>33</v>
      </c>
      <c r="U904" t="s">
        <v>35</v>
      </c>
      <c r="X904" t="s">
        <v>34</v>
      </c>
      <c r="Y904" t="s">
        <v>45</v>
      </c>
      <c r="Z904" t="s">
        <v>3269</v>
      </c>
      <c r="AA904" t="s">
        <v>38</v>
      </c>
    </row>
    <row r="905" spans="1:27" hidden="1">
      <c r="A905" t="s">
        <v>3270</v>
      </c>
      <c r="B905" t="s">
        <v>3271</v>
      </c>
      <c r="C905" t="e">
        <f>VLOOKUP(B905,Sheet2!$A$2:$A$392,1,0)</f>
        <v>#N/A</v>
      </c>
      <c r="E905" t="s">
        <v>52</v>
      </c>
      <c r="F905" t="s">
        <v>28</v>
      </c>
      <c r="G905" t="s">
        <v>29</v>
      </c>
      <c r="I905" t="s">
        <v>30</v>
      </c>
      <c r="J905" s="2">
        <v>32791</v>
      </c>
      <c r="K905" s="2">
        <v>177</v>
      </c>
      <c r="L905" s="2">
        <v>19993</v>
      </c>
      <c r="P905" t="s">
        <v>3272</v>
      </c>
      <c r="R905" t="s">
        <v>32</v>
      </c>
      <c r="S905" t="s">
        <v>33</v>
      </c>
      <c r="T905" t="s">
        <v>34</v>
      </c>
      <c r="U905" t="s">
        <v>35</v>
      </c>
      <c r="X905" t="s">
        <v>34</v>
      </c>
      <c r="Y905" t="s">
        <v>45</v>
      </c>
      <c r="Z905" t="s">
        <v>3273</v>
      </c>
      <c r="AA905" t="s">
        <v>38</v>
      </c>
    </row>
    <row r="906" spans="1:27" hidden="1">
      <c r="A906" t="s">
        <v>3274</v>
      </c>
      <c r="B906" t="s">
        <v>3275</v>
      </c>
      <c r="C906" t="e">
        <f>VLOOKUP(B906,Sheet2!$A$2:$A$392,1,0)</f>
        <v>#N/A</v>
      </c>
      <c r="E906" t="s">
        <v>52</v>
      </c>
      <c r="F906" t="s">
        <v>41</v>
      </c>
      <c r="G906" t="s">
        <v>3080</v>
      </c>
      <c r="J906" s="2">
        <v>7581</v>
      </c>
      <c r="K906">
        <v>114.8</v>
      </c>
      <c r="L906" s="2">
        <v>4902</v>
      </c>
      <c r="O906" t="s">
        <v>3081</v>
      </c>
      <c r="P906" t="s">
        <v>3264</v>
      </c>
      <c r="R906" t="s">
        <v>42</v>
      </c>
      <c r="S906" t="s">
        <v>33</v>
      </c>
      <c r="U906" t="s">
        <v>35</v>
      </c>
      <c r="X906" t="s">
        <v>147</v>
      </c>
      <c r="Y906" t="s">
        <v>45</v>
      </c>
      <c r="Z906" t="s">
        <v>3276</v>
      </c>
      <c r="AA906" t="s">
        <v>38</v>
      </c>
    </row>
    <row r="907" spans="1:27" hidden="1">
      <c r="A907" t="s">
        <v>3277</v>
      </c>
      <c r="B907" t="s">
        <v>3278</v>
      </c>
      <c r="C907" t="e">
        <f>VLOOKUP(B907,Sheet2!$A$2:$A$392,1,0)</f>
        <v>#N/A</v>
      </c>
      <c r="E907" t="s">
        <v>170</v>
      </c>
      <c r="G907" t="s">
        <v>2886</v>
      </c>
      <c r="I907" t="s">
        <v>581</v>
      </c>
      <c r="J907" s="2">
        <v>75409</v>
      </c>
      <c r="K907" s="2">
        <v>225</v>
      </c>
      <c r="L907" s="2">
        <v>40913</v>
      </c>
      <c r="P907" t="s">
        <v>3279</v>
      </c>
      <c r="S907" t="s">
        <v>33</v>
      </c>
      <c r="X907" t="s">
        <v>34</v>
      </c>
      <c r="AA907" t="s">
        <v>38</v>
      </c>
    </row>
    <row r="908" spans="1:27" hidden="1">
      <c r="A908" t="s">
        <v>3280</v>
      </c>
      <c r="B908" t="s">
        <v>3281</v>
      </c>
      <c r="C908" t="e">
        <f>VLOOKUP(B908,Sheet2!$A$2:$A$392,1,0)</f>
        <v>#N/A</v>
      </c>
      <c r="E908" t="s">
        <v>27</v>
      </c>
      <c r="F908" t="s">
        <v>41</v>
      </c>
      <c r="G908" t="s">
        <v>1968</v>
      </c>
      <c r="J908" s="2">
        <v>7000</v>
      </c>
      <c r="K908" s="3">
        <v>92.31</v>
      </c>
      <c r="L908" s="2">
        <v>3027</v>
      </c>
      <c r="M908" s="2">
        <v>10000</v>
      </c>
      <c r="N908" s="2">
        <v>1</v>
      </c>
      <c r="O908" t="s">
        <v>281</v>
      </c>
      <c r="P908" t="s">
        <v>3280</v>
      </c>
      <c r="R908" t="s">
        <v>42</v>
      </c>
      <c r="S908" t="s">
        <v>33</v>
      </c>
      <c r="U908" t="s">
        <v>44</v>
      </c>
      <c r="V908" s="2">
        <v>1</v>
      </c>
      <c r="W908" t="s">
        <v>63</v>
      </c>
      <c r="X908" t="s">
        <v>34</v>
      </c>
      <c r="Y908" t="s">
        <v>64</v>
      </c>
      <c r="Z908" t="s">
        <v>3282</v>
      </c>
      <c r="AA908" t="s">
        <v>38</v>
      </c>
    </row>
    <row r="909" spans="1:27" hidden="1">
      <c r="A909" t="s">
        <v>3283</v>
      </c>
      <c r="B909" t="s">
        <v>3284</v>
      </c>
      <c r="C909" t="e">
        <f>VLOOKUP(B909,Sheet2!$A$2:$A$392,1,0)</f>
        <v>#N/A</v>
      </c>
      <c r="E909" t="s">
        <v>93</v>
      </c>
      <c r="G909" t="s">
        <v>136</v>
      </c>
      <c r="I909" t="s">
        <v>42</v>
      </c>
      <c r="J909" s="2">
        <v>1000</v>
      </c>
      <c r="K909">
        <v>60.6</v>
      </c>
      <c r="L909" s="2">
        <v>625</v>
      </c>
      <c r="P909" t="s">
        <v>3285</v>
      </c>
      <c r="S909" t="s">
        <v>33</v>
      </c>
      <c r="X909" t="s">
        <v>34</v>
      </c>
      <c r="AA909" t="s">
        <v>38</v>
      </c>
    </row>
    <row r="910" spans="1:27" hidden="1">
      <c r="A910" t="s">
        <v>3286</v>
      </c>
      <c r="B910" t="s">
        <v>3287</v>
      </c>
      <c r="C910" t="e">
        <f>VLOOKUP(B910,Sheet2!$A$2:$A$392,1,0)</f>
        <v>#N/A</v>
      </c>
      <c r="E910" t="s">
        <v>249</v>
      </c>
      <c r="G910" t="s">
        <v>3288</v>
      </c>
      <c r="I910" t="s">
        <v>42</v>
      </c>
      <c r="J910" s="2">
        <v>7416</v>
      </c>
      <c r="K910" s="3">
        <v>120.16</v>
      </c>
      <c r="L910" s="2">
        <v>5737</v>
      </c>
      <c r="P910" t="s">
        <v>3289</v>
      </c>
      <c r="S910" t="s">
        <v>33</v>
      </c>
      <c r="X910" t="s">
        <v>34</v>
      </c>
      <c r="Y910" t="s">
        <v>96</v>
      </c>
      <c r="Z910" t="s">
        <v>3290</v>
      </c>
      <c r="AA910" t="s">
        <v>38</v>
      </c>
    </row>
    <row r="911" spans="1:27" hidden="1">
      <c r="A911" t="s">
        <v>3291</v>
      </c>
      <c r="B911" t="s">
        <v>3292</v>
      </c>
      <c r="C911" t="e">
        <f>VLOOKUP(B911,Sheet2!$A$2:$A$392,1,0)</f>
        <v>#N/A</v>
      </c>
      <c r="E911" t="s">
        <v>93</v>
      </c>
      <c r="G911" t="s">
        <v>555</v>
      </c>
      <c r="I911" t="s">
        <v>42</v>
      </c>
      <c r="J911" s="2">
        <v>778</v>
      </c>
      <c r="K911" s="2">
        <v>59</v>
      </c>
      <c r="L911" s="2">
        <v>687</v>
      </c>
      <c r="P911" t="s">
        <v>3293</v>
      </c>
      <c r="S911" t="s">
        <v>33</v>
      </c>
      <c r="X911" t="s">
        <v>34</v>
      </c>
      <c r="AA911" t="s">
        <v>38</v>
      </c>
    </row>
    <row r="912" spans="1:27" hidden="1">
      <c r="A912" t="s">
        <v>3294</v>
      </c>
      <c r="B912" t="s">
        <v>3295</v>
      </c>
      <c r="C912" t="e">
        <f>VLOOKUP(B912,Sheet2!$A$2:$A$392,1,0)</f>
        <v>#N/A</v>
      </c>
      <c r="E912" t="s">
        <v>52</v>
      </c>
      <c r="F912" t="s">
        <v>28</v>
      </c>
      <c r="G912" t="s">
        <v>151</v>
      </c>
      <c r="J912" s="2">
        <v>46555</v>
      </c>
      <c r="K912" s="2">
        <v>190</v>
      </c>
      <c r="L912" s="2">
        <v>25074</v>
      </c>
      <c r="M912" s="2">
        <v>10000</v>
      </c>
      <c r="N912" s="2">
        <v>11</v>
      </c>
      <c r="O912" t="s">
        <v>152</v>
      </c>
      <c r="P912" t="s">
        <v>3296</v>
      </c>
      <c r="R912" t="s">
        <v>32</v>
      </c>
      <c r="S912" t="s">
        <v>33</v>
      </c>
      <c r="U912" t="s">
        <v>35</v>
      </c>
      <c r="V912" s="2">
        <v>5</v>
      </c>
      <c r="X912" t="s">
        <v>34</v>
      </c>
      <c r="Y912" t="s">
        <v>154</v>
      </c>
      <c r="Z912" t="s">
        <v>3297</v>
      </c>
      <c r="AA912" t="s">
        <v>38</v>
      </c>
    </row>
    <row r="913" spans="1:27" hidden="1">
      <c r="A913" t="s">
        <v>3298</v>
      </c>
      <c r="B913" t="s">
        <v>3299</v>
      </c>
      <c r="C913" t="e">
        <f>VLOOKUP(B913,Sheet2!$A$2:$A$392,1,0)</f>
        <v>#N/A</v>
      </c>
      <c r="E913" t="s">
        <v>170</v>
      </c>
      <c r="G913" t="s">
        <v>842</v>
      </c>
      <c r="I913" t="s">
        <v>2635</v>
      </c>
      <c r="J913" s="2">
        <v>63374</v>
      </c>
      <c r="K913" s="2">
        <v>200</v>
      </c>
      <c r="L913" s="2">
        <v>35826</v>
      </c>
      <c r="P913" t="s">
        <v>3300</v>
      </c>
      <c r="S913" t="s">
        <v>33</v>
      </c>
      <c r="X913" t="s">
        <v>34</v>
      </c>
      <c r="AA913" t="s">
        <v>38</v>
      </c>
    </row>
    <row r="914" spans="1:27" hidden="1">
      <c r="A914" t="s">
        <v>3301</v>
      </c>
      <c r="B914" t="s">
        <v>3302</v>
      </c>
      <c r="C914" t="e">
        <f>VLOOKUP(B914,Sheet2!$A$2:$A$392,1,0)</f>
        <v>#N/A</v>
      </c>
      <c r="E914" t="s">
        <v>27</v>
      </c>
      <c r="G914" t="s">
        <v>181</v>
      </c>
      <c r="I914" t="s">
        <v>301</v>
      </c>
      <c r="J914" s="2">
        <v>12291</v>
      </c>
      <c r="K914" s="3">
        <v>116.94</v>
      </c>
      <c r="L914" s="2">
        <v>8718</v>
      </c>
      <c r="P914" t="s">
        <v>3303</v>
      </c>
      <c r="S914" t="s">
        <v>33</v>
      </c>
      <c r="X914" t="s">
        <v>34</v>
      </c>
      <c r="AA914" t="s">
        <v>38</v>
      </c>
    </row>
    <row r="915" spans="1:27" hidden="1">
      <c r="A915" t="s">
        <v>3304</v>
      </c>
      <c r="B915" t="s">
        <v>3305</v>
      </c>
      <c r="C915" t="e">
        <f>VLOOKUP(B915,Sheet2!$A$2:$A$392,1,0)</f>
        <v>#N/A</v>
      </c>
      <c r="E915" t="s">
        <v>52</v>
      </c>
      <c r="F915" t="s">
        <v>28</v>
      </c>
      <c r="G915" t="s">
        <v>29</v>
      </c>
      <c r="I915" t="s">
        <v>30</v>
      </c>
      <c r="J915" s="2">
        <v>29727</v>
      </c>
      <c r="K915">
        <v>170.7</v>
      </c>
      <c r="L915" s="2">
        <v>18020</v>
      </c>
      <c r="P915" t="s">
        <v>3306</v>
      </c>
      <c r="R915" t="s">
        <v>32</v>
      </c>
      <c r="S915" t="s">
        <v>33</v>
      </c>
      <c r="T915" t="s">
        <v>34</v>
      </c>
      <c r="U915" t="s">
        <v>35</v>
      </c>
      <c r="X915" t="s">
        <v>34</v>
      </c>
      <c r="Y915" t="s">
        <v>45</v>
      </c>
      <c r="Z915" t="s">
        <v>3307</v>
      </c>
      <c r="AA915" t="s">
        <v>38</v>
      </c>
    </row>
    <row r="916" spans="1:27" hidden="1">
      <c r="A916" t="s">
        <v>3308</v>
      </c>
      <c r="B916" t="s">
        <v>3309</v>
      </c>
      <c r="C916" t="e">
        <f>VLOOKUP(B916,Sheet2!$A$2:$A$392,1,0)</f>
        <v>#N/A</v>
      </c>
      <c r="E916" t="s">
        <v>52</v>
      </c>
      <c r="F916" t="s">
        <v>28</v>
      </c>
      <c r="G916" t="s">
        <v>59</v>
      </c>
      <c r="J916" s="2">
        <v>56617</v>
      </c>
      <c r="K916" s="2">
        <v>189</v>
      </c>
      <c r="L916" s="2">
        <v>33044</v>
      </c>
      <c r="M916" s="2">
        <v>9480</v>
      </c>
      <c r="N916" s="2">
        <v>12</v>
      </c>
      <c r="O916" t="s">
        <v>61</v>
      </c>
      <c r="P916" t="s">
        <v>3310</v>
      </c>
      <c r="R916" t="s">
        <v>581</v>
      </c>
      <c r="S916" t="s">
        <v>33</v>
      </c>
      <c r="U916" t="s">
        <v>35</v>
      </c>
      <c r="W916" t="s">
        <v>63</v>
      </c>
      <c r="X916" t="s">
        <v>34</v>
      </c>
      <c r="Y916" t="s">
        <v>64</v>
      </c>
      <c r="Z916" t="s">
        <v>3311</v>
      </c>
      <c r="AA916" t="s">
        <v>38</v>
      </c>
    </row>
    <row r="917" spans="1:27" hidden="1">
      <c r="A917" t="s">
        <v>3312</v>
      </c>
      <c r="B917" t="s">
        <v>3313</v>
      </c>
      <c r="C917" t="e">
        <f>VLOOKUP(B917,Sheet2!$A$2:$A$392,1,0)</f>
        <v>#N/A</v>
      </c>
      <c r="E917" t="s">
        <v>27</v>
      </c>
      <c r="F917" t="s">
        <v>41</v>
      </c>
      <c r="G917" t="s">
        <v>29</v>
      </c>
      <c r="J917" s="2">
        <v>3300</v>
      </c>
      <c r="K917" s="2">
        <v>86</v>
      </c>
      <c r="L917" s="2">
        <v>1863</v>
      </c>
      <c r="P917" t="s">
        <v>3314</v>
      </c>
      <c r="R917" t="s">
        <v>32</v>
      </c>
      <c r="S917" t="s">
        <v>33</v>
      </c>
      <c r="U917" t="s">
        <v>35</v>
      </c>
      <c r="X917" t="s">
        <v>34</v>
      </c>
      <c r="Y917" t="s">
        <v>45</v>
      </c>
      <c r="Z917" t="s">
        <v>3315</v>
      </c>
      <c r="AA917" t="s">
        <v>38</v>
      </c>
    </row>
    <row r="918" spans="1:27" hidden="1">
      <c r="A918" t="s">
        <v>3316</v>
      </c>
      <c r="B918" t="s">
        <v>3317</v>
      </c>
      <c r="C918" t="e">
        <f>VLOOKUP(B918,Sheet2!$A$2:$A$392,1,0)</f>
        <v>#N/A</v>
      </c>
      <c r="E918" t="s">
        <v>52</v>
      </c>
      <c r="F918" t="s">
        <v>28</v>
      </c>
      <c r="G918" t="s">
        <v>59</v>
      </c>
      <c r="I918" t="s">
        <v>301</v>
      </c>
      <c r="J918" s="2">
        <v>37119</v>
      </c>
      <c r="K918" s="2">
        <v>177</v>
      </c>
      <c r="L918" s="2">
        <v>22921</v>
      </c>
      <c r="M918" s="2">
        <v>7470</v>
      </c>
      <c r="N918" s="2">
        <v>11</v>
      </c>
      <c r="O918" t="s">
        <v>61</v>
      </c>
      <c r="P918" t="s">
        <v>3318</v>
      </c>
      <c r="R918" t="s">
        <v>32</v>
      </c>
      <c r="S918" t="s">
        <v>33</v>
      </c>
      <c r="T918" t="s">
        <v>34</v>
      </c>
      <c r="U918" t="s">
        <v>35</v>
      </c>
      <c r="W918" t="s">
        <v>63</v>
      </c>
      <c r="X918" t="s">
        <v>34</v>
      </c>
      <c r="Y918" t="s">
        <v>64</v>
      </c>
      <c r="Z918" t="s">
        <v>3319</v>
      </c>
      <c r="AA918" t="s">
        <v>38</v>
      </c>
    </row>
    <row r="919" spans="1:27" hidden="1">
      <c r="A919" t="s">
        <v>3320</v>
      </c>
      <c r="B919" t="s">
        <v>3321</v>
      </c>
      <c r="C919" t="e">
        <f>VLOOKUP(B919,Sheet2!$A$2:$A$392,1,0)</f>
        <v>#N/A</v>
      </c>
      <c r="E919" t="s">
        <v>52</v>
      </c>
      <c r="F919" t="s">
        <v>28</v>
      </c>
      <c r="G919" t="s">
        <v>29</v>
      </c>
      <c r="I919" t="s">
        <v>301</v>
      </c>
      <c r="J919" s="2">
        <v>43222</v>
      </c>
      <c r="K919" s="3">
        <v>185.06</v>
      </c>
      <c r="L919" s="2">
        <v>25503</v>
      </c>
      <c r="P919" t="s">
        <v>3322</v>
      </c>
      <c r="R919" t="s">
        <v>32</v>
      </c>
      <c r="S919" t="s">
        <v>33</v>
      </c>
      <c r="T919" t="s">
        <v>34</v>
      </c>
      <c r="U919" t="s">
        <v>35</v>
      </c>
      <c r="X919" t="s">
        <v>34</v>
      </c>
      <c r="Y919" t="s">
        <v>45</v>
      </c>
      <c r="Z919" t="s">
        <v>3323</v>
      </c>
      <c r="AA919" t="s">
        <v>38</v>
      </c>
    </row>
    <row r="920" spans="1:27" hidden="1">
      <c r="A920" t="s">
        <v>3324</v>
      </c>
      <c r="B920" t="s">
        <v>3325</v>
      </c>
      <c r="C920" t="e">
        <f>VLOOKUP(B920,Sheet2!$A$2:$A$392,1,0)</f>
        <v>#N/A</v>
      </c>
      <c r="E920" t="s">
        <v>27</v>
      </c>
      <c r="F920" t="s">
        <v>28</v>
      </c>
      <c r="G920" t="s">
        <v>3326</v>
      </c>
      <c r="I920" t="s">
        <v>3327</v>
      </c>
      <c r="J920" s="2">
        <v>1758</v>
      </c>
      <c r="K920" s="3">
        <v>56.62</v>
      </c>
      <c r="L920" s="2">
        <v>1591</v>
      </c>
      <c r="O920" t="s">
        <v>3328</v>
      </c>
      <c r="P920" t="s">
        <v>3329</v>
      </c>
      <c r="R920" t="s">
        <v>3327</v>
      </c>
      <c r="S920" t="s">
        <v>33</v>
      </c>
      <c r="T920" t="s">
        <v>34</v>
      </c>
      <c r="U920" t="s">
        <v>35</v>
      </c>
      <c r="X920" t="s">
        <v>34</v>
      </c>
      <c r="Y920" t="s">
        <v>132</v>
      </c>
      <c r="Z920" t="s">
        <v>3330</v>
      </c>
      <c r="AA920" t="s">
        <v>38</v>
      </c>
    </row>
    <row r="921" spans="1:27" hidden="1">
      <c r="A921" t="s">
        <v>3331</v>
      </c>
      <c r="B921" t="s">
        <v>3332</v>
      </c>
      <c r="C921" t="e">
        <f>VLOOKUP(B921,Sheet2!$A$2:$A$392,1,0)</f>
        <v>#N/A</v>
      </c>
      <c r="E921" t="s">
        <v>52</v>
      </c>
      <c r="F921" t="s">
        <v>28</v>
      </c>
      <c r="G921" t="s">
        <v>59</v>
      </c>
      <c r="I921" t="s">
        <v>301</v>
      </c>
      <c r="J921" s="2">
        <v>36320</v>
      </c>
      <c r="K921">
        <v>176.5</v>
      </c>
      <c r="L921" s="2">
        <v>21699</v>
      </c>
      <c r="M921" s="2">
        <v>9119</v>
      </c>
      <c r="N921">
        <v>10.7</v>
      </c>
      <c r="O921" t="s">
        <v>61</v>
      </c>
      <c r="P921" t="s">
        <v>3333</v>
      </c>
      <c r="R921" t="s">
        <v>32</v>
      </c>
      <c r="S921" t="s">
        <v>33</v>
      </c>
      <c r="T921" t="s">
        <v>34</v>
      </c>
      <c r="U921" t="s">
        <v>35</v>
      </c>
      <c r="W921" t="s">
        <v>63</v>
      </c>
      <c r="X921" t="s">
        <v>34</v>
      </c>
      <c r="Y921" t="s">
        <v>64</v>
      </c>
      <c r="Z921" t="s">
        <v>3334</v>
      </c>
      <c r="AA921" t="s">
        <v>38</v>
      </c>
    </row>
    <row r="922" spans="1:27" hidden="1">
      <c r="A922" t="s">
        <v>3335</v>
      </c>
      <c r="B922" t="s">
        <v>3336</v>
      </c>
      <c r="C922" t="e">
        <f>VLOOKUP(B922,Sheet2!$A$2:$A$392,1,0)</f>
        <v>#N/A</v>
      </c>
      <c r="E922" t="s">
        <v>27</v>
      </c>
      <c r="F922" t="s">
        <v>28</v>
      </c>
      <c r="G922" t="s">
        <v>29</v>
      </c>
      <c r="I922" t="s">
        <v>42</v>
      </c>
      <c r="J922" s="2">
        <v>1400</v>
      </c>
      <c r="K922" s="3">
        <v>67.14</v>
      </c>
      <c r="L922" s="2">
        <v>451</v>
      </c>
      <c r="P922" t="s">
        <v>3337</v>
      </c>
      <c r="Q922" t="s">
        <v>34</v>
      </c>
      <c r="R922" t="s">
        <v>42</v>
      </c>
      <c r="S922" t="s">
        <v>33</v>
      </c>
      <c r="T922" t="s">
        <v>34</v>
      </c>
      <c r="U922" t="s">
        <v>35</v>
      </c>
      <c r="X922" t="s">
        <v>34</v>
      </c>
      <c r="Y922" t="s">
        <v>45</v>
      </c>
      <c r="Z922" t="s">
        <v>3338</v>
      </c>
      <c r="AA922" t="s">
        <v>38</v>
      </c>
    </row>
    <row r="923" spans="1:27" hidden="1">
      <c r="A923" t="s">
        <v>3339</v>
      </c>
      <c r="B923" t="s">
        <v>3340</v>
      </c>
      <c r="C923" t="e">
        <f>VLOOKUP(B923,Sheet2!$A$2:$A$392,1,0)</f>
        <v>#N/A</v>
      </c>
      <c r="E923" t="s">
        <v>52</v>
      </c>
      <c r="F923" t="s">
        <v>28</v>
      </c>
      <c r="G923" t="s">
        <v>29</v>
      </c>
      <c r="I923" t="s">
        <v>30</v>
      </c>
      <c r="J923" s="2">
        <v>46596</v>
      </c>
      <c r="K923" s="3">
        <v>179.93</v>
      </c>
      <c r="L923" s="2">
        <v>23275</v>
      </c>
      <c r="P923" t="s">
        <v>3341</v>
      </c>
      <c r="R923" t="s">
        <v>32</v>
      </c>
      <c r="S923" t="s">
        <v>33</v>
      </c>
      <c r="T923" t="s">
        <v>34</v>
      </c>
      <c r="U923" t="s">
        <v>35</v>
      </c>
      <c r="W923" t="s">
        <v>165</v>
      </c>
      <c r="X923" t="s">
        <v>34</v>
      </c>
      <c r="Y923" t="s">
        <v>245</v>
      </c>
      <c r="Z923" t="s">
        <v>3342</v>
      </c>
      <c r="AA923" t="s">
        <v>38</v>
      </c>
    </row>
    <row r="924" spans="1:27" hidden="1">
      <c r="A924" t="s">
        <v>3343</v>
      </c>
      <c r="B924" t="s">
        <v>3344</v>
      </c>
      <c r="C924" t="e">
        <f>VLOOKUP(B924,Sheet2!$A$2:$A$392,1,0)</f>
        <v>#N/A</v>
      </c>
      <c r="E924" t="s">
        <v>40</v>
      </c>
      <c r="F924" t="s">
        <v>41</v>
      </c>
      <c r="G924" t="s">
        <v>29</v>
      </c>
      <c r="J924" s="2">
        <v>5500</v>
      </c>
      <c r="K924" s="2">
        <v>82</v>
      </c>
      <c r="L924" s="2">
        <v>2325</v>
      </c>
      <c r="P924" t="s">
        <v>185</v>
      </c>
      <c r="R924" t="s">
        <v>42</v>
      </c>
      <c r="S924" t="s">
        <v>33</v>
      </c>
      <c r="U924" t="s">
        <v>35</v>
      </c>
      <c r="X924" t="s">
        <v>34</v>
      </c>
      <c r="Y924" t="s">
        <v>45</v>
      </c>
      <c r="Z924" t="s">
        <v>3345</v>
      </c>
      <c r="AA924" t="s">
        <v>38</v>
      </c>
    </row>
    <row r="925" spans="1:27" hidden="1">
      <c r="A925" t="s">
        <v>3346</v>
      </c>
      <c r="B925" t="s">
        <v>3347</v>
      </c>
      <c r="C925" t="e">
        <f>VLOOKUP(B925,Sheet2!$A$2:$A$392,1,0)</f>
        <v>#N/A</v>
      </c>
      <c r="E925" t="s">
        <v>40</v>
      </c>
      <c r="F925" t="s">
        <v>41</v>
      </c>
      <c r="G925" t="s">
        <v>29</v>
      </c>
      <c r="I925" t="s">
        <v>42</v>
      </c>
      <c r="J925" s="2">
        <v>5500</v>
      </c>
      <c r="K925" s="2">
        <v>82</v>
      </c>
      <c r="L925" s="2">
        <v>2332</v>
      </c>
      <c r="P925" t="s">
        <v>185</v>
      </c>
      <c r="R925" t="s">
        <v>42</v>
      </c>
      <c r="S925" t="s">
        <v>33</v>
      </c>
      <c r="T925" t="s">
        <v>34</v>
      </c>
      <c r="U925" t="s">
        <v>35</v>
      </c>
      <c r="X925" t="s">
        <v>34</v>
      </c>
      <c r="Y925" t="s">
        <v>45</v>
      </c>
      <c r="Z925" t="s">
        <v>3348</v>
      </c>
      <c r="AA925" t="s">
        <v>38</v>
      </c>
    </row>
    <row r="926" spans="1:27">
      <c r="A926" t="s">
        <v>3349</v>
      </c>
      <c r="B926" t="s">
        <v>2211</v>
      </c>
      <c r="C926" t="str">
        <f>VLOOKUP(B926,Sheet2!$A$2:$A$392,1,0)</f>
        <v>MV. KOTA PADANG</v>
      </c>
      <c r="E926" t="s">
        <v>196</v>
      </c>
      <c r="F926" t="s">
        <v>41</v>
      </c>
      <c r="G926" t="s">
        <v>59</v>
      </c>
      <c r="J926" s="2">
        <v>9646</v>
      </c>
      <c r="K926" s="2">
        <v>109</v>
      </c>
      <c r="L926" s="2">
        <v>6943</v>
      </c>
      <c r="M926" s="2">
        <v>3900</v>
      </c>
      <c r="N926" s="2">
        <v>6</v>
      </c>
      <c r="O926" t="s">
        <v>61</v>
      </c>
      <c r="P926" t="s">
        <v>2212</v>
      </c>
      <c r="R926" t="s">
        <v>32</v>
      </c>
      <c r="S926" t="s">
        <v>33</v>
      </c>
      <c r="U926" t="s">
        <v>35</v>
      </c>
      <c r="W926" t="s">
        <v>63</v>
      </c>
      <c r="X926" t="s">
        <v>34</v>
      </c>
      <c r="Y926" t="s">
        <v>64</v>
      </c>
      <c r="Z926" t="s">
        <v>3350</v>
      </c>
      <c r="AA926" t="s">
        <v>38</v>
      </c>
    </row>
    <row r="927" spans="1:27" hidden="1">
      <c r="A927" t="s">
        <v>3351</v>
      </c>
      <c r="B927" t="s">
        <v>3352</v>
      </c>
      <c r="C927" t="e">
        <f>VLOOKUP(B927,Sheet2!$A$2:$A$392,1,0)</f>
        <v>#N/A</v>
      </c>
      <c r="E927" t="s">
        <v>27</v>
      </c>
      <c r="F927" t="s">
        <v>28</v>
      </c>
      <c r="G927" t="s">
        <v>29</v>
      </c>
      <c r="I927" t="s">
        <v>352</v>
      </c>
      <c r="J927" s="2">
        <v>7869</v>
      </c>
      <c r="K927">
        <v>96.7</v>
      </c>
      <c r="L927" s="2">
        <v>4738</v>
      </c>
      <c r="P927" t="s">
        <v>3353</v>
      </c>
      <c r="R927" t="s">
        <v>32</v>
      </c>
      <c r="S927" t="s">
        <v>33</v>
      </c>
      <c r="T927" t="s">
        <v>34</v>
      </c>
      <c r="U927" t="s">
        <v>35</v>
      </c>
      <c r="X927" t="s">
        <v>34</v>
      </c>
      <c r="Y927" t="s">
        <v>45</v>
      </c>
      <c r="Z927" t="s">
        <v>3354</v>
      </c>
      <c r="AA927" t="s">
        <v>38</v>
      </c>
    </row>
    <row r="928" spans="1:27" hidden="1">
      <c r="A928" t="s">
        <v>3355</v>
      </c>
      <c r="B928" t="s">
        <v>3356</v>
      </c>
      <c r="C928" t="e">
        <f>VLOOKUP(B928,Sheet2!$A$2:$A$392,1,0)</f>
        <v>#N/A</v>
      </c>
      <c r="E928" t="s">
        <v>72</v>
      </c>
      <c r="G928" t="s">
        <v>115</v>
      </c>
      <c r="I928" t="s">
        <v>42</v>
      </c>
      <c r="J928" s="2">
        <v>7500</v>
      </c>
      <c r="K928">
        <v>91.5</v>
      </c>
      <c r="L928" s="2">
        <v>3144</v>
      </c>
      <c r="P928" t="s">
        <v>74</v>
      </c>
      <c r="S928" t="s">
        <v>33</v>
      </c>
      <c r="X928" t="s">
        <v>34</v>
      </c>
      <c r="AA928" t="s">
        <v>38</v>
      </c>
    </row>
    <row r="929" spans="1:27" hidden="1">
      <c r="A929" t="s">
        <v>3357</v>
      </c>
      <c r="B929" t="s">
        <v>3358</v>
      </c>
      <c r="C929" t="e">
        <f>VLOOKUP(B929,Sheet2!$A$2:$A$392,1,0)</f>
        <v>#N/A</v>
      </c>
      <c r="E929" t="s">
        <v>52</v>
      </c>
      <c r="F929" t="s">
        <v>41</v>
      </c>
      <c r="G929" t="s">
        <v>29</v>
      </c>
      <c r="I929" t="s">
        <v>42</v>
      </c>
      <c r="J929" s="2">
        <v>10500</v>
      </c>
      <c r="K929" s="2">
        <v>124</v>
      </c>
      <c r="L929" s="2">
        <v>6557</v>
      </c>
      <c r="P929" t="s">
        <v>3359</v>
      </c>
      <c r="R929" t="s">
        <v>581</v>
      </c>
      <c r="S929" t="s">
        <v>33</v>
      </c>
      <c r="T929" t="s">
        <v>34</v>
      </c>
      <c r="U929" t="s">
        <v>35</v>
      </c>
      <c r="X929" t="s">
        <v>34</v>
      </c>
      <c r="Y929" t="s">
        <v>45</v>
      </c>
      <c r="Z929" t="s">
        <v>3360</v>
      </c>
      <c r="AA929" t="s">
        <v>38</v>
      </c>
    </row>
    <row r="930" spans="1:27" hidden="1">
      <c r="A930" t="s">
        <v>3361</v>
      </c>
      <c r="B930" t="s">
        <v>3362</v>
      </c>
      <c r="C930" t="e">
        <f>VLOOKUP(B930,Sheet2!$A$2:$A$392,1,0)</f>
        <v>#N/A</v>
      </c>
      <c r="E930" t="s">
        <v>52</v>
      </c>
      <c r="F930" t="s">
        <v>28</v>
      </c>
      <c r="G930" t="s">
        <v>29</v>
      </c>
      <c r="J930" s="2">
        <v>39752</v>
      </c>
      <c r="K930" s="2">
        <v>180</v>
      </c>
      <c r="L930" s="2">
        <v>24785</v>
      </c>
      <c r="P930" t="s">
        <v>3363</v>
      </c>
      <c r="R930" t="s">
        <v>32</v>
      </c>
      <c r="S930" t="s">
        <v>33</v>
      </c>
      <c r="U930" t="s">
        <v>35</v>
      </c>
      <c r="X930" t="s">
        <v>34</v>
      </c>
      <c r="Y930" t="s">
        <v>45</v>
      </c>
      <c r="Z930" t="s">
        <v>3364</v>
      </c>
      <c r="AA930" t="s">
        <v>38</v>
      </c>
    </row>
    <row r="931" spans="1:27" hidden="1">
      <c r="A931" t="s">
        <v>3365</v>
      </c>
      <c r="B931" t="s">
        <v>3366</v>
      </c>
      <c r="C931" t="e">
        <f>VLOOKUP(B931,Sheet2!$A$2:$A$392,1,0)</f>
        <v>#N/A</v>
      </c>
      <c r="E931" t="s">
        <v>27</v>
      </c>
      <c r="F931" t="s">
        <v>41</v>
      </c>
      <c r="G931" t="s">
        <v>29</v>
      </c>
      <c r="I931" t="s">
        <v>42</v>
      </c>
      <c r="J931" s="2">
        <v>7317</v>
      </c>
      <c r="K931" s="2">
        <v>106</v>
      </c>
      <c r="L931" s="2">
        <v>4405</v>
      </c>
      <c r="M931" s="2">
        <v>4000</v>
      </c>
      <c r="P931" t="s">
        <v>3367</v>
      </c>
      <c r="R931" t="s">
        <v>32</v>
      </c>
      <c r="S931" t="s">
        <v>33</v>
      </c>
      <c r="T931" t="s">
        <v>34</v>
      </c>
      <c r="U931" t="s">
        <v>35</v>
      </c>
      <c r="X931" t="s">
        <v>34</v>
      </c>
      <c r="Y931" t="s">
        <v>45</v>
      </c>
      <c r="Z931" t="s">
        <v>3368</v>
      </c>
      <c r="AA931" t="s">
        <v>38</v>
      </c>
    </row>
    <row r="932" spans="1:27" hidden="1">
      <c r="A932" t="s">
        <v>3369</v>
      </c>
      <c r="B932" t="s">
        <v>3370</v>
      </c>
      <c r="C932" t="e">
        <f>VLOOKUP(B932,Sheet2!$A$2:$A$392,1,0)</f>
        <v>#N/A</v>
      </c>
      <c r="E932" t="s">
        <v>27</v>
      </c>
      <c r="F932" t="s">
        <v>41</v>
      </c>
      <c r="G932" t="s">
        <v>29</v>
      </c>
      <c r="I932" t="s">
        <v>42</v>
      </c>
      <c r="J932" s="2">
        <v>1000</v>
      </c>
      <c r="K932" s="2">
        <v>57</v>
      </c>
      <c r="L932" s="2">
        <v>679</v>
      </c>
      <c r="M932" s="2">
        <v>800</v>
      </c>
      <c r="N932">
        <v>5.4</v>
      </c>
      <c r="P932" t="s">
        <v>3371</v>
      </c>
      <c r="R932" t="s">
        <v>32</v>
      </c>
      <c r="S932" t="s">
        <v>33</v>
      </c>
      <c r="T932" t="s">
        <v>34</v>
      </c>
      <c r="U932" t="s">
        <v>35</v>
      </c>
      <c r="W932" t="s">
        <v>165</v>
      </c>
      <c r="X932" t="s">
        <v>34</v>
      </c>
      <c r="Y932" t="s">
        <v>166</v>
      </c>
      <c r="Z932" t="s">
        <v>3372</v>
      </c>
      <c r="AA932" t="s">
        <v>38</v>
      </c>
    </row>
    <row r="933" spans="1:27" hidden="1">
      <c r="A933" t="s">
        <v>3373</v>
      </c>
      <c r="B933" t="s">
        <v>3374</v>
      </c>
      <c r="C933" t="e">
        <f>VLOOKUP(B933,Sheet2!$A$2:$A$392,1,0)</f>
        <v>#N/A</v>
      </c>
      <c r="E933" t="s">
        <v>27</v>
      </c>
      <c r="F933" t="s">
        <v>41</v>
      </c>
      <c r="G933" t="s">
        <v>158</v>
      </c>
      <c r="J933" s="2">
        <v>0</v>
      </c>
      <c r="K933">
        <v>71.900000000000006</v>
      </c>
      <c r="L933" s="2">
        <v>1721</v>
      </c>
      <c r="O933" t="s">
        <v>159</v>
      </c>
      <c r="P933" t="s">
        <v>3375</v>
      </c>
      <c r="R933" t="s">
        <v>42</v>
      </c>
      <c r="S933" t="s">
        <v>33</v>
      </c>
      <c r="U933" t="s">
        <v>35</v>
      </c>
      <c r="W933" t="s">
        <v>63</v>
      </c>
      <c r="X933" t="s">
        <v>34</v>
      </c>
      <c r="Y933" t="s">
        <v>64</v>
      </c>
      <c r="Z933" t="s">
        <v>3376</v>
      </c>
      <c r="AA933" t="s">
        <v>38</v>
      </c>
    </row>
    <row r="934" spans="1:27" hidden="1">
      <c r="A934" t="s">
        <v>3377</v>
      </c>
      <c r="B934" t="s">
        <v>3378</v>
      </c>
      <c r="C934" t="e">
        <f>VLOOKUP(B934,Sheet2!$A$2:$A$392,1,0)</f>
        <v>#N/A</v>
      </c>
      <c r="E934" t="s">
        <v>52</v>
      </c>
      <c r="F934" t="s">
        <v>28</v>
      </c>
      <c r="G934" t="s">
        <v>29</v>
      </c>
      <c r="I934" t="s">
        <v>2635</v>
      </c>
      <c r="J934" s="2">
        <v>32662</v>
      </c>
      <c r="K934" s="2">
        <v>180</v>
      </c>
      <c r="L934" s="2">
        <v>20846</v>
      </c>
      <c r="P934" t="s">
        <v>3379</v>
      </c>
      <c r="R934" t="s">
        <v>581</v>
      </c>
      <c r="S934" t="s">
        <v>33</v>
      </c>
      <c r="T934" t="s">
        <v>34</v>
      </c>
      <c r="U934" t="s">
        <v>35</v>
      </c>
      <c r="X934" t="s">
        <v>34</v>
      </c>
      <c r="Y934" t="s">
        <v>45</v>
      </c>
      <c r="Z934" t="s">
        <v>3380</v>
      </c>
      <c r="AA934" t="s">
        <v>38</v>
      </c>
    </row>
    <row r="935" spans="1:27" hidden="1">
      <c r="A935" t="s">
        <v>3381</v>
      </c>
      <c r="B935" t="s">
        <v>3382</v>
      </c>
      <c r="C935" t="e">
        <f>VLOOKUP(B935,Sheet2!$A$2:$A$392,1,0)</f>
        <v>#N/A</v>
      </c>
      <c r="E935" t="s">
        <v>52</v>
      </c>
      <c r="F935" t="s">
        <v>28</v>
      </c>
      <c r="G935" t="s">
        <v>59</v>
      </c>
      <c r="J935" s="2">
        <v>56615</v>
      </c>
      <c r="K935" s="3">
        <v>189.99</v>
      </c>
      <c r="L935">
        <v>32.962000000000003</v>
      </c>
      <c r="O935" t="s">
        <v>61</v>
      </c>
      <c r="P935" t="s">
        <v>3383</v>
      </c>
      <c r="R935" t="s">
        <v>581</v>
      </c>
      <c r="S935" t="s">
        <v>33</v>
      </c>
      <c r="U935" t="s">
        <v>35</v>
      </c>
      <c r="W935" t="s">
        <v>63</v>
      </c>
      <c r="X935" t="s">
        <v>34</v>
      </c>
      <c r="Y935" t="s">
        <v>64</v>
      </c>
      <c r="Z935" t="s">
        <v>3384</v>
      </c>
      <c r="AA935" t="s">
        <v>38</v>
      </c>
    </row>
    <row r="936" spans="1:27" hidden="1">
      <c r="A936" t="s">
        <v>3385</v>
      </c>
      <c r="B936" t="s">
        <v>3386</v>
      </c>
      <c r="C936" t="e">
        <f>VLOOKUP(B936,Sheet2!$A$2:$A$392,1,0)</f>
        <v>#N/A</v>
      </c>
      <c r="E936" t="s">
        <v>249</v>
      </c>
      <c r="G936" t="s">
        <v>747</v>
      </c>
      <c r="I936" t="s">
        <v>42</v>
      </c>
      <c r="J936" s="2">
        <v>1000</v>
      </c>
      <c r="K936" s="3">
        <v>184.51</v>
      </c>
      <c r="L936" s="2">
        <v>16731</v>
      </c>
      <c r="P936" t="s">
        <v>3387</v>
      </c>
      <c r="S936" t="s">
        <v>33</v>
      </c>
      <c r="X936" t="s">
        <v>34</v>
      </c>
      <c r="AA936" t="s">
        <v>38</v>
      </c>
    </row>
    <row r="937" spans="1:27" hidden="1">
      <c r="A937" t="s">
        <v>3388</v>
      </c>
      <c r="B937" t="s">
        <v>3389</v>
      </c>
      <c r="C937" t="e">
        <f>VLOOKUP(B937,Sheet2!$A$2:$A$392,1,0)</f>
        <v>#N/A</v>
      </c>
      <c r="E937" t="s">
        <v>170</v>
      </c>
      <c r="G937" t="s">
        <v>629</v>
      </c>
      <c r="I937" t="s">
        <v>30</v>
      </c>
      <c r="J937" s="2">
        <v>31982</v>
      </c>
      <c r="K937" s="3">
        <v>177.15</v>
      </c>
      <c r="L937" s="2">
        <v>22116</v>
      </c>
      <c r="P937" t="s">
        <v>3390</v>
      </c>
      <c r="S937" t="s">
        <v>33</v>
      </c>
      <c r="X937" t="s">
        <v>34</v>
      </c>
      <c r="AA937" t="s">
        <v>38</v>
      </c>
    </row>
    <row r="938" spans="1:27" hidden="1">
      <c r="A938" t="s">
        <v>3391</v>
      </c>
      <c r="B938" t="s">
        <v>3392</v>
      </c>
      <c r="C938" t="e">
        <f>VLOOKUP(B938,Sheet2!$A$2:$A$392,1,0)</f>
        <v>#N/A</v>
      </c>
      <c r="E938" t="s">
        <v>196</v>
      </c>
      <c r="F938" t="s">
        <v>41</v>
      </c>
      <c r="G938" t="s">
        <v>847</v>
      </c>
      <c r="I938" t="s">
        <v>42</v>
      </c>
      <c r="J938" s="2">
        <v>8581</v>
      </c>
      <c r="K938" s="2">
        <v>117</v>
      </c>
      <c r="L938" s="2">
        <v>5471</v>
      </c>
      <c r="M938" s="2">
        <v>3883</v>
      </c>
      <c r="N938">
        <v>7.6</v>
      </c>
      <c r="O938" t="s">
        <v>848</v>
      </c>
      <c r="P938" t="s">
        <v>3393</v>
      </c>
      <c r="R938" t="s">
        <v>32</v>
      </c>
      <c r="S938" t="s">
        <v>33</v>
      </c>
      <c r="T938" t="s">
        <v>106</v>
      </c>
      <c r="U938" t="s">
        <v>35</v>
      </c>
      <c r="V938" s="2">
        <v>4</v>
      </c>
      <c r="W938" t="s">
        <v>518</v>
      </c>
      <c r="X938" t="s">
        <v>34</v>
      </c>
      <c r="Y938" t="s">
        <v>519</v>
      </c>
      <c r="Z938" t="s">
        <v>3394</v>
      </c>
      <c r="AA938" t="s">
        <v>38</v>
      </c>
    </row>
    <row r="939" spans="1:27" hidden="1">
      <c r="A939" t="s">
        <v>3395</v>
      </c>
      <c r="B939" t="s">
        <v>3396</v>
      </c>
      <c r="C939" t="e">
        <f>VLOOKUP(B939,Sheet2!$A$2:$A$392,1,0)</f>
        <v>#N/A</v>
      </c>
      <c r="E939" t="s">
        <v>52</v>
      </c>
      <c r="F939" t="s">
        <v>28</v>
      </c>
      <c r="G939" t="s">
        <v>59</v>
      </c>
      <c r="I939" t="s">
        <v>30</v>
      </c>
      <c r="J939" s="2">
        <v>33030</v>
      </c>
      <c r="K939" s="2">
        <v>175</v>
      </c>
      <c r="L939" s="2">
        <v>19836</v>
      </c>
      <c r="M939" s="2">
        <v>9300</v>
      </c>
      <c r="N939" s="2">
        <v>9</v>
      </c>
      <c r="O939" t="s">
        <v>61</v>
      </c>
      <c r="P939" t="s">
        <v>3397</v>
      </c>
      <c r="R939" t="s">
        <v>32</v>
      </c>
      <c r="S939" t="s">
        <v>33</v>
      </c>
      <c r="T939" t="s">
        <v>34</v>
      </c>
      <c r="U939" t="s">
        <v>35</v>
      </c>
      <c r="W939" t="s">
        <v>63</v>
      </c>
      <c r="X939" t="s">
        <v>34</v>
      </c>
      <c r="Y939" t="s">
        <v>64</v>
      </c>
      <c r="Z939" t="s">
        <v>3398</v>
      </c>
      <c r="AA939" t="s">
        <v>38</v>
      </c>
    </row>
    <row r="940" spans="1:27" hidden="1">
      <c r="A940" t="s">
        <v>3399</v>
      </c>
      <c r="B940" t="s">
        <v>3400</v>
      </c>
      <c r="C940" t="e">
        <f>VLOOKUP(B940,Sheet2!$A$2:$A$392,1,0)</f>
        <v>#N/A</v>
      </c>
      <c r="E940" t="s">
        <v>170</v>
      </c>
      <c r="F940" t="s">
        <v>28</v>
      </c>
      <c r="G940" t="s">
        <v>115</v>
      </c>
      <c r="I940" t="s">
        <v>2635</v>
      </c>
      <c r="J940" s="2">
        <v>40248</v>
      </c>
      <c r="K940" s="3">
        <v>175.97</v>
      </c>
      <c r="L940" s="2">
        <v>25400</v>
      </c>
      <c r="O940" t="s">
        <v>2902</v>
      </c>
      <c r="P940" t="s">
        <v>3401</v>
      </c>
      <c r="S940" t="s">
        <v>33</v>
      </c>
      <c r="T940" t="s">
        <v>34</v>
      </c>
      <c r="U940" t="s">
        <v>35</v>
      </c>
      <c r="X940" t="s">
        <v>34</v>
      </c>
      <c r="Y940" t="s">
        <v>117</v>
      </c>
      <c r="Z940" t="s">
        <v>3402</v>
      </c>
      <c r="AA940" t="s">
        <v>38</v>
      </c>
    </row>
    <row r="941" spans="1:27" hidden="1">
      <c r="A941" t="s">
        <v>3403</v>
      </c>
      <c r="B941" t="s">
        <v>3404</v>
      </c>
      <c r="C941" t="e">
        <f>VLOOKUP(B941,Sheet2!$A$2:$A$392,1,0)</f>
        <v>#N/A</v>
      </c>
      <c r="E941" t="s">
        <v>52</v>
      </c>
      <c r="F941" t="s">
        <v>41</v>
      </c>
      <c r="G941" t="s">
        <v>29</v>
      </c>
      <c r="I941" t="s">
        <v>42</v>
      </c>
      <c r="J941" s="2">
        <v>8000</v>
      </c>
      <c r="K941">
        <v>123.6</v>
      </c>
      <c r="L941" s="2">
        <v>7487</v>
      </c>
      <c r="P941" t="s">
        <v>3405</v>
      </c>
      <c r="R941" t="s">
        <v>32</v>
      </c>
      <c r="S941" t="s">
        <v>33</v>
      </c>
      <c r="T941" t="s">
        <v>34</v>
      </c>
      <c r="U941" t="s">
        <v>35</v>
      </c>
      <c r="X941" t="s">
        <v>34</v>
      </c>
      <c r="Y941" t="s">
        <v>45</v>
      </c>
      <c r="Z941" t="s">
        <v>3406</v>
      </c>
      <c r="AA941" t="s">
        <v>38</v>
      </c>
    </row>
    <row r="942" spans="1:27" hidden="1">
      <c r="A942" t="s">
        <v>3407</v>
      </c>
      <c r="B942" t="s">
        <v>3408</v>
      </c>
      <c r="C942" t="e">
        <f>VLOOKUP(B942,Sheet2!$A$2:$A$392,1,0)</f>
        <v>#N/A</v>
      </c>
      <c r="E942" t="s">
        <v>52</v>
      </c>
      <c r="F942" t="s">
        <v>28</v>
      </c>
      <c r="G942" t="s">
        <v>59</v>
      </c>
      <c r="I942" t="s">
        <v>30</v>
      </c>
      <c r="J942" s="2">
        <v>32120</v>
      </c>
      <c r="K942" s="2">
        <v>175</v>
      </c>
      <c r="L942" s="2">
        <v>19817</v>
      </c>
      <c r="M942" s="2">
        <v>5814</v>
      </c>
      <c r="N942" s="2">
        <v>9</v>
      </c>
      <c r="O942" t="s">
        <v>61</v>
      </c>
      <c r="P942" t="s">
        <v>3409</v>
      </c>
      <c r="R942" t="s">
        <v>32</v>
      </c>
      <c r="S942" t="s">
        <v>33</v>
      </c>
      <c r="T942" t="s">
        <v>34</v>
      </c>
      <c r="U942" t="s">
        <v>35</v>
      </c>
      <c r="W942" t="s">
        <v>63</v>
      </c>
      <c r="X942" t="s">
        <v>34</v>
      </c>
      <c r="Y942" t="s">
        <v>64</v>
      </c>
      <c r="Z942" t="s">
        <v>3410</v>
      </c>
      <c r="AA942" t="s">
        <v>38</v>
      </c>
    </row>
    <row r="943" spans="1:27" hidden="1">
      <c r="A943" t="s">
        <v>3411</v>
      </c>
      <c r="B943" t="s">
        <v>3412</v>
      </c>
      <c r="C943" t="e">
        <f>VLOOKUP(B943,Sheet2!$A$2:$A$392,1,0)</f>
        <v>#N/A</v>
      </c>
      <c r="E943" t="s">
        <v>170</v>
      </c>
      <c r="G943" t="s">
        <v>2886</v>
      </c>
      <c r="I943" t="s">
        <v>1692</v>
      </c>
      <c r="J943" s="2">
        <v>72561</v>
      </c>
      <c r="K943" s="2">
        <v>225</v>
      </c>
      <c r="L943" s="2">
        <v>37831</v>
      </c>
      <c r="P943" t="s">
        <v>3413</v>
      </c>
      <c r="S943" t="s">
        <v>33</v>
      </c>
      <c r="X943" t="s">
        <v>34</v>
      </c>
      <c r="AA943" t="s">
        <v>38</v>
      </c>
    </row>
    <row r="944" spans="1:27" hidden="1">
      <c r="A944" t="s">
        <v>3414</v>
      </c>
      <c r="B944" t="s">
        <v>3415</v>
      </c>
      <c r="C944" t="e">
        <f>VLOOKUP(B944,Sheet2!$A$2:$A$392,1,0)</f>
        <v>#N/A</v>
      </c>
      <c r="E944" t="s">
        <v>52</v>
      </c>
      <c r="F944" t="s">
        <v>28</v>
      </c>
      <c r="G944" t="s">
        <v>59</v>
      </c>
      <c r="I944" t="s">
        <v>301</v>
      </c>
      <c r="J944" s="2">
        <v>37731</v>
      </c>
      <c r="K944" s="2">
        <v>179</v>
      </c>
      <c r="L944" s="2">
        <v>23232</v>
      </c>
      <c r="M944" s="2">
        <v>5920</v>
      </c>
      <c r="N944" s="2">
        <v>10</v>
      </c>
      <c r="O944" t="s">
        <v>61</v>
      </c>
      <c r="P944" t="s">
        <v>3416</v>
      </c>
      <c r="R944" t="s">
        <v>32</v>
      </c>
      <c r="S944" t="s">
        <v>33</v>
      </c>
      <c r="T944" t="s">
        <v>34</v>
      </c>
      <c r="U944" t="s">
        <v>35</v>
      </c>
      <c r="W944" t="s">
        <v>63</v>
      </c>
      <c r="X944" t="s">
        <v>34</v>
      </c>
      <c r="Y944" t="s">
        <v>64</v>
      </c>
      <c r="Z944" t="s">
        <v>3417</v>
      </c>
      <c r="AA944" t="s">
        <v>38</v>
      </c>
    </row>
    <row r="945" spans="1:27" hidden="1">
      <c r="A945" t="s">
        <v>3418</v>
      </c>
      <c r="B945" t="s">
        <v>3419</v>
      </c>
      <c r="C945" t="e">
        <f>VLOOKUP(B945,Sheet2!$A$2:$A$392,1,0)</f>
        <v>#N/A</v>
      </c>
      <c r="E945" t="s">
        <v>52</v>
      </c>
      <c r="F945" t="s">
        <v>28</v>
      </c>
      <c r="G945" t="s">
        <v>59</v>
      </c>
      <c r="I945" t="s">
        <v>1692</v>
      </c>
      <c r="J945" s="2">
        <v>56893</v>
      </c>
      <c r="K945" s="2">
        <v>189</v>
      </c>
      <c r="L945" s="2">
        <v>33036</v>
      </c>
      <c r="M945" s="2">
        <v>9480</v>
      </c>
      <c r="N945" s="2">
        <v>12</v>
      </c>
      <c r="O945" t="s">
        <v>61</v>
      </c>
      <c r="P945" t="s">
        <v>3420</v>
      </c>
      <c r="R945" t="s">
        <v>32</v>
      </c>
      <c r="S945" t="s">
        <v>33</v>
      </c>
      <c r="T945" t="s">
        <v>34</v>
      </c>
      <c r="U945" t="s">
        <v>35</v>
      </c>
      <c r="X945" t="s">
        <v>34</v>
      </c>
      <c r="Y945" t="s">
        <v>45</v>
      </c>
      <c r="Z945" t="s">
        <v>3421</v>
      </c>
      <c r="AA945" t="s">
        <v>38</v>
      </c>
    </row>
    <row r="946" spans="1:27" hidden="1">
      <c r="A946" t="s">
        <v>3422</v>
      </c>
      <c r="B946" t="s">
        <v>3423</v>
      </c>
      <c r="C946" t="e">
        <f>VLOOKUP(B946,Sheet2!$A$2:$A$392,1,0)</f>
        <v>#N/A</v>
      </c>
      <c r="E946" t="s">
        <v>52</v>
      </c>
      <c r="F946" t="s">
        <v>28</v>
      </c>
      <c r="G946" t="s">
        <v>59</v>
      </c>
      <c r="I946" t="s">
        <v>1113</v>
      </c>
      <c r="J946" s="2">
        <v>56892</v>
      </c>
      <c r="K946" s="2">
        <v>189</v>
      </c>
      <c r="L946" s="2">
        <v>32987</v>
      </c>
      <c r="M946" s="2">
        <v>9480</v>
      </c>
      <c r="N946" s="2">
        <v>12</v>
      </c>
      <c r="O946" t="s">
        <v>61</v>
      </c>
      <c r="P946" t="s">
        <v>3424</v>
      </c>
      <c r="R946" t="s">
        <v>32</v>
      </c>
      <c r="S946" t="s">
        <v>33</v>
      </c>
      <c r="T946" t="s">
        <v>34</v>
      </c>
      <c r="U946" t="s">
        <v>35</v>
      </c>
      <c r="W946" t="s">
        <v>63</v>
      </c>
      <c r="X946" t="s">
        <v>34</v>
      </c>
      <c r="Y946" t="s">
        <v>64</v>
      </c>
      <c r="Z946" t="s">
        <v>3425</v>
      </c>
      <c r="AA946" t="s">
        <v>38</v>
      </c>
    </row>
    <row r="947" spans="1:27" hidden="1">
      <c r="A947" t="s">
        <v>3426</v>
      </c>
      <c r="B947" t="s">
        <v>3427</v>
      </c>
      <c r="C947" t="e">
        <f>VLOOKUP(B947,Sheet2!$A$2:$A$392,1,0)</f>
        <v>#N/A</v>
      </c>
      <c r="E947" t="s">
        <v>52</v>
      </c>
      <c r="F947" t="s">
        <v>28</v>
      </c>
      <c r="G947" t="s">
        <v>59</v>
      </c>
      <c r="I947" t="s">
        <v>301</v>
      </c>
      <c r="J947" s="2">
        <v>61453</v>
      </c>
      <c r="K947" s="2">
        <v>199</v>
      </c>
      <c r="L947" s="2">
        <v>34777</v>
      </c>
      <c r="M947" s="2">
        <v>8450</v>
      </c>
      <c r="N947" s="2">
        <v>13</v>
      </c>
      <c r="O947" t="s">
        <v>61</v>
      </c>
      <c r="P947" t="s">
        <v>3428</v>
      </c>
      <c r="R947" t="s">
        <v>32</v>
      </c>
      <c r="S947" t="s">
        <v>33</v>
      </c>
      <c r="T947" t="s">
        <v>34</v>
      </c>
      <c r="U947" t="s">
        <v>35</v>
      </c>
      <c r="W947" t="s">
        <v>63</v>
      </c>
      <c r="X947" t="s">
        <v>34</v>
      </c>
      <c r="Y947" t="s">
        <v>64</v>
      </c>
      <c r="Z947" t="s">
        <v>3429</v>
      </c>
      <c r="AA947" t="s">
        <v>38</v>
      </c>
    </row>
    <row r="948" spans="1:27" hidden="1">
      <c r="A948" t="s">
        <v>3430</v>
      </c>
      <c r="B948" t="s">
        <v>3431</v>
      </c>
      <c r="C948" t="e">
        <f>VLOOKUP(B948,Sheet2!$A$2:$A$392,1,0)</f>
        <v>#N/A</v>
      </c>
      <c r="E948" t="s">
        <v>170</v>
      </c>
      <c r="G948" t="s">
        <v>2793</v>
      </c>
      <c r="I948" t="s">
        <v>2802</v>
      </c>
      <c r="J948" s="2">
        <v>40166</v>
      </c>
      <c r="K948" s="2">
        <v>176</v>
      </c>
      <c r="L948" s="2">
        <v>25063</v>
      </c>
      <c r="P948" t="s">
        <v>3432</v>
      </c>
      <c r="S948" t="s">
        <v>33</v>
      </c>
      <c r="X948" t="s">
        <v>34</v>
      </c>
      <c r="AA948" t="s">
        <v>38</v>
      </c>
    </row>
    <row r="949" spans="1:27" hidden="1">
      <c r="A949" t="s">
        <v>3433</v>
      </c>
      <c r="B949" t="s">
        <v>3434</v>
      </c>
      <c r="C949" t="e">
        <f>VLOOKUP(B949,Sheet2!$A$2:$A$392,1,0)</f>
        <v>#N/A</v>
      </c>
      <c r="E949" t="s">
        <v>52</v>
      </c>
      <c r="F949" t="s">
        <v>41</v>
      </c>
      <c r="G949" t="s">
        <v>59</v>
      </c>
      <c r="I949" t="s">
        <v>42</v>
      </c>
      <c r="J949" s="2">
        <v>34655</v>
      </c>
      <c r="K949" s="3">
        <v>179.28</v>
      </c>
      <c r="L949" s="2">
        <v>22022</v>
      </c>
      <c r="O949" t="s">
        <v>61</v>
      </c>
      <c r="P949" t="s">
        <v>3435</v>
      </c>
      <c r="R949" t="s">
        <v>42</v>
      </c>
      <c r="S949" t="s">
        <v>33</v>
      </c>
      <c r="U949" t="s">
        <v>35</v>
      </c>
      <c r="W949" t="s">
        <v>63</v>
      </c>
      <c r="X949" t="s">
        <v>34</v>
      </c>
      <c r="Y949" t="s">
        <v>64</v>
      </c>
      <c r="Z949" t="s">
        <v>3436</v>
      </c>
      <c r="AA949" t="s">
        <v>38</v>
      </c>
    </row>
    <row r="950" spans="1:27">
      <c r="A950" t="s">
        <v>3437</v>
      </c>
      <c r="B950" t="s">
        <v>3438</v>
      </c>
      <c r="C950" t="str">
        <f>VLOOKUP(B950,Sheet2!$A$2:$A$392,1,0)</f>
        <v>MV. MAA SALEHA BEGUM</v>
      </c>
      <c r="E950" t="s">
        <v>52</v>
      </c>
      <c r="F950" t="s">
        <v>28</v>
      </c>
      <c r="G950" t="s">
        <v>59</v>
      </c>
      <c r="I950" t="s">
        <v>60</v>
      </c>
      <c r="J950" s="2">
        <v>52064</v>
      </c>
      <c r="K950" s="2">
        <v>189</v>
      </c>
      <c r="L950" s="2">
        <v>29493</v>
      </c>
      <c r="M950" s="2">
        <v>10000</v>
      </c>
      <c r="N950" s="2">
        <v>12</v>
      </c>
      <c r="O950" t="s">
        <v>61</v>
      </c>
      <c r="P950" t="s">
        <v>3439</v>
      </c>
      <c r="R950" t="s">
        <v>32</v>
      </c>
      <c r="S950" t="s">
        <v>33</v>
      </c>
      <c r="T950" t="s">
        <v>34</v>
      </c>
      <c r="U950" t="s">
        <v>35</v>
      </c>
      <c r="W950" t="s">
        <v>63</v>
      </c>
      <c r="X950" t="s">
        <v>34</v>
      </c>
      <c r="Y950" t="s">
        <v>64</v>
      </c>
      <c r="Z950" t="s">
        <v>3410</v>
      </c>
      <c r="AA950" t="s">
        <v>38</v>
      </c>
    </row>
    <row r="951" spans="1:27" hidden="1">
      <c r="A951" t="s">
        <v>3440</v>
      </c>
      <c r="B951" t="s">
        <v>3441</v>
      </c>
      <c r="C951" t="e">
        <f>VLOOKUP(B951,Sheet2!$A$2:$A$392,1,0)</f>
        <v>#N/A</v>
      </c>
      <c r="E951" t="s">
        <v>170</v>
      </c>
      <c r="G951" t="s">
        <v>2688</v>
      </c>
      <c r="I951" t="s">
        <v>301</v>
      </c>
      <c r="J951" s="2">
        <v>77376</v>
      </c>
      <c r="K951" s="2">
        <v>225</v>
      </c>
      <c r="L951" s="2">
        <v>40028</v>
      </c>
      <c r="P951" t="s">
        <v>3442</v>
      </c>
      <c r="S951" t="s">
        <v>33</v>
      </c>
      <c r="X951" t="s">
        <v>34</v>
      </c>
      <c r="AA951" t="s">
        <v>38</v>
      </c>
    </row>
    <row r="952" spans="1:27" hidden="1">
      <c r="A952" t="s">
        <v>3443</v>
      </c>
      <c r="B952" t="s">
        <v>3444</v>
      </c>
      <c r="C952" t="e">
        <f>VLOOKUP(B952,Sheet2!$A$2:$A$392,1,0)</f>
        <v>#N/A</v>
      </c>
      <c r="E952" t="s">
        <v>52</v>
      </c>
      <c r="F952" t="s">
        <v>28</v>
      </c>
      <c r="G952" t="s">
        <v>59</v>
      </c>
      <c r="I952" t="s">
        <v>60</v>
      </c>
      <c r="J952" s="2">
        <v>62534</v>
      </c>
      <c r="K952" s="2">
        <v>196</v>
      </c>
      <c r="L952" s="2">
        <v>35210</v>
      </c>
      <c r="M952" s="2">
        <v>7300</v>
      </c>
      <c r="N952" s="2">
        <v>13</v>
      </c>
      <c r="O952" t="s">
        <v>61</v>
      </c>
      <c r="P952" t="s">
        <v>3445</v>
      </c>
      <c r="R952" t="s">
        <v>32</v>
      </c>
      <c r="S952" t="s">
        <v>33</v>
      </c>
      <c r="T952" t="s">
        <v>34</v>
      </c>
      <c r="U952" t="s">
        <v>35</v>
      </c>
      <c r="W952" t="s">
        <v>63</v>
      </c>
      <c r="X952" t="s">
        <v>34</v>
      </c>
      <c r="Y952" t="s">
        <v>64</v>
      </c>
      <c r="Z952" t="s">
        <v>3446</v>
      </c>
      <c r="AA952" t="s">
        <v>38</v>
      </c>
    </row>
    <row r="953" spans="1:27" hidden="1">
      <c r="A953" t="s">
        <v>3447</v>
      </c>
      <c r="B953" t="s">
        <v>3448</v>
      </c>
      <c r="C953" t="e">
        <f>VLOOKUP(B953,Sheet2!$A$2:$A$392,1,0)</f>
        <v>#N/A</v>
      </c>
      <c r="E953" t="s">
        <v>52</v>
      </c>
      <c r="F953" t="s">
        <v>28</v>
      </c>
      <c r="G953" t="s">
        <v>29</v>
      </c>
      <c r="I953" t="s">
        <v>30</v>
      </c>
      <c r="J953" s="2">
        <v>36833</v>
      </c>
      <c r="K953" s="2">
        <v>183</v>
      </c>
      <c r="L953" s="2">
        <v>23882</v>
      </c>
      <c r="P953" t="s">
        <v>3449</v>
      </c>
      <c r="R953" t="s">
        <v>581</v>
      </c>
      <c r="S953" t="s">
        <v>33</v>
      </c>
      <c r="T953" t="s">
        <v>34</v>
      </c>
      <c r="U953" t="s">
        <v>35</v>
      </c>
      <c r="X953" t="s">
        <v>34</v>
      </c>
      <c r="Y953" t="s">
        <v>45</v>
      </c>
      <c r="Z953" t="s">
        <v>3450</v>
      </c>
      <c r="AA953" t="s">
        <v>38</v>
      </c>
    </row>
    <row r="954" spans="1:27" hidden="1">
      <c r="A954" t="s">
        <v>3451</v>
      </c>
      <c r="B954" t="s">
        <v>3452</v>
      </c>
      <c r="C954" t="e">
        <f>VLOOKUP(B954,Sheet2!$A$2:$A$392,1,0)</f>
        <v>#N/A</v>
      </c>
      <c r="E954" t="s">
        <v>170</v>
      </c>
      <c r="G954" t="s">
        <v>2046</v>
      </c>
      <c r="I954" t="s">
        <v>1113</v>
      </c>
      <c r="J954" s="2">
        <v>49996</v>
      </c>
      <c r="K954" s="3">
        <v>183.09</v>
      </c>
      <c r="L954" s="2">
        <v>30006</v>
      </c>
      <c r="P954" t="s">
        <v>3453</v>
      </c>
      <c r="S954" t="s">
        <v>33</v>
      </c>
      <c r="X954" t="s">
        <v>34</v>
      </c>
      <c r="AA954" t="s">
        <v>38</v>
      </c>
    </row>
    <row r="955" spans="1:27" hidden="1">
      <c r="A955" t="s">
        <v>3454</v>
      </c>
      <c r="B955" t="s">
        <v>3455</v>
      </c>
      <c r="C955" t="e">
        <f>VLOOKUP(B955,Sheet2!$A$2:$A$392,1,0)</f>
        <v>#N/A</v>
      </c>
      <c r="E955" t="s">
        <v>170</v>
      </c>
      <c r="F955" t="s">
        <v>28</v>
      </c>
      <c r="G955" t="s">
        <v>3456</v>
      </c>
      <c r="I955" t="s">
        <v>301</v>
      </c>
      <c r="J955" s="2">
        <v>75767</v>
      </c>
      <c r="K955" s="2">
        <v>225</v>
      </c>
      <c r="L955" s="2">
        <v>38855</v>
      </c>
      <c r="P955" t="s">
        <v>3457</v>
      </c>
      <c r="S955" t="s">
        <v>33</v>
      </c>
      <c r="T955" t="s">
        <v>34</v>
      </c>
      <c r="U955" t="s">
        <v>35</v>
      </c>
      <c r="X955" t="s">
        <v>34</v>
      </c>
      <c r="Y955" t="s">
        <v>2882</v>
      </c>
      <c r="Z955" t="s">
        <v>3458</v>
      </c>
      <c r="AA955" t="s">
        <v>38</v>
      </c>
    </row>
    <row r="956" spans="1:27" hidden="1">
      <c r="A956" t="s">
        <v>3459</v>
      </c>
      <c r="B956" t="s">
        <v>3460</v>
      </c>
      <c r="C956" t="e">
        <f>VLOOKUP(B956,Sheet2!$A$2:$A$392,1,0)</f>
        <v>#N/A</v>
      </c>
      <c r="E956" t="s">
        <v>52</v>
      </c>
      <c r="F956" t="s">
        <v>28</v>
      </c>
      <c r="G956" t="s">
        <v>59</v>
      </c>
      <c r="I956" t="s">
        <v>60</v>
      </c>
      <c r="J956" s="2">
        <v>56045</v>
      </c>
      <c r="K956" s="2">
        <v>189</v>
      </c>
      <c r="L956" s="2">
        <v>31234</v>
      </c>
      <c r="M956" s="2">
        <v>9480</v>
      </c>
      <c r="N956" s="2">
        <v>12</v>
      </c>
      <c r="O956" t="s">
        <v>61</v>
      </c>
      <c r="P956" t="s">
        <v>3461</v>
      </c>
      <c r="R956" t="s">
        <v>32</v>
      </c>
      <c r="S956" t="s">
        <v>33</v>
      </c>
      <c r="T956" t="s">
        <v>34</v>
      </c>
      <c r="U956" t="s">
        <v>35</v>
      </c>
      <c r="W956" t="s">
        <v>63</v>
      </c>
      <c r="X956" t="s">
        <v>34</v>
      </c>
      <c r="Y956" t="s">
        <v>64</v>
      </c>
      <c r="Z956" t="s">
        <v>3462</v>
      </c>
      <c r="AA956" t="s">
        <v>38</v>
      </c>
    </row>
    <row r="957" spans="1:27" hidden="1">
      <c r="A957" t="s">
        <v>3463</v>
      </c>
      <c r="B957" t="s">
        <v>3464</v>
      </c>
      <c r="C957" t="e">
        <f>VLOOKUP(B957,Sheet2!$A$2:$A$392,1,0)</f>
        <v>#N/A</v>
      </c>
      <c r="E957" t="s">
        <v>52</v>
      </c>
      <c r="F957" t="s">
        <v>41</v>
      </c>
      <c r="G957" t="s">
        <v>59</v>
      </c>
      <c r="I957" t="s">
        <v>42</v>
      </c>
      <c r="J957" s="2">
        <v>50220</v>
      </c>
      <c r="K957">
        <v>189.9</v>
      </c>
      <c r="L957" s="2">
        <v>28693</v>
      </c>
      <c r="O957" t="s">
        <v>61</v>
      </c>
      <c r="P957" t="s">
        <v>3465</v>
      </c>
      <c r="R957" t="s">
        <v>42</v>
      </c>
      <c r="S957" t="s">
        <v>33</v>
      </c>
      <c r="T957" t="s">
        <v>34</v>
      </c>
      <c r="U957" t="s">
        <v>35</v>
      </c>
      <c r="W957" t="s">
        <v>63</v>
      </c>
      <c r="X957" t="s">
        <v>34</v>
      </c>
      <c r="Y957" t="s">
        <v>64</v>
      </c>
      <c r="Z957" t="s">
        <v>3466</v>
      </c>
      <c r="AA957" t="s">
        <v>38</v>
      </c>
    </row>
    <row r="958" spans="1:27" hidden="1">
      <c r="A958" t="s">
        <v>3467</v>
      </c>
      <c r="B958" t="s">
        <v>3468</v>
      </c>
      <c r="C958" t="e">
        <f>VLOOKUP(B958,Sheet2!$A$2:$A$392,1,0)</f>
        <v>#N/A</v>
      </c>
      <c r="E958" t="s">
        <v>27</v>
      </c>
      <c r="F958" t="s">
        <v>41</v>
      </c>
      <c r="G958" t="s">
        <v>29</v>
      </c>
      <c r="J958" s="2">
        <v>2103</v>
      </c>
      <c r="K958" s="2">
        <v>73</v>
      </c>
      <c r="L958" s="2">
        <v>1402</v>
      </c>
      <c r="P958" t="s">
        <v>3469</v>
      </c>
      <c r="R958" t="s">
        <v>42</v>
      </c>
      <c r="S958" t="s">
        <v>33</v>
      </c>
      <c r="U958" t="s">
        <v>44</v>
      </c>
      <c r="X958" t="s">
        <v>34</v>
      </c>
      <c r="Y958" t="s">
        <v>45</v>
      </c>
      <c r="Z958" t="s">
        <v>3470</v>
      </c>
      <c r="AA958" t="s">
        <v>38</v>
      </c>
    </row>
    <row r="959" spans="1:27" hidden="1">
      <c r="A959" t="s">
        <v>3471</v>
      </c>
      <c r="B959" t="s">
        <v>3472</v>
      </c>
      <c r="C959" t="e">
        <f>VLOOKUP(B959,Sheet2!$A$2:$A$392,1,0)</f>
        <v>#N/A</v>
      </c>
      <c r="E959" t="s">
        <v>1063</v>
      </c>
      <c r="F959" t="s">
        <v>41</v>
      </c>
      <c r="G959" t="s">
        <v>3473</v>
      </c>
      <c r="I959" t="s">
        <v>42</v>
      </c>
      <c r="J959" s="2">
        <v>4300</v>
      </c>
      <c r="K959" s="3">
        <v>96.96</v>
      </c>
      <c r="L959" s="2">
        <v>4300</v>
      </c>
      <c r="P959" t="s">
        <v>3474</v>
      </c>
      <c r="S959" t="s">
        <v>33</v>
      </c>
      <c r="T959" t="s">
        <v>34</v>
      </c>
      <c r="X959" t="s">
        <v>34</v>
      </c>
      <c r="Y959" t="s">
        <v>117</v>
      </c>
      <c r="Z959" t="s">
        <v>3475</v>
      </c>
      <c r="AA959" t="s">
        <v>38</v>
      </c>
    </row>
    <row r="960" spans="1:27" hidden="1">
      <c r="A960" t="s">
        <v>3476</v>
      </c>
      <c r="B960" t="s">
        <v>3477</v>
      </c>
      <c r="C960" t="e">
        <f>VLOOKUP(B960,Sheet2!$A$2:$A$392,1,0)</f>
        <v>#N/A</v>
      </c>
      <c r="E960" t="s">
        <v>40</v>
      </c>
      <c r="G960" t="s">
        <v>129</v>
      </c>
      <c r="I960" t="s">
        <v>42</v>
      </c>
      <c r="J960" s="2">
        <v>130</v>
      </c>
      <c r="K960" s="3">
        <v>23.84</v>
      </c>
      <c r="L960" s="2">
        <v>130</v>
      </c>
      <c r="P960" t="s">
        <v>3478</v>
      </c>
      <c r="S960" t="s">
        <v>33</v>
      </c>
      <c r="X960" t="s">
        <v>34</v>
      </c>
      <c r="AA960" t="s">
        <v>38</v>
      </c>
    </row>
    <row r="961" spans="1:27" hidden="1">
      <c r="A961" t="s">
        <v>3479</v>
      </c>
      <c r="B961" t="s">
        <v>3480</v>
      </c>
      <c r="C961" t="e">
        <f>VLOOKUP(B961,Sheet2!$A$2:$A$392,1,0)</f>
        <v>#N/A</v>
      </c>
      <c r="E961" t="s">
        <v>52</v>
      </c>
      <c r="F961" t="s">
        <v>28</v>
      </c>
      <c r="G961" t="s">
        <v>59</v>
      </c>
      <c r="I961" t="s">
        <v>30</v>
      </c>
      <c r="J961" s="2">
        <v>34407</v>
      </c>
      <c r="K961">
        <v>179.9</v>
      </c>
      <c r="L961" s="2">
        <v>21538</v>
      </c>
      <c r="M961" s="2">
        <v>5720</v>
      </c>
      <c r="N961">
        <v>9.8000000000000007</v>
      </c>
      <c r="O961" t="s">
        <v>61</v>
      </c>
      <c r="P961" t="s">
        <v>3481</v>
      </c>
      <c r="R961" t="s">
        <v>32</v>
      </c>
      <c r="S961" t="s">
        <v>33</v>
      </c>
      <c r="T961" t="s">
        <v>34</v>
      </c>
      <c r="U961" t="s">
        <v>35</v>
      </c>
      <c r="W961" t="s">
        <v>63</v>
      </c>
      <c r="X961" t="s">
        <v>34</v>
      </c>
      <c r="Y961" t="s">
        <v>64</v>
      </c>
      <c r="Z961" t="s">
        <v>3482</v>
      </c>
      <c r="AA961" t="s">
        <v>38</v>
      </c>
    </row>
    <row r="962" spans="1:27" hidden="1">
      <c r="A962" t="s">
        <v>3483</v>
      </c>
      <c r="B962" t="s">
        <v>3484</v>
      </c>
      <c r="C962" t="e">
        <f>VLOOKUP(B962,Sheet2!$A$2:$A$392,1,0)</f>
        <v>#N/A</v>
      </c>
      <c r="E962" t="s">
        <v>52</v>
      </c>
      <c r="F962" t="s">
        <v>28</v>
      </c>
      <c r="G962" t="s">
        <v>29</v>
      </c>
      <c r="I962" t="s">
        <v>30</v>
      </c>
      <c r="J962" s="2">
        <v>40069</v>
      </c>
      <c r="K962" s="3">
        <v>179.95</v>
      </c>
      <c r="L962" s="2">
        <v>25569</v>
      </c>
      <c r="P962" t="s">
        <v>3485</v>
      </c>
      <c r="R962" t="s">
        <v>581</v>
      </c>
      <c r="S962" t="s">
        <v>33</v>
      </c>
      <c r="T962" t="s">
        <v>34</v>
      </c>
      <c r="U962" t="s">
        <v>35</v>
      </c>
      <c r="X962" t="s">
        <v>34</v>
      </c>
      <c r="Y962" t="s">
        <v>45</v>
      </c>
      <c r="Z962" t="s">
        <v>3486</v>
      </c>
      <c r="AA962" t="s">
        <v>38</v>
      </c>
    </row>
    <row r="963" spans="1:27" hidden="1">
      <c r="A963" t="s">
        <v>3487</v>
      </c>
      <c r="B963" t="s">
        <v>3488</v>
      </c>
      <c r="C963" t="e">
        <f>VLOOKUP(B963,Sheet2!$A$2:$A$392,1,0)</f>
        <v>#N/A</v>
      </c>
      <c r="E963" t="s">
        <v>27</v>
      </c>
      <c r="F963" t="s">
        <v>28</v>
      </c>
      <c r="G963" t="s">
        <v>29</v>
      </c>
      <c r="I963" t="s">
        <v>352</v>
      </c>
      <c r="J963" s="2">
        <v>8762</v>
      </c>
      <c r="K963" s="2">
        <v>111</v>
      </c>
      <c r="L963" s="2">
        <v>5691</v>
      </c>
      <c r="P963" t="s">
        <v>3489</v>
      </c>
      <c r="R963" t="s">
        <v>352</v>
      </c>
      <c r="S963" t="s">
        <v>33</v>
      </c>
      <c r="T963" t="s">
        <v>34</v>
      </c>
      <c r="U963" t="s">
        <v>35</v>
      </c>
      <c r="X963" t="s">
        <v>34</v>
      </c>
      <c r="Y963" t="s">
        <v>45</v>
      </c>
      <c r="Z963" t="s">
        <v>3490</v>
      </c>
      <c r="AA963" t="s">
        <v>38</v>
      </c>
    </row>
    <row r="964" spans="1:27" hidden="1">
      <c r="A964" t="s">
        <v>3491</v>
      </c>
      <c r="B964" t="s">
        <v>3492</v>
      </c>
      <c r="C964" t="e">
        <f>VLOOKUP(B964,Sheet2!$A$2:$A$392,1,0)</f>
        <v>#N/A</v>
      </c>
      <c r="E964" t="s">
        <v>52</v>
      </c>
      <c r="F964" t="s">
        <v>28</v>
      </c>
      <c r="G964" t="s">
        <v>29</v>
      </c>
      <c r="I964" t="s">
        <v>30</v>
      </c>
      <c r="J964" s="2">
        <v>34407</v>
      </c>
      <c r="K964" s="3">
        <v>179.96</v>
      </c>
      <c r="L964" s="2">
        <v>21538</v>
      </c>
      <c r="P964" t="s">
        <v>3481</v>
      </c>
      <c r="R964" t="s">
        <v>32</v>
      </c>
      <c r="S964" t="s">
        <v>33</v>
      </c>
      <c r="T964" t="s">
        <v>34</v>
      </c>
      <c r="U964" t="s">
        <v>35</v>
      </c>
      <c r="X964" t="s">
        <v>34</v>
      </c>
      <c r="Y964" t="s">
        <v>45</v>
      </c>
      <c r="Z964" t="s">
        <v>3493</v>
      </c>
      <c r="AA964" t="s">
        <v>38</v>
      </c>
    </row>
    <row r="965" spans="1:27" hidden="1">
      <c r="A965" t="s">
        <v>3494</v>
      </c>
      <c r="B965" t="s">
        <v>3495</v>
      </c>
      <c r="C965" t="e">
        <f>VLOOKUP(B965,Sheet2!$A$2:$A$392,1,0)</f>
        <v>#N/A</v>
      </c>
      <c r="E965" t="s">
        <v>52</v>
      </c>
      <c r="F965" t="s">
        <v>28</v>
      </c>
      <c r="G965" t="s">
        <v>59</v>
      </c>
      <c r="I965" t="s">
        <v>2635</v>
      </c>
      <c r="J965" s="2">
        <v>61217</v>
      </c>
      <c r="K965" s="2">
        <v>199</v>
      </c>
      <c r="L965" s="2">
        <v>34511</v>
      </c>
      <c r="M965" s="2">
        <v>8130</v>
      </c>
      <c r="N965" s="2">
        <v>13</v>
      </c>
      <c r="O965" t="s">
        <v>61</v>
      </c>
      <c r="P965" t="s">
        <v>3496</v>
      </c>
      <c r="R965" t="s">
        <v>581</v>
      </c>
      <c r="S965" t="s">
        <v>33</v>
      </c>
      <c r="T965" t="s">
        <v>34</v>
      </c>
      <c r="U965" t="s">
        <v>35</v>
      </c>
      <c r="W965" t="s">
        <v>63</v>
      </c>
      <c r="X965" t="s">
        <v>34</v>
      </c>
      <c r="Y965" t="s">
        <v>64</v>
      </c>
      <c r="Z965" t="s">
        <v>3497</v>
      </c>
      <c r="AA965" t="s">
        <v>38</v>
      </c>
    </row>
    <row r="966" spans="1:27" hidden="1">
      <c r="A966" t="s">
        <v>3498</v>
      </c>
      <c r="B966" t="s">
        <v>3499</v>
      </c>
      <c r="C966" t="e">
        <f>VLOOKUP(B966,Sheet2!$A$2:$A$392,1,0)</f>
        <v>#N/A</v>
      </c>
      <c r="E966" t="s">
        <v>52</v>
      </c>
      <c r="F966" t="s">
        <v>28</v>
      </c>
      <c r="G966" t="s">
        <v>59</v>
      </c>
      <c r="I966" t="s">
        <v>1692</v>
      </c>
      <c r="J966" s="2">
        <v>57814</v>
      </c>
      <c r="K966" s="2">
        <v>189</v>
      </c>
      <c r="L966" s="2">
        <v>32378</v>
      </c>
      <c r="M966" s="2">
        <v>8200</v>
      </c>
      <c r="N966" s="2">
        <v>12</v>
      </c>
      <c r="O966" t="s">
        <v>61</v>
      </c>
      <c r="P966" t="s">
        <v>3500</v>
      </c>
      <c r="R966" t="s">
        <v>32</v>
      </c>
      <c r="S966" t="s">
        <v>33</v>
      </c>
      <c r="T966" t="s">
        <v>34</v>
      </c>
      <c r="U966" t="s">
        <v>35</v>
      </c>
      <c r="W966" t="s">
        <v>63</v>
      </c>
      <c r="X966" t="s">
        <v>34</v>
      </c>
      <c r="Y966" t="s">
        <v>64</v>
      </c>
      <c r="Z966" t="s">
        <v>3501</v>
      </c>
      <c r="AA966" t="s">
        <v>38</v>
      </c>
    </row>
    <row r="967" spans="1:27" hidden="1">
      <c r="A967" t="s">
        <v>3502</v>
      </c>
      <c r="B967" t="s">
        <v>3503</v>
      </c>
      <c r="C967" t="e">
        <f>VLOOKUP(B967,Sheet2!$A$2:$A$392,1,0)</f>
        <v>#N/A</v>
      </c>
      <c r="E967" t="s">
        <v>52</v>
      </c>
      <c r="F967" t="s">
        <v>28</v>
      </c>
      <c r="G967" t="s">
        <v>59</v>
      </c>
      <c r="I967" t="s">
        <v>301</v>
      </c>
      <c r="J967" s="2">
        <v>34431</v>
      </c>
      <c r="K967" s="2">
        <v>179</v>
      </c>
      <c r="L967" s="2">
        <v>21627</v>
      </c>
      <c r="M967" s="2">
        <v>7667</v>
      </c>
      <c r="N967" s="2">
        <v>9</v>
      </c>
      <c r="O967" t="s">
        <v>61</v>
      </c>
      <c r="P967" t="s">
        <v>3504</v>
      </c>
      <c r="R967" t="s">
        <v>32</v>
      </c>
      <c r="S967" t="s">
        <v>33</v>
      </c>
      <c r="T967" t="s">
        <v>34</v>
      </c>
      <c r="U967" t="s">
        <v>35</v>
      </c>
      <c r="W967" t="s">
        <v>63</v>
      </c>
      <c r="X967" t="s">
        <v>34</v>
      </c>
      <c r="Y967" t="s">
        <v>64</v>
      </c>
      <c r="Z967" t="s">
        <v>3505</v>
      </c>
      <c r="AA967" t="s">
        <v>38</v>
      </c>
    </row>
    <row r="968" spans="1:27" hidden="1">
      <c r="A968" t="s">
        <v>3506</v>
      </c>
      <c r="B968" t="s">
        <v>3507</v>
      </c>
      <c r="C968" t="e">
        <f>VLOOKUP(B968,Sheet2!$A$2:$A$392,1,0)</f>
        <v>#N/A</v>
      </c>
      <c r="E968" t="s">
        <v>52</v>
      </c>
      <c r="F968" t="s">
        <v>41</v>
      </c>
      <c r="G968" t="s">
        <v>59</v>
      </c>
      <c r="J968" s="2">
        <v>50363</v>
      </c>
      <c r="K968">
        <v>189.9</v>
      </c>
      <c r="L968" s="2">
        <v>28693</v>
      </c>
      <c r="N968" s="2">
        <v>6</v>
      </c>
      <c r="O968" t="s">
        <v>223</v>
      </c>
      <c r="P968" t="s">
        <v>3508</v>
      </c>
      <c r="R968" t="s">
        <v>42</v>
      </c>
      <c r="S968" t="s">
        <v>33</v>
      </c>
      <c r="U968" t="s">
        <v>35</v>
      </c>
      <c r="V968" s="2">
        <v>5</v>
      </c>
      <c r="W968" t="s">
        <v>63</v>
      </c>
      <c r="X968" t="s">
        <v>34</v>
      </c>
      <c r="Y968" t="s">
        <v>64</v>
      </c>
      <c r="Z968" t="s">
        <v>3509</v>
      </c>
      <c r="AA968" t="s">
        <v>38</v>
      </c>
    </row>
    <row r="969" spans="1:27" hidden="1">
      <c r="A969" t="s">
        <v>3510</v>
      </c>
      <c r="B969" t="s">
        <v>3511</v>
      </c>
      <c r="C969" t="e">
        <f>VLOOKUP(B969,Sheet2!$A$2:$A$392,1,0)</f>
        <v>#N/A</v>
      </c>
      <c r="E969" t="s">
        <v>196</v>
      </c>
      <c r="F969" t="s">
        <v>28</v>
      </c>
      <c r="G969" t="s">
        <v>151</v>
      </c>
      <c r="I969" t="s">
        <v>2789</v>
      </c>
      <c r="J969">
        <v>7779.1</v>
      </c>
      <c r="K969" s="3">
        <v>119.95</v>
      </c>
      <c r="L969" s="2">
        <v>5566</v>
      </c>
      <c r="P969" t="s">
        <v>3512</v>
      </c>
      <c r="R969" t="s">
        <v>2789</v>
      </c>
      <c r="S969" t="s">
        <v>33</v>
      </c>
      <c r="T969" t="s">
        <v>34</v>
      </c>
      <c r="U969" t="s">
        <v>35</v>
      </c>
      <c r="W969" t="s">
        <v>518</v>
      </c>
      <c r="X969" t="s">
        <v>34</v>
      </c>
      <c r="Y969" t="s">
        <v>519</v>
      </c>
      <c r="Z969" t="s">
        <v>3513</v>
      </c>
      <c r="AA969" t="s">
        <v>38</v>
      </c>
    </row>
    <row r="970" spans="1:27" hidden="1">
      <c r="A970" t="s">
        <v>3514</v>
      </c>
      <c r="B970" t="s">
        <v>3515</v>
      </c>
      <c r="C970" t="e">
        <f>VLOOKUP(B970,Sheet2!$A$2:$A$392,1,0)</f>
        <v>#N/A</v>
      </c>
      <c r="E970" t="s">
        <v>196</v>
      </c>
      <c r="F970" t="s">
        <v>41</v>
      </c>
      <c r="G970" t="s">
        <v>59</v>
      </c>
      <c r="J970" s="2">
        <v>7209</v>
      </c>
      <c r="K970" s="3">
        <v>111.64</v>
      </c>
      <c r="L970" s="2">
        <v>4233</v>
      </c>
      <c r="O970" t="s">
        <v>61</v>
      </c>
      <c r="P970" t="s">
        <v>3516</v>
      </c>
      <c r="R970" t="s">
        <v>42</v>
      </c>
      <c r="S970" t="s">
        <v>33</v>
      </c>
      <c r="U970" t="s">
        <v>35</v>
      </c>
      <c r="W970" t="s">
        <v>63</v>
      </c>
      <c r="X970" t="s">
        <v>34</v>
      </c>
      <c r="Y970" t="s">
        <v>64</v>
      </c>
      <c r="Z970" t="s">
        <v>3517</v>
      </c>
      <c r="AA970" t="s">
        <v>38</v>
      </c>
    </row>
    <row r="971" spans="1:27" hidden="1">
      <c r="A971" t="s">
        <v>3518</v>
      </c>
      <c r="B971" t="s">
        <v>3519</v>
      </c>
      <c r="C971" t="e">
        <f>VLOOKUP(B971,Sheet2!$A$2:$A$392,1,0)</f>
        <v>#N/A</v>
      </c>
      <c r="E971" t="s">
        <v>52</v>
      </c>
      <c r="F971" t="s">
        <v>28</v>
      </c>
      <c r="G971" t="s">
        <v>59</v>
      </c>
      <c r="I971" t="s">
        <v>301</v>
      </c>
      <c r="J971" s="2">
        <v>63702</v>
      </c>
      <c r="K971" s="3">
        <v>199.98</v>
      </c>
      <c r="L971" s="2">
        <v>36177</v>
      </c>
      <c r="M971" s="2">
        <v>7560</v>
      </c>
      <c r="N971">
        <v>13.5</v>
      </c>
      <c r="O971" t="s">
        <v>61</v>
      </c>
      <c r="P971" t="s">
        <v>3520</v>
      </c>
      <c r="R971" t="s">
        <v>32</v>
      </c>
      <c r="S971" t="s">
        <v>33</v>
      </c>
      <c r="T971" t="s">
        <v>34</v>
      </c>
      <c r="U971" t="s">
        <v>35</v>
      </c>
      <c r="W971" t="s">
        <v>63</v>
      </c>
      <c r="X971" t="s">
        <v>34</v>
      </c>
      <c r="Y971" t="s">
        <v>64</v>
      </c>
      <c r="Z971" t="s">
        <v>3521</v>
      </c>
      <c r="AA971" t="s">
        <v>38</v>
      </c>
    </row>
    <row r="972" spans="1:27" hidden="1">
      <c r="A972" t="s">
        <v>3522</v>
      </c>
      <c r="B972" t="s">
        <v>3523</v>
      </c>
      <c r="C972" t="e">
        <f>VLOOKUP(B972,Sheet2!$A$2:$A$392,1,0)</f>
        <v>#N/A</v>
      </c>
      <c r="E972" t="s">
        <v>52</v>
      </c>
      <c r="F972" t="s">
        <v>28</v>
      </c>
      <c r="G972" t="s">
        <v>59</v>
      </c>
      <c r="J972" s="2">
        <v>63340</v>
      </c>
      <c r="K972" s="2">
        <v>199</v>
      </c>
      <c r="L972" s="2">
        <v>35953</v>
      </c>
      <c r="M972" s="2">
        <v>7560</v>
      </c>
      <c r="N972" s="2">
        <v>13</v>
      </c>
      <c r="O972" t="s">
        <v>61</v>
      </c>
      <c r="P972" t="s">
        <v>3524</v>
      </c>
      <c r="R972" t="s">
        <v>32</v>
      </c>
      <c r="S972" t="s">
        <v>33</v>
      </c>
      <c r="U972" t="s">
        <v>35</v>
      </c>
      <c r="W972" t="s">
        <v>63</v>
      </c>
      <c r="X972" t="s">
        <v>34</v>
      </c>
      <c r="Y972" t="s">
        <v>64</v>
      </c>
      <c r="Z972" t="s">
        <v>3525</v>
      </c>
      <c r="AA972" t="s">
        <v>38</v>
      </c>
    </row>
    <row r="973" spans="1:27" hidden="1">
      <c r="A973" t="s">
        <v>3526</v>
      </c>
      <c r="B973" t="s">
        <v>3527</v>
      </c>
      <c r="C973" t="e">
        <f>VLOOKUP(B973,Sheet2!$A$2:$A$392,1,0)</f>
        <v>#N/A</v>
      </c>
      <c r="E973" t="s">
        <v>170</v>
      </c>
      <c r="G973" t="s">
        <v>115</v>
      </c>
      <c r="I973" t="s">
        <v>3528</v>
      </c>
      <c r="J973" s="2">
        <v>147188</v>
      </c>
      <c r="K973" s="2">
        <v>274</v>
      </c>
      <c r="L973" s="2">
        <v>80668</v>
      </c>
      <c r="P973" t="s">
        <v>3529</v>
      </c>
      <c r="S973" t="s">
        <v>33</v>
      </c>
      <c r="X973" t="s">
        <v>34</v>
      </c>
      <c r="AA973" t="s">
        <v>38</v>
      </c>
    </row>
    <row r="974" spans="1:27" hidden="1">
      <c r="A974" t="s">
        <v>3530</v>
      </c>
      <c r="B974" t="s">
        <v>3531</v>
      </c>
      <c r="C974" t="e">
        <f>VLOOKUP(B974,Sheet2!$A$2:$A$392,1,0)</f>
        <v>#N/A</v>
      </c>
      <c r="E974" t="s">
        <v>52</v>
      </c>
      <c r="F974" t="s">
        <v>28</v>
      </c>
      <c r="G974" t="s">
        <v>59</v>
      </c>
      <c r="I974" t="s">
        <v>301</v>
      </c>
      <c r="J974" s="2">
        <v>52342</v>
      </c>
      <c r="K974" s="2">
        <v>189</v>
      </c>
      <c r="L974" s="2">
        <v>30053</v>
      </c>
      <c r="M974" s="2">
        <v>8580</v>
      </c>
      <c r="N974" s="2">
        <v>12</v>
      </c>
      <c r="O974" t="s">
        <v>61</v>
      </c>
      <c r="P974" t="s">
        <v>3532</v>
      </c>
      <c r="R974" t="s">
        <v>32</v>
      </c>
      <c r="S974" t="s">
        <v>33</v>
      </c>
      <c r="T974" t="s">
        <v>34</v>
      </c>
      <c r="U974" t="s">
        <v>35</v>
      </c>
      <c r="W974" t="s">
        <v>63</v>
      </c>
      <c r="X974" t="s">
        <v>34</v>
      </c>
      <c r="Y974" t="s">
        <v>64</v>
      </c>
      <c r="Z974" t="s">
        <v>3533</v>
      </c>
      <c r="AA974" t="s">
        <v>38</v>
      </c>
    </row>
    <row r="975" spans="1:27" hidden="1">
      <c r="A975" t="s">
        <v>3534</v>
      </c>
      <c r="B975" t="s">
        <v>3535</v>
      </c>
      <c r="C975" t="e">
        <f>VLOOKUP(B975,Sheet2!$A$2:$A$392,1,0)</f>
        <v>#N/A</v>
      </c>
      <c r="E975" t="s">
        <v>27</v>
      </c>
      <c r="F975" t="s">
        <v>41</v>
      </c>
      <c r="G975" t="s">
        <v>29</v>
      </c>
      <c r="J975" s="2">
        <v>3124</v>
      </c>
      <c r="K975">
        <v>75.5</v>
      </c>
      <c r="L975" s="2">
        <v>1562</v>
      </c>
      <c r="O975" t="s">
        <v>482</v>
      </c>
      <c r="P975" t="s">
        <v>3536</v>
      </c>
      <c r="R975" t="s">
        <v>32</v>
      </c>
      <c r="S975" t="s">
        <v>33</v>
      </c>
      <c r="U975" t="s">
        <v>35</v>
      </c>
      <c r="X975" t="s">
        <v>34</v>
      </c>
      <c r="Y975" t="s">
        <v>45</v>
      </c>
      <c r="Z975" t="s">
        <v>3537</v>
      </c>
      <c r="AA975" t="s">
        <v>38</v>
      </c>
    </row>
    <row r="976" spans="1:27" hidden="1">
      <c r="A976" t="s">
        <v>3538</v>
      </c>
      <c r="B976" t="s">
        <v>3539</v>
      </c>
      <c r="C976" t="e">
        <f>VLOOKUP(B976,Sheet2!$A$2:$A$392,1,0)</f>
        <v>#N/A</v>
      </c>
      <c r="E976" t="s">
        <v>170</v>
      </c>
      <c r="G976" t="s">
        <v>2886</v>
      </c>
      <c r="I976" t="s">
        <v>244</v>
      </c>
      <c r="J976" s="2">
        <v>94998</v>
      </c>
      <c r="K976" s="3">
        <v>234.98</v>
      </c>
      <c r="L976" s="2">
        <v>50623</v>
      </c>
      <c r="P976" t="s">
        <v>3540</v>
      </c>
      <c r="S976" t="s">
        <v>33</v>
      </c>
      <c r="X976" t="s">
        <v>34</v>
      </c>
      <c r="AA976" t="s">
        <v>38</v>
      </c>
    </row>
    <row r="977" spans="1:27" hidden="1">
      <c r="A977" t="s">
        <v>3541</v>
      </c>
      <c r="B977" t="s">
        <v>3542</v>
      </c>
      <c r="C977" t="e">
        <f>VLOOKUP(B977,Sheet2!$A$2:$A$392,1,0)</f>
        <v>#N/A</v>
      </c>
      <c r="E977" t="s">
        <v>52</v>
      </c>
      <c r="F977" t="s">
        <v>28</v>
      </c>
      <c r="G977" t="s">
        <v>59</v>
      </c>
      <c r="J977" s="2">
        <v>32992</v>
      </c>
      <c r="K977" s="2">
        <v>175</v>
      </c>
      <c r="L977" s="2">
        <v>19801</v>
      </c>
      <c r="M977" s="2">
        <v>6840</v>
      </c>
      <c r="N977" s="2">
        <v>10</v>
      </c>
      <c r="O977" t="s">
        <v>61</v>
      </c>
      <c r="P977" t="s">
        <v>3543</v>
      </c>
      <c r="R977" t="s">
        <v>32</v>
      </c>
      <c r="S977" t="s">
        <v>33</v>
      </c>
      <c r="U977" t="s">
        <v>35</v>
      </c>
      <c r="W977" t="s">
        <v>63</v>
      </c>
      <c r="X977" t="s">
        <v>34</v>
      </c>
      <c r="Y977" t="s">
        <v>64</v>
      </c>
      <c r="Z977" t="s">
        <v>3544</v>
      </c>
      <c r="AA977" t="s">
        <v>38</v>
      </c>
    </row>
    <row r="978" spans="1:27">
      <c r="A978" t="s">
        <v>3545</v>
      </c>
      <c r="B978" t="s">
        <v>3546</v>
      </c>
      <c r="C978" t="str">
        <f>VLOOKUP(B978,Sheet2!$A$2:$A$392,1,0)</f>
        <v>MV. OLYMPIA LOGGER</v>
      </c>
      <c r="E978" t="s">
        <v>52</v>
      </c>
      <c r="F978" t="s">
        <v>28</v>
      </c>
      <c r="G978" t="s">
        <v>29</v>
      </c>
      <c r="I978" t="s">
        <v>30</v>
      </c>
      <c r="J978" s="2">
        <v>32992</v>
      </c>
      <c r="K978" s="3">
        <v>175.53</v>
      </c>
      <c r="L978" s="2">
        <v>19801</v>
      </c>
      <c r="P978" t="s">
        <v>3543</v>
      </c>
      <c r="R978" t="s">
        <v>32</v>
      </c>
      <c r="S978" t="s">
        <v>33</v>
      </c>
      <c r="T978" t="s">
        <v>34</v>
      </c>
      <c r="U978" t="s">
        <v>35</v>
      </c>
      <c r="X978" t="s">
        <v>34</v>
      </c>
      <c r="Y978" t="s">
        <v>45</v>
      </c>
      <c r="Z978" t="s">
        <v>3547</v>
      </c>
      <c r="AA978" t="s">
        <v>38</v>
      </c>
    </row>
    <row r="979" spans="1:27" hidden="1">
      <c r="A979" t="s">
        <v>3548</v>
      </c>
      <c r="B979" t="s">
        <v>3549</v>
      </c>
      <c r="C979" t="e">
        <f>VLOOKUP(B979,Sheet2!$A$2:$A$392,1,0)</f>
        <v>#N/A</v>
      </c>
      <c r="E979" t="s">
        <v>170</v>
      </c>
      <c r="G979" t="s">
        <v>115</v>
      </c>
      <c r="I979" t="s">
        <v>685</v>
      </c>
      <c r="J979" s="2">
        <v>50346</v>
      </c>
      <c r="K979" s="3">
        <v>189.02</v>
      </c>
      <c r="L979" s="2">
        <v>30971</v>
      </c>
      <c r="P979" t="s">
        <v>3550</v>
      </c>
      <c r="S979" t="s">
        <v>33</v>
      </c>
      <c r="X979" t="s">
        <v>34</v>
      </c>
      <c r="AA979" t="s">
        <v>38</v>
      </c>
    </row>
    <row r="980" spans="1:27" hidden="1">
      <c r="A980" t="s">
        <v>3551</v>
      </c>
      <c r="B980" t="s">
        <v>3552</v>
      </c>
      <c r="C980" t="e">
        <f>VLOOKUP(B980,Sheet2!$A$2:$A$392,1,0)</f>
        <v>#N/A</v>
      </c>
      <c r="E980" t="s">
        <v>170</v>
      </c>
      <c r="I980" t="s">
        <v>42</v>
      </c>
      <c r="J980" s="2">
        <v>13924</v>
      </c>
      <c r="K980" s="2">
        <v>132</v>
      </c>
      <c r="L980" s="2">
        <v>7922</v>
      </c>
      <c r="P980" t="s">
        <v>3553</v>
      </c>
      <c r="S980" t="s">
        <v>33</v>
      </c>
      <c r="X980" t="s">
        <v>34</v>
      </c>
      <c r="AA980" t="s">
        <v>38</v>
      </c>
    </row>
    <row r="981" spans="1:27" hidden="1">
      <c r="A981" t="s">
        <v>3554</v>
      </c>
      <c r="B981" t="s">
        <v>3555</v>
      </c>
      <c r="C981" t="e">
        <f>VLOOKUP(B981,Sheet2!$A$2:$A$392,1,0)</f>
        <v>#N/A</v>
      </c>
      <c r="E981" t="s">
        <v>170</v>
      </c>
      <c r="G981" t="s">
        <v>115</v>
      </c>
      <c r="I981" t="s">
        <v>2752</v>
      </c>
      <c r="J981" s="2">
        <v>149500</v>
      </c>
      <c r="K981" s="3">
        <v>273.97000000000003</v>
      </c>
      <c r="L981" s="2">
        <v>80591</v>
      </c>
      <c r="P981" t="s">
        <v>3556</v>
      </c>
      <c r="S981" t="s">
        <v>33</v>
      </c>
      <c r="X981" t="s">
        <v>34</v>
      </c>
      <c r="AA981" t="s">
        <v>38</v>
      </c>
    </row>
    <row r="982" spans="1:27">
      <c r="A982" t="s">
        <v>3557</v>
      </c>
      <c r="B982" t="s">
        <v>3558</v>
      </c>
      <c r="C982" t="str">
        <f>VLOOKUP(B982,Sheet2!$A$2:$A$392,1,0)</f>
        <v>MV. OCEAN GLORY</v>
      </c>
      <c r="E982" t="s">
        <v>52</v>
      </c>
      <c r="F982" t="s">
        <v>28</v>
      </c>
      <c r="G982" t="s">
        <v>29</v>
      </c>
      <c r="I982" t="s">
        <v>685</v>
      </c>
      <c r="J982" s="2">
        <v>48437</v>
      </c>
      <c r="K982">
        <v>187.3</v>
      </c>
      <c r="L982" s="2">
        <v>27575</v>
      </c>
      <c r="P982" t="s">
        <v>3559</v>
      </c>
      <c r="R982" t="s">
        <v>32</v>
      </c>
      <c r="S982" t="s">
        <v>33</v>
      </c>
      <c r="T982" t="s">
        <v>34</v>
      </c>
      <c r="U982" t="s">
        <v>35</v>
      </c>
      <c r="X982" t="s">
        <v>34</v>
      </c>
      <c r="Y982" t="s">
        <v>45</v>
      </c>
      <c r="Z982" t="s">
        <v>3560</v>
      </c>
      <c r="AA982" t="s">
        <v>38</v>
      </c>
    </row>
    <row r="983" spans="1:27" hidden="1">
      <c r="A983" t="s">
        <v>3561</v>
      </c>
      <c r="B983" t="s">
        <v>3562</v>
      </c>
      <c r="C983" t="e">
        <f>VLOOKUP(B983,Sheet2!$A$2:$A$392,1,0)</f>
        <v>#N/A</v>
      </c>
      <c r="E983" t="s">
        <v>52</v>
      </c>
      <c r="F983" t="s">
        <v>41</v>
      </c>
      <c r="G983" t="s">
        <v>415</v>
      </c>
      <c r="J983" s="2">
        <v>15000</v>
      </c>
      <c r="K983" s="3">
        <v>106.22</v>
      </c>
      <c r="L983" s="2">
        <v>6943</v>
      </c>
      <c r="M983" s="2">
        <v>3900</v>
      </c>
      <c r="N983" s="2">
        <v>4</v>
      </c>
      <c r="P983" t="s">
        <v>3563</v>
      </c>
      <c r="R983" t="s">
        <v>42</v>
      </c>
      <c r="S983" t="s">
        <v>33</v>
      </c>
      <c r="U983" t="s">
        <v>35</v>
      </c>
      <c r="X983" t="s">
        <v>147</v>
      </c>
      <c r="Y983" t="s">
        <v>154</v>
      </c>
      <c r="Z983" t="s">
        <v>615</v>
      </c>
      <c r="AA983" t="s">
        <v>38</v>
      </c>
    </row>
    <row r="984" spans="1:27" hidden="1">
      <c r="A984" t="s">
        <v>3564</v>
      </c>
      <c r="B984" t="s">
        <v>3565</v>
      </c>
      <c r="C984" t="e">
        <f>VLOOKUP(B984,Sheet2!$A$2:$A$392,1,0)</f>
        <v>#N/A</v>
      </c>
      <c r="E984" t="s">
        <v>52</v>
      </c>
      <c r="F984" t="s">
        <v>28</v>
      </c>
      <c r="G984" t="s">
        <v>59</v>
      </c>
      <c r="I984" t="s">
        <v>30</v>
      </c>
      <c r="J984" s="2">
        <v>33745</v>
      </c>
      <c r="K984" s="2">
        <v>174</v>
      </c>
      <c r="L984" s="2">
        <v>19829</v>
      </c>
      <c r="M984" s="2">
        <v>6230</v>
      </c>
      <c r="N984" s="2">
        <v>10</v>
      </c>
      <c r="O984" t="s">
        <v>61</v>
      </c>
      <c r="P984" t="s">
        <v>3566</v>
      </c>
      <c r="R984" t="s">
        <v>32</v>
      </c>
      <c r="S984" t="s">
        <v>33</v>
      </c>
      <c r="T984" t="s">
        <v>34</v>
      </c>
      <c r="U984" t="s">
        <v>35</v>
      </c>
      <c r="V984" s="2">
        <v>2</v>
      </c>
      <c r="W984" t="s">
        <v>63</v>
      </c>
      <c r="X984" t="s">
        <v>34</v>
      </c>
      <c r="Y984" t="s">
        <v>64</v>
      </c>
      <c r="Z984" t="s">
        <v>3567</v>
      </c>
      <c r="AA984" t="s">
        <v>38</v>
      </c>
    </row>
    <row r="985" spans="1:27" hidden="1">
      <c r="A985" t="s">
        <v>3568</v>
      </c>
      <c r="B985" t="s">
        <v>3569</v>
      </c>
      <c r="C985" t="e">
        <f>VLOOKUP(B985,Sheet2!$A$2:$A$392,1,0)</f>
        <v>#N/A</v>
      </c>
      <c r="E985" t="s">
        <v>52</v>
      </c>
      <c r="F985" t="s">
        <v>28</v>
      </c>
      <c r="G985" t="s">
        <v>59</v>
      </c>
      <c r="I985" t="s">
        <v>1692</v>
      </c>
      <c r="J985" s="2">
        <v>58410</v>
      </c>
      <c r="K985" s="2">
        <v>199</v>
      </c>
      <c r="L985" s="2">
        <v>34374</v>
      </c>
      <c r="M985" s="2">
        <v>9960</v>
      </c>
      <c r="N985" s="2">
        <v>13</v>
      </c>
      <c r="O985" t="s">
        <v>61</v>
      </c>
      <c r="P985" t="s">
        <v>3570</v>
      </c>
      <c r="R985" t="s">
        <v>244</v>
      </c>
      <c r="S985" t="s">
        <v>33</v>
      </c>
      <c r="T985" t="s">
        <v>34</v>
      </c>
      <c r="U985" t="s">
        <v>35</v>
      </c>
      <c r="W985" t="s">
        <v>63</v>
      </c>
      <c r="X985" t="s">
        <v>34</v>
      </c>
      <c r="Y985" t="s">
        <v>64</v>
      </c>
      <c r="Z985" t="s">
        <v>3571</v>
      </c>
      <c r="AA985" t="s">
        <v>38</v>
      </c>
    </row>
    <row r="986" spans="1:27" hidden="1">
      <c r="A986" t="s">
        <v>3572</v>
      </c>
      <c r="B986" t="s">
        <v>3573</v>
      </c>
      <c r="C986" t="e">
        <f>VLOOKUP(B986,Sheet2!$A$2:$A$392,1,0)</f>
        <v>#N/A</v>
      </c>
      <c r="E986" t="s">
        <v>40</v>
      </c>
      <c r="F986" t="s">
        <v>41</v>
      </c>
      <c r="G986" t="s">
        <v>29</v>
      </c>
      <c r="I986" t="s">
        <v>42</v>
      </c>
      <c r="J986" s="2">
        <v>5000</v>
      </c>
      <c r="K986" s="2">
        <v>79</v>
      </c>
      <c r="L986" s="2">
        <v>2220</v>
      </c>
      <c r="M986" s="2">
        <v>1200</v>
      </c>
      <c r="P986" t="s">
        <v>3574</v>
      </c>
      <c r="R986" t="s">
        <v>42</v>
      </c>
      <c r="S986" t="s">
        <v>33</v>
      </c>
      <c r="T986" t="s">
        <v>34</v>
      </c>
      <c r="U986" t="s">
        <v>35</v>
      </c>
      <c r="X986" t="s">
        <v>34</v>
      </c>
      <c r="Y986" t="s">
        <v>45</v>
      </c>
      <c r="Z986" t="s">
        <v>3575</v>
      </c>
      <c r="AA986" t="s">
        <v>38</v>
      </c>
    </row>
    <row r="987" spans="1:27" hidden="1">
      <c r="A987" t="s">
        <v>3576</v>
      </c>
      <c r="B987" t="s">
        <v>3577</v>
      </c>
      <c r="C987" t="e">
        <f>VLOOKUP(B987,Sheet2!$A$2:$A$392,1,0)</f>
        <v>#N/A</v>
      </c>
      <c r="E987" t="s">
        <v>72</v>
      </c>
      <c r="G987" t="s">
        <v>424</v>
      </c>
      <c r="I987" t="s">
        <v>42</v>
      </c>
      <c r="J987" s="2">
        <v>1</v>
      </c>
      <c r="K987">
        <v>70.099999999999994</v>
      </c>
      <c r="L987" s="2">
        <v>1424</v>
      </c>
      <c r="P987" t="s">
        <v>74</v>
      </c>
      <c r="S987" t="s">
        <v>33</v>
      </c>
      <c r="X987" t="s">
        <v>34</v>
      </c>
      <c r="AA987" t="s">
        <v>38</v>
      </c>
    </row>
    <row r="988" spans="1:27" hidden="1">
      <c r="A988" t="s">
        <v>3578</v>
      </c>
      <c r="B988" t="s">
        <v>3579</v>
      </c>
      <c r="C988" t="e">
        <f>VLOOKUP(B988,Sheet2!$A$2:$A$392,1,0)</f>
        <v>#N/A</v>
      </c>
      <c r="E988" t="s">
        <v>72</v>
      </c>
      <c r="G988" t="s">
        <v>424</v>
      </c>
      <c r="I988" t="s">
        <v>42</v>
      </c>
      <c r="J988" s="2">
        <v>4546</v>
      </c>
      <c r="K988" s="3">
        <v>91.44</v>
      </c>
      <c r="L988" s="2">
        <v>3084</v>
      </c>
      <c r="P988" t="s">
        <v>74</v>
      </c>
      <c r="S988" t="s">
        <v>33</v>
      </c>
      <c r="X988" t="s">
        <v>34</v>
      </c>
      <c r="AA988" t="s">
        <v>38</v>
      </c>
    </row>
    <row r="989" spans="1:27" hidden="1">
      <c r="A989" t="s">
        <v>3580</v>
      </c>
      <c r="B989" t="s">
        <v>3581</v>
      </c>
      <c r="C989" t="e">
        <f>VLOOKUP(B989,Sheet2!$A$2:$A$392,1,0)</f>
        <v>#N/A</v>
      </c>
      <c r="E989" t="s">
        <v>72</v>
      </c>
      <c r="G989" t="s">
        <v>424</v>
      </c>
      <c r="I989" t="s">
        <v>42</v>
      </c>
      <c r="J989" s="2">
        <v>3500</v>
      </c>
      <c r="K989" s="3">
        <v>91.44</v>
      </c>
      <c r="L989" s="2">
        <v>3088</v>
      </c>
      <c r="P989" t="s">
        <v>74</v>
      </c>
      <c r="S989" t="s">
        <v>33</v>
      </c>
      <c r="X989" t="s">
        <v>34</v>
      </c>
      <c r="AA989" t="s">
        <v>38</v>
      </c>
    </row>
    <row r="990" spans="1:27" hidden="1">
      <c r="A990" t="s">
        <v>3582</v>
      </c>
      <c r="B990" t="s">
        <v>3583</v>
      </c>
      <c r="C990" t="e">
        <f>VLOOKUP(B990,Sheet2!$A$2:$A$392,1,0)</f>
        <v>#N/A</v>
      </c>
      <c r="E990" t="s">
        <v>72</v>
      </c>
      <c r="G990" t="s">
        <v>29</v>
      </c>
      <c r="I990" t="s">
        <v>42</v>
      </c>
      <c r="J990" s="2">
        <v>1</v>
      </c>
      <c r="K990" s="3">
        <v>91.44</v>
      </c>
      <c r="L990" s="2">
        <v>3088</v>
      </c>
      <c r="P990" t="s">
        <v>74</v>
      </c>
      <c r="S990" t="s">
        <v>33</v>
      </c>
      <c r="X990" t="s">
        <v>34</v>
      </c>
      <c r="AA990" t="s">
        <v>38</v>
      </c>
    </row>
    <row r="991" spans="1:27" hidden="1">
      <c r="A991" t="s">
        <v>3584</v>
      </c>
      <c r="B991" t="s">
        <v>3585</v>
      </c>
      <c r="C991" t="e">
        <f>VLOOKUP(B991,Sheet2!$A$2:$A$392,1,0)</f>
        <v>#N/A</v>
      </c>
      <c r="E991" t="s">
        <v>72</v>
      </c>
      <c r="G991" t="s">
        <v>424</v>
      </c>
      <c r="I991" t="s">
        <v>42</v>
      </c>
      <c r="J991" s="2">
        <v>8500</v>
      </c>
      <c r="K991" s="3">
        <v>91.44</v>
      </c>
      <c r="L991" s="2">
        <v>3075</v>
      </c>
      <c r="P991" t="s">
        <v>74</v>
      </c>
      <c r="S991" t="s">
        <v>33</v>
      </c>
      <c r="X991" t="s">
        <v>34</v>
      </c>
      <c r="AA991" t="s">
        <v>38</v>
      </c>
    </row>
    <row r="992" spans="1:27" hidden="1">
      <c r="A992" t="s">
        <v>3586</v>
      </c>
      <c r="B992" t="s">
        <v>3587</v>
      </c>
      <c r="C992" t="e">
        <f>VLOOKUP(B992,Sheet2!$A$2:$A$392,1,0)</f>
        <v>#N/A</v>
      </c>
      <c r="E992" t="s">
        <v>72</v>
      </c>
      <c r="G992" t="s">
        <v>424</v>
      </c>
      <c r="I992" t="s">
        <v>42</v>
      </c>
      <c r="J992" s="2">
        <v>1500</v>
      </c>
      <c r="K992">
        <v>82.3</v>
      </c>
      <c r="L992" s="2">
        <v>2134</v>
      </c>
      <c r="P992" t="s">
        <v>74</v>
      </c>
      <c r="S992" t="s">
        <v>33</v>
      </c>
      <c r="X992" t="s">
        <v>34</v>
      </c>
      <c r="AA992" t="s">
        <v>38</v>
      </c>
    </row>
    <row r="993" spans="1:27" hidden="1">
      <c r="A993" t="s">
        <v>3588</v>
      </c>
      <c r="B993" t="s">
        <v>3589</v>
      </c>
      <c r="C993" t="e">
        <f>VLOOKUP(B993,Sheet2!$A$2:$A$392,1,0)</f>
        <v>#N/A</v>
      </c>
      <c r="E993" t="s">
        <v>72</v>
      </c>
      <c r="G993" t="s">
        <v>424</v>
      </c>
      <c r="I993" t="s">
        <v>42</v>
      </c>
      <c r="J993" s="2">
        <v>1</v>
      </c>
      <c r="K993" s="2">
        <v>72</v>
      </c>
      <c r="L993" s="2">
        <v>3128</v>
      </c>
      <c r="P993" t="s">
        <v>74</v>
      </c>
      <c r="S993" t="s">
        <v>33</v>
      </c>
      <c r="X993" t="s">
        <v>34</v>
      </c>
      <c r="Y993" t="s">
        <v>96</v>
      </c>
      <c r="Z993" t="s">
        <v>3590</v>
      </c>
      <c r="AA993" t="s">
        <v>38</v>
      </c>
    </row>
    <row r="994" spans="1:27">
      <c r="A994" t="s">
        <v>3591</v>
      </c>
      <c r="B994" t="s">
        <v>3592</v>
      </c>
      <c r="C994" t="str">
        <f>VLOOKUP(B994,Sheet2!$A$2:$A$392,1,0)</f>
        <v>TB. PUTRA LAUTAN VIII / BG. MARITIM PERKASA 2722</v>
      </c>
      <c r="E994" t="s">
        <v>40</v>
      </c>
      <c r="F994" t="s">
        <v>41</v>
      </c>
      <c r="G994" t="s">
        <v>29</v>
      </c>
      <c r="I994" t="s">
        <v>42</v>
      </c>
      <c r="J994" s="2">
        <v>5500</v>
      </c>
      <c r="K994" s="2">
        <v>82</v>
      </c>
      <c r="L994" s="2">
        <v>2334</v>
      </c>
      <c r="P994" t="s">
        <v>3593</v>
      </c>
      <c r="R994" t="s">
        <v>42</v>
      </c>
      <c r="S994" t="s">
        <v>33</v>
      </c>
      <c r="T994" t="s">
        <v>34</v>
      </c>
      <c r="U994" t="s">
        <v>35</v>
      </c>
      <c r="X994" t="s">
        <v>34</v>
      </c>
      <c r="Y994" t="s">
        <v>45</v>
      </c>
      <c r="Z994" t="s">
        <v>3594</v>
      </c>
      <c r="AA994" t="s">
        <v>38</v>
      </c>
    </row>
    <row r="995" spans="1:27" hidden="1">
      <c r="A995" t="s">
        <v>3595</v>
      </c>
      <c r="B995" t="s">
        <v>3596</v>
      </c>
      <c r="C995" t="e">
        <f>VLOOKUP(B995,Sheet2!$A$2:$A$392,1,0)</f>
        <v>#N/A</v>
      </c>
      <c r="E995" t="s">
        <v>40</v>
      </c>
      <c r="F995" t="s">
        <v>41</v>
      </c>
      <c r="G995" t="s">
        <v>29</v>
      </c>
      <c r="I995" t="s">
        <v>42</v>
      </c>
      <c r="J995" s="2">
        <v>6000</v>
      </c>
      <c r="K995" s="2">
        <v>82</v>
      </c>
      <c r="L995" s="2">
        <v>2338</v>
      </c>
      <c r="M995" s="2">
        <v>1658</v>
      </c>
      <c r="P995" t="s">
        <v>3597</v>
      </c>
      <c r="R995" t="s">
        <v>42</v>
      </c>
      <c r="S995" t="s">
        <v>33</v>
      </c>
      <c r="T995" t="s">
        <v>34</v>
      </c>
      <c r="U995" t="s">
        <v>35</v>
      </c>
      <c r="X995" t="s">
        <v>34</v>
      </c>
      <c r="Y995" t="s">
        <v>45</v>
      </c>
      <c r="Z995" t="s">
        <v>3598</v>
      </c>
      <c r="AA995" t="s">
        <v>38</v>
      </c>
    </row>
    <row r="996" spans="1:27">
      <c r="A996" t="s">
        <v>3599</v>
      </c>
      <c r="B996" t="s">
        <v>3600</v>
      </c>
      <c r="C996" t="str">
        <f>VLOOKUP(B996,Sheet2!$A$2:$A$392,1,0)</f>
        <v>TB. MAHKOTA X / BG. MARITIM PERKASA 2727</v>
      </c>
      <c r="E996" t="s">
        <v>40</v>
      </c>
      <c r="F996" t="s">
        <v>41</v>
      </c>
      <c r="G996" t="s">
        <v>29</v>
      </c>
      <c r="I996" t="s">
        <v>42</v>
      </c>
      <c r="J996" s="2">
        <v>7000</v>
      </c>
      <c r="K996" s="2">
        <v>82</v>
      </c>
      <c r="L996" s="2">
        <v>2319</v>
      </c>
      <c r="P996" t="s">
        <v>3601</v>
      </c>
      <c r="R996" t="s">
        <v>42</v>
      </c>
      <c r="S996" t="s">
        <v>33</v>
      </c>
      <c r="T996" t="s">
        <v>34</v>
      </c>
      <c r="U996" t="s">
        <v>35</v>
      </c>
      <c r="X996" t="s">
        <v>34</v>
      </c>
      <c r="Y996" t="s">
        <v>45</v>
      </c>
      <c r="Z996" t="s">
        <v>3602</v>
      </c>
      <c r="AA996" t="s">
        <v>38</v>
      </c>
    </row>
    <row r="997" spans="1:27" hidden="1">
      <c r="A997" t="s">
        <v>3603</v>
      </c>
      <c r="B997" t="s">
        <v>3604</v>
      </c>
      <c r="C997" t="e">
        <f>VLOOKUP(B997,Sheet2!$A$2:$A$392,1,0)</f>
        <v>#N/A</v>
      </c>
      <c r="E997" t="s">
        <v>72</v>
      </c>
      <c r="G997" t="s">
        <v>424</v>
      </c>
      <c r="I997" t="s">
        <v>42</v>
      </c>
      <c r="J997" s="2">
        <v>1</v>
      </c>
      <c r="K997" s="3">
        <v>91.44</v>
      </c>
      <c r="L997" s="2">
        <v>3135</v>
      </c>
      <c r="P997" t="s">
        <v>74</v>
      </c>
      <c r="S997" t="s">
        <v>33</v>
      </c>
      <c r="X997" t="s">
        <v>34</v>
      </c>
      <c r="AA997" t="s">
        <v>38</v>
      </c>
    </row>
    <row r="998" spans="1:27">
      <c r="A998" t="s">
        <v>3605</v>
      </c>
      <c r="B998" t="s">
        <v>3606</v>
      </c>
      <c r="C998" t="str">
        <f>VLOOKUP(B998,Sheet2!$A$2:$A$392,1,0)</f>
        <v>TB. PUTRA LAUTAN V / BG. MARITIM PERKASA 2729</v>
      </c>
      <c r="E998" t="s">
        <v>40</v>
      </c>
      <c r="F998" t="s">
        <v>41</v>
      </c>
      <c r="G998" t="s">
        <v>29</v>
      </c>
      <c r="I998" t="s">
        <v>42</v>
      </c>
      <c r="J998" s="2">
        <v>6000</v>
      </c>
      <c r="K998" s="2">
        <v>82</v>
      </c>
      <c r="L998" s="2">
        <v>2347</v>
      </c>
      <c r="P998" t="s">
        <v>3607</v>
      </c>
      <c r="R998" t="s">
        <v>42</v>
      </c>
      <c r="S998" t="s">
        <v>33</v>
      </c>
      <c r="T998" t="s">
        <v>34</v>
      </c>
      <c r="U998" t="s">
        <v>35</v>
      </c>
      <c r="X998" t="s">
        <v>34</v>
      </c>
      <c r="Y998" t="s">
        <v>45</v>
      </c>
      <c r="Z998" t="s">
        <v>3608</v>
      </c>
      <c r="AA998" t="s">
        <v>38</v>
      </c>
    </row>
    <row r="999" spans="1:27">
      <c r="A999" t="s">
        <v>3609</v>
      </c>
      <c r="B999" t="s">
        <v>3610</v>
      </c>
      <c r="C999" t="str">
        <f>VLOOKUP(B999,Sheet2!$A$2:$A$392,1,0)</f>
        <v>TB. MAHKOTA IX / BG. MARITIM PERKASA 2730</v>
      </c>
      <c r="E999" t="s">
        <v>40</v>
      </c>
      <c r="F999" t="s">
        <v>41</v>
      </c>
      <c r="G999" t="s">
        <v>29</v>
      </c>
      <c r="I999" t="s">
        <v>42</v>
      </c>
      <c r="J999" s="2">
        <v>5000</v>
      </c>
      <c r="K999" s="2">
        <v>82</v>
      </c>
      <c r="L999" s="2">
        <v>2324</v>
      </c>
      <c r="M999" s="2">
        <v>1200</v>
      </c>
      <c r="P999" t="s">
        <v>185</v>
      </c>
      <c r="R999" t="s">
        <v>42</v>
      </c>
      <c r="S999" t="s">
        <v>33</v>
      </c>
      <c r="T999" t="s">
        <v>34</v>
      </c>
      <c r="U999" t="s">
        <v>35</v>
      </c>
      <c r="X999" t="s">
        <v>34</v>
      </c>
      <c r="Y999" t="s">
        <v>45</v>
      </c>
      <c r="Z999" t="s">
        <v>3611</v>
      </c>
      <c r="AA999" t="s">
        <v>38</v>
      </c>
    </row>
    <row r="1000" spans="1:27">
      <c r="A1000" t="s">
        <v>3612</v>
      </c>
      <c r="B1000" t="s">
        <v>3613</v>
      </c>
      <c r="C1000" t="str">
        <f>VLOOKUP(B1000,Sheet2!$A$2:$A$392,1,0)</f>
        <v>TB. PUTRA LAUTAN VI / BG. MARITIM PERKASA 2731</v>
      </c>
      <c r="E1000" t="s">
        <v>40</v>
      </c>
      <c r="F1000" t="s">
        <v>41</v>
      </c>
      <c r="G1000" t="s">
        <v>29</v>
      </c>
      <c r="I1000" t="s">
        <v>42</v>
      </c>
      <c r="J1000" s="2">
        <v>5000</v>
      </c>
      <c r="K1000" s="2">
        <v>82</v>
      </c>
      <c r="L1000" s="2">
        <v>2327</v>
      </c>
      <c r="P1000" t="s">
        <v>185</v>
      </c>
      <c r="R1000" t="s">
        <v>42</v>
      </c>
      <c r="S1000" t="s">
        <v>33</v>
      </c>
      <c r="T1000" t="s">
        <v>34</v>
      </c>
      <c r="U1000" t="s">
        <v>35</v>
      </c>
      <c r="X1000" t="s">
        <v>34</v>
      </c>
      <c r="Y1000" t="s">
        <v>45</v>
      </c>
      <c r="Z1000" t="s">
        <v>3614</v>
      </c>
      <c r="AA1000" t="s">
        <v>38</v>
      </c>
    </row>
    <row r="1001" spans="1:27" hidden="1">
      <c r="A1001" t="s">
        <v>3615</v>
      </c>
      <c r="B1001" t="s">
        <v>3616</v>
      </c>
      <c r="C1001" t="e">
        <f>VLOOKUP(B1001,Sheet2!$A$2:$A$392,1,0)</f>
        <v>#N/A</v>
      </c>
      <c r="E1001" t="s">
        <v>72</v>
      </c>
      <c r="G1001" t="s">
        <v>136</v>
      </c>
      <c r="I1001" t="s">
        <v>42</v>
      </c>
      <c r="J1001" s="2">
        <v>1004</v>
      </c>
      <c r="K1001" s="2">
        <v>87</v>
      </c>
      <c r="L1001" s="2">
        <v>3346</v>
      </c>
      <c r="P1001" t="s">
        <v>3617</v>
      </c>
      <c r="S1001" t="s">
        <v>33</v>
      </c>
      <c r="X1001" t="s">
        <v>34</v>
      </c>
      <c r="AA1001" t="s">
        <v>38</v>
      </c>
    </row>
    <row r="1002" spans="1:27" hidden="1">
      <c r="A1002" t="s">
        <v>3618</v>
      </c>
      <c r="B1002" t="s">
        <v>3619</v>
      </c>
      <c r="C1002" t="e">
        <f>VLOOKUP(B1002,Sheet2!$A$2:$A$392,1,0)</f>
        <v>#N/A</v>
      </c>
      <c r="E1002" t="s">
        <v>72</v>
      </c>
      <c r="G1002" t="s">
        <v>136</v>
      </c>
      <c r="I1002" t="s">
        <v>42</v>
      </c>
      <c r="J1002" s="2">
        <v>5000</v>
      </c>
      <c r="K1002" s="3">
        <v>91.44</v>
      </c>
      <c r="L1002" s="2">
        <v>3346</v>
      </c>
      <c r="P1002" t="s">
        <v>3620</v>
      </c>
      <c r="S1002" t="s">
        <v>33</v>
      </c>
      <c r="X1002" t="s">
        <v>34</v>
      </c>
      <c r="Y1002" t="s">
        <v>96</v>
      </c>
      <c r="Z1002" t="s">
        <v>3621</v>
      </c>
      <c r="AA1002" t="s">
        <v>38</v>
      </c>
    </row>
    <row r="1003" spans="1:27" hidden="1">
      <c r="A1003" t="s">
        <v>3622</v>
      </c>
      <c r="B1003" t="s">
        <v>3623</v>
      </c>
      <c r="C1003" t="e">
        <f>VLOOKUP(B1003,Sheet2!$A$2:$A$392,1,0)</f>
        <v>#N/A</v>
      </c>
      <c r="E1003" t="s">
        <v>72</v>
      </c>
      <c r="G1003" t="s">
        <v>831</v>
      </c>
      <c r="I1003" t="s">
        <v>42</v>
      </c>
      <c r="J1003" s="2">
        <v>5000</v>
      </c>
      <c r="K1003" s="3">
        <v>87.78</v>
      </c>
      <c r="L1003" s="2">
        <v>3346</v>
      </c>
      <c r="P1003" t="s">
        <v>3624</v>
      </c>
      <c r="S1003" t="s">
        <v>33</v>
      </c>
      <c r="X1003" t="s">
        <v>34</v>
      </c>
      <c r="AA1003" t="s">
        <v>38</v>
      </c>
    </row>
    <row r="1004" spans="1:27" hidden="1">
      <c r="A1004" t="s">
        <v>3625</v>
      </c>
      <c r="B1004" t="s">
        <v>3626</v>
      </c>
      <c r="C1004" t="e">
        <f>VLOOKUP(B1004,Sheet2!$A$2:$A$392,1,0)</f>
        <v>#N/A</v>
      </c>
      <c r="E1004" t="s">
        <v>170</v>
      </c>
      <c r="G1004" t="s">
        <v>2711</v>
      </c>
      <c r="I1004" t="s">
        <v>301</v>
      </c>
      <c r="J1004" s="2">
        <v>75032</v>
      </c>
      <c r="K1004" s="2">
        <v>225</v>
      </c>
      <c r="L1004" s="2">
        <v>41104</v>
      </c>
      <c r="P1004" t="s">
        <v>3627</v>
      </c>
      <c r="S1004" t="s">
        <v>33</v>
      </c>
      <c r="X1004" t="s">
        <v>34</v>
      </c>
      <c r="AA1004" t="s">
        <v>38</v>
      </c>
    </row>
    <row r="1005" spans="1:27" hidden="1">
      <c r="A1005" t="s">
        <v>3628</v>
      </c>
      <c r="B1005" t="s">
        <v>3629</v>
      </c>
      <c r="C1005" t="e">
        <f>VLOOKUP(B1005,Sheet2!$A$2:$A$392,1,0)</f>
        <v>#N/A</v>
      </c>
      <c r="E1005" t="s">
        <v>170</v>
      </c>
      <c r="G1005" t="s">
        <v>355</v>
      </c>
      <c r="I1005" t="s">
        <v>694</v>
      </c>
      <c r="J1005" s="2">
        <v>7072</v>
      </c>
      <c r="K1005">
        <v>118.6</v>
      </c>
      <c r="L1005" s="2">
        <v>4996</v>
      </c>
      <c r="P1005" t="s">
        <v>3630</v>
      </c>
      <c r="S1005" t="s">
        <v>33</v>
      </c>
      <c r="X1005" t="s">
        <v>34</v>
      </c>
      <c r="AA1005" t="s">
        <v>38</v>
      </c>
    </row>
    <row r="1006" spans="1:27" hidden="1">
      <c r="A1006" t="s">
        <v>3631</v>
      </c>
      <c r="B1006" t="s">
        <v>3632</v>
      </c>
      <c r="C1006" t="e">
        <f>VLOOKUP(B1006,Sheet2!$A$2:$A$392,1,0)</f>
        <v>#N/A</v>
      </c>
      <c r="E1006" t="s">
        <v>40</v>
      </c>
      <c r="F1006" t="s">
        <v>41</v>
      </c>
      <c r="G1006" t="s">
        <v>29</v>
      </c>
      <c r="I1006" t="s">
        <v>42</v>
      </c>
      <c r="J1006" s="2">
        <v>5000</v>
      </c>
      <c r="K1006" s="2">
        <v>82</v>
      </c>
      <c r="L1006" s="2">
        <v>2363</v>
      </c>
      <c r="P1006" t="s">
        <v>3633</v>
      </c>
      <c r="R1006" t="s">
        <v>42</v>
      </c>
      <c r="S1006" t="s">
        <v>33</v>
      </c>
      <c r="T1006" t="s">
        <v>34</v>
      </c>
      <c r="U1006" t="s">
        <v>35</v>
      </c>
      <c r="X1006" t="s">
        <v>34</v>
      </c>
      <c r="Y1006" t="s">
        <v>45</v>
      </c>
      <c r="Z1006" t="s">
        <v>3575</v>
      </c>
      <c r="AA1006" t="s">
        <v>38</v>
      </c>
    </row>
    <row r="1007" spans="1:27" hidden="1">
      <c r="A1007" t="s">
        <v>3634</v>
      </c>
      <c r="B1007" t="s">
        <v>3635</v>
      </c>
      <c r="C1007" t="e">
        <f>VLOOKUP(B1007,Sheet2!$A$2:$A$392,1,0)</f>
        <v>#N/A</v>
      </c>
      <c r="E1007" t="s">
        <v>52</v>
      </c>
      <c r="F1007" t="s">
        <v>28</v>
      </c>
      <c r="G1007" t="s">
        <v>59</v>
      </c>
      <c r="I1007" t="s">
        <v>244</v>
      </c>
      <c r="J1007" s="2">
        <v>59944</v>
      </c>
      <c r="K1007" s="2">
        <v>200</v>
      </c>
      <c r="L1007" s="2">
        <v>35297</v>
      </c>
      <c r="M1007" s="2">
        <v>8680</v>
      </c>
      <c r="N1007" s="2">
        <v>13</v>
      </c>
      <c r="O1007" t="s">
        <v>61</v>
      </c>
      <c r="P1007" t="s">
        <v>3636</v>
      </c>
      <c r="R1007" t="s">
        <v>244</v>
      </c>
      <c r="S1007" t="s">
        <v>33</v>
      </c>
      <c r="T1007" t="s">
        <v>34</v>
      </c>
      <c r="U1007" t="s">
        <v>35</v>
      </c>
      <c r="W1007" t="s">
        <v>63</v>
      </c>
      <c r="X1007" t="s">
        <v>34</v>
      </c>
      <c r="Y1007" t="s">
        <v>64</v>
      </c>
      <c r="Z1007" t="s">
        <v>3637</v>
      </c>
      <c r="AA1007" t="s">
        <v>38</v>
      </c>
    </row>
    <row r="1008" spans="1:27" hidden="1">
      <c r="A1008" t="s">
        <v>3638</v>
      </c>
      <c r="B1008" t="s">
        <v>3639</v>
      </c>
      <c r="C1008" t="e">
        <f>VLOOKUP(B1008,Sheet2!$A$2:$A$392,1,0)</f>
        <v>#N/A</v>
      </c>
      <c r="E1008" t="s">
        <v>170</v>
      </c>
      <c r="I1008" t="s">
        <v>42</v>
      </c>
      <c r="J1008" s="2">
        <v>18470</v>
      </c>
      <c r="K1008" s="3">
        <v>152.35</v>
      </c>
      <c r="L1008" s="2">
        <v>10537</v>
      </c>
      <c r="P1008" t="s">
        <v>3640</v>
      </c>
      <c r="S1008" t="s">
        <v>33</v>
      </c>
      <c r="X1008" t="s">
        <v>34</v>
      </c>
      <c r="AA1008" t="s">
        <v>38</v>
      </c>
    </row>
    <row r="1009" spans="1:27" hidden="1">
      <c r="A1009" t="s">
        <v>3641</v>
      </c>
      <c r="B1009" t="s">
        <v>3642</v>
      </c>
      <c r="C1009" t="e">
        <f>VLOOKUP(B1009,Sheet2!$A$2:$A$392,1,0)</f>
        <v>#N/A</v>
      </c>
      <c r="E1009" t="s">
        <v>40</v>
      </c>
      <c r="G1009" t="s">
        <v>29</v>
      </c>
      <c r="I1009" t="s">
        <v>42</v>
      </c>
      <c r="J1009" s="2">
        <v>1</v>
      </c>
      <c r="K1009" s="2">
        <v>28</v>
      </c>
      <c r="L1009" s="2">
        <v>223</v>
      </c>
      <c r="P1009" t="s">
        <v>3643</v>
      </c>
      <c r="S1009" t="s">
        <v>33</v>
      </c>
      <c r="X1009" t="s">
        <v>34</v>
      </c>
      <c r="AA1009" t="s">
        <v>38</v>
      </c>
    </row>
    <row r="1010" spans="1:27" hidden="1">
      <c r="A1010" t="s">
        <v>3644</v>
      </c>
      <c r="B1010" t="s">
        <v>3645</v>
      </c>
      <c r="C1010" t="e">
        <f>VLOOKUP(B1010,Sheet2!$A$2:$A$392,1,0)</f>
        <v>#N/A</v>
      </c>
      <c r="E1010" t="s">
        <v>1063</v>
      </c>
      <c r="G1010" t="s">
        <v>3075</v>
      </c>
      <c r="I1010" t="s">
        <v>42</v>
      </c>
      <c r="J1010" s="2">
        <v>4614</v>
      </c>
      <c r="K1010" s="3">
        <v>151.13</v>
      </c>
      <c r="L1010" s="2">
        <v>15380</v>
      </c>
      <c r="P1010" t="s">
        <v>3646</v>
      </c>
      <c r="S1010" t="s">
        <v>33</v>
      </c>
      <c r="X1010" t="s">
        <v>34</v>
      </c>
      <c r="AA1010" t="s">
        <v>38</v>
      </c>
    </row>
    <row r="1011" spans="1:27" hidden="1">
      <c r="A1011" t="s">
        <v>3647</v>
      </c>
      <c r="B1011" t="s">
        <v>3648</v>
      </c>
      <c r="C1011" t="e">
        <f>VLOOKUP(B1011,Sheet2!$A$2:$A$392,1,0)</f>
        <v>#N/A</v>
      </c>
      <c r="E1011" t="s">
        <v>52</v>
      </c>
      <c r="F1011" t="s">
        <v>28</v>
      </c>
      <c r="G1011" t="s">
        <v>29</v>
      </c>
      <c r="I1011" t="s">
        <v>30</v>
      </c>
      <c r="J1011" s="2">
        <v>39777</v>
      </c>
      <c r="K1011" s="3">
        <v>179.99</v>
      </c>
      <c r="L1011" s="2">
        <v>24785</v>
      </c>
      <c r="P1011" t="s">
        <v>3649</v>
      </c>
      <c r="R1011" t="s">
        <v>581</v>
      </c>
      <c r="S1011" t="s">
        <v>33</v>
      </c>
      <c r="T1011" t="s">
        <v>34</v>
      </c>
      <c r="U1011" t="s">
        <v>35</v>
      </c>
      <c r="X1011" t="s">
        <v>34</v>
      </c>
      <c r="Y1011" t="s">
        <v>45</v>
      </c>
      <c r="Z1011" t="s">
        <v>3650</v>
      </c>
      <c r="AA1011" t="s">
        <v>38</v>
      </c>
    </row>
    <row r="1012" spans="1:27" hidden="1">
      <c r="A1012" t="s">
        <v>3651</v>
      </c>
      <c r="B1012" t="s">
        <v>3652</v>
      </c>
      <c r="C1012" t="e">
        <f>VLOOKUP(B1012,Sheet2!$A$2:$A$392,1,0)</f>
        <v>#N/A</v>
      </c>
      <c r="E1012" t="s">
        <v>52</v>
      </c>
      <c r="F1012" t="s">
        <v>28</v>
      </c>
      <c r="G1012" t="s">
        <v>59</v>
      </c>
      <c r="J1012" s="2">
        <v>33353</v>
      </c>
      <c r="K1012" s="2">
        <v>179</v>
      </c>
      <c r="L1012" s="2">
        <v>20987</v>
      </c>
      <c r="M1012" s="2">
        <v>8820</v>
      </c>
      <c r="N1012" s="2">
        <v>10</v>
      </c>
      <c r="O1012" t="s">
        <v>61</v>
      </c>
      <c r="P1012" t="s">
        <v>3653</v>
      </c>
      <c r="Q1012" t="s">
        <v>34</v>
      </c>
      <c r="R1012" t="s">
        <v>581</v>
      </c>
      <c r="S1012" t="s">
        <v>33</v>
      </c>
      <c r="T1012" t="s">
        <v>34</v>
      </c>
      <c r="U1012" t="s">
        <v>35</v>
      </c>
      <c r="W1012" t="s">
        <v>63</v>
      </c>
      <c r="X1012" t="s">
        <v>34</v>
      </c>
      <c r="Y1012" t="s">
        <v>64</v>
      </c>
      <c r="Z1012" t="s">
        <v>3654</v>
      </c>
      <c r="AA1012" t="s">
        <v>38</v>
      </c>
    </row>
    <row r="1013" spans="1:27" hidden="1">
      <c r="A1013" t="s">
        <v>3655</v>
      </c>
      <c r="B1013" t="s">
        <v>3656</v>
      </c>
      <c r="C1013" t="e">
        <f>VLOOKUP(B1013,Sheet2!$A$2:$A$392,1,0)</f>
        <v>#N/A</v>
      </c>
      <c r="E1013" t="s">
        <v>52</v>
      </c>
      <c r="F1013" t="s">
        <v>28</v>
      </c>
      <c r="G1013" t="s">
        <v>59</v>
      </c>
      <c r="I1013" t="s">
        <v>42</v>
      </c>
      <c r="J1013" s="2">
        <v>55444</v>
      </c>
      <c r="K1013">
        <v>189.9</v>
      </c>
      <c r="L1013" s="2">
        <v>30764</v>
      </c>
      <c r="M1013" s="2">
        <v>8200</v>
      </c>
      <c r="N1013">
        <v>12.5</v>
      </c>
      <c r="O1013" t="s">
        <v>61</v>
      </c>
      <c r="P1013" t="s">
        <v>3657</v>
      </c>
      <c r="R1013" t="s">
        <v>32</v>
      </c>
      <c r="S1013" t="s">
        <v>33</v>
      </c>
      <c r="T1013" t="s">
        <v>34</v>
      </c>
      <c r="U1013" t="s">
        <v>35</v>
      </c>
      <c r="W1013" t="s">
        <v>63</v>
      </c>
      <c r="X1013" t="s">
        <v>34</v>
      </c>
      <c r="Y1013" t="s">
        <v>64</v>
      </c>
      <c r="Z1013" t="s">
        <v>3658</v>
      </c>
      <c r="AA1013" t="s">
        <v>38</v>
      </c>
    </row>
    <row r="1014" spans="1:27" hidden="1">
      <c r="A1014" t="s">
        <v>3659</v>
      </c>
      <c r="B1014" t="s">
        <v>3660</v>
      </c>
      <c r="C1014" t="e">
        <f>VLOOKUP(B1014,Sheet2!$A$2:$A$392,1,0)</f>
        <v>#N/A</v>
      </c>
      <c r="E1014" t="s">
        <v>52</v>
      </c>
      <c r="F1014" t="s">
        <v>28</v>
      </c>
      <c r="G1014" t="s">
        <v>59</v>
      </c>
      <c r="I1014" t="s">
        <v>30</v>
      </c>
      <c r="J1014" s="2">
        <v>52358</v>
      </c>
      <c r="K1014" s="3">
        <v>189.99</v>
      </c>
      <c r="L1014" s="2">
        <v>30042</v>
      </c>
      <c r="O1014" t="s">
        <v>61</v>
      </c>
      <c r="P1014" t="s">
        <v>3661</v>
      </c>
      <c r="R1014" t="s">
        <v>30</v>
      </c>
      <c r="S1014" t="s">
        <v>33</v>
      </c>
      <c r="T1014" t="s">
        <v>34</v>
      </c>
      <c r="U1014" t="s">
        <v>35</v>
      </c>
      <c r="W1014" t="s">
        <v>63</v>
      </c>
      <c r="X1014" t="s">
        <v>34</v>
      </c>
      <c r="Y1014" t="s">
        <v>64</v>
      </c>
      <c r="Z1014" t="s">
        <v>3662</v>
      </c>
      <c r="AA1014" t="s">
        <v>38</v>
      </c>
    </row>
    <row r="1015" spans="1:27" hidden="1">
      <c r="A1015" t="s">
        <v>3663</v>
      </c>
      <c r="B1015" t="s">
        <v>3664</v>
      </c>
      <c r="C1015" t="e">
        <f>VLOOKUP(B1015,Sheet2!$A$2:$A$392,1,0)</f>
        <v>#N/A</v>
      </c>
      <c r="E1015" t="s">
        <v>52</v>
      </c>
      <c r="F1015" t="s">
        <v>28</v>
      </c>
      <c r="G1015" t="s">
        <v>293</v>
      </c>
      <c r="J1015" s="2">
        <v>56132</v>
      </c>
      <c r="K1015" s="2">
        <v>190</v>
      </c>
      <c r="L1015" s="2">
        <v>31815</v>
      </c>
      <c r="M1015" s="2">
        <v>2312</v>
      </c>
      <c r="N1015" s="2">
        <v>13</v>
      </c>
      <c r="O1015" t="s">
        <v>294</v>
      </c>
      <c r="P1015" t="s">
        <v>3665</v>
      </c>
      <c r="R1015" t="s">
        <v>581</v>
      </c>
      <c r="S1015" t="s">
        <v>33</v>
      </c>
      <c r="U1015" t="s">
        <v>35</v>
      </c>
      <c r="V1015" s="2">
        <v>5</v>
      </c>
      <c r="W1015" t="s">
        <v>63</v>
      </c>
      <c r="X1015" t="s">
        <v>34</v>
      </c>
      <c r="Y1015" t="s">
        <v>64</v>
      </c>
      <c r="Z1015" t="s">
        <v>3666</v>
      </c>
      <c r="AA1015" t="s">
        <v>38</v>
      </c>
    </row>
    <row r="1016" spans="1:27" hidden="1">
      <c r="A1016" t="s">
        <v>3667</v>
      </c>
      <c r="B1016" t="s">
        <v>3668</v>
      </c>
      <c r="C1016" t="e">
        <f>VLOOKUP(B1016,Sheet2!$A$2:$A$392,1,0)</f>
        <v>#N/A</v>
      </c>
      <c r="E1016" t="s">
        <v>52</v>
      </c>
      <c r="F1016" t="s">
        <v>28</v>
      </c>
      <c r="G1016" t="s">
        <v>29</v>
      </c>
      <c r="I1016" t="s">
        <v>30</v>
      </c>
      <c r="J1016" s="2">
        <v>32815</v>
      </c>
      <c r="K1016" s="2">
        <v>177</v>
      </c>
      <c r="L1016" s="2">
        <v>19887</v>
      </c>
      <c r="P1016" t="s">
        <v>3669</v>
      </c>
      <c r="R1016" t="s">
        <v>32</v>
      </c>
      <c r="S1016" t="s">
        <v>33</v>
      </c>
      <c r="T1016" t="s">
        <v>34</v>
      </c>
      <c r="U1016" t="s">
        <v>35</v>
      </c>
      <c r="W1016" t="s">
        <v>165</v>
      </c>
      <c r="X1016" t="s">
        <v>34</v>
      </c>
      <c r="Y1016" t="s">
        <v>245</v>
      </c>
      <c r="Z1016" t="s">
        <v>3670</v>
      </c>
      <c r="AA1016" t="s">
        <v>38</v>
      </c>
    </row>
    <row r="1017" spans="1:27" hidden="1">
      <c r="A1017" t="s">
        <v>3671</v>
      </c>
      <c r="B1017" t="s">
        <v>3672</v>
      </c>
      <c r="C1017" t="e">
        <f>VLOOKUP(B1017,Sheet2!$A$2:$A$392,1,0)</f>
        <v>#N/A</v>
      </c>
      <c r="E1017" t="s">
        <v>52</v>
      </c>
      <c r="F1017" t="s">
        <v>28</v>
      </c>
      <c r="G1017" t="s">
        <v>460</v>
      </c>
      <c r="I1017" t="s">
        <v>301</v>
      </c>
      <c r="J1017">
        <v>45.741999999999997</v>
      </c>
      <c r="K1017" s="3">
        <v>189.83</v>
      </c>
      <c r="L1017" s="2">
        <v>26019</v>
      </c>
      <c r="M1017" s="2">
        <v>7286</v>
      </c>
      <c r="P1017" t="s">
        <v>3673</v>
      </c>
      <c r="S1017" t="s">
        <v>33</v>
      </c>
      <c r="T1017" t="s">
        <v>34</v>
      </c>
      <c r="U1017" t="s">
        <v>44</v>
      </c>
      <c r="V1017" s="2">
        <v>5</v>
      </c>
      <c r="W1017" t="s">
        <v>63</v>
      </c>
      <c r="X1017" t="s">
        <v>34</v>
      </c>
      <c r="Y1017" t="s">
        <v>64</v>
      </c>
      <c r="Z1017" t="s">
        <v>3674</v>
      </c>
      <c r="AA1017" t="s">
        <v>38</v>
      </c>
    </row>
    <row r="1018" spans="1:27" hidden="1">
      <c r="A1018" t="s">
        <v>3675</v>
      </c>
      <c r="B1018" t="s">
        <v>3676</v>
      </c>
      <c r="C1018" t="e">
        <f>VLOOKUP(B1018,Sheet2!$A$2:$A$392,1,0)</f>
        <v>#N/A</v>
      </c>
      <c r="E1018" t="s">
        <v>170</v>
      </c>
      <c r="G1018" t="s">
        <v>2711</v>
      </c>
      <c r="I1018" t="s">
        <v>225</v>
      </c>
      <c r="J1018" s="2">
        <v>80333</v>
      </c>
      <c r="K1018" s="2">
        <v>229</v>
      </c>
      <c r="L1018" s="2">
        <v>43846</v>
      </c>
      <c r="P1018" t="s">
        <v>3677</v>
      </c>
      <c r="S1018" t="s">
        <v>33</v>
      </c>
      <c r="X1018" t="s">
        <v>34</v>
      </c>
      <c r="AA1018" t="s">
        <v>38</v>
      </c>
    </row>
    <row r="1019" spans="1:27">
      <c r="A1019" t="s">
        <v>3678</v>
      </c>
      <c r="B1019" t="s">
        <v>3679</v>
      </c>
      <c r="C1019" t="str">
        <f>VLOOKUP(B1019,Sheet2!$A$2:$A$392,1,0)</f>
        <v>MV. RIVA WIND</v>
      </c>
      <c r="E1019" t="s">
        <v>52</v>
      </c>
      <c r="F1019" t="s">
        <v>28</v>
      </c>
      <c r="G1019" t="s">
        <v>29</v>
      </c>
      <c r="I1019" t="s">
        <v>1113</v>
      </c>
      <c r="J1019" s="2">
        <v>53533</v>
      </c>
      <c r="K1019" s="2">
        <v>190</v>
      </c>
      <c r="L1019" s="2">
        <v>31261</v>
      </c>
      <c r="P1019" t="s">
        <v>3680</v>
      </c>
      <c r="R1019" t="s">
        <v>32</v>
      </c>
      <c r="S1019" t="s">
        <v>33</v>
      </c>
      <c r="T1019" t="s">
        <v>34</v>
      </c>
      <c r="U1019" t="s">
        <v>35</v>
      </c>
      <c r="X1019" t="s">
        <v>34</v>
      </c>
      <c r="Y1019" t="s">
        <v>45</v>
      </c>
      <c r="Z1019" t="s">
        <v>3681</v>
      </c>
      <c r="AA1019" t="s">
        <v>38</v>
      </c>
    </row>
    <row r="1020" spans="1:27" hidden="1">
      <c r="A1020" t="s">
        <v>3682</v>
      </c>
      <c r="B1020" t="s">
        <v>3683</v>
      </c>
      <c r="C1020" t="e">
        <f>VLOOKUP(B1020,Sheet2!$A$2:$A$392,1,0)</f>
        <v>#N/A</v>
      </c>
      <c r="E1020" t="s">
        <v>52</v>
      </c>
      <c r="F1020" t="s">
        <v>28</v>
      </c>
      <c r="G1020" t="s">
        <v>29</v>
      </c>
      <c r="I1020" t="s">
        <v>244</v>
      </c>
      <c r="J1020" s="2">
        <v>47305</v>
      </c>
      <c r="K1020">
        <v>189.9</v>
      </c>
      <c r="L1020" s="2">
        <v>27306</v>
      </c>
      <c r="P1020" t="s">
        <v>3684</v>
      </c>
      <c r="R1020" t="s">
        <v>32</v>
      </c>
      <c r="S1020" t="s">
        <v>33</v>
      </c>
      <c r="T1020" t="s">
        <v>34</v>
      </c>
      <c r="U1020" t="s">
        <v>35</v>
      </c>
      <c r="X1020" t="s">
        <v>34</v>
      </c>
      <c r="Y1020" t="s">
        <v>45</v>
      </c>
      <c r="Z1020" t="s">
        <v>3685</v>
      </c>
      <c r="AA1020" t="s">
        <v>38</v>
      </c>
    </row>
    <row r="1021" spans="1:27" hidden="1">
      <c r="A1021" t="s">
        <v>3686</v>
      </c>
      <c r="B1021" t="s">
        <v>3687</v>
      </c>
      <c r="C1021" t="e">
        <f>VLOOKUP(B1021,Sheet2!$A$2:$A$392,1,0)</f>
        <v>#N/A</v>
      </c>
      <c r="E1021" t="s">
        <v>52</v>
      </c>
      <c r="F1021" t="s">
        <v>28</v>
      </c>
      <c r="G1021" t="s">
        <v>59</v>
      </c>
      <c r="J1021" s="2">
        <v>57809</v>
      </c>
      <c r="K1021" s="2">
        <v>190</v>
      </c>
      <c r="L1021" s="2">
        <v>33064</v>
      </c>
      <c r="P1021" t="s">
        <v>1693</v>
      </c>
      <c r="R1021" t="s">
        <v>2924</v>
      </c>
      <c r="S1021" t="s">
        <v>33</v>
      </c>
      <c r="U1021" t="s">
        <v>35</v>
      </c>
      <c r="W1021" t="s">
        <v>63</v>
      </c>
      <c r="X1021" t="s">
        <v>34</v>
      </c>
      <c r="Y1021" t="s">
        <v>64</v>
      </c>
      <c r="Z1021" t="s">
        <v>3688</v>
      </c>
      <c r="AA1021" t="s">
        <v>38</v>
      </c>
    </row>
    <row r="1022" spans="1:27" hidden="1">
      <c r="A1022" t="s">
        <v>3689</v>
      </c>
      <c r="B1022" t="s">
        <v>3690</v>
      </c>
      <c r="C1022" t="e">
        <f>VLOOKUP(B1022,Sheet2!$A$2:$A$392,1,0)</f>
        <v>#N/A</v>
      </c>
      <c r="E1022" t="s">
        <v>40</v>
      </c>
      <c r="F1022" t="s">
        <v>28</v>
      </c>
      <c r="G1022" t="s">
        <v>59</v>
      </c>
      <c r="I1022" t="s">
        <v>42</v>
      </c>
      <c r="J1022" s="2">
        <v>9300</v>
      </c>
      <c r="K1022" s="3">
        <v>87.78</v>
      </c>
      <c r="L1022" s="2">
        <v>3447</v>
      </c>
      <c r="O1022" t="s">
        <v>61</v>
      </c>
      <c r="P1022" t="s">
        <v>3691</v>
      </c>
      <c r="R1022" t="s">
        <v>42</v>
      </c>
      <c r="S1022" t="s">
        <v>33</v>
      </c>
      <c r="T1022" t="s">
        <v>34</v>
      </c>
      <c r="U1022" t="s">
        <v>44</v>
      </c>
      <c r="W1022" t="s">
        <v>63</v>
      </c>
      <c r="X1022" t="s">
        <v>34</v>
      </c>
      <c r="Y1022" t="s">
        <v>64</v>
      </c>
      <c r="Z1022" t="s">
        <v>3692</v>
      </c>
      <c r="AA1022" t="s">
        <v>38</v>
      </c>
    </row>
    <row r="1023" spans="1:27">
      <c r="A1023" t="s">
        <v>3693</v>
      </c>
      <c r="B1023" t="s">
        <v>3694</v>
      </c>
      <c r="C1023" t="str">
        <f>VLOOKUP(B1023,Sheet2!$A$2:$A$392,1,0)</f>
        <v>MV. SWADAYA LESTARI 1</v>
      </c>
      <c r="E1023" t="s">
        <v>52</v>
      </c>
      <c r="F1023" t="s">
        <v>41</v>
      </c>
      <c r="G1023" t="s">
        <v>59</v>
      </c>
      <c r="J1023" s="2">
        <v>9709</v>
      </c>
      <c r="K1023">
        <v>113.2</v>
      </c>
      <c r="L1023" s="2">
        <v>7104</v>
      </c>
      <c r="O1023" t="s">
        <v>61</v>
      </c>
      <c r="P1023" t="s">
        <v>3695</v>
      </c>
      <c r="R1023" t="s">
        <v>42</v>
      </c>
      <c r="S1023" t="s">
        <v>33</v>
      </c>
      <c r="U1023" t="s">
        <v>35</v>
      </c>
      <c r="W1023" t="s">
        <v>63</v>
      </c>
      <c r="X1023" t="s">
        <v>34</v>
      </c>
      <c r="Y1023" t="s">
        <v>64</v>
      </c>
      <c r="Z1023" t="s">
        <v>3696</v>
      </c>
      <c r="AA1023" t="s">
        <v>38</v>
      </c>
    </row>
    <row r="1024" spans="1:27" hidden="1">
      <c r="A1024" t="s">
        <v>3697</v>
      </c>
      <c r="B1024" t="s">
        <v>3698</v>
      </c>
      <c r="C1024" t="e">
        <f>VLOOKUP(B1024,Sheet2!$A$2:$A$392,1,0)</f>
        <v>#N/A</v>
      </c>
      <c r="E1024" t="s">
        <v>170</v>
      </c>
      <c r="G1024" t="s">
        <v>104</v>
      </c>
      <c r="I1024" t="s">
        <v>30</v>
      </c>
      <c r="J1024" s="2">
        <v>74009</v>
      </c>
      <c r="K1024" s="2">
        <v>225</v>
      </c>
      <c r="L1024" s="2">
        <v>38338</v>
      </c>
      <c r="P1024" t="s">
        <v>3699</v>
      </c>
      <c r="S1024" t="s">
        <v>33</v>
      </c>
      <c r="X1024" t="s">
        <v>34</v>
      </c>
      <c r="AA1024" t="s">
        <v>38</v>
      </c>
    </row>
    <row r="1025" spans="1:27" hidden="1">
      <c r="A1025" t="s">
        <v>3700</v>
      </c>
      <c r="B1025" t="s">
        <v>3701</v>
      </c>
      <c r="C1025" t="e">
        <f>VLOOKUP(B1025,Sheet2!$A$2:$A$392,1,0)</f>
        <v>#N/A</v>
      </c>
      <c r="E1025" t="s">
        <v>40</v>
      </c>
      <c r="G1025" t="s">
        <v>555</v>
      </c>
      <c r="I1025" t="s">
        <v>42</v>
      </c>
      <c r="J1025" s="2">
        <v>110</v>
      </c>
      <c r="K1025" s="2">
        <v>22</v>
      </c>
      <c r="L1025" s="2">
        <v>91</v>
      </c>
      <c r="P1025" t="s">
        <v>3702</v>
      </c>
      <c r="S1025" t="s">
        <v>33</v>
      </c>
      <c r="X1025" t="s">
        <v>34</v>
      </c>
      <c r="AA1025" t="s">
        <v>38</v>
      </c>
    </row>
    <row r="1026" spans="1:27" hidden="1">
      <c r="A1026" t="s">
        <v>3703</v>
      </c>
      <c r="B1026" t="s">
        <v>3704</v>
      </c>
      <c r="C1026" t="e">
        <f>VLOOKUP(B1026,Sheet2!$A$2:$A$392,1,0)</f>
        <v>#N/A</v>
      </c>
      <c r="E1026" t="s">
        <v>52</v>
      </c>
      <c r="F1026" t="s">
        <v>28</v>
      </c>
      <c r="G1026" t="s">
        <v>29</v>
      </c>
      <c r="I1026" t="s">
        <v>301</v>
      </c>
      <c r="J1026" s="2">
        <v>33773</v>
      </c>
      <c r="K1026" s="2">
        <v>175</v>
      </c>
      <c r="L1026" s="2">
        <v>19828</v>
      </c>
      <c r="P1026" t="s">
        <v>3705</v>
      </c>
      <c r="R1026" t="s">
        <v>32</v>
      </c>
      <c r="S1026" t="s">
        <v>33</v>
      </c>
      <c r="T1026" t="s">
        <v>34</v>
      </c>
      <c r="U1026" t="s">
        <v>35</v>
      </c>
      <c r="X1026" t="s">
        <v>34</v>
      </c>
      <c r="Y1026" t="s">
        <v>45</v>
      </c>
      <c r="Z1026" t="s">
        <v>3706</v>
      </c>
      <c r="AA1026" t="s">
        <v>38</v>
      </c>
    </row>
    <row r="1027" spans="1:27" hidden="1">
      <c r="A1027" t="s">
        <v>3707</v>
      </c>
      <c r="B1027" t="s">
        <v>3708</v>
      </c>
      <c r="C1027" t="e">
        <f>VLOOKUP(B1027,Sheet2!$A$2:$A$392,1,0)</f>
        <v>#N/A</v>
      </c>
      <c r="E1027" t="s">
        <v>72</v>
      </c>
      <c r="G1027" t="s">
        <v>555</v>
      </c>
      <c r="I1027" t="s">
        <v>42</v>
      </c>
      <c r="J1027" s="2">
        <v>2700</v>
      </c>
      <c r="K1027">
        <v>70.099999999999994</v>
      </c>
      <c r="L1027" s="2">
        <v>1440</v>
      </c>
      <c r="P1027" s="2">
        <v>0</v>
      </c>
      <c r="S1027" t="s">
        <v>33</v>
      </c>
      <c r="X1027" t="s">
        <v>34</v>
      </c>
      <c r="AA1027" t="s">
        <v>38</v>
      </c>
    </row>
    <row r="1028" spans="1:27" hidden="1">
      <c r="A1028" t="s">
        <v>3709</v>
      </c>
      <c r="B1028" t="s">
        <v>3710</v>
      </c>
      <c r="C1028" t="e">
        <f>VLOOKUP(B1028,Sheet2!$A$2:$A$392,1,0)</f>
        <v>#N/A</v>
      </c>
      <c r="E1028" t="s">
        <v>40</v>
      </c>
      <c r="F1028" t="s">
        <v>41</v>
      </c>
      <c r="G1028" t="s">
        <v>29</v>
      </c>
      <c r="I1028" t="s">
        <v>42</v>
      </c>
      <c r="J1028" s="2">
        <v>8000</v>
      </c>
      <c r="K1028" s="2">
        <v>91</v>
      </c>
      <c r="L1028" s="2">
        <v>3297</v>
      </c>
      <c r="P1028" t="s">
        <v>3711</v>
      </c>
      <c r="R1028" t="s">
        <v>42</v>
      </c>
      <c r="S1028" t="s">
        <v>33</v>
      </c>
      <c r="T1028" t="s">
        <v>34</v>
      </c>
      <c r="U1028" t="s">
        <v>35</v>
      </c>
      <c r="X1028" t="s">
        <v>34</v>
      </c>
      <c r="Y1028" t="s">
        <v>45</v>
      </c>
      <c r="Z1028" t="s">
        <v>3712</v>
      </c>
      <c r="AA1028" t="s">
        <v>38</v>
      </c>
    </row>
    <row r="1029" spans="1:27" hidden="1">
      <c r="A1029" t="s">
        <v>3713</v>
      </c>
      <c r="B1029" t="s">
        <v>3714</v>
      </c>
      <c r="C1029" t="e">
        <f>VLOOKUP(B1029,Sheet2!$A$2:$A$392,1,0)</f>
        <v>#N/A</v>
      </c>
      <c r="E1029" t="s">
        <v>40</v>
      </c>
      <c r="F1029" t="s">
        <v>41</v>
      </c>
      <c r="G1029" t="s">
        <v>29</v>
      </c>
      <c r="I1029" t="s">
        <v>42</v>
      </c>
      <c r="J1029" s="2">
        <v>8000</v>
      </c>
      <c r="K1029" s="2">
        <v>91</v>
      </c>
      <c r="L1029" s="2">
        <v>3309</v>
      </c>
      <c r="P1029" t="s">
        <v>1451</v>
      </c>
      <c r="R1029" t="s">
        <v>42</v>
      </c>
      <c r="S1029" t="s">
        <v>33</v>
      </c>
      <c r="T1029" t="s">
        <v>34</v>
      </c>
      <c r="U1029" t="s">
        <v>35</v>
      </c>
      <c r="X1029" t="s">
        <v>34</v>
      </c>
      <c r="Y1029" t="s">
        <v>45</v>
      </c>
      <c r="Z1029" t="s">
        <v>3715</v>
      </c>
      <c r="AA1029" t="s">
        <v>38</v>
      </c>
    </row>
    <row r="1030" spans="1:27">
      <c r="A1030" t="s">
        <v>3716</v>
      </c>
      <c r="B1030" t="s">
        <v>3717</v>
      </c>
      <c r="C1030" t="str">
        <f>VLOOKUP(B1030,Sheet2!$A$2:$A$392,1,0)</f>
        <v>TB. GONAYA XXIII / BG. MASADA 16</v>
      </c>
      <c r="E1030" t="s">
        <v>40</v>
      </c>
      <c r="F1030" t="s">
        <v>41</v>
      </c>
      <c r="G1030" t="s">
        <v>29</v>
      </c>
      <c r="I1030" t="s">
        <v>42</v>
      </c>
      <c r="J1030" s="2">
        <v>8000</v>
      </c>
      <c r="K1030" s="2">
        <v>91</v>
      </c>
      <c r="L1030" s="2">
        <v>3483</v>
      </c>
      <c r="P1030" t="s">
        <v>3718</v>
      </c>
      <c r="R1030" t="s">
        <v>42</v>
      </c>
      <c r="S1030" t="s">
        <v>33</v>
      </c>
      <c r="T1030" t="s">
        <v>34</v>
      </c>
      <c r="U1030" t="s">
        <v>44</v>
      </c>
      <c r="X1030" t="s">
        <v>34</v>
      </c>
      <c r="Y1030" t="s">
        <v>45</v>
      </c>
      <c r="Z1030" t="s">
        <v>3719</v>
      </c>
      <c r="AA1030" t="s">
        <v>38</v>
      </c>
    </row>
    <row r="1031" spans="1:27" hidden="1">
      <c r="A1031" t="s">
        <v>3720</v>
      </c>
      <c r="B1031" t="s">
        <v>3721</v>
      </c>
      <c r="C1031" t="e">
        <f>VLOOKUP(B1031,Sheet2!$A$2:$A$392,1,0)</f>
        <v>#N/A</v>
      </c>
      <c r="E1031" t="s">
        <v>72</v>
      </c>
      <c r="G1031" t="s">
        <v>555</v>
      </c>
      <c r="I1031" t="s">
        <v>42</v>
      </c>
      <c r="J1031" s="2">
        <v>1200</v>
      </c>
      <c r="K1031" s="3">
        <v>54.86</v>
      </c>
      <c r="L1031" s="2">
        <v>747</v>
      </c>
      <c r="P1031" s="2">
        <v>0</v>
      </c>
      <c r="S1031" t="s">
        <v>33</v>
      </c>
      <c r="X1031" t="s">
        <v>34</v>
      </c>
      <c r="AA1031" t="s">
        <v>38</v>
      </c>
    </row>
    <row r="1032" spans="1:27" hidden="1">
      <c r="A1032" t="s">
        <v>3722</v>
      </c>
      <c r="B1032" t="s">
        <v>3723</v>
      </c>
      <c r="C1032" t="e">
        <f>VLOOKUP(B1032,Sheet2!$A$2:$A$392,1,0)</f>
        <v>#N/A</v>
      </c>
      <c r="E1032" t="s">
        <v>40</v>
      </c>
      <c r="F1032" t="s">
        <v>41</v>
      </c>
      <c r="G1032" t="s">
        <v>59</v>
      </c>
      <c r="J1032" s="2">
        <v>7800</v>
      </c>
      <c r="K1032" s="3">
        <v>87.78</v>
      </c>
      <c r="L1032" s="2">
        <v>3619</v>
      </c>
      <c r="O1032" t="s">
        <v>482</v>
      </c>
      <c r="P1032" t="s">
        <v>3724</v>
      </c>
      <c r="R1032" t="s">
        <v>42</v>
      </c>
      <c r="S1032" t="s">
        <v>33</v>
      </c>
      <c r="U1032" t="s">
        <v>44</v>
      </c>
      <c r="W1032" t="s">
        <v>63</v>
      </c>
      <c r="X1032" t="s">
        <v>34</v>
      </c>
      <c r="Y1032" t="s">
        <v>64</v>
      </c>
      <c r="Z1032" t="s">
        <v>3725</v>
      </c>
      <c r="AA1032" t="s">
        <v>38</v>
      </c>
    </row>
    <row r="1033" spans="1:27" hidden="1">
      <c r="A1033" t="s">
        <v>3726</v>
      </c>
      <c r="B1033" t="s">
        <v>3727</v>
      </c>
      <c r="C1033" t="e">
        <f>VLOOKUP(B1033,Sheet2!$A$2:$A$392,1,0)</f>
        <v>#N/A</v>
      </c>
      <c r="E1033" t="s">
        <v>40</v>
      </c>
      <c r="G1033" t="s">
        <v>555</v>
      </c>
      <c r="I1033" t="s">
        <v>42</v>
      </c>
      <c r="J1033" s="2">
        <v>210</v>
      </c>
      <c r="K1033">
        <v>23.4</v>
      </c>
      <c r="L1033" s="2">
        <v>142</v>
      </c>
      <c r="P1033" t="s">
        <v>3728</v>
      </c>
      <c r="S1033" t="s">
        <v>33</v>
      </c>
      <c r="X1033" t="s">
        <v>34</v>
      </c>
      <c r="AA1033" t="s">
        <v>38</v>
      </c>
    </row>
    <row r="1034" spans="1:27" hidden="1">
      <c r="A1034" t="s">
        <v>3729</v>
      </c>
      <c r="B1034" t="s">
        <v>3730</v>
      </c>
      <c r="C1034" t="e">
        <f>VLOOKUP(B1034,Sheet2!$A$2:$A$392,1,0)</f>
        <v>#N/A</v>
      </c>
      <c r="E1034" t="s">
        <v>40</v>
      </c>
      <c r="F1034" t="s">
        <v>41</v>
      </c>
      <c r="G1034" t="s">
        <v>29</v>
      </c>
      <c r="I1034" t="s">
        <v>42</v>
      </c>
      <c r="J1034" s="2">
        <v>8000</v>
      </c>
      <c r="K1034" s="2">
        <v>91</v>
      </c>
      <c r="L1034" s="2">
        <v>3377</v>
      </c>
      <c r="P1034" t="s">
        <v>1742</v>
      </c>
      <c r="R1034" t="s">
        <v>42</v>
      </c>
      <c r="S1034" t="s">
        <v>33</v>
      </c>
      <c r="T1034" t="s">
        <v>34</v>
      </c>
      <c r="U1034" t="s">
        <v>35</v>
      </c>
      <c r="X1034" t="s">
        <v>34</v>
      </c>
      <c r="Y1034" t="s">
        <v>45</v>
      </c>
      <c r="Z1034" t="s">
        <v>3731</v>
      </c>
      <c r="AA1034" t="s">
        <v>38</v>
      </c>
    </row>
    <row r="1035" spans="1:27" hidden="1">
      <c r="A1035" t="s">
        <v>3732</v>
      </c>
      <c r="B1035" t="s">
        <v>3733</v>
      </c>
      <c r="C1035" t="e">
        <f>VLOOKUP(B1035,Sheet2!$A$2:$A$392,1,0)</f>
        <v>#N/A</v>
      </c>
      <c r="E1035" t="s">
        <v>170</v>
      </c>
      <c r="G1035" t="s">
        <v>2711</v>
      </c>
      <c r="I1035" t="s">
        <v>30</v>
      </c>
      <c r="J1035" s="2">
        <v>81917</v>
      </c>
      <c r="K1035" s="3">
        <v>228.99</v>
      </c>
      <c r="L1035" s="2">
        <v>43007</v>
      </c>
      <c r="P1035" t="s">
        <v>3734</v>
      </c>
      <c r="S1035" t="s">
        <v>33</v>
      </c>
      <c r="X1035" t="s">
        <v>34</v>
      </c>
      <c r="AA1035" t="s">
        <v>38</v>
      </c>
    </row>
    <row r="1036" spans="1:27" hidden="1">
      <c r="A1036" t="s">
        <v>3735</v>
      </c>
      <c r="B1036" t="s">
        <v>3736</v>
      </c>
      <c r="C1036" t="e">
        <f>VLOOKUP(B1036,Sheet2!$A$2:$A$392,1,0)</f>
        <v>#N/A</v>
      </c>
      <c r="E1036" t="s">
        <v>52</v>
      </c>
      <c r="F1036" t="s">
        <v>28</v>
      </c>
      <c r="G1036" t="s">
        <v>59</v>
      </c>
      <c r="J1036" s="2">
        <v>50236</v>
      </c>
      <c r="K1036" s="2">
        <v>189</v>
      </c>
      <c r="L1036" s="2">
        <v>28021</v>
      </c>
      <c r="M1036" s="2">
        <v>9150</v>
      </c>
      <c r="N1036" s="2">
        <v>11</v>
      </c>
      <c r="O1036" t="s">
        <v>61</v>
      </c>
      <c r="P1036" t="s">
        <v>3737</v>
      </c>
      <c r="R1036" t="s">
        <v>32</v>
      </c>
      <c r="S1036" t="s">
        <v>33</v>
      </c>
      <c r="U1036" t="s">
        <v>35</v>
      </c>
      <c r="X1036" t="s">
        <v>147</v>
      </c>
      <c r="Y1036" t="s">
        <v>45</v>
      </c>
      <c r="Z1036" t="s">
        <v>3738</v>
      </c>
      <c r="AA1036" t="s">
        <v>38</v>
      </c>
    </row>
    <row r="1037" spans="1:27" hidden="1">
      <c r="A1037" t="s">
        <v>3739</v>
      </c>
      <c r="B1037" t="s">
        <v>3740</v>
      </c>
      <c r="C1037" t="e">
        <f>VLOOKUP(B1037,Sheet2!$A$2:$A$392,1,0)</f>
        <v>#N/A</v>
      </c>
      <c r="E1037" t="s">
        <v>52</v>
      </c>
      <c r="F1037" t="s">
        <v>28</v>
      </c>
      <c r="G1037" t="s">
        <v>151</v>
      </c>
      <c r="J1037" s="2">
        <v>47462</v>
      </c>
      <c r="K1037" s="2">
        <v>183</v>
      </c>
      <c r="L1037" s="2">
        <v>25557</v>
      </c>
      <c r="M1037" s="2">
        <v>8781</v>
      </c>
      <c r="N1037" s="2">
        <v>11</v>
      </c>
      <c r="O1037" t="s">
        <v>152</v>
      </c>
      <c r="P1037" t="s">
        <v>3741</v>
      </c>
      <c r="R1037" t="s">
        <v>32</v>
      </c>
      <c r="S1037" t="s">
        <v>33</v>
      </c>
      <c r="U1037" t="s">
        <v>35</v>
      </c>
      <c r="V1037" s="2">
        <v>5</v>
      </c>
      <c r="X1037" t="s">
        <v>34</v>
      </c>
      <c r="Y1037" t="s">
        <v>154</v>
      </c>
      <c r="Z1037" t="s">
        <v>3742</v>
      </c>
      <c r="AA1037" t="s">
        <v>38</v>
      </c>
    </row>
    <row r="1038" spans="1:27" hidden="1">
      <c r="A1038" t="s">
        <v>3743</v>
      </c>
      <c r="B1038" t="s">
        <v>3744</v>
      </c>
      <c r="C1038" t="e">
        <f>VLOOKUP(B1038,Sheet2!$A$2:$A$392,1,0)</f>
        <v>#N/A</v>
      </c>
      <c r="E1038" t="s">
        <v>170</v>
      </c>
      <c r="G1038" t="s">
        <v>2886</v>
      </c>
      <c r="I1038" t="s">
        <v>301</v>
      </c>
      <c r="J1038" s="2">
        <v>32526</v>
      </c>
      <c r="K1038">
        <v>177.4</v>
      </c>
      <c r="L1038" s="2">
        <v>20198</v>
      </c>
      <c r="P1038" t="s">
        <v>3745</v>
      </c>
      <c r="S1038" t="s">
        <v>33</v>
      </c>
      <c r="X1038" t="s">
        <v>34</v>
      </c>
      <c r="AA1038" t="s">
        <v>38</v>
      </c>
    </row>
    <row r="1039" spans="1:27" hidden="1">
      <c r="A1039" t="s">
        <v>3746</v>
      </c>
      <c r="B1039" t="s">
        <v>3747</v>
      </c>
      <c r="C1039" t="e">
        <f>VLOOKUP(B1039,Sheet2!$A$2:$A$392,1,0)</f>
        <v>#N/A</v>
      </c>
      <c r="E1039" t="s">
        <v>170</v>
      </c>
      <c r="G1039" t="s">
        <v>104</v>
      </c>
      <c r="I1039" t="s">
        <v>42</v>
      </c>
      <c r="J1039" s="2">
        <v>52239</v>
      </c>
      <c r="K1039" s="3">
        <v>189.99</v>
      </c>
      <c r="L1039" s="2">
        <v>30011</v>
      </c>
      <c r="P1039" t="s">
        <v>3748</v>
      </c>
      <c r="S1039" t="s">
        <v>33</v>
      </c>
      <c r="X1039" t="s">
        <v>34</v>
      </c>
      <c r="AA1039" t="s">
        <v>38</v>
      </c>
    </row>
    <row r="1040" spans="1:27" hidden="1">
      <c r="A1040" t="s">
        <v>3749</v>
      </c>
      <c r="B1040" t="s">
        <v>3710</v>
      </c>
      <c r="C1040" t="e">
        <f>VLOOKUP(B1040,Sheet2!$A$2:$A$392,1,0)</f>
        <v>#N/A</v>
      </c>
      <c r="E1040" t="s">
        <v>40</v>
      </c>
      <c r="F1040" t="s">
        <v>41</v>
      </c>
      <c r="G1040" t="s">
        <v>29</v>
      </c>
      <c r="I1040" t="s">
        <v>42</v>
      </c>
      <c r="J1040" s="2">
        <v>8000</v>
      </c>
      <c r="K1040" s="2">
        <v>91</v>
      </c>
      <c r="L1040" s="2">
        <v>3297</v>
      </c>
      <c r="P1040" t="s">
        <v>3711</v>
      </c>
      <c r="R1040" t="s">
        <v>42</v>
      </c>
      <c r="S1040" t="s">
        <v>33</v>
      </c>
      <c r="T1040" t="s">
        <v>34</v>
      </c>
      <c r="U1040" t="s">
        <v>35</v>
      </c>
      <c r="X1040" t="s">
        <v>34</v>
      </c>
      <c r="Y1040" t="s">
        <v>45</v>
      </c>
      <c r="Z1040" t="s">
        <v>3712</v>
      </c>
      <c r="AA1040" t="s">
        <v>38</v>
      </c>
    </row>
    <row r="1041" spans="1:27" hidden="1">
      <c r="A1041" t="s">
        <v>3750</v>
      </c>
      <c r="B1041" t="s">
        <v>3751</v>
      </c>
      <c r="C1041" t="e">
        <f>VLOOKUP(B1041,Sheet2!$A$2:$A$392,1,0)</f>
        <v>#N/A</v>
      </c>
      <c r="E1041" t="s">
        <v>40</v>
      </c>
      <c r="F1041" t="s">
        <v>41</v>
      </c>
      <c r="G1041" t="s">
        <v>29</v>
      </c>
      <c r="J1041" s="2">
        <v>7765</v>
      </c>
      <c r="K1041" s="3">
        <v>87.78</v>
      </c>
      <c r="L1041" s="2">
        <v>3357</v>
      </c>
      <c r="O1041" t="s">
        <v>482</v>
      </c>
      <c r="P1041" t="s">
        <v>3752</v>
      </c>
      <c r="Q1041" t="s">
        <v>34</v>
      </c>
      <c r="R1041" t="s">
        <v>42</v>
      </c>
      <c r="S1041" t="s">
        <v>33</v>
      </c>
      <c r="T1041" t="s">
        <v>34</v>
      </c>
      <c r="U1041" t="s">
        <v>44</v>
      </c>
      <c r="X1041" t="s">
        <v>34</v>
      </c>
      <c r="Y1041" t="s">
        <v>45</v>
      </c>
      <c r="Z1041" t="s">
        <v>3753</v>
      </c>
      <c r="AA1041" t="s">
        <v>38</v>
      </c>
    </row>
    <row r="1042" spans="1:27" hidden="1">
      <c r="A1042" t="s">
        <v>3754</v>
      </c>
      <c r="B1042" t="s">
        <v>3755</v>
      </c>
      <c r="C1042" t="e">
        <f>VLOOKUP(B1042,Sheet2!$A$2:$A$392,1,0)</f>
        <v>#N/A</v>
      </c>
      <c r="E1042" t="s">
        <v>40</v>
      </c>
      <c r="F1042" t="s">
        <v>41</v>
      </c>
      <c r="G1042" t="s">
        <v>29</v>
      </c>
      <c r="I1042" t="s">
        <v>42</v>
      </c>
      <c r="J1042" s="2">
        <v>8000</v>
      </c>
      <c r="K1042" s="2">
        <v>91</v>
      </c>
      <c r="L1042" s="2">
        <v>3306</v>
      </c>
      <c r="P1042" t="s">
        <v>3756</v>
      </c>
      <c r="R1042" t="s">
        <v>42</v>
      </c>
      <c r="S1042" t="s">
        <v>33</v>
      </c>
      <c r="T1042" t="s">
        <v>34</v>
      </c>
      <c r="U1042" t="s">
        <v>35</v>
      </c>
      <c r="X1042" t="s">
        <v>34</v>
      </c>
      <c r="Y1042" t="s">
        <v>45</v>
      </c>
      <c r="Z1042" t="s">
        <v>3757</v>
      </c>
      <c r="AA1042" t="s">
        <v>38</v>
      </c>
    </row>
    <row r="1043" spans="1:27" hidden="1">
      <c r="A1043" t="s">
        <v>3758</v>
      </c>
      <c r="B1043" t="s">
        <v>3759</v>
      </c>
      <c r="C1043" t="e">
        <f>VLOOKUP(B1043,Sheet2!$A$2:$A$392,1,0)</f>
        <v>#N/A</v>
      </c>
      <c r="E1043" t="s">
        <v>170</v>
      </c>
      <c r="G1043" t="s">
        <v>2886</v>
      </c>
      <c r="I1043" t="s">
        <v>1113</v>
      </c>
      <c r="J1043" s="2">
        <v>93327</v>
      </c>
      <c r="K1043">
        <v>229.2</v>
      </c>
      <c r="L1043" s="2">
        <v>51265</v>
      </c>
      <c r="P1043" t="s">
        <v>3760</v>
      </c>
      <c r="S1043" t="s">
        <v>33</v>
      </c>
      <c r="X1043" t="s">
        <v>34</v>
      </c>
      <c r="AA1043" t="s">
        <v>38</v>
      </c>
    </row>
    <row r="1044" spans="1:27" hidden="1">
      <c r="A1044" t="s">
        <v>3761</v>
      </c>
      <c r="B1044" t="s">
        <v>3762</v>
      </c>
      <c r="C1044" t="e">
        <f>VLOOKUP(B1044,Sheet2!$A$2:$A$392,1,0)</f>
        <v>#N/A</v>
      </c>
      <c r="E1044" t="s">
        <v>52</v>
      </c>
      <c r="F1044" t="s">
        <v>28</v>
      </c>
      <c r="G1044" t="s">
        <v>59</v>
      </c>
      <c r="I1044" t="s">
        <v>1113</v>
      </c>
      <c r="J1044" s="2">
        <v>61250</v>
      </c>
      <c r="K1044" s="2">
        <v>199</v>
      </c>
      <c r="L1044" s="2">
        <v>34810</v>
      </c>
      <c r="M1044" s="2">
        <v>8260</v>
      </c>
      <c r="N1044" s="2">
        <v>13</v>
      </c>
      <c r="O1044" t="s">
        <v>61</v>
      </c>
      <c r="P1044" t="s">
        <v>3763</v>
      </c>
      <c r="R1044" t="s">
        <v>32</v>
      </c>
      <c r="S1044" t="s">
        <v>33</v>
      </c>
      <c r="T1044" t="s">
        <v>34</v>
      </c>
      <c r="U1044" t="s">
        <v>35</v>
      </c>
      <c r="W1044" t="s">
        <v>63</v>
      </c>
      <c r="X1044" t="s">
        <v>34</v>
      </c>
      <c r="Y1044" t="s">
        <v>64</v>
      </c>
      <c r="Z1044" t="s">
        <v>3764</v>
      </c>
      <c r="AA1044" t="s">
        <v>38</v>
      </c>
    </row>
    <row r="1045" spans="1:27">
      <c r="A1045" t="s">
        <v>3765</v>
      </c>
      <c r="B1045" t="s">
        <v>3766</v>
      </c>
      <c r="C1045" t="str">
        <f>VLOOKUP(B1045,Sheet2!$A$2:$A$392,1,0)</f>
        <v>MV. SHUN DA</v>
      </c>
      <c r="E1045" t="s">
        <v>52</v>
      </c>
      <c r="F1045" t="s">
        <v>28</v>
      </c>
      <c r="G1045" t="s">
        <v>29</v>
      </c>
      <c r="I1045" t="s">
        <v>301</v>
      </c>
      <c r="J1045" s="2">
        <v>48913</v>
      </c>
      <c r="K1045" s="3">
        <v>189.96</v>
      </c>
      <c r="L1045" s="2">
        <v>28073</v>
      </c>
      <c r="P1045" t="s">
        <v>2841</v>
      </c>
      <c r="R1045" t="s">
        <v>32</v>
      </c>
      <c r="S1045" t="s">
        <v>33</v>
      </c>
      <c r="T1045" t="s">
        <v>34</v>
      </c>
      <c r="U1045" t="s">
        <v>35</v>
      </c>
      <c r="X1045" t="s">
        <v>34</v>
      </c>
      <c r="Y1045" t="s">
        <v>45</v>
      </c>
      <c r="Z1045" t="s">
        <v>3767</v>
      </c>
      <c r="AA1045" t="s">
        <v>38</v>
      </c>
    </row>
    <row r="1046" spans="1:27" hidden="1">
      <c r="A1046" t="s">
        <v>3768</v>
      </c>
      <c r="B1046" t="s">
        <v>3769</v>
      </c>
      <c r="C1046" t="e">
        <f>VLOOKUP(B1046,Sheet2!$A$2:$A$392,1,0)</f>
        <v>#N/A</v>
      </c>
      <c r="E1046" t="s">
        <v>52</v>
      </c>
      <c r="F1046" t="s">
        <v>28</v>
      </c>
      <c r="G1046" t="s">
        <v>29</v>
      </c>
      <c r="I1046" t="s">
        <v>1113</v>
      </c>
      <c r="J1046" s="2">
        <v>39181</v>
      </c>
      <c r="K1046" s="3">
        <v>179.99</v>
      </c>
      <c r="L1046" s="2">
        <v>24785</v>
      </c>
      <c r="P1046" t="s">
        <v>3770</v>
      </c>
      <c r="R1046" t="s">
        <v>581</v>
      </c>
      <c r="S1046" t="s">
        <v>33</v>
      </c>
      <c r="T1046" t="s">
        <v>34</v>
      </c>
      <c r="U1046" t="s">
        <v>35</v>
      </c>
      <c r="W1046" t="s">
        <v>165</v>
      </c>
      <c r="X1046" t="s">
        <v>34</v>
      </c>
      <c r="Y1046" t="s">
        <v>245</v>
      </c>
      <c r="Z1046" t="s">
        <v>1473</v>
      </c>
      <c r="AA1046" t="s">
        <v>38</v>
      </c>
    </row>
    <row r="1047" spans="1:27" hidden="1">
      <c r="A1047" t="s">
        <v>3771</v>
      </c>
      <c r="B1047" t="s">
        <v>3772</v>
      </c>
      <c r="C1047" t="e">
        <f>VLOOKUP(B1047,Sheet2!$A$2:$A$392,1,0)</f>
        <v>#N/A</v>
      </c>
      <c r="E1047" t="s">
        <v>170</v>
      </c>
      <c r="G1047" t="s">
        <v>115</v>
      </c>
      <c r="I1047" t="s">
        <v>2635</v>
      </c>
      <c r="J1047" s="2">
        <v>149990</v>
      </c>
      <c r="K1047" s="2">
        <v>274</v>
      </c>
      <c r="L1047" s="2">
        <v>83724</v>
      </c>
      <c r="P1047" t="s">
        <v>3773</v>
      </c>
      <c r="S1047" t="s">
        <v>33</v>
      </c>
      <c r="X1047" t="s">
        <v>34</v>
      </c>
      <c r="AA1047" t="s">
        <v>38</v>
      </c>
    </row>
    <row r="1048" spans="1:27" hidden="1">
      <c r="A1048" t="s">
        <v>3774</v>
      </c>
      <c r="B1048" t="s">
        <v>3775</v>
      </c>
      <c r="C1048" t="e">
        <f>VLOOKUP(B1048,Sheet2!$A$2:$A$392,1,0)</f>
        <v>#N/A</v>
      </c>
      <c r="E1048" t="s">
        <v>27</v>
      </c>
      <c r="F1048" t="s">
        <v>41</v>
      </c>
      <c r="G1048" t="s">
        <v>29</v>
      </c>
      <c r="I1048" t="s">
        <v>42</v>
      </c>
      <c r="J1048" s="2">
        <v>650</v>
      </c>
      <c r="K1048" s="3">
        <v>49.95</v>
      </c>
      <c r="L1048" s="2">
        <v>496</v>
      </c>
      <c r="P1048" t="s">
        <v>3774</v>
      </c>
      <c r="R1048" t="s">
        <v>42</v>
      </c>
      <c r="S1048" t="s">
        <v>33</v>
      </c>
      <c r="T1048" t="s">
        <v>34</v>
      </c>
      <c r="U1048" t="s">
        <v>35</v>
      </c>
      <c r="X1048" t="s">
        <v>34</v>
      </c>
      <c r="Y1048" t="s">
        <v>45</v>
      </c>
      <c r="Z1048" t="s">
        <v>3776</v>
      </c>
      <c r="AA1048" t="s">
        <v>38</v>
      </c>
    </row>
    <row r="1049" spans="1:27" hidden="1">
      <c r="A1049" t="s">
        <v>3777</v>
      </c>
      <c r="B1049" t="s">
        <v>3778</v>
      </c>
      <c r="C1049" t="e">
        <f>VLOOKUP(B1049,Sheet2!$A$2:$A$392,1,0)</f>
        <v>#N/A</v>
      </c>
      <c r="E1049" t="s">
        <v>27</v>
      </c>
      <c r="F1049" t="s">
        <v>41</v>
      </c>
      <c r="G1049" t="s">
        <v>29</v>
      </c>
      <c r="I1049" t="s">
        <v>42</v>
      </c>
      <c r="J1049" s="2">
        <v>2055</v>
      </c>
      <c r="K1049" s="2">
        <v>72</v>
      </c>
      <c r="L1049" s="2">
        <v>1342</v>
      </c>
      <c r="M1049" s="2">
        <v>1650</v>
      </c>
      <c r="N1049" s="2">
        <v>5</v>
      </c>
      <c r="P1049" t="s">
        <v>3779</v>
      </c>
      <c r="R1049" t="s">
        <v>32</v>
      </c>
      <c r="S1049" t="s">
        <v>33</v>
      </c>
      <c r="T1049" t="s">
        <v>34</v>
      </c>
      <c r="U1049" t="s">
        <v>35</v>
      </c>
      <c r="X1049" t="s">
        <v>34</v>
      </c>
      <c r="Y1049" t="s">
        <v>45</v>
      </c>
      <c r="Z1049" t="s">
        <v>3780</v>
      </c>
      <c r="AA1049" t="s">
        <v>38</v>
      </c>
    </row>
    <row r="1050" spans="1:27" hidden="1">
      <c r="A1050" t="s">
        <v>3781</v>
      </c>
      <c r="B1050" t="s">
        <v>3782</v>
      </c>
      <c r="C1050" t="e">
        <f>VLOOKUP(B1050,Sheet2!$A$2:$A$392,1,0)</f>
        <v>#N/A</v>
      </c>
      <c r="E1050" t="s">
        <v>170</v>
      </c>
      <c r="I1050" t="s">
        <v>42</v>
      </c>
      <c r="J1050" s="2">
        <v>19997</v>
      </c>
      <c r="K1050" s="2">
        <v>159</v>
      </c>
      <c r="L1050" s="2">
        <v>13067</v>
      </c>
      <c r="P1050" t="s">
        <v>3783</v>
      </c>
      <c r="S1050" t="s">
        <v>33</v>
      </c>
      <c r="X1050" t="s">
        <v>34</v>
      </c>
      <c r="AA1050" t="s">
        <v>38</v>
      </c>
    </row>
    <row r="1051" spans="1:27" hidden="1">
      <c r="A1051" t="s">
        <v>3784</v>
      </c>
      <c r="B1051" t="s">
        <v>3785</v>
      </c>
      <c r="C1051" t="e">
        <f>VLOOKUP(B1051,Sheet2!$A$2:$A$392,1,0)</f>
        <v>#N/A</v>
      </c>
      <c r="E1051" t="s">
        <v>52</v>
      </c>
      <c r="F1051" t="s">
        <v>28</v>
      </c>
      <c r="G1051" t="s">
        <v>29</v>
      </c>
      <c r="I1051" t="s">
        <v>3786</v>
      </c>
      <c r="J1051" s="2">
        <v>32467</v>
      </c>
      <c r="K1051">
        <v>177.4</v>
      </c>
      <c r="L1051" s="2">
        <v>20218</v>
      </c>
      <c r="P1051" t="s">
        <v>3787</v>
      </c>
      <c r="R1051" t="s">
        <v>581</v>
      </c>
      <c r="S1051" t="s">
        <v>33</v>
      </c>
      <c r="T1051" t="s">
        <v>34</v>
      </c>
      <c r="U1051" t="s">
        <v>35</v>
      </c>
      <c r="X1051" t="s">
        <v>34</v>
      </c>
      <c r="Y1051" t="s">
        <v>45</v>
      </c>
      <c r="Z1051" t="s">
        <v>3788</v>
      </c>
      <c r="AA1051" t="s">
        <v>38</v>
      </c>
    </row>
    <row r="1052" spans="1:27" hidden="1">
      <c r="A1052" t="s">
        <v>3789</v>
      </c>
      <c r="B1052" t="s">
        <v>3790</v>
      </c>
      <c r="C1052" t="e">
        <f>VLOOKUP(B1052,Sheet2!$A$2:$A$392,1,0)</f>
        <v>#N/A</v>
      </c>
      <c r="E1052" t="s">
        <v>170</v>
      </c>
      <c r="G1052" t="s">
        <v>629</v>
      </c>
      <c r="I1052" t="s">
        <v>30</v>
      </c>
      <c r="J1052" s="2">
        <v>46334</v>
      </c>
      <c r="K1052" s="3">
        <v>183.06</v>
      </c>
      <c r="L1052" s="2">
        <v>29375</v>
      </c>
      <c r="P1052" t="s">
        <v>3791</v>
      </c>
      <c r="S1052" t="s">
        <v>33</v>
      </c>
      <c r="X1052" t="s">
        <v>34</v>
      </c>
      <c r="AA1052" t="s">
        <v>38</v>
      </c>
    </row>
    <row r="1053" spans="1:27" hidden="1">
      <c r="A1053" t="s">
        <v>3792</v>
      </c>
      <c r="B1053" t="s">
        <v>3793</v>
      </c>
      <c r="C1053" t="e">
        <f>VLOOKUP(B1053,Sheet2!$A$2:$A$392,1,0)</f>
        <v>#N/A</v>
      </c>
      <c r="E1053" t="s">
        <v>52</v>
      </c>
      <c r="F1053" t="s">
        <v>28</v>
      </c>
      <c r="G1053" t="s">
        <v>29</v>
      </c>
      <c r="I1053" t="s">
        <v>30</v>
      </c>
      <c r="J1053" s="2">
        <v>33963</v>
      </c>
      <c r="K1053" s="3">
        <v>179.97</v>
      </c>
      <c r="L1053" s="2">
        <v>21526</v>
      </c>
      <c r="P1053" t="s">
        <v>3794</v>
      </c>
      <c r="R1053" t="s">
        <v>32</v>
      </c>
      <c r="S1053" t="s">
        <v>33</v>
      </c>
      <c r="T1053" t="s">
        <v>34</v>
      </c>
      <c r="U1053" t="s">
        <v>35</v>
      </c>
      <c r="X1053" t="s">
        <v>34</v>
      </c>
      <c r="Y1053" t="s">
        <v>378</v>
      </c>
      <c r="Z1053" t="s">
        <v>3795</v>
      </c>
      <c r="AA1053" t="s">
        <v>38</v>
      </c>
    </row>
    <row r="1054" spans="1:27" hidden="1">
      <c r="A1054" t="s">
        <v>3796</v>
      </c>
      <c r="B1054" t="s">
        <v>3797</v>
      </c>
      <c r="C1054" t="e">
        <f>VLOOKUP(B1054,Sheet2!$A$2:$A$392,1,0)</f>
        <v>#N/A</v>
      </c>
      <c r="E1054" t="s">
        <v>170</v>
      </c>
      <c r="G1054" t="s">
        <v>2886</v>
      </c>
      <c r="I1054" t="s">
        <v>1113</v>
      </c>
      <c r="J1054" s="2">
        <v>81174</v>
      </c>
      <c r="K1054" s="2">
        <v>229</v>
      </c>
      <c r="L1054" s="2">
        <v>44069</v>
      </c>
      <c r="P1054" t="s">
        <v>3798</v>
      </c>
      <c r="S1054" t="s">
        <v>33</v>
      </c>
      <c r="X1054" t="s">
        <v>34</v>
      </c>
      <c r="AA1054" t="s">
        <v>38</v>
      </c>
    </row>
    <row r="1055" spans="1:27" hidden="1">
      <c r="A1055" t="s">
        <v>3799</v>
      </c>
      <c r="B1055" t="s">
        <v>3800</v>
      </c>
      <c r="C1055" t="e">
        <f>VLOOKUP(B1055,Sheet2!$A$2:$A$392,1,0)</f>
        <v>#N/A</v>
      </c>
      <c r="E1055" t="s">
        <v>1063</v>
      </c>
      <c r="F1055" t="s">
        <v>41</v>
      </c>
      <c r="G1055" t="s">
        <v>202</v>
      </c>
      <c r="I1055" t="s">
        <v>42</v>
      </c>
      <c r="J1055" s="2">
        <v>3556</v>
      </c>
      <c r="K1055" s="2">
        <v>120</v>
      </c>
      <c r="L1055" s="2">
        <v>9935</v>
      </c>
      <c r="P1055" t="s">
        <v>3801</v>
      </c>
      <c r="R1055" t="s">
        <v>42</v>
      </c>
      <c r="S1055" t="s">
        <v>33</v>
      </c>
      <c r="T1055" t="s">
        <v>34</v>
      </c>
      <c r="X1055" t="s">
        <v>34</v>
      </c>
      <c r="Y1055" t="s">
        <v>117</v>
      </c>
      <c r="Z1055" t="s">
        <v>3802</v>
      </c>
      <c r="AA1055" t="s">
        <v>38</v>
      </c>
    </row>
    <row r="1056" spans="1:27" hidden="1">
      <c r="A1056" t="s">
        <v>3803</v>
      </c>
      <c r="B1056" t="s">
        <v>3804</v>
      </c>
      <c r="C1056" t="e">
        <f>VLOOKUP(B1056,Sheet2!$A$2:$A$392,1,0)</f>
        <v>#N/A</v>
      </c>
      <c r="E1056" t="s">
        <v>196</v>
      </c>
      <c r="F1056" t="s">
        <v>28</v>
      </c>
      <c r="G1056" t="s">
        <v>907</v>
      </c>
      <c r="I1056" t="s">
        <v>42</v>
      </c>
      <c r="J1056">
        <v>9.6489999999999991</v>
      </c>
      <c r="K1056">
        <v>109.9</v>
      </c>
      <c r="L1056">
        <v>6.9429999999999996</v>
      </c>
      <c r="O1056" t="s">
        <v>3805</v>
      </c>
      <c r="P1056" t="s">
        <v>3806</v>
      </c>
      <c r="R1056" t="s">
        <v>32</v>
      </c>
      <c r="S1056" t="s">
        <v>33</v>
      </c>
      <c r="T1056" t="s">
        <v>34</v>
      </c>
      <c r="U1056" t="s">
        <v>35</v>
      </c>
      <c r="X1056" t="s">
        <v>34</v>
      </c>
      <c r="Y1056" t="s">
        <v>45</v>
      </c>
      <c r="Z1056" t="s">
        <v>3807</v>
      </c>
      <c r="AA1056" t="s">
        <v>38</v>
      </c>
    </row>
    <row r="1057" spans="1:27" hidden="1">
      <c r="A1057" t="s">
        <v>3808</v>
      </c>
      <c r="B1057" t="s">
        <v>3809</v>
      </c>
      <c r="C1057" t="e">
        <f>VLOOKUP(B1057,Sheet2!$A$2:$A$392,1,0)</f>
        <v>#N/A</v>
      </c>
      <c r="E1057" t="s">
        <v>170</v>
      </c>
      <c r="I1057" t="s">
        <v>42</v>
      </c>
      <c r="J1057" s="2">
        <v>30561</v>
      </c>
      <c r="K1057" s="3">
        <v>174.38</v>
      </c>
      <c r="L1057" s="2">
        <v>20116</v>
      </c>
      <c r="P1057" t="s">
        <v>3810</v>
      </c>
      <c r="S1057" t="s">
        <v>33</v>
      </c>
      <c r="X1057" t="s">
        <v>34</v>
      </c>
      <c r="AA1057" t="s">
        <v>38</v>
      </c>
    </row>
    <row r="1058" spans="1:27" hidden="1">
      <c r="A1058" t="s">
        <v>3811</v>
      </c>
      <c r="B1058" t="s">
        <v>3812</v>
      </c>
      <c r="C1058" t="e">
        <f>VLOOKUP(B1058,Sheet2!$A$2:$A$392,1,0)</f>
        <v>#N/A</v>
      </c>
      <c r="E1058" t="s">
        <v>52</v>
      </c>
      <c r="F1058" t="s">
        <v>28</v>
      </c>
      <c r="G1058" t="s">
        <v>59</v>
      </c>
      <c r="I1058" t="s">
        <v>2635</v>
      </c>
      <c r="J1058">
        <v>56.554000000000002</v>
      </c>
      <c r="K1058" s="3">
        <v>189.99</v>
      </c>
      <c r="L1058" s="2">
        <v>33944</v>
      </c>
      <c r="O1058" t="s">
        <v>61</v>
      </c>
      <c r="P1058" t="s">
        <v>3813</v>
      </c>
      <c r="R1058" t="s">
        <v>2635</v>
      </c>
      <c r="S1058" t="s">
        <v>33</v>
      </c>
      <c r="T1058" t="s">
        <v>34</v>
      </c>
      <c r="U1058" t="s">
        <v>35</v>
      </c>
      <c r="W1058" t="s">
        <v>63</v>
      </c>
      <c r="X1058" t="s">
        <v>34</v>
      </c>
      <c r="Y1058" t="s">
        <v>64</v>
      </c>
      <c r="Z1058" t="s">
        <v>3814</v>
      </c>
      <c r="AA1058" t="s">
        <v>38</v>
      </c>
    </row>
    <row r="1059" spans="1:27" hidden="1">
      <c r="A1059" t="s">
        <v>3815</v>
      </c>
      <c r="B1059" t="s">
        <v>3816</v>
      </c>
      <c r="C1059" t="e">
        <f>VLOOKUP(B1059,Sheet2!$A$2:$A$392,1,0)</f>
        <v>#N/A</v>
      </c>
      <c r="E1059" t="s">
        <v>52</v>
      </c>
      <c r="F1059" t="s">
        <v>28</v>
      </c>
      <c r="G1059" t="s">
        <v>29</v>
      </c>
      <c r="I1059" t="s">
        <v>352</v>
      </c>
      <c r="J1059" s="2">
        <v>24600</v>
      </c>
      <c r="K1059" s="2">
        <v>158</v>
      </c>
      <c r="L1059" s="2">
        <v>14734</v>
      </c>
      <c r="P1059" t="s">
        <v>3817</v>
      </c>
      <c r="R1059" t="s">
        <v>32</v>
      </c>
      <c r="S1059" t="s">
        <v>33</v>
      </c>
      <c r="T1059" t="s">
        <v>34</v>
      </c>
      <c r="U1059" t="s">
        <v>35</v>
      </c>
      <c r="X1059" t="s">
        <v>34</v>
      </c>
      <c r="Y1059" t="s">
        <v>45</v>
      </c>
      <c r="Z1059" t="s">
        <v>3818</v>
      </c>
      <c r="AA1059" t="s">
        <v>38</v>
      </c>
    </row>
    <row r="1060" spans="1:27" hidden="1">
      <c r="A1060" t="s">
        <v>3819</v>
      </c>
      <c r="B1060" t="s">
        <v>3820</v>
      </c>
      <c r="C1060" t="e">
        <f>VLOOKUP(B1060,Sheet2!$A$2:$A$392,1,0)</f>
        <v>#N/A</v>
      </c>
      <c r="E1060" t="s">
        <v>52</v>
      </c>
      <c r="F1060" t="s">
        <v>28</v>
      </c>
      <c r="G1060" t="s">
        <v>29</v>
      </c>
      <c r="I1060" t="s">
        <v>352</v>
      </c>
      <c r="J1060">
        <v>6203.7</v>
      </c>
      <c r="K1060">
        <v>92.5</v>
      </c>
      <c r="L1060" s="2">
        <v>3415</v>
      </c>
      <c r="P1060" t="s">
        <v>3821</v>
      </c>
      <c r="R1060" t="s">
        <v>32</v>
      </c>
      <c r="S1060" t="s">
        <v>33</v>
      </c>
      <c r="T1060" t="s">
        <v>34</v>
      </c>
      <c r="U1060" t="s">
        <v>35</v>
      </c>
      <c r="X1060" t="s">
        <v>34</v>
      </c>
      <c r="Y1060" t="s">
        <v>45</v>
      </c>
      <c r="Z1060" t="s">
        <v>3822</v>
      </c>
      <c r="AA1060" t="s">
        <v>38</v>
      </c>
    </row>
    <row r="1061" spans="1:27" hidden="1">
      <c r="A1061" t="s">
        <v>3823</v>
      </c>
      <c r="B1061" t="s">
        <v>3824</v>
      </c>
      <c r="C1061" t="e">
        <f>VLOOKUP(B1061,Sheet2!$A$2:$A$392,1,0)</f>
        <v>#N/A</v>
      </c>
      <c r="E1061" t="s">
        <v>52</v>
      </c>
      <c r="F1061" t="s">
        <v>28</v>
      </c>
      <c r="G1061" t="s">
        <v>151</v>
      </c>
      <c r="I1061" t="s">
        <v>301</v>
      </c>
      <c r="J1061" s="2">
        <v>23483</v>
      </c>
      <c r="K1061">
        <v>164.5</v>
      </c>
      <c r="L1061" s="2">
        <v>15500</v>
      </c>
      <c r="P1061" t="s">
        <v>3825</v>
      </c>
      <c r="R1061" t="s">
        <v>32</v>
      </c>
      <c r="S1061" t="s">
        <v>33</v>
      </c>
      <c r="T1061" t="s">
        <v>106</v>
      </c>
      <c r="U1061" t="s">
        <v>35</v>
      </c>
      <c r="W1061" t="s">
        <v>518</v>
      </c>
      <c r="X1061" t="s">
        <v>34</v>
      </c>
      <c r="Y1061" t="s">
        <v>2977</v>
      </c>
      <c r="Z1061" t="s">
        <v>3826</v>
      </c>
      <c r="AA1061" t="s">
        <v>38</v>
      </c>
    </row>
    <row r="1062" spans="1:27">
      <c r="A1062" t="s">
        <v>3827</v>
      </c>
      <c r="B1062" t="s">
        <v>3828</v>
      </c>
      <c r="C1062" t="str">
        <f>VLOOKUP(B1062,Sheet2!$A$2:$A$392,1,0)</f>
        <v>MV. TAN BINH 256</v>
      </c>
      <c r="E1062" t="s">
        <v>52</v>
      </c>
      <c r="F1062" t="s">
        <v>28</v>
      </c>
      <c r="G1062" t="s">
        <v>29</v>
      </c>
      <c r="I1062" t="s">
        <v>301</v>
      </c>
      <c r="J1062" s="2">
        <v>28701</v>
      </c>
      <c r="K1062" s="3">
        <v>176.63</v>
      </c>
      <c r="L1062" s="2">
        <v>17679</v>
      </c>
      <c r="P1062" t="s">
        <v>3829</v>
      </c>
      <c r="R1062" t="s">
        <v>32</v>
      </c>
      <c r="S1062" t="s">
        <v>33</v>
      </c>
      <c r="T1062" t="s">
        <v>34</v>
      </c>
      <c r="U1062" t="s">
        <v>35</v>
      </c>
      <c r="X1062" t="s">
        <v>34</v>
      </c>
      <c r="Y1062" t="s">
        <v>45</v>
      </c>
      <c r="Z1062" t="s">
        <v>3830</v>
      </c>
      <c r="AA1062" t="s">
        <v>38</v>
      </c>
    </row>
    <row r="1063" spans="1:27" hidden="1">
      <c r="A1063" t="s">
        <v>3831</v>
      </c>
      <c r="B1063" t="s">
        <v>3832</v>
      </c>
      <c r="C1063" t="e">
        <f>VLOOKUP(B1063,Sheet2!$A$2:$A$392,1,0)</f>
        <v>#N/A</v>
      </c>
      <c r="E1063" t="s">
        <v>52</v>
      </c>
      <c r="F1063" t="s">
        <v>28</v>
      </c>
      <c r="G1063" t="s">
        <v>29</v>
      </c>
      <c r="I1063" t="s">
        <v>301</v>
      </c>
      <c r="J1063" s="2">
        <v>28222</v>
      </c>
      <c r="K1063" s="3">
        <v>169.37</v>
      </c>
      <c r="L1063" s="2">
        <v>17019</v>
      </c>
      <c r="P1063" t="s">
        <v>3833</v>
      </c>
      <c r="R1063" t="s">
        <v>32</v>
      </c>
      <c r="S1063" t="s">
        <v>33</v>
      </c>
      <c r="T1063" t="s">
        <v>34</v>
      </c>
      <c r="U1063" t="s">
        <v>35</v>
      </c>
      <c r="X1063" t="s">
        <v>34</v>
      </c>
      <c r="Y1063" t="s">
        <v>45</v>
      </c>
      <c r="Z1063" t="s">
        <v>3834</v>
      </c>
      <c r="AA1063" t="s">
        <v>38</v>
      </c>
    </row>
    <row r="1064" spans="1:27" hidden="1">
      <c r="A1064" t="s">
        <v>3835</v>
      </c>
      <c r="B1064" t="s">
        <v>3836</v>
      </c>
      <c r="C1064" t="e">
        <f>VLOOKUP(B1064,Sheet2!$A$2:$A$392,1,0)</f>
        <v>#N/A</v>
      </c>
      <c r="E1064" t="s">
        <v>27</v>
      </c>
      <c r="F1064" t="s">
        <v>41</v>
      </c>
      <c r="G1064" t="s">
        <v>29</v>
      </c>
      <c r="I1064" t="s">
        <v>42</v>
      </c>
      <c r="J1064" s="2">
        <v>1000</v>
      </c>
      <c r="K1064" s="2">
        <v>51</v>
      </c>
      <c r="L1064" s="2">
        <v>682</v>
      </c>
      <c r="P1064" t="s">
        <v>3837</v>
      </c>
      <c r="R1064" t="s">
        <v>32</v>
      </c>
      <c r="S1064" t="s">
        <v>33</v>
      </c>
      <c r="T1064" t="s">
        <v>34</v>
      </c>
      <c r="U1064" t="s">
        <v>35</v>
      </c>
      <c r="W1064" t="s">
        <v>165</v>
      </c>
      <c r="X1064" t="s">
        <v>34</v>
      </c>
      <c r="Y1064" t="s">
        <v>245</v>
      </c>
      <c r="Z1064" t="s">
        <v>3838</v>
      </c>
      <c r="AA1064" t="s">
        <v>38</v>
      </c>
    </row>
    <row r="1065" spans="1:27" hidden="1">
      <c r="A1065" t="s">
        <v>3839</v>
      </c>
      <c r="B1065" t="s">
        <v>3840</v>
      </c>
      <c r="C1065" t="e">
        <f>VLOOKUP(B1065,Sheet2!$A$2:$A$392,1,0)</f>
        <v>#N/A</v>
      </c>
      <c r="E1065" t="s">
        <v>52</v>
      </c>
      <c r="F1065" t="s">
        <v>28</v>
      </c>
      <c r="G1065" t="s">
        <v>59</v>
      </c>
      <c r="I1065" t="s">
        <v>301</v>
      </c>
      <c r="J1065" s="2">
        <v>60618</v>
      </c>
      <c r="K1065" s="2">
        <v>199</v>
      </c>
      <c r="L1065" s="2">
        <v>34009</v>
      </c>
      <c r="M1065" s="2">
        <v>7260</v>
      </c>
      <c r="N1065">
        <v>12.8</v>
      </c>
      <c r="O1065" t="s">
        <v>61</v>
      </c>
      <c r="P1065" t="s">
        <v>3841</v>
      </c>
      <c r="R1065" t="s">
        <v>32</v>
      </c>
      <c r="S1065" t="s">
        <v>33</v>
      </c>
      <c r="T1065" t="s">
        <v>34</v>
      </c>
      <c r="U1065" t="s">
        <v>35</v>
      </c>
      <c r="W1065" t="s">
        <v>63</v>
      </c>
      <c r="X1065" t="s">
        <v>34</v>
      </c>
      <c r="Y1065" t="s">
        <v>64</v>
      </c>
      <c r="Z1065" t="s">
        <v>3842</v>
      </c>
      <c r="AA1065" t="s">
        <v>38</v>
      </c>
    </row>
    <row r="1066" spans="1:27" hidden="1">
      <c r="A1066" t="s">
        <v>3843</v>
      </c>
      <c r="B1066" t="s">
        <v>3844</v>
      </c>
      <c r="C1066" t="e">
        <f>VLOOKUP(B1066,Sheet2!$A$2:$A$392,1,0)</f>
        <v>#N/A</v>
      </c>
      <c r="E1066" t="s">
        <v>170</v>
      </c>
      <c r="I1066" t="s">
        <v>42</v>
      </c>
      <c r="J1066" s="2">
        <v>42486</v>
      </c>
      <c r="K1066" s="2">
        <v>181</v>
      </c>
      <c r="L1066" s="2">
        <v>25800</v>
      </c>
      <c r="P1066" t="s">
        <v>3845</v>
      </c>
      <c r="S1066" t="s">
        <v>33</v>
      </c>
      <c r="X1066" t="s">
        <v>34</v>
      </c>
      <c r="AA1066" t="s">
        <v>38</v>
      </c>
    </row>
    <row r="1067" spans="1:27" hidden="1">
      <c r="A1067" t="s">
        <v>3846</v>
      </c>
      <c r="B1067" t="s">
        <v>3847</v>
      </c>
      <c r="C1067" t="e">
        <f>VLOOKUP(B1067,Sheet2!$A$2:$A$392,1,0)</f>
        <v>#N/A</v>
      </c>
      <c r="E1067" t="s">
        <v>196</v>
      </c>
      <c r="F1067" t="s">
        <v>41</v>
      </c>
      <c r="G1067" t="s">
        <v>907</v>
      </c>
      <c r="J1067" s="2">
        <v>8000</v>
      </c>
      <c r="K1067" s="2">
        <v>115</v>
      </c>
      <c r="L1067" s="2">
        <v>5979</v>
      </c>
      <c r="M1067" s="2">
        <v>3969</v>
      </c>
      <c r="N1067" s="2">
        <v>10</v>
      </c>
      <c r="O1067" t="s">
        <v>1356</v>
      </c>
      <c r="P1067" t="s">
        <v>3848</v>
      </c>
      <c r="R1067" t="s">
        <v>32</v>
      </c>
      <c r="S1067" t="s">
        <v>33</v>
      </c>
      <c r="U1067" t="s">
        <v>35</v>
      </c>
      <c r="X1067" t="s">
        <v>34</v>
      </c>
      <c r="Y1067" t="s">
        <v>45</v>
      </c>
      <c r="Z1067" t="s">
        <v>3849</v>
      </c>
      <c r="AA1067" t="s">
        <v>38</v>
      </c>
    </row>
    <row r="1068" spans="1:27" hidden="1">
      <c r="A1068" t="s">
        <v>3850</v>
      </c>
      <c r="B1068" t="s">
        <v>3851</v>
      </c>
      <c r="C1068" t="e">
        <f>VLOOKUP(B1068,Sheet2!$A$2:$A$392,1,0)</f>
        <v>#N/A</v>
      </c>
      <c r="E1068" t="s">
        <v>52</v>
      </c>
      <c r="F1068" t="s">
        <v>28</v>
      </c>
      <c r="G1068" t="s">
        <v>29</v>
      </c>
      <c r="I1068" t="s">
        <v>30</v>
      </c>
      <c r="J1068" s="2">
        <v>29671</v>
      </c>
      <c r="K1068">
        <v>170.7</v>
      </c>
      <c r="L1068" s="2">
        <v>17979</v>
      </c>
      <c r="P1068" t="s">
        <v>3852</v>
      </c>
      <c r="R1068" t="s">
        <v>32</v>
      </c>
      <c r="S1068" t="s">
        <v>33</v>
      </c>
      <c r="T1068" t="s">
        <v>34</v>
      </c>
      <c r="U1068" t="s">
        <v>35</v>
      </c>
      <c r="X1068" t="s">
        <v>34</v>
      </c>
      <c r="Y1068" t="s">
        <v>45</v>
      </c>
      <c r="Z1068" t="s">
        <v>3853</v>
      </c>
      <c r="AA1068" t="s">
        <v>38</v>
      </c>
    </row>
    <row r="1069" spans="1:27" hidden="1">
      <c r="A1069" t="s">
        <v>3854</v>
      </c>
      <c r="B1069" t="s">
        <v>3855</v>
      </c>
      <c r="C1069" t="e">
        <f>VLOOKUP(B1069,Sheet2!$A$2:$A$392,1,0)</f>
        <v>#N/A</v>
      </c>
      <c r="E1069" t="s">
        <v>170</v>
      </c>
      <c r="G1069" t="s">
        <v>115</v>
      </c>
      <c r="I1069" t="s">
        <v>2752</v>
      </c>
      <c r="J1069" s="2">
        <v>149878</v>
      </c>
      <c r="K1069" s="3">
        <v>274.19</v>
      </c>
      <c r="L1069" s="2">
        <v>84598</v>
      </c>
      <c r="P1069" t="s">
        <v>3856</v>
      </c>
      <c r="S1069" t="s">
        <v>33</v>
      </c>
      <c r="X1069" t="s">
        <v>34</v>
      </c>
      <c r="AA1069" t="s">
        <v>38</v>
      </c>
    </row>
    <row r="1070" spans="1:27" hidden="1">
      <c r="A1070" t="s">
        <v>3857</v>
      </c>
      <c r="B1070" t="s">
        <v>3858</v>
      </c>
      <c r="C1070" t="e">
        <f>VLOOKUP(B1070,Sheet2!$A$2:$A$392,1,0)</f>
        <v>#N/A</v>
      </c>
      <c r="E1070" t="s">
        <v>52</v>
      </c>
      <c r="F1070" t="s">
        <v>28</v>
      </c>
      <c r="G1070" t="s">
        <v>59</v>
      </c>
      <c r="I1070" t="s">
        <v>352</v>
      </c>
      <c r="J1070" s="2">
        <v>56423</v>
      </c>
      <c r="K1070" s="2">
        <v>190</v>
      </c>
      <c r="L1070" s="2">
        <v>31696</v>
      </c>
      <c r="M1070" s="2">
        <v>8890</v>
      </c>
      <c r="N1070">
        <v>12.7</v>
      </c>
      <c r="O1070" t="s">
        <v>61</v>
      </c>
      <c r="P1070" t="s">
        <v>3859</v>
      </c>
      <c r="R1070" t="s">
        <v>352</v>
      </c>
      <c r="S1070" t="s">
        <v>33</v>
      </c>
      <c r="T1070" t="s">
        <v>34</v>
      </c>
      <c r="U1070" t="s">
        <v>35</v>
      </c>
      <c r="W1070" t="s">
        <v>63</v>
      </c>
      <c r="X1070" t="s">
        <v>34</v>
      </c>
      <c r="Y1070" t="s">
        <v>64</v>
      </c>
      <c r="Z1070" t="s">
        <v>3860</v>
      </c>
      <c r="AA1070" t="s">
        <v>38</v>
      </c>
    </row>
    <row r="1071" spans="1:27" hidden="1">
      <c r="A1071" t="s">
        <v>3861</v>
      </c>
      <c r="B1071" t="s">
        <v>3862</v>
      </c>
      <c r="C1071" t="e">
        <f>VLOOKUP(B1071,Sheet2!$A$2:$A$392,1,0)</f>
        <v>#N/A</v>
      </c>
      <c r="E1071" t="s">
        <v>196</v>
      </c>
      <c r="F1071" t="s">
        <v>28</v>
      </c>
      <c r="G1071" t="s">
        <v>3863</v>
      </c>
      <c r="I1071" t="s">
        <v>42</v>
      </c>
      <c r="J1071" s="2">
        <v>5618</v>
      </c>
      <c r="K1071" s="2">
        <v>93</v>
      </c>
      <c r="L1071" s="2">
        <v>3606</v>
      </c>
      <c r="M1071" s="2">
        <v>500</v>
      </c>
      <c r="N1071" s="2">
        <v>6</v>
      </c>
      <c r="O1071" t="s">
        <v>3081</v>
      </c>
      <c r="P1071" t="s">
        <v>3864</v>
      </c>
      <c r="R1071" t="s">
        <v>32</v>
      </c>
      <c r="S1071" t="s">
        <v>33</v>
      </c>
      <c r="T1071" t="s">
        <v>34</v>
      </c>
      <c r="U1071" t="s">
        <v>35</v>
      </c>
      <c r="V1071" s="2">
        <v>6</v>
      </c>
      <c r="W1071" t="s">
        <v>518</v>
      </c>
      <c r="X1071" t="s">
        <v>34</v>
      </c>
      <c r="Y1071" t="s">
        <v>519</v>
      </c>
      <c r="Z1071" t="s">
        <v>3865</v>
      </c>
      <c r="AA1071" t="s">
        <v>38</v>
      </c>
    </row>
    <row r="1072" spans="1:27" hidden="1">
      <c r="A1072" t="s">
        <v>3866</v>
      </c>
      <c r="B1072" t="s">
        <v>3867</v>
      </c>
      <c r="C1072" t="e">
        <f>VLOOKUP(B1072,Sheet2!$A$2:$A$392,1,0)</f>
        <v>#N/A</v>
      </c>
      <c r="E1072" t="s">
        <v>170</v>
      </c>
      <c r="G1072" t="s">
        <v>115</v>
      </c>
      <c r="I1072" t="s">
        <v>2635</v>
      </c>
      <c r="J1072" s="2">
        <v>149998</v>
      </c>
      <c r="K1072">
        <v>274.2</v>
      </c>
      <c r="L1072" s="2">
        <v>85362</v>
      </c>
      <c r="P1072" t="s">
        <v>3868</v>
      </c>
      <c r="S1072" t="s">
        <v>33</v>
      </c>
      <c r="X1072" t="s">
        <v>34</v>
      </c>
      <c r="AA1072" t="s">
        <v>38</v>
      </c>
    </row>
    <row r="1073" spans="1:27" hidden="1">
      <c r="A1073" t="s">
        <v>3869</v>
      </c>
      <c r="B1073" t="s">
        <v>3870</v>
      </c>
      <c r="C1073" t="e">
        <f>VLOOKUP(B1073,Sheet2!$A$2:$A$392,1,0)</f>
        <v>#N/A</v>
      </c>
      <c r="E1073" t="s">
        <v>170</v>
      </c>
      <c r="F1073" t="s">
        <v>28</v>
      </c>
      <c r="G1073" t="s">
        <v>2046</v>
      </c>
      <c r="I1073" t="s">
        <v>2635</v>
      </c>
      <c r="J1073" s="2">
        <v>44999</v>
      </c>
      <c r="K1073">
        <v>182.9</v>
      </c>
      <c r="L1073" s="2">
        <v>26914</v>
      </c>
      <c r="M1073" s="2">
        <v>4</v>
      </c>
      <c r="N1073" s="2">
        <v>5</v>
      </c>
      <c r="O1073" t="s">
        <v>2666</v>
      </c>
      <c r="P1073" t="s">
        <v>3871</v>
      </c>
      <c r="R1073" t="s">
        <v>2635</v>
      </c>
      <c r="S1073" t="s">
        <v>33</v>
      </c>
      <c r="T1073" t="s">
        <v>34</v>
      </c>
      <c r="U1073" t="s">
        <v>35</v>
      </c>
      <c r="X1073" t="s">
        <v>34</v>
      </c>
      <c r="Y1073" t="s">
        <v>1015</v>
      </c>
      <c r="Z1073" t="s">
        <v>3872</v>
      </c>
      <c r="AA1073" t="s">
        <v>38</v>
      </c>
    </row>
    <row r="1074" spans="1:27" hidden="1">
      <c r="A1074" t="s">
        <v>3873</v>
      </c>
      <c r="B1074" t="s">
        <v>3874</v>
      </c>
      <c r="C1074" t="e">
        <f>VLOOKUP(B1074,Sheet2!$A$2:$A$392,1,0)</f>
        <v>#N/A</v>
      </c>
      <c r="E1074" t="s">
        <v>27</v>
      </c>
      <c r="F1074" t="s">
        <v>41</v>
      </c>
      <c r="G1074" t="s">
        <v>158</v>
      </c>
      <c r="J1074" s="2">
        <v>1506</v>
      </c>
      <c r="K1074" s="2">
        <v>87</v>
      </c>
      <c r="L1074" s="2">
        <v>2627</v>
      </c>
      <c r="O1074" t="s">
        <v>159</v>
      </c>
      <c r="P1074" s="2">
        <v>1234</v>
      </c>
      <c r="R1074" t="s">
        <v>42</v>
      </c>
      <c r="S1074" t="s">
        <v>33</v>
      </c>
      <c r="U1074" t="s">
        <v>35</v>
      </c>
      <c r="W1074" t="s">
        <v>63</v>
      </c>
      <c r="X1074" t="s">
        <v>34</v>
      </c>
      <c r="Y1074" t="s">
        <v>64</v>
      </c>
      <c r="Z1074" t="s">
        <v>3875</v>
      </c>
      <c r="AA1074" t="s">
        <v>38</v>
      </c>
    </row>
    <row r="1075" spans="1:27" hidden="1">
      <c r="A1075" t="s">
        <v>3876</v>
      </c>
      <c r="B1075" t="s">
        <v>3874</v>
      </c>
      <c r="C1075" t="e">
        <f>VLOOKUP(B1075,Sheet2!$A$2:$A$392,1,0)</f>
        <v>#N/A</v>
      </c>
      <c r="E1075" t="s">
        <v>27</v>
      </c>
      <c r="F1075" t="s">
        <v>41</v>
      </c>
      <c r="G1075" t="s">
        <v>158</v>
      </c>
      <c r="J1075" s="2">
        <v>3500</v>
      </c>
      <c r="K1075" s="2">
        <v>95</v>
      </c>
      <c r="L1075" s="2">
        <v>2627</v>
      </c>
      <c r="M1075" s="2">
        <v>0</v>
      </c>
      <c r="N1075" s="2">
        <v>0</v>
      </c>
      <c r="O1075" t="s">
        <v>159</v>
      </c>
      <c r="P1075" t="s">
        <v>3877</v>
      </c>
      <c r="R1075" t="s">
        <v>42</v>
      </c>
      <c r="S1075" t="s">
        <v>33</v>
      </c>
      <c r="U1075" t="s">
        <v>35</v>
      </c>
      <c r="V1075" s="2">
        <v>0</v>
      </c>
      <c r="W1075" t="s">
        <v>63</v>
      </c>
      <c r="X1075" t="s">
        <v>34</v>
      </c>
      <c r="Y1075" t="s">
        <v>64</v>
      </c>
      <c r="Z1075" t="s">
        <v>3875</v>
      </c>
      <c r="AA1075" t="s">
        <v>38</v>
      </c>
    </row>
    <row r="1076" spans="1:27" hidden="1">
      <c r="A1076" t="s">
        <v>3878</v>
      </c>
      <c r="B1076" t="s">
        <v>3879</v>
      </c>
      <c r="C1076" t="e">
        <f>VLOOKUP(B1076,Sheet2!$A$2:$A$392,1,0)</f>
        <v>#N/A</v>
      </c>
      <c r="E1076" t="s">
        <v>27</v>
      </c>
      <c r="G1076" t="s">
        <v>181</v>
      </c>
      <c r="I1076" t="s">
        <v>301</v>
      </c>
      <c r="J1076" s="2">
        <v>1299</v>
      </c>
      <c r="K1076" s="2">
        <v>120</v>
      </c>
      <c r="L1076" s="2">
        <v>9700</v>
      </c>
      <c r="P1076" t="s">
        <v>3880</v>
      </c>
      <c r="S1076" t="s">
        <v>33</v>
      </c>
      <c r="X1076" t="s">
        <v>34</v>
      </c>
      <c r="AA1076" t="s">
        <v>38</v>
      </c>
    </row>
    <row r="1077" spans="1:27" hidden="1">
      <c r="A1077" t="s">
        <v>3881</v>
      </c>
      <c r="B1077" t="s">
        <v>3882</v>
      </c>
      <c r="C1077" t="e">
        <f>VLOOKUP(B1077,Sheet2!$A$2:$A$392,1,0)</f>
        <v>#N/A</v>
      </c>
      <c r="E1077" t="s">
        <v>170</v>
      </c>
      <c r="G1077" t="s">
        <v>115</v>
      </c>
      <c r="I1077" t="s">
        <v>2635</v>
      </c>
      <c r="J1077" s="2">
        <v>149999</v>
      </c>
      <c r="K1077">
        <v>274.2</v>
      </c>
      <c r="L1077" s="2">
        <v>85496</v>
      </c>
      <c r="P1077" t="s">
        <v>3883</v>
      </c>
      <c r="S1077" t="s">
        <v>33</v>
      </c>
      <c r="X1077" t="s">
        <v>34</v>
      </c>
      <c r="AA1077" t="s">
        <v>38</v>
      </c>
    </row>
    <row r="1078" spans="1:27" hidden="1">
      <c r="A1078" t="s">
        <v>3884</v>
      </c>
      <c r="B1078" t="s">
        <v>3885</v>
      </c>
      <c r="C1078" t="e">
        <f>VLOOKUP(B1078,Sheet2!$A$2:$A$392,1,0)</f>
        <v>#N/A</v>
      </c>
      <c r="E1078" t="s">
        <v>170</v>
      </c>
      <c r="G1078" t="s">
        <v>2688</v>
      </c>
      <c r="I1078" t="s">
        <v>30</v>
      </c>
      <c r="J1078" s="2">
        <v>25283</v>
      </c>
      <c r="K1078" s="3">
        <v>158.93</v>
      </c>
      <c r="L1078" s="2">
        <v>15730</v>
      </c>
      <c r="P1078" t="s">
        <v>3886</v>
      </c>
      <c r="S1078" t="s">
        <v>33</v>
      </c>
      <c r="X1078" t="s">
        <v>34</v>
      </c>
      <c r="AA1078" t="s">
        <v>38</v>
      </c>
    </row>
    <row r="1079" spans="1:27" hidden="1">
      <c r="A1079" t="s">
        <v>3887</v>
      </c>
      <c r="B1079" t="s">
        <v>3888</v>
      </c>
      <c r="C1079" t="e">
        <f>VLOOKUP(B1079,Sheet2!$A$2:$A$392,1,0)</f>
        <v>#N/A</v>
      </c>
      <c r="E1079" t="s">
        <v>196</v>
      </c>
      <c r="F1079" t="s">
        <v>41</v>
      </c>
      <c r="G1079" t="s">
        <v>29</v>
      </c>
      <c r="J1079" s="2">
        <v>5000</v>
      </c>
      <c r="K1079" s="2">
        <v>80</v>
      </c>
      <c r="L1079" s="2">
        <v>2637</v>
      </c>
      <c r="M1079" s="2">
        <v>4500</v>
      </c>
      <c r="N1079" s="2">
        <v>8</v>
      </c>
      <c r="O1079" t="s">
        <v>482</v>
      </c>
      <c r="P1079" t="s">
        <v>2446</v>
      </c>
      <c r="R1079" t="s">
        <v>42</v>
      </c>
      <c r="S1079" t="s">
        <v>33</v>
      </c>
      <c r="U1079" t="s">
        <v>35</v>
      </c>
      <c r="X1079" t="s">
        <v>147</v>
      </c>
      <c r="Y1079" t="s">
        <v>45</v>
      </c>
      <c r="Z1079" t="s">
        <v>2447</v>
      </c>
      <c r="AA1079" t="s">
        <v>38</v>
      </c>
    </row>
    <row r="1080" spans="1:27" hidden="1">
      <c r="A1080" t="s">
        <v>3889</v>
      </c>
      <c r="B1080" t="s">
        <v>3890</v>
      </c>
      <c r="C1080" t="e">
        <f>VLOOKUP(B1080,Sheet2!$A$2:$A$392,1,0)</f>
        <v>#N/A</v>
      </c>
      <c r="E1080" t="s">
        <v>196</v>
      </c>
      <c r="F1080" t="s">
        <v>41</v>
      </c>
      <c r="G1080" t="s">
        <v>59</v>
      </c>
      <c r="I1080" t="s">
        <v>42</v>
      </c>
      <c r="J1080" s="2">
        <v>6000</v>
      </c>
      <c r="K1080">
        <v>104.3</v>
      </c>
      <c r="L1080" s="2">
        <v>3828</v>
      </c>
      <c r="M1080" s="2">
        <v>3800</v>
      </c>
      <c r="N1080" s="2">
        <v>8</v>
      </c>
      <c r="O1080" t="s">
        <v>61</v>
      </c>
      <c r="P1080" t="s">
        <v>3891</v>
      </c>
      <c r="R1080" t="s">
        <v>42</v>
      </c>
      <c r="S1080" t="s">
        <v>33</v>
      </c>
      <c r="T1080" t="s">
        <v>34</v>
      </c>
      <c r="U1080" t="s">
        <v>35</v>
      </c>
      <c r="W1080" t="s">
        <v>63</v>
      </c>
      <c r="X1080" t="s">
        <v>147</v>
      </c>
      <c r="Y1080" t="s">
        <v>64</v>
      </c>
      <c r="Z1080" t="s">
        <v>3892</v>
      </c>
      <c r="AA1080" t="s">
        <v>38</v>
      </c>
    </row>
    <row r="1081" spans="1:27">
      <c r="A1081" t="s">
        <v>3893</v>
      </c>
      <c r="B1081" t="s">
        <v>2481</v>
      </c>
      <c r="C1081" t="str">
        <f>VLOOKUP(B1081,Sheet2!$A$2:$A$392,1,0)</f>
        <v>KM. TONASA LINE XXV</v>
      </c>
      <c r="E1081" t="s">
        <v>52</v>
      </c>
      <c r="F1081" t="s">
        <v>41</v>
      </c>
      <c r="G1081" t="s">
        <v>29</v>
      </c>
      <c r="J1081" s="2">
        <v>5000</v>
      </c>
      <c r="K1081">
        <v>89.6</v>
      </c>
      <c r="L1081" s="2">
        <v>3824</v>
      </c>
      <c r="O1081" t="s">
        <v>482</v>
      </c>
      <c r="P1081" t="s">
        <v>2482</v>
      </c>
      <c r="R1081" t="s">
        <v>42</v>
      </c>
      <c r="S1081" t="s">
        <v>33</v>
      </c>
      <c r="U1081" t="s">
        <v>35</v>
      </c>
      <c r="X1081" t="s">
        <v>34</v>
      </c>
      <c r="Y1081" t="s">
        <v>45</v>
      </c>
      <c r="Z1081" t="s">
        <v>3894</v>
      </c>
      <c r="AA1081" t="s">
        <v>38</v>
      </c>
    </row>
    <row r="1082" spans="1:27" hidden="1">
      <c r="A1082" t="s">
        <v>3895</v>
      </c>
      <c r="B1082" t="s">
        <v>3896</v>
      </c>
      <c r="C1082" t="e">
        <f>VLOOKUP(B1082,Sheet2!$A$2:$A$392,1,0)</f>
        <v>#N/A</v>
      </c>
      <c r="E1082" t="s">
        <v>249</v>
      </c>
      <c r="G1082" t="s">
        <v>747</v>
      </c>
      <c r="I1082" t="s">
        <v>42</v>
      </c>
      <c r="J1082" s="2">
        <v>6012</v>
      </c>
      <c r="K1082">
        <v>106.9</v>
      </c>
      <c r="L1082" s="2">
        <v>4896</v>
      </c>
      <c r="P1082" t="s">
        <v>3897</v>
      </c>
      <c r="S1082" t="s">
        <v>33</v>
      </c>
      <c r="X1082" t="s">
        <v>34</v>
      </c>
      <c r="AA1082" t="s">
        <v>38</v>
      </c>
    </row>
    <row r="1083" spans="1:27">
      <c r="A1083" t="s">
        <v>3898</v>
      </c>
      <c r="B1083" t="s">
        <v>3899</v>
      </c>
      <c r="C1083" t="str">
        <f>VLOOKUP(B1083,Sheet2!$A$2:$A$392,1,0)</f>
        <v>MV. HUA LI</v>
      </c>
      <c r="E1083" t="s">
        <v>52</v>
      </c>
      <c r="F1083" t="s">
        <v>28</v>
      </c>
      <c r="G1083" t="s">
        <v>29</v>
      </c>
      <c r="I1083" t="s">
        <v>301</v>
      </c>
      <c r="J1083" s="2">
        <v>45675</v>
      </c>
      <c r="K1083" s="3">
        <v>185.74</v>
      </c>
      <c r="L1083" s="2">
        <v>26041</v>
      </c>
      <c r="P1083" t="s">
        <v>3900</v>
      </c>
      <c r="R1083" t="s">
        <v>581</v>
      </c>
      <c r="S1083" t="s">
        <v>33</v>
      </c>
      <c r="T1083" t="s">
        <v>34</v>
      </c>
      <c r="U1083" t="s">
        <v>35</v>
      </c>
      <c r="X1083" t="s">
        <v>34</v>
      </c>
      <c r="Y1083" t="s">
        <v>45</v>
      </c>
      <c r="Z1083" t="s">
        <v>3901</v>
      </c>
      <c r="AA1083" t="s">
        <v>38</v>
      </c>
    </row>
    <row r="1084" spans="1:27" hidden="1">
      <c r="A1084" t="s">
        <v>3902</v>
      </c>
      <c r="B1084" t="s">
        <v>3903</v>
      </c>
      <c r="C1084" t="e">
        <f>VLOOKUP(B1084,Sheet2!$A$2:$A$392,1,0)</f>
        <v>#N/A</v>
      </c>
      <c r="E1084" t="s">
        <v>40</v>
      </c>
      <c r="F1084" t="s">
        <v>41</v>
      </c>
      <c r="G1084" t="s">
        <v>29</v>
      </c>
      <c r="I1084" t="s">
        <v>42</v>
      </c>
      <c r="J1084" s="2">
        <v>1200</v>
      </c>
      <c r="K1084">
        <v>48.9</v>
      </c>
      <c r="L1084" s="2">
        <v>1000</v>
      </c>
      <c r="M1084" s="2">
        <v>10000</v>
      </c>
      <c r="N1084" s="2">
        <v>5</v>
      </c>
      <c r="O1084" t="s">
        <v>254</v>
      </c>
      <c r="P1084" t="s">
        <v>3902</v>
      </c>
      <c r="R1084" t="s">
        <v>42</v>
      </c>
      <c r="S1084" t="s">
        <v>33</v>
      </c>
      <c r="T1084" t="s">
        <v>34</v>
      </c>
      <c r="U1084" t="s">
        <v>44</v>
      </c>
      <c r="X1084" t="s">
        <v>34</v>
      </c>
      <c r="Y1084" t="s">
        <v>142</v>
      </c>
      <c r="Z1084" t="s">
        <v>597</v>
      </c>
      <c r="AA1084" t="s">
        <v>38</v>
      </c>
    </row>
    <row r="1085" spans="1:27" hidden="1">
      <c r="A1085" t="s">
        <v>3904</v>
      </c>
      <c r="B1085" t="s">
        <v>3905</v>
      </c>
      <c r="C1085" t="e">
        <f>VLOOKUP(B1085,Sheet2!$A$2:$A$392,1,0)</f>
        <v>#N/A</v>
      </c>
      <c r="E1085" t="s">
        <v>52</v>
      </c>
      <c r="F1085" t="s">
        <v>28</v>
      </c>
      <c r="G1085" t="s">
        <v>29</v>
      </c>
      <c r="I1085" t="s">
        <v>30</v>
      </c>
      <c r="J1085" s="2">
        <v>28709</v>
      </c>
      <c r="K1085" s="3">
        <v>176.63</v>
      </c>
      <c r="L1085" s="2">
        <v>17663</v>
      </c>
      <c r="P1085" t="s">
        <v>3906</v>
      </c>
      <c r="R1085" t="s">
        <v>32</v>
      </c>
      <c r="S1085" t="s">
        <v>33</v>
      </c>
      <c r="T1085" t="s">
        <v>34</v>
      </c>
      <c r="U1085" t="s">
        <v>35</v>
      </c>
      <c r="X1085" t="s">
        <v>34</v>
      </c>
      <c r="Y1085" t="s">
        <v>45</v>
      </c>
      <c r="Z1085" t="s">
        <v>3907</v>
      </c>
      <c r="AA1085" t="s">
        <v>38</v>
      </c>
    </row>
    <row r="1086" spans="1:27" hidden="1">
      <c r="A1086" t="s">
        <v>3908</v>
      </c>
      <c r="B1086" t="s">
        <v>3909</v>
      </c>
      <c r="C1086" t="e">
        <f>VLOOKUP(B1086,Sheet2!$A$2:$A$392,1,0)</f>
        <v>#N/A</v>
      </c>
      <c r="E1086" t="s">
        <v>52</v>
      </c>
      <c r="F1086" t="s">
        <v>28</v>
      </c>
      <c r="G1086" t="s">
        <v>29</v>
      </c>
      <c r="I1086" t="s">
        <v>301</v>
      </c>
      <c r="J1086" s="2">
        <v>32568</v>
      </c>
      <c r="K1086" s="3">
        <v>169.51</v>
      </c>
      <c r="L1086" s="2">
        <v>15932</v>
      </c>
      <c r="P1086" t="s">
        <v>3910</v>
      </c>
      <c r="R1086" t="s">
        <v>32</v>
      </c>
      <c r="S1086" t="s">
        <v>33</v>
      </c>
      <c r="T1086" t="s">
        <v>34</v>
      </c>
      <c r="U1086" t="s">
        <v>35</v>
      </c>
      <c r="X1086" t="s">
        <v>34</v>
      </c>
      <c r="Y1086" t="s">
        <v>45</v>
      </c>
      <c r="Z1086" t="s">
        <v>3911</v>
      </c>
      <c r="AA1086" t="s">
        <v>38</v>
      </c>
    </row>
    <row r="1087" spans="1:27" hidden="1">
      <c r="A1087" t="s">
        <v>3912</v>
      </c>
      <c r="B1087" t="s">
        <v>3913</v>
      </c>
      <c r="C1087" t="e">
        <f>VLOOKUP(B1087,Sheet2!$A$2:$A$392,1,0)</f>
        <v>#N/A</v>
      </c>
      <c r="E1087" t="s">
        <v>170</v>
      </c>
      <c r="G1087" t="s">
        <v>355</v>
      </c>
      <c r="I1087" t="s">
        <v>3914</v>
      </c>
      <c r="J1087" s="2">
        <v>2995</v>
      </c>
      <c r="K1087" s="3">
        <v>83.02</v>
      </c>
      <c r="L1087" s="2">
        <v>1846</v>
      </c>
      <c r="P1087" t="s">
        <v>3915</v>
      </c>
      <c r="S1087" t="s">
        <v>33</v>
      </c>
      <c r="X1087" t="s">
        <v>34</v>
      </c>
      <c r="AA1087" t="s">
        <v>38</v>
      </c>
    </row>
    <row r="1088" spans="1:27" hidden="1">
      <c r="A1088" t="s">
        <v>3916</v>
      </c>
      <c r="B1088" t="s">
        <v>3917</v>
      </c>
      <c r="C1088" t="e">
        <f>VLOOKUP(B1088,Sheet2!$A$2:$A$392,1,0)</f>
        <v>#N/A</v>
      </c>
      <c r="E1088" t="s">
        <v>52</v>
      </c>
      <c r="F1088" t="s">
        <v>41</v>
      </c>
      <c r="G1088" t="s">
        <v>340</v>
      </c>
      <c r="I1088" t="s">
        <v>42</v>
      </c>
      <c r="J1088" s="2">
        <v>3000</v>
      </c>
      <c r="K1088" s="3">
        <v>80.77</v>
      </c>
      <c r="L1088" s="2">
        <v>1918</v>
      </c>
      <c r="M1088" s="2">
        <v>1472</v>
      </c>
      <c r="N1088">
        <v>4.8</v>
      </c>
      <c r="O1088" t="s">
        <v>341</v>
      </c>
      <c r="P1088" t="s">
        <v>3918</v>
      </c>
      <c r="R1088" t="s">
        <v>42</v>
      </c>
      <c r="S1088" t="s">
        <v>33</v>
      </c>
      <c r="T1088" t="s">
        <v>34</v>
      </c>
      <c r="U1088" t="s">
        <v>35</v>
      </c>
      <c r="X1088" t="s">
        <v>34</v>
      </c>
      <c r="Y1088" t="s">
        <v>55</v>
      </c>
      <c r="Z1088" t="s">
        <v>3919</v>
      </c>
      <c r="AA1088" t="s">
        <v>38</v>
      </c>
    </row>
    <row r="1089" spans="1:27" hidden="1">
      <c r="A1089" t="s">
        <v>3920</v>
      </c>
      <c r="B1089" t="s">
        <v>3921</v>
      </c>
      <c r="C1089" t="e">
        <f>VLOOKUP(B1089,Sheet2!$A$2:$A$392,1,0)</f>
        <v>#N/A</v>
      </c>
      <c r="E1089" t="s">
        <v>52</v>
      </c>
      <c r="F1089" t="s">
        <v>28</v>
      </c>
      <c r="G1089" t="s">
        <v>59</v>
      </c>
      <c r="I1089" t="s">
        <v>1113</v>
      </c>
      <c r="J1089" s="2">
        <v>56356</v>
      </c>
      <c r="K1089" s="2">
        <v>190</v>
      </c>
      <c r="L1089" s="2">
        <v>32672</v>
      </c>
      <c r="M1089" s="2">
        <v>8820</v>
      </c>
      <c r="N1089" s="2">
        <v>13</v>
      </c>
      <c r="O1089" t="s">
        <v>61</v>
      </c>
      <c r="P1089" t="s">
        <v>3922</v>
      </c>
      <c r="R1089" t="s">
        <v>32</v>
      </c>
      <c r="S1089" t="s">
        <v>33</v>
      </c>
      <c r="T1089" t="s">
        <v>34</v>
      </c>
      <c r="U1089" t="s">
        <v>35</v>
      </c>
      <c r="W1089" t="s">
        <v>63</v>
      </c>
      <c r="X1089" t="s">
        <v>34</v>
      </c>
      <c r="Y1089" t="s">
        <v>64</v>
      </c>
      <c r="Z1089" t="s">
        <v>3923</v>
      </c>
      <c r="AA1089" t="s">
        <v>38</v>
      </c>
    </row>
    <row r="1090" spans="1:27" hidden="1">
      <c r="A1090" t="s">
        <v>3924</v>
      </c>
      <c r="B1090" t="s">
        <v>3925</v>
      </c>
      <c r="C1090" t="e">
        <f>VLOOKUP(B1090,Sheet2!$A$2:$A$392,1,0)</f>
        <v>#N/A</v>
      </c>
      <c r="E1090" t="s">
        <v>52</v>
      </c>
      <c r="F1090" t="s">
        <v>28</v>
      </c>
      <c r="G1090" t="s">
        <v>59</v>
      </c>
      <c r="I1090" t="s">
        <v>2635</v>
      </c>
      <c r="J1090" s="2">
        <v>56106</v>
      </c>
      <c r="K1090" s="3">
        <v>189.99</v>
      </c>
      <c r="L1090" s="2">
        <v>31759</v>
      </c>
      <c r="M1090" s="2">
        <v>9070</v>
      </c>
      <c r="N1090">
        <v>12.7</v>
      </c>
      <c r="O1090" t="s">
        <v>61</v>
      </c>
      <c r="P1090" t="s">
        <v>3926</v>
      </c>
      <c r="R1090" t="s">
        <v>32</v>
      </c>
      <c r="S1090" t="s">
        <v>33</v>
      </c>
      <c r="T1090" t="s">
        <v>34</v>
      </c>
      <c r="U1090" t="s">
        <v>35</v>
      </c>
      <c r="W1090" t="s">
        <v>63</v>
      </c>
      <c r="X1090" t="s">
        <v>34</v>
      </c>
      <c r="Y1090" t="s">
        <v>64</v>
      </c>
      <c r="Z1090" t="s">
        <v>3927</v>
      </c>
      <c r="AA1090" t="s">
        <v>38</v>
      </c>
    </row>
    <row r="1091" spans="1:27" hidden="1">
      <c r="A1091" t="s">
        <v>3928</v>
      </c>
      <c r="B1091" t="s">
        <v>3929</v>
      </c>
      <c r="C1091" t="e">
        <f>VLOOKUP(B1091,Sheet2!$A$2:$A$392,1,0)</f>
        <v>#N/A</v>
      </c>
      <c r="E1091" t="s">
        <v>52</v>
      </c>
      <c r="F1091" t="s">
        <v>41</v>
      </c>
      <c r="G1091" t="s">
        <v>3930</v>
      </c>
      <c r="J1091" s="2">
        <v>9999</v>
      </c>
      <c r="K1091" s="3">
        <v>116.23</v>
      </c>
      <c r="L1091" s="2">
        <v>6186</v>
      </c>
      <c r="N1091" s="2">
        <v>8</v>
      </c>
      <c r="P1091" t="s">
        <v>3931</v>
      </c>
      <c r="R1091" t="s">
        <v>42</v>
      </c>
      <c r="S1091" t="s">
        <v>33</v>
      </c>
      <c r="U1091" t="s">
        <v>35</v>
      </c>
      <c r="X1091" t="s">
        <v>34</v>
      </c>
      <c r="Y1091" t="s">
        <v>55</v>
      </c>
      <c r="Z1091" t="s">
        <v>3932</v>
      </c>
      <c r="AA1091" t="s">
        <v>38</v>
      </c>
    </row>
    <row r="1092" spans="1:27" hidden="1">
      <c r="A1092" t="s">
        <v>3933</v>
      </c>
      <c r="B1092" t="s">
        <v>3934</v>
      </c>
      <c r="C1092" t="e">
        <f>VLOOKUP(B1092,Sheet2!$A$2:$A$392,1,0)</f>
        <v>#N/A</v>
      </c>
      <c r="E1092" t="s">
        <v>52</v>
      </c>
      <c r="F1092" t="s">
        <v>28</v>
      </c>
      <c r="G1092" t="s">
        <v>59</v>
      </c>
      <c r="I1092" t="s">
        <v>1113</v>
      </c>
      <c r="J1092" s="2">
        <v>31829</v>
      </c>
      <c r="K1092" s="3">
        <v>176.85</v>
      </c>
      <c r="L1092" s="2">
        <v>19795</v>
      </c>
      <c r="M1092" s="2">
        <v>6620</v>
      </c>
      <c r="N1092">
        <v>9.5</v>
      </c>
      <c r="O1092" t="s">
        <v>61</v>
      </c>
      <c r="P1092" t="s">
        <v>3935</v>
      </c>
      <c r="R1092" t="s">
        <v>32</v>
      </c>
      <c r="S1092" t="s">
        <v>33</v>
      </c>
      <c r="T1092" t="s">
        <v>34</v>
      </c>
      <c r="U1092" t="s">
        <v>35</v>
      </c>
      <c r="W1092" t="s">
        <v>63</v>
      </c>
      <c r="X1092" t="s">
        <v>34</v>
      </c>
      <c r="Y1092" t="s">
        <v>64</v>
      </c>
      <c r="Z1092" t="s">
        <v>3936</v>
      </c>
      <c r="AA1092" t="s">
        <v>38</v>
      </c>
    </row>
    <row r="1093" spans="1:27">
      <c r="A1093" t="s">
        <v>3937</v>
      </c>
      <c r="B1093" t="s">
        <v>3938</v>
      </c>
      <c r="C1093" t="str">
        <f>VLOOKUP(B1093,Sheet2!$A$2:$A$392,1,0)</f>
        <v>MV. CERDAS</v>
      </c>
      <c r="E1093" t="s">
        <v>52</v>
      </c>
      <c r="F1093" t="s">
        <v>41</v>
      </c>
      <c r="G1093" t="s">
        <v>907</v>
      </c>
      <c r="J1093">
        <v>10.304</v>
      </c>
      <c r="K1093" s="2">
        <v>123</v>
      </c>
      <c r="L1093" s="2">
        <v>6199</v>
      </c>
      <c r="M1093" s="2">
        <v>5300</v>
      </c>
      <c r="N1093" s="2">
        <v>8</v>
      </c>
      <c r="O1093" t="s">
        <v>1356</v>
      </c>
      <c r="P1093" t="s">
        <v>3939</v>
      </c>
      <c r="R1093" t="s">
        <v>42</v>
      </c>
      <c r="S1093" t="s">
        <v>33</v>
      </c>
      <c r="U1093" t="s">
        <v>35</v>
      </c>
      <c r="X1093" t="s">
        <v>34</v>
      </c>
      <c r="Y1093" t="s">
        <v>45</v>
      </c>
      <c r="Z1093" t="s">
        <v>3940</v>
      </c>
      <c r="AA1093" t="s">
        <v>38</v>
      </c>
    </row>
    <row r="1094" spans="1:27" hidden="1">
      <c r="A1094" t="s">
        <v>3941</v>
      </c>
      <c r="B1094" t="s">
        <v>3942</v>
      </c>
      <c r="C1094" t="e">
        <f>VLOOKUP(B1094,Sheet2!$A$2:$A$392,1,0)</f>
        <v>#N/A</v>
      </c>
      <c r="E1094" t="s">
        <v>196</v>
      </c>
      <c r="F1094" t="s">
        <v>41</v>
      </c>
      <c r="G1094" t="s">
        <v>59</v>
      </c>
      <c r="I1094" t="s">
        <v>42</v>
      </c>
      <c r="J1094" s="2">
        <v>6000</v>
      </c>
      <c r="K1094" s="2">
        <v>107</v>
      </c>
      <c r="L1094" s="2">
        <v>3870</v>
      </c>
      <c r="M1094" s="2">
        <v>4200</v>
      </c>
      <c r="N1094" s="2">
        <v>8</v>
      </c>
      <c r="O1094" t="s">
        <v>61</v>
      </c>
      <c r="P1094" t="s">
        <v>861</v>
      </c>
      <c r="R1094" t="s">
        <v>32</v>
      </c>
      <c r="S1094" t="s">
        <v>33</v>
      </c>
      <c r="T1094" t="s">
        <v>34</v>
      </c>
      <c r="U1094" t="s">
        <v>35</v>
      </c>
      <c r="W1094" t="s">
        <v>63</v>
      </c>
      <c r="X1094" t="s">
        <v>34</v>
      </c>
      <c r="Y1094" t="s">
        <v>64</v>
      </c>
      <c r="Z1094" t="s">
        <v>3943</v>
      </c>
      <c r="AA1094" t="s">
        <v>38</v>
      </c>
    </row>
    <row r="1095" spans="1:27" hidden="1">
      <c r="A1095" t="s">
        <v>3944</v>
      </c>
      <c r="B1095" t="s">
        <v>3945</v>
      </c>
      <c r="C1095" t="e">
        <f>VLOOKUP(B1095,Sheet2!$A$2:$A$392,1,0)</f>
        <v>#N/A</v>
      </c>
      <c r="E1095" t="s">
        <v>52</v>
      </c>
      <c r="F1095" t="s">
        <v>28</v>
      </c>
      <c r="G1095" t="s">
        <v>59</v>
      </c>
      <c r="I1095" t="s">
        <v>2635</v>
      </c>
      <c r="J1095" s="2">
        <v>56582</v>
      </c>
      <c r="K1095" s="3">
        <v>189.99</v>
      </c>
      <c r="L1095" s="2">
        <v>33037</v>
      </c>
      <c r="O1095" t="s">
        <v>61</v>
      </c>
      <c r="P1095" t="s">
        <v>3946</v>
      </c>
      <c r="R1095" t="s">
        <v>2635</v>
      </c>
      <c r="S1095" t="s">
        <v>33</v>
      </c>
      <c r="T1095" t="s">
        <v>34</v>
      </c>
      <c r="U1095" t="s">
        <v>35</v>
      </c>
      <c r="W1095" t="s">
        <v>63</v>
      </c>
      <c r="X1095" t="s">
        <v>34</v>
      </c>
      <c r="Y1095" t="s">
        <v>64</v>
      </c>
      <c r="Z1095" t="s">
        <v>3947</v>
      </c>
      <c r="AA1095" t="s">
        <v>38</v>
      </c>
    </row>
    <row r="1096" spans="1:27" hidden="1">
      <c r="A1096" t="s">
        <v>3948</v>
      </c>
      <c r="B1096" t="s">
        <v>3949</v>
      </c>
      <c r="C1096" t="e">
        <f>VLOOKUP(B1096,Sheet2!$A$2:$A$392,1,0)</f>
        <v>#N/A</v>
      </c>
      <c r="E1096" t="s">
        <v>52</v>
      </c>
      <c r="F1096" t="s">
        <v>28</v>
      </c>
      <c r="G1096" t="s">
        <v>59</v>
      </c>
      <c r="I1096" t="s">
        <v>1692</v>
      </c>
      <c r="J1096" s="2">
        <v>55092</v>
      </c>
      <c r="K1096" s="2">
        <v>189</v>
      </c>
      <c r="L1096" s="2">
        <v>31029</v>
      </c>
      <c r="M1096" s="2">
        <v>8200</v>
      </c>
      <c r="N1096">
        <v>12.5</v>
      </c>
      <c r="O1096" t="s">
        <v>61</v>
      </c>
      <c r="P1096" t="s">
        <v>3950</v>
      </c>
      <c r="R1096" t="s">
        <v>581</v>
      </c>
      <c r="S1096" t="s">
        <v>33</v>
      </c>
      <c r="T1096" t="s">
        <v>34</v>
      </c>
      <c r="U1096" t="s">
        <v>35</v>
      </c>
      <c r="W1096" t="s">
        <v>63</v>
      </c>
      <c r="X1096" t="s">
        <v>34</v>
      </c>
      <c r="Y1096" t="s">
        <v>64</v>
      </c>
      <c r="Z1096" t="s">
        <v>3951</v>
      </c>
      <c r="AA1096" t="s">
        <v>38</v>
      </c>
    </row>
    <row r="1097" spans="1:27" hidden="1">
      <c r="A1097" t="s">
        <v>3952</v>
      </c>
      <c r="B1097" t="s">
        <v>3953</v>
      </c>
      <c r="C1097" t="e">
        <f>VLOOKUP(B1097,Sheet2!$A$2:$A$392,1,0)</f>
        <v>#N/A</v>
      </c>
      <c r="E1097" t="s">
        <v>52</v>
      </c>
      <c r="F1097" t="s">
        <v>28</v>
      </c>
      <c r="G1097" t="s">
        <v>59</v>
      </c>
      <c r="I1097" t="s">
        <v>1113</v>
      </c>
      <c r="J1097" s="2">
        <v>61344</v>
      </c>
      <c r="K1097" s="3">
        <v>199.98</v>
      </c>
      <c r="L1097" s="2">
        <v>33988</v>
      </c>
      <c r="M1097" s="2">
        <v>9480</v>
      </c>
      <c r="N1097">
        <v>12.8</v>
      </c>
      <c r="O1097" t="s">
        <v>61</v>
      </c>
      <c r="P1097" t="s">
        <v>3954</v>
      </c>
      <c r="R1097" t="s">
        <v>32</v>
      </c>
      <c r="S1097" t="s">
        <v>33</v>
      </c>
      <c r="T1097" t="s">
        <v>34</v>
      </c>
      <c r="U1097" t="s">
        <v>35</v>
      </c>
      <c r="W1097" t="s">
        <v>63</v>
      </c>
      <c r="X1097" t="s">
        <v>34</v>
      </c>
      <c r="Y1097" t="s">
        <v>64</v>
      </c>
      <c r="Z1097" t="s">
        <v>3207</v>
      </c>
      <c r="AA1097" t="s">
        <v>38</v>
      </c>
    </row>
    <row r="1098" spans="1:27" hidden="1">
      <c r="A1098" t="s">
        <v>3955</v>
      </c>
      <c r="B1098" t="s">
        <v>3956</v>
      </c>
      <c r="C1098" t="e">
        <f>VLOOKUP(B1098,Sheet2!$A$2:$A$392,1,0)</f>
        <v>#N/A</v>
      </c>
      <c r="E1098" t="s">
        <v>52</v>
      </c>
      <c r="F1098" t="s">
        <v>28</v>
      </c>
      <c r="G1098" t="s">
        <v>59</v>
      </c>
      <c r="I1098" t="s">
        <v>685</v>
      </c>
      <c r="J1098" s="2">
        <v>37520</v>
      </c>
      <c r="K1098">
        <v>179.9</v>
      </c>
      <c r="L1098" s="2">
        <v>23573</v>
      </c>
      <c r="M1098" s="2">
        <v>9600</v>
      </c>
      <c r="N1098" s="3">
        <v>10.54</v>
      </c>
      <c r="O1098" t="s">
        <v>61</v>
      </c>
      <c r="P1098" t="s">
        <v>3957</v>
      </c>
      <c r="R1098" t="s">
        <v>32</v>
      </c>
      <c r="S1098" t="s">
        <v>33</v>
      </c>
      <c r="T1098" t="s">
        <v>34</v>
      </c>
      <c r="U1098" t="s">
        <v>35</v>
      </c>
      <c r="W1098" t="s">
        <v>63</v>
      </c>
      <c r="X1098" t="s">
        <v>34</v>
      </c>
      <c r="Y1098" t="s">
        <v>64</v>
      </c>
      <c r="Z1098" t="s">
        <v>3958</v>
      </c>
      <c r="AA1098" t="s">
        <v>38</v>
      </c>
    </row>
    <row r="1099" spans="1:27" hidden="1">
      <c r="A1099" t="s">
        <v>3959</v>
      </c>
      <c r="B1099" t="s">
        <v>3960</v>
      </c>
      <c r="C1099" t="e">
        <f>VLOOKUP(B1099,Sheet2!$A$2:$A$392,1,0)</f>
        <v>#N/A</v>
      </c>
      <c r="E1099" t="s">
        <v>52</v>
      </c>
      <c r="F1099" t="s">
        <v>28</v>
      </c>
      <c r="G1099" t="s">
        <v>59</v>
      </c>
      <c r="I1099" t="s">
        <v>2635</v>
      </c>
      <c r="J1099" s="2">
        <v>53489</v>
      </c>
      <c r="K1099">
        <v>189.9</v>
      </c>
      <c r="L1099" s="2">
        <v>29970</v>
      </c>
      <c r="M1099" s="2">
        <v>9480</v>
      </c>
      <c r="N1099">
        <v>12.3</v>
      </c>
      <c r="O1099" t="s">
        <v>61</v>
      </c>
      <c r="P1099" t="s">
        <v>3961</v>
      </c>
      <c r="R1099" t="s">
        <v>32</v>
      </c>
      <c r="S1099" t="s">
        <v>33</v>
      </c>
      <c r="T1099" t="s">
        <v>34</v>
      </c>
      <c r="U1099" t="s">
        <v>35</v>
      </c>
      <c r="W1099" t="s">
        <v>63</v>
      </c>
      <c r="X1099" t="s">
        <v>34</v>
      </c>
      <c r="Y1099" t="s">
        <v>64</v>
      </c>
      <c r="Z1099" t="s">
        <v>3962</v>
      </c>
      <c r="AA1099" t="s">
        <v>38</v>
      </c>
    </row>
    <row r="1100" spans="1:27" hidden="1">
      <c r="A1100" t="s">
        <v>3963</v>
      </c>
      <c r="B1100" t="s">
        <v>1355</v>
      </c>
      <c r="C1100" t="e">
        <f>VLOOKUP(B1100,Sheet2!$A$2:$A$392,1,0)</f>
        <v>#N/A</v>
      </c>
      <c r="E1100" t="s">
        <v>27</v>
      </c>
      <c r="F1100" t="s">
        <v>41</v>
      </c>
      <c r="G1100" t="s">
        <v>415</v>
      </c>
      <c r="J1100" s="2">
        <v>0</v>
      </c>
      <c r="K1100" s="3">
        <v>114.13</v>
      </c>
      <c r="L1100" s="2">
        <v>4667</v>
      </c>
      <c r="M1100" s="2">
        <v>3883</v>
      </c>
      <c r="P1100" t="s">
        <v>3964</v>
      </c>
      <c r="R1100" t="s">
        <v>32</v>
      </c>
      <c r="S1100" t="s">
        <v>33</v>
      </c>
      <c r="U1100" t="s">
        <v>35</v>
      </c>
      <c r="W1100" t="s">
        <v>63</v>
      </c>
      <c r="X1100" t="s">
        <v>34</v>
      </c>
      <c r="Y1100" t="s">
        <v>64</v>
      </c>
      <c r="Z1100" t="s">
        <v>3965</v>
      </c>
      <c r="AA1100" t="s">
        <v>38</v>
      </c>
    </row>
    <row r="1101" spans="1:27" hidden="1">
      <c r="A1101" t="s">
        <v>3966</v>
      </c>
      <c r="B1101" t="s">
        <v>3967</v>
      </c>
      <c r="C1101" t="e">
        <f>VLOOKUP(B1101,Sheet2!$A$2:$A$392,1,0)</f>
        <v>#N/A</v>
      </c>
      <c r="E1101" t="s">
        <v>52</v>
      </c>
      <c r="F1101" t="s">
        <v>28</v>
      </c>
      <c r="G1101" t="s">
        <v>59</v>
      </c>
      <c r="I1101" t="s">
        <v>301</v>
      </c>
      <c r="J1101">
        <v>47.271000000000001</v>
      </c>
      <c r="K1101" s="3">
        <v>185.73</v>
      </c>
      <c r="L1101">
        <v>25.939</v>
      </c>
      <c r="O1101" t="s">
        <v>61</v>
      </c>
      <c r="P1101" t="s">
        <v>3968</v>
      </c>
      <c r="R1101" t="s">
        <v>301</v>
      </c>
      <c r="S1101" t="s">
        <v>33</v>
      </c>
      <c r="T1101" t="s">
        <v>34</v>
      </c>
      <c r="U1101" t="s">
        <v>35</v>
      </c>
      <c r="W1101" t="s">
        <v>63</v>
      </c>
      <c r="X1101" t="s">
        <v>34</v>
      </c>
      <c r="Y1101" t="s">
        <v>64</v>
      </c>
      <c r="Z1101" t="s">
        <v>3969</v>
      </c>
      <c r="AA1101" t="s">
        <v>38</v>
      </c>
    </row>
    <row r="1102" spans="1:27" hidden="1">
      <c r="A1102" t="s">
        <v>3970</v>
      </c>
      <c r="B1102" t="s">
        <v>3971</v>
      </c>
      <c r="C1102" t="e">
        <f>VLOOKUP(B1102,Sheet2!$A$2:$A$392,1,0)</f>
        <v>#N/A</v>
      </c>
      <c r="E1102" t="s">
        <v>52</v>
      </c>
      <c r="F1102" t="s">
        <v>41</v>
      </c>
      <c r="G1102" t="s">
        <v>3080</v>
      </c>
      <c r="J1102" s="2">
        <v>2955</v>
      </c>
      <c r="K1102" s="2">
        <v>90</v>
      </c>
      <c r="L1102" s="2">
        <v>2175</v>
      </c>
      <c r="N1102">
        <v>4.2</v>
      </c>
      <c r="O1102" t="s">
        <v>3081</v>
      </c>
      <c r="P1102" t="s">
        <v>3972</v>
      </c>
      <c r="R1102" t="s">
        <v>42</v>
      </c>
      <c r="S1102" t="s">
        <v>33</v>
      </c>
      <c r="U1102" t="s">
        <v>35</v>
      </c>
      <c r="W1102" t="s">
        <v>63</v>
      </c>
      <c r="X1102" t="s">
        <v>34</v>
      </c>
      <c r="Y1102" t="s">
        <v>64</v>
      </c>
      <c r="Z1102" t="s">
        <v>3973</v>
      </c>
      <c r="AA1102" t="s">
        <v>38</v>
      </c>
    </row>
    <row r="1103" spans="1:27" hidden="1">
      <c r="A1103" t="s">
        <v>3974</v>
      </c>
      <c r="B1103" t="s">
        <v>3975</v>
      </c>
      <c r="C1103" t="e">
        <f>VLOOKUP(B1103,Sheet2!$A$2:$A$392,1,0)</f>
        <v>#N/A</v>
      </c>
      <c r="E1103" t="s">
        <v>52</v>
      </c>
      <c r="F1103" t="s">
        <v>28</v>
      </c>
      <c r="G1103" t="s">
        <v>59</v>
      </c>
      <c r="I1103" t="s">
        <v>1113</v>
      </c>
      <c r="J1103" s="2">
        <v>58018</v>
      </c>
      <c r="K1103" s="2">
        <v>189</v>
      </c>
      <c r="L1103" s="2">
        <v>32839</v>
      </c>
      <c r="M1103" s="2">
        <v>8700</v>
      </c>
      <c r="N1103" s="2">
        <v>13</v>
      </c>
      <c r="O1103" t="s">
        <v>61</v>
      </c>
      <c r="P1103" t="s">
        <v>3976</v>
      </c>
      <c r="R1103" t="s">
        <v>32</v>
      </c>
      <c r="S1103" t="s">
        <v>33</v>
      </c>
      <c r="T1103" t="s">
        <v>34</v>
      </c>
      <c r="U1103" t="s">
        <v>35</v>
      </c>
      <c r="W1103" t="s">
        <v>63</v>
      </c>
      <c r="X1103" t="s">
        <v>34</v>
      </c>
      <c r="Y1103" t="s">
        <v>64</v>
      </c>
      <c r="Z1103" t="s">
        <v>3977</v>
      </c>
      <c r="AA1103" t="s">
        <v>38</v>
      </c>
    </row>
    <row r="1104" spans="1:27" hidden="1">
      <c r="A1104" t="s">
        <v>3978</v>
      </c>
      <c r="B1104" t="s">
        <v>3979</v>
      </c>
      <c r="C1104" t="e">
        <f>VLOOKUP(B1104,Sheet2!$A$2:$A$392,1,0)</f>
        <v>#N/A</v>
      </c>
      <c r="E1104" t="s">
        <v>52</v>
      </c>
      <c r="F1104" t="s">
        <v>28</v>
      </c>
      <c r="G1104" t="s">
        <v>59</v>
      </c>
      <c r="I1104" t="s">
        <v>352</v>
      </c>
      <c r="J1104" s="2">
        <v>56057</v>
      </c>
      <c r="K1104" s="3">
        <v>189.99</v>
      </c>
      <c r="L1104" s="2">
        <v>31236</v>
      </c>
      <c r="M1104" s="2">
        <v>9480</v>
      </c>
      <c r="N1104">
        <v>12.5</v>
      </c>
      <c r="O1104" t="s">
        <v>61</v>
      </c>
      <c r="P1104" t="s">
        <v>3980</v>
      </c>
      <c r="R1104" t="s">
        <v>32</v>
      </c>
      <c r="S1104" t="s">
        <v>33</v>
      </c>
      <c r="T1104" t="s">
        <v>34</v>
      </c>
      <c r="U1104" t="s">
        <v>35</v>
      </c>
      <c r="W1104" t="s">
        <v>63</v>
      </c>
      <c r="X1104" t="s">
        <v>34</v>
      </c>
      <c r="Y1104" t="s">
        <v>64</v>
      </c>
      <c r="Z1104" t="s">
        <v>3981</v>
      </c>
      <c r="AA1104" t="s">
        <v>38</v>
      </c>
    </row>
    <row r="1105" spans="1:27" hidden="1">
      <c r="A1105" t="s">
        <v>3982</v>
      </c>
      <c r="B1105" t="s">
        <v>3983</v>
      </c>
      <c r="C1105" t="e">
        <f>VLOOKUP(B1105,Sheet2!$A$2:$A$392,1,0)</f>
        <v>#N/A</v>
      </c>
      <c r="E1105" t="s">
        <v>52</v>
      </c>
      <c r="F1105" t="s">
        <v>28</v>
      </c>
      <c r="G1105" t="s">
        <v>59</v>
      </c>
      <c r="I1105" t="s">
        <v>301</v>
      </c>
      <c r="J1105" s="2">
        <v>38129</v>
      </c>
      <c r="K1105" s="2">
        <v>180</v>
      </c>
      <c r="L1105" s="2">
        <v>23550</v>
      </c>
      <c r="M1105" s="2">
        <v>7560</v>
      </c>
      <c r="N1105" s="2">
        <v>13</v>
      </c>
      <c r="O1105" t="s">
        <v>61</v>
      </c>
      <c r="P1105" t="s">
        <v>3984</v>
      </c>
      <c r="R1105" t="s">
        <v>32</v>
      </c>
      <c r="S1105" t="s">
        <v>33</v>
      </c>
      <c r="T1105" t="s">
        <v>34</v>
      </c>
      <c r="U1105" t="s">
        <v>35</v>
      </c>
      <c r="W1105" t="s">
        <v>63</v>
      </c>
      <c r="X1105" t="s">
        <v>34</v>
      </c>
      <c r="Y1105" t="s">
        <v>64</v>
      </c>
      <c r="Z1105" t="s">
        <v>3985</v>
      </c>
      <c r="AA1105" t="s">
        <v>38</v>
      </c>
    </row>
    <row r="1106" spans="1:27">
      <c r="A1106" t="s">
        <v>3986</v>
      </c>
      <c r="B1106" t="s">
        <v>3230</v>
      </c>
      <c r="C1106" t="str">
        <f>VLOOKUP(B1106,Sheet2!$A$2:$A$392,1,0)</f>
        <v>MV. IRIANA</v>
      </c>
      <c r="E1106" t="s">
        <v>52</v>
      </c>
      <c r="F1106" t="s">
        <v>41</v>
      </c>
      <c r="G1106" t="s">
        <v>3080</v>
      </c>
      <c r="I1106" t="s">
        <v>42</v>
      </c>
      <c r="J1106" s="2">
        <v>10306</v>
      </c>
      <c r="K1106" s="2">
        <v>117</v>
      </c>
      <c r="L1106" s="2">
        <v>7757</v>
      </c>
      <c r="N1106">
        <v>6.5</v>
      </c>
      <c r="O1106" t="s">
        <v>3081</v>
      </c>
      <c r="P1106" t="s">
        <v>1684</v>
      </c>
      <c r="R1106" t="s">
        <v>42</v>
      </c>
      <c r="S1106" t="s">
        <v>33</v>
      </c>
      <c r="T1106" t="s">
        <v>106</v>
      </c>
      <c r="U1106" t="s">
        <v>35</v>
      </c>
      <c r="W1106" t="s">
        <v>63</v>
      </c>
      <c r="X1106" t="s">
        <v>34</v>
      </c>
      <c r="Y1106" t="s">
        <v>64</v>
      </c>
      <c r="Z1106" t="s">
        <v>3987</v>
      </c>
      <c r="AA1106" t="s">
        <v>38</v>
      </c>
    </row>
    <row r="1107" spans="1:27" hidden="1">
      <c r="A1107" t="s">
        <v>3988</v>
      </c>
      <c r="B1107" t="s">
        <v>3989</v>
      </c>
      <c r="C1107" t="e">
        <f>VLOOKUP(B1107,Sheet2!$A$2:$A$392,1,0)</f>
        <v>#N/A</v>
      </c>
      <c r="E1107" t="s">
        <v>52</v>
      </c>
      <c r="F1107" t="s">
        <v>28</v>
      </c>
      <c r="G1107" t="s">
        <v>59</v>
      </c>
      <c r="I1107" t="s">
        <v>2635</v>
      </c>
      <c r="J1107" s="2">
        <v>58129</v>
      </c>
      <c r="K1107" s="2">
        <v>190</v>
      </c>
      <c r="L1107" s="2">
        <v>32343</v>
      </c>
      <c r="M1107" s="2">
        <v>9000</v>
      </c>
      <c r="N1107">
        <v>12.8</v>
      </c>
      <c r="O1107" t="s">
        <v>61</v>
      </c>
      <c r="P1107" t="s">
        <v>3990</v>
      </c>
      <c r="R1107" t="s">
        <v>581</v>
      </c>
      <c r="S1107" t="s">
        <v>33</v>
      </c>
      <c r="T1107" t="s">
        <v>34</v>
      </c>
      <c r="U1107" t="s">
        <v>35</v>
      </c>
      <c r="W1107" t="s">
        <v>63</v>
      </c>
      <c r="X1107" t="s">
        <v>34</v>
      </c>
      <c r="Y1107" t="s">
        <v>64</v>
      </c>
      <c r="Z1107" t="s">
        <v>3991</v>
      </c>
      <c r="AA1107" t="s">
        <v>38</v>
      </c>
    </row>
    <row r="1108" spans="1:27" hidden="1">
      <c r="A1108" t="s">
        <v>3992</v>
      </c>
      <c r="B1108" t="s">
        <v>3255</v>
      </c>
      <c r="C1108" t="e">
        <f>VLOOKUP(B1108,Sheet2!$A$2:$A$392,1,0)</f>
        <v>#N/A</v>
      </c>
      <c r="E1108" t="s">
        <v>52</v>
      </c>
      <c r="F1108" t="s">
        <v>28</v>
      </c>
      <c r="G1108" t="s">
        <v>59</v>
      </c>
      <c r="J1108" s="2">
        <v>45665</v>
      </c>
      <c r="K1108" s="3">
        <v>185.74</v>
      </c>
      <c r="L1108" s="2">
        <v>26049</v>
      </c>
      <c r="M1108" s="2">
        <v>9750</v>
      </c>
      <c r="N1108">
        <v>11.6</v>
      </c>
      <c r="O1108" t="s">
        <v>61</v>
      </c>
      <c r="P1108" t="s">
        <v>3256</v>
      </c>
      <c r="R1108" t="s">
        <v>32</v>
      </c>
      <c r="S1108" t="s">
        <v>33</v>
      </c>
      <c r="U1108" t="s">
        <v>35</v>
      </c>
      <c r="W1108" t="s">
        <v>63</v>
      </c>
      <c r="X1108" t="s">
        <v>34</v>
      </c>
      <c r="Y1108" t="s">
        <v>64</v>
      </c>
      <c r="Z1108" t="s">
        <v>3993</v>
      </c>
      <c r="AA1108" t="s">
        <v>38</v>
      </c>
    </row>
    <row r="1109" spans="1:27" hidden="1">
      <c r="A1109" t="s">
        <v>3994</v>
      </c>
      <c r="B1109" t="s">
        <v>3995</v>
      </c>
      <c r="C1109" t="e">
        <f>VLOOKUP(B1109,Sheet2!$A$2:$A$392,1,0)</f>
        <v>#N/A</v>
      </c>
      <c r="E1109" t="s">
        <v>52</v>
      </c>
      <c r="F1109" t="s">
        <v>28</v>
      </c>
      <c r="G1109" t="s">
        <v>59</v>
      </c>
      <c r="J1109" s="2">
        <v>53377</v>
      </c>
      <c r="K1109" s="2">
        <v>190</v>
      </c>
      <c r="L1109" s="2">
        <v>32460</v>
      </c>
      <c r="M1109" s="2">
        <v>8650</v>
      </c>
      <c r="N1109" s="2">
        <v>10</v>
      </c>
      <c r="O1109" t="s">
        <v>61</v>
      </c>
      <c r="P1109" t="s">
        <v>3996</v>
      </c>
      <c r="R1109" t="s">
        <v>581</v>
      </c>
      <c r="S1109" t="s">
        <v>33</v>
      </c>
      <c r="U1109" t="s">
        <v>35</v>
      </c>
      <c r="W1109" t="s">
        <v>63</v>
      </c>
      <c r="X1109" t="s">
        <v>34</v>
      </c>
      <c r="Y1109" t="s">
        <v>64</v>
      </c>
      <c r="Z1109" t="s">
        <v>3997</v>
      </c>
      <c r="AA1109" t="s">
        <v>38</v>
      </c>
    </row>
    <row r="1110" spans="1:27" hidden="1">
      <c r="A1110" t="s">
        <v>3998</v>
      </c>
      <c r="B1110" t="s">
        <v>3999</v>
      </c>
      <c r="C1110" t="e">
        <f>VLOOKUP(B1110,Sheet2!$A$2:$A$392,1,0)</f>
        <v>#N/A</v>
      </c>
      <c r="E1110" t="s">
        <v>52</v>
      </c>
      <c r="F1110" t="s">
        <v>28</v>
      </c>
      <c r="G1110" t="s">
        <v>59</v>
      </c>
      <c r="I1110" t="s">
        <v>1113</v>
      </c>
      <c r="J1110" s="2">
        <v>56880</v>
      </c>
      <c r="K1110" s="3">
        <v>189.99</v>
      </c>
      <c r="L1110" s="2">
        <v>33042</v>
      </c>
      <c r="M1110" s="2">
        <v>9480</v>
      </c>
      <c r="N1110" s="2">
        <v>128</v>
      </c>
      <c r="O1110" t="s">
        <v>61</v>
      </c>
      <c r="P1110" t="s">
        <v>4000</v>
      </c>
      <c r="R1110" t="s">
        <v>581</v>
      </c>
      <c r="S1110" t="s">
        <v>33</v>
      </c>
      <c r="T1110" t="s">
        <v>34</v>
      </c>
      <c r="U1110" t="s">
        <v>35</v>
      </c>
      <c r="W1110" t="s">
        <v>63</v>
      </c>
      <c r="X1110" t="s">
        <v>34</v>
      </c>
      <c r="Y1110" t="s">
        <v>64</v>
      </c>
      <c r="Z1110" t="s">
        <v>4001</v>
      </c>
      <c r="AA1110" t="s">
        <v>38</v>
      </c>
    </row>
    <row r="1111" spans="1:27" hidden="1">
      <c r="A1111" t="s">
        <v>4002</v>
      </c>
      <c r="B1111" t="s">
        <v>4003</v>
      </c>
      <c r="C1111" t="e">
        <f>VLOOKUP(B1111,Sheet2!$A$2:$A$392,1,0)</f>
        <v>#N/A</v>
      </c>
      <c r="E1111" t="s">
        <v>52</v>
      </c>
      <c r="F1111" t="s">
        <v>41</v>
      </c>
      <c r="G1111" t="s">
        <v>3080</v>
      </c>
      <c r="J1111" s="2">
        <v>4409</v>
      </c>
      <c r="K1111" s="2">
        <v>91</v>
      </c>
      <c r="L1111" s="2">
        <v>2630</v>
      </c>
      <c r="P1111" t="s">
        <v>4004</v>
      </c>
      <c r="R1111" t="s">
        <v>42</v>
      </c>
      <c r="S1111" t="s">
        <v>33</v>
      </c>
      <c r="U1111" t="s">
        <v>35</v>
      </c>
      <c r="W1111" t="s">
        <v>63</v>
      </c>
      <c r="X1111" t="s">
        <v>34</v>
      </c>
      <c r="Y1111" t="s">
        <v>64</v>
      </c>
      <c r="Z1111" t="s">
        <v>4005</v>
      </c>
      <c r="AA1111" t="s">
        <v>38</v>
      </c>
    </row>
    <row r="1112" spans="1:27" hidden="1">
      <c r="A1112" t="s">
        <v>4006</v>
      </c>
      <c r="B1112" t="s">
        <v>4007</v>
      </c>
      <c r="C1112" t="e">
        <f>VLOOKUP(B1112,Sheet2!$A$2:$A$392,1,0)</f>
        <v>#N/A</v>
      </c>
      <c r="E1112" t="s">
        <v>52</v>
      </c>
      <c r="F1112" t="s">
        <v>28</v>
      </c>
      <c r="G1112" t="s">
        <v>59</v>
      </c>
      <c r="I1112" t="s">
        <v>60</v>
      </c>
      <c r="J1112" s="2">
        <v>56088</v>
      </c>
      <c r="K1112" s="3">
        <v>189.99</v>
      </c>
      <c r="L1112" s="2">
        <v>31761</v>
      </c>
      <c r="M1112" s="2">
        <v>9480</v>
      </c>
      <c r="N1112" s="2">
        <v>10</v>
      </c>
      <c r="O1112" t="s">
        <v>61</v>
      </c>
      <c r="P1112" t="s">
        <v>3118</v>
      </c>
      <c r="R1112" t="s">
        <v>60</v>
      </c>
      <c r="S1112" t="s">
        <v>33</v>
      </c>
      <c r="T1112" t="s">
        <v>34</v>
      </c>
      <c r="U1112" t="s">
        <v>35</v>
      </c>
      <c r="V1112" s="2">
        <v>5</v>
      </c>
      <c r="W1112" t="s">
        <v>63</v>
      </c>
      <c r="X1112" t="s">
        <v>34</v>
      </c>
      <c r="Y1112" t="s">
        <v>64</v>
      </c>
      <c r="Z1112" t="s">
        <v>4008</v>
      </c>
      <c r="AA1112" t="s">
        <v>38</v>
      </c>
    </row>
    <row r="1113" spans="1:27">
      <c r="A1113" t="s">
        <v>4009</v>
      </c>
      <c r="B1113" t="s">
        <v>4010</v>
      </c>
      <c r="C1113" t="str">
        <f>VLOOKUP(B1113,Sheet2!$A$2:$A$392,1,0)</f>
        <v>MV. V UNO</v>
      </c>
      <c r="E1113" t="s">
        <v>52</v>
      </c>
      <c r="F1113" t="s">
        <v>28</v>
      </c>
      <c r="G1113" t="s">
        <v>29</v>
      </c>
      <c r="I1113" t="s">
        <v>1692</v>
      </c>
      <c r="J1113" s="2">
        <v>37888</v>
      </c>
      <c r="K1113" s="2">
        <v>181</v>
      </c>
      <c r="L1113" s="2">
        <v>23689</v>
      </c>
      <c r="P1113" t="s">
        <v>4011</v>
      </c>
      <c r="R1113" t="s">
        <v>2802</v>
      </c>
      <c r="S1113" t="s">
        <v>33</v>
      </c>
      <c r="T1113" t="s">
        <v>34</v>
      </c>
      <c r="U1113" t="s">
        <v>35</v>
      </c>
      <c r="X1113" t="s">
        <v>34</v>
      </c>
      <c r="Y1113" t="s">
        <v>45</v>
      </c>
      <c r="Z1113" t="s">
        <v>4012</v>
      </c>
      <c r="AA1113" t="s">
        <v>38</v>
      </c>
    </row>
    <row r="1114" spans="1:27">
      <c r="A1114" t="s">
        <v>4013</v>
      </c>
      <c r="B1114" t="s">
        <v>4014</v>
      </c>
      <c r="C1114" t="str">
        <f>VLOOKUP(B1114,Sheet2!$A$2:$A$392,1,0)</f>
        <v>MV. VOSCO STAR</v>
      </c>
      <c r="E1114" t="s">
        <v>52</v>
      </c>
      <c r="F1114" t="s">
        <v>28</v>
      </c>
      <c r="G1114" t="s">
        <v>29</v>
      </c>
      <c r="J1114" s="2">
        <v>46671</v>
      </c>
      <c r="K1114" s="2">
        <v>190</v>
      </c>
      <c r="L1114" s="2">
        <v>27003</v>
      </c>
      <c r="M1114" s="2">
        <v>8000</v>
      </c>
      <c r="N1114" s="2">
        <v>12</v>
      </c>
      <c r="O1114" t="s">
        <v>482</v>
      </c>
      <c r="P1114" t="s">
        <v>4015</v>
      </c>
      <c r="R1114" t="s">
        <v>32</v>
      </c>
      <c r="S1114" t="s">
        <v>33</v>
      </c>
      <c r="U1114" t="s">
        <v>35</v>
      </c>
      <c r="X1114" t="s">
        <v>34</v>
      </c>
      <c r="Y1114" t="s">
        <v>45</v>
      </c>
      <c r="Z1114" t="s">
        <v>4016</v>
      </c>
      <c r="AA1114" t="s">
        <v>38</v>
      </c>
    </row>
    <row r="1115" spans="1:27" hidden="1">
      <c r="A1115" t="s">
        <v>4017</v>
      </c>
      <c r="B1115" t="s">
        <v>4018</v>
      </c>
      <c r="C1115" t="e">
        <f>VLOOKUP(B1115,Sheet2!$A$2:$A$392,1,0)</f>
        <v>#N/A</v>
      </c>
      <c r="E1115" t="s">
        <v>52</v>
      </c>
      <c r="F1115" t="s">
        <v>41</v>
      </c>
      <c r="G1115" t="s">
        <v>59</v>
      </c>
      <c r="I1115" t="s">
        <v>2635</v>
      </c>
      <c r="J1115" s="2">
        <v>63377</v>
      </c>
      <c r="K1115" s="2">
        <v>199</v>
      </c>
      <c r="L1115" s="2">
        <v>35823</v>
      </c>
      <c r="M1115" s="2">
        <v>7560</v>
      </c>
      <c r="N1115" s="2">
        <v>13</v>
      </c>
      <c r="O1115" t="s">
        <v>61</v>
      </c>
      <c r="P1115" t="s">
        <v>4019</v>
      </c>
      <c r="R1115" t="s">
        <v>32</v>
      </c>
      <c r="S1115" t="s">
        <v>33</v>
      </c>
      <c r="T1115" t="s">
        <v>34</v>
      </c>
      <c r="U1115" t="s">
        <v>35</v>
      </c>
      <c r="W1115" t="s">
        <v>63</v>
      </c>
      <c r="X1115" t="s">
        <v>34</v>
      </c>
      <c r="Y1115" t="s">
        <v>64</v>
      </c>
      <c r="Z1115" t="s">
        <v>4020</v>
      </c>
      <c r="AA1115" t="s">
        <v>38</v>
      </c>
    </row>
    <row r="1116" spans="1:27" hidden="1">
      <c r="A1116" t="s">
        <v>4021</v>
      </c>
      <c r="B1116" t="s">
        <v>4022</v>
      </c>
      <c r="C1116" t="e">
        <f>VLOOKUP(B1116,Sheet2!$A$2:$A$392,1,0)</f>
        <v>#N/A</v>
      </c>
      <c r="E1116" t="s">
        <v>52</v>
      </c>
      <c r="F1116" t="s">
        <v>28</v>
      </c>
      <c r="G1116" t="s">
        <v>59</v>
      </c>
      <c r="I1116" t="s">
        <v>2635</v>
      </c>
      <c r="J1116" s="2">
        <v>63350</v>
      </c>
      <c r="K1116">
        <v>194.5</v>
      </c>
      <c r="L1116" s="2">
        <v>35812</v>
      </c>
      <c r="M1116" s="2">
        <v>9000</v>
      </c>
      <c r="N1116" s="2">
        <v>13</v>
      </c>
      <c r="O1116" t="s">
        <v>61</v>
      </c>
      <c r="P1116" t="s">
        <v>4023</v>
      </c>
      <c r="R1116" t="s">
        <v>581</v>
      </c>
      <c r="S1116" t="s">
        <v>33</v>
      </c>
      <c r="T1116" t="s">
        <v>34</v>
      </c>
      <c r="U1116" t="s">
        <v>35</v>
      </c>
      <c r="W1116" t="s">
        <v>63</v>
      </c>
      <c r="X1116" t="s">
        <v>34</v>
      </c>
      <c r="Y1116" t="s">
        <v>64</v>
      </c>
      <c r="Z1116" t="s">
        <v>4024</v>
      </c>
      <c r="AA1116" t="s">
        <v>38</v>
      </c>
    </row>
    <row r="1117" spans="1:27" hidden="1">
      <c r="A1117" t="s">
        <v>4025</v>
      </c>
      <c r="B1117" t="s">
        <v>4026</v>
      </c>
      <c r="C1117" t="e">
        <f>VLOOKUP(B1117,Sheet2!$A$2:$A$392,1,0)</f>
        <v>#N/A</v>
      </c>
      <c r="E1117" t="s">
        <v>52</v>
      </c>
      <c r="F1117" t="s">
        <v>28</v>
      </c>
      <c r="G1117" t="s">
        <v>29</v>
      </c>
      <c r="I1117" t="s">
        <v>30</v>
      </c>
      <c r="J1117" s="2">
        <v>26482</v>
      </c>
      <c r="K1117" s="3">
        <v>169.51</v>
      </c>
      <c r="L1117" s="2">
        <v>15932</v>
      </c>
      <c r="P1117" t="s">
        <v>4027</v>
      </c>
      <c r="R1117" t="s">
        <v>32</v>
      </c>
      <c r="S1117" t="s">
        <v>33</v>
      </c>
      <c r="T1117" t="s">
        <v>34</v>
      </c>
      <c r="U1117" t="s">
        <v>35</v>
      </c>
      <c r="X1117" t="s">
        <v>34</v>
      </c>
      <c r="Y1117" t="s">
        <v>45</v>
      </c>
      <c r="Z1117" t="s">
        <v>4028</v>
      </c>
      <c r="AA1117" t="s">
        <v>38</v>
      </c>
    </row>
    <row r="1118" spans="1:27" hidden="1">
      <c r="A1118" t="s">
        <v>4029</v>
      </c>
      <c r="B1118" t="s">
        <v>4030</v>
      </c>
      <c r="C1118" t="e">
        <f>VLOOKUP(B1118,Sheet2!$A$2:$A$392,1,0)</f>
        <v>#N/A</v>
      </c>
      <c r="E1118" t="s">
        <v>52</v>
      </c>
      <c r="F1118" t="s">
        <v>28</v>
      </c>
      <c r="G1118" t="s">
        <v>59</v>
      </c>
      <c r="J1118" s="2">
        <v>58411</v>
      </c>
      <c r="K1118" s="3">
        <v>189.99</v>
      </c>
      <c r="L1118" s="2">
        <v>32983</v>
      </c>
      <c r="N1118">
        <v>13.067</v>
      </c>
      <c r="O1118" t="s">
        <v>61</v>
      </c>
      <c r="P1118" t="s">
        <v>4031</v>
      </c>
      <c r="R1118" t="s">
        <v>581</v>
      </c>
      <c r="S1118" t="s">
        <v>33</v>
      </c>
      <c r="U1118" t="s">
        <v>35</v>
      </c>
      <c r="V1118" s="2">
        <v>5</v>
      </c>
      <c r="W1118" t="s">
        <v>63</v>
      </c>
      <c r="X1118" t="s">
        <v>34</v>
      </c>
      <c r="Y1118" t="s">
        <v>64</v>
      </c>
      <c r="Z1118" t="s">
        <v>4032</v>
      </c>
      <c r="AA1118" t="s">
        <v>38</v>
      </c>
    </row>
    <row r="1119" spans="1:27" hidden="1">
      <c r="A1119" t="s">
        <v>4033</v>
      </c>
      <c r="B1119" t="s">
        <v>4034</v>
      </c>
      <c r="C1119" t="e">
        <f>VLOOKUP(B1119,Sheet2!$A$2:$A$392,1,0)</f>
        <v>#N/A</v>
      </c>
      <c r="E1119" t="s">
        <v>52</v>
      </c>
      <c r="F1119" t="s">
        <v>28</v>
      </c>
      <c r="G1119" t="s">
        <v>29</v>
      </c>
      <c r="I1119" t="s">
        <v>352</v>
      </c>
      <c r="J1119" s="2">
        <v>27841</v>
      </c>
      <c r="K1119" s="2">
        <v>170</v>
      </c>
      <c r="L1119" s="2">
        <v>18108</v>
      </c>
      <c r="P1119" t="s">
        <v>4035</v>
      </c>
      <c r="R1119" t="s">
        <v>32</v>
      </c>
      <c r="S1119" t="s">
        <v>33</v>
      </c>
      <c r="T1119" t="s">
        <v>34</v>
      </c>
      <c r="U1119" t="s">
        <v>35</v>
      </c>
      <c r="X1119" t="s">
        <v>34</v>
      </c>
      <c r="Y1119" t="s">
        <v>45</v>
      </c>
      <c r="Z1119" t="s">
        <v>4036</v>
      </c>
      <c r="AA1119" t="s">
        <v>38</v>
      </c>
    </row>
    <row r="1120" spans="1:27" hidden="1">
      <c r="A1120" t="s">
        <v>4037</v>
      </c>
      <c r="B1120" t="s">
        <v>4038</v>
      </c>
      <c r="C1120" t="e">
        <f>VLOOKUP(B1120,Sheet2!$A$2:$A$392,1,0)</f>
        <v>#N/A</v>
      </c>
      <c r="E1120" t="s">
        <v>52</v>
      </c>
      <c r="F1120" t="s">
        <v>28</v>
      </c>
      <c r="G1120" t="s">
        <v>59</v>
      </c>
      <c r="J1120" s="2">
        <v>52055</v>
      </c>
      <c r="K1120">
        <v>189.9</v>
      </c>
      <c r="L1120" s="2">
        <v>29499</v>
      </c>
      <c r="M1120" s="2">
        <v>8500</v>
      </c>
      <c r="N1120" s="2">
        <v>12</v>
      </c>
      <c r="O1120" t="s">
        <v>61</v>
      </c>
      <c r="P1120" t="s">
        <v>4039</v>
      </c>
      <c r="R1120" t="s">
        <v>32</v>
      </c>
      <c r="S1120" t="s">
        <v>33</v>
      </c>
      <c r="U1120" t="s">
        <v>35</v>
      </c>
      <c r="W1120" t="s">
        <v>63</v>
      </c>
      <c r="X1120" t="s">
        <v>34</v>
      </c>
      <c r="Y1120" t="s">
        <v>64</v>
      </c>
      <c r="Z1120" t="s">
        <v>4040</v>
      </c>
      <c r="AA1120" t="s">
        <v>38</v>
      </c>
    </row>
    <row r="1121" spans="1:27" hidden="1">
      <c r="A1121" t="s">
        <v>4041</v>
      </c>
      <c r="B1121" t="s">
        <v>4042</v>
      </c>
      <c r="C1121" t="e">
        <f>VLOOKUP(B1121,Sheet2!$A$2:$A$392,1,0)</f>
        <v>#N/A</v>
      </c>
      <c r="E1121" t="s">
        <v>52</v>
      </c>
      <c r="F1121" t="s">
        <v>28</v>
      </c>
      <c r="G1121" t="s">
        <v>29</v>
      </c>
      <c r="I1121" t="s">
        <v>1113</v>
      </c>
      <c r="J1121" s="2">
        <v>35045</v>
      </c>
      <c r="K1121" s="2">
        <v>180</v>
      </c>
      <c r="L1121" s="2">
        <v>22409</v>
      </c>
      <c r="P1121" t="s">
        <v>4043</v>
      </c>
      <c r="R1121" t="s">
        <v>32</v>
      </c>
      <c r="S1121" t="s">
        <v>33</v>
      </c>
      <c r="T1121" t="s">
        <v>34</v>
      </c>
      <c r="U1121" t="s">
        <v>35</v>
      </c>
      <c r="X1121" t="s">
        <v>34</v>
      </c>
      <c r="Y1121" t="s">
        <v>45</v>
      </c>
      <c r="Z1121" t="s">
        <v>4044</v>
      </c>
      <c r="AA1121" t="s">
        <v>38</v>
      </c>
    </row>
    <row r="1122" spans="1:27" hidden="1">
      <c r="A1122" t="s">
        <v>4045</v>
      </c>
      <c r="B1122" t="s">
        <v>4046</v>
      </c>
      <c r="C1122" t="e">
        <f>VLOOKUP(B1122,Sheet2!$A$2:$A$392,1,0)</f>
        <v>#N/A</v>
      </c>
      <c r="E1122" t="s">
        <v>27</v>
      </c>
      <c r="F1122" t="s">
        <v>28</v>
      </c>
      <c r="G1122" t="s">
        <v>222</v>
      </c>
      <c r="I1122" t="s">
        <v>4047</v>
      </c>
      <c r="J1122" s="2">
        <v>16572</v>
      </c>
      <c r="K1122" s="2">
        <v>157</v>
      </c>
      <c r="L1122" s="2">
        <v>16572</v>
      </c>
      <c r="N1122" s="2">
        <v>6</v>
      </c>
      <c r="O1122" t="s">
        <v>223</v>
      </c>
      <c r="P1122" t="s">
        <v>4048</v>
      </c>
      <c r="R1122" t="s">
        <v>4047</v>
      </c>
      <c r="S1122" t="s">
        <v>33</v>
      </c>
      <c r="T1122" t="s">
        <v>34</v>
      </c>
      <c r="U1122" t="s">
        <v>35</v>
      </c>
      <c r="V1122" s="2">
        <v>4</v>
      </c>
      <c r="X1122" t="s">
        <v>34</v>
      </c>
      <c r="Y1122" t="s">
        <v>154</v>
      </c>
      <c r="Z1122" t="s">
        <v>4049</v>
      </c>
      <c r="AA1122" t="s">
        <v>38</v>
      </c>
    </row>
    <row r="1123" spans="1:27" hidden="1">
      <c r="A1123" t="s">
        <v>4050</v>
      </c>
      <c r="B1123" t="s">
        <v>4051</v>
      </c>
      <c r="C1123" t="e">
        <f>VLOOKUP(B1123,Sheet2!$A$2:$A$392,1,0)</f>
        <v>#N/A</v>
      </c>
      <c r="E1123" t="s">
        <v>52</v>
      </c>
      <c r="F1123" t="s">
        <v>28</v>
      </c>
      <c r="G1123" t="s">
        <v>59</v>
      </c>
      <c r="I1123" t="s">
        <v>685</v>
      </c>
      <c r="J1123" s="2">
        <v>63916</v>
      </c>
      <c r="K1123" s="2">
        <v>189</v>
      </c>
      <c r="L1123" s="2">
        <v>35868</v>
      </c>
      <c r="M1123" s="2">
        <v>7740</v>
      </c>
      <c r="N1123" s="2">
        <v>13</v>
      </c>
      <c r="O1123" t="s">
        <v>61</v>
      </c>
      <c r="P1123" t="s">
        <v>4052</v>
      </c>
      <c r="R1123" t="s">
        <v>32</v>
      </c>
      <c r="S1123" t="s">
        <v>33</v>
      </c>
      <c r="T1123" t="s">
        <v>34</v>
      </c>
      <c r="U1123" t="s">
        <v>35</v>
      </c>
      <c r="W1123" t="s">
        <v>63</v>
      </c>
      <c r="X1123" t="s">
        <v>34</v>
      </c>
      <c r="Y1123" t="s">
        <v>64</v>
      </c>
      <c r="Z1123" t="s">
        <v>4053</v>
      </c>
      <c r="AA1123" t="s">
        <v>38</v>
      </c>
    </row>
    <row r="1124" spans="1:27" hidden="1">
      <c r="A1124" t="s">
        <v>4054</v>
      </c>
      <c r="B1124" t="s">
        <v>4055</v>
      </c>
      <c r="C1124" t="e">
        <f>VLOOKUP(B1124,Sheet2!$A$2:$A$392,1,0)</f>
        <v>#N/A</v>
      </c>
      <c r="E1124" t="s">
        <v>52</v>
      </c>
      <c r="F1124" t="s">
        <v>28</v>
      </c>
      <c r="G1124" t="s">
        <v>29</v>
      </c>
      <c r="I1124" t="s">
        <v>352</v>
      </c>
      <c r="J1124" s="2">
        <v>46671</v>
      </c>
      <c r="K1124">
        <v>189.8</v>
      </c>
      <c r="L1124" s="2">
        <v>27003</v>
      </c>
      <c r="P1124" t="s">
        <v>4015</v>
      </c>
      <c r="R1124" t="s">
        <v>32</v>
      </c>
      <c r="S1124" t="s">
        <v>33</v>
      </c>
      <c r="T1124" t="s">
        <v>34</v>
      </c>
      <c r="U1124" t="s">
        <v>35</v>
      </c>
      <c r="X1124" t="s">
        <v>34</v>
      </c>
      <c r="Y1124" t="s">
        <v>45</v>
      </c>
      <c r="Z1124" t="s">
        <v>4012</v>
      </c>
      <c r="AA1124" t="s">
        <v>38</v>
      </c>
    </row>
    <row r="1125" spans="1:27">
      <c r="A1125" t="s">
        <v>4056</v>
      </c>
      <c r="B1125" t="s">
        <v>4057</v>
      </c>
      <c r="C1125" t="str">
        <f>VLOOKUP(B1125,Sheet2!$A$2:$A$392,1,0)</f>
        <v>MV. VINASHIP UNITY</v>
      </c>
      <c r="E1125" t="s">
        <v>52</v>
      </c>
      <c r="F1125" t="s">
        <v>28</v>
      </c>
      <c r="G1125" t="s">
        <v>29</v>
      </c>
      <c r="I1125" t="s">
        <v>352</v>
      </c>
      <c r="J1125" s="2">
        <v>28189</v>
      </c>
      <c r="K1125" s="2">
        <v>170</v>
      </c>
      <c r="L1125" s="2">
        <v>17019</v>
      </c>
      <c r="P1125" t="s">
        <v>4058</v>
      </c>
      <c r="R1125" t="s">
        <v>32</v>
      </c>
      <c r="S1125" t="s">
        <v>33</v>
      </c>
      <c r="T1125" t="s">
        <v>34</v>
      </c>
      <c r="U1125" t="s">
        <v>35</v>
      </c>
      <c r="X1125" t="s">
        <v>34</v>
      </c>
      <c r="Y1125" t="s">
        <v>45</v>
      </c>
      <c r="Z1125" t="s">
        <v>4059</v>
      </c>
      <c r="AA1125" t="s">
        <v>38</v>
      </c>
    </row>
    <row r="1126" spans="1:27">
      <c r="A1126" t="s">
        <v>4060</v>
      </c>
      <c r="B1126" t="s">
        <v>4061</v>
      </c>
      <c r="C1126" t="str">
        <f>VLOOKUP(B1126,Sheet2!$A$2:$A$392,1,0)</f>
        <v>MV. V DUE</v>
      </c>
      <c r="E1126" t="s">
        <v>52</v>
      </c>
      <c r="F1126" t="s">
        <v>28</v>
      </c>
      <c r="G1126" t="s">
        <v>29</v>
      </c>
      <c r="I1126" t="s">
        <v>1692</v>
      </c>
      <c r="J1126" s="2">
        <v>37888</v>
      </c>
      <c r="K1126" s="2">
        <v>181</v>
      </c>
      <c r="L1126" s="2">
        <v>23689</v>
      </c>
      <c r="P1126" t="s">
        <v>4062</v>
      </c>
      <c r="R1126" t="s">
        <v>2802</v>
      </c>
      <c r="S1126" t="s">
        <v>33</v>
      </c>
      <c r="T1126" t="s">
        <v>34</v>
      </c>
      <c r="U1126" t="s">
        <v>35</v>
      </c>
      <c r="X1126" t="s">
        <v>34</v>
      </c>
      <c r="Y1126" t="s">
        <v>45</v>
      </c>
      <c r="Z1126" t="s">
        <v>4063</v>
      </c>
      <c r="AA1126" t="s">
        <v>38</v>
      </c>
    </row>
    <row r="1127" spans="1:27" hidden="1">
      <c r="A1127" t="s">
        <v>4064</v>
      </c>
      <c r="B1127" t="s">
        <v>4065</v>
      </c>
      <c r="C1127" t="e">
        <f>VLOOKUP(B1127,Sheet2!$A$2:$A$392,1,0)</f>
        <v>#N/A</v>
      </c>
      <c r="E1127" t="s">
        <v>52</v>
      </c>
      <c r="F1127" t="s">
        <v>28</v>
      </c>
      <c r="G1127" t="s">
        <v>59</v>
      </c>
      <c r="I1127" t="s">
        <v>301</v>
      </c>
      <c r="J1127" s="2">
        <v>55848</v>
      </c>
      <c r="K1127" s="3">
        <v>186.48</v>
      </c>
      <c r="L1127" s="2">
        <v>31541</v>
      </c>
      <c r="M1127" s="2">
        <v>8890</v>
      </c>
      <c r="N1127">
        <v>12.7</v>
      </c>
      <c r="O1127" t="s">
        <v>61</v>
      </c>
      <c r="P1127" t="s">
        <v>4066</v>
      </c>
      <c r="R1127" t="s">
        <v>32</v>
      </c>
      <c r="S1127" t="s">
        <v>33</v>
      </c>
      <c r="T1127" t="s">
        <v>34</v>
      </c>
      <c r="U1127" t="s">
        <v>35</v>
      </c>
      <c r="W1127" t="s">
        <v>63</v>
      </c>
      <c r="X1127" t="s">
        <v>34</v>
      </c>
      <c r="Y1127" t="s">
        <v>64</v>
      </c>
      <c r="Z1127" t="s">
        <v>4067</v>
      </c>
      <c r="AA1127" t="s">
        <v>38</v>
      </c>
    </row>
    <row r="1128" spans="1:27" hidden="1">
      <c r="A1128" t="s">
        <v>4068</v>
      </c>
      <c r="B1128" t="s">
        <v>4069</v>
      </c>
      <c r="C1128" t="e">
        <f>VLOOKUP(B1128,Sheet2!$A$2:$A$392,1,0)</f>
        <v>#N/A</v>
      </c>
      <c r="E1128" t="s">
        <v>40</v>
      </c>
      <c r="G1128" t="s">
        <v>424</v>
      </c>
      <c r="I1128" t="s">
        <v>42</v>
      </c>
      <c r="J1128" s="2">
        <v>1</v>
      </c>
      <c r="K1128" s="3">
        <v>22.89</v>
      </c>
      <c r="L1128" s="2">
        <v>146</v>
      </c>
      <c r="P1128" t="s">
        <v>4070</v>
      </c>
      <c r="S1128" t="s">
        <v>33</v>
      </c>
      <c r="X1128" t="s">
        <v>34</v>
      </c>
      <c r="AA1128" t="s">
        <v>38</v>
      </c>
    </row>
    <row r="1129" spans="1:27">
      <c r="A1129" t="s">
        <v>4071</v>
      </c>
      <c r="B1129" t="s">
        <v>4072</v>
      </c>
      <c r="C1129" t="str">
        <f>VLOOKUP(B1129,Sheet2!$A$2:$A$392,1,0)</f>
        <v>MV. XIANG FU</v>
      </c>
      <c r="E1129" t="s">
        <v>52</v>
      </c>
      <c r="F1129" t="s">
        <v>28</v>
      </c>
      <c r="G1129" t="s">
        <v>29</v>
      </c>
      <c r="J1129" s="2">
        <v>46931</v>
      </c>
      <c r="K1129" s="2">
        <v>190</v>
      </c>
      <c r="L1129" s="2">
        <v>27792</v>
      </c>
      <c r="M1129" s="2">
        <v>8567</v>
      </c>
      <c r="N1129" s="2">
        <v>11</v>
      </c>
      <c r="P1129" t="s">
        <v>4073</v>
      </c>
      <c r="R1129" t="s">
        <v>244</v>
      </c>
      <c r="S1129" t="s">
        <v>33</v>
      </c>
      <c r="U1129" t="s">
        <v>35</v>
      </c>
      <c r="V1129" s="2">
        <v>4</v>
      </c>
      <c r="X1129" t="s">
        <v>34</v>
      </c>
      <c r="Y1129" t="s">
        <v>45</v>
      </c>
      <c r="Z1129" t="s">
        <v>4074</v>
      </c>
      <c r="AA1129" t="s">
        <v>38</v>
      </c>
    </row>
    <row r="1130" spans="1:27" hidden="1">
      <c r="A1130" t="s">
        <v>4075</v>
      </c>
      <c r="B1130" t="s">
        <v>4076</v>
      </c>
      <c r="C1130" t="e">
        <f>VLOOKUP(B1130,Sheet2!$A$2:$A$392,1,0)</f>
        <v>#N/A</v>
      </c>
      <c r="E1130" t="s">
        <v>52</v>
      </c>
      <c r="F1130" t="s">
        <v>28</v>
      </c>
      <c r="G1130" t="s">
        <v>59</v>
      </c>
      <c r="I1130" t="s">
        <v>301</v>
      </c>
      <c r="J1130">
        <v>50.991999999999997</v>
      </c>
      <c r="K1130" s="3">
        <v>189.99</v>
      </c>
      <c r="L1130">
        <v>28.718</v>
      </c>
      <c r="N1130" s="2">
        <v>12</v>
      </c>
      <c r="O1130" t="s">
        <v>61</v>
      </c>
      <c r="P1130" t="s">
        <v>4077</v>
      </c>
      <c r="R1130" t="s">
        <v>301</v>
      </c>
      <c r="S1130" t="s">
        <v>33</v>
      </c>
      <c r="T1130" t="s">
        <v>34</v>
      </c>
      <c r="U1130" t="s">
        <v>35</v>
      </c>
      <c r="V1130" s="2">
        <v>5</v>
      </c>
      <c r="W1130" t="s">
        <v>63</v>
      </c>
      <c r="X1130" t="s">
        <v>34</v>
      </c>
      <c r="Y1130" t="s">
        <v>64</v>
      </c>
      <c r="Z1130" t="s">
        <v>4078</v>
      </c>
      <c r="AA1130" t="s">
        <v>38</v>
      </c>
    </row>
    <row r="1131" spans="1:27" hidden="1">
      <c r="A1131" t="s">
        <v>4079</v>
      </c>
      <c r="B1131" t="s">
        <v>4080</v>
      </c>
      <c r="C1131" t="e">
        <f>VLOOKUP(B1131,Sheet2!$A$2:$A$392,1,0)</f>
        <v>#N/A</v>
      </c>
      <c r="E1131" t="s">
        <v>52</v>
      </c>
      <c r="F1131" t="s">
        <v>28</v>
      </c>
      <c r="G1131" t="s">
        <v>59</v>
      </c>
      <c r="J1131" s="2">
        <v>57319</v>
      </c>
      <c r="K1131" s="2">
        <v>190</v>
      </c>
      <c r="L1131" s="2">
        <v>33295</v>
      </c>
      <c r="M1131" s="2">
        <v>9200</v>
      </c>
      <c r="N1131" s="2">
        <v>13</v>
      </c>
      <c r="O1131" t="s">
        <v>61</v>
      </c>
      <c r="P1131" t="s">
        <v>4081</v>
      </c>
      <c r="R1131" t="s">
        <v>244</v>
      </c>
      <c r="S1131" t="s">
        <v>33</v>
      </c>
      <c r="U1131" t="s">
        <v>35</v>
      </c>
      <c r="W1131" t="s">
        <v>63</v>
      </c>
      <c r="X1131" t="s">
        <v>34</v>
      </c>
      <c r="Y1131" t="s">
        <v>64</v>
      </c>
      <c r="Z1131" t="s">
        <v>4082</v>
      </c>
      <c r="AA1131" t="s">
        <v>38</v>
      </c>
    </row>
    <row r="1132" spans="1:27" hidden="1">
      <c r="A1132" t="s">
        <v>4083</v>
      </c>
      <c r="B1132" t="s">
        <v>4084</v>
      </c>
      <c r="C1132" t="e">
        <f>VLOOKUP(B1132,Sheet2!$A$2:$A$392,1,0)</f>
        <v>#N/A</v>
      </c>
      <c r="E1132" t="s">
        <v>52</v>
      </c>
      <c r="F1132" t="s">
        <v>28</v>
      </c>
      <c r="G1132" t="s">
        <v>59</v>
      </c>
      <c r="I1132" t="s">
        <v>301</v>
      </c>
      <c r="J1132" s="2">
        <v>55647</v>
      </c>
      <c r="K1132" s="2">
        <v>189</v>
      </c>
      <c r="L1132" s="2">
        <v>32012</v>
      </c>
      <c r="M1132" s="2">
        <v>7260</v>
      </c>
      <c r="N1132" s="2">
        <v>12</v>
      </c>
      <c r="O1132" t="s">
        <v>61</v>
      </c>
      <c r="P1132" t="s">
        <v>4085</v>
      </c>
      <c r="R1132" t="s">
        <v>32</v>
      </c>
      <c r="S1132" t="s">
        <v>33</v>
      </c>
      <c r="T1132" t="s">
        <v>34</v>
      </c>
      <c r="U1132" t="s">
        <v>35</v>
      </c>
      <c r="V1132" s="2">
        <v>31</v>
      </c>
      <c r="W1132" t="s">
        <v>63</v>
      </c>
      <c r="X1132" t="s">
        <v>34</v>
      </c>
      <c r="Y1132" t="s">
        <v>64</v>
      </c>
      <c r="Z1132" t="s">
        <v>4086</v>
      </c>
      <c r="AA1132" t="s">
        <v>38</v>
      </c>
    </row>
    <row r="1133" spans="1:27">
      <c r="A1133" t="s">
        <v>4087</v>
      </c>
      <c r="B1133" t="s">
        <v>4088</v>
      </c>
      <c r="C1133" t="str">
        <f>VLOOKUP(B1133,Sheet2!$A$2:$A$392,1,0)</f>
        <v>MV. XIANG HAI</v>
      </c>
      <c r="E1133" t="s">
        <v>52</v>
      </c>
      <c r="F1133" t="s">
        <v>28</v>
      </c>
      <c r="G1133" t="s">
        <v>29</v>
      </c>
      <c r="J1133" s="2">
        <v>48225</v>
      </c>
      <c r="K1133" s="2">
        <v>189</v>
      </c>
      <c r="L1133" s="2">
        <v>26586</v>
      </c>
      <c r="M1133" s="2">
        <v>9900</v>
      </c>
      <c r="N1133" s="2">
        <v>11</v>
      </c>
      <c r="P1133" t="s">
        <v>4089</v>
      </c>
      <c r="R1133" t="s">
        <v>32</v>
      </c>
      <c r="S1133" t="s">
        <v>33</v>
      </c>
      <c r="U1133" t="s">
        <v>35</v>
      </c>
      <c r="X1133" t="s">
        <v>34</v>
      </c>
      <c r="Y1133" t="s">
        <v>45</v>
      </c>
      <c r="Z1133" t="s">
        <v>4090</v>
      </c>
      <c r="AA1133" t="s">
        <v>38</v>
      </c>
    </row>
    <row r="1134" spans="1:27" hidden="1">
      <c r="A1134" t="s">
        <v>4091</v>
      </c>
      <c r="B1134" t="s">
        <v>4092</v>
      </c>
      <c r="C1134" t="e">
        <f>VLOOKUP(B1134,Sheet2!$A$2:$A$392,1,0)</f>
        <v>#N/A</v>
      </c>
      <c r="E1134" t="s">
        <v>170</v>
      </c>
      <c r="I1134" t="s">
        <v>42</v>
      </c>
      <c r="J1134" s="2">
        <v>4999</v>
      </c>
      <c r="K1134" s="3">
        <v>89.92</v>
      </c>
      <c r="L1134" s="2">
        <v>3078</v>
      </c>
      <c r="P1134" t="s">
        <v>4093</v>
      </c>
      <c r="S1134" t="s">
        <v>33</v>
      </c>
      <c r="X1134" t="s">
        <v>34</v>
      </c>
      <c r="AA1134" t="s">
        <v>38</v>
      </c>
    </row>
    <row r="1135" spans="1:27" hidden="1">
      <c r="A1135" t="s">
        <v>4094</v>
      </c>
      <c r="B1135" t="s">
        <v>4095</v>
      </c>
      <c r="C1135" t="e">
        <f>VLOOKUP(B1135,Sheet2!$A$2:$A$392,1,0)</f>
        <v>#N/A</v>
      </c>
      <c r="E1135" t="s">
        <v>52</v>
      </c>
      <c r="F1135" t="s">
        <v>41</v>
      </c>
      <c r="G1135" t="s">
        <v>3080</v>
      </c>
      <c r="I1135" t="s">
        <v>42</v>
      </c>
      <c r="J1135" s="2">
        <v>6217</v>
      </c>
      <c r="K1135" s="2">
        <v>106</v>
      </c>
      <c r="L1135" s="2">
        <v>3933</v>
      </c>
      <c r="P1135" t="s">
        <v>4096</v>
      </c>
      <c r="R1135" t="s">
        <v>42</v>
      </c>
      <c r="S1135" t="s">
        <v>33</v>
      </c>
      <c r="U1135" t="s">
        <v>35</v>
      </c>
      <c r="W1135" t="s">
        <v>63</v>
      </c>
      <c r="X1135" t="s">
        <v>34</v>
      </c>
      <c r="Y1135" t="s">
        <v>64</v>
      </c>
      <c r="Z1135" t="s">
        <v>4097</v>
      </c>
      <c r="AA1135" t="s">
        <v>38</v>
      </c>
    </row>
    <row r="1136" spans="1:27" hidden="1">
      <c r="A1136" t="s">
        <v>4098</v>
      </c>
      <c r="B1136" t="s">
        <v>4099</v>
      </c>
      <c r="C1136" t="e">
        <f>VLOOKUP(B1136,Sheet2!$A$2:$A$392,1,0)</f>
        <v>#N/A</v>
      </c>
      <c r="E1136" t="s">
        <v>196</v>
      </c>
      <c r="F1136" t="s">
        <v>28</v>
      </c>
      <c r="G1136" t="s">
        <v>151</v>
      </c>
      <c r="I1136" t="s">
        <v>4100</v>
      </c>
      <c r="J1136">
        <v>11.2</v>
      </c>
      <c r="K1136" s="2">
        <v>135</v>
      </c>
      <c r="L1136" s="2">
        <v>7521</v>
      </c>
      <c r="P1136" t="s">
        <v>4101</v>
      </c>
      <c r="R1136" t="s">
        <v>32</v>
      </c>
      <c r="S1136" t="s">
        <v>33</v>
      </c>
      <c r="T1136" t="s">
        <v>106</v>
      </c>
      <c r="U1136" t="s">
        <v>35</v>
      </c>
      <c r="W1136" t="s">
        <v>518</v>
      </c>
      <c r="X1136" t="s">
        <v>34</v>
      </c>
      <c r="Y1136" t="s">
        <v>2977</v>
      </c>
      <c r="Z1136" t="s">
        <v>4102</v>
      </c>
      <c r="AA1136" t="s">
        <v>38</v>
      </c>
    </row>
    <row r="1137" spans="1:27" hidden="1">
      <c r="A1137" t="s">
        <v>4103</v>
      </c>
      <c r="B1137" t="s">
        <v>4104</v>
      </c>
      <c r="C1137" t="e">
        <f>VLOOKUP(B1137,Sheet2!$A$2:$A$392,1,0)</f>
        <v>#N/A</v>
      </c>
      <c r="E1137" t="s">
        <v>52</v>
      </c>
      <c r="F1137" t="s">
        <v>28</v>
      </c>
      <c r="G1137" t="s">
        <v>29</v>
      </c>
      <c r="I1137" t="s">
        <v>301</v>
      </c>
      <c r="J1137" s="2">
        <v>42717</v>
      </c>
      <c r="K1137">
        <v>181.5</v>
      </c>
      <c r="L1137" s="2">
        <v>24953</v>
      </c>
      <c r="P1137" t="s">
        <v>4105</v>
      </c>
      <c r="R1137" t="s">
        <v>581</v>
      </c>
      <c r="S1137" t="s">
        <v>33</v>
      </c>
      <c r="T1137" t="s">
        <v>34</v>
      </c>
      <c r="U1137" t="s">
        <v>35</v>
      </c>
      <c r="X1137" t="s">
        <v>34</v>
      </c>
      <c r="Y1137" t="s">
        <v>45</v>
      </c>
      <c r="Z1137" t="s">
        <v>4106</v>
      </c>
      <c r="AA1137" t="s">
        <v>38</v>
      </c>
    </row>
    <row r="1138" spans="1:27" hidden="1">
      <c r="A1138" t="s">
        <v>4107</v>
      </c>
      <c r="B1138" t="s">
        <v>4108</v>
      </c>
      <c r="C1138" t="e">
        <f>VLOOKUP(B1138,Sheet2!$A$2:$A$392,1,0)</f>
        <v>#N/A</v>
      </c>
      <c r="E1138" t="s">
        <v>170</v>
      </c>
      <c r="G1138" t="s">
        <v>831</v>
      </c>
      <c r="I1138" t="s">
        <v>30</v>
      </c>
      <c r="J1138" s="2">
        <v>82205</v>
      </c>
      <c r="K1138" s="3">
        <v>228.99</v>
      </c>
      <c r="L1138" s="2">
        <v>43012</v>
      </c>
      <c r="P1138" t="s">
        <v>4109</v>
      </c>
      <c r="S1138" t="s">
        <v>33</v>
      </c>
      <c r="X1138" t="s">
        <v>34</v>
      </c>
      <c r="AA1138" t="s">
        <v>38</v>
      </c>
    </row>
    <row r="1139" spans="1:27" hidden="1">
      <c r="A1139" t="s">
        <v>4110</v>
      </c>
      <c r="B1139" t="s">
        <v>4111</v>
      </c>
      <c r="C1139" t="e">
        <f>VLOOKUP(B1139,Sheet2!$A$2:$A$392,1,0)</f>
        <v>#N/A</v>
      </c>
      <c r="E1139" t="s">
        <v>170</v>
      </c>
      <c r="F1139" t="s">
        <v>41</v>
      </c>
      <c r="G1139" t="s">
        <v>210</v>
      </c>
      <c r="I1139" t="s">
        <v>42</v>
      </c>
      <c r="J1139" s="2">
        <v>1130</v>
      </c>
      <c r="K1139" s="2">
        <v>65</v>
      </c>
      <c r="L1139" s="2">
        <v>747</v>
      </c>
      <c r="O1139" t="s">
        <v>2902</v>
      </c>
      <c r="P1139" t="s">
        <v>4112</v>
      </c>
      <c r="R1139" t="s">
        <v>42</v>
      </c>
      <c r="S1139" t="s">
        <v>33</v>
      </c>
      <c r="T1139" t="s">
        <v>34</v>
      </c>
      <c r="U1139" t="s">
        <v>35</v>
      </c>
      <c r="X1139" t="s">
        <v>34</v>
      </c>
      <c r="Y1139" t="s">
        <v>132</v>
      </c>
      <c r="Z1139" t="s">
        <v>4113</v>
      </c>
      <c r="AA1139" t="s">
        <v>38</v>
      </c>
    </row>
    <row r="1140" spans="1:27">
      <c r="A1140" t="s">
        <v>4114</v>
      </c>
      <c r="B1140" t="s">
        <v>4115</v>
      </c>
      <c r="C1140" t="str">
        <f>VLOOKUP(B1140,Sheet2!$A$2:$A$392,1,0)</f>
        <v>MV. NACC COZUMEL</v>
      </c>
      <c r="E1140" t="s">
        <v>196</v>
      </c>
      <c r="F1140" t="s">
        <v>41</v>
      </c>
      <c r="G1140" t="s">
        <v>222</v>
      </c>
      <c r="I1140" t="s">
        <v>42</v>
      </c>
      <c r="J1140" s="2">
        <v>8380</v>
      </c>
      <c r="K1140" s="3">
        <v>116.72</v>
      </c>
      <c r="L1140" s="2">
        <v>5838</v>
      </c>
      <c r="M1140" s="2">
        <v>2800</v>
      </c>
      <c r="N1140">
        <v>6.8</v>
      </c>
      <c r="O1140" t="s">
        <v>223</v>
      </c>
      <c r="P1140" t="s">
        <v>4116</v>
      </c>
      <c r="R1140" t="s">
        <v>42</v>
      </c>
      <c r="S1140" t="s">
        <v>33</v>
      </c>
      <c r="U1140" t="s">
        <v>35</v>
      </c>
      <c r="V1140" s="2">
        <v>3</v>
      </c>
      <c r="W1140" t="s">
        <v>518</v>
      </c>
      <c r="X1140" t="s">
        <v>34</v>
      </c>
      <c r="Y1140" t="s">
        <v>4117</v>
      </c>
      <c r="Z1140" t="s">
        <v>4118</v>
      </c>
      <c r="AA1140" t="s">
        <v>38</v>
      </c>
    </row>
    <row r="1141" spans="1:27">
      <c r="A1141" t="s">
        <v>4119</v>
      </c>
      <c r="B1141" t="s">
        <v>4120</v>
      </c>
      <c r="C1141" t="str">
        <f>VLOOKUP(B1141,Sheet2!$A$2:$A$392,1,0)</f>
        <v>MV. NACC PANAREA</v>
      </c>
      <c r="E1141" t="s">
        <v>52</v>
      </c>
      <c r="F1141" t="s">
        <v>41</v>
      </c>
      <c r="G1141" t="s">
        <v>29</v>
      </c>
      <c r="I1141" t="s">
        <v>42</v>
      </c>
      <c r="J1141" s="2">
        <v>5897</v>
      </c>
      <c r="K1141" s="2">
        <v>102</v>
      </c>
      <c r="L1141" s="2">
        <v>4073</v>
      </c>
      <c r="P1141" t="s">
        <v>4121</v>
      </c>
      <c r="R1141" t="s">
        <v>32</v>
      </c>
      <c r="S1141" t="s">
        <v>33</v>
      </c>
      <c r="T1141" t="s">
        <v>34</v>
      </c>
      <c r="U1141" t="s">
        <v>35</v>
      </c>
      <c r="X1141" t="s">
        <v>34</v>
      </c>
      <c r="Y1141" t="s">
        <v>45</v>
      </c>
      <c r="Z1141" t="s">
        <v>4122</v>
      </c>
      <c r="AA1141" t="s">
        <v>38</v>
      </c>
    </row>
    <row r="1142" spans="1:27" hidden="1">
      <c r="A1142" t="s">
        <v>4123</v>
      </c>
      <c r="B1142" t="s">
        <v>4124</v>
      </c>
      <c r="C1142" t="e">
        <f>VLOOKUP(B1142,Sheet2!$A$2:$A$392,1,0)</f>
        <v>#N/A</v>
      </c>
      <c r="E1142" t="s">
        <v>40</v>
      </c>
      <c r="G1142" t="s">
        <v>89</v>
      </c>
      <c r="I1142" t="s">
        <v>42</v>
      </c>
      <c r="J1142" s="2">
        <v>52</v>
      </c>
      <c r="K1142">
        <v>24.2</v>
      </c>
      <c r="L1142" s="2">
        <v>172</v>
      </c>
      <c r="P1142" t="s">
        <v>4125</v>
      </c>
      <c r="S1142" t="s">
        <v>33</v>
      </c>
      <c r="X1142" t="s">
        <v>34</v>
      </c>
      <c r="AA1142" t="s">
        <v>38</v>
      </c>
    </row>
    <row r="1143" spans="1:27" hidden="1">
      <c r="A1143" t="s">
        <v>4126</v>
      </c>
      <c r="B1143" t="s">
        <v>4127</v>
      </c>
      <c r="C1143" t="e">
        <f>VLOOKUP(B1143,Sheet2!$A$2:$A$392,1,0)</f>
        <v>#N/A</v>
      </c>
      <c r="E1143" t="s">
        <v>27</v>
      </c>
      <c r="F1143" t="s">
        <v>41</v>
      </c>
      <c r="G1143" t="s">
        <v>3930</v>
      </c>
      <c r="I1143" t="s">
        <v>42</v>
      </c>
      <c r="J1143" s="2">
        <v>3778</v>
      </c>
      <c r="K1143">
        <v>92.7</v>
      </c>
      <c r="L1143" s="2">
        <v>3161</v>
      </c>
      <c r="P1143" t="s">
        <v>4128</v>
      </c>
      <c r="R1143" t="s">
        <v>42</v>
      </c>
      <c r="S1143" t="s">
        <v>33</v>
      </c>
      <c r="T1143" t="s">
        <v>106</v>
      </c>
      <c r="U1143" t="s">
        <v>35</v>
      </c>
      <c r="W1143" t="s">
        <v>518</v>
      </c>
      <c r="X1143" t="s">
        <v>34</v>
      </c>
      <c r="Y1143" t="s">
        <v>2977</v>
      </c>
      <c r="Z1143" t="s">
        <v>4129</v>
      </c>
      <c r="AA1143" t="s">
        <v>38</v>
      </c>
    </row>
    <row r="1144" spans="1:27" hidden="1">
      <c r="A1144" t="s">
        <v>4130</v>
      </c>
      <c r="B1144" t="s">
        <v>4131</v>
      </c>
      <c r="C1144" t="e">
        <f>VLOOKUP(B1144,Sheet2!$A$2:$A$392,1,0)</f>
        <v>#N/A</v>
      </c>
      <c r="E1144" t="s">
        <v>40</v>
      </c>
      <c r="F1144" t="s">
        <v>41</v>
      </c>
      <c r="G1144" t="s">
        <v>29</v>
      </c>
      <c r="I1144" t="s">
        <v>42</v>
      </c>
      <c r="J1144" s="2">
        <v>9000</v>
      </c>
      <c r="K1144" s="2">
        <v>91</v>
      </c>
      <c r="L1144" s="2">
        <v>3811</v>
      </c>
      <c r="P1144" t="s">
        <v>4132</v>
      </c>
      <c r="R1144" t="s">
        <v>42</v>
      </c>
      <c r="S1144" t="s">
        <v>33</v>
      </c>
      <c r="T1144" t="s">
        <v>34</v>
      </c>
      <c r="U1144" t="s">
        <v>35</v>
      </c>
      <c r="X1144" t="s">
        <v>34</v>
      </c>
      <c r="Y1144" t="s">
        <v>45</v>
      </c>
      <c r="Z1144" t="s">
        <v>1152</v>
      </c>
      <c r="AA1144" t="s">
        <v>38</v>
      </c>
    </row>
    <row r="1145" spans="1:27">
      <c r="A1145" t="s">
        <v>4133</v>
      </c>
      <c r="B1145" t="s">
        <v>4134</v>
      </c>
      <c r="C1145" t="str">
        <f>VLOOKUP(B1145,Sheet2!$A$2:$A$392,1,0)</f>
        <v>KM. NAGA JAYA</v>
      </c>
      <c r="E1145" t="s">
        <v>27</v>
      </c>
      <c r="F1145" t="s">
        <v>41</v>
      </c>
      <c r="G1145" t="s">
        <v>158</v>
      </c>
      <c r="J1145" s="2">
        <v>1500</v>
      </c>
      <c r="K1145" s="3">
        <v>53.57</v>
      </c>
      <c r="L1145" s="2">
        <v>953</v>
      </c>
      <c r="O1145" t="s">
        <v>159</v>
      </c>
      <c r="P1145" t="s">
        <v>4135</v>
      </c>
      <c r="R1145" t="s">
        <v>581</v>
      </c>
      <c r="S1145" t="s">
        <v>33</v>
      </c>
      <c r="U1145" t="s">
        <v>35</v>
      </c>
      <c r="W1145" t="s">
        <v>63</v>
      </c>
      <c r="X1145" t="s">
        <v>34</v>
      </c>
      <c r="Y1145" t="s">
        <v>64</v>
      </c>
      <c r="Z1145" t="s">
        <v>4136</v>
      </c>
      <c r="AA1145" t="s">
        <v>38</v>
      </c>
    </row>
    <row r="1146" spans="1:27">
      <c r="A1146" t="s">
        <v>4137</v>
      </c>
      <c r="B1146" t="s">
        <v>4138</v>
      </c>
      <c r="C1146" t="str">
        <f>VLOOKUP(B1146,Sheet2!$A$2:$A$392,1,0)</f>
        <v>TB. NELLY 97 / BG. NELLY 102</v>
      </c>
      <c r="E1146" t="s">
        <v>40</v>
      </c>
      <c r="F1146" t="s">
        <v>41</v>
      </c>
      <c r="G1146" t="s">
        <v>29</v>
      </c>
      <c r="I1146" t="s">
        <v>42</v>
      </c>
      <c r="J1146" s="2">
        <v>9000</v>
      </c>
      <c r="K1146" s="2">
        <v>91</v>
      </c>
      <c r="L1146" s="2">
        <v>3852</v>
      </c>
      <c r="P1146" t="s">
        <v>4139</v>
      </c>
      <c r="R1146" t="s">
        <v>42</v>
      </c>
      <c r="S1146" t="s">
        <v>33</v>
      </c>
      <c r="T1146" t="s">
        <v>34</v>
      </c>
      <c r="U1146" t="s">
        <v>44</v>
      </c>
      <c r="X1146" t="s">
        <v>34</v>
      </c>
      <c r="Y1146" t="s">
        <v>45</v>
      </c>
      <c r="Z1146" t="s">
        <v>4140</v>
      </c>
      <c r="AA1146" t="s">
        <v>38</v>
      </c>
    </row>
    <row r="1147" spans="1:27" hidden="1">
      <c r="A1147" t="s">
        <v>4141</v>
      </c>
      <c r="B1147" t="s">
        <v>4142</v>
      </c>
      <c r="C1147" t="e">
        <f>VLOOKUP(B1147,Sheet2!$A$2:$A$392,1,0)</f>
        <v>#N/A</v>
      </c>
      <c r="E1147" t="s">
        <v>1063</v>
      </c>
      <c r="F1147" t="s">
        <v>41</v>
      </c>
      <c r="G1147" t="s">
        <v>4143</v>
      </c>
      <c r="I1147" t="s">
        <v>42</v>
      </c>
      <c r="J1147" s="2">
        <v>1597</v>
      </c>
      <c r="K1147">
        <v>77.900000000000006</v>
      </c>
      <c r="L1147" s="2">
        <v>2086</v>
      </c>
      <c r="P1147" t="s">
        <v>4144</v>
      </c>
      <c r="S1147" t="s">
        <v>33</v>
      </c>
      <c r="T1147" t="s">
        <v>34</v>
      </c>
      <c r="X1147" t="s">
        <v>34</v>
      </c>
      <c r="Y1147" t="s">
        <v>117</v>
      </c>
      <c r="Z1147" t="s">
        <v>4145</v>
      </c>
      <c r="AA1147" t="s">
        <v>38</v>
      </c>
    </row>
    <row r="1148" spans="1:27" hidden="1">
      <c r="A1148" t="s">
        <v>4146</v>
      </c>
      <c r="B1148" t="s">
        <v>4147</v>
      </c>
      <c r="C1148" t="e">
        <f>VLOOKUP(B1148,Sheet2!$A$2:$A$392,1,0)</f>
        <v>#N/A</v>
      </c>
      <c r="E1148" t="s">
        <v>196</v>
      </c>
      <c r="F1148" t="s">
        <v>41</v>
      </c>
      <c r="G1148" t="s">
        <v>29</v>
      </c>
      <c r="J1148" s="2">
        <v>3500</v>
      </c>
      <c r="K1148">
        <v>86.4</v>
      </c>
      <c r="L1148" s="2">
        <v>2542</v>
      </c>
      <c r="M1148" s="2">
        <v>180</v>
      </c>
      <c r="N1148" s="2">
        <v>5</v>
      </c>
      <c r="P1148" t="s">
        <v>4148</v>
      </c>
      <c r="R1148" t="s">
        <v>42</v>
      </c>
      <c r="S1148" t="s">
        <v>33</v>
      </c>
      <c r="U1148" t="s">
        <v>44</v>
      </c>
      <c r="V1148" s="2">
        <v>1</v>
      </c>
      <c r="X1148" t="s">
        <v>34</v>
      </c>
      <c r="Y1148" t="s">
        <v>45</v>
      </c>
      <c r="Z1148" t="s">
        <v>4149</v>
      </c>
      <c r="AA1148" t="s">
        <v>38</v>
      </c>
    </row>
    <row r="1149" spans="1:27" hidden="1">
      <c r="A1149" t="s">
        <v>4150</v>
      </c>
      <c r="B1149" t="s">
        <v>4151</v>
      </c>
      <c r="C1149" t="e">
        <f>VLOOKUP(B1149,Sheet2!$A$2:$A$392,1,0)</f>
        <v>#N/A</v>
      </c>
      <c r="E1149" t="s">
        <v>27</v>
      </c>
      <c r="F1149" t="s">
        <v>41</v>
      </c>
      <c r="G1149" t="s">
        <v>29</v>
      </c>
      <c r="J1149" s="2">
        <v>400</v>
      </c>
      <c r="K1149" s="2">
        <v>70</v>
      </c>
      <c r="L1149" s="2">
        <v>150</v>
      </c>
      <c r="P1149" t="s">
        <v>4150</v>
      </c>
      <c r="Q1149" t="s">
        <v>34</v>
      </c>
      <c r="R1149" t="s">
        <v>42</v>
      </c>
      <c r="S1149" t="s">
        <v>33</v>
      </c>
      <c r="U1149" t="s">
        <v>35</v>
      </c>
      <c r="X1149" t="s">
        <v>34</v>
      </c>
      <c r="Y1149" t="s">
        <v>45</v>
      </c>
      <c r="Z1149" t="s">
        <v>1822</v>
      </c>
      <c r="AA1149" t="s">
        <v>38</v>
      </c>
    </row>
    <row r="1150" spans="1:27" hidden="1">
      <c r="A1150" t="s">
        <v>4152</v>
      </c>
      <c r="B1150" t="s">
        <v>4153</v>
      </c>
      <c r="C1150" t="e">
        <f>VLOOKUP(B1150,Sheet2!$A$2:$A$392,1,0)</f>
        <v>#N/A</v>
      </c>
      <c r="E1150" t="s">
        <v>40</v>
      </c>
      <c r="F1150" t="s">
        <v>41</v>
      </c>
      <c r="G1150" t="s">
        <v>29</v>
      </c>
      <c r="I1150" t="s">
        <v>42</v>
      </c>
      <c r="J1150" s="2">
        <v>3000</v>
      </c>
      <c r="K1150" s="2">
        <v>67</v>
      </c>
      <c r="L1150" s="2">
        <v>1485</v>
      </c>
      <c r="M1150" s="2">
        <v>940</v>
      </c>
      <c r="P1150" t="s">
        <v>4154</v>
      </c>
      <c r="R1150" t="s">
        <v>42</v>
      </c>
      <c r="S1150" t="s">
        <v>33</v>
      </c>
      <c r="T1150" t="s">
        <v>34</v>
      </c>
      <c r="U1150" t="s">
        <v>35</v>
      </c>
      <c r="X1150" t="s">
        <v>34</v>
      </c>
      <c r="Y1150" t="s">
        <v>45</v>
      </c>
      <c r="Z1150" t="s">
        <v>4155</v>
      </c>
      <c r="AA1150" t="s">
        <v>38</v>
      </c>
    </row>
    <row r="1151" spans="1:27" hidden="1">
      <c r="A1151" t="s">
        <v>4156</v>
      </c>
      <c r="B1151" t="s">
        <v>4157</v>
      </c>
      <c r="C1151" t="e">
        <f>VLOOKUP(B1151,Sheet2!$A$2:$A$392,1,0)</f>
        <v>#N/A</v>
      </c>
      <c r="E1151" t="s">
        <v>40</v>
      </c>
      <c r="F1151" t="s">
        <v>41</v>
      </c>
      <c r="G1151" t="s">
        <v>29</v>
      </c>
      <c r="I1151" t="s">
        <v>42</v>
      </c>
      <c r="J1151" s="2">
        <v>5000</v>
      </c>
      <c r="K1151" s="2">
        <v>79</v>
      </c>
      <c r="L1151" s="2">
        <v>2344</v>
      </c>
      <c r="P1151" t="s">
        <v>1275</v>
      </c>
      <c r="R1151" t="s">
        <v>42</v>
      </c>
      <c r="S1151" t="s">
        <v>33</v>
      </c>
      <c r="T1151" t="s">
        <v>34</v>
      </c>
      <c r="U1151" t="s">
        <v>35</v>
      </c>
      <c r="X1151" t="s">
        <v>34</v>
      </c>
      <c r="Y1151" t="s">
        <v>45</v>
      </c>
      <c r="Z1151" t="s">
        <v>4158</v>
      </c>
      <c r="AA1151" t="s">
        <v>38</v>
      </c>
    </row>
    <row r="1152" spans="1:27" hidden="1">
      <c r="A1152" t="s">
        <v>4159</v>
      </c>
      <c r="B1152" t="s">
        <v>4160</v>
      </c>
      <c r="C1152" t="e">
        <f>VLOOKUP(B1152,Sheet2!$A$2:$A$392,1,0)</f>
        <v>#N/A</v>
      </c>
      <c r="E1152" t="s">
        <v>27</v>
      </c>
      <c r="F1152" t="s">
        <v>41</v>
      </c>
      <c r="G1152" t="s">
        <v>29</v>
      </c>
      <c r="I1152" t="s">
        <v>42</v>
      </c>
      <c r="J1152" s="2">
        <v>10000</v>
      </c>
      <c r="K1152" s="2">
        <v>100</v>
      </c>
      <c r="L1152" s="2">
        <v>10000</v>
      </c>
      <c r="M1152" s="2">
        <v>10000</v>
      </c>
      <c r="N1152" s="2">
        <v>1</v>
      </c>
      <c r="P1152" t="s">
        <v>4159</v>
      </c>
      <c r="R1152" t="s">
        <v>42</v>
      </c>
      <c r="S1152" t="s">
        <v>33</v>
      </c>
      <c r="T1152" t="s">
        <v>34</v>
      </c>
      <c r="U1152" t="s">
        <v>44</v>
      </c>
      <c r="V1152" s="2">
        <v>1</v>
      </c>
      <c r="W1152" t="s">
        <v>165</v>
      </c>
      <c r="X1152" t="s">
        <v>34</v>
      </c>
      <c r="Y1152" t="s">
        <v>245</v>
      </c>
      <c r="Z1152" t="s">
        <v>4161</v>
      </c>
      <c r="AA1152" t="s">
        <v>38</v>
      </c>
    </row>
    <row r="1153" spans="1:27" hidden="1">
      <c r="A1153" t="s">
        <v>4162</v>
      </c>
      <c r="B1153" t="s">
        <v>4163</v>
      </c>
      <c r="C1153" t="e">
        <f>VLOOKUP(B1153,Sheet2!$A$2:$A$392,1,0)</f>
        <v>#N/A</v>
      </c>
      <c r="E1153" t="s">
        <v>40</v>
      </c>
      <c r="F1153" t="s">
        <v>41</v>
      </c>
      <c r="G1153" t="s">
        <v>29</v>
      </c>
      <c r="I1153" t="s">
        <v>42</v>
      </c>
      <c r="J1153" s="2">
        <v>10000</v>
      </c>
      <c r="K1153" s="2">
        <v>100</v>
      </c>
      <c r="L1153" s="2">
        <v>4383</v>
      </c>
      <c r="P1153" t="s">
        <v>185</v>
      </c>
      <c r="R1153" t="s">
        <v>42</v>
      </c>
      <c r="S1153" t="s">
        <v>33</v>
      </c>
      <c r="T1153" t="s">
        <v>34</v>
      </c>
      <c r="U1153" t="s">
        <v>35</v>
      </c>
      <c r="X1153" t="s">
        <v>34</v>
      </c>
      <c r="Y1153" t="s">
        <v>45</v>
      </c>
      <c r="Z1153" t="s">
        <v>4164</v>
      </c>
      <c r="AA1153" t="s">
        <v>38</v>
      </c>
    </row>
    <row r="1154" spans="1:27" hidden="1">
      <c r="A1154" t="s">
        <v>4165</v>
      </c>
      <c r="B1154" t="s">
        <v>4166</v>
      </c>
      <c r="C1154" t="e">
        <f>VLOOKUP(B1154,Sheet2!$A$2:$A$392,1,0)</f>
        <v>#N/A</v>
      </c>
      <c r="E1154" t="s">
        <v>1063</v>
      </c>
      <c r="G1154" t="s">
        <v>202</v>
      </c>
      <c r="I1154" t="s">
        <v>42</v>
      </c>
      <c r="J1154" s="2">
        <v>7172</v>
      </c>
      <c r="K1154">
        <v>131.69999999999999</v>
      </c>
      <c r="L1154" s="2">
        <v>7956</v>
      </c>
      <c r="P1154" t="s">
        <v>4167</v>
      </c>
      <c r="S1154" t="s">
        <v>33</v>
      </c>
      <c r="X1154" t="s">
        <v>34</v>
      </c>
      <c r="AA1154" t="s">
        <v>38</v>
      </c>
    </row>
    <row r="1155" spans="1:27" hidden="1">
      <c r="A1155" t="s">
        <v>4168</v>
      </c>
      <c r="B1155" t="s">
        <v>4169</v>
      </c>
      <c r="C1155" t="e">
        <f>VLOOKUP(B1155,Sheet2!$A$2:$A$392,1,0)</f>
        <v>#N/A</v>
      </c>
      <c r="E1155" t="s">
        <v>40</v>
      </c>
      <c r="F1155" t="s">
        <v>41</v>
      </c>
      <c r="G1155" t="s">
        <v>29</v>
      </c>
      <c r="I1155" t="s">
        <v>42</v>
      </c>
      <c r="J1155" s="2">
        <v>8000</v>
      </c>
      <c r="K1155" s="2">
        <v>91</v>
      </c>
      <c r="L1155" s="2">
        <v>3291</v>
      </c>
      <c r="P1155" t="s">
        <v>4170</v>
      </c>
      <c r="R1155" t="s">
        <v>42</v>
      </c>
      <c r="S1155" t="s">
        <v>33</v>
      </c>
      <c r="T1155" t="s">
        <v>34</v>
      </c>
      <c r="U1155" t="s">
        <v>35</v>
      </c>
      <c r="X1155" t="s">
        <v>34</v>
      </c>
      <c r="Y1155" t="s">
        <v>45</v>
      </c>
      <c r="Z1155" t="s">
        <v>4171</v>
      </c>
      <c r="AA1155" t="s">
        <v>38</v>
      </c>
    </row>
    <row r="1156" spans="1:27" hidden="1">
      <c r="A1156" t="s">
        <v>4172</v>
      </c>
      <c r="B1156" t="s">
        <v>4173</v>
      </c>
      <c r="C1156" t="e">
        <f>VLOOKUP(B1156,Sheet2!$A$2:$A$392,1,0)</f>
        <v>#N/A</v>
      </c>
      <c r="E1156" t="s">
        <v>27</v>
      </c>
      <c r="F1156" t="s">
        <v>41</v>
      </c>
      <c r="G1156" t="s">
        <v>29</v>
      </c>
      <c r="J1156" s="2">
        <v>1500</v>
      </c>
      <c r="K1156" s="2">
        <v>56</v>
      </c>
      <c r="L1156" s="2">
        <v>923</v>
      </c>
      <c r="P1156" t="s">
        <v>2197</v>
      </c>
      <c r="R1156" t="s">
        <v>32</v>
      </c>
      <c r="S1156" t="s">
        <v>33</v>
      </c>
      <c r="U1156" t="s">
        <v>35</v>
      </c>
      <c r="X1156" t="s">
        <v>34</v>
      </c>
      <c r="Y1156" t="s">
        <v>45</v>
      </c>
      <c r="Z1156" t="s">
        <v>4174</v>
      </c>
      <c r="AA1156" t="s">
        <v>38</v>
      </c>
    </row>
    <row r="1157" spans="1:27" hidden="1">
      <c r="A1157" t="s">
        <v>4175</v>
      </c>
      <c r="B1157" t="s">
        <v>4176</v>
      </c>
      <c r="C1157" t="e">
        <f>VLOOKUP(B1157,Sheet2!$A$2:$A$392,1,0)</f>
        <v>#N/A</v>
      </c>
      <c r="E1157" t="s">
        <v>27</v>
      </c>
      <c r="F1157" t="s">
        <v>41</v>
      </c>
      <c r="G1157" t="s">
        <v>29</v>
      </c>
      <c r="J1157" s="2">
        <v>4373</v>
      </c>
      <c r="K1157" s="2">
        <v>90</v>
      </c>
      <c r="L1157" s="2">
        <v>2551</v>
      </c>
      <c r="P1157" t="s">
        <v>4177</v>
      </c>
      <c r="R1157" t="s">
        <v>352</v>
      </c>
      <c r="S1157" t="s">
        <v>33</v>
      </c>
      <c r="U1157" t="s">
        <v>35</v>
      </c>
      <c r="X1157" t="s">
        <v>34</v>
      </c>
      <c r="Y1157" t="s">
        <v>45</v>
      </c>
      <c r="Z1157" t="s">
        <v>4178</v>
      </c>
      <c r="AA1157" t="s">
        <v>38</v>
      </c>
    </row>
    <row r="1158" spans="1:27">
      <c r="A1158" t="s">
        <v>4179</v>
      </c>
      <c r="B1158" t="s">
        <v>4180</v>
      </c>
      <c r="C1158" t="str">
        <f>VLOOKUP(B1158,Sheet2!$A$2:$A$392,1,0)</f>
        <v>KM. NTT SEJAHTERA</v>
      </c>
      <c r="E1158" t="s">
        <v>27</v>
      </c>
      <c r="F1158" t="s">
        <v>41</v>
      </c>
      <c r="G1158" t="s">
        <v>29</v>
      </c>
      <c r="J1158" s="2">
        <v>4373</v>
      </c>
      <c r="K1158" s="2">
        <v>90</v>
      </c>
      <c r="L1158" s="2">
        <v>2551</v>
      </c>
      <c r="M1158" s="2">
        <v>2040</v>
      </c>
      <c r="P1158" t="s">
        <v>185</v>
      </c>
      <c r="R1158" t="s">
        <v>352</v>
      </c>
      <c r="S1158" t="s">
        <v>33</v>
      </c>
      <c r="U1158" t="s">
        <v>35</v>
      </c>
      <c r="X1158" t="s">
        <v>34</v>
      </c>
      <c r="Y1158" t="s">
        <v>45</v>
      </c>
      <c r="Z1158" t="s">
        <v>4181</v>
      </c>
      <c r="AA1158" t="s">
        <v>38</v>
      </c>
    </row>
    <row r="1159" spans="1:27" hidden="1">
      <c r="A1159" t="s">
        <v>4182</v>
      </c>
      <c r="B1159" t="s">
        <v>4183</v>
      </c>
      <c r="C1159" t="e">
        <f>VLOOKUP(B1159,Sheet2!$A$2:$A$392,1,0)</f>
        <v>#N/A</v>
      </c>
      <c r="E1159" t="s">
        <v>40</v>
      </c>
      <c r="G1159" t="s">
        <v>747</v>
      </c>
      <c r="I1159" t="s">
        <v>42</v>
      </c>
      <c r="J1159" s="2">
        <v>1</v>
      </c>
      <c r="K1159">
        <v>26.5</v>
      </c>
      <c r="L1159" s="2">
        <v>199</v>
      </c>
      <c r="P1159" s="2">
        <v>1</v>
      </c>
      <c r="S1159" t="s">
        <v>33</v>
      </c>
      <c r="X1159" t="s">
        <v>34</v>
      </c>
      <c r="AA1159" t="s">
        <v>38</v>
      </c>
    </row>
    <row r="1160" spans="1:27" hidden="1">
      <c r="A1160" t="s">
        <v>4184</v>
      </c>
      <c r="B1160" t="s">
        <v>4185</v>
      </c>
      <c r="C1160" t="e">
        <f>VLOOKUP(B1160,Sheet2!$A$2:$A$392,1,0)</f>
        <v>#N/A</v>
      </c>
      <c r="E1160" t="s">
        <v>170</v>
      </c>
      <c r="I1160" t="s">
        <v>42</v>
      </c>
      <c r="J1160" s="2">
        <v>19161</v>
      </c>
      <c r="K1160" s="3">
        <v>147.83000000000001</v>
      </c>
      <c r="L1160" s="2">
        <v>11697</v>
      </c>
      <c r="P1160" t="s">
        <v>4186</v>
      </c>
      <c r="S1160" t="s">
        <v>33</v>
      </c>
      <c r="X1160" t="s">
        <v>34</v>
      </c>
      <c r="AA1160" t="s">
        <v>38</v>
      </c>
    </row>
    <row r="1161" spans="1:27" hidden="1">
      <c r="A1161" t="s">
        <v>4187</v>
      </c>
      <c r="B1161" t="s">
        <v>4188</v>
      </c>
      <c r="C1161" t="e">
        <f>VLOOKUP(B1161,Sheet2!$A$2:$A$392,1,0)</f>
        <v>#N/A</v>
      </c>
      <c r="E1161" t="s">
        <v>27</v>
      </c>
      <c r="F1161" t="s">
        <v>41</v>
      </c>
      <c r="G1161" t="s">
        <v>29</v>
      </c>
      <c r="J1161" s="2">
        <v>210</v>
      </c>
      <c r="K1161" s="2">
        <v>50</v>
      </c>
      <c r="L1161" s="2">
        <v>200</v>
      </c>
      <c r="P1161" t="s">
        <v>4187</v>
      </c>
      <c r="Q1161" t="s">
        <v>34</v>
      </c>
      <c r="R1161" t="s">
        <v>42</v>
      </c>
      <c r="S1161" t="s">
        <v>33</v>
      </c>
      <c r="U1161" t="s">
        <v>35</v>
      </c>
      <c r="X1161" t="s">
        <v>34</v>
      </c>
      <c r="Y1161" t="s">
        <v>45</v>
      </c>
      <c r="Z1161" t="s">
        <v>4189</v>
      </c>
      <c r="AA1161" t="s">
        <v>38</v>
      </c>
    </row>
    <row r="1162" spans="1:27" hidden="1">
      <c r="A1162" t="s">
        <v>4190</v>
      </c>
      <c r="B1162" t="s">
        <v>4191</v>
      </c>
      <c r="C1162" t="e">
        <f>VLOOKUP(B1162,Sheet2!$A$2:$A$392,1,0)</f>
        <v>#N/A</v>
      </c>
      <c r="E1162" t="s">
        <v>72</v>
      </c>
      <c r="G1162" t="s">
        <v>857</v>
      </c>
      <c r="I1162" t="s">
        <v>42</v>
      </c>
      <c r="J1162" s="2">
        <v>2700</v>
      </c>
      <c r="K1162" s="3">
        <v>67.06</v>
      </c>
      <c r="L1162" s="2">
        <v>1270</v>
      </c>
      <c r="P1162" s="2">
        <v>0</v>
      </c>
      <c r="S1162" t="s">
        <v>33</v>
      </c>
      <c r="X1162" t="s">
        <v>34</v>
      </c>
      <c r="AA1162" t="s">
        <v>38</v>
      </c>
    </row>
    <row r="1163" spans="1:27" hidden="1">
      <c r="A1163" t="s">
        <v>4192</v>
      </c>
      <c r="B1163" t="s">
        <v>4193</v>
      </c>
      <c r="C1163" t="e">
        <f>VLOOKUP(B1163,Sheet2!$A$2:$A$392,1,0)</f>
        <v>#N/A</v>
      </c>
      <c r="E1163" t="s">
        <v>40</v>
      </c>
      <c r="F1163" t="s">
        <v>41</v>
      </c>
      <c r="G1163" t="s">
        <v>29</v>
      </c>
      <c r="I1163" t="s">
        <v>42</v>
      </c>
      <c r="J1163" s="2">
        <v>10000</v>
      </c>
      <c r="K1163" s="2">
        <v>93</v>
      </c>
      <c r="L1163" s="2">
        <v>3970</v>
      </c>
      <c r="P1163" t="s">
        <v>4194</v>
      </c>
      <c r="R1163" t="s">
        <v>42</v>
      </c>
      <c r="S1163" t="s">
        <v>33</v>
      </c>
      <c r="T1163" t="s">
        <v>34</v>
      </c>
      <c r="U1163" t="s">
        <v>35</v>
      </c>
      <c r="X1163" t="s">
        <v>34</v>
      </c>
      <c r="Y1163" t="s">
        <v>45</v>
      </c>
      <c r="Z1163" t="s">
        <v>4195</v>
      </c>
      <c r="AA1163" t="s">
        <v>38</v>
      </c>
    </row>
    <row r="1164" spans="1:27" hidden="1">
      <c r="A1164" t="s">
        <v>4196</v>
      </c>
      <c r="B1164" t="s">
        <v>4197</v>
      </c>
      <c r="C1164" t="e">
        <f>VLOOKUP(B1164,Sheet2!$A$2:$A$392,1,0)</f>
        <v>#N/A</v>
      </c>
      <c r="E1164" t="s">
        <v>72</v>
      </c>
      <c r="G1164" t="s">
        <v>125</v>
      </c>
      <c r="I1164" t="s">
        <v>42</v>
      </c>
      <c r="J1164" s="2">
        <v>1820</v>
      </c>
      <c r="K1164" s="3">
        <v>70.17</v>
      </c>
      <c r="L1164" s="2">
        <v>1820</v>
      </c>
      <c r="P1164" t="s">
        <v>74</v>
      </c>
      <c r="S1164" t="s">
        <v>33</v>
      </c>
      <c r="X1164" t="s">
        <v>34</v>
      </c>
      <c r="AA1164" t="s">
        <v>38</v>
      </c>
    </row>
    <row r="1165" spans="1:27" hidden="1">
      <c r="A1165" t="s">
        <v>4198</v>
      </c>
      <c r="B1165" t="s">
        <v>4199</v>
      </c>
      <c r="C1165" t="e">
        <f>VLOOKUP(B1165,Sheet2!$A$2:$A$392,1,0)</f>
        <v>#N/A</v>
      </c>
      <c r="E1165" t="s">
        <v>72</v>
      </c>
      <c r="G1165" t="s">
        <v>129</v>
      </c>
      <c r="I1165" t="s">
        <v>42</v>
      </c>
      <c r="J1165" s="2">
        <v>1850</v>
      </c>
      <c r="K1165">
        <v>70.099999999999994</v>
      </c>
      <c r="L1165" s="2">
        <v>1850</v>
      </c>
      <c r="P1165" t="s">
        <v>74</v>
      </c>
      <c r="S1165" t="s">
        <v>33</v>
      </c>
      <c r="X1165" t="s">
        <v>34</v>
      </c>
      <c r="AA1165" t="s">
        <v>38</v>
      </c>
    </row>
    <row r="1166" spans="1:27" hidden="1">
      <c r="A1166" t="s">
        <v>4200</v>
      </c>
      <c r="B1166" t="s">
        <v>4201</v>
      </c>
      <c r="C1166" t="e">
        <f>VLOOKUP(B1166,Sheet2!$A$2:$A$392,1,0)</f>
        <v>#N/A</v>
      </c>
      <c r="E1166" t="s">
        <v>72</v>
      </c>
      <c r="G1166" t="s">
        <v>2886</v>
      </c>
      <c r="I1166" t="s">
        <v>42</v>
      </c>
      <c r="J1166" s="2">
        <v>3142</v>
      </c>
      <c r="K1166">
        <v>91.9</v>
      </c>
      <c r="L1166" s="2">
        <v>3142</v>
      </c>
      <c r="P1166" t="s">
        <v>74</v>
      </c>
      <c r="S1166" t="s">
        <v>33</v>
      </c>
      <c r="X1166" t="s">
        <v>34</v>
      </c>
      <c r="AA1166" t="s">
        <v>38</v>
      </c>
    </row>
    <row r="1167" spans="1:27" hidden="1">
      <c r="A1167" t="s">
        <v>4202</v>
      </c>
      <c r="B1167" t="s">
        <v>4203</v>
      </c>
      <c r="C1167" t="e">
        <f>VLOOKUP(B1167,Sheet2!$A$2:$A$392,1,0)</f>
        <v>#N/A</v>
      </c>
      <c r="E1167" t="s">
        <v>121</v>
      </c>
      <c r="G1167" t="s">
        <v>673</v>
      </c>
      <c r="I1167" t="s">
        <v>42</v>
      </c>
      <c r="J1167" s="2">
        <v>2560</v>
      </c>
      <c r="K1167" s="3">
        <v>70.12</v>
      </c>
      <c r="L1167" s="2">
        <v>1829</v>
      </c>
      <c r="P1167" t="s">
        <v>4204</v>
      </c>
      <c r="S1167" t="s">
        <v>33</v>
      </c>
      <c r="X1167" t="s">
        <v>34</v>
      </c>
      <c r="Y1167" t="s">
        <v>96</v>
      </c>
      <c r="Z1167" t="s">
        <v>4205</v>
      </c>
      <c r="AA1167" t="s">
        <v>38</v>
      </c>
    </row>
    <row r="1168" spans="1:27" hidden="1">
      <c r="A1168" t="s">
        <v>4206</v>
      </c>
      <c r="B1168" t="s">
        <v>4207</v>
      </c>
      <c r="C1168" t="e">
        <f>VLOOKUP(B1168,Sheet2!$A$2:$A$392,1,0)</f>
        <v>#N/A</v>
      </c>
      <c r="E1168" t="s">
        <v>52</v>
      </c>
      <c r="F1168" t="s">
        <v>41</v>
      </c>
      <c r="G1168" t="s">
        <v>29</v>
      </c>
      <c r="I1168" t="s">
        <v>42</v>
      </c>
      <c r="J1168" s="2">
        <v>7500</v>
      </c>
      <c r="K1168" s="2">
        <v>112</v>
      </c>
      <c r="L1168" s="2">
        <v>4433</v>
      </c>
      <c r="P1168" t="s">
        <v>4208</v>
      </c>
      <c r="R1168" t="s">
        <v>581</v>
      </c>
      <c r="S1168" t="s">
        <v>33</v>
      </c>
      <c r="T1168" t="s">
        <v>34</v>
      </c>
      <c r="U1168" t="s">
        <v>35</v>
      </c>
      <c r="X1168" t="s">
        <v>34</v>
      </c>
      <c r="Y1168" t="s">
        <v>45</v>
      </c>
      <c r="Z1168" t="s">
        <v>4209</v>
      </c>
      <c r="AA1168" t="s">
        <v>38</v>
      </c>
    </row>
    <row r="1169" spans="1:27">
      <c r="A1169" t="s">
        <v>4210</v>
      </c>
      <c r="B1169" t="s">
        <v>4211</v>
      </c>
      <c r="C1169" t="str">
        <f>VLOOKUP(B1169,Sheet2!$A$2:$A$392,1,0)</f>
        <v>KM. OBELIX</v>
      </c>
      <c r="E1169" t="s">
        <v>27</v>
      </c>
      <c r="F1169" t="s">
        <v>41</v>
      </c>
      <c r="G1169" t="s">
        <v>29</v>
      </c>
      <c r="I1169" t="s">
        <v>42</v>
      </c>
      <c r="J1169" s="2">
        <v>2400</v>
      </c>
      <c r="K1169" s="2">
        <v>71</v>
      </c>
      <c r="L1169" s="2">
        <v>1340</v>
      </c>
      <c r="P1169" s="2">
        <v>1234</v>
      </c>
      <c r="R1169" t="s">
        <v>32</v>
      </c>
      <c r="S1169" t="s">
        <v>33</v>
      </c>
      <c r="T1169" t="s">
        <v>34</v>
      </c>
      <c r="U1169" t="s">
        <v>35</v>
      </c>
      <c r="W1169" t="s">
        <v>165</v>
      </c>
      <c r="X1169" t="s">
        <v>34</v>
      </c>
      <c r="Y1169" t="s">
        <v>166</v>
      </c>
      <c r="Z1169" t="s">
        <v>4212</v>
      </c>
      <c r="AA1169" t="s">
        <v>38</v>
      </c>
    </row>
    <row r="1170" spans="1:27">
      <c r="A1170" t="s">
        <v>4213</v>
      </c>
      <c r="B1170" t="s">
        <v>4214</v>
      </c>
      <c r="C1170" t="str">
        <f>VLOOKUP(B1170,Sheet2!$A$2:$A$392,1,0)</f>
        <v>TB. ANUGERAH 1 / BG. OBT 7</v>
      </c>
      <c r="E1170" t="s">
        <v>40</v>
      </c>
      <c r="F1170" t="s">
        <v>41</v>
      </c>
      <c r="G1170" t="s">
        <v>29</v>
      </c>
      <c r="I1170" t="s">
        <v>42</v>
      </c>
      <c r="J1170" s="2">
        <v>8000</v>
      </c>
      <c r="K1170" s="2">
        <v>91</v>
      </c>
      <c r="L1170" s="2">
        <v>3353</v>
      </c>
      <c r="P1170" t="s">
        <v>4215</v>
      </c>
      <c r="R1170" t="s">
        <v>42</v>
      </c>
      <c r="S1170" t="s">
        <v>33</v>
      </c>
      <c r="T1170" t="s">
        <v>34</v>
      </c>
      <c r="U1170" t="s">
        <v>44</v>
      </c>
      <c r="X1170" t="s">
        <v>34</v>
      </c>
      <c r="Y1170" t="s">
        <v>45</v>
      </c>
      <c r="Z1170" t="s">
        <v>4216</v>
      </c>
      <c r="AA1170" t="s">
        <v>38</v>
      </c>
    </row>
    <row r="1171" spans="1:27" hidden="1">
      <c r="A1171" t="s">
        <v>4217</v>
      </c>
      <c r="B1171" t="s">
        <v>4218</v>
      </c>
      <c r="C1171" t="e">
        <f>VLOOKUP(B1171,Sheet2!$A$2:$A$392,1,0)</f>
        <v>#N/A</v>
      </c>
      <c r="E1171" t="s">
        <v>249</v>
      </c>
      <c r="G1171" t="s">
        <v>336</v>
      </c>
      <c r="I1171" t="s">
        <v>42</v>
      </c>
      <c r="J1171" s="2">
        <v>30554</v>
      </c>
      <c r="K1171">
        <v>195.6</v>
      </c>
      <c r="L1171" s="2">
        <v>26047</v>
      </c>
      <c r="P1171" t="s">
        <v>4219</v>
      </c>
      <c r="S1171" t="s">
        <v>33</v>
      </c>
      <c r="X1171" t="s">
        <v>34</v>
      </c>
      <c r="AA1171" t="s">
        <v>38</v>
      </c>
    </row>
    <row r="1172" spans="1:27" hidden="1">
      <c r="A1172" t="s">
        <v>4220</v>
      </c>
      <c r="B1172" t="s">
        <v>4221</v>
      </c>
      <c r="C1172" t="e">
        <f>VLOOKUP(B1172,Sheet2!$A$2:$A$392,1,0)</f>
        <v>#N/A</v>
      </c>
      <c r="E1172" t="s">
        <v>249</v>
      </c>
      <c r="G1172" t="s">
        <v>336</v>
      </c>
      <c r="I1172" t="s">
        <v>42</v>
      </c>
      <c r="J1172" s="2">
        <v>24083</v>
      </c>
      <c r="K1172" s="3">
        <v>182.83</v>
      </c>
      <c r="L1172" s="2">
        <v>17613</v>
      </c>
      <c r="P1172" t="s">
        <v>4222</v>
      </c>
      <c r="S1172" t="s">
        <v>33</v>
      </c>
      <c r="X1172" t="s">
        <v>34</v>
      </c>
      <c r="AA1172" t="s">
        <v>38</v>
      </c>
    </row>
    <row r="1173" spans="1:27">
      <c r="A1173" t="s">
        <v>4223</v>
      </c>
      <c r="B1173" t="s">
        <v>4224</v>
      </c>
      <c r="C1173" t="str">
        <f>VLOOKUP(B1173,Sheet2!$A$2:$A$392,1,0)</f>
        <v>TB. OCEAN MASTER 101 / BG. AZAMARA 23</v>
      </c>
      <c r="E1173" t="s">
        <v>40</v>
      </c>
      <c r="F1173" t="s">
        <v>41</v>
      </c>
      <c r="G1173" t="s">
        <v>29</v>
      </c>
      <c r="J1173" s="2">
        <v>10000</v>
      </c>
      <c r="K1173" s="2">
        <v>100</v>
      </c>
      <c r="L1173" s="2">
        <v>4431</v>
      </c>
      <c r="O1173" t="s">
        <v>482</v>
      </c>
      <c r="P1173" t="s">
        <v>4225</v>
      </c>
      <c r="R1173" t="s">
        <v>42</v>
      </c>
      <c r="S1173" t="s">
        <v>33</v>
      </c>
      <c r="U1173" t="s">
        <v>44</v>
      </c>
      <c r="X1173" t="s">
        <v>34</v>
      </c>
      <c r="Y1173" t="s">
        <v>45</v>
      </c>
      <c r="Z1173" t="s">
        <v>4226</v>
      </c>
      <c r="AA1173" t="s">
        <v>38</v>
      </c>
    </row>
    <row r="1174" spans="1:27" hidden="1">
      <c r="A1174" t="s">
        <v>4227</v>
      </c>
      <c r="B1174" t="s">
        <v>4228</v>
      </c>
      <c r="C1174" t="e">
        <f>VLOOKUP(B1174,Sheet2!$A$2:$A$392,1,0)</f>
        <v>#N/A</v>
      </c>
      <c r="E1174" t="s">
        <v>40</v>
      </c>
      <c r="F1174" t="s">
        <v>41</v>
      </c>
      <c r="G1174" t="s">
        <v>29</v>
      </c>
      <c r="I1174" t="s">
        <v>42</v>
      </c>
      <c r="J1174" s="2">
        <v>10000</v>
      </c>
      <c r="K1174" s="2">
        <v>97</v>
      </c>
      <c r="L1174" s="2">
        <v>3987</v>
      </c>
      <c r="P1174" t="s">
        <v>4229</v>
      </c>
      <c r="R1174" t="s">
        <v>42</v>
      </c>
      <c r="S1174" t="s">
        <v>33</v>
      </c>
      <c r="T1174" t="s">
        <v>34</v>
      </c>
      <c r="U1174" t="s">
        <v>44</v>
      </c>
      <c r="X1174" t="s">
        <v>34</v>
      </c>
      <c r="Y1174" t="s">
        <v>45</v>
      </c>
      <c r="Z1174" t="s">
        <v>4230</v>
      </c>
      <c r="AA1174" t="s">
        <v>38</v>
      </c>
    </row>
    <row r="1175" spans="1:27" hidden="1">
      <c r="A1175" t="s">
        <v>4231</v>
      </c>
      <c r="B1175" t="s">
        <v>4232</v>
      </c>
      <c r="C1175" t="e">
        <f>VLOOKUP(B1175,Sheet2!$A$2:$A$392,1,0)</f>
        <v>#N/A</v>
      </c>
      <c r="E1175" t="s">
        <v>170</v>
      </c>
      <c r="I1175" t="s">
        <v>42</v>
      </c>
      <c r="J1175" s="2">
        <v>36793</v>
      </c>
      <c r="K1175" s="2">
        <v>183</v>
      </c>
      <c r="L1175" s="2">
        <v>23740</v>
      </c>
      <c r="P1175" t="s">
        <v>4233</v>
      </c>
      <c r="S1175" t="s">
        <v>33</v>
      </c>
      <c r="X1175" t="s">
        <v>34</v>
      </c>
      <c r="AA1175" t="s">
        <v>38</v>
      </c>
    </row>
    <row r="1176" spans="1:27">
      <c r="A1176" t="s">
        <v>4234</v>
      </c>
      <c r="B1176" t="s">
        <v>4235</v>
      </c>
      <c r="C1176" t="str">
        <f>VLOOKUP(B1176,Sheet2!$A$2:$A$392,1,0)</f>
        <v>MV. OCEANIC PROGRESS</v>
      </c>
      <c r="E1176" t="s">
        <v>196</v>
      </c>
      <c r="F1176" t="s">
        <v>41</v>
      </c>
      <c r="G1176" t="s">
        <v>907</v>
      </c>
      <c r="J1176" s="2">
        <v>9649</v>
      </c>
      <c r="K1176">
        <v>109.9</v>
      </c>
      <c r="L1176" s="2">
        <v>6943</v>
      </c>
      <c r="N1176">
        <v>6.5</v>
      </c>
      <c r="O1176" t="s">
        <v>1356</v>
      </c>
      <c r="P1176" t="s">
        <v>4236</v>
      </c>
      <c r="R1176" t="s">
        <v>42</v>
      </c>
      <c r="S1176" t="s">
        <v>33</v>
      </c>
      <c r="U1176" t="s">
        <v>35</v>
      </c>
      <c r="V1176" s="2">
        <v>4</v>
      </c>
      <c r="X1176" t="s">
        <v>34</v>
      </c>
      <c r="Y1176" t="s">
        <v>154</v>
      </c>
      <c r="Z1176" t="s">
        <v>4237</v>
      </c>
      <c r="AA1176" t="s">
        <v>38</v>
      </c>
    </row>
    <row r="1177" spans="1:27">
      <c r="A1177" t="s">
        <v>4238</v>
      </c>
      <c r="B1177" t="s">
        <v>4239</v>
      </c>
      <c r="C1177" t="str">
        <f>VLOOKUP(B1177,Sheet2!$A$2:$A$392,1,0)</f>
        <v>OSAKA</v>
      </c>
      <c r="E1177" t="s">
        <v>27</v>
      </c>
      <c r="F1177" t="s">
        <v>41</v>
      </c>
      <c r="G1177" t="s">
        <v>29</v>
      </c>
      <c r="J1177" s="2">
        <v>1000</v>
      </c>
      <c r="K1177" s="3">
        <v>45.73</v>
      </c>
      <c r="L1177" s="2">
        <v>554</v>
      </c>
      <c r="M1177" s="2">
        <v>10000</v>
      </c>
      <c r="N1177" s="2">
        <v>1</v>
      </c>
      <c r="O1177" t="s">
        <v>254</v>
      </c>
      <c r="P1177" t="s">
        <v>4238</v>
      </c>
      <c r="R1177" t="s">
        <v>42</v>
      </c>
      <c r="S1177" t="s">
        <v>33</v>
      </c>
      <c r="U1177" t="s">
        <v>44</v>
      </c>
      <c r="V1177" s="2">
        <v>1</v>
      </c>
      <c r="X1177" t="s">
        <v>34</v>
      </c>
      <c r="Y1177" t="s">
        <v>45</v>
      </c>
      <c r="Z1177" t="s">
        <v>4240</v>
      </c>
      <c r="AA1177" t="s">
        <v>38</v>
      </c>
    </row>
    <row r="1178" spans="1:27" hidden="1">
      <c r="A1178" t="s">
        <v>4241</v>
      </c>
      <c r="B1178" t="s">
        <v>4242</v>
      </c>
      <c r="C1178" t="e">
        <f>VLOOKUP(B1178,Sheet2!$A$2:$A$392,1,0)</f>
        <v>#N/A</v>
      </c>
      <c r="E1178" t="s">
        <v>170</v>
      </c>
      <c r="G1178" t="s">
        <v>629</v>
      </c>
      <c r="I1178" t="s">
        <v>42</v>
      </c>
      <c r="J1178" s="2">
        <v>685</v>
      </c>
      <c r="K1178">
        <v>68.5</v>
      </c>
      <c r="L1178" s="2">
        <v>1214</v>
      </c>
      <c r="P1178" t="s">
        <v>4243</v>
      </c>
      <c r="S1178" t="s">
        <v>33</v>
      </c>
      <c r="X1178" t="s">
        <v>34</v>
      </c>
      <c r="AA1178" t="s">
        <v>38</v>
      </c>
    </row>
    <row r="1179" spans="1:27" hidden="1">
      <c r="A1179" t="s">
        <v>4244</v>
      </c>
      <c r="B1179" t="s">
        <v>4245</v>
      </c>
      <c r="C1179" t="e">
        <f>VLOOKUP(B1179,Sheet2!$A$2:$A$392,1,0)</f>
        <v>#N/A</v>
      </c>
      <c r="E1179" t="s">
        <v>72</v>
      </c>
      <c r="G1179" t="s">
        <v>857</v>
      </c>
      <c r="I1179" t="s">
        <v>42</v>
      </c>
      <c r="J1179" s="2">
        <v>2700</v>
      </c>
      <c r="K1179" s="2">
        <v>68</v>
      </c>
      <c r="L1179" s="2">
        <v>1253</v>
      </c>
      <c r="P1179" s="2">
        <v>0</v>
      </c>
      <c r="S1179" t="s">
        <v>33</v>
      </c>
      <c r="X1179" t="s">
        <v>34</v>
      </c>
      <c r="AA1179" t="s">
        <v>38</v>
      </c>
    </row>
    <row r="1180" spans="1:27" hidden="1">
      <c r="A1180" t="s">
        <v>4246</v>
      </c>
      <c r="B1180" t="s">
        <v>4247</v>
      </c>
      <c r="C1180" t="e">
        <f>VLOOKUP(B1180,Sheet2!$A$2:$A$392,1,0)</f>
        <v>#N/A</v>
      </c>
      <c r="E1180" t="s">
        <v>72</v>
      </c>
      <c r="G1180" t="s">
        <v>857</v>
      </c>
      <c r="I1180" t="s">
        <v>42</v>
      </c>
      <c r="J1180" s="2">
        <v>2800</v>
      </c>
      <c r="K1180" s="2">
        <v>64</v>
      </c>
      <c r="L1180" s="2">
        <v>1253</v>
      </c>
      <c r="P1180" s="2">
        <v>0</v>
      </c>
      <c r="S1180" t="s">
        <v>33</v>
      </c>
      <c r="X1180" t="s">
        <v>34</v>
      </c>
      <c r="AA1180" t="s">
        <v>38</v>
      </c>
    </row>
    <row r="1181" spans="1:27" hidden="1">
      <c r="A1181" t="s">
        <v>4248</v>
      </c>
      <c r="B1181" t="s">
        <v>4249</v>
      </c>
      <c r="C1181" t="e">
        <f>VLOOKUP(B1181,Sheet2!$A$2:$A$392,1,0)</f>
        <v>#N/A</v>
      </c>
      <c r="E1181" t="s">
        <v>40</v>
      </c>
      <c r="G1181" t="s">
        <v>857</v>
      </c>
      <c r="I1181" t="s">
        <v>42</v>
      </c>
      <c r="J1181" s="2">
        <v>200</v>
      </c>
      <c r="K1181" s="2">
        <v>18</v>
      </c>
      <c r="L1181" s="2">
        <v>85</v>
      </c>
      <c r="P1181" t="s">
        <v>4250</v>
      </c>
      <c r="S1181" t="s">
        <v>33</v>
      </c>
      <c r="X1181" t="s">
        <v>34</v>
      </c>
      <c r="AA1181" t="s">
        <v>38</v>
      </c>
    </row>
    <row r="1182" spans="1:27" hidden="1">
      <c r="A1182" t="s">
        <v>4251</v>
      </c>
      <c r="B1182" t="s">
        <v>4252</v>
      </c>
      <c r="C1182" t="e">
        <f>VLOOKUP(B1182,Sheet2!$A$2:$A$392,1,0)</f>
        <v>#N/A</v>
      </c>
      <c r="E1182" t="s">
        <v>40</v>
      </c>
      <c r="G1182" t="s">
        <v>857</v>
      </c>
      <c r="I1182" t="s">
        <v>42</v>
      </c>
      <c r="J1182" s="2">
        <v>200</v>
      </c>
      <c r="K1182">
        <v>19.2</v>
      </c>
      <c r="L1182" s="2">
        <v>112</v>
      </c>
      <c r="P1182" t="s">
        <v>4253</v>
      </c>
      <c r="S1182" t="s">
        <v>33</v>
      </c>
      <c r="X1182" t="s">
        <v>34</v>
      </c>
      <c r="AA1182" t="s">
        <v>38</v>
      </c>
    </row>
    <row r="1183" spans="1:27" hidden="1">
      <c r="A1183" t="s">
        <v>4254</v>
      </c>
      <c r="B1183" t="s">
        <v>4255</v>
      </c>
      <c r="C1183" t="e">
        <f>VLOOKUP(B1183,Sheet2!$A$2:$A$392,1,0)</f>
        <v>#N/A</v>
      </c>
      <c r="E1183" t="s">
        <v>72</v>
      </c>
      <c r="G1183" t="s">
        <v>355</v>
      </c>
      <c r="I1183" t="s">
        <v>42</v>
      </c>
      <c r="J1183" s="2">
        <v>2000</v>
      </c>
      <c r="K1183" s="3">
        <v>70.12</v>
      </c>
      <c r="L1183" s="2">
        <v>1358</v>
      </c>
      <c r="P1183" t="s">
        <v>74</v>
      </c>
      <c r="S1183" t="s">
        <v>33</v>
      </c>
      <c r="X1183" t="s">
        <v>34</v>
      </c>
      <c r="AA1183" t="s">
        <v>38</v>
      </c>
    </row>
    <row r="1184" spans="1:27" hidden="1">
      <c r="A1184" t="s">
        <v>4256</v>
      </c>
      <c r="B1184" t="s">
        <v>4257</v>
      </c>
      <c r="C1184" t="e">
        <f>VLOOKUP(B1184,Sheet2!$A$2:$A$392,1,0)</f>
        <v>#N/A</v>
      </c>
      <c r="E1184" t="s">
        <v>40</v>
      </c>
      <c r="G1184" t="s">
        <v>857</v>
      </c>
      <c r="I1184" t="s">
        <v>42</v>
      </c>
      <c r="J1184" s="2">
        <v>200</v>
      </c>
      <c r="K1184" s="2">
        <v>19</v>
      </c>
      <c r="L1184" s="2">
        <v>92</v>
      </c>
      <c r="P1184" t="s">
        <v>4258</v>
      </c>
      <c r="S1184" t="s">
        <v>33</v>
      </c>
      <c r="X1184" t="s">
        <v>34</v>
      </c>
      <c r="AA1184" t="s">
        <v>38</v>
      </c>
    </row>
    <row r="1185" spans="1:27" hidden="1">
      <c r="A1185" t="s">
        <v>4259</v>
      </c>
      <c r="B1185" t="s">
        <v>4260</v>
      </c>
      <c r="C1185" t="e">
        <f>VLOOKUP(B1185,Sheet2!$A$2:$A$392,1,0)</f>
        <v>#N/A</v>
      </c>
      <c r="E1185" t="s">
        <v>40</v>
      </c>
      <c r="G1185" t="s">
        <v>115</v>
      </c>
      <c r="I1185" t="s">
        <v>42</v>
      </c>
      <c r="J1185" s="2">
        <v>1008</v>
      </c>
      <c r="K1185">
        <v>27.1</v>
      </c>
      <c r="L1185" s="2">
        <v>214</v>
      </c>
      <c r="P1185" t="s">
        <v>4261</v>
      </c>
      <c r="S1185" t="s">
        <v>33</v>
      </c>
      <c r="X1185" t="s">
        <v>34</v>
      </c>
      <c r="AA1185" t="s">
        <v>38</v>
      </c>
    </row>
    <row r="1186" spans="1:27" hidden="1">
      <c r="A1186" t="s">
        <v>4262</v>
      </c>
      <c r="B1186" t="s">
        <v>4263</v>
      </c>
      <c r="C1186" t="e">
        <f>VLOOKUP(B1186,Sheet2!$A$2:$A$392,1,0)</f>
        <v>#N/A</v>
      </c>
      <c r="E1186" t="s">
        <v>72</v>
      </c>
      <c r="G1186" t="s">
        <v>1039</v>
      </c>
      <c r="I1186" t="s">
        <v>42</v>
      </c>
      <c r="J1186" s="2">
        <v>3036</v>
      </c>
      <c r="K1186" s="3">
        <v>87.78</v>
      </c>
      <c r="L1186" s="2">
        <v>3036</v>
      </c>
      <c r="P1186" t="s">
        <v>74</v>
      </c>
      <c r="S1186" t="s">
        <v>33</v>
      </c>
      <c r="X1186" t="s">
        <v>34</v>
      </c>
      <c r="AA1186" t="s">
        <v>38</v>
      </c>
    </row>
    <row r="1187" spans="1:27" hidden="1">
      <c r="A1187" t="s">
        <v>4264</v>
      </c>
      <c r="B1187" t="s">
        <v>4265</v>
      </c>
      <c r="C1187" t="e">
        <f>VLOOKUP(B1187,Sheet2!$A$2:$A$392,1,0)</f>
        <v>#N/A</v>
      </c>
      <c r="E1187" t="s">
        <v>72</v>
      </c>
      <c r="F1187" t="s">
        <v>41</v>
      </c>
      <c r="G1187" t="s">
        <v>29</v>
      </c>
      <c r="J1187" s="2">
        <v>3036</v>
      </c>
      <c r="K1187" s="2">
        <v>80</v>
      </c>
      <c r="L1187" s="2">
        <v>3036</v>
      </c>
      <c r="P1187" t="s">
        <v>74</v>
      </c>
      <c r="R1187" t="s">
        <v>42</v>
      </c>
      <c r="S1187" t="s">
        <v>33</v>
      </c>
      <c r="T1187" t="s">
        <v>34</v>
      </c>
      <c r="U1187" t="s">
        <v>35</v>
      </c>
      <c r="X1187" t="s">
        <v>34</v>
      </c>
      <c r="Y1187" t="s">
        <v>45</v>
      </c>
      <c r="Z1187" t="s">
        <v>4266</v>
      </c>
      <c r="AA1187" t="s">
        <v>38</v>
      </c>
    </row>
    <row r="1188" spans="1:27" hidden="1">
      <c r="A1188" t="s">
        <v>4267</v>
      </c>
      <c r="B1188" t="s">
        <v>4268</v>
      </c>
      <c r="C1188" t="e">
        <f>VLOOKUP(B1188,Sheet2!$A$2:$A$392,1,0)</f>
        <v>#N/A</v>
      </c>
      <c r="E1188" t="s">
        <v>40</v>
      </c>
      <c r="F1188" t="s">
        <v>41</v>
      </c>
      <c r="G1188" t="s">
        <v>29</v>
      </c>
      <c r="I1188" t="s">
        <v>42</v>
      </c>
      <c r="J1188" s="2">
        <v>3233</v>
      </c>
      <c r="K1188" s="2">
        <v>104</v>
      </c>
      <c r="L1188" s="2">
        <v>3233</v>
      </c>
      <c r="P1188" t="s">
        <v>4269</v>
      </c>
      <c r="R1188" t="s">
        <v>42</v>
      </c>
      <c r="S1188" t="s">
        <v>33</v>
      </c>
      <c r="T1188" t="s">
        <v>34</v>
      </c>
      <c r="U1188" t="s">
        <v>35</v>
      </c>
      <c r="X1188" t="s">
        <v>34</v>
      </c>
      <c r="Y1188" t="s">
        <v>45</v>
      </c>
      <c r="Z1188" t="s">
        <v>4270</v>
      </c>
      <c r="AA1188" t="s">
        <v>38</v>
      </c>
    </row>
    <row r="1189" spans="1:27" hidden="1">
      <c r="A1189" t="s">
        <v>4271</v>
      </c>
      <c r="B1189" t="s">
        <v>4272</v>
      </c>
      <c r="C1189" t="e">
        <f>VLOOKUP(B1189,Sheet2!$A$2:$A$392,1,0)</f>
        <v>#N/A</v>
      </c>
      <c r="E1189" t="s">
        <v>40</v>
      </c>
      <c r="G1189" t="s">
        <v>857</v>
      </c>
      <c r="I1189" t="s">
        <v>42</v>
      </c>
      <c r="J1189" s="2">
        <v>200</v>
      </c>
      <c r="K1189" s="3">
        <v>22.86</v>
      </c>
      <c r="L1189" s="2">
        <v>175</v>
      </c>
      <c r="P1189" t="s">
        <v>4273</v>
      </c>
      <c r="S1189" t="s">
        <v>33</v>
      </c>
      <c r="X1189" t="s">
        <v>34</v>
      </c>
      <c r="AA1189" t="s">
        <v>38</v>
      </c>
    </row>
    <row r="1190" spans="1:27" hidden="1">
      <c r="A1190" t="s">
        <v>4274</v>
      </c>
      <c r="B1190" t="s">
        <v>4275</v>
      </c>
      <c r="C1190" t="e">
        <f>VLOOKUP(B1190,Sheet2!$A$2:$A$392,1,0)</f>
        <v>#N/A</v>
      </c>
      <c r="E1190" t="s">
        <v>93</v>
      </c>
      <c r="G1190" t="s">
        <v>1301</v>
      </c>
      <c r="I1190" t="s">
        <v>42</v>
      </c>
      <c r="J1190" s="2">
        <v>1350</v>
      </c>
      <c r="K1190">
        <v>69.8</v>
      </c>
      <c r="L1190" s="2">
        <v>808</v>
      </c>
      <c r="P1190" t="s">
        <v>4276</v>
      </c>
      <c r="S1190" t="s">
        <v>33</v>
      </c>
      <c r="X1190" t="s">
        <v>34</v>
      </c>
      <c r="AA1190" t="s">
        <v>38</v>
      </c>
    </row>
    <row r="1191" spans="1:27" hidden="1">
      <c r="A1191" t="s">
        <v>4277</v>
      </c>
      <c r="B1191" t="s">
        <v>4278</v>
      </c>
      <c r="C1191" t="e">
        <f>VLOOKUP(B1191,Sheet2!$A$2:$A$392,1,0)</f>
        <v>#N/A</v>
      </c>
      <c r="E1191" t="s">
        <v>40</v>
      </c>
      <c r="G1191" t="s">
        <v>555</v>
      </c>
      <c r="I1191" t="s">
        <v>42</v>
      </c>
      <c r="J1191" s="2">
        <v>594</v>
      </c>
      <c r="K1191">
        <v>23.5</v>
      </c>
      <c r="L1191" s="2">
        <v>148</v>
      </c>
      <c r="P1191" t="s">
        <v>4279</v>
      </c>
      <c r="S1191" t="s">
        <v>33</v>
      </c>
      <c r="X1191" t="s">
        <v>34</v>
      </c>
      <c r="AA1191" t="s">
        <v>38</v>
      </c>
    </row>
    <row r="1192" spans="1:27" hidden="1">
      <c r="A1192" t="s">
        <v>4280</v>
      </c>
      <c r="B1192" t="s">
        <v>4281</v>
      </c>
      <c r="C1192" t="e">
        <f>VLOOKUP(B1192,Sheet2!$A$2:$A$392,1,0)</f>
        <v>#N/A</v>
      </c>
      <c r="E1192" t="s">
        <v>72</v>
      </c>
      <c r="G1192" t="s">
        <v>857</v>
      </c>
      <c r="I1192" t="s">
        <v>42</v>
      </c>
      <c r="J1192" s="2">
        <v>4500</v>
      </c>
      <c r="K1192" s="3">
        <v>73.150000000000006</v>
      </c>
      <c r="L1192" s="2">
        <v>1856</v>
      </c>
      <c r="P1192" s="2">
        <v>0</v>
      </c>
      <c r="S1192" t="s">
        <v>33</v>
      </c>
      <c r="X1192" t="s">
        <v>34</v>
      </c>
      <c r="AA1192" t="s">
        <v>38</v>
      </c>
    </row>
    <row r="1193" spans="1:27" hidden="1">
      <c r="A1193" t="s">
        <v>4282</v>
      </c>
      <c r="B1193" t="s">
        <v>4283</v>
      </c>
      <c r="C1193" t="e">
        <f>VLOOKUP(B1193,Sheet2!$A$2:$A$392,1,0)</f>
        <v>#N/A</v>
      </c>
      <c r="E1193" t="s">
        <v>72</v>
      </c>
      <c r="G1193" t="s">
        <v>857</v>
      </c>
      <c r="I1193" t="s">
        <v>42</v>
      </c>
      <c r="J1193" s="2">
        <v>4000</v>
      </c>
      <c r="K1193">
        <v>70.099999999999994</v>
      </c>
      <c r="L1193" s="2">
        <v>1437</v>
      </c>
      <c r="P1193" t="s">
        <v>74</v>
      </c>
      <c r="S1193" t="s">
        <v>33</v>
      </c>
      <c r="X1193" t="s">
        <v>34</v>
      </c>
      <c r="AA1193" t="s">
        <v>38</v>
      </c>
    </row>
    <row r="1194" spans="1:27" hidden="1">
      <c r="A1194" t="s">
        <v>4284</v>
      </c>
      <c r="B1194" t="s">
        <v>4285</v>
      </c>
      <c r="C1194" t="e">
        <f>VLOOKUP(B1194,Sheet2!$A$2:$A$392,1,0)</f>
        <v>#N/A</v>
      </c>
      <c r="E1194" t="s">
        <v>72</v>
      </c>
      <c r="G1194" t="s">
        <v>857</v>
      </c>
      <c r="I1194" t="s">
        <v>42</v>
      </c>
      <c r="J1194" s="2">
        <v>3000</v>
      </c>
      <c r="K1194" s="3">
        <v>70.12</v>
      </c>
      <c r="L1194" s="2">
        <v>1301</v>
      </c>
      <c r="P1194" s="2">
        <v>0</v>
      </c>
      <c r="S1194" t="s">
        <v>33</v>
      </c>
      <c r="X1194" t="s">
        <v>34</v>
      </c>
      <c r="AA1194" t="s">
        <v>38</v>
      </c>
    </row>
    <row r="1195" spans="1:27" hidden="1">
      <c r="A1195" t="s">
        <v>4286</v>
      </c>
      <c r="B1195" t="s">
        <v>4287</v>
      </c>
      <c r="C1195" t="e">
        <f>VLOOKUP(B1195,Sheet2!$A$2:$A$392,1,0)</f>
        <v>#N/A</v>
      </c>
      <c r="E1195" t="s">
        <v>40</v>
      </c>
      <c r="F1195" t="s">
        <v>41</v>
      </c>
      <c r="G1195" t="s">
        <v>29</v>
      </c>
      <c r="I1195" t="s">
        <v>42</v>
      </c>
      <c r="J1195" s="2">
        <v>10000</v>
      </c>
      <c r="K1195" s="2">
        <v>91</v>
      </c>
      <c r="L1195" s="2">
        <v>3979</v>
      </c>
      <c r="P1195" t="s">
        <v>185</v>
      </c>
      <c r="R1195" t="s">
        <v>42</v>
      </c>
      <c r="S1195" t="s">
        <v>33</v>
      </c>
      <c r="T1195" t="s">
        <v>34</v>
      </c>
      <c r="U1195" t="s">
        <v>35</v>
      </c>
      <c r="X1195" t="s">
        <v>34</v>
      </c>
      <c r="Y1195" t="s">
        <v>45</v>
      </c>
      <c r="Z1195" t="s">
        <v>1330</v>
      </c>
      <c r="AA1195" t="s">
        <v>38</v>
      </c>
    </row>
    <row r="1196" spans="1:27">
      <c r="A1196" t="s">
        <v>4288</v>
      </c>
      <c r="B1196" t="s">
        <v>4289</v>
      </c>
      <c r="C1196" t="str">
        <f>VLOOKUP(B1196,Sheet2!$A$2:$A$392,1,0)</f>
        <v>TB. ALBATROSS 8 / BG. PELICAN 306</v>
      </c>
      <c r="E1196" t="s">
        <v>40</v>
      </c>
      <c r="F1196" t="s">
        <v>41</v>
      </c>
      <c r="G1196" t="s">
        <v>29</v>
      </c>
      <c r="J1196" s="2">
        <v>8000</v>
      </c>
      <c r="K1196" s="2">
        <v>91</v>
      </c>
      <c r="L1196" s="2">
        <v>3206</v>
      </c>
      <c r="O1196" t="s">
        <v>482</v>
      </c>
      <c r="P1196" t="s">
        <v>4290</v>
      </c>
      <c r="R1196" t="s">
        <v>42</v>
      </c>
      <c r="S1196" t="s">
        <v>33</v>
      </c>
      <c r="U1196" t="s">
        <v>35</v>
      </c>
      <c r="X1196" t="s">
        <v>34</v>
      </c>
      <c r="Y1196" t="s">
        <v>45</v>
      </c>
      <c r="Z1196" t="s">
        <v>4291</v>
      </c>
      <c r="AA1196" t="s">
        <v>38</v>
      </c>
    </row>
    <row r="1197" spans="1:27" hidden="1">
      <c r="A1197" t="s">
        <v>4292</v>
      </c>
      <c r="B1197" t="s">
        <v>4293</v>
      </c>
      <c r="C1197" t="e">
        <f>VLOOKUP(B1197,Sheet2!$A$2:$A$392,1,0)</f>
        <v>#N/A</v>
      </c>
      <c r="E1197" t="s">
        <v>72</v>
      </c>
      <c r="G1197" t="s">
        <v>831</v>
      </c>
      <c r="I1197" t="s">
        <v>42</v>
      </c>
      <c r="J1197" s="2">
        <v>3000</v>
      </c>
      <c r="K1197" s="3">
        <v>91.44</v>
      </c>
      <c r="L1197" s="2">
        <v>3249</v>
      </c>
      <c r="P1197" t="s">
        <v>74</v>
      </c>
      <c r="S1197" t="s">
        <v>33</v>
      </c>
      <c r="X1197" t="s">
        <v>34</v>
      </c>
      <c r="AA1197" t="s">
        <v>38</v>
      </c>
    </row>
    <row r="1198" spans="1:27" hidden="1">
      <c r="A1198" t="s">
        <v>4294</v>
      </c>
      <c r="B1198" t="s">
        <v>4295</v>
      </c>
      <c r="C1198" t="e">
        <f>VLOOKUP(B1198,Sheet2!$A$2:$A$392,1,0)</f>
        <v>#N/A</v>
      </c>
      <c r="E1198" t="s">
        <v>72</v>
      </c>
      <c r="F1198" t="s">
        <v>41</v>
      </c>
      <c r="G1198" t="s">
        <v>2046</v>
      </c>
      <c r="I1198" t="s">
        <v>42</v>
      </c>
      <c r="J1198" s="2">
        <v>1587</v>
      </c>
      <c r="K1198">
        <v>76.2</v>
      </c>
      <c r="L1198" s="2">
        <v>2793</v>
      </c>
      <c r="O1198" t="s">
        <v>2666</v>
      </c>
      <c r="P1198" t="s">
        <v>74</v>
      </c>
      <c r="R1198" t="s">
        <v>42</v>
      </c>
      <c r="S1198" t="s">
        <v>33</v>
      </c>
      <c r="T1198" t="s">
        <v>34</v>
      </c>
      <c r="U1198" t="s">
        <v>35</v>
      </c>
      <c r="X1198" t="s">
        <v>34</v>
      </c>
      <c r="Y1198" t="s">
        <v>132</v>
      </c>
      <c r="Z1198" t="s">
        <v>4296</v>
      </c>
      <c r="AA1198" t="s">
        <v>38</v>
      </c>
    </row>
    <row r="1199" spans="1:27" hidden="1">
      <c r="A1199" t="s">
        <v>4297</v>
      </c>
      <c r="B1199" t="s">
        <v>4298</v>
      </c>
      <c r="C1199" t="e">
        <f>VLOOKUP(B1199,Sheet2!$A$2:$A$392,1,0)</f>
        <v>#N/A</v>
      </c>
      <c r="E1199" t="s">
        <v>40</v>
      </c>
      <c r="F1199" t="s">
        <v>41</v>
      </c>
      <c r="G1199" t="s">
        <v>115</v>
      </c>
      <c r="I1199" t="s">
        <v>42</v>
      </c>
      <c r="J1199" s="2">
        <v>412</v>
      </c>
      <c r="K1199" s="2">
        <v>60</v>
      </c>
      <c r="L1199" s="2">
        <v>1371</v>
      </c>
      <c r="P1199" t="s">
        <v>4299</v>
      </c>
      <c r="R1199" t="s">
        <v>42</v>
      </c>
      <c r="S1199" t="s">
        <v>33</v>
      </c>
      <c r="T1199" t="s">
        <v>106</v>
      </c>
      <c r="U1199" t="s">
        <v>35</v>
      </c>
      <c r="X1199" t="s">
        <v>34</v>
      </c>
      <c r="Y1199" t="s">
        <v>1015</v>
      </c>
      <c r="Z1199" t="s">
        <v>4300</v>
      </c>
      <c r="AA1199" t="s">
        <v>38</v>
      </c>
    </row>
    <row r="1200" spans="1:27" hidden="1">
      <c r="A1200" t="s">
        <v>4301</v>
      </c>
      <c r="B1200" t="s">
        <v>4302</v>
      </c>
      <c r="C1200" t="e">
        <f>VLOOKUP(B1200,Sheet2!$A$2:$A$392,1,0)</f>
        <v>#N/A</v>
      </c>
      <c r="E1200" t="s">
        <v>72</v>
      </c>
      <c r="G1200" t="s">
        <v>1039</v>
      </c>
      <c r="I1200" t="s">
        <v>42</v>
      </c>
      <c r="J1200" s="2">
        <v>3036</v>
      </c>
      <c r="K1200" s="2">
        <v>87</v>
      </c>
      <c r="L1200" s="2">
        <v>3036</v>
      </c>
      <c r="P1200" t="s">
        <v>74</v>
      </c>
      <c r="S1200" t="s">
        <v>33</v>
      </c>
      <c r="X1200" t="s">
        <v>34</v>
      </c>
      <c r="AA1200" t="s">
        <v>38</v>
      </c>
    </row>
    <row r="1201" spans="1:27" hidden="1">
      <c r="A1201" t="s">
        <v>4303</v>
      </c>
      <c r="B1201" t="s">
        <v>4304</v>
      </c>
      <c r="C1201" t="e">
        <f>VLOOKUP(B1201,Sheet2!$A$2:$A$392,1,0)</f>
        <v>#N/A</v>
      </c>
      <c r="E1201" t="s">
        <v>40</v>
      </c>
      <c r="G1201" t="s">
        <v>1039</v>
      </c>
      <c r="I1201" t="s">
        <v>42</v>
      </c>
      <c r="J1201" s="2">
        <v>195</v>
      </c>
      <c r="K1201" s="2">
        <v>26</v>
      </c>
      <c r="L1201" s="2">
        <v>199</v>
      </c>
      <c r="P1201" t="s">
        <v>4305</v>
      </c>
      <c r="S1201" t="s">
        <v>33</v>
      </c>
      <c r="X1201" t="s">
        <v>34</v>
      </c>
      <c r="AA1201" t="s">
        <v>38</v>
      </c>
    </row>
    <row r="1202" spans="1:27" hidden="1">
      <c r="A1202" t="s">
        <v>4306</v>
      </c>
      <c r="B1202" t="s">
        <v>4307</v>
      </c>
      <c r="C1202" t="e">
        <f>VLOOKUP(B1202,Sheet2!$A$2:$A$392,1,0)</f>
        <v>#N/A</v>
      </c>
      <c r="E1202" t="s">
        <v>72</v>
      </c>
      <c r="G1202" t="s">
        <v>1039</v>
      </c>
      <c r="I1202" t="s">
        <v>42</v>
      </c>
      <c r="J1202" s="2">
        <v>3145</v>
      </c>
      <c r="K1202" s="2">
        <v>87</v>
      </c>
      <c r="L1202" s="2">
        <v>3145</v>
      </c>
      <c r="P1202" t="s">
        <v>74</v>
      </c>
      <c r="S1202" t="s">
        <v>33</v>
      </c>
      <c r="X1202" t="s">
        <v>34</v>
      </c>
      <c r="AA1202" t="s">
        <v>38</v>
      </c>
    </row>
    <row r="1203" spans="1:27" hidden="1">
      <c r="A1203" t="s">
        <v>4308</v>
      </c>
      <c r="B1203" t="s">
        <v>4309</v>
      </c>
      <c r="C1203" t="e">
        <f>VLOOKUP(B1203,Sheet2!$A$2:$A$392,1,0)</f>
        <v>#N/A</v>
      </c>
      <c r="E1203" t="s">
        <v>40</v>
      </c>
      <c r="G1203" t="s">
        <v>1039</v>
      </c>
      <c r="I1203" t="s">
        <v>42</v>
      </c>
      <c r="J1203" s="2">
        <v>173</v>
      </c>
      <c r="K1203">
        <v>26.5</v>
      </c>
      <c r="L1203" s="2">
        <v>173</v>
      </c>
      <c r="P1203" t="s">
        <v>4310</v>
      </c>
      <c r="S1203" t="s">
        <v>33</v>
      </c>
      <c r="X1203" t="s">
        <v>34</v>
      </c>
      <c r="AA1203" t="s">
        <v>38</v>
      </c>
    </row>
    <row r="1204" spans="1:27" hidden="1">
      <c r="A1204" t="s">
        <v>4311</v>
      </c>
      <c r="B1204" t="s">
        <v>4312</v>
      </c>
      <c r="C1204" t="e">
        <f>VLOOKUP(B1204,Sheet2!$A$2:$A$392,1,0)</f>
        <v>#N/A</v>
      </c>
      <c r="E1204" t="s">
        <v>40</v>
      </c>
      <c r="F1204" t="s">
        <v>41</v>
      </c>
      <c r="G1204" t="s">
        <v>29</v>
      </c>
      <c r="I1204" t="s">
        <v>42</v>
      </c>
      <c r="J1204" s="2">
        <v>8000</v>
      </c>
      <c r="K1204" s="2">
        <v>91</v>
      </c>
      <c r="L1204" s="2">
        <v>3233</v>
      </c>
      <c r="P1204" t="s">
        <v>4313</v>
      </c>
      <c r="R1204" t="s">
        <v>42</v>
      </c>
      <c r="S1204" t="s">
        <v>33</v>
      </c>
      <c r="T1204" t="s">
        <v>34</v>
      </c>
      <c r="U1204" t="s">
        <v>44</v>
      </c>
      <c r="X1204" t="s">
        <v>34</v>
      </c>
      <c r="Y1204" t="s">
        <v>45</v>
      </c>
      <c r="Z1204" t="s">
        <v>4314</v>
      </c>
      <c r="AA1204" t="s">
        <v>38</v>
      </c>
    </row>
    <row r="1205" spans="1:27" hidden="1">
      <c r="A1205" t="s">
        <v>4315</v>
      </c>
      <c r="B1205" t="s">
        <v>4316</v>
      </c>
      <c r="C1205" t="e">
        <f>VLOOKUP(B1205,Sheet2!$A$2:$A$392,1,0)</f>
        <v>#N/A</v>
      </c>
      <c r="E1205" t="s">
        <v>40</v>
      </c>
      <c r="F1205" t="s">
        <v>41</v>
      </c>
      <c r="G1205" t="s">
        <v>29</v>
      </c>
      <c r="I1205" t="s">
        <v>42</v>
      </c>
      <c r="J1205" s="2">
        <v>8000</v>
      </c>
      <c r="K1205" s="2">
        <v>91</v>
      </c>
      <c r="L1205" s="2">
        <v>3302</v>
      </c>
      <c r="P1205" t="s">
        <v>4317</v>
      </c>
      <c r="R1205" t="s">
        <v>42</v>
      </c>
      <c r="S1205" t="s">
        <v>33</v>
      </c>
      <c r="T1205" t="s">
        <v>34</v>
      </c>
      <c r="U1205" t="s">
        <v>35</v>
      </c>
      <c r="X1205" t="s">
        <v>34</v>
      </c>
      <c r="Y1205" t="s">
        <v>45</v>
      </c>
      <c r="Z1205" t="s">
        <v>3715</v>
      </c>
      <c r="AA1205" t="s">
        <v>38</v>
      </c>
    </row>
    <row r="1206" spans="1:27" hidden="1">
      <c r="A1206" t="s">
        <v>4318</v>
      </c>
      <c r="B1206" t="s">
        <v>4319</v>
      </c>
      <c r="C1206" t="e">
        <f>VLOOKUP(B1206,Sheet2!$A$2:$A$392,1,0)</f>
        <v>#N/A</v>
      </c>
      <c r="E1206" t="s">
        <v>40</v>
      </c>
      <c r="G1206" t="s">
        <v>857</v>
      </c>
      <c r="I1206" t="s">
        <v>42</v>
      </c>
      <c r="J1206" s="2">
        <v>200</v>
      </c>
      <c r="K1206">
        <v>19.2</v>
      </c>
      <c r="L1206" s="2">
        <v>112</v>
      </c>
      <c r="P1206" t="s">
        <v>4320</v>
      </c>
      <c r="S1206" t="s">
        <v>33</v>
      </c>
      <c r="X1206" t="s">
        <v>34</v>
      </c>
      <c r="AA1206" t="s">
        <v>38</v>
      </c>
    </row>
    <row r="1207" spans="1:27" hidden="1">
      <c r="A1207" t="s">
        <v>4321</v>
      </c>
      <c r="B1207" t="s">
        <v>4322</v>
      </c>
      <c r="C1207" t="e">
        <f>VLOOKUP(B1207,Sheet2!$A$2:$A$392,1,0)</f>
        <v>#N/A</v>
      </c>
      <c r="E1207" t="s">
        <v>40</v>
      </c>
      <c r="F1207" t="s">
        <v>41</v>
      </c>
      <c r="G1207" t="s">
        <v>29</v>
      </c>
      <c r="I1207" t="s">
        <v>42</v>
      </c>
      <c r="J1207" s="2">
        <v>8000</v>
      </c>
      <c r="K1207" s="2">
        <v>91</v>
      </c>
      <c r="L1207" s="2">
        <v>3235</v>
      </c>
      <c r="P1207" t="s">
        <v>4323</v>
      </c>
      <c r="R1207" t="s">
        <v>42</v>
      </c>
      <c r="S1207" t="s">
        <v>33</v>
      </c>
      <c r="T1207" t="s">
        <v>34</v>
      </c>
      <c r="U1207" t="s">
        <v>35</v>
      </c>
      <c r="X1207" t="s">
        <v>34</v>
      </c>
      <c r="Y1207" t="s">
        <v>45</v>
      </c>
      <c r="Z1207" t="s">
        <v>4324</v>
      </c>
      <c r="AA1207" t="s">
        <v>38</v>
      </c>
    </row>
    <row r="1208" spans="1:27" hidden="1">
      <c r="A1208" t="s">
        <v>4325</v>
      </c>
      <c r="B1208" t="s">
        <v>4326</v>
      </c>
      <c r="C1208" t="e">
        <f>VLOOKUP(B1208,Sheet2!$A$2:$A$392,1,0)</f>
        <v>#N/A</v>
      </c>
      <c r="E1208" t="s">
        <v>114</v>
      </c>
      <c r="F1208" t="s">
        <v>41</v>
      </c>
      <c r="I1208" t="s">
        <v>42</v>
      </c>
      <c r="J1208" s="2">
        <v>1642</v>
      </c>
      <c r="K1208" s="2">
        <v>66</v>
      </c>
      <c r="L1208" s="2">
        <v>1487</v>
      </c>
      <c r="O1208" t="s">
        <v>2732</v>
      </c>
      <c r="P1208" t="s">
        <v>4327</v>
      </c>
      <c r="R1208" t="s">
        <v>42</v>
      </c>
      <c r="S1208" t="s">
        <v>33</v>
      </c>
      <c r="T1208" t="s">
        <v>34</v>
      </c>
      <c r="U1208" t="s">
        <v>35</v>
      </c>
      <c r="X1208" t="s">
        <v>34</v>
      </c>
      <c r="Y1208" t="s">
        <v>132</v>
      </c>
      <c r="Z1208" t="s">
        <v>4328</v>
      </c>
      <c r="AA1208" t="s">
        <v>38</v>
      </c>
    </row>
    <row r="1209" spans="1:27" hidden="1">
      <c r="A1209" t="s">
        <v>4329</v>
      </c>
      <c r="B1209" t="s">
        <v>4330</v>
      </c>
      <c r="C1209" t="e">
        <f>VLOOKUP(B1209,Sheet2!$A$2:$A$392,1,0)</f>
        <v>#N/A</v>
      </c>
      <c r="E1209" t="s">
        <v>52</v>
      </c>
      <c r="F1209" t="s">
        <v>28</v>
      </c>
      <c r="G1209" t="s">
        <v>29</v>
      </c>
      <c r="I1209" t="s">
        <v>301</v>
      </c>
      <c r="J1209" s="2">
        <v>28208</v>
      </c>
      <c r="K1209" s="3">
        <v>169.37</v>
      </c>
      <c r="L1209" s="2">
        <v>17027</v>
      </c>
      <c r="P1209" t="s">
        <v>4331</v>
      </c>
      <c r="R1209" t="s">
        <v>32</v>
      </c>
      <c r="S1209" t="s">
        <v>33</v>
      </c>
      <c r="T1209" t="s">
        <v>34</v>
      </c>
      <c r="U1209" t="s">
        <v>35</v>
      </c>
      <c r="X1209" t="s">
        <v>34</v>
      </c>
      <c r="Y1209" t="s">
        <v>45</v>
      </c>
      <c r="Z1209" t="s">
        <v>4332</v>
      </c>
      <c r="AA1209" t="s">
        <v>38</v>
      </c>
    </row>
    <row r="1210" spans="1:27" hidden="1">
      <c r="A1210" t="s">
        <v>4333</v>
      </c>
      <c r="B1210" t="s">
        <v>4334</v>
      </c>
      <c r="C1210" t="e">
        <f>VLOOKUP(B1210,Sheet2!$A$2:$A$392,1,0)</f>
        <v>#N/A</v>
      </c>
      <c r="E1210" t="s">
        <v>249</v>
      </c>
      <c r="G1210" t="s">
        <v>336</v>
      </c>
      <c r="I1210" t="s">
        <v>42</v>
      </c>
      <c r="J1210" s="2">
        <v>3781</v>
      </c>
      <c r="K1210" s="3">
        <v>97.54</v>
      </c>
      <c r="L1210" s="2">
        <v>3781</v>
      </c>
      <c r="P1210" t="s">
        <v>4335</v>
      </c>
      <c r="S1210" t="s">
        <v>33</v>
      </c>
      <c r="X1210" t="s">
        <v>34</v>
      </c>
      <c r="AA1210" t="s">
        <v>38</v>
      </c>
    </row>
    <row r="1211" spans="1:27" hidden="1">
      <c r="A1211" t="s">
        <v>4336</v>
      </c>
      <c r="B1211" t="s">
        <v>4337</v>
      </c>
      <c r="C1211" t="e">
        <f>VLOOKUP(B1211,Sheet2!$A$2:$A$392,1,0)</f>
        <v>#N/A</v>
      </c>
      <c r="E1211" t="s">
        <v>40</v>
      </c>
      <c r="G1211" t="s">
        <v>125</v>
      </c>
      <c r="I1211" t="s">
        <v>42</v>
      </c>
      <c r="J1211" s="2">
        <v>346</v>
      </c>
      <c r="K1211" s="3">
        <v>37.11</v>
      </c>
      <c r="L1211" s="2">
        <v>346</v>
      </c>
      <c r="P1211" t="s">
        <v>4338</v>
      </c>
      <c r="S1211" t="s">
        <v>33</v>
      </c>
      <c r="X1211" t="s">
        <v>34</v>
      </c>
      <c r="AA1211" t="s">
        <v>38</v>
      </c>
    </row>
    <row r="1212" spans="1:27">
      <c r="A1212" t="s">
        <v>4339</v>
      </c>
      <c r="B1212" t="s">
        <v>4340</v>
      </c>
      <c r="C1212" t="str">
        <f>VLOOKUP(B1212,Sheet2!$A$2:$A$392,1,0)</f>
        <v>PB.KUNIMI /BG.KUNIMI 1</v>
      </c>
      <c r="E1212" t="s">
        <v>52</v>
      </c>
      <c r="F1212" t="s">
        <v>41</v>
      </c>
      <c r="G1212" t="s">
        <v>3080</v>
      </c>
      <c r="J1212" s="2">
        <v>5750</v>
      </c>
      <c r="K1212" s="2">
        <v>129</v>
      </c>
      <c r="L1212" s="2">
        <v>3937</v>
      </c>
      <c r="N1212">
        <v>6.5</v>
      </c>
      <c r="O1212" t="s">
        <v>3081</v>
      </c>
      <c r="P1212" t="s">
        <v>4341</v>
      </c>
      <c r="R1212" t="s">
        <v>42</v>
      </c>
      <c r="S1212" t="s">
        <v>33</v>
      </c>
      <c r="U1212" t="s">
        <v>35</v>
      </c>
      <c r="W1212" t="s">
        <v>63</v>
      </c>
      <c r="X1212" t="s">
        <v>34</v>
      </c>
      <c r="Y1212" t="s">
        <v>64</v>
      </c>
      <c r="Z1212" t="s">
        <v>4342</v>
      </c>
      <c r="AA1212" t="s">
        <v>38</v>
      </c>
    </row>
    <row r="1213" spans="1:27" hidden="1">
      <c r="A1213" t="s">
        <v>4343</v>
      </c>
      <c r="B1213" t="s">
        <v>4344</v>
      </c>
      <c r="C1213" t="e">
        <f>VLOOKUP(B1213,Sheet2!$A$2:$A$392,1,0)</f>
        <v>#N/A</v>
      </c>
      <c r="E1213" t="s">
        <v>40</v>
      </c>
      <c r="F1213" t="s">
        <v>41</v>
      </c>
      <c r="G1213" t="s">
        <v>29</v>
      </c>
      <c r="I1213" t="s">
        <v>42</v>
      </c>
      <c r="J1213" s="2">
        <v>8000</v>
      </c>
      <c r="K1213" s="2">
        <v>91</v>
      </c>
      <c r="L1213" s="2">
        <v>3510</v>
      </c>
      <c r="P1213" t="s">
        <v>4345</v>
      </c>
      <c r="R1213" t="s">
        <v>42</v>
      </c>
      <c r="S1213" t="s">
        <v>33</v>
      </c>
      <c r="T1213" t="s">
        <v>34</v>
      </c>
      <c r="U1213" t="s">
        <v>35</v>
      </c>
      <c r="X1213" t="s">
        <v>34</v>
      </c>
      <c r="Y1213" t="s">
        <v>45</v>
      </c>
      <c r="Z1213" t="s">
        <v>4346</v>
      </c>
      <c r="AA1213" t="s">
        <v>38</v>
      </c>
    </row>
    <row r="1214" spans="1:27" hidden="1">
      <c r="A1214" t="s">
        <v>4347</v>
      </c>
      <c r="B1214" t="s">
        <v>4348</v>
      </c>
      <c r="C1214" t="e">
        <f>VLOOKUP(B1214,Sheet2!$A$2:$A$392,1,0)</f>
        <v>#N/A</v>
      </c>
      <c r="E1214" t="s">
        <v>40</v>
      </c>
      <c r="F1214" t="s">
        <v>41</v>
      </c>
      <c r="G1214" t="s">
        <v>610</v>
      </c>
      <c r="J1214" s="2">
        <v>8000</v>
      </c>
      <c r="K1214" s="2">
        <v>91</v>
      </c>
      <c r="L1214" s="2">
        <v>3510</v>
      </c>
      <c r="P1214" t="s">
        <v>4349</v>
      </c>
      <c r="R1214" t="s">
        <v>42</v>
      </c>
      <c r="S1214" t="s">
        <v>33</v>
      </c>
      <c r="U1214" t="s">
        <v>35</v>
      </c>
      <c r="W1214" t="s">
        <v>63</v>
      </c>
      <c r="X1214" t="s">
        <v>34</v>
      </c>
      <c r="Y1214" t="s">
        <v>64</v>
      </c>
      <c r="Z1214" t="s">
        <v>4350</v>
      </c>
      <c r="AA1214" t="s">
        <v>38</v>
      </c>
    </row>
    <row r="1215" spans="1:27" hidden="1">
      <c r="A1215" t="s">
        <v>4351</v>
      </c>
      <c r="B1215" t="s">
        <v>4352</v>
      </c>
      <c r="C1215" t="e">
        <f>VLOOKUP(B1215,Sheet2!$A$2:$A$392,1,0)</f>
        <v>#N/A</v>
      </c>
      <c r="E1215" t="s">
        <v>27</v>
      </c>
      <c r="F1215" t="s">
        <v>41</v>
      </c>
      <c r="G1215" t="s">
        <v>29</v>
      </c>
      <c r="J1215" s="2">
        <v>2600</v>
      </c>
      <c r="K1215" s="2">
        <v>76</v>
      </c>
      <c r="L1215" s="2">
        <v>1538</v>
      </c>
      <c r="M1215" s="2">
        <v>1800</v>
      </c>
      <c r="N1215" s="2">
        <v>5</v>
      </c>
      <c r="P1215" t="s">
        <v>185</v>
      </c>
      <c r="R1215" t="s">
        <v>32</v>
      </c>
      <c r="S1215" t="s">
        <v>33</v>
      </c>
      <c r="U1215" t="s">
        <v>35</v>
      </c>
      <c r="X1215" t="s">
        <v>34</v>
      </c>
      <c r="Y1215" t="s">
        <v>45</v>
      </c>
      <c r="Z1215" t="s">
        <v>4353</v>
      </c>
      <c r="AA1215" t="s">
        <v>38</v>
      </c>
    </row>
    <row r="1216" spans="1:27" hidden="1">
      <c r="A1216" t="s">
        <v>4354</v>
      </c>
      <c r="B1216" t="s">
        <v>4355</v>
      </c>
      <c r="C1216" t="e">
        <f>VLOOKUP(B1216,Sheet2!$A$2:$A$392,1,0)</f>
        <v>#N/A</v>
      </c>
      <c r="E1216" t="s">
        <v>27</v>
      </c>
      <c r="F1216" t="s">
        <v>41</v>
      </c>
      <c r="G1216" t="s">
        <v>29</v>
      </c>
      <c r="I1216" t="s">
        <v>42</v>
      </c>
      <c r="J1216" s="2">
        <v>2000</v>
      </c>
      <c r="K1216" s="2">
        <v>69</v>
      </c>
      <c r="L1216" s="2">
        <v>1388</v>
      </c>
      <c r="M1216" s="2">
        <v>1000</v>
      </c>
      <c r="N1216" s="2">
        <v>4</v>
      </c>
      <c r="P1216" t="s">
        <v>4356</v>
      </c>
      <c r="R1216" t="s">
        <v>32</v>
      </c>
      <c r="S1216" t="s">
        <v>33</v>
      </c>
      <c r="T1216" t="s">
        <v>34</v>
      </c>
      <c r="U1216" t="s">
        <v>35</v>
      </c>
      <c r="X1216" t="s">
        <v>34</v>
      </c>
      <c r="Y1216" t="s">
        <v>45</v>
      </c>
      <c r="Z1216" t="s">
        <v>4357</v>
      </c>
      <c r="AA1216" t="s">
        <v>38</v>
      </c>
    </row>
    <row r="1217" spans="1:27">
      <c r="A1217" t="s">
        <v>4358</v>
      </c>
      <c r="B1217" t="s">
        <v>4359</v>
      </c>
      <c r="C1217" t="str">
        <f>VLOOKUP(B1217,Sheet2!$A$2:$A$392,1,0)</f>
        <v>TB. PERMATA DOLPHIN / BG. BKT 301</v>
      </c>
      <c r="E1217" t="s">
        <v>40</v>
      </c>
      <c r="F1217" t="s">
        <v>41</v>
      </c>
      <c r="G1217" t="s">
        <v>293</v>
      </c>
      <c r="J1217" s="2">
        <v>7500</v>
      </c>
      <c r="K1217" s="3">
        <v>91.44</v>
      </c>
      <c r="L1217" s="2">
        <v>3080</v>
      </c>
      <c r="O1217" t="s">
        <v>294</v>
      </c>
      <c r="P1217" t="s">
        <v>4360</v>
      </c>
      <c r="R1217" t="s">
        <v>42</v>
      </c>
      <c r="S1217" t="s">
        <v>33</v>
      </c>
      <c r="U1217" t="s">
        <v>44</v>
      </c>
      <c r="W1217" t="s">
        <v>63</v>
      </c>
      <c r="X1217" t="s">
        <v>34</v>
      </c>
      <c r="Y1217" t="s">
        <v>64</v>
      </c>
      <c r="Z1217" t="s">
        <v>4361</v>
      </c>
      <c r="AA1217" t="s">
        <v>38</v>
      </c>
    </row>
    <row r="1218" spans="1:27" hidden="1">
      <c r="A1218" t="s">
        <v>4362</v>
      </c>
      <c r="B1218" t="s">
        <v>4363</v>
      </c>
      <c r="C1218" t="e">
        <f>VLOOKUP(B1218,Sheet2!$A$2:$A$392,1,0)</f>
        <v>#N/A</v>
      </c>
      <c r="E1218" t="s">
        <v>40</v>
      </c>
      <c r="F1218" t="s">
        <v>41</v>
      </c>
      <c r="G1218" t="s">
        <v>293</v>
      </c>
      <c r="J1218" s="2">
        <v>8000</v>
      </c>
      <c r="K1218" s="3">
        <v>91.44</v>
      </c>
      <c r="L1218" s="2">
        <v>3270</v>
      </c>
      <c r="O1218" t="s">
        <v>294</v>
      </c>
      <c r="P1218" t="s">
        <v>4364</v>
      </c>
      <c r="R1218" t="s">
        <v>42</v>
      </c>
      <c r="S1218" t="s">
        <v>33</v>
      </c>
      <c r="U1218" t="s">
        <v>35</v>
      </c>
      <c r="W1218" t="s">
        <v>63</v>
      </c>
      <c r="X1218" t="s">
        <v>34</v>
      </c>
      <c r="Y1218" t="s">
        <v>64</v>
      </c>
      <c r="Z1218" t="s">
        <v>4365</v>
      </c>
      <c r="AA1218" t="s">
        <v>38</v>
      </c>
    </row>
    <row r="1219" spans="1:27" hidden="1">
      <c r="A1219" t="s">
        <v>4366</v>
      </c>
      <c r="B1219" t="s">
        <v>4367</v>
      </c>
      <c r="C1219" t="e">
        <f>VLOOKUP(B1219,Sheet2!$A$2:$A$392,1,0)</f>
        <v>#N/A</v>
      </c>
      <c r="E1219" t="s">
        <v>40</v>
      </c>
      <c r="F1219" t="s">
        <v>41</v>
      </c>
      <c r="G1219" t="s">
        <v>29</v>
      </c>
      <c r="I1219" t="s">
        <v>42</v>
      </c>
      <c r="J1219" s="2">
        <v>5000</v>
      </c>
      <c r="K1219" s="2">
        <v>82</v>
      </c>
      <c r="L1219" s="2">
        <v>2301</v>
      </c>
      <c r="P1219" t="s">
        <v>4368</v>
      </c>
      <c r="R1219" t="s">
        <v>42</v>
      </c>
      <c r="S1219" t="s">
        <v>33</v>
      </c>
      <c r="T1219" t="s">
        <v>34</v>
      </c>
      <c r="U1219" t="s">
        <v>35</v>
      </c>
      <c r="X1219" t="s">
        <v>34</v>
      </c>
      <c r="Y1219" t="s">
        <v>45</v>
      </c>
      <c r="Z1219" t="s">
        <v>1603</v>
      </c>
      <c r="AA1219" t="s">
        <v>38</v>
      </c>
    </row>
    <row r="1220" spans="1:27">
      <c r="A1220" t="s">
        <v>4369</v>
      </c>
      <c r="B1220" t="s">
        <v>4370</v>
      </c>
      <c r="C1220" t="str">
        <f>VLOOKUP(B1220,Sheet2!$A$2:$A$392,1,0)</f>
        <v>TB. PACIFIC FIVE / BG. PACIFIC 3302</v>
      </c>
      <c r="E1220" t="s">
        <v>40</v>
      </c>
      <c r="F1220" t="s">
        <v>41</v>
      </c>
      <c r="G1220" t="s">
        <v>293</v>
      </c>
      <c r="J1220" s="2">
        <v>10000</v>
      </c>
      <c r="K1220" s="3">
        <v>100.58</v>
      </c>
      <c r="L1220" s="2">
        <v>4332</v>
      </c>
      <c r="O1220" t="s">
        <v>294</v>
      </c>
      <c r="P1220" t="s">
        <v>4371</v>
      </c>
      <c r="R1220" t="s">
        <v>42</v>
      </c>
      <c r="S1220" t="s">
        <v>33</v>
      </c>
      <c r="U1220" t="s">
        <v>44</v>
      </c>
      <c r="W1220" t="s">
        <v>63</v>
      </c>
      <c r="X1220" t="s">
        <v>34</v>
      </c>
      <c r="Y1220" t="s">
        <v>64</v>
      </c>
      <c r="Z1220" t="s">
        <v>4372</v>
      </c>
      <c r="AA1220" t="s">
        <v>38</v>
      </c>
    </row>
    <row r="1221" spans="1:27" hidden="1">
      <c r="A1221" t="s">
        <v>4373</v>
      </c>
      <c r="B1221" t="s">
        <v>4374</v>
      </c>
      <c r="C1221" t="e">
        <f>VLOOKUP(B1221,Sheet2!$A$2:$A$392,1,0)</f>
        <v>#N/A</v>
      </c>
      <c r="E1221" t="s">
        <v>40</v>
      </c>
      <c r="F1221" t="s">
        <v>41</v>
      </c>
      <c r="G1221" t="s">
        <v>29</v>
      </c>
      <c r="I1221" t="s">
        <v>42</v>
      </c>
      <c r="J1221" s="2">
        <v>8000</v>
      </c>
      <c r="K1221" s="2">
        <v>91</v>
      </c>
      <c r="L1221" s="2">
        <v>3335</v>
      </c>
      <c r="P1221" t="s">
        <v>4375</v>
      </c>
      <c r="R1221" t="s">
        <v>42</v>
      </c>
      <c r="S1221" t="s">
        <v>33</v>
      </c>
      <c r="T1221" t="s">
        <v>34</v>
      </c>
      <c r="U1221" t="s">
        <v>35</v>
      </c>
      <c r="X1221" t="s">
        <v>34</v>
      </c>
      <c r="Y1221" t="s">
        <v>45</v>
      </c>
      <c r="Z1221" t="s">
        <v>370</v>
      </c>
      <c r="AA1221" t="s">
        <v>38</v>
      </c>
    </row>
    <row r="1222" spans="1:27" hidden="1">
      <c r="A1222" t="s">
        <v>4376</v>
      </c>
      <c r="B1222" t="s">
        <v>4377</v>
      </c>
      <c r="C1222" t="e">
        <f>VLOOKUP(B1222,Sheet2!$A$2:$A$392,1,0)</f>
        <v>#N/A</v>
      </c>
      <c r="E1222" t="s">
        <v>52</v>
      </c>
      <c r="F1222" t="s">
        <v>28</v>
      </c>
      <c r="G1222" t="s">
        <v>29</v>
      </c>
      <c r="I1222" t="s">
        <v>352</v>
      </c>
      <c r="J1222">
        <v>5359.7</v>
      </c>
      <c r="K1222" s="3">
        <v>97.12</v>
      </c>
      <c r="L1222" s="2">
        <v>2998</v>
      </c>
      <c r="P1222" t="s">
        <v>4378</v>
      </c>
      <c r="R1222" t="s">
        <v>352</v>
      </c>
      <c r="S1222" t="s">
        <v>33</v>
      </c>
      <c r="T1222" t="s">
        <v>34</v>
      </c>
      <c r="U1222" t="s">
        <v>35</v>
      </c>
      <c r="X1222" t="s">
        <v>34</v>
      </c>
      <c r="Y1222" t="s">
        <v>45</v>
      </c>
      <c r="Z1222" t="s">
        <v>4379</v>
      </c>
      <c r="AA1222" t="s">
        <v>38</v>
      </c>
    </row>
    <row r="1223" spans="1:27" hidden="1">
      <c r="A1223" t="s">
        <v>4380</v>
      </c>
      <c r="B1223" t="s">
        <v>4381</v>
      </c>
      <c r="C1223" t="e">
        <f>VLOOKUP(B1223,Sheet2!$A$2:$A$392,1,0)</f>
        <v>#N/A</v>
      </c>
      <c r="E1223" t="s">
        <v>27</v>
      </c>
      <c r="F1223" t="s">
        <v>41</v>
      </c>
      <c r="G1223" t="s">
        <v>29</v>
      </c>
      <c r="I1223" t="s">
        <v>42</v>
      </c>
      <c r="J1223" s="2">
        <v>1000</v>
      </c>
      <c r="K1223" s="2">
        <v>55</v>
      </c>
      <c r="L1223" s="2">
        <v>658</v>
      </c>
      <c r="P1223" s="2">
        <v>1234</v>
      </c>
      <c r="R1223" t="s">
        <v>32</v>
      </c>
      <c r="S1223" t="s">
        <v>33</v>
      </c>
      <c r="T1223" t="s">
        <v>34</v>
      </c>
      <c r="U1223" t="s">
        <v>35</v>
      </c>
      <c r="W1223" t="s">
        <v>165</v>
      </c>
      <c r="X1223" t="s">
        <v>34</v>
      </c>
      <c r="Y1223" t="s">
        <v>245</v>
      </c>
      <c r="Z1223" t="s">
        <v>3342</v>
      </c>
      <c r="AA1223" t="s">
        <v>38</v>
      </c>
    </row>
    <row r="1224" spans="1:27" hidden="1">
      <c r="A1224" t="s">
        <v>4382</v>
      </c>
      <c r="B1224" t="s">
        <v>4383</v>
      </c>
      <c r="C1224" t="e">
        <f>VLOOKUP(B1224,Sheet2!$A$2:$A$392,1,0)</f>
        <v>#N/A</v>
      </c>
      <c r="E1224" t="s">
        <v>72</v>
      </c>
      <c r="G1224" t="s">
        <v>89</v>
      </c>
      <c r="I1224" t="s">
        <v>42</v>
      </c>
      <c r="J1224" s="2">
        <v>1000</v>
      </c>
      <c r="K1224" s="3">
        <v>54.86</v>
      </c>
      <c r="L1224" s="2">
        <v>1042</v>
      </c>
      <c r="P1224" t="s">
        <v>74</v>
      </c>
      <c r="S1224" t="s">
        <v>33</v>
      </c>
      <c r="X1224" t="s">
        <v>34</v>
      </c>
      <c r="AA1224" t="s">
        <v>38</v>
      </c>
    </row>
    <row r="1225" spans="1:27" hidden="1">
      <c r="A1225" t="s">
        <v>4384</v>
      </c>
      <c r="B1225" t="s">
        <v>4385</v>
      </c>
      <c r="C1225" t="e">
        <f>VLOOKUP(B1225,Sheet2!$A$2:$A$392,1,0)</f>
        <v>#N/A</v>
      </c>
      <c r="E1225" t="s">
        <v>72</v>
      </c>
      <c r="F1225" t="s">
        <v>41</v>
      </c>
      <c r="G1225" t="s">
        <v>125</v>
      </c>
      <c r="I1225" t="s">
        <v>42</v>
      </c>
      <c r="J1225" s="2">
        <v>2771</v>
      </c>
      <c r="K1225">
        <v>76.2</v>
      </c>
      <c r="L1225" s="2">
        <v>2771</v>
      </c>
      <c r="O1225" t="s">
        <v>420</v>
      </c>
      <c r="P1225" t="s">
        <v>74</v>
      </c>
      <c r="R1225" t="s">
        <v>42</v>
      </c>
      <c r="S1225" t="s">
        <v>33</v>
      </c>
      <c r="T1225" t="s">
        <v>34</v>
      </c>
      <c r="U1225" t="s">
        <v>35</v>
      </c>
      <c r="X1225" t="s">
        <v>34</v>
      </c>
      <c r="Y1225" t="s">
        <v>132</v>
      </c>
      <c r="Z1225" t="s">
        <v>4386</v>
      </c>
      <c r="AA1225" t="s">
        <v>38</v>
      </c>
    </row>
    <row r="1226" spans="1:27" hidden="1">
      <c r="A1226" t="s">
        <v>4387</v>
      </c>
      <c r="B1226" t="s">
        <v>4388</v>
      </c>
      <c r="C1226" t="e">
        <f>VLOOKUP(B1226,Sheet2!$A$2:$A$392,1,0)</f>
        <v>#N/A</v>
      </c>
      <c r="E1226" t="s">
        <v>27</v>
      </c>
      <c r="F1226" t="s">
        <v>41</v>
      </c>
      <c r="G1226" t="s">
        <v>29</v>
      </c>
      <c r="I1226" t="s">
        <v>42</v>
      </c>
      <c r="J1226" s="2">
        <v>1500</v>
      </c>
      <c r="K1226" s="3">
        <v>56.75</v>
      </c>
      <c r="L1226" s="2">
        <v>675</v>
      </c>
      <c r="P1226" t="s">
        <v>185</v>
      </c>
      <c r="R1226" t="s">
        <v>32</v>
      </c>
      <c r="S1226" t="s">
        <v>33</v>
      </c>
      <c r="T1226" t="s">
        <v>34</v>
      </c>
      <c r="U1226" t="s">
        <v>35</v>
      </c>
      <c r="X1226" t="s">
        <v>34</v>
      </c>
      <c r="Y1226" t="s">
        <v>45</v>
      </c>
      <c r="Z1226" t="s">
        <v>4389</v>
      </c>
      <c r="AA1226" t="s">
        <v>38</v>
      </c>
    </row>
    <row r="1227" spans="1:27" hidden="1">
      <c r="A1227" t="s">
        <v>4390</v>
      </c>
      <c r="B1227" t="s">
        <v>4391</v>
      </c>
      <c r="C1227" t="e">
        <f>VLOOKUP(B1227,Sheet2!$A$2:$A$392,1,0)</f>
        <v>#N/A</v>
      </c>
      <c r="E1227" t="s">
        <v>40</v>
      </c>
      <c r="F1227" t="s">
        <v>41</v>
      </c>
      <c r="G1227" t="s">
        <v>29</v>
      </c>
      <c r="I1227" t="s">
        <v>42</v>
      </c>
      <c r="J1227" s="2">
        <v>8000</v>
      </c>
      <c r="K1227" s="2">
        <v>87</v>
      </c>
      <c r="L1227" s="2">
        <v>3360</v>
      </c>
      <c r="P1227" t="s">
        <v>4392</v>
      </c>
      <c r="R1227" t="s">
        <v>42</v>
      </c>
      <c r="S1227" t="s">
        <v>33</v>
      </c>
      <c r="T1227" t="s">
        <v>34</v>
      </c>
      <c r="U1227" t="s">
        <v>35</v>
      </c>
      <c r="X1227" t="s">
        <v>34</v>
      </c>
      <c r="Y1227" t="s">
        <v>45</v>
      </c>
      <c r="Z1227" t="s">
        <v>567</v>
      </c>
      <c r="AA1227" t="s">
        <v>38</v>
      </c>
    </row>
    <row r="1228" spans="1:27" hidden="1">
      <c r="A1228" t="s">
        <v>4393</v>
      </c>
      <c r="B1228" t="s">
        <v>4394</v>
      </c>
      <c r="C1228" t="e">
        <f>VLOOKUP(B1228,Sheet2!$A$2:$A$392,1,0)</f>
        <v>#N/A</v>
      </c>
      <c r="E1228" t="s">
        <v>72</v>
      </c>
      <c r="G1228" t="s">
        <v>629</v>
      </c>
      <c r="I1228" t="s">
        <v>42</v>
      </c>
      <c r="J1228" s="2">
        <v>583</v>
      </c>
      <c r="K1228" s="3">
        <v>51.86</v>
      </c>
      <c r="L1228" s="2">
        <v>747</v>
      </c>
      <c r="P1228" s="2">
        <v>0</v>
      </c>
      <c r="S1228" t="s">
        <v>33</v>
      </c>
      <c r="X1228" t="s">
        <v>34</v>
      </c>
      <c r="AA1228" t="s">
        <v>38</v>
      </c>
    </row>
    <row r="1229" spans="1:27" hidden="1">
      <c r="A1229" t="s">
        <v>4395</v>
      </c>
      <c r="B1229" t="s">
        <v>4396</v>
      </c>
      <c r="C1229" t="e">
        <f>VLOOKUP(B1229,Sheet2!$A$2:$A$392,1,0)</f>
        <v>#N/A</v>
      </c>
      <c r="E1229" t="s">
        <v>40</v>
      </c>
      <c r="G1229" t="s">
        <v>424</v>
      </c>
      <c r="I1229" t="s">
        <v>42</v>
      </c>
      <c r="J1229" s="2">
        <v>500</v>
      </c>
      <c r="K1229" s="2">
        <v>26</v>
      </c>
      <c r="L1229" s="2">
        <v>11</v>
      </c>
      <c r="P1229" t="s">
        <v>4397</v>
      </c>
      <c r="S1229" t="s">
        <v>33</v>
      </c>
      <c r="X1229" t="s">
        <v>34</v>
      </c>
      <c r="Y1229" t="s">
        <v>96</v>
      </c>
      <c r="Z1229" t="s">
        <v>4398</v>
      </c>
      <c r="AA1229" t="s">
        <v>38</v>
      </c>
    </row>
    <row r="1230" spans="1:27" hidden="1">
      <c r="A1230" t="s">
        <v>4399</v>
      </c>
      <c r="B1230" t="s">
        <v>4400</v>
      </c>
      <c r="C1230" t="e">
        <f>VLOOKUP(B1230,Sheet2!$A$2:$A$392,1,0)</f>
        <v>#N/A</v>
      </c>
      <c r="E1230" t="s">
        <v>72</v>
      </c>
      <c r="G1230" t="s">
        <v>629</v>
      </c>
      <c r="I1230" t="s">
        <v>42</v>
      </c>
      <c r="J1230" s="2">
        <v>697</v>
      </c>
      <c r="K1230" s="3">
        <v>51.86</v>
      </c>
      <c r="L1230" s="2">
        <v>920</v>
      </c>
      <c r="P1230" s="2">
        <v>0</v>
      </c>
      <c r="S1230" t="s">
        <v>33</v>
      </c>
      <c r="X1230" t="s">
        <v>34</v>
      </c>
      <c r="AA1230" t="s">
        <v>38</v>
      </c>
    </row>
    <row r="1231" spans="1:27">
      <c r="A1231" t="s">
        <v>4401</v>
      </c>
      <c r="B1231" t="s">
        <v>4402</v>
      </c>
      <c r="C1231" t="str">
        <f>VLOOKUP(B1231,Sheet2!$A$2:$A$392,1,0)</f>
        <v>TB. PACIFIC JAYA VI / BG. MARITIM PERKASA 2725</v>
      </c>
      <c r="E1231" t="s">
        <v>40</v>
      </c>
      <c r="F1231" t="s">
        <v>41</v>
      </c>
      <c r="G1231" t="s">
        <v>29</v>
      </c>
      <c r="I1231" t="s">
        <v>42</v>
      </c>
      <c r="J1231" s="2">
        <v>5000</v>
      </c>
      <c r="K1231" s="2">
        <v>82</v>
      </c>
      <c r="L1231" s="2">
        <v>2340</v>
      </c>
      <c r="P1231" t="s">
        <v>185</v>
      </c>
      <c r="R1231" t="s">
        <v>42</v>
      </c>
      <c r="S1231" t="s">
        <v>33</v>
      </c>
      <c r="T1231" t="s">
        <v>34</v>
      </c>
      <c r="U1231" t="s">
        <v>35</v>
      </c>
      <c r="X1231" t="s">
        <v>34</v>
      </c>
      <c r="Y1231" t="s">
        <v>45</v>
      </c>
      <c r="Z1231" t="s">
        <v>4403</v>
      </c>
      <c r="AA1231" t="s">
        <v>38</v>
      </c>
    </row>
    <row r="1232" spans="1:27" hidden="1">
      <c r="A1232" t="s">
        <v>4404</v>
      </c>
      <c r="B1232" t="s">
        <v>4405</v>
      </c>
      <c r="C1232" t="e">
        <f>VLOOKUP(B1232,Sheet2!$A$2:$A$392,1,0)</f>
        <v>#N/A</v>
      </c>
      <c r="E1232" t="s">
        <v>40</v>
      </c>
      <c r="F1232" t="s">
        <v>41</v>
      </c>
      <c r="G1232" t="s">
        <v>29</v>
      </c>
      <c r="J1232" s="2">
        <v>7000</v>
      </c>
      <c r="K1232" s="2">
        <v>91</v>
      </c>
      <c r="L1232" s="2">
        <v>3207</v>
      </c>
      <c r="P1232" t="s">
        <v>4406</v>
      </c>
      <c r="R1232" t="s">
        <v>42</v>
      </c>
      <c r="S1232" t="s">
        <v>33</v>
      </c>
      <c r="U1232" t="s">
        <v>35</v>
      </c>
      <c r="X1232" t="s">
        <v>34</v>
      </c>
      <c r="Y1232" t="s">
        <v>45</v>
      </c>
      <c r="Z1232" t="s">
        <v>4407</v>
      </c>
      <c r="AA1232" t="s">
        <v>38</v>
      </c>
    </row>
    <row r="1233" spans="1:27" hidden="1">
      <c r="A1233" t="s">
        <v>4408</v>
      </c>
      <c r="B1233" t="s">
        <v>4409</v>
      </c>
      <c r="C1233" t="e">
        <f>VLOOKUP(B1233,Sheet2!$A$2:$A$392,1,0)</f>
        <v>#N/A</v>
      </c>
      <c r="E1233" t="s">
        <v>72</v>
      </c>
      <c r="G1233" t="s">
        <v>89</v>
      </c>
      <c r="I1233" t="s">
        <v>42</v>
      </c>
      <c r="J1233" s="2">
        <v>1136</v>
      </c>
      <c r="K1233">
        <v>67.3</v>
      </c>
      <c r="L1233" s="2">
        <v>1895</v>
      </c>
      <c r="P1233" t="s">
        <v>74</v>
      </c>
      <c r="S1233" t="s">
        <v>33</v>
      </c>
      <c r="X1233" t="s">
        <v>34</v>
      </c>
      <c r="AA1233" t="s">
        <v>38</v>
      </c>
    </row>
    <row r="1234" spans="1:27" hidden="1">
      <c r="A1234" t="s">
        <v>4410</v>
      </c>
      <c r="B1234" t="s">
        <v>4411</v>
      </c>
      <c r="C1234" t="e">
        <f>VLOOKUP(B1234,Sheet2!$A$2:$A$392,1,0)</f>
        <v>#N/A</v>
      </c>
      <c r="E1234" t="s">
        <v>196</v>
      </c>
      <c r="F1234" t="s">
        <v>41</v>
      </c>
      <c r="G1234" t="s">
        <v>907</v>
      </c>
      <c r="J1234" s="2">
        <v>6814</v>
      </c>
      <c r="K1234" s="2">
        <v>112</v>
      </c>
      <c r="L1234" s="2">
        <v>4285</v>
      </c>
      <c r="M1234" s="2">
        <v>2800</v>
      </c>
      <c r="N1234" s="2">
        <v>6</v>
      </c>
      <c r="O1234" t="s">
        <v>1356</v>
      </c>
      <c r="P1234" t="s">
        <v>4412</v>
      </c>
      <c r="Q1234" t="s">
        <v>34</v>
      </c>
      <c r="R1234" t="s">
        <v>32</v>
      </c>
      <c r="S1234" t="s">
        <v>33</v>
      </c>
      <c r="U1234" t="s">
        <v>35</v>
      </c>
      <c r="V1234" s="2">
        <v>4</v>
      </c>
      <c r="X1234" t="s">
        <v>34</v>
      </c>
      <c r="Y1234" t="s">
        <v>45</v>
      </c>
      <c r="Z1234" t="s">
        <v>4413</v>
      </c>
      <c r="AA1234" t="s">
        <v>38</v>
      </c>
    </row>
    <row r="1235" spans="1:27" hidden="1">
      <c r="A1235" t="s">
        <v>4414</v>
      </c>
      <c r="B1235" t="s">
        <v>4415</v>
      </c>
      <c r="C1235" t="e">
        <f>VLOOKUP(B1235,Sheet2!$A$2:$A$392,1,0)</f>
        <v>#N/A</v>
      </c>
      <c r="E1235" t="s">
        <v>40</v>
      </c>
      <c r="F1235" t="s">
        <v>41</v>
      </c>
      <c r="G1235" t="s">
        <v>29</v>
      </c>
      <c r="I1235" t="s">
        <v>42</v>
      </c>
      <c r="J1235" s="2">
        <v>5500</v>
      </c>
      <c r="K1235" s="2">
        <v>82</v>
      </c>
      <c r="L1235" s="2">
        <v>2260</v>
      </c>
      <c r="P1235" t="s">
        <v>4416</v>
      </c>
      <c r="R1235" t="s">
        <v>42</v>
      </c>
      <c r="S1235" t="s">
        <v>33</v>
      </c>
      <c r="T1235" t="s">
        <v>34</v>
      </c>
      <c r="U1235" t="s">
        <v>35</v>
      </c>
      <c r="X1235" t="s">
        <v>34</v>
      </c>
      <c r="Y1235" t="s">
        <v>45</v>
      </c>
      <c r="Z1235" t="s">
        <v>4417</v>
      </c>
      <c r="AA1235" t="s">
        <v>38</v>
      </c>
    </row>
    <row r="1236" spans="1:27" hidden="1">
      <c r="A1236" t="s">
        <v>4418</v>
      </c>
      <c r="B1236" t="s">
        <v>4419</v>
      </c>
      <c r="C1236" t="e">
        <f>VLOOKUP(B1236,Sheet2!$A$2:$A$392,1,0)</f>
        <v>#N/A</v>
      </c>
      <c r="E1236" t="s">
        <v>40</v>
      </c>
      <c r="G1236" t="s">
        <v>29</v>
      </c>
      <c r="I1236" t="s">
        <v>42</v>
      </c>
      <c r="J1236" s="2">
        <v>932</v>
      </c>
      <c r="K1236" s="3">
        <v>28.24</v>
      </c>
      <c r="L1236" s="2">
        <v>241</v>
      </c>
      <c r="P1236" t="s">
        <v>4420</v>
      </c>
      <c r="S1236" t="s">
        <v>33</v>
      </c>
      <c r="X1236" t="s">
        <v>34</v>
      </c>
      <c r="AA1236" t="s">
        <v>38</v>
      </c>
    </row>
    <row r="1237" spans="1:27" hidden="1">
      <c r="A1237" t="s">
        <v>4421</v>
      </c>
      <c r="B1237" t="s">
        <v>4422</v>
      </c>
      <c r="C1237" t="e">
        <f>VLOOKUP(B1237,Sheet2!$A$2:$A$392,1,0)</f>
        <v>#N/A</v>
      </c>
      <c r="E1237" t="s">
        <v>170</v>
      </c>
      <c r="G1237" t="s">
        <v>4423</v>
      </c>
      <c r="I1237" t="s">
        <v>685</v>
      </c>
      <c r="J1237" s="2">
        <v>5263</v>
      </c>
      <c r="K1237" s="3">
        <v>87.12</v>
      </c>
      <c r="L1237" s="2">
        <v>5179</v>
      </c>
      <c r="P1237" t="s">
        <v>4424</v>
      </c>
      <c r="S1237" t="s">
        <v>33</v>
      </c>
      <c r="X1237" t="s">
        <v>34</v>
      </c>
      <c r="AA1237" t="s">
        <v>38</v>
      </c>
    </row>
    <row r="1238" spans="1:27" hidden="1">
      <c r="A1238" t="s">
        <v>4425</v>
      </c>
      <c r="B1238" t="s">
        <v>4426</v>
      </c>
      <c r="C1238" t="e">
        <f>VLOOKUP(B1238,Sheet2!$A$2:$A$392,1,0)</f>
        <v>#N/A</v>
      </c>
      <c r="E1238" t="s">
        <v>40</v>
      </c>
      <c r="F1238" t="s">
        <v>41</v>
      </c>
      <c r="G1238" t="s">
        <v>29</v>
      </c>
      <c r="I1238" t="s">
        <v>42</v>
      </c>
      <c r="J1238" s="2">
        <v>8000</v>
      </c>
      <c r="K1238" s="2">
        <v>87</v>
      </c>
      <c r="L1238" s="2">
        <v>3314</v>
      </c>
      <c r="P1238" t="s">
        <v>4427</v>
      </c>
      <c r="R1238" t="s">
        <v>42</v>
      </c>
      <c r="S1238" t="s">
        <v>33</v>
      </c>
      <c r="T1238" t="s">
        <v>34</v>
      </c>
      <c r="U1238" t="s">
        <v>35</v>
      </c>
      <c r="X1238" t="s">
        <v>34</v>
      </c>
      <c r="Y1238" t="s">
        <v>45</v>
      </c>
      <c r="Z1238" t="s">
        <v>4428</v>
      </c>
      <c r="AA1238" t="s">
        <v>38</v>
      </c>
    </row>
    <row r="1239" spans="1:27">
      <c r="A1239" t="s">
        <v>4429</v>
      </c>
      <c r="B1239" t="s">
        <v>4430</v>
      </c>
      <c r="C1239" t="str">
        <f>VLOOKUP(B1239,Sheet2!$A$2:$A$392,1,0)</f>
        <v>KM. PERMATA PUTRI</v>
      </c>
      <c r="E1239" t="s">
        <v>27</v>
      </c>
      <c r="F1239" t="s">
        <v>41</v>
      </c>
      <c r="G1239" t="s">
        <v>29</v>
      </c>
      <c r="I1239" t="s">
        <v>42</v>
      </c>
      <c r="J1239" s="2">
        <v>2000</v>
      </c>
      <c r="K1239" s="2">
        <v>74</v>
      </c>
      <c r="L1239" s="2">
        <v>1469</v>
      </c>
      <c r="P1239" t="s">
        <v>4431</v>
      </c>
      <c r="R1239" t="s">
        <v>32</v>
      </c>
      <c r="S1239" t="s">
        <v>33</v>
      </c>
      <c r="T1239" t="s">
        <v>34</v>
      </c>
      <c r="U1239" t="s">
        <v>35</v>
      </c>
      <c r="X1239" t="s">
        <v>34</v>
      </c>
      <c r="Y1239" t="s">
        <v>45</v>
      </c>
      <c r="Z1239" t="s">
        <v>4432</v>
      </c>
      <c r="AA1239" t="s">
        <v>38</v>
      </c>
    </row>
    <row r="1240" spans="1:27">
      <c r="A1240" t="s">
        <v>4433</v>
      </c>
      <c r="B1240" t="s">
        <v>4434</v>
      </c>
      <c r="C1240" t="str">
        <f>VLOOKUP(B1240,Sheet2!$A$2:$A$392,1,0)</f>
        <v>KM. PERMATA SEHATI</v>
      </c>
      <c r="E1240" t="s">
        <v>27</v>
      </c>
      <c r="F1240" t="s">
        <v>41</v>
      </c>
      <c r="G1240" t="s">
        <v>29</v>
      </c>
      <c r="J1240" s="2">
        <v>2500</v>
      </c>
      <c r="K1240" s="2">
        <v>75</v>
      </c>
      <c r="L1240" s="2">
        <v>1520</v>
      </c>
      <c r="M1240" s="2">
        <v>1000</v>
      </c>
      <c r="P1240" s="2">
        <v>1234</v>
      </c>
      <c r="R1240" t="s">
        <v>32</v>
      </c>
      <c r="S1240" t="s">
        <v>33</v>
      </c>
      <c r="U1240" t="s">
        <v>35</v>
      </c>
      <c r="X1240" t="s">
        <v>34</v>
      </c>
      <c r="Y1240" t="s">
        <v>45</v>
      </c>
      <c r="Z1240" t="s">
        <v>4435</v>
      </c>
      <c r="AA1240" t="s">
        <v>38</v>
      </c>
    </row>
    <row r="1241" spans="1:27">
      <c r="A1241" t="s">
        <v>4436</v>
      </c>
      <c r="B1241" t="s">
        <v>4437</v>
      </c>
      <c r="C1241" t="str">
        <f>VLOOKUP(B1241,Sheet2!$A$2:$A$392,1,0)</f>
        <v>KM. PERMATA SAKTI</v>
      </c>
      <c r="E1241" t="s">
        <v>27</v>
      </c>
      <c r="F1241" t="s">
        <v>41</v>
      </c>
      <c r="G1241" t="s">
        <v>29</v>
      </c>
      <c r="I1241" t="s">
        <v>42</v>
      </c>
      <c r="J1241" s="2">
        <v>2290</v>
      </c>
      <c r="K1241" s="2">
        <v>76</v>
      </c>
      <c r="L1241" s="2">
        <v>1494</v>
      </c>
      <c r="P1241" t="s">
        <v>4438</v>
      </c>
      <c r="R1241" t="s">
        <v>32</v>
      </c>
      <c r="S1241" t="s">
        <v>33</v>
      </c>
      <c r="T1241" t="s">
        <v>34</v>
      </c>
      <c r="U1241" t="s">
        <v>35</v>
      </c>
      <c r="X1241" t="s">
        <v>34</v>
      </c>
      <c r="Y1241" t="s">
        <v>45</v>
      </c>
      <c r="Z1241" t="s">
        <v>4439</v>
      </c>
      <c r="AA1241" t="s">
        <v>38</v>
      </c>
    </row>
    <row r="1242" spans="1:27" hidden="1">
      <c r="A1242" t="s">
        <v>4440</v>
      </c>
      <c r="B1242" t="s">
        <v>4441</v>
      </c>
      <c r="C1242" t="e">
        <f>VLOOKUP(B1242,Sheet2!$A$2:$A$392,1,0)</f>
        <v>#N/A</v>
      </c>
      <c r="E1242" t="s">
        <v>27</v>
      </c>
      <c r="F1242" t="s">
        <v>41</v>
      </c>
      <c r="G1242" t="s">
        <v>29</v>
      </c>
      <c r="J1242" s="2">
        <v>1500</v>
      </c>
      <c r="K1242" s="2">
        <v>67</v>
      </c>
      <c r="L1242" s="2">
        <v>1050</v>
      </c>
      <c r="P1242" t="s">
        <v>4442</v>
      </c>
      <c r="R1242" t="s">
        <v>32</v>
      </c>
      <c r="S1242" t="s">
        <v>33</v>
      </c>
      <c r="U1242" t="s">
        <v>35</v>
      </c>
      <c r="X1242" t="s">
        <v>34</v>
      </c>
      <c r="Y1242" t="s">
        <v>45</v>
      </c>
      <c r="Z1242" t="s">
        <v>4443</v>
      </c>
      <c r="AA1242" t="s">
        <v>38</v>
      </c>
    </row>
    <row r="1243" spans="1:27" hidden="1">
      <c r="A1243" t="s">
        <v>4444</v>
      </c>
      <c r="B1243" t="s">
        <v>4445</v>
      </c>
      <c r="C1243" t="e">
        <f>VLOOKUP(B1243,Sheet2!$A$2:$A$392,1,0)</f>
        <v>#N/A</v>
      </c>
      <c r="E1243" t="s">
        <v>27</v>
      </c>
      <c r="F1243" t="s">
        <v>28</v>
      </c>
      <c r="G1243" t="s">
        <v>29</v>
      </c>
      <c r="I1243" t="s">
        <v>42</v>
      </c>
      <c r="J1243" s="2">
        <v>3409</v>
      </c>
      <c r="K1243" s="2">
        <v>91</v>
      </c>
      <c r="L1243" s="2">
        <v>2354</v>
      </c>
      <c r="M1243" s="2">
        <v>2400</v>
      </c>
      <c r="N1243" s="2">
        <v>5</v>
      </c>
      <c r="P1243" t="s">
        <v>4444</v>
      </c>
      <c r="R1243" t="s">
        <v>244</v>
      </c>
      <c r="S1243" t="s">
        <v>33</v>
      </c>
      <c r="T1243" t="s">
        <v>34</v>
      </c>
      <c r="U1243" t="s">
        <v>35</v>
      </c>
      <c r="X1243" t="s">
        <v>34</v>
      </c>
      <c r="Y1243" t="s">
        <v>142</v>
      </c>
      <c r="Z1243" t="s">
        <v>4446</v>
      </c>
      <c r="AA1243" t="s">
        <v>38</v>
      </c>
    </row>
    <row r="1244" spans="1:27">
      <c r="A1244" t="s">
        <v>4447</v>
      </c>
      <c r="B1244" t="s">
        <v>4448</v>
      </c>
      <c r="C1244" t="str">
        <f>VLOOKUP(B1244,Sheet2!$A$2:$A$392,1,0)</f>
        <v>KM. PELITA NUSANTARA 12</v>
      </c>
      <c r="E1244" t="s">
        <v>27</v>
      </c>
      <c r="F1244" t="s">
        <v>41</v>
      </c>
      <c r="G1244" t="s">
        <v>29</v>
      </c>
      <c r="I1244" t="s">
        <v>42</v>
      </c>
      <c r="J1244" s="2">
        <v>3000</v>
      </c>
      <c r="K1244" s="2">
        <v>65</v>
      </c>
      <c r="L1244" s="2">
        <v>1371</v>
      </c>
      <c r="P1244" t="s">
        <v>4449</v>
      </c>
      <c r="R1244" t="s">
        <v>32</v>
      </c>
      <c r="S1244" t="s">
        <v>33</v>
      </c>
      <c r="T1244" t="s">
        <v>34</v>
      </c>
      <c r="U1244" t="s">
        <v>35</v>
      </c>
      <c r="X1244" t="s">
        <v>34</v>
      </c>
      <c r="Y1244" t="s">
        <v>45</v>
      </c>
      <c r="Z1244" t="s">
        <v>4450</v>
      </c>
      <c r="AA1244" t="s">
        <v>38</v>
      </c>
    </row>
    <row r="1245" spans="1:27">
      <c r="A1245" t="s">
        <v>4451</v>
      </c>
      <c r="B1245" t="s">
        <v>4452</v>
      </c>
      <c r="C1245" t="str">
        <f>VLOOKUP(B1245,Sheet2!$A$2:$A$392,1,0)</f>
        <v>KM. SEJAHTERA 25</v>
      </c>
      <c r="E1245" t="s">
        <v>27</v>
      </c>
      <c r="F1245" t="s">
        <v>41</v>
      </c>
      <c r="G1245" t="s">
        <v>29</v>
      </c>
      <c r="I1245" t="s">
        <v>42</v>
      </c>
      <c r="J1245" s="2">
        <v>2000</v>
      </c>
      <c r="K1245" s="3">
        <v>66.150000000000006</v>
      </c>
      <c r="L1245" s="2">
        <v>1155</v>
      </c>
      <c r="P1245" t="s">
        <v>4451</v>
      </c>
      <c r="R1245" t="s">
        <v>32</v>
      </c>
      <c r="S1245" t="s">
        <v>33</v>
      </c>
      <c r="T1245" t="s">
        <v>34</v>
      </c>
      <c r="U1245" t="s">
        <v>35</v>
      </c>
      <c r="X1245" t="s">
        <v>34</v>
      </c>
      <c r="Y1245" t="s">
        <v>45</v>
      </c>
      <c r="Z1245" t="s">
        <v>4453</v>
      </c>
      <c r="AA1245" t="s">
        <v>38</v>
      </c>
    </row>
    <row r="1246" spans="1:27" hidden="1">
      <c r="A1246" t="s">
        <v>4454</v>
      </c>
      <c r="B1246" t="s">
        <v>4455</v>
      </c>
      <c r="C1246" t="e">
        <f>VLOOKUP(B1246,Sheet2!$A$2:$A$392,1,0)</f>
        <v>#N/A</v>
      </c>
      <c r="E1246" t="s">
        <v>27</v>
      </c>
      <c r="F1246" t="s">
        <v>41</v>
      </c>
      <c r="G1246" t="s">
        <v>29</v>
      </c>
      <c r="I1246" t="s">
        <v>42</v>
      </c>
      <c r="J1246" s="2">
        <v>1995</v>
      </c>
      <c r="K1246" s="2">
        <v>70</v>
      </c>
      <c r="L1246" s="2">
        <v>1476</v>
      </c>
      <c r="M1246" s="2">
        <v>1000</v>
      </c>
      <c r="P1246" t="s">
        <v>4456</v>
      </c>
      <c r="R1246" t="s">
        <v>32</v>
      </c>
      <c r="S1246" t="s">
        <v>33</v>
      </c>
      <c r="T1246" t="s">
        <v>34</v>
      </c>
      <c r="U1246" t="s">
        <v>35</v>
      </c>
      <c r="X1246" t="s">
        <v>34</v>
      </c>
      <c r="Y1246" t="s">
        <v>45</v>
      </c>
      <c r="Z1246" t="s">
        <v>4457</v>
      </c>
      <c r="AA1246" t="s">
        <v>38</v>
      </c>
    </row>
    <row r="1247" spans="1:27" hidden="1">
      <c r="A1247" t="s">
        <v>4458</v>
      </c>
      <c r="B1247" t="s">
        <v>4459</v>
      </c>
      <c r="C1247" t="e">
        <f>VLOOKUP(B1247,Sheet2!$A$2:$A$392,1,0)</f>
        <v>#N/A</v>
      </c>
      <c r="E1247" t="s">
        <v>27</v>
      </c>
      <c r="F1247" t="s">
        <v>41</v>
      </c>
      <c r="G1247" t="s">
        <v>29</v>
      </c>
      <c r="I1247" t="s">
        <v>42</v>
      </c>
      <c r="J1247" s="2">
        <v>1960</v>
      </c>
      <c r="K1247" s="2">
        <v>7670</v>
      </c>
      <c r="L1247" s="2">
        <v>1368</v>
      </c>
      <c r="M1247" s="2">
        <v>1800</v>
      </c>
      <c r="N1247" s="2">
        <v>4</v>
      </c>
      <c r="P1247" t="s">
        <v>4458</v>
      </c>
      <c r="Q1247" t="s">
        <v>34</v>
      </c>
      <c r="R1247" t="s">
        <v>32</v>
      </c>
      <c r="S1247" t="s">
        <v>33</v>
      </c>
      <c r="T1247" t="s">
        <v>34</v>
      </c>
      <c r="U1247" t="s">
        <v>35</v>
      </c>
      <c r="X1247" t="s">
        <v>34</v>
      </c>
      <c r="Y1247" t="s">
        <v>45</v>
      </c>
      <c r="Z1247" t="s">
        <v>4460</v>
      </c>
      <c r="AA1247" t="s">
        <v>38</v>
      </c>
    </row>
    <row r="1248" spans="1:27">
      <c r="A1248" t="s">
        <v>4461</v>
      </c>
      <c r="B1248" t="s">
        <v>2280</v>
      </c>
      <c r="C1248" t="str">
        <f>VLOOKUP(B1248,Sheet2!$A$2:$A$392,1,0)</f>
        <v>KM. ROYAL SHIP</v>
      </c>
      <c r="E1248" t="s">
        <v>27</v>
      </c>
      <c r="F1248" t="s">
        <v>41</v>
      </c>
      <c r="G1248" t="s">
        <v>1968</v>
      </c>
      <c r="I1248" t="s">
        <v>42</v>
      </c>
      <c r="J1248" s="2">
        <v>2600</v>
      </c>
      <c r="K1248" s="2">
        <v>78</v>
      </c>
      <c r="L1248" s="2">
        <v>1914</v>
      </c>
      <c r="M1248" s="2">
        <v>2000</v>
      </c>
      <c r="N1248" s="2">
        <v>5</v>
      </c>
      <c r="O1248" t="s">
        <v>281</v>
      </c>
      <c r="P1248" t="s">
        <v>4461</v>
      </c>
      <c r="R1248" t="s">
        <v>42</v>
      </c>
      <c r="S1248" t="s">
        <v>33</v>
      </c>
      <c r="T1248" t="s">
        <v>34</v>
      </c>
      <c r="U1248" t="s">
        <v>44</v>
      </c>
      <c r="V1248" s="2">
        <v>2</v>
      </c>
      <c r="X1248" t="s">
        <v>147</v>
      </c>
      <c r="Y1248" t="s">
        <v>45</v>
      </c>
      <c r="Z1248" t="s">
        <v>4462</v>
      </c>
      <c r="AA1248" t="s">
        <v>38</v>
      </c>
    </row>
    <row r="1249" spans="1:27">
      <c r="A1249" t="s">
        <v>4463</v>
      </c>
      <c r="B1249" t="s">
        <v>4464</v>
      </c>
      <c r="C1249" t="str">
        <f>VLOOKUP(B1249,Sheet2!$A$2:$A$392,1,0)</f>
        <v>KM. NIGATA</v>
      </c>
      <c r="E1249" t="s">
        <v>27</v>
      </c>
      <c r="F1249" t="s">
        <v>41</v>
      </c>
      <c r="G1249" t="s">
        <v>29</v>
      </c>
      <c r="I1249" t="s">
        <v>42</v>
      </c>
      <c r="J1249" s="2">
        <v>1000</v>
      </c>
      <c r="K1249" s="2">
        <v>55</v>
      </c>
      <c r="L1249" s="2">
        <v>646</v>
      </c>
      <c r="P1249" t="s">
        <v>4463</v>
      </c>
      <c r="R1249" t="s">
        <v>32</v>
      </c>
      <c r="S1249" t="s">
        <v>33</v>
      </c>
      <c r="T1249" t="s">
        <v>34</v>
      </c>
      <c r="U1249" t="s">
        <v>35</v>
      </c>
      <c r="X1249" t="s">
        <v>34</v>
      </c>
      <c r="Y1249" t="s">
        <v>45</v>
      </c>
      <c r="Z1249" t="s">
        <v>4465</v>
      </c>
      <c r="AA1249" t="s">
        <v>38</v>
      </c>
    </row>
    <row r="1250" spans="1:27" hidden="1">
      <c r="A1250" t="s">
        <v>4466</v>
      </c>
      <c r="B1250" t="s">
        <v>4467</v>
      </c>
      <c r="C1250" t="e">
        <f>VLOOKUP(B1250,Sheet2!$A$2:$A$392,1,0)</f>
        <v>#N/A</v>
      </c>
      <c r="E1250" t="s">
        <v>27</v>
      </c>
      <c r="F1250" t="s">
        <v>41</v>
      </c>
      <c r="G1250" t="s">
        <v>585</v>
      </c>
      <c r="J1250" s="2">
        <v>3500</v>
      </c>
      <c r="K1250" s="3">
        <v>81.069999999999993</v>
      </c>
      <c r="L1250" s="2">
        <v>2542</v>
      </c>
      <c r="P1250" t="s">
        <v>4466</v>
      </c>
      <c r="R1250" t="s">
        <v>42</v>
      </c>
      <c r="S1250" t="s">
        <v>33</v>
      </c>
      <c r="U1250" t="s">
        <v>44</v>
      </c>
      <c r="V1250" s="2">
        <v>2</v>
      </c>
      <c r="W1250" t="s">
        <v>63</v>
      </c>
      <c r="X1250" t="s">
        <v>34</v>
      </c>
      <c r="Y1250" t="s">
        <v>64</v>
      </c>
      <c r="Z1250" t="s">
        <v>4468</v>
      </c>
      <c r="AA1250" t="s">
        <v>38</v>
      </c>
    </row>
    <row r="1251" spans="1:27" hidden="1">
      <c r="A1251" t="s">
        <v>4469</v>
      </c>
      <c r="B1251" t="s">
        <v>4470</v>
      </c>
      <c r="C1251" t="e">
        <f>VLOOKUP(B1251,Sheet2!$A$2:$A$392,1,0)</f>
        <v>#N/A</v>
      </c>
      <c r="E1251" t="s">
        <v>93</v>
      </c>
      <c r="G1251" t="s">
        <v>1301</v>
      </c>
      <c r="I1251" t="s">
        <v>42</v>
      </c>
      <c r="J1251" s="2">
        <v>1600</v>
      </c>
      <c r="K1251" s="3">
        <v>77.16</v>
      </c>
      <c r="L1251" s="2">
        <v>998</v>
      </c>
      <c r="P1251" t="s">
        <v>4471</v>
      </c>
      <c r="S1251" t="s">
        <v>33</v>
      </c>
      <c r="X1251" t="s">
        <v>34</v>
      </c>
      <c r="AA1251" t="s">
        <v>38</v>
      </c>
    </row>
    <row r="1252" spans="1:27" hidden="1">
      <c r="A1252" t="s">
        <v>4472</v>
      </c>
      <c r="B1252" t="s">
        <v>4473</v>
      </c>
      <c r="C1252" t="e">
        <f>VLOOKUP(B1252,Sheet2!$A$2:$A$392,1,0)</f>
        <v>#N/A</v>
      </c>
      <c r="E1252" t="s">
        <v>93</v>
      </c>
      <c r="G1252" t="s">
        <v>1301</v>
      </c>
      <c r="I1252" t="s">
        <v>42</v>
      </c>
      <c r="J1252" s="2">
        <v>2500</v>
      </c>
      <c r="K1252" s="3">
        <v>82.39</v>
      </c>
      <c r="L1252" s="2">
        <v>1515</v>
      </c>
      <c r="P1252" t="s">
        <v>4474</v>
      </c>
      <c r="S1252" t="s">
        <v>33</v>
      </c>
      <c r="X1252" t="s">
        <v>34</v>
      </c>
      <c r="AA1252" t="s">
        <v>38</v>
      </c>
    </row>
    <row r="1253" spans="1:27" hidden="1">
      <c r="A1253" t="s">
        <v>4475</v>
      </c>
      <c r="B1253" t="s">
        <v>4476</v>
      </c>
      <c r="C1253" t="e">
        <f>VLOOKUP(B1253,Sheet2!$A$2:$A$392,1,0)</f>
        <v>#N/A</v>
      </c>
      <c r="E1253" t="s">
        <v>93</v>
      </c>
      <c r="G1253" t="s">
        <v>1301</v>
      </c>
      <c r="I1253" t="s">
        <v>42</v>
      </c>
      <c r="J1253" s="2">
        <v>2600</v>
      </c>
      <c r="K1253">
        <v>85.3</v>
      </c>
      <c r="L1253" s="2">
        <v>1578</v>
      </c>
      <c r="P1253" t="s">
        <v>4477</v>
      </c>
      <c r="S1253" t="s">
        <v>33</v>
      </c>
      <c r="X1253" t="s">
        <v>34</v>
      </c>
      <c r="AA1253" t="s">
        <v>38</v>
      </c>
    </row>
    <row r="1254" spans="1:27">
      <c r="A1254" t="s">
        <v>4478</v>
      </c>
      <c r="B1254" t="s">
        <v>4479</v>
      </c>
      <c r="C1254" t="str">
        <f>VLOOKUP(B1254,Sheet2!$A$2:$A$392,1,0)</f>
        <v>KM. POPULAIR</v>
      </c>
      <c r="E1254" t="s">
        <v>27</v>
      </c>
      <c r="F1254" t="s">
        <v>41</v>
      </c>
      <c r="G1254" t="s">
        <v>29</v>
      </c>
      <c r="I1254" t="s">
        <v>42</v>
      </c>
      <c r="J1254" s="2">
        <v>1000</v>
      </c>
      <c r="K1254" s="2">
        <v>51</v>
      </c>
      <c r="L1254" s="2">
        <v>663</v>
      </c>
      <c r="P1254" t="s">
        <v>4480</v>
      </c>
      <c r="R1254" t="s">
        <v>32</v>
      </c>
      <c r="S1254" t="s">
        <v>33</v>
      </c>
      <c r="T1254" t="s">
        <v>34</v>
      </c>
      <c r="U1254" t="s">
        <v>35</v>
      </c>
      <c r="X1254" t="s">
        <v>34</v>
      </c>
      <c r="Y1254" t="s">
        <v>45</v>
      </c>
      <c r="Z1254" t="s">
        <v>4481</v>
      </c>
      <c r="AA1254" t="s">
        <v>38</v>
      </c>
    </row>
    <row r="1255" spans="1:27">
      <c r="A1255" t="s">
        <v>4482</v>
      </c>
      <c r="B1255" t="s">
        <v>4483</v>
      </c>
      <c r="C1255" t="str">
        <f>VLOOKUP(B1255,Sheet2!$A$2:$A$392,1,0)</f>
        <v>PERMATA PRIMA</v>
      </c>
      <c r="E1255" t="s">
        <v>27</v>
      </c>
      <c r="F1255" t="s">
        <v>41</v>
      </c>
      <c r="G1255" t="s">
        <v>29</v>
      </c>
      <c r="I1255" t="s">
        <v>42</v>
      </c>
      <c r="J1255" s="2">
        <v>3000</v>
      </c>
      <c r="K1255" s="3">
        <v>70.319999999999993</v>
      </c>
      <c r="L1255" s="2">
        <v>1465</v>
      </c>
      <c r="M1255" s="2">
        <v>10000</v>
      </c>
      <c r="N1255" s="2">
        <v>1</v>
      </c>
      <c r="O1255" t="s">
        <v>254</v>
      </c>
      <c r="P1255" t="s">
        <v>4482</v>
      </c>
      <c r="R1255" t="s">
        <v>42</v>
      </c>
      <c r="S1255" t="s">
        <v>33</v>
      </c>
      <c r="T1255" t="s">
        <v>34</v>
      </c>
      <c r="U1255" t="s">
        <v>44</v>
      </c>
      <c r="V1255" s="2">
        <v>1</v>
      </c>
      <c r="X1255" t="s">
        <v>34</v>
      </c>
      <c r="Y1255" t="s">
        <v>142</v>
      </c>
      <c r="Z1255" t="s">
        <v>4484</v>
      </c>
      <c r="AA1255" t="s">
        <v>38</v>
      </c>
    </row>
    <row r="1256" spans="1:27" hidden="1">
      <c r="A1256" t="s">
        <v>4485</v>
      </c>
      <c r="B1256" t="s">
        <v>4486</v>
      </c>
      <c r="C1256" t="e">
        <f>VLOOKUP(B1256,Sheet2!$A$2:$A$392,1,0)</f>
        <v>#N/A</v>
      </c>
      <c r="E1256" t="s">
        <v>27</v>
      </c>
      <c r="F1256" t="s">
        <v>41</v>
      </c>
      <c r="G1256" t="s">
        <v>29</v>
      </c>
      <c r="I1256" t="s">
        <v>42</v>
      </c>
      <c r="J1256" s="2">
        <v>2500</v>
      </c>
      <c r="K1256" s="2">
        <v>75</v>
      </c>
      <c r="L1256" s="2">
        <v>1462</v>
      </c>
      <c r="M1256" s="2">
        <v>1000</v>
      </c>
      <c r="P1256" t="s">
        <v>4487</v>
      </c>
      <c r="R1256" t="s">
        <v>32</v>
      </c>
      <c r="S1256" t="s">
        <v>33</v>
      </c>
      <c r="T1256" t="s">
        <v>34</v>
      </c>
      <c r="U1256" t="s">
        <v>35</v>
      </c>
      <c r="X1256" t="s">
        <v>34</v>
      </c>
      <c r="Y1256" t="s">
        <v>45</v>
      </c>
      <c r="Z1256" t="s">
        <v>4488</v>
      </c>
      <c r="AA1256" t="s">
        <v>38</v>
      </c>
    </row>
    <row r="1257" spans="1:27" hidden="1">
      <c r="A1257" t="s">
        <v>4489</v>
      </c>
      <c r="B1257" t="s">
        <v>4490</v>
      </c>
      <c r="C1257" t="e">
        <f>VLOOKUP(B1257,Sheet2!$A$2:$A$392,1,0)</f>
        <v>#N/A</v>
      </c>
      <c r="E1257" t="s">
        <v>40</v>
      </c>
      <c r="F1257" t="s">
        <v>41</v>
      </c>
      <c r="G1257" t="s">
        <v>29</v>
      </c>
      <c r="I1257" t="s">
        <v>42</v>
      </c>
      <c r="J1257" s="2">
        <v>8000</v>
      </c>
      <c r="K1257" s="2">
        <v>91</v>
      </c>
      <c r="L1257" s="2">
        <v>3408</v>
      </c>
      <c r="P1257" t="s">
        <v>4491</v>
      </c>
      <c r="R1257" t="s">
        <v>694</v>
      </c>
      <c r="S1257" t="s">
        <v>33</v>
      </c>
      <c r="T1257" t="s">
        <v>34</v>
      </c>
      <c r="U1257" t="s">
        <v>35</v>
      </c>
      <c r="X1257" t="s">
        <v>34</v>
      </c>
      <c r="Y1257" t="s">
        <v>45</v>
      </c>
      <c r="Z1257" t="s">
        <v>4492</v>
      </c>
      <c r="AA1257" t="s">
        <v>38</v>
      </c>
    </row>
    <row r="1258" spans="1:27" hidden="1">
      <c r="A1258" t="s">
        <v>4493</v>
      </c>
      <c r="B1258" t="s">
        <v>4494</v>
      </c>
      <c r="C1258" t="e">
        <f>VLOOKUP(B1258,Sheet2!$A$2:$A$392,1,0)</f>
        <v>#N/A</v>
      </c>
      <c r="E1258" t="s">
        <v>249</v>
      </c>
      <c r="G1258" t="s">
        <v>336</v>
      </c>
      <c r="I1258" t="s">
        <v>42</v>
      </c>
      <c r="J1258" s="2">
        <v>5026</v>
      </c>
      <c r="K1258">
        <v>79.8</v>
      </c>
      <c r="L1258" s="2">
        <v>2881</v>
      </c>
      <c r="P1258" t="s">
        <v>4495</v>
      </c>
      <c r="S1258" t="s">
        <v>33</v>
      </c>
      <c r="X1258" t="s">
        <v>34</v>
      </c>
      <c r="AA1258" t="s">
        <v>38</v>
      </c>
    </row>
    <row r="1259" spans="1:27" hidden="1">
      <c r="A1259" t="s">
        <v>4496</v>
      </c>
      <c r="B1259" t="s">
        <v>4497</v>
      </c>
      <c r="C1259" t="e">
        <f>VLOOKUP(B1259,Sheet2!$A$2:$A$392,1,0)</f>
        <v>#N/A</v>
      </c>
      <c r="E1259" t="s">
        <v>40</v>
      </c>
      <c r="F1259" t="s">
        <v>41</v>
      </c>
      <c r="G1259" t="s">
        <v>29</v>
      </c>
      <c r="I1259" t="s">
        <v>42</v>
      </c>
      <c r="J1259" s="2">
        <v>4000</v>
      </c>
      <c r="K1259" s="2">
        <v>67</v>
      </c>
      <c r="L1259" s="2">
        <v>1510</v>
      </c>
      <c r="P1259" t="s">
        <v>185</v>
      </c>
      <c r="R1259" t="s">
        <v>42</v>
      </c>
      <c r="S1259" t="s">
        <v>33</v>
      </c>
      <c r="T1259" t="s">
        <v>34</v>
      </c>
      <c r="U1259" t="s">
        <v>35</v>
      </c>
      <c r="X1259" t="s">
        <v>34</v>
      </c>
      <c r="Y1259" t="s">
        <v>45</v>
      </c>
      <c r="Z1259" t="s">
        <v>412</v>
      </c>
      <c r="AA1259" t="s">
        <v>38</v>
      </c>
    </row>
    <row r="1260" spans="1:27" hidden="1">
      <c r="A1260" t="s">
        <v>4498</v>
      </c>
      <c r="B1260" t="s">
        <v>4411</v>
      </c>
      <c r="C1260" t="e">
        <f>VLOOKUP(B1260,Sheet2!$A$2:$A$392,1,0)</f>
        <v>#N/A</v>
      </c>
      <c r="E1260" t="s">
        <v>196</v>
      </c>
      <c r="F1260" t="s">
        <v>41</v>
      </c>
      <c r="G1260" t="s">
        <v>907</v>
      </c>
      <c r="I1260" t="s">
        <v>42</v>
      </c>
      <c r="J1260" s="2">
        <v>6472</v>
      </c>
      <c r="K1260" s="3">
        <v>111.92</v>
      </c>
      <c r="L1260" s="2">
        <v>4285</v>
      </c>
      <c r="P1260" t="s">
        <v>4412</v>
      </c>
      <c r="R1260" t="s">
        <v>32</v>
      </c>
      <c r="S1260" t="s">
        <v>33</v>
      </c>
      <c r="T1260" t="s">
        <v>34</v>
      </c>
      <c r="U1260" t="s">
        <v>35</v>
      </c>
      <c r="X1260" t="s">
        <v>34</v>
      </c>
      <c r="Y1260" t="s">
        <v>45</v>
      </c>
      <c r="Z1260" t="s">
        <v>4499</v>
      </c>
      <c r="AA1260" t="s">
        <v>38</v>
      </c>
    </row>
    <row r="1261" spans="1:27" hidden="1">
      <c r="A1261" t="s">
        <v>4500</v>
      </c>
      <c r="B1261" t="s">
        <v>4501</v>
      </c>
      <c r="C1261" t="e">
        <f>VLOOKUP(B1261,Sheet2!$A$2:$A$392,1,0)</f>
        <v>#N/A</v>
      </c>
      <c r="E1261" t="s">
        <v>40</v>
      </c>
      <c r="F1261" t="s">
        <v>41</v>
      </c>
      <c r="G1261" t="s">
        <v>29</v>
      </c>
      <c r="I1261" t="s">
        <v>42</v>
      </c>
      <c r="J1261" s="2">
        <v>8000</v>
      </c>
      <c r="K1261" s="2">
        <v>91</v>
      </c>
      <c r="L1261" s="2">
        <v>3215</v>
      </c>
      <c r="P1261" t="s">
        <v>185</v>
      </c>
      <c r="R1261" t="s">
        <v>42</v>
      </c>
      <c r="S1261" t="s">
        <v>33</v>
      </c>
      <c r="T1261" t="s">
        <v>34</v>
      </c>
      <c r="U1261" t="s">
        <v>35</v>
      </c>
      <c r="X1261" t="s">
        <v>34</v>
      </c>
      <c r="Y1261" t="s">
        <v>45</v>
      </c>
      <c r="Z1261" t="s">
        <v>4502</v>
      </c>
      <c r="AA1261" t="s">
        <v>38</v>
      </c>
    </row>
    <row r="1262" spans="1:27" hidden="1">
      <c r="A1262" t="s">
        <v>4503</v>
      </c>
      <c r="B1262" t="s">
        <v>4504</v>
      </c>
      <c r="C1262" t="e">
        <f>VLOOKUP(B1262,Sheet2!$A$2:$A$392,1,0)</f>
        <v>#N/A</v>
      </c>
      <c r="E1262" t="s">
        <v>72</v>
      </c>
      <c r="G1262" t="s">
        <v>89</v>
      </c>
      <c r="I1262" t="s">
        <v>42</v>
      </c>
      <c r="J1262" s="2">
        <v>634</v>
      </c>
      <c r="K1262" s="3">
        <v>54.86</v>
      </c>
      <c r="L1262" s="2">
        <v>1032</v>
      </c>
      <c r="P1262" t="s">
        <v>74</v>
      </c>
      <c r="S1262" t="s">
        <v>33</v>
      </c>
      <c r="X1262" t="s">
        <v>34</v>
      </c>
      <c r="AA1262" t="s">
        <v>38</v>
      </c>
    </row>
    <row r="1263" spans="1:27">
      <c r="A1263" t="s">
        <v>4505</v>
      </c>
      <c r="B1263" t="s">
        <v>4506</v>
      </c>
      <c r="C1263" t="str">
        <f>VLOOKUP(B1263,Sheet2!$A$2:$A$392,1,0)</f>
        <v>MV. PERSADA 8</v>
      </c>
      <c r="E1263" t="s">
        <v>27</v>
      </c>
      <c r="F1263" t="s">
        <v>41</v>
      </c>
      <c r="G1263" t="s">
        <v>29</v>
      </c>
      <c r="I1263" t="s">
        <v>42</v>
      </c>
      <c r="J1263" s="2">
        <v>6808</v>
      </c>
      <c r="K1263" s="2">
        <v>107</v>
      </c>
      <c r="L1263" s="2">
        <v>5216</v>
      </c>
      <c r="P1263" t="s">
        <v>4507</v>
      </c>
      <c r="R1263" t="s">
        <v>32</v>
      </c>
      <c r="S1263" t="s">
        <v>33</v>
      </c>
      <c r="T1263" t="s">
        <v>34</v>
      </c>
      <c r="U1263" t="s">
        <v>35</v>
      </c>
      <c r="X1263" t="s">
        <v>34</v>
      </c>
      <c r="Y1263" t="s">
        <v>45</v>
      </c>
      <c r="Z1263" t="s">
        <v>4508</v>
      </c>
      <c r="AA1263" t="s">
        <v>38</v>
      </c>
    </row>
    <row r="1264" spans="1:27" hidden="1">
      <c r="A1264" t="s">
        <v>4509</v>
      </c>
      <c r="B1264" t="s">
        <v>4510</v>
      </c>
      <c r="C1264" t="e">
        <f>VLOOKUP(B1264,Sheet2!$A$2:$A$392,1,0)</f>
        <v>#N/A</v>
      </c>
      <c r="E1264" t="s">
        <v>206</v>
      </c>
      <c r="F1264" t="s">
        <v>41</v>
      </c>
      <c r="G1264" t="s">
        <v>29</v>
      </c>
      <c r="J1264" s="2">
        <v>400</v>
      </c>
      <c r="K1264" s="2">
        <v>70</v>
      </c>
      <c r="L1264" s="2">
        <v>150</v>
      </c>
      <c r="P1264" s="2">
        <v>1</v>
      </c>
      <c r="Q1264" t="s">
        <v>34</v>
      </c>
      <c r="R1264" t="s">
        <v>42</v>
      </c>
      <c r="S1264" t="s">
        <v>33</v>
      </c>
      <c r="U1264" t="s">
        <v>35</v>
      </c>
      <c r="X1264" t="s">
        <v>34</v>
      </c>
      <c r="Y1264" t="s">
        <v>45</v>
      </c>
      <c r="Z1264" t="s">
        <v>4511</v>
      </c>
      <c r="AA1264" t="s">
        <v>38</v>
      </c>
    </row>
    <row r="1265" spans="1:27" hidden="1">
      <c r="A1265" t="s">
        <v>4512</v>
      </c>
      <c r="B1265" t="s">
        <v>4513</v>
      </c>
      <c r="C1265" t="e">
        <f>VLOOKUP(B1265,Sheet2!$A$2:$A$392,1,0)</f>
        <v>#N/A</v>
      </c>
      <c r="E1265" t="s">
        <v>40</v>
      </c>
      <c r="F1265" t="s">
        <v>41</v>
      </c>
      <c r="G1265" t="s">
        <v>29</v>
      </c>
      <c r="I1265" t="s">
        <v>42</v>
      </c>
      <c r="J1265" s="2">
        <v>8000</v>
      </c>
      <c r="K1265" s="2">
        <v>87</v>
      </c>
      <c r="L1265" s="2">
        <v>3419</v>
      </c>
      <c r="P1265" t="s">
        <v>4514</v>
      </c>
      <c r="R1265" t="s">
        <v>42</v>
      </c>
      <c r="S1265" t="s">
        <v>33</v>
      </c>
      <c r="T1265" t="s">
        <v>34</v>
      </c>
      <c r="U1265" t="s">
        <v>35</v>
      </c>
      <c r="X1265" t="s">
        <v>34</v>
      </c>
      <c r="Y1265" t="s">
        <v>45</v>
      </c>
      <c r="Z1265" t="s">
        <v>4515</v>
      </c>
      <c r="AA1265" t="s">
        <v>38</v>
      </c>
    </row>
    <row r="1266" spans="1:27" hidden="1">
      <c r="A1266" t="s">
        <v>4516</v>
      </c>
      <c r="B1266" t="s">
        <v>4517</v>
      </c>
      <c r="C1266" t="e">
        <f>VLOOKUP(B1266,Sheet2!$A$2:$A$392,1,0)</f>
        <v>#N/A</v>
      </c>
      <c r="E1266" t="s">
        <v>40</v>
      </c>
      <c r="F1266" t="s">
        <v>41</v>
      </c>
      <c r="G1266" t="s">
        <v>29</v>
      </c>
      <c r="I1266" t="s">
        <v>42</v>
      </c>
      <c r="J1266" s="2">
        <v>8000</v>
      </c>
      <c r="K1266" s="2">
        <v>91</v>
      </c>
      <c r="L1266" s="2">
        <v>3231</v>
      </c>
      <c r="P1266" t="s">
        <v>185</v>
      </c>
      <c r="R1266" t="s">
        <v>42</v>
      </c>
      <c r="S1266" t="s">
        <v>33</v>
      </c>
      <c r="T1266" t="s">
        <v>34</v>
      </c>
      <c r="U1266" t="s">
        <v>35</v>
      </c>
      <c r="X1266" t="s">
        <v>34</v>
      </c>
      <c r="Y1266" t="s">
        <v>45</v>
      </c>
      <c r="Z1266" t="s">
        <v>4518</v>
      </c>
      <c r="AA1266" t="s">
        <v>38</v>
      </c>
    </row>
    <row r="1267" spans="1:27" hidden="1">
      <c r="A1267" t="s">
        <v>4519</v>
      </c>
      <c r="B1267" t="s">
        <v>4520</v>
      </c>
      <c r="C1267" t="e">
        <f>VLOOKUP(B1267,Sheet2!$A$2:$A$392,1,0)</f>
        <v>#N/A</v>
      </c>
      <c r="E1267" t="s">
        <v>733</v>
      </c>
      <c r="G1267" t="s">
        <v>4521</v>
      </c>
      <c r="I1267" t="s">
        <v>42</v>
      </c>
      <c r="J1267" s="2">
        <v>212</v>
      </c>
      <c r="K1267" s="3">
        <v>25.84</v>
      </c>
      <c r="L1267" s="2">
        <v>152</v>
      </c>
      <c r="P1267" t="s">
        <v>4522</v>
      </c>
      <c r="S1267" t="s">
        <v>33</v>
      </c>
      <c r="X1267" t="s">
        <v>34</v>
      </c>
      <c r="AA1267" t="s">
        <v>38</v>
      </c>
    </row>
    <row r="1268" spans="1:27">
      <c r="A1268" t="s">
        <v>4523</v>
      </c>
      <c r="B1268" t="s">
        <v>4524</v>
      </c>
      <c r="C1268" t="str">
        <f>VLOOKUP(B1268,Sheet2!$A$2:$A$392,1,0)</f>
        <v>KM. PETTA TUNGKE 05</v>
      </c>
      <c r="E1268" t="s">
        <v>27</v>
      </c>
      <c r="F1268" t="s">
        <v>41</v>
      </c>
      <c r="G1268" t="s">
        <v>29</v>
      </c>
      <c r="I1268" t="s">
        <v>42</v>
      </c>
      <c r="J1268" s="2">
        <v>2665</v>
      </c>
      <c r="K1268" s="2">
        <v>74</v>
      </c>
      <c r="L1268" s="2">
        <v>1333</v>
      </c>
      <c r="P1268" t="s">
        <v>185</v>
      </c>
      <c r="R1268" t="s">
        <v>32</v>
      </c>
      <c r="S1268" t="s">
        <v>33</v>
      </c>
      <c r="T1268" t="s">
        <v>34</v>
      </c>
      <c r="U1268" t="s">
        <v>35</v>
      </c>
      <c r="W1268" t="s">
        <v>165</v>
      </c>
      <c r="X1268" t="s">
        <v>34</v>
      </c>
      <c r="Y1268" t="s">
        <v>166</v>
      </c>
      <c r="Z1268" t="s">
        <v>1701</v>
      </c>
      <c r="AA1268" t="s">
        <v>38</v>
      </c>
    </row>
    <row r="1269" spans="1:27" hidden="1">
      <c r="A1269" t="s">
        <v>4525</v>
      </c>
      <c r="B1269" t="s">
        <v>4526</v>
      </c>
      <c r="C1269" t="e">
        <f>VLOOKUP(B1269,Sheet2!$A$2:$A$392,1,0)</f>
        <v>#N/A</v>
      </c>
      <c r="E1269" t="s">
        <v>27</v>
      </c>
      <c r="F1269" t="s">
        <v>41</v>
      </c>
      <c r="G1269" t="s">
        <v>29</v>
      </c>
      <c r="I1269" t="s">
        <v>42</v>
      </c>
      <c r="J1269" s="2">
        <v>2500</v>
      </c>
      <c r="K1269" s="2">
        <v>76</v>
      </c>
      <c r="L1269" s="2">
        <v>1495</v>
      </c>
      <c r="M1269" s="2">
        <v>1000</v>
      </c>
      <c r="N1269">
        <v>5.4</v>
      </c>
      <c r="P1269" t="s">
        <v>4527</v>
      </c>
      <c r="R1269" t="s">
        <v>32</v>
      </c>
      <c r="S1269" t="s">
        <v>33</v>
      </c>
      <c r="T1269" t="s">
        <v>34</v>
      </c>
      <c r="U1269" t="s">
        <v>35</v>
      </c>
      <c r="X1269" t="s">
        <v>34</v>
      </c>
      <c r="Y1269" t="s">
        <v>45</v>
      </c>
      <c r="Z1269" t="s">
        <v>4528</v>
      </c>
      <c r="AA1269" t="s">
        <v>38</v>
      </c>
    </row>
    <row r="1270" spans="1:27" hidden="1">
      <c r="A1270" t="s">
        <v>4529</v>
      </c>
      <c r="B1270" t="s">
        <v>4530</v>
      </c>
      <c r="C1270" t="e">
        <f>VLOOKUP(B1270,Sheet2!$A$2:$A$392,1,0)</f>
        <v>#N/A</v>
      </c>
      <c r="E1270" t="s">
        <v>40</v>
      </c>
      <c r="F1270" t="s">
        <v>41</v>
      </c>
      <c r="G1270" t="s">
        <v>29</v>
      </c>
      <c r="I1270" t="s">
        <v>42</v>
      </c>
      <c r="J1270" s="2">
        <v>3000</v>
      </c>
      <c r="K1270" s="2">
        <v>72</v>
      </c>
      <c r="L1270" s="2">
        <v>1579</v>
      </c>
      <c r="P1270" t="s">
        <v>185</v>
      </c>
      <c r="R1270" t="s">
        <v>42</v>
      </c>
      <c r="S1270" t="s">
        <v>33</v>
      </c>
      <c r="T1270" t="s">
        <v>34</v>
      </c>
      <c r="U1270" t="s">
        <v>35</v>
      </c>
      <c r="X1270" t="s">
        <v>34</v>
      </c>
      <c r="Y1270" t="s">
        <v>45</v>
      </c>
      <c r="Z1270" t="s">
        <v>4531</v>
      </c>
      <c r="AA1270" t="s">
        <v>38</v>
      </c>
    </row>
    <row r="1271" spans="1:27" hidden="1">
      <c r="A1271" t="s">
        <v>4532</v>
      </c>
      <c r="B1271" t="s">
        <v>4533</v>
      </c>
      <c r="C1271" t="e">
        <f>VLOOKUP(B1271,Sheet2!$A$2:$A$392,1,0)</f>
        <v>#N/A</v>
      </c>
      <c r="E1271" t="s">
        <v>170</v>
      </c>
      <c r="I1271" t="s">
        <v>42</v>
      </c>
      <c r="J1271" s="2">
        <v>37791</v>
      </c>
      <c r="K1271" s="3">
        <v>170.36</v>
      </c>
      <c r="L1271" s="2">
        <v>24910</v>
      </c>
      <c r="P1271" t="s">
        <v>4534</v>
      </c>
      <c r="S1271" t="s">
        <v>33</v>
      </c>
      <c r="X1271" t="s">
        <v>34</v>
      </c>
      <c r="AA1271" t="s">
        <v>38</v>
      </c>
    </row>
    <row r="1272" spans="1:27" hidden="1">
      <c r="A1272" t="s">
        <v>4535</v>
      </c>
      <c r="B1272" t="s">
        <v>4536</v>
      </c>
      <c r="C1272" t="e">
        <f>VLOOKUP(B1272,Sheet2!$A$2:$A$392,1,0)</f>
        <v>#N/A</v>
      </c>
      <c r="E1272" t="s">
        <v>27</v>
      </c>
      <c r="F1272" t="s">
        <v>41</v>
      </c>
      <c r="G1272" t="s">
        <v>29</v>
      </c>
      <c r="I1272" t="s">
        <v>42</v>
      </c>
      <c r="J1272" s="2">
        <v>1300</v>
      </c>
      <c r="K1272" s="2">
        <v>54</v>
      </c>
      <c r="L1272" s="2">
        <v>918</v>
      </c>
      <c r="M1272" s="2">
        <v>1000</v>
      </c>
      <c r="N1272" s="2">
        <v>5</v>
      </c>
      <c r="P1272" t="s">
        <v>4537</v>
      </c>
      <c r="R1272" t="s">
        <v>32</v>
      </c>
      <c r="S1272" t="s">
        <v>33</v>
      </c>
      <c r="T1272" t="s">
        <v>34</v>
      </c>
      <c r="U1272" t="s">
        <v>35</v>
      </c>
      <c r="X1272" t="s">
        <v>34</v>
      </c>
      <c r="Y1272" t="s">
        <v>45</v>
      </c>
      <c r="Z1272" t="s">
        <v>4538</v>
      </c>
      <c r="AA1272" t="s">
        <v>38</v>
      </c>
    </row>
    <row r="1273" spans="1:27" hidden="1">
      <c r="A1273" t="s">
        <v>4539</v>
      </c>
      <c r="B1273" t="s">
        <v>4540</v>
      </c>
      <c r="C1273" t="e">
        <f>VLOOKUP(B1273,Sheet2!$A$2:$A$392,1,0)</f>
        <v>#N/A</v>
      </c>
      <c r="E1273" t="s">
        <v>27</v>
      </c>
      <c r="F1273" t="s">
        <v>41</v>
      </c>
      <c r="G1273" t="s">
        <v>29</v>
      </c>
      <c r="I1273" t="s">
        <v>42</v>
      </c>
      <c r="J1273" s="2">
        <v>1200</v>
      </c>
      <c r="K1273" s="3">
        <v>75.150000000000006</v>
      </c>
      <c r="L1273" s="2">
        <v>1803</v>
      </c>
      <c r="M1273" s="2">
        <v>10000</v>
      </c>
      <c r="N1273" s="2">
        <v>5</v>
      </c>
      <c r="O1273" t="s">
        <v>254</v>
      </c>
      <c r="P1273" t="s">
        <v>4539</v>
      </c>
      <c r="R1273" t="s">
        <v>42</v>
      </c>
      <c r="S1273" t="s">
        <v>33</v>
      </c>
      <c r="T1273" t="s">
        <v>34</v>
      </c>
      <c r="U1273" t="s">
        <v>44</v>
      </c>
      <c r="X1273" t="s">
        <v>34</v>
      </c>
      <c r="Y1273" t="s">
        <v>142</v>
      </c>
      <c r="Z1273" t="s">
        <v>4541</v>
      </c>
      <c r="AA1273" t="s">
        <v>38</v>
      </c>
    </row>
    <row r="1274" spans="1:27" hidden="1">
      <c r="A1274" t="s">
        <v>4542</v>
      </c>
      <c r="B1274" t="s">
        <v>4543</v>
      </c>
      <c r="C1274" t="e">
        <f>VLOOKUP(B1274,Sheet2!$A$2:$A$392,1,0)</f>
        <v>#N/A</v>
      </c>
      <c r="E1274" t="s">
        <v>196</v>
      </c>
      <c r="F1274" t="s">
        <v>41</v>
      </c>
      <c r="G1274" t="s">
        <v>415</v>
      </c>
      <c r="J1274" s="2">
        <v>5750</v>
      </c>
      <c r="K1274" s="2">
        <v>129</v>
      </c>
      <c r="L1274" s="2">
        <v>3937</v>
      </c>
      <c r="N1274">
        <v>6.5</v>
      </c>
      <c r="O1274" t="s">
        <v>1606</v>
      </c>
      <c r="P1274" t="s">
        <v>4544</v>
      </c>
      <c r="R1274" t="s">
        <v>42</v>
      </c>
      <c r="S1274" t="s">
        <v>33</v>
      </c>
      <c r="U1274" t="s">
        <v>35</v>
      </c>
      <c r="W1274" t="s">
        <v>63</v>
      </c>
      <c r="X1274" t="s">
        <v>34</v>
      </c>
      <c r="Y1274" t="s">
        <v>64</v>
      </c>
      <c r="Z1274" t="s">
        <v>4545</v>
      </c>
      <c r="AA1274" t="s">
        <v>38</v>
      </c>
    </row>
    <row r="1275" spans="1:27" hidden="1">
      <c r="A1275" t="s">
        <v>4546</v>
      </c>
      <c r="B1275" t="s">
        <v>4547</v>
      </c>
      <c r="C1275" t="e">
        <f>VLOOKUP(B1275,Sheet2!$A$2:$A$392,1,0)</f>
        <v>#N/A</v>
      </c>
      <c r="E1275" t="s">
        <v>52</v>
      </c>
      <c r="F1275" t="s">
        <v>41</v>
      </c>
      <c r="G1275" t="s">
        <v>3080</v>
      </c>
      <c r="I1275" t="s">
        <v>42</v>
      </c>
      <c r="J1275">
        <v>3.2</v>
      </c>
      <c r="K1275">
        <v>82.5</v>
      </c>
      <c r="L1275">
        <v>2.073</v>
      </c>
      <c r="N1275">
        <v>4.2</v>
      </c>
      <c r="P1275" t="s">
        <v>4548</v>
      </c>
      <c r="R1275" t="s">
        <v>42</v>
      </c>
      <c r="S1275" t="s">
        <v>33</v>
      </c>
      <c r="T1275" t="s">
        <v>34</v>
      </c>
      <c r="U1275" t="s">
        <v>35</v>
      </c>
      <c r="W1275" t="s">
        <v>63</v>
      </c>
      <c r="X1275" t="s">
        <v>34</v>
      </c>
      <c r="Y1275" t="s">
        <v>64</v>
      </c>
      <c r="Z1275" t="s">
        <v>4549</v>
      </c>
      <c r="AA1275" t="s">
        <v>38</v>
      </c>
    </row>
    <row r="1276" spans="1:27" hidden="1">
      <c r="A1276" t="s">
        <v>4550</v>
      </c>
      <c r="B1276" t="s">
        <v>4551</v>
      </c>
      <c r="C1276" t="e">
        <f>VLOOKUP(B1276,Sheet2!$A$2:$A$392,1,0)</f>
        <v>#N/A</v>
      </c>
      <c r="E1276" t="s">
        <v>27</v>
      </c>
      <c r="F1276" t="s">
        <v>41</v>
      </c>
      <c r="G1276" t="s">
        <v>29</v>
      </c>
      <c r="I1276" t="s">
        <v>42</v>
      </c>
      <c r="J1276" s="2">
        <v>2101</v>
      </c>
      <c r="K1276">
        <v>73.3</v>
      </c>
      <c r="L1276" s="2">
        <v>1539</v>
      </c>
      <c r="P1276" t="s">
        <v>2168</v>
      </c>
      <c r="Q1276" t="s">
        <v>34</v>
      </c>
      <c r="R1276" t="s">
        <v>42</v>
      </c>
      <c r="S1276" t="s">
        <v>33</v>
      </c>
      <c r="T1276" t="s">
        <v>34</v>
      </c>
      <c r="U1276" t="s">
        <v>44</v>
      </c>
      <c r="X1276" t="s">
        <v>34</v>
      </c>
      <c r="Y1276" t="s">
        <v>45</v>
      </c>
      <c r="Z1276" t="s">
        <v>4552</v>
      </c>
      <c r="AA1276" t="s">
        <v>38</v>
      </c>
    </row>
    <row r="1277" spans="1:27" hidden="1">
      <c r="A1277" t="s">
        <v>4553</v>
      </c>
      <c r="B1277" t="s">
        <v>4554</v>
      </c>
      <c r="C1277" t="e">
        <f>VLOOKUP(B1277,Sheet2!$A$2:$A$392,1,0)</f>
        <v>#N/A</v>
      </c>
      <c r="E1277" t="s">
        <v>72</v>
      </c>
      <c r="G1277" t="s">
        <v>922</v>
      </c>
      <c r="I1277" t="s">
        <v>42</v>
      </c>
      <c r="J1277" s="2">
        <v>1270</v>
      </c>
      <c r="K1277" s="3">
        <v>67.06</v>
      </c>
      <c r="L1277" s="2">
        <v>1270</v>
      </c>
      <c r="P1277" t="s">
        <v>74</v>
      </c>
      <c r="S1277" t="s">
        <v>33</v>
      </c>
      <c r="X1277" t="s">
        <v>34</v>
      </c>
      <c r="AA1277" t="s">
        <v>38</v>
      </c>
    </row>
    <row r="1278" spans="1:27" hidden="1">
      <c r="A1278" t="s">
        <v>4555</v>
      </c>
      <c r="B1278" t="s">
        <v>4556</v>
      </c>
      <c r="C1278" t="e">
        <f>VLOOKUP(B1278,Sheet2!$A$2:$A$392,1,0)</f>
        <v>#N/A</v>
      </c>
      <c r="E1278" t="s">
        <v>72</v>
      </c>
      <c r="G1278" t="s">
        <v>1261</v>
      </c>
      <c r="I1278" t="s">
        <v>42</v>
      </c>
      <c r="J1278" s="2">
        <v>1890</v>
      </c>
      <c r="K1278" s="3">
        <v>70.23</v>
      </c>
      <c r="L1278" s="2">
        <v>1890</v>
      </c>
      <c r="P1278" t="s">
        <v>74</v>
      </c>
      <c r="S1278" t="s">
        <v>33</v>
      </c>
      <c r="X1278" t="s">
        <v>34</v>
      </c>
      <c r="AA1278" t="s">
        <v>38</v>
      </c>
    </row>
    <row r="1279" spans="1:27" hidden="1">
      <c r="A1279" t="s">
        <v>4557</v>
      </c>
      <c r="B1279" t="s">
        <v>4558</v>
      </c>
      <c r="C1279" t="e">
        <f>VLOOKUP(B1279,Sheet2!$A$2:$A$392,1,0)</f>
        <v>#N/A</v>
      </c>
      <c r="E1279" t="s">
        <v>40</v>
      </c>
      <c r="F1279" t="s">
        <v>41</v>
      </c>
      <c r="G1279" t="s">
        <v>29</v>
      </c>
      <c r="I1279" t="s">
        <v>42</v>
      </c>
      <c r="J1279" s="2">
        <v>8000</v>
      </c>
      <c r="K1279" s="2">
        <v>87</v>
      </c>
      <c r="L1279" s="2">
        <v>3216</v>
      </c>
      <c r="P1279" t="s">
        <v>4559</v>
      </c>
      <c r="R1279" t="s">
        <v>42</v>
      </c>
      <c r="S1279" t="s">
        <v>33</v>
      </c>
      <c r="T1279" t="s">
        <v>34</v>
      </c>
      <c r="U1279" t="s">
        <v>35</v>
      </c>
      <c r="X1279" t="s">
        <v>34</v>
      </c>
      <c r="Y1279" t="s">
        <v>45</v>
      </c>
      <c r="Z1279" t="s">
        <v>4560</v>
      </c>
      <c r="AA1279" t="s">
        <v>38</v>
      </c>
    </row>
    <row r="1280" spans="1:27" hidden="1">
      <c r="A1280" t="s">
        <v>4561</v>
      </c>
      <c r="B1280" t="s">
        <v>4562</v>
      </c>
      <c r="C1280" t="e">
        <f>VLOOKUP(B1280,Sheet2!$A$2:$A$392,1,0)</f>
        <v>#N/A</v>
      </c>
      <c r="E1280" t="s">
        <v>40</v>
      </c>
      <c r="F1280" t="s">
        <v>41</v>
      </c>
      <c r="G1280" t="s">
        <v>29</v>
      </c>
      <c r="I1280" t="s">
        <v>42</v>
      </c>
      <c r="J1280" s="2">
        <v>8000</v>
      </c>
      <c r="K1280" s="2">
        <v>91</v>
      </c>
      <c r="L1280" s="2">
        <v>3316</v>
      </c>
      <c r="P1280" t="s">
        <v>4563</v>
      </c>
      <c r="R1280" t="s">
        <v>42</v>
      </c>
      <c r="S1280" t="s">
        <v>33</v>
      </c>
      <c r="T1280" t="s">
        <v>34</v>
      </c>
      <c r="U1280" t="s">
        <v>35</v>
      </c>
      <c r="X1280" t="s">
        <v>34</v>
      </c>
      <c r="Y1280" t="s">
        <v>45</v>
      </c>
      <c r="Z1280" t="s">
        <v>4564</v>
      </c>
      <c r="AA1280" t="s">
        <v>38</v>
      </c>
    </row>
    <row r="1281" spans="1:27" hidden="1">
      <c r="A1281" t="s">
        <v>4565</v>
      </c>
      <c r="B1281" t="s">
        <v>4566</v>
      </c>
      <c r="C1281" t="e">
        <f>VLOOKUP(B1281,Sheet2!$A$2:$A$392,1,0)</f>
        <v>#N/A</v>
      </c>
      <c r="E1281" t="s">
        <v>72</v>
      </c>
      <c r="G1281" t="s">
        <v>427</v>
      </c>
      <c r="I1281" t="s">
        <v>42</v>
      </c>
      <c r="J1281" s="2">
        <v>3107</v>
      </c>
      <c r="K1281" s="3">
        <v>91.44</v>
      </c>
      <c r="L1281" s="2">
        <v>3107</v>
      </c>
      <c r="P1281" t="s">
        <v>74</v>
      </c>
      <c r="S1281" t="s">
        <v>33</v>
      </c>
      <c r="X1281" t="s">
        <v>34</v>
      </c>
      <c r="AA1281" t="s">
        <v>38</v>
      </c>
    </row>
    <row r="1282" spans="1:27">
      <c r="A1282" t="s">
        <v>4567</v>
      </c>
      <c r="B1282" t="s">
        <v>4568</v>
      </c>
      <c r="C1282" t="str">
        <f>VLOOKUP(B1282,Sheet2!$A$2:$A$392,1,0)</f>
        <v>TB. BERAU COAL 67 / BG. ROBBY 377</v>
      </c>
      <c r="E1282" t="s">
        <v>40</v>
      </c>
      <c r="F1282" t="s">
        <v>41</v>
      </c>
      <c r="G1282" t="s">
        <v>29</v>
      </c>
      <c r="I1282" t="s">
        <v>42</v>
      </c>
      <c r="J1282" s="2">
        <v>8000</v>
      </c>
      <c r="K1282" s="2">
        <v>91</v>
      </c>
      <c r="L1282" s="2">
        <v>3378</v>
      </c>
      <c r="P1282" t="s">
        <v>4569</v>
      </c>
      <c r="R1282" t="s">
        <v>42</v>
      </c>
      <c r="S1282" t="s">
        <v>33</v>
      </c>
      <c r="T1282" t="s">
        <v>34</v>
      </c>
      <c r="U1282" t="s">
        <v>44</v>
      </c>
      <c r="X1282" t="s">
        <v>34</v>
      </c>
      <c r="Y1282" t="s">
        <v>45</v>
      </c>
      <c r="Z1282" t="s">
        <v>4570</v>
      </c>
      <c r="AA1282" t="s">
        <v>38</v>
      </c>
    </row>
    <row r="1283" spans="1:27" hidden="1">
      <c r="A1283" t="s">
        <v>4571</v>
      </c>
      <c r="B1283" t="s">
        <v>4572</v>
      </c>
      <c r="C1283" t="e">
        <f>VLOOKUP(B1283,Sheet2!$A$2:$A$392,1,0)</f>
        <v>#N/A</v>
      </c>
      <c r="E1283" t="s">
        <v>40</v>
      </c>
      <c r="F1283" t="s">
        <v>41</v>
      </c>
      <c r="G1283" t="s">
        <v>29</v>
      </c>
      <c r="I1283" t="s">
        <v>42</v>
      </c>
      <c r="J1283" s="2">
        <v>8000</v>
      </c>
      <c r="K1283" s="2">
        <v>87</v>
      </c>
      <c r="L1283" s="2">
        <v>3312</v>
      </c>
      <c r="M1283" s="2">
        <v>1636</v>
      </c>
      <c r="P1283" t="s">
        <v>4573</v>
      </c>
      <c r="R1283" t="s">
        <v>42</v>
      </c>
      <c r="S1283" t="s">
        <v>33</v>
      </c>
      <c r="T1283" t="s">
        <v>34</v>
      </c>
      <c r="U1283" t="s">
        <v>35</v>
      </c>
      <c r="X1283" t="s">
        <v>34</v>
      </c>
      <c r="Y1283" t="s">
        <v>45</v>
      </c>
      <c r="Z1283" t="s">
        <v>4574</v>
      </c>
      <c r="AA1283" t="s">
        <v>38</v>
      </c>
    </row>
    <row r="1284" spans="1:27">
      <c r="A1284" t="s">
        <v>4575</v>
      </c>
      <c r="B1284" t="s">
        <v>4576</v>
      </c>
      <c r="C1284" t="str">
        <f>VLOOKUP(B1284,Sheet2!$A$2:$A$392,1,0)</f>
        <v>MV. RUBAIYAT HANIF</v>
      </c>
      <c r="E1284" t="s">
        <v>52</v>
      </c>
      <c r="F1284" t="s">
        <v>28</v>
      </c>
      <c r="G1284" t="s">
        <v>59</v>
      </c>
      <c r="I1284" t="s">
        <v>60</v>
      </c>
      <c r="J1284" s="2">
        <v>58713</v>
      </c>
      <c r="K1284" s="3">
        <v>189.99</v>
      </c>
      <c r="L1284" s="2">
        <v>32379</v>
      </c>
      <c r="O1284" t="s">
        <v>61</v>
      </c>
      <c r="P1284" t="s">
        <v>4577</v>
      </c>
      <c r="R1284" t="s">
        <v>60</v>
      </c>
      <c r="S1284" t="s">
        <v>33</v>
      </c>
      <c r="T1284" t="s">
        <v>34</v>
      </c>
      <c r="U1284" t="s">
        <v>44</v>
      </c>
      <c r="W1284" t="s">
        <v>63</v>
      </c>
      <c r="X1284" t="s">
        <v>34</v>
      </c>
      <c r="Y1284" t="s">
        <v>64</v>
      </c>
      <c r="Z1284" t="s">
        <v>4578</v>
      </c>
      <c r="AA1284" t="s">
        <v>38</v>
      </c>
    </row>
    <row r="1285" spans="1:27" hidden="1">
      <c r="A1285" t="s">
        <v>4579</v>
      </c>
      <c r="B1285" t="s">
        <v>4580</v>
      </c>
      <c r="C1285" t="e">
        <f>VLOOKUP(B1285,Sheet2!$A$2:$A$392,1,0)</f>
        <v>#N/A</v>
      </c>
      <c r="E1285" t="s">
        <v>40</v>
      </c>
      <c r="F1285" t="s">
        <v>41</v>
      </c>
      <c r="G1285" t="s">
        <v>29</v>
      </c>
      <c r="I1285" t="s">
        <v>42</v>
      </c>
      <c r="J1285" s="2">
        <v>10000</v>
      </c>
      <c r="K1285" s="2">
        <v>97</v>
      </c>
      <c r="L1285" s="2">
        <v>4006</v>
      </c>
      <c r="P1285" t="s">
        <v>4581</v>
      </c>
      <c r="R1285" t="s">
        <v>42</v>
      </c>
      <c r="S1285" t="s">
        <v>33</v>
      </c>
      <c r="T1285" t="s">
        <v>34</v>
      </c>
      <c r="U1285" t="s">
        <v>44</v>
      </c>
      <c r="X1285" t="s">
        <v>34</v>
      </c>
      <c r="Y1285" t="s">
        <v>45</v>
      </c>
      <c r="Z1285" t="s">
        <v>4582</v>
      </c>
      <c r="AA1285" t="s">
        <v>38</v>
      </c>
    </row>
    <row r="1286" spans="1:27" hidden="1">
      <c r="A1286" t="s">
        <v>4583</v>
      </c>
      <c r="B1286" t="s">
        <v>4584</v>
      </c>
      <c r="C1286" t="e">
        <f>VLOOKUP(B1286,Sheet2!$A$2:$A$392,1,0)</f>
        <v>#N/A</v>
      </c>
      <c r="E1286" t="s">
        <v>27</v>
      </c>
      <c r="F1286" t="s">
        <v>41</v>
      </c>
      <c r="G1286" t="s">
        <v>29</v>
      </c>
      <c r="I1286" t="s">
        <v>42</v>
      </c>
      <c r="J1286" s="2">
        <v>2300</v>
      </c>
      <c r="K1286" s="2">
        <v>76</v>
      </c>
      <c r="L1286" s="2">
        <v>1453</v>
      </c>
      <c r="P1286" t="s">
        <v>4585</v>
      </c>
      <c r="R1286" t="s">
        <v>32</v>
      </c>
      <c r="S1286" t="s">
        <v>33</v>
      </c>
      <c r="T1286" t="s">
        <v>34</v>
      </c>
      <c r="U1286" t="s">
        <v>35</v>
      </c>
      <c r="W1286" t="s">
        <v>165</v>
      </c>
      <c r="X1286" t="s">
        <v>34</v>
      </c>
      <c r="Y1286" t="s">
        <v>166</v>
      </c>
      <c r="Z1286" t="s">
        <v>1635</v>
      </c>
      <c r="AA1286" t="s">
        <v>38</v>
      </c>
    </row>
    <row r="1287" spans="1:27" hidden="1">
      <c r="A1287" t="s">
        <v>4586</v>
      </c>
      <c r="B1287" t="s">
        <v>4587</v>
      </c>
      <c r="C1287" t="e">
        <f>VLOOKUP(B1287,Sheet2!$A$2:$A$392,1,0)</f>
        <v>#N/A</v>
      </c>
      <c r="E1287" t="s">
        <v>40</v>
      </c>
      <c r="F1287" t="s">
        <v>41</v>
      </c>
      <c r="G1287" t="s">
        <v>29</v>
      </c>
      <c r="I1287" t="s">
        <v>42</v>
      </c>
      <c r="J1287" s="2">
        <v>3142</v>
      </c>
      <c r="K1287" s="3">
        <v>87.78</v>
      </c>
      <c r="L1287" s="2">
        <v>3142</v>
      </c>
      <c r="P1287" t="s">
        <v>665</v>
      </c>
      <c r="R1287" t="s">
        <v>42</v>
      </c>
      <c r="S1287" t="s">
        <v>33</v>
      </c>
      <c r="T1287" t="s">
        <v>106</v>
      </c>
      <c r="U1287" t="s">
        <v>35</v>
      </c>
      <c r="X1287" t="s">
        <v>34</v>
      </c>
      <c r="Y1287" t="s">
        <v>142</v>
      </c>
      <c r="Z1287" t="s">
        <v>4588</v>
      </c>
      <c r="AA1287" t="s">
        <v>38</v>
      </c>
    </row>
    <row r="1288" spans="1:27" hidden="1">
      <c r="A1288" t="s">
        <v>4589</v>
      </c>
      <c r="B1288" t="s">
        <v>4590</v>
      </c>
      <c r="C1288" t="e">
        <f>VLOOKUP(B1288,Sheet2!$A$2:$A$392,1,0)</f>
        <v>#N/A</v>
      </c>
      <c r="E1288" t="s">
        <v>52</v>
      </c>
      <c r="F1288" t="s">
        <v>28</v>
      </c>
      <c r="G1288" t="s">
        <v>59</v>
      </c>
      <c r="I1288" t="s">
        <v>301</v>
      </c>
      <c r="J1288" s="2">
        <v>33710</v>
      </c>
      <c r="K1288" s="3">
        <v>179.97</v>
      </c>
      <c r="L1288" s="2">
        <v>21574</v>
      </c>
      <c r="O1288" t="s">
        <v>61</v>
      </c>
      <c r="P1288" t="s">
        <v>4591</v>
      </c>
      <c r="R1288" t="s">
        <v>301</v>
      </c>
      <c r="S1288" t="s">
        <v>33</v>
      </c>
      <c r="T1288" t="s">
        <v>34</v>
      </c>
      <c r="U1288" t="s">
        <v>35</v>
      </c>
      <c r="W1288" t="s">
        <v>63</v>
      </c>
      <c r="X1288" t="s">
        <v>34</v>
      </c>
      <c r="Y1288" t="s">
        <v>64</v>
      </c>
      <c r="Z1288" t="s">
        <v>4592</v>
      </c>
      <c r="AA1288" t="s">
        <v>38</v>
      </c>
    </row>
    <row r="1289" spans="1:27">
      <c r="A1289" t="s">
        <v>4593</v>
      </c>
      <c r="B1289" t="s">
        <v>4594</v>
      </c>
      <c r="C1289" t="str">
        <f>VLOOKUP(B1289,Sheet2!$A$2:$A$392,1,0)</f>
        <v>MV. ROYAL PEACE</v>
      </c>
      <c r="E1289" t="s">
        <v>52</v>
      </c>
      <c r="F1289" t="s">
        <v>41</v>
      </c>
      <c r="G1289" t="s">
        <v>29</v>
      </c>
      <c r="J1289" s="2">
        <v>5910</v>
      </c>
      <c r="K1289" s="3">
        <v>105.69</v>
      </c>
      <c r="L1289" s="2">
        <v>4194</v>
      </c>
      <c r="M1289" s="2">
        <v>10000</v>
      </c>
      <c r="N1289" s="2">
        <v>5</v>
      </c>
      <c r="O1289" t="s">
        <v>482</v>
      </c>
      <c r="P1289" t="s">
        <v>4595</v>
      </c>
      <c r="Q1289" t="s">
        <v>34</v>
      </c>
      <c r="R1289" t="s">
        <v>42</v>
      </c>
      <c r="S1289" t="s">
        <v>33</v>
      </c>
      <c r="U1289" t="s">
        <v>44</v>
      </c>
      <c r="X1289" t="s">
        <v>34</v>
      </c>
      <c r="Y1289" t="s">
        <v>45</v>
      </c>
      <c r="Z1289" t="s">
        <v>4596</v>
      </c>
      <c r="AA1289" t="s">
        <v>38</v>
      </c>
    </row>
    <row r="1290" spans="1:27">
      <c r="A1290" t="s">
        <v>4597</v>
      </c>
      <c r="B1290" t="s">
        <v>4594</v>
      </c>
      <c r="C1290" t="str">
        <f>VLOOKUP(B1290,Sheet2!$A$2:$A$392,1,0)</f>
        <v>MV. ROYAL PEACE</v>
      </c>
      <c r="E1290" t="s">
        <v>196</v>
      </c>
      <c r="F1290" t="s">
        <v>41</v>
      </c>
      <c r="G1290" t="s">
        <v>59</v>
      </c>
      <c r="J1290" s="2">
        <v>6724</v>
      </c>
      <c r="K1290" s="2">
        <v>113</v>
      </c>
      <c r="L1290" s="2">
        <v>4194</v>
      </c>
      <c r="M1290" s="2">
        <v>2647</v>
      </c>
      <c r="N1290">
        <v>6.9</v>
      </c>
      <c r="O1290" t="s">
        <v>848</v>
      </c>
      <c r="P1290" t="s">
        <v>4595</v>
      </c>
      <c r="R1290" t="s">
        <v>32</v>
      </c>
      <c r="S1290" t="s">
        <v>33</v>
      </c>
      <c r="U1290" t="s">
        <v>35</v>
      </c>
      <c r="W1290" t="s">
        <v>63</v>
      </c>
      <c r="Y1290" t="s">
        <v>64</v>
      </c>
      <c r="Z1290" t="s">
        <v>4598</v>
      </c>
      <c r="AA1290" t="s">
        <v>38</v>
      </c>
    </row>
    <row r="1291" spans="1:27" hidden="1">
      <c r="A1291" t="s">
        <v>4599</v>
      </c>
      <c r="B1291" t="s">
        <v>4600</v>
      </c>
      <c r="C1291" t="e">
        <f>VLOOKUP(B1291,Sheet2!$A$2:$A$392,1,0)</f>
        <v>#N/A</v>
      </c>
      <c r="E1291" t="s">
        <v>27</v>
      </c>
      <c r="F1291" t="s">
        <v>41</v>
      </c>
      <c r="G1291" t="s">
        <v>29</v>
      </c>
      <c r="I1291" t="s">
        <v>42</v>
      </c>
      <c r="J1291" s="2">
        <v>210</v>
      </c>
      <c r="K1291" s="2">
        <v>50</v>
      </c>
      <c r="L1291" s="2">
        <v>200</v>
      </c>
      <c r="P1291" t="s">
        <v>4599</v>
      </c>
      <c r="R1291" t="s">
        <v>42</v>
      </c>
      <c r="S1291" t="s">
        <v>33</v>
      </c>
      <c r="T1291" t="s">
        <v>34</v>
      </c>
      <c r="U1291" t="s">
        <v>35</v>
      </c>
      <c r="V1291" s="2">
        <v>1</v>
      </c>
      <c r="X1291" t="s">
        <v>34</v>
      </c>
      <c r="Y1291" t="s">
        <v>45</v>
      </c>
      <c r="Z1291" t="s">
        <v>4601</v>
      </c>
      <c r="AA1291" t="s">
        <v>38</v>
      </c>
    </row>
    <row r="1292" spans="1:27" hidden="1">
      <c r="A1292" t="s">
        <v>4602</v>
      </c>
      <c r="B1292" t="s">
        <v>4603</v>
      </c>
      <c r="C1292" t="e">
        <f>VLOOKUP(B1292,Sheet2!$A$2:$A$392,1,0)</f>
        <v>#N/A</v>
      </c>
      <c r="E1292" t="s">
        <v>249</v>
      </c>
      <c r="G1292" t="s">
        <v>747</v>
      </c>
      <c r="I1292" t="s">
        <v>42</v>
      </c>
      <c r="J1292" s="2">
        <v>6016</v>
      </c>
      <c r="K1292">
        <v>100.7</v>
      </c>
      <c r="L1292" s="2">
        <v>4489</v>
      </c>
      <c r="P1292" t="s">
        <v>4604</v>
      </c>
      <c r="S1292" t="s">
        <v>33</v>
      </c>
      <c r="X1292" t="s">
        <v>34</v>
      </c>
      <c r="AA1292" t="s">
        <v>38</v>
      </c>
    </row>
    <row r="1293" spans="1:27" hidden="1">
      <c r="A1293" t="s">
        <v>4605</v>
      </c>
      <c r="B1293" t="s">
        <v>4606</v>
      </c>
      <c r="C1293" t="e">
        <f>VLOOKUP(B1293,Sheet2!$A$2:$A$392,1,0)</f>
        <v>#N/A</v>
      </c>
      <c r="E1293" t="s">
        <v>249</v>
      </c>
      <c r="G1293" t="s">
        <v>747</v>
      </c>
      <c r="I1293" t="s">
        <v>42</v>
      </c>
      <c r="J1293" s="2">
        <v>6300</v>
      </c>
      <c r="K1293" s="3">
        <v>104.87</v>
      </c>
      <c r="L1293" s="2">
        <v>4559</v>
      </c>
      <c r="P1293" t="s">
        <v>4607</v>
      </c>
      <c r="S1293" t="s">
        <v>33</v>
      </c>
      <c r="X1293" t="s">
        <v>34</v>
      </c>
      <c r="AA1293" t="s">
        <v>38</v>
      </c>
    </row>
    <row r="1294" spans="1:27" hidden="1">
      <c r="A1294" t="s">
        <v>4608</v>
      </c>
      <c r="B1294" t="s">
        <v>4609</v>
      </c>
      <c r="C1294" t="e">
        <f>VLOOKUP(B1294,Sheet2!$A$2:$A$392,1,0)</f>
        <v>#N/A</v>
      </c>
      <c r="E1294" t="s">
        <v>170</v>
      </c>
      <c r="G1294" t="s">
        <v>210</v>
      </c>
      <c r="I1294" t="s">
        <v>42</v>
      </c>
      <c r="J1294" s="2">
        <v>2065</v>
      </c>
      <c r="K1294" s="3">
        <v>76.510000000000005</v>
      </c>
      <c r="L1294" s="2">
        <v>1029</v>
      </c>
      <c r="P1294" t="s">
        <v>4610</v>
      </c>
      <c r="S1294" t="s">
        <v>33</v>
      </c>
      <c r="X1294" t="s">
        <v>34</v>
      </c>
      <c r="AA1294" t="s">
        <v>38</v>
      </c>
    </row>
    <row r="1295" spans="1:27" hidden="1">
      <c r="A1295" t="s">
        <v>4611</v>
      </c>
      <c r="B1295" t="s">
        <v>4612</v>
      </c>
      <c r="C1295" t="e">
        <f>VLOOKUP(B1295,Sheet2!$A$2:$A$392,1,0)</f>
        <v>#N/A</v>
      </c>
      <c r="E1295" t="s">
        <v>72</v>
      </c>
      <c r="G1295" t="s">
        <v>125</v>
      </c>
      <c r="I1295" t="s">
        <v>42</v>
      </c>
      <c r="J1295" s="2">
        <v>2594</v>
      </c>
      <c r="K1295">
        <v>76.2</v>
      </c>
      <c r="L1295" s="2">
        <v>2594</v>
      </c>
      <c r="P1295" t="s">
        <v>74</v>
      </c>
      <c r="S1295" t="s">
        <v>33</v>
      </c>
      <c r="X1295" t="s">
        <v>34</v>
      </c>
      <c r="AA1295" t="s">
        <v>38</v>
      </c>
    </row>
    <row r="1296" spans="1:27" hidden="1">
      <c r="A1296" t="s">
        <v>4613</v>
      </c>
      <c r="B1296" t="s">
        <v>4614</v>
      </c>
      <c r="C1296" t="e">
        <f>VLOOKUP(B1296,Sheet2!$A$2:$A$392,1,0)</f>
        <v>#N/A</v>
      </c>
      <c r="E1296" t="s">
        <v>27</v>
      </c>
      <c r="F1296" t="s">
        <v>41</v>
      </c>
      <c r="G1296" t="s">
        <v>29</v>
      </c>
      <c r="I1296" t="s">
        <v>42</v>
      </c>
      <c r="J1296" s="2">
        <v>5255</v>
      </c>
      <c r="K1296" s="2">
        <v>97</v>
      </c>
      <c r="L1296" s="2">
        <v>2983</v>
      </c>
      <c r="P1296" t="s">
        <v>4615</v>
      </c>
      <c r="R1296" t="s">
        <v>581</v>
      </c>
      <c r="S1296" t="s">
        <v>33</v>
      </c>
      <c r="T1296" t="s">
        <v>34</v>
      </c>
      <c r="U1296" t="s">
        <v>35</v>
      </c>
      <c r="X1296" t="s">
        <v>34</v>
      </c>
      <c r="Y1296" t="s">
        <v>45</v>
      </c>
      <c r="Z1296" t="s">
        <v>4616</v>
      </c>
      <c r="AA1296" t="s">
        <v>38</v>
      </c>
    </row>
    <row r="1297" spans="1:27" hidden="1">
      <c r="A1297" t="s">
        <v>4617</v>
      </c>
      <c r="B1297" t="s">
        <v>4618</v>
      </c>
      <c r="C1297" t="e">
        <f>VLOOKUP(B1297,Sheet2!$A$2:$A$392,1,0)</f>
        <v>#N/A</v>
      </c>
      <c r="E1297" t="s">
        <v>52</v>
      </c>
      <c r="F1297" t="s">
        <v>41</v>
      </c>
      <c r="J1297" s="2">
        <v>5910</v>
      </c>
      <c r="K1297" s="2">
        <v>105</v>
      </c>
      <c r="L1297" s="2">
        <v>4194</v>
      </c>
      <c r="O1297" t="s">
        <v>482</v>
      </c>
      <c r="P1297" t="s">
        <v>4595</v>
      </c>
      <c r="Q1297" t="s">
        <v>34</v>
      </c>
      <c r="R1297" t="s">
        <v>42</v>
      </c>
      <c r="S1297" t="s">
        <v>33</v>
      </c>
      <c r="U1297" t="s">
        <v>35</v>
      </c>
      <c r="X1297" t="s">
        <v>147</v>
      </c>
      <c r="Y1297" t="s">
        <v>154</v>
      </c>
      <c r="Z1297" t="s">
        <v>615</v>
      </c>
      <c r="AA1297" t="s">
        <v>38</v>
      </c>
    </row>
    <row r="1298" spans="1:27" hidden="1">
      <c r="A1298" t="s">
        <v>4619</v>
      </c>
      <c r="B1298" t="s">
        <v>4620</v>
      </c>
      <c r="C1298" t="e">
        <f>VLOOKUP(B1298,Sheet2!$A$2:$A$392,1,0)</f>
        <v>#N/A</v>
      </c>
      <c r="E1298" t="s">
        <v>121</v>
      </c>
      <c r="G1298" t="s">
        <v>125</v>
      </c>
      <c r="I1298" t="s">
        <v>42</v>
      </c>
      <c r="J1298" s="2">
        <v>2999</v>
      </c>
      <c r="K1298" s="3">
        <v>87.11</v>
      </c>
      <c r="L1298" s="2">
        <v>2999</v>
      </c>
      <c r="P1298" t="s">
        <v>4621</v>
      </c>
      <c r="S1298" t="s">
        <v>33</v>
      </c>
      <c r="X1298" t="s">
        <v>34</v>
      </c>
      <c r="AA1298" t="s">
        <v>38</v>
      </c>
    </row>
    <row r="1299" spans="1:27" hidden="1">
      <c r="A1299" t="s">
        <v>4622</v>
      </c>
      <c r="B1299" t="s">
        <v>4623</v>
      </c>
      <c r="C1299" t="e">
        <f>VLOOKUP(B1299,Sheet2!$A$2:$A$392,1,0)</f>
        <v>#N/A</v>
      </c>
      <c r="E1299" t="s">
        <v>121</v>
      </c>
      <c r="G1299" t="s">
        <v>125</v>
      </c>
      <c r="I1299" t="s">
        <v>42</v>
      </c>
      <c r="J1299" s="2">
        <v>2999</v>
      </c>
      <c r="K1299" s="3">
        <v>87.11</v>
      </c>
      <c r="L1299" s="2">
        <v>2999</v>
      </c>
      <c r="P1299" t="s">
        <v>4624</v>
      </c>
      <c r="S1299" t="s">
        <v>33</v>
      </c>
      <c r="X1299" t="s">
        <v>34</v>
      </c>
      <c r="AA1299" t="s">
        <v>38</v>
      </c>
    </row>
    <row r="1300" spans="1:27" hidden="1">
      <c r="A1300" t="s">
        <v>4625</v>
      </c>
      <c r="B1300" t="s">
        <v>4626</v>
      </c>
      <c r="C1300" t="e">
        <f>VLOOKUP(B1300,Sheet2!$A$2:$A$392,1,0)</f>
        <v>#N/A</v>
      </c>
      <c r="E1300" t="s">
        <v>27</v>
      </c>
      <c r="F1300" t="s">
        <v>41</v>
      </c>
      <c r="G1300" t="s">
        <v>29</v>
      </c>
      <c r="J1300" s="2">
        <v>400</v>
      </c>
      <c r="K1300" s="2">
        <v>70</v>
      </c>
      <c r="L1300" s="2">
        <v>150</v>
      </c>
      <c r="M1300" s="2">
        <v>500</v>
      </c>
      <c r="N1300" s="2">
        <v>5</v>
      </c>
      <c r="O1300" t="s">
        <v>254</v>
      </c>
      <c r="P1300" t="s">
        <v>4625</v>
      </c>
      <c r="Q1300" t="s">
        <v>34</v>
      </c>
      <c r="R1300" t="s">
        <v>42</v>
      </c>
      <c r="S1300" t="s">
        <v>33</v>
      </c>
      <c r="U1300" t="s">
        <v>44</v>
      </c>
      <c r="X1300" t="s">
        <v>34</v>
      </c>
      <c r="Y1300" t="s">
        <v>45</v>
      </c>
      <c r="Z1300" t="s">
        <v>4627</v>
      </c>
      <c r="AA1300" t="s">
        <v>38</v>
      </c>
    </row>
    <row r="1301" spans="1:27" hidden="1">
      <c r="A1301" t="s">
        <v>4628</v>
      </c>
      <c r="B1301" t="s">
        <v>4629</v>
      </c>
      <c r="C1301" t="e">
        <f>VLOOKUP(B1301,Sheet2!$A$2:$A$392,1,0)</f>
        <v>#N/A</v>
      </c>
      <c r="E1301" t="s">
        <v>93</v>
      </c>
      <c r="G1301" t="s">
        <v>4521</v>
      </c>
      <c r="I1301" t="s">
        <v>42</v>
      </c>
      <c r="J1301" s="2">
        <v>1206</v>
      </c>
      <c r="K1301" s="3">
        <v>71.37</v>
      </c>
      <c r="L1301" s="2">
        <v>902</v>
      </c>
      <c r="P1301" t="s">
        <v>4630</v>
      </c>
      <c r="S1301" t="s">
        <v>33</v>
      </c>
      <c r="X1301" t="s">
        <v>34</v>
      </c>
      <c r="AA1301" t="s">
        <v>38</v>
      </c>
    </row>
    <row r="1302" spans="1:27" hidden="1">
      <c r="A1302" t="s">
        <v>4631</v>
      </c>
      <c r="B1302" t="s">
        <v>4632</v>
      </c>
      <c r="C1302" t="e">
        <f>VLOOKUP(B1302,Sheet2!$A$2:$A$392,1,0)</f>
        <v>#N/A</v>
      </c>
      <c r="E1302" t="s">
        <v>170</v>
      </c>
      <c r="I1302" t="s">
        <v>42</v>
      </c>
      <c r="J1302" s="2">
        <v>29900</v>
      </c>
      <c r="K1302" s="3">
        <v>180.03</v>
      </c>
      <c r="L1302" s="2">
        <v>21747</v>
      </c>
      <c r="P1302" t="s">
        <v>4633</v>
      </c>
      <c r="S1302" t="s">
        <v>33</v>
      </c>
      <c r="X1302" t="s">
        <v>34</v>
      </c>
      <c r="AA1302" t="s">
        <v>38</v>
      </c>
    </row>
    <row r="1303" spans="1:27" hidden="1">
      <c r="A1303" t="s">
        <v>4634</v>
      </c>
      <c r="B1303" t="s">
        <v>4635</v>
      </c>
      <c r="C1303" t="e">
        <f>VLOOKUP(B1303,Sheet2!$A$2:$A$392,1,0)</f>
        <v>#N/A</v>
      </c>
      <c r="E1303" t="s">
        <v>1063</v>
      </c>
      <c r="F1303" t="s">
        <v>41</v>
      </c>
      <c r="G1303" t="s">
        <v>4636</v>
      </c>
      <c r="I1303" t="s">
        <v>42</v>
      </c>
      <c r="J1303" s="2">
        <v>7677</v>
      </c>
      <c r="K1303" s="3">
        <v>107.19</v>
      </c>
      <c r="L1303" s="2">
        <v>7677</v>
      </c>
      <c r="P1303" t="s">
        <v>4637</v>
      </c>
      <c r="S1303" t="s">
        <v>33</v>
      </c>
      <c r="T1303" t="s">
        <v>34</v>
      </c>
      <c r="X1303" t="s">
        <v>34</v>
      </c>
      <c r="Y1303" t="s">
        <v>117</v>
      </c>
      <c r="Z1303" t="s">
        <v>4638</v>
      </c>
      <c r="AA1303" t="s">
        <v>38</v>
      </c>
    </row>
    <row r="1304" spans="1:27" hidden="1">
      <c r="A1304" t="s">
        <v>4639</v>
      </c>
      <c r="B1304" t="s">
        <v>4640</v>
      </c>
      <c r="C1304" t="e">
        <f>VLOOKUP(B1304,Sheet2!$A$2:$A$392,1,0)</f>
        <v>#N/A</v>
      </c>
      <c r="E1304" t="s">
        <v>170</v>
      </c>
      <c r="I1304" t="s">
        <v>42</v>
      </c>
      <c r="J1304" s="2">
        <v>29996</v>
      </c>
      <c r="K1304" s="2">
        <v>180</v>
      </c>
      <c r="L1304" s="2">
        <v>22156</v>
      </c>
      <c r="P1304" t="s">
        <v>4641</v>
      </c>
      <c r="S1304" t="s">
        <v>33</v>
      </c>
      <c r="X1304" t="s">
        <v>34</v>
      </c>
      <c r="AA1304" t="s">
        <v>38</v>
      </c>
    </row>
    <row r="1305" spans="1:27" hidden="1">
      <c r="A1305" t="s">
        <v>4642</v>
      </c>
      <c r="B1305" t="s">
        <v>4643</v>
      </c>
      <c r="C1305" t="e">
        <f>VLOOKUP(B1305,Sheet2!$A$2:$A$392,1,0)</f>
        <v>#N/A</v>
      </c>
      <c r="E1305" t="s">
        <v>40</v>
      </c>
      <c r="G1305" t="s">
        <v>73</v>
      </c>
      <c r="I1305" t="s">
        <v>42</v>
      </c>
      <c r="J1305" s="2">
        <v>190</v>
      </c>
      <c r="K1305" s="2">
        <v>25</v>
      </c>
      <c r="L1305" s="2">
        <v>190</v>
      </c>
      <c r="P1305" t="s">
        <v>4644</v>
      </c>
      <c r="S1305" t="s">
        <v>33</v>
      </c>
      <c r="X1305" t="s">
        <v>34</v>
      </c>
      <c r="AA1305" t="s">
        <v>38</v>
      </c>
    </row>
    <row r="1306" spans="1:27" hidden="1">
      <c r="A1306" t="s">
        <v>4645</v>
      </c>
      <c r="B1306" t="s">
        <v>4646</v>
      </c>
      <c r="C1306" t="e">
        <f>VLOOKUP(B1306,Sheet2!$A$2:$A$392,1,0)</f>
        <v>#N/A</v>
      </c>
      <c r="E1306" t="s">
        <v>93</v>
      </c>
      <c r="G1306" t="s">
        <v>4521</v>
      </c>
      <c r="I1306" t="s">
        <v>42</v>
      </c>
      <c r="J1306" s="2">
        <v>1554</v>
      </c>
      <c r="K1306">
        <v>70.599999999999994</v>
      </c>
      <c r="L1306" s="2">
        <v>1106</v>
      </c>
      <c r="P1306" t="s">
        <v>4647</v>
      </c>
      <c r="S1306" t="s">
        <v>33</v>
      </c>
      <c r="X1306" t="s">
        <v>34</v>
      </c>
      <c r="AA1306" t="s">
        <v>38</v>
      </c>
    </row>
    <row r="1307" spans="1:27" hidden="1">
      <c r="A1307" t="s">
        <v>4648</v>
      </c>
      <c r="B1307" t="s">
        <v>4649</v>
      </c>
      <c r="C1307" t="e">
        <f>VLOOKUP(B1307,Sheet2!$A$2:$A$392,1,0)</f>
        <v>#N/A</v>
      </c>
      <c r="E1307" t="s">
        <v>72</v>
      </c>
      <c r="G1307" t="s">
        <v>77</v>
      </c>
      <c r="I1307" t="s">
        <v>42</v>
      </c>
      <c r="J1307" s="2">
        <v>1461</v>
      </c>
      <c r="K1307">
        <v>70.099999999999994</v>
      </c>
      <c r="L1307" s="2">
        <v>1461</v>
      </c>
      <c r="P1307" t="s">
        <v>74</v>
      </c>
      <c r="S1307" t="s">
        <v>33</v>
      </c>
      <c r="X1307" t="s">
        <v>34</v>
      </c>
      <c r="AA1307" t="s">
        <v>38</v>
      </c>
    </row>
    <row r="1308" spans="1:27" hidden="1">
      <c r="A1308" t="s">
        <v>4650</v>
      </c>
      <c r="B1308" t="s">
        <v>4651</v>
      </c>
      <c r="C1308" t="e">
        <f>VLOOKUP(B1308,Sheet2!$A$2:$A$392,1,0)</f>
        <v>#N/A</v>
      </c>
      <c r="E1308" t="s">
        <v>93</v>
      </c>
      <c r="G1308" t="s">
        <v>1301</v>
      </c>
      <c r="I1308" t="s">
        <v>42</v>
      </c>
      <c r="J1308" s="2">
        <v>1400</v>
      </c>
      <c r="K1308" s="3">
        <v>69.73</v>
      </c>
      <c r="L1308" s="2">
        <v>848</v>
      </c>
      <c r="P1308" t="s">
        <v>4652</v>
      </c>
      <c r="S1308" t="s">
        <v>33</v>
      </c>
      <c r="X1308" t="s">
        <v>34</v>
      </c>
      <c r="AA1308" t="s">
        <v>38</v>
      </c>
    </row>
    <row r="1309" spans="1:27" hidden="1">
      <c r="A1309" t="s">
        <v>4653</v>
      </c>
      <c r="B1309" t="s">
        <v>4654</v>
      </c>
      <c r="C1309" t="e">
        <f>VLOOKUP(B1309,Sheet2!$A$2:$A$392,1,0)</f>
        <v>#N/A</v>
      </c>
      <c r="E1309" t="s">
        <v>40</v>
      </c>
      <c r="F1309" t="s">
        <v>41</v>
      </c>
      <c r="G1309" t="s">
        <v>158</v>
      </c>
      <c r="J1309" s="2">
        <v>7000</v>
      </c>
      <c r="K1309" s="3">
        <v>91.44</v>
      </c>
      <c r="L1309" s="2">
        <v>3107</v>
      </c>
      <c r="O1309" t="s">
        <v>159</v>
      </c>
      <c r="P1309" t="s">
        <v>4655</v>
      </c>
      <c r="R1309" t="s">
        <v>32</v>
      </c>
      <c r="S1309" t="s">
        <v>33</v>
      </c>
      <c r="U1309" t="s">
        <v>35</v>
      </c>
      <c r="X1309" t="s">
        <v>147</v>
      </c>
      <c r="Y1309" t="s">
        <v>45</v>
      </c>
      <c r="Z1309" t="s">
        <v>1427</v>
      </c>
      <c r="AA1309" t="s">
        <v>38</v>
      </c>
    </row>
    <row r="1310" spans="1:27" hidden="1">
      <c r="A1310" t="s">
        <v>4656</v>
      </c>
      <c r="B1310" t="s">
        <v>4657</v>
      </c>
      <c r="C1310" t="e">
        <f>VLOOKUP(B1310,Sheet2!$A$2:$A$392,1,0)</f>
        <v>#N/A</v>
      </c>
      <c r="E1310" t="s">
        <v>27</v>
      </c>
      <c r="F1310" t="s">
        <v>41</v>
      </c>
      <c r="G1310" t="s">
        <v>158</v>
      </c>
      <c r="I1310" t="s">
        <v>42</v>
      </c>
      <c r="J1310" s="2">
        <v>2500</v>
      </c>
      <c r="K1310" s="2">
        <v>80</v>
      </c>
      <c r="L1310" s="2">
        <v>1610</v>
      </c>
      <c r="O1310" t="s">
        <v>159</v>
      </c>
      <c r="P1310" t="s">
        <v>4658</v>
      </c>
      <c r="R1310" t="s">
        <v>32</v>
      </c>
      <c r="S1310" t="s">
        <v>33</v>
      </c>
      <c r="T1310" t="s">
        <v>34</v>
      </c>
      <c r="U1310" t="s">
        <v>35</v>
      </c>
      <c r="W1310" t="s">
        <v>63</v>
      </c>
      <c r="X1310" t="s">
        <v>34</v>
      </c>
      <c r="Y1310" t="s">
        <v>64</v>
      </c>
      <c r="Z1310" t="s">
        <v>4659</v>
      </c>
      <c r="AA1310" t="s">
        <v>38</v>
      </c>
    </row>
    <row r="1311" spans="1:27" hidden="1">
      <c r="A1311" t="s">
        <v>4660</v>
      </c>
      <c r="B1311" t="s">
        <v>4661</v>
      </c>
      <c r="C1311" t="e">
        <f>VLOOKUP(B1311,Sheet2!$A$2:$A$392,1,0)</f>
        <v>#N/A</v>
      </c>
      <c r="E1311" t="s">
        <v>27</v>
      </c>
      <c r="F1311" t="s">
        <v>41</v>
      </c>
      <c r="G1311" t="s">
        <v>29</v>
      </c>
      <c r="I1311" t="s">
        <v>42</v>
      </c>
      <c r="J1311" s="2">
        <v>8530</v>
      </c>
      <c r="K1311" s="2">
        <v>122</v>
      </c>
      <c r="L1311" s="2">
        <v>5722</v>
      </c>
      <c r="M1311" s="2">
        <v>2206</v>
      </c>
      <c r="N1311" s="2">
        <v>7</v>
      </c>
      <c r="P1311" t="s">
        <v>4662</v>
      </c>
      <c r="R1311" t="s">
        <v>581</v>
      </c>
      <c r="S1311" t="s">
        <v>33</v>
      </c>
      <c r="T1311" t="s">
        <v>34</v>
      </c>
      <c r="U1311" t="s">
        <v>35</v>
      </c>
      <c r="X1311" t="s">
        <v>34</v>
      </c>
      <c r="Y1311" t="s">
        <v>45</v>
      </c>
      <c r="Z1311" t="s">
        <v>4663</v>
      </c>
      <c r="AA1311" t="s">
        <v>38</v>
      </c>
    </row>
    <row r="1312" spans="1:27" hidden="1">
      <c r="A1312" t="s">
        <v>4664</v>
      </c>
      <c r="B1312" t="s">
        <v>4665</v>
      </c>
      <c r="C1312" t="e">
        <f>VLOOKUP(B1312,Sheet2!$A$2:$A$392,1,0)</f>
        <v>#N/A</v>
      </c>
      <c r="E1312" t="s">
        <v>72</v>
      </c>
      <c r="G1312" t="s">
        <v>857</v>
      </c>
      <c r="I1312" t="s">
        <v>42</v>
      </c>
      <c r="J1312" s="2">
        <v>6000</v>
      </c>
      <c r="K1312" s="2">
        <v>79</v>
      </c>
      <c r="L1312" s="2">
        <v>2148</v>
      </c>
      <c r="P1312" s="2">
        <v>0</v>
      </c>
      <c r="S1312" t="s">
        <v>33</v>
      </c>
      <c r="X1312" t="s">
        <v>34</v>
      </c>
      <c r="AA1312" t="s">
        <v>38</v>
      </c>
    </row>
    <row r="1313" spans="1:27" hidden="1">
      <c r="A1313" t="s">
        <v>4666</v>
      </c>
      <c r="B1313" t="s">
        <v>4667</v>
      </c>
      <c r="C1313" t="e">
        <f>VLOOKUP(B1313,Sheet2!$A$2:$A$392,1,0)</f>
        <v>#N/A</v>
      </c>
      <c r="E1313" t="s">
        <v>72</v>
      </c>
      <c r="G1313" t="s">
        <v>857</v>
      </c>
      <c r="I1313" t="s">
        <v>42</v>
      </c>
      <c r="J1313" s="2">
        <v>4000</v>
      </c>
      <c r="K1313" s="3">
        <v>73.16</v>
      </c>
      <c r="L1313" s="2">
        <v>1441</v>
      </c>
      <c r="P1313" s="2">
        <v>0</v>
      </c>
      <c r="S1313" t="s">
        <v>33</v>
      </c>
      <c r="X1313" t="s">
        <v>34</v>
      </c>
      <c r="AA1313" t="s">
        <v>38</v>
      </c>
    </row>
    <row r="1314" spans="1:27" hidden="1">
      <c r="A1314" t="s">
        <v>4668</v>
      </c>
      <c r="B1314" t="s">
        <v>4669</v>
      </c>
      <c r="C1314" t="e">
        <f>VLOOKUP(B1314,Sheet2!$A$2:$A$392,1,0)</f>
        <v>#N/A</v>
      </c>
      <c r="E1314" t="s">
        <v>72</v>
      </c>
      <c r="G1314" t="s">
        <v>857</v>
      </c>
      <c r="I1314" t="s">
        <v>42</v>
      </c>
      <c r="J1314" s="2">
        <v>2700</v>
      </c>
      <c r="K1314" s="3">
        <v>67.05</v>
      </c>
      <c r="L1314" s="2">
        <v>1270</v>
      </c>
      <c r="P1314" s="2">
        <v>0</v>
      </c>
      <c r="S1314" t="s">
        <v>33</v>
      </c>
      <c r="X1314" t="s">
        <v>34</v>
      </c>
      <c r="AA1314" t="s">
        <v>38</v>
      </c>
    </row>
    <row r="1315" spans="1:27">
      <c r="A1315" t="s">
        <v>4670</v>
      </c>
      <c r="B1315" t="s">
        <v>4671</v>
      </c>
      <c r="C1315" t="str">
        <f>VLOOKUP(B1315,Sheet2!$A$2:$A$392,1,0)</f>
        <v>KM. SENTOSA 207</v>
      </c>
      <c r="E1315" t="s">
        <v>27</v>
      </c>
      <c r="F1315" t="s">
        <v>41</v>
      </c>
      <c r="G1315" t="s">
        <v>158</v>
      </c>
      <c r="J1315" s="2">
        <v>2500</v>
      </c>
      <c r="K1315" s="3">
        <v>75.88</v>
      </c>
      <c r="L1315" s="2">
        <v>1501</v>
      </c>
      <c r="O1315" t="s">
        <v>159</v>
      </c>
      <c r="P1315" t="s">
        <v>4672</v>
      </c>
      <c r="R1315" t="s">
        <v>32</v>
      </c>
      <c r="S1315" t="s">
        <v>33</v>
      </c>
      <c r="U1315" t="s">
        <v>35</v>
      </c>
      <c r="W1315" t="s">
        <v>63</v>
      </c>
      <c r="X1315" t="s">
        <v>34</v>
      </c>
      <c r="Y1315" t="s">
        <v>64</v>
      </c>
      <c r="Z1315" t="s">
        <v>4673</v>
      </c>
      <c r="AA1315" t="s">
        <v>38</v>
      </c>
    </row>
    <row r="1316" spans="1:27" hidden="1">
      <c r="A1316" t="s">
        <v>4674</v>
      </c>
      <c r="B1316" t="s">
        <v>4675</v>
      </c>
      <c r="C1316" t="e">
        <f>VLOOKUP(B1316,Sheet2!$A$2:$A$392,1,0)</f>
        <v>#N/A</v>
      </c>
      <c r="E1316" t="s">
        <v>72</v>
      </c>
      <c r="F1316" t="s">
        <v>41</v>
      </c>
      <c r="G1316" t="s">
        <v>129</v>
      </c>
      <c r="I1316" t="s">
        <v>42</v>
      </c>
      <c r="J1316" s="2">
        <v>1821</v>
      </c>
      <c r="K1316">
        <v>70.099999999999994</v>
      </c>
      <c r="L1316" s="2">
        <v>1821</v>
      </c>
      <c r="O1316" t="s">
        <v>130</v>
      </c>
      <c r="P1316" t="s">
        <v>74</v>
      </c>
      <c r="R1316" t="s">
        <v>42</v>
      </c>
      <c r="S1316" t="s">
        <v>33</v>
      </c>
      <c r="T1316" t="s">
        <v>34</v>
      </c>
      <c r="U1316" t="s">
        <v>35</v>
      </c>
      <c r="X1316" t="s">
        <v>34</v>
      </c>
      <c r="Y1316" t="s">
        <v>132</v>
      </c>
      <c r="Z1316" t="s">
        <v>4676</v>
      </c>
      <c r="AA1316" t="s">
        <v>38</v>
      </c>
    </row>
    <row r="1317" spans="1:27" hidden="1">
      <c r="A1317" t="s">
        <v>4677</v>
      </c>
      <c r="B1317" t="s">
        <v>4678</v>
      </c>
      <c r="C1317" t="e">
        <f>VLOOKUP(B1317,Sheet2!$A$2:$A$392,1,0)</f>
        <v>#N/A</v>
      </c>
      <c r="E1317" t="s">
        <v>170</v>
      </c>
      <c r="I1317" t="s">
        <v>42</v>
      </c>
      <c r="J1317" s="2">
        <v>1198</v>
      </c>
      <c r="K1317">
        <v>64.8</v>
      </c>
      <c r="L1317" s="2">
        <v>802</v>
      </c>
      <c r="P1317" t="s">
        <v>4679</v>
      </c>
      <c r="S1317" t="s">
        <v>33</v>
      </c>
      <c r="X1317" t="s">
        <v>34</v>
      </c>
      <c r="AA1317" t="s">
        <v>38</v>
      </c>
    </row>
    <row r="1318" spans="1:27" hidden="1">
      <c r="A1318" t="s">
        <v>4680</v>
      </c>
      <c r="B1318" t="s">
        <v>4681</v>
      </c>
      <c r="C1318" t="e">
        <f>VLOOKUP(B1318,Sheet2!$A$2:$A$392,1,0)</f>
        <v>#N/A</v>
      </c>
      <c r="E1318" t="s">
        <v>52</v>
      </c>
      <c r="F1318" t="s">
        <v>28</v>
      </c>
      <c r="G1318" t="s">
        <v>29</v>
      </c>
      <c r="J1318" s="2">
        <v>53472</v>
      </c>
      <c r="K1318" s="3">
        <v>189.94</v>
      </c>
      <c r="L1318" s="2">
        <v>29889</v>
      </c>
      <c r="M1318" s="2">
        <v>8060</v>
      </c>
      <c r="N1318">
        <v>10.8</v>
      </c>
      <c r="P1318" t="s">
        <v>4682</v>
      </c>
      <c r="R1318" t="s">
        <v>60</v>
      </c>
      <c r="S1318" t="s">
        <v>33</v>
      </c>
      <c r="U1318" t="s">
        <v>35</v>
      </c>
      <c r="V1318" s="2">
        <v>5</v>
      </c>
      <c r="X1318" t="s">
        <v>147</v>
      </c>
      <c r="Y1318" t="s">
        <v>45</v>
      </c>
      <c r="Z1318" t="s">
        <v>4683</v>
      </c>
      <c r="AA1318" t="s">
        <v>38</v>
      </c>
    </row>
    <row r="1319" spans="1:27" hidden="1">
      <c r="A1319" t="s">
        <v>4684</v>
      </c>
      <c r="B1319" t="s">
        <v>4685</v>
      </c>
      <c r="C1319" t="e">
        <f>VLOOKUP(B1319,Sheet2!$A$2:$A$392,1,0)</f>
        <v>#N/A</v>
      </c>
      <c r="E1319" t="s">
        <v>27</v>
      </c>
      <c r="G1319" t="s">
        <v>202</v>
      </c>
      <c r="I1319" t="s">
        <v>42</v>
      </c>
      <c r="J1319" s="2">
        <v>1</v>
      </c>
      <c r="K1319" s="3">
        <v>60.12</v>
      </c>
      <c r="L1319" s="2">
        <v>726</v>
      </c>
      <c r="P1319" t="s">
        <v>4686</v>
      </c>
      <c r="S1319" t="s">
        <v>33</v>
      </c>
      <c r="X1319" t="s">
        <v>34</v>
      </c>
      <c r="AA1319" t="s">
        <v>38</v>
      </c>
    </row>
    <row r="1320" spans="1:27" hidden="1">
      <c r="A1320" t="s">
        <v>4687</v>
      </c>
      <c r="B1320" t="s">
        <v>4688</v>
      </c>
      <c r="C1320" t="e">
        <f>VLOOKUP(B1320,Sheet2!$A$2:$A$392,1,0)</f>
        <v>#N/A</v>
      </c>
      <c r="E1320" t="s">
        <v>40</v>
      </c>
      <c r="G1320" t="s">
        <v>427</v>
      </c>
      <c r="I1320" t="s">
        <v>42</v>
      </c>
      <c r="J1320" s="2">
        <v>261</v>
      </c>
      <c r="K1320">
        <v>30.2</v>
      </c>
      <c r="L1320" s="2">
        <v>261</v>
      </c>
      <c r="P1320" t="s">
        <v>4689</v>
      </c>
      <c r="S1320" t="s">
        <v>33</v>
      </c>
      <c r="X1320" t="s">
        <v>34</v>
      </c>
      <c r="AA1320" t="s">
        <v>38</v>
      </c>
    </row>
    <row r="1321" spans="1:27" hidden="1">
      <c r="A1321" t="s">
        <v>4690</v>
      </c>
      <c r="B1321" t="s">
        <v>4691</v>
      </c>
      <c r="C1321" t="e">
        <f>VLOOKUP(B1321,Sheet2!$A$2:$A$392,1,0)</f>
        <v>#N/A</v>
      </c>
      <c r="E1321" t="s">
        <v>72</v>
      </c>
      <c r="G1321" t="s">
        <v>857</v>
      </c>
      <c r="I1321" t="s">
        <v>42</v>
      </c>
      <c r="J1321" s="2">
        <v>7500</v>
      </c>
      <c r="K1321" s="2">
        <v>87</v>
      </c>
      <c r="L1321" s="2">
        <v>3136</v>
      </c>
      <c r="P1321" s="2">
        <v>0</v>
      </c>
      <c r="S1321" t="s">
        <v>33</v>
      </c>
      <c r="X1321" t="s">
        <v>34</v>
      </c>
      <c r="AA1321" t="s">
        <v>38</v>
      </c>
    </row>
    <row r="1322" spans="1:27" hidden="1">
      <c r="A1322" t="s">
        <v>4692</v>
      </c>
      <c r="B1322" t="s">
        <v>4693</v>
      </c>
      <c r="C1322" t="e">
        <f>VLOOKUP(B1322,Sheet2!$A$2:$A$392,1,0)</f>
        <v>#N/A</v>
      </c>
      <c r="E1322" t="s">
        <v>40</v>
      </c>
      <c r="F1322" t="s">
        <v>41</v>
      </c>
      <c r="G1322" t="s">
        <v>29</v>
      </c>
      <c r="I1322" t="s">
        <v>42</v>
      </c>
      <c r="J1322" s="2">
        <v>7500</v>
      </c>
      <c r="K1322" s="2">
        <v>87</v>
      </c>
      <c r="L1322" s="2">
        <v>3294</v>
      </c>
      <c r="P1322" s="2">
        <v>1234</v>
      </c>
      <c r="R1322" t="s">
        <v>42</v>
      </c>
      <c r="S1322" t="s">
        <v>33</v>
      </c>
      <c r="T1322" t="s">
        <v>34</v>
      </c>
      <c r="U1322" t="s">
        <v>35</v>
      </c>
      <c r="X1322" t="s">
        <v>147</v>
      </c>
      <c r="Y1322" t="s">
        <v>154</v>
      </c>
      <c r="Z1322" t="s">
        <v>4694</v>
      </c>
      <c r="AA1322" t="s">
        <v>38</v>
      </c>
    </row>
    <row r="1323" spans="1:27" hidden="1">
      <c r="A1323" t="s">
        <v>4695</v>
      </c>
      <c r="B1323" t="s">
        <v>4696</v>
      </c>
      <c r="C1323" t="e">
        <f>VLOOKUP(B1323,Sheet2!$A$2:$A$392,1,0)</f>
        <v>#N/A</v>
      </c>
      <c r="E1323" t="s">
        <v>72</v>
      </c>
      <c r="G1323" t="s">
        <v>388</v>
      </c>
      <c r="I1323" t="s">
        <v>42</v>
      </c>
      <c r="J1323" s="2">
        <v>3154</v>
      </c>
      <c r="K1323">
        <v>91.5</v>
      </c>
      <c r="L1323" s="2">
        <v>3154</v>
      </c>
      <c r="P1323" t="s">
        <v>74</v>
      </c>
      <c r="S1323" t="s">
        <v>33</v>
      </c>
      <c r="X1323" t="s">
        <v>34</v>
      </c>
      <c r="AA1323" t="s">
        <v>38</v>
      </c>
    </row>
    <row r="1324" spans="1:27">
      <c r="A1324" t="s">
        <v>4697</v>
      </c>
      <c r="B1324" t="s">
        <v>4698</v>
      </c>
      <c r="C1324" t="str">
        <f>VLOOKUP(B1324,Sheet2!$A$2:$A$392,1,0)</f>
        <v>SEJAHTERA 30</v>
      </c>
      <c r="E1324" t="s">
        <v>27</v>
      </c>
      <c r="F1324" t="s">
        <v>41</v>
      </c>
      <c r="G1324" t="s">
        <v>158</v>
      </c>
      <c r="I1324" t="s">
        <v>42</v>
      </c>
      <c r="J1324" s="2">
        <v>2012</v>
      </c>
      <c r="K1324" s="3">
        <v>70.83</v>
      </c>
      <c r="L1324" s="2">
        <v>1118</v>
      </c>
      <c r="O1324" t="s">
        <v>159</v>
      </c>
      <c r="P1324" t="s">
        <v>4699</v>
      </c>
      <c r="R1324" t="s">
        <v>42</v>
      </c>
      <c r="S1324" t="s">
        <v>33</v>
      </c>
      <c r="T1324" t="s">
        <v>34</v>
      </c>
      <c r="U1324" t="s">
        <v>35</v>
      </c>
      <c r="W1324" t="s">
        <v>63</v>
      </c>
      <c r="X1324" t="s">
        <v>34</v>
      </c>
      <c r="Y1324" t="s">
        <v>64</v>
      </c>
      <c r="Z1324" t="s">
        <v>4700</v>
      </c>
      <c r="AA1324" t="s">
        <v>38</v>
      </c>
    </row>
    <row r="1325" spans="1:27" hidden="1">
      <c r="A1325" t="s">
        <v>4701</v>
      </c>
      <c r="B1325" t="s">
        <v>4702</v>
      </c>
      <c r="C1325" t="e">
        <f>VLOOKUP(B1325,Sheet2!$A$2:$A$392,1,0)</f>
        <v>#N/A</v>
      </c>
      <c r="E1325" t="s">
        <v>27</v>
      </c>
      <c r="F1325" t="s">
        <v>41</v>
      </c>
      <c r="G1325" t="s">
        <v>158</v>
      </c>
      <c r="J1325" s="2">
        <v>4000</v>
      </c>
      <c r="K1325" s="3">
        <v>90.93</v>
      </c>
      <c r="L1325" s="2">
        <v>2300</v>
      </c>
      <c r="O1325" t="s">
        <v>159</v>
      </c>
      <c r="P1325" t="s">
        <v>4703</v>
      </c>
      <c r="R1325" t="s">
        <v>32</v>
      </c>
      <c r="S1325" t="s">
        <v>33</v>
      </c>
      <c r="U1325" t="s">
        <v>35</v>
      </c>
      <c r="W1325" t="s">
        <v>63</v>
      </c>
      <c r="X1325" t="s">
        <v>34</v>
      </c>
      <c r="Y1325" t="s">
        <v>64</v>
      </c>
      <c r="Z1325" t="s">
        <v>4704</v>
      </c>
      <c r="AA1325" t="s">
        <v>38</v>
      </c>
    </row>
    <row r="1326" spans="1:27" hidden="1">
      <c r="A1326" t="s">
        <v>4705</v>
      </c>
      <c r="B1326" t="s">
        <v>4706</v>
      </c>
      <c r="C1326" t="e">
        <f>VLOOKUP(B1326,Sheet2!$A$2:$A$392,1,0)</f>
        <v>#N/A</v>
      </c>
      <c r="E1326" t="s">
        <v>52</v>
      </c>
      <c r="F1326" t="s">
        <v>28</v>
      </c>
      <c r="G1326" t="s">
        <v>59</v>
      </c>
      <c r="I1326" t="s">
        <v>60</v>
      </c>
      <c r="J1326" s="2">
        <v>45736</v>
      </c>
      <c r="K1326" s="3">
        <v>185.74</v>
      </c>
      <c r="L1326" s="2">
        <v>25982</v>
      </c>
      <c r="O1326" t="s">
        <v>61</v>
      </c>
      <c r="P1326" t="s">
        <v>218</v>
      </c>
      <c r="R1326" t="s">
        <v>60</v>
      </c>
      <c r="S1326" t="s">
        <v>33</v>
      </c>
      <c r="T1326" t="s">
        <v>34</v>
      </c>
      <c r="U1326" t="s">
        <v>35</v>
      </c>
      <c r="W1326" t="s">
        <v>63</v>
      </c>
      <c r="X1326" t="s">
        <v>147</v>
      </c>
      <c r="Y1326" t="s">
        <v>64</v>
      </c>
      <c r="Z1326" t="s">
        <v>219</v>
      </c>
      <c r="AA1326" t="s">
        <v>38</v>
      </c>
    </row>
    <row r="1327" spans="1:27" hidden="1">
      <c r="A1327" t="s">
        <v>4707</v>
      </c>
      <c r="B1327" t="s">
        <v>4708</v>
      </c>
      <c r="C1327" t="e">
        <f>VLOOKUP(B1327,Sheet2!$A$2:$A$392,1,0)</f>
        <v>#N/A</v>
      </c>
      <c r="E1327" t="s">
        <v>40</v>
      </c>
      <c r="F1327" t="s">
        <v>41</v>
      </c>
      <c r="G1327" t="s">
        <v>29</v>
      </c>
      <c r="I1327" t="s">
        <v>42</v>
      </c>
      <c r="J1327" s="2">
        <v>8000</v>
      </c>
      <c r="K1327" s="2">
        <v>87</v>
      </c>
      <c r="L1327" s="2">
        <v>3441</v>
      </c>
      <c r="P1327" t="s">
        <v>4709</v>
      </c>
      <c r="R1327" t="s">
        <v>42</v>
      </c>
      <c r="S1327" t="s">
        <v>33</v>
      </c>
      <c r="T1327" t="s">
        <v>34</v>
      </c>
      <c r="U1327" t="s">
        <v>35</v>
      </c>
      <c r="X1327" t="s">
        <v>34</v>
      </c>
      <c r="Y1327" t="s">
        <v>45</v>
      </c>
      <c r="Z1327" t="s">
        <v>4710</v>
      </c>
      <c r="AA1327" t="s">
        <v>38</v>
      </c>
    </row>
    <row r="1328" spans="1:27">
      <c r="A1328" t="s">
        <v>4711</v>
      </c>
      <c r="B1328" t="s">
        <v>4712</v>
      </c>
      <c r="C1328" t="str">
        <f>VLOOKUP(B1328,Sheet2!$A$2:$A$392,1,0)</f>
        <v>KM. SEGARA ANAK 1</v>
      </c>
      <c r="E1328" t="s">
        <v>27</v>
      </c>
      <c r="F1328" t="s">
        <v>41</v>
      </c>
      <c r="G1328" t="s">
        <v>158</v>
      </c>
      <c r="J1328" s="2">
        <v>4050</v>
      </c>
      <c r="K1328" s="3">
        <v>93.05</v>
      </c>
      <c r="L1328" s="2">
        <v>2547</v>
      </c>
      <c r="O1328" t="s">
        <v>159</v>
      </c>
      <c r="P1328" t="s">
        <v>4713</v>
      </c>
      <c r="R1328" t="s">
        <v>581</v>
      </c>
      <c r="S1328" t="s">
        <v>33</v>
      </c>
      <c r="U1328" t="s">
        <v>35</v>
      </c>
      <c r="W1328" t="s">
        <v>63</v>
      </c>
      <c r="X1328" t="s">
        <v>34</v>
      </c>
      <c r="Y1328" t="s">
        <v>64</v>
      </c>
      <c r="Z1328" t="s">
        <v>4714</v>
      </c>
      <c r="AA1328" t="s">
        <v>38</v>
      </c>
    </row>
    <row r="1329" spans="1:27" hidden="1">
      <c r="A1329" t="s">
        <v>4715</v>
      </c>
      <c r="B1329" t="s">
        <v>4716</v>
      </c>
      <c r="C1329" t="e">
        <f>VLOOKUP(B1329,Sheet2!$A$2:$A$392,1,0)</f>
        <v>#N/A</v>
      </c>
      <c r="E1329" t="s">
        <v>52</v>
      </c>
      <c r="F1329" t="s">
        <v>28</v>
      </c>
      <c r="G1329" t="s">
        <v>151</v>
      </c>
      <c r="J1329" s="2">
        <v>50236</v>
      </c>
      <c r="K1329">
        <v>189.8</v>
      </c>
      <c r="L1329" s="2">
        <v>28021</v>
      </c>
      <c r="M1329" s="2">
        <v>11000</v>
      </c>
      <c r="N1329" s="2">
        <v>11</v>
      </c>
      <c r="O1329" t="s">
        <v>1708</v>
      </c>
      <c r="P1329" t="s">
        <v>3737</v>
      </c>
      <c r="R1329" t="s">
        <v>60</v>
      </c>
      <c r="S1329" t="s">
        <v>33</v>
      </c>
      <c r="U1329" t="s">
        <v>35</v>
      </c>
      <c r="V1329" s="2">
        <v>5</v>
      </c>
      <c r="X1329" t="s">
        <v>34</v>
      </c>
      <c r="Y1329" t="s">
        <v>154</v>
      </c>
      <c r="Z1329" t="s">
        <v>4717</v>
      </c>
      <c r="AA1329" t="s">
        <v>38</v>
      </c>
    </row>
    <row r="1330" spans="1:27" hidden="1">
      <c r="A1330" t="s">
        <v>4718</v>
      </c>
      <c r="B1330" t="s">
        <v>4719</v>
      </c>
      <c r="C1330" t="e">
        <f>VLOOKUP(B1330,Sheet2!$A$2:$A$392,1,0)</f>
        <v>#N/A</v>
      </c>
      <c r="E1330" t="s">
        <v>170</v>
      </c>
      <c r="I1330" t="s">
        <v>42</v>
      </c>
      <c r="J1330" s="2">
        <v>40649</v>
      </c>
      <c r="K1330" s="2">
        <v>183</v>
      </c>
      <c r="L1330" s="2">
        <v>27286</v>
      </c>
      <c r="P1330" t="s">
        <v>4720</v>
      </c>
      <c r="S1330" t="s">
        <v>33</v>
      </c>
      <c r="X1330" t="s">
        <v>34</v>
      </c>
      <c r="AA1330" t="s">
        <v>38</v>
      </c>
    </row>
    <row r="1331" spans="1:27" hidden="1">
      <c r="A1331" t="s">
        <v>4721</v>
      </c>
      <c r="B1331" t="s">
        <v>4722</v>
      </c>
      <c r="C1331" t="e">
        <f>VLOOKUP(B1331,Sheet2!$A$2:$A$392,1,0)</f>
        <v>#N/A</v>
      </c>
      <c r="E1331" t="s">
        <v>196</v>
      </c>
      <c r="F1331" t="s">
        <v>41</v>
      </c>
      <c r="G1331" t="s">
        <v>907</v>
      </c>
      <c r="I1331" t="s">
        <v>42</v>
      </c>
      <c r="J1331" s="2">
        <v>6294</v>
      </c>
      <c r="K1331" s="2">
        <v>111</v>
      </c>
      <c r="L1331" s="2">
        <v>4324</v>
      </c>
      <c r="M1331" s="2">
        <v>453</v>
      </c>
      <c r="N1331" s="2">
        <v>6</v>
      </c>
      <c r="O1331" t="s">
        <v>61</v>
      </c>
      <c r="P1331" t="s">
        <v>4723</v>
      </c>
      <c r="R1331" t="s">
        <v>32</v>
      </c>
      <c r="S1331" t="s">
        <v>33</v>
      </c>
      <c r="U1331" t="s">
        <v>35</v>
      </c>
      <c r="V1331" s="2">
        <v>4</v>
      </c>
      <c r="X1331" t="s">
        <v>34</v>
      </c>
      <c r="Y1331" t="s">
        <v>154</v>
      </c>
      <c r="Z1331" t="s">
        <v>4724</v>
      </c>
      <c r="AA1331" t="s">
        <v>38</v>
      </c>
    </row>
    <row r="1332" spans="1:27" hidden="1">
      <c r="A1332" t="s">
        <v>4725</v>
      </c>
      <c r="B1332" t="s">
        <v>4726</v>
      </c>
      <c r="C1332" t="e">
        <f>VLOOKUP(B1332,Sheet2!$A$2:$A$392,1,0)</f>
        <v>#N/A</v>
      </c>
      <c r="E1332" t="s">
        <v>170</v>
      </c>
      <c r="F1332" t="s">
        <v>41</v>
      </c>
      <c r="I1332" t="s">
        <v>42</v>
      </c>
      <c r="J1332" s="2">
        <v>40627</v>
      </c>
      <c r="K1332" s="2">
        <v>183</v>
      </c>
      <c r="L1332" s="2">
        <v>27286</v>
      </c>
      <c r="O1332" t="s">
        <v>2732</v>
      </c>
      <c r="P1332" t="s">
        <v>4727</v>
      </c>
      <c r="R1332" t="s">
        <v>42</v>
      </c>
      <c r="S1332" t="s">
        <v>33</v>
      </c>
      <c r="T1332" t="s">
        <v>34</v>
      </c>
      <c r="U1332" t="s">
        <v>35</v>
      </c>
      <c r="X1332" t="s">
        <v>34</v>
      </c>
      <c r="Y1332" t="s">
        <v>132</v>
      </c>
      <c r="Z1332" t="s">
        <v>4728</v>
      </c>
      <c r="AA1332" t="s">
        <v>38</v>
      </c>
    </row>
    <row r="1333" spans="1:27" hidden="1">
      <c r="A1333" t="s">
        <v>4729</v>
      </c>
      <c r="B1333" t="s">
        <v>4730</v>
      </c>
      <c r="C1333" t="e">
        <f>VLOOKUP(B1333,Sheet2!$A$2:$A$392,1,0)</f>
        <v>#N/A</v>
      </c>
      <c r="E1333" t="s">
        <v>170</v>
      </c>
      <c r="I1333" t="s">
        <v>42</v>
      </c>
      <c r="J1333" s="2">
        <v>11277</v>
      </c>
      <c r="K1333" s="2">
        <v>116</v>
      </c>
      <c r="L1333" s="2">
        <v>7687</v>
      </c>
      <c r="P1333" t="s">
        <v>4731</v>
      </c>
      <c r="S1333" t="s">
        <v>33</v>
      </c>
      <c r="X1333" t="s">
        <v>34</v>
      </c>
      <c r="AA1333" t="s">
        <v>38</v>
      </c>
    </row>
    <row r="1334" spans="1:27" hidden="1">
      <c r="A1334" t="s">
        <v>4732</v>
      </c>
      <c r="B1334" t="s">
        <v>4733</v>
      </c>
      <c r="C1334" t="e">
        <f>VLOOKUP(B1334,Sheet2!$A$2:$A$392,1,0)</f>
        <v>#N/A</v>
      </c>
      <c r="E1334" t="s">
        <v>1063</v>
      </c>
      <c r="F1334" t="s">
        <v>41</v>
      </c>
      <c r="G1334" t="s">
        <v>3473</v>
      </c>
      <c r="I1334" t="s">
        <v>42</v>
      </c>
      <c r="J1334" s="2">
        <v>8922</v>
      </c>
      <c r="K1334">
        <v>93.6</v>
      </c>
      <c r="L1334" s="2">
        <v>4538</v>
      </c>
      <c r="P1334" t="s">
        <v>4734</v>
      </c>
      <c r="S1334" t="s">
        <v>33</v>
      </c>
      <c r="T1334" t="s">
        <v>34</v>
      </c>
      <c r="X1334" t="s">
        <v>34</v>
      </c>
      <c r="Y1334" t="s">
        <v>117</v>
      </c>
      <c r="Z1334" t="s">
        <v>4735</v>
      </c>
      <c r="AA1334" t="s">
        <v>38</v>
      </c>
    </row>
    <row r="1335" spans="1:27" hidden="1">
      <c r="A1335" t="s">
        <v>4736</v>
      </c>
      <c r="B1335" t="s">
        <v>4737</v>
      </c>
      <c r="C1335" t="e">
        <f>VLOOKUP(B1335,Sheet2!$A$2:$A$392,1,0)</f>
        <v>#N/A</v>
      </c>
      <c r="E1335" t="s">
        <v>170</v>
      </c>
      <c r="G1335" t="s">
        <v>210</v>
      </c>
      <c r="I1335" t="s">
        <v>42</v>
      </c>
      <c r="J1335" s="2">
        <v>1800</v>
      </c>
      <c r="K1335" s="3">
        <v>74.08</v>
      </c>
      <c r="L1335" s="2">
        <v>1018</v>
      </c>
      <c r="P1335" t="s">
        <v>4738</v>
      </c>
      <c r="S1335" t="s">
        <v>33</v>
      </c>
      <c r="X1335" t="s">
        <v>34</v>
      </c>
      <c r="AA1335" t="s">
        <v>38</v>
      </c>
    </row>
    <row r="1336" spans="1:27" hidden="1">
      <c r="A1336" t="s">
        <v>4739</v>
      </c>
      <c r="B1336" t="s">
        <v>4740</v>
      </c>
      <c r="C1336" t="e">
        <f>VLOOKUP(B1336,Sheet2!$A$2:$A$392,1,0)</f>
        <v>#N/A</v>
      </c>
      <c r="E1336" t="s">
        <v>170</v>
      </c>
      <c r="I1336" t="s">
        <v>42</v>
      </c>
      <c r="J1336" s="2">
        <v>4409</v>
      </c>
      <c r="K1336" s="3">
        <v>107.63</v>
      </c>
      <c r="L1336" s="2">
        <v>3570</v>
      </c>
      <c r="P1336" t="s">
        <v>4741</v>
      </c>
      <c r="S1336" t="s">
        <v>33</v>
      </c>
      <c r="X1336" t="s">
        <v>34</v>
      </c>
      <c r="AA1336" t="s">
        <v>38</v>
      </c>
    </row>
    <row r="1337" spans="1:27" hidden="1">
      <c r="A1337" t="s">
        <v>4742</v>
      </c>
      <c r="B1337" t="s">
        <v>4743</v>
      </c>
      <c r="C1337" t="e">
        <f>VLOOKUP(B1337,Sheet2!$A$2:$A$392,1,0)</f>
        <v>#N/A</v>
      </c>
      <c r="E1337" t="s">
        <v>40</v>
      </c>
      <c r="I1337" t="s">
        <v>42</v>
      </c>
      <c r="J1337" s="2">
        <v>200</v>
      </c>
      <c r="K1337" s="3">
        <v>22.74</v>
      </c>
      <c r="L1337" s="2">
        <v>111</v>
      </c>
      <c r="P1337" t="s">
        <v>4070</v>
      </c>
      <c r="S1337" t="s">
        <v>33</v>
      </c>
      <c r="X1337" t="s">
        <v>34</v>
      </c>
      <c r="Y1337" t="s">
        <v>4744</v>
      </c>
      <c r="Z1337" t="s">
        <v>4745</v>
      </c>
      <c r="AA1337" t="s">
        <v>38</v>
      </c>
    </row>
    <row r="1338" spans="1:27" hidden="1">
      <c r="A1338" t="s">
        <v>4746</v>
      </c>
      <c r="B1338" t="s">
        <v>4747</v>
      </c>
      <c r="C1338" t="e">
        <f>VLOOKUP(B1338,Sheet2!$A$2:$A$392,1,0)</f>
        <v>#N/A</v>
      </c>
      <c r="E1338" t="s">
        <v>170</v>
      </c>
      <c r="I1338" t="s">
        <v>42</v>
      </c>
      <c r="J1338" s="2">
        <v>109325</v>
      </c>
      <c r="K1338">
        <v>244.6</v>
      </c>
      <c r="L1338" s="2">
        <v>61764</v>
      </c>
      <c r="P1338" t="s">
        <v>4748</v>
      </c>
      <c r="S1338" t="s">
        <v>33</v>
      </c>
      <c r="X1338" t="s">
        <v>34</v>
      </c>
      <c r="AA1338" t="s">
        <v>38</v>
      </c>
    </row>
    <row r="1339" spans="1:27" hidden="1">
      <c r="A1339" t="s">
        <v>4749</v>
      </c>
      <c r="B1339" t="s">
        <v>4750</v>
      </c>
      <c r="C1339" t="e">
        <f>VLOOKUP(B1339,Sheet2!$A$2:$A$392,1,0)</f>
        <v>#N/A</v>
      </c>
      <c r="E1339" t="s">
        <v>249</v>
      </c>
      <c r="G1339" t="s">
        <v>336</v>
      </c>
      <c r="I1339" t="s">
        <v>42</v>
      </c>
      <c r="J1339" s="2">
        <v>4674</v>
      </c>
      <c r="K1339" s="2">
        <v>231</v>
      </c>
      <c r="L1339" s="2">
        <v>35918</v>
      </c>
      <c r="P1339" t="s">
        <v>4751</v>
      </c>
      <c r="S1339" t="s">
        <v>33</v>
      </c>
      <c r="X1339" t="s">
        <v>34</v>
      </c>
      <c r="AA1339" t="s">
        <v>38</v>
      </c>
    </row>
    <row r="1340" spans="1:27" hidden="1">
      <c r="A1340" t="s">
        <v>4752</v>
      </c>
      <c r="B1340" t="s">
        <v>4753</v>
      </c>
      <c r="C1340" t="e">
        <f>VLOOKUP(B1340,Sheet2!$A$2:$A$392,1,0)</f>
        <v>#N/A</v>
      </c>
      <c r="E1340" t="s">
        <v>249</v>
      </c>
      <c r="G1340" t="s">
        <v>336</v>
      </c>
      <c r="I1340" t="s">
        <v>42</v>
      </c>
      <c r="J1340" s="2">
        <v>41982</v>
      </c>
      <c r="K1340" s="2">
        <v>231</v>
      </c>
      <c r="L1340" s="2">
        <v>35998</v>
      </c>
      <c r="P1340" t="s">
        <v>4754</v>
      </c>
      <c r="S1340" t="s">
        <v>33</v>
      </c>
      <c r="X1340" t="s">
        <v>34</v>
      </c>
      <c r="AA1340" t="s">
        <v>38</v>
      </c>
    </row>
    <row r="1341" spans="1:27" hidden="1">
      <c r="A1341" t="s">
        <v>4755</v>
      </c>
      <c r="B1341" t="s">
        <v>4756</v>
      </c>
      <c r="C1341" t="e">
        <f>VLOOKUP(B1341,Sheet2!$A$2:$A$392,1,0)</f>
        <v>#N/A</v>
      </c>
      <c r="E1341" t="s">
        <v>40</v>
      </c>
      <c r="F1341" t="s">
        <v>41</v>
      </c>
      <c r="G1341" t="s">
        <v>29</v>
      </c>
      <c r="I1341" t="s">
        <v>42</v>
      </c>
      <c r="J1341" s="2">
        <v>7500</v>
      </c>
      <c r="K1341" s="2">
        <v>91</v>
      </c>
      <c r="L1341" s="2">
        <v>3415</v>
      </c>
      <c r="P1341" t="s">
        <v>185</v>
      </c>
      <c r="R1341" t="s">
        <v>42</v>
      </c>
      <c r="S1341" t="s">
        <v>33</v>
      </c>
      <c r="T1341" t="s">
        <v>34</v>
      </c>
      <c r="U1341" t="s">
        <v>35</v>
      </c>
      <c r="X1341" t="s">
        <v>34</v>
      </c>
      <c r="Y1341" t="s">
        <v>45</v>
      </c>
      <c r="Z1341" t="s">
        <v>4757</v>
      </c>
      <c r="AA1341" t="s">
        <v>38</v>
      </c>
    </row>
    <row r="1342" spans="1:27">
      <c r="A1342" t="s">
        <v>4758</v>
      </c>
      <c r="B1342" t="s">
        <v>4759</v>
      </c>
      <c r="C1342" t="str">
        <f>VLOOKUP(B1342,Sheet2!$A$2:$A$392,1,0)</f>
        <v>TB. SAFARI 07 / BG. DAHLIA SAMUDERA 07</v>
      </c>
      <c r="E1342" t="s">
        <v>40</v>
      </c>
      <c r="F1342" t="s">
        <v>41</v>
      </c>
      <c r="G1342" t="s">
        <v>29</v>
      </c>
      <c r="I1342" t="s">
        <v>42</v>
      </c>
      <c r="J1342" s="2">
        <v>8000</v>
      </c>
      <c r="K1342" s="2">
        <v>91</v>
      </c>
      <c r="L1342" s="2">
        <v>3425</v>
      </c>
      <c r="P1342" t="s">
        <v>185</v>
      </c>
      <c r="R1342" t="s">
        <v>42</v>
      </c>
      <c r="S1342" t="s">
        <v>33</v>
      </c>
      <c r="T1342" t="s">
        <v>34</v>
      </c>
      <c r="U1342" t="s">
        <v>44</v>
      </c>
      <c r="X1342" t="s">
        <v>34</v>
      </c>
      <c r="Y1342" t="s">
        <v>45</v>
      </c>
      <c r="Z1342" t="s">
        <v>4760</v>
      </c>
      <c r="AA1342" t="s">
        <v>38</v>
      </c>
    </row>
    <row r="1343" spans="1:27" hidden="1">
      <c r="A1343" t="s">
        <v>4761</v>
      </c>
      <c r="B1343" t="s">
        <v>4762</v>
      </c>
      <c r="C1343" t="e">
        <f>VLOOKUP(B1343,Sheet2!$A$2:$A$392,1,0)</f>
        <v>#N/A</v>
      </c>
      <c r="E1343" t="s">
        <v>170</v>
      </c>
      <c r="I1343" t="s">
        <v>42</v>
      </c>
      <c r="J1343" s="2">
        <v>37420</v>
      </c>
      <c r="K1343" s="3">
        <v>182.55</v>
      </c>
      <c r="L1343" s="2">
        <v>23245</v>
      </c>
      <c r="P1343" t="s">
        <v>4763</v>
      </c>
      <c r="S1343" t="s">
        <v>33</v>
      </c>
      <c r="X1343" t="s">
        <v>34</v>
      </c>
      <c r="AA1343" t="s">
        <v>38</v>
      </c>
    </row>
    <row r="1344" spans="1:27" hidden="1">
      <c r="A1344" t="s">
        <v>4764</v>
      </c>
      <c r="B1344" t="s">
        <v>4765</v>
      </c>
      <c r="C1344" t="e">
        <f>VLOOKUP(B1344,Sheet2!$A$2:$A$392,1,0)</f>
        <v>#N/A</v>
      </c>
      <c r="E1344" t="s">
        <v>40</v>
      </c>
      <c r="G1344" t="s">
        <v>922</v>
      </c>
      <c r="I1344" t="s">
        <v>42</v>
      </c>
      <c r="J1344" s="2">
        <v>70</v>
      </c>
      <c r="K1344" s="2">
        <v>22</v>
      </c>
      <c r="L1344" s="2">
        <v>70</v>
      </c>
      <c r="P1344" t="s">
        <v>4766</v>
      </c>
      <c r="S1344" t="s">
        <v>33</v>
      </c>
      <c r="X1344" t="s">
        <v>34</v>
      </c>
      <c r="AA1344" t="s">
        <v>38</v>
      </c>
    </row>
    <row r="1345" spans="1:27" hidden="1">
      <c r="A1345" t="s">
        <v>4767</v>
      </c>
      <c r="B1345" t="s">
        <v>4768</v>
      </c>
      <c r="C1345" t="e">
        <f>VLOOKUP(B1345,Sheet2!$A$2:$A$392,1,0)</f>
        <v>#N/A</v>
      </c>
      <c r="E1345" t="s">
        <v>72</v>
      </c>
      <c r="G1345" t="s">
        <v>857</v>
      </c>
      <c r="I1345" t="s">
        <v>42</v>
      </c>
      <c r="J1345" s="2">
        <v>5000</v>
      </c>
      <c r="K1345" s="3">
        <v>73.17</v>
      </c>
      <c r="L1345" s="2">
        <v>1828</v>
      </c>
      <c r="P1345" t="s">
        <v>74</v>
      </c>
      <c r="S1345" t="s">
        <v>33</v>
      </c>
      <c r="X1345" t="s">
        <v>34</v>
      </c>
      <c r="AA1345" t="s">
        <v>38</v>
      </c>
    </row>
    <row r="1346" spans="1:27" hidden="1">
      <c r="A1346" t="s">
        <v>4769</v>
      </c>
      <c r="B1346" t="s">
        <v>4770</v>
      </c>
      <c r="C1346" t="e">
        <f>VLOOKUP(B1346,Sheet2!$A$2:$A$392,1,0)</f>
        <v>#N/A</v>
      </c>
      <c r="E1346" t="s">
        <v>40</v>
      </c>
      <c r="G1346" t="s">
        <v>4771</v>
      </c>
      <c r="I1346" t="s">
        <v>42</v>
      </c>
      <c r="J1346" s="2">
        <v>325</v>
      </c>
      <c r="K1346">
        <v>41.8</v>
      </c>
      <c r="L1346" s="2">
        <v>537</v>
      </c>
      <c r="P1346" t="s">
        <v>4772</v>
      </c>
      <c r="S1346" t="s">
        <v>33</v>
      </c>
      <c r="X1346" t="s">
        <v>34</v>
      </c>
      <c r="AA1346" t="s">
        <v>38</v>
      </c>
    </row>
    <row r="1347" spans="1:27" hidden="1">
      <c r="A1347" t="s">
        <v>4773</v>
      </c>
      <c r="B1347" t="s">
        <v>4774</v>
      </c>
      <c r="C1347" t="e">
        <f>VLOOKUP(B1347,Sheet2!$A$2:$A$392,1,0)</f>
        <v>#N/A</v>
      </c>
      <c r="E1347" t="s">
        <v>170</v>
      </c>
      <c r="I1347" t="s">
        <v>42</v>
      </c>
      <c r="J1347" s="2">
        <v>38250</v>
      </c>
      <c r="K1347" s="3">
        <v>182.55</v>
      </c>
      <c r="L1347" s="2">
        <v>23235</v>
      </c>
      <c r="P1347" t="s">
        <v>4775</v>
      </c>
      <c r="S1347" t="s">
        <v>33</v>
      </c>
      <c r="X1347" t="s">
        <v>34</v>
      </c>
      <c r="AA1347" t="s">
        <v>38</v>
      </c>
    </row>
    <row r="1348" spans="1:27" hidden="1">
      <c r="A1348" t="s">
        <v>4776</v>
      </c>
      <c r="B1348" t="s">
        <v>4777</v>
      </c>
      <c r="C1348" t="e">
        <f>VLOOKUP(B1348,Sheet2!$A$2:$A$392,1,0)</f>
        <v>#N/A</v>
      </c>
      <c r="E1348" t="s">
        <v>170</v>
      </c>
      <c r="F1348" t="s">
        <v>41</v>
      </c>
      <c r="I1348" t="s">
        <v>42</v>
      </c>
      <c r="J1348" s="2">
        <v>37220</v>
      </c>
      <c r="K1348" s="3">
        <v>182.55</v>
      </c>
      <c r="L1348" s="2">
        <v>23235</v>
      </c>
      <c r="P1348" t="s">
        <v>4778</v>
      </c>
      <c r="R1348" t="s">
        <v>42</v>
      </c>
      <c r="S1348" t="s">
        <v>33</v>
      </c>
      <c r="T1348" t="s">
        <v>34</v>
      </c>
      <c r="U1348" t="s">
        <v>35</v>
      </c>
      <c r="X1348" t="s">
        <v>34</v>
      </c>
      <c r="Y1348" t="s">
        <v>117</v>
      </c>
      <c r="Z1348" t="s">
        <v>4779</v>
      </c>
      <c r="AA1348" t="s">
        <v>38</v>
      </c>
    </row>
    <row r="1349" spans="1:27" hidden="1">
      <c r="A1349" t="s">
        <v>4780</v>
      </c>
      <c r="B1349" t="s">
        <v>4781</v>
      </c>
      <c r="C1349" t="e">
        <f>VLOOKUP(B1349,Sheet2!$A$2:$A$392,1,0)</f>
        <v>#N/A</v>
      </c>
      <c r="E1349" t="s">
        <v>27</v>
      </c>
      <c r="F1349" t="s">
        <v>41</v>
      </c>
      <c r="G1349" t="s">
        <v>158</v>
      </c>
      <c r="J1349" s="2">
        <v>1200</v>
      </c>
      <c r="K1349">
        <v>55.7</v>
      </c>
      <c r="L1349" s="2">
        <v>1330</v>
      </c>
      <c r="M1349" s="2">
        <v>10000</v>
      </c>
      <c r="N1349" s="2">
        <v>5</v>
      </c>
      <c r="O1349" t="s">
        <v>159</v>
      </c>
      <c r="P1349" t="s">
        <v>4780</v>
      </c>
      <c r="R1349" t="s">
        <v>42</v>
      </c>
      <c r="S1349" t="s">
        <v>33</v>
      </c>
      <c r="U1349" t="s">
        <v>44</v>
      </c>
      <c r="W1349" t="s">
        <v>63</v>
      </c>
      <c r="X1349" t="s">
        <v>34</v>
      </c>
      <c r="Y1349" t="s">
        <v>64</v>
      </c>
      <c r="Z1349" t="s">
        <v>4782</v>
      </c>
      <c r="AA1349" t="s">
        <v>38</v>
      </c>
    </row>
    <row r="1350" spans="1:27" hidden="1">
      <c r="A1350" t="s">
        <v>4783</v>
      </c>
      <c r="B1350" t="s">
        <v>4784</v>
      </c>
      <c r="C1350" t="e">
        <f>VLOOKUP(B1350,Sheet2!$A$2:$A$392,1,0)</f>
        <v>#N/A</v>
      </c>
      <c r="E1350" t="s">
        <v>170</v>
      </c>
      <c r="I1350" t="s">
        <v>42</v>
      </c>
      <c r="J1350" s="2">
        <v>37270</v>
      </c>
      <c r="K1350" s="3">
        <v>182.55</v>
      </c>
      <c r="L1350" s="2">
        <v>23217</v>
      </c>
      <c r="P1350" t="s">
        <v>4785</v>
      </c>
      <c r="S1350" t="s">
        <v>33</v>
      </c>
      <c r="X1350" t="s">
        <v>34</v>
      </c>
      <c r="AA1350" t="s">
        <v>38</v>
      </c>
    </row>
    <row r="1351" spans="1:27" hidden="1">
      <c r="A1351" t="s">
        <v>4786</v>
      </c>
      <c r="B1351" t="s">
        <v>4787</v>
      </c>
      <c r="C1351" t="e">
        <f>VLOOKUP(B1351,Sheet2!$A$2:$A$392,1,0)</f>
        <v>#N/A</v>
      </c>
      <c r="E1351" t="s">
        <v>170</v>
      </c>
      <c r="I1351" t="s">
        <v>42</v>
      </c>
      <c r="J1351" s="2">
        <v>51</v>
      </c>
      <c r="K1351" s="2">
        <v>183</v>
      </c>
      <c r="L1351" s="2">
        <v>27286</v>
      </c>
      <c r="P1351" t="s">
        <v>4788</v>
      </c>
      <c r="S1351" t="s">
        <v>33</v>
      </c>
      <c r="X1351" t="s">
        <v>34</v>
      </c>
      <c r="AA1351" t="s">
        <v>38</v>
      </c>
    </row>
    <row r="1352" spans="1:27">
      <c r="A1352" t="s">
        <v>4789</v>
      </c>
      <c r="B1352" t="s">
        <v>4790</v>
      </c>
      <c r="C1352" t="str">
        <f>VLOOKUP(B1352,Sheet2!$A$2:$A$392,1,0)</f>
        <v>TB. SAFARI 11 / BG. AMANAH 11</v>
      </c>
      <c r="E1352" t="s">
        <v>40</v>
      </c>
      <c r="F1352" t="s">
        <v>41</v>
      </c>
      <c r="G1352" t="s">
        <v>29</v>
      </c>
      <c r="I1352" t="s">
        <v>42</v>
      </c>
      <c r="J1352" s="2">
        <v>8000</v>
      </c>
      <c r="K1352" s="2">
        <v>91</v>
      </c>
      <c r="L1352" s="2">
        <v>3452</v>
      </c>
      <c r="P1352" t="s">
        <v>4791</v>
      </c>
      <c r="R1352" t="s">
        <v>42</v>
      </c>
      <c r="S1352" t="s">
        <v>33</v>
      </c>
      <c r="T1352" t="s">
        <v>34</v>
      </c>
      <c r="U1352" t="s">
        <v>44</v>
      </c>
      <c r="X1352" t="s">
        <v>34</v>
      </c>
      <c r="Y1352" t="s">
        <v>45</v>
      </c>
      <c r="Z1352" t="s">
        <v>4792</v>
      </c>
      <c r="AA1352" t="s">
        <v>38</v>
      </c>
    </row>
    <row r="1353" spans="1:27" hidden="1">
      <c r="A1353" t="s">
        <v>4793</v>
      </c>
      <c r="B1353" t="s">
        <v>4794</v>
      </c>
      <c r="C1353" t="e">
        <f>VLOOKUP(B1353,Sheet2!$A$2:$A$392,1,0)</f>
        <v>#N/A</v>
      </c>
      <c r="E1353" t="s">
        <v>170</v>
      </c>
      <c r="G1353" t="s">
        <v>4771</v>
      </c>
      <c r="I1353" t="s">
        <v>42</v>
      </c>
      <c r="J1353" s="2">
        <v>6000</v>
      </c>
      <c r="K1353" s="3">
        <v>90.14</v>
      </c>
      <c r="L1353" s="2">
        <v>4634</v>
      </c>
      <c r="P1353" t="s">
        <v>4795</v>
      </c>
      <c r="S1353" t="s">
        <v>33</v>
      </c>
      <c r="X1353" t="s">
        <v>34</v>
      </c>
      <c r="AA1353" t="s">
        <v>38</v>
      </c>
    </row>
    <row r="1354" spans="1:27" hidden="1">
      <c r="A1354" t="s">
        <v>4796</v>
      </c>
      <c r="B1354" t="s">
        <v>4797</v>
      </c>
      <c r="C1354" t="e">
        <f>VLOOKUP(B1354,Sheet2!$A$2:$A$392,1,0)</f>
        <v>#N/A</v>
      </c>
      <c r="E1354" t="s">
        <v>40</v>
      </c>
      <c r="F1354" t="s">
        <v>41</v>
      </c>
      <c r="G1354" t="s">
        <v>29</v>
      </c>
      <c r="I1354" t="s">
        <v>42</v>
      </c>
      <c r="J1354" s="2">
        <v>9750</v>
      </c>
      <c r="K1354" s="2">
        <v>91</v>
      </c>
      <c r="L1354" s="2">
        <v>4075</v>
      </c>
      <c r="N1354" s="3">
        <v>4.93</v>
      </c>
      <c r="P1354" t="s">
        <v>185</v>
      </c>
      <c r="R1354" t="s">
        <v>42</v>
      </c>
      <c r="S1354" t="s">
        <v>33</v>
      </c>
      <c r="T1354" t="s">
        <v>34</v>
      </c>
      <c r="U1354" t="s">
        <v>35</v>
      </c>
      <c r="X1354" t="s">
        <v>34</v>
      </c>
      <c r="Y1354" t="s">
        <v>45</v>
      </c>
      <c r="Z1354" t="s">
        <v>4798</v>
      </c>
      <c r="AA1354" t="s">
        <v>38</v>
      </c>
    </row>
    <row r="1355" spans="1:27" hidden="1">
      <c r="A1355" t="s">
        <v>4799</v>
      </c>
      <c r="B1355" t="s">
        <v>4800</v>
      </c>
      <c r="C1355" t="e">
        <f>VLOOKUP(B1355,Sheet2!$A$2:$A$392,1,0)</f>
        <v>#N/A</v>
      </c>
      <c r="E1355" t="s">
        <v>27</v>
      </c>
      <c r="F1355" t="s">
        <v>41</v>
      </c>
      <c r="G1355" t="s">
        <v>29</v>
      </c>
      <c r="I1355" t="s">
        <v>42</v>
      </c>
      <c r="J1355" s="2">
        <v>3800</v>
      </c>
      <c r="K1355">
        <v>93.5</v>
      </c>
      <c r="L1355" s="2">
        <v>2547</v>
      </c>
      <c r="P1355" t="s">
        <v>4801</v>
      </c>
      <c r="R1355" t="s">
        <v>581</v>
      </c>
      <c r="S1355" t="s">
        <v>33</v>
      </c>
      <c r="T1355" t="s">
        <v>34</v>
      </c>
      <c r="U1355" t="s">
        <v>35</v>
      </c>
      <c r="X1355" t="s">
        <v>34</v>
      </c>
      <c r="Y1355" t="s">
        <v>45</v>
      </c>
      <c r="Z1355" t="s">
        <v>4802</v>
      </c>
      <c r="AA1355" t="s">
        <v>38</v>
      </c>
    </row>
    <row r="1356" spans="1:27">
      <c r="A1356" t="s">
        <v>4803</v>
      </c>
      <c r="B1356" t="s">
        <v>4804</v>
      </c>
      <c r="C1356" t="str">
        <f>VLOOKUP(B1356,Sheet2!$A$2:$A$392,1,0)</f>
        <v>KM. SEGARA IBU</v>
      </c>
      <c r="E1356" t="s">
        <v>27</v>
      </c>
      <c r="F1356" t="s">
        <v>41</v>
      </c>
      <c r="G1356" t="s">
        <v>29</v>
      </c>
      <c r="I1356" t="s">
        <v>42</v>
      </c>
      <c r="J1356" s="2">
        <v>3305</v>
      </c>
      <c r="K1356" s="2">
        <v>82</v>
      </c>
      <c r="L1356" s="2">
        <v>1996</v>
      </c>
      <c r="P1356" t="s">
        <v>4805</v>
      </c>
      <c r="R1356" t="s">
        <v>581</v>
      </c>
      <c r="S1356" t="s">
        <v>33</v>
      </c>
      <c r="T1356" t="s">
        <v>34</v>
      </c>
      <c r="U1356" t="s">
        <v>35</v>
      </c>
      <c r="X1356" t="s">
        <v>34</v>
      </c>
      <c r="Y1356" t="s">
        <v>45</v>
      </c>
      <c r="Z1356" t="s">
        <v>4806</v>
      </c>
      <c r="AA1356" t="s">
        <v>38</v>
      </c>
    </row>
    <row r="1357" spans="1:27">
      <c r="A1357" t="s">
        <v>4807</v>
      </c>
      <c r="B1357" t="s">
        <v>4808</v>
      </c>
      <c r="C1357" t="str">
        <f>VLOOKUP(B1357,Sheet2!$A$2:$A$392,1,0)</f>
        <v>KM. SINAR HARAPAN 78</v>
      </c>
      <c r="E1357" t="s">
        <v>27</v>
      </c>
      <c r="F1357" t="s">
        <v>41</v>
      </c>
      <c r="G1357" t="s">
        <v>158</v>
      </c>
      <c r="J1357" s="2">
        <v>4500</v>
      </c>
      <c r="K1357" s="3">
        <v>87.27</v>
      </c>
      <c r="L1357" s="2">
        <v>3274</v>
      </c>
      <c r="O1357" t="s">
        <v>159</v>
      </c>
      <c r="P1357" t="s">
        <v>4809</v>
      </c>
      <c r="R1357" t="s">
        <v>32</v>
      </c>
      <c r="S1357" t="s">
        <v>33</v>
      </c>
      <c r="U1357" t="s">
        <v>35</v>
      </c>
      <c r="W1357" t="s">
        <v>63</v>
      </c>
      <c r="Y1357" t="s">
        <v>64</v>
      </c>
      <c r="Z1357" t="s">
        <v>4810</v>
      </c>
      <c r="AA1357" t="s">
        <v>38</v>
      </c>
    </row>
    <row r="1358" spans="1:27" hidden="1">
      <c r="A1358" t="s">
        <v>4811</v>
      </c>
      <c r="B1358" t="s">
        <v>4812</v>
      </c>
      <c r="C1358" t="e">
        <f>VLOOKUP(B1358,Sheet2!$A$2:$A$392,1,0)</f>
        <v>#N/A</v>
      </c>
      <c r="E1358" t="s">
        <v>52</v>
      </c>
      <c r="F1358" t="s">
        <v>28</v>
      </c>
      <c r="G1358" t="s">
        <v>59</v>
      </c>
      <c r="I1358" t="s">
        <v>581</v>
      </c>
      <c r="J1358" s="2">
        <v>58089</v>
      </c>
      <c r="K1358" s="3">
        <v>199.94</v>
      </c>
      <c r="L1358" s="2">
        <v>33738</v>
      </c>
      <c r="M1358" s="2">
        <v>9480</v>
      </c>
      <c r="N1358">
        <v>12.8</v>
      </c>
      <c r="O1358" t="s">
        <v>61</v>
      </c>
      <c r="P1358" t="s">
        <v>4813</v>
      </c>
      <c r="R1358" t="s">
        <v>581</v>
      </c>
      <c r="S1358" t="s">
        <v>33</v>
      </c>
      <c r="T1358" t="s">
        <v>34</v>
      </c>
      <c r="U1358" t="s">
        <v>35</v>
      </c>
      <c r="W1358" t="s">
        <v>63</v>
      </c>
      <c r="X1358" t="s">
        <v>34</v>
      </c>
      <c r="Y1358" t="s">
        <v>64</v>
      </c>
      <c r="Z1358" t="s">
        <v>4814</v>
      </c>
      <c r="AA1358" t="s">
        <v>38</v>
      </c>
    </row>
    <row r="1359" spans="1:27">
      <c r="A1359" t="s">
        <v>4815</v>
      </c>
      <c r="B1359" t="s">
        <v>4816</v>
      </c>
      <c r="C1359" t="str">
        <f>VLOOKUP(B1359,Sheet2!$A$2:$A$392,1,0)</f>
        <v>SHINPO</v>
      </c>
      <c r="E1359" t="s">
        <v>27</v>
      </c>
      <c r="F1359" t="s">
        <v>41</v>
      </c>
      <c r="G1359" t="s">
        <v>29</v>
      </c>
      <c r="I1359" t="s">
        <v>42</v>
      </c>
      <c r="J1359" s="2">
        <v>1200</v>
      </c>
      <c r="K1359" s="2">
        <v>76</v>
      </c>
      <c r="L1359" s="2">
        <v>1454</v>
      </c>
      <c r="M1359" s="2">
        <v>10000</v>
      </c>
      <c r="N1359" s="2">
        <v>5</v>
      </c>
      <c r="O1359" t="s">
        <v>254</v>
      </c>
      <c r="P1359" t="s">
        <v>4815</v>
      </c>
      <c r="R1359" t="s">
        <v>42</v>
      </c>
      <c r="S1359" t="s">
        <v>33</v>
      </c>
      <c r="T1359" t="s">
        <v>34</v>
      </c>
      <c r="U1359" t="s">
        <v>44</v>
      </c>
      <c r="X1359" t="s">
        <v>34</v>
      </c>
      <c r="Y1359" t="s">
        <v>142</v>
      </c>
      <c r="Z1359" t="s">
        <v>4541</v>
      </c>
      <c r="AA1359" t="s">
        <v>38</v>
      </c>
    </row>
    <row r="1360" spans="1:27">
      <c r="A1360" t="s">
        <v>4817</v>
      </c>
      <c r="B1360" t="s">
        <v>4808</v>
      </c>
      <c r="C1360" t="str">
        <f>VLOOKUP(B1360,Sheet2!$A$2:$A$392,1,0)</f>
        <v>KM. SINAR HARAPAN 78</v>
      </c>
      <c r="E1360" t="s">
        <v>27</v>
      </c>
      <c r="F1360" t="s">
        <v>41</v>
      </c>
      <c r="G1360" t="s">
        <v>158</v>
      </c>
      <c r="J1360" s="2">
        <v>3724</v>
      </c>
      <c r="K1360" s="2">
        <v>87</v>
      </c>
      <c r="L1360" s="2">
        <v>3724</v>
      </c>
      <c r="O1360" t="s">
        <v>159</v>
      </c>
      <c r="P1360" s="2">
        <v>1234</v>
      </c>
      <c r="Q1360" t="s">
        <v>34</v>
      </c>
      <c r="R1360" t="s">
        <v>42</v>
      </c>
      <c r="S1360" t="s">
        <v>33</v>
      </c>
      <c r="U1360" t="s">
        <v>35</v>
      </c>
      <c r="W1360" t="s">
        <v>63</v>
      </c>
      <c r="X1360" t="s">
        <v>34</v>
      </c>
      <c r="Y1360" t="s">
        <v>64</v>
      </c>
      <c r="Z1360" t="s">
        <v>4818</v>
      </c>
      <c r="AA1360" t="s">
        <v>38</v>
      </c>
    </row>
    <row r="1361" spans="1:27" hidden="1">
      <c r="A1361" t="s">
        <v>4819</v>
      </c>
      <c r="B1361" t="s">
        <v>4820</v>
      </c>
      <c r="C1361" t="e">
        <f>VLOOKUP(B1361,Sheet2!$A$2:$A$392,1,0)</f>
        <v>#N/A</v>
      </c>
      <c r="E1361" t="s">
        <v>27</v>
      </c>
      <c r="F1361" t="s">
        <v>41</v>
      </c>
      <c r="G1361" t="s">
        <v>29</v>
      </c>
      <c r="I1361" t="s">
        <v>42</v>
      </c>
      <c r="J1361" s="2">
        <v>2800</v>
      </c>
      <c r="K1361" s="3">
        <v>81.349999999999994</v>
      </c>
      <c r="L1361" s="2">
        <v>1605</v>
      </c>
      <c r="M1361" s="2">
        <v>900</v>
      </c>
      <c r="N1361">
        <v>4.5999999999999996</v>
      </c>
      <c r="P1361" t="s">
        <v>185</v>
      </c>
      <c r="R1361" t="s">
        <v>32</v>
      </c>
      <c r="S1361" t="s">
        <v>33</v>
      </c>
      <c r="U1361" t="s">
        <v>35</v>
      </c>
      <c r="X1361" t="s">
        <v>34</v>
      </c>
      <c r="Y1361" t="s">
        <v>45</v>
      </c>
      <c r="Z1361" t="s">
        <v>4821</v>
      </c>
      <c r="AA1361" t="s">
        <v>38</v>
      </c>
    </row>
    <row r="1362" spans="1:27" hidden="1">
      <c r="A1362" t="s">
        <v>4822</v>
      </c>
      <c r="B1362" t="s">
        <v>4823</v>
      </c>
      <c r="C1362" t="e">
        <f>VLOOKUP(B1362,Sheet2!$A$2:$A$392,1,0)</f>
        <v>#N/A</v>
      </c>
      <c r="E1362" t="s">
        <v>27</v>
      </c>
      <c r="I1362" t="s">
        <v>42</v>
      </c>
      <c r="J1362" s="2">
        <v>5500</v>
      </c>
      <c r="K1362" s="3">
        <v>89.98</v>
      </c>
      <c r="L1362" s="2">
        <v>2670</v>
      </c>
      <c r="P1362" t="s">
        <v>4824</v>
      </c>
      <c r="S1362" t="s">
        <v>33</v>
      </c>
      <c r="X1362" t="s">
        <v>34</v>
      </c>
      <c r="AA1362" t="s">
        <v>38</v>
      </c>
    </row>
    <row r="1363" spans="1:27" hidden="1">
      <c r="A1363" t="s">
        <v>4825</v>
      </c>
      <c r="B1363" t="s">
        <v>4826</v>
      </c>
      <c r="C1363" t="e">
        <f>VLOOKUP(B1363,Sheet2!$A$2:$A$392,1,0)</f>
        <v>#N/A</v>
      </c>
      <c r="E1363" t="s">
        <v>121</v>
      </c>
      <c r="G1363" t="s">
        <v>629</v>
      </c>
      <c r="I1363" t="s">
        <v>42</v>
      </c>
      <c r="J1363" s="2">
        <v>638</v>
      </c>
      <c r="K1363">
        <v>68.3</v>
      </c>
      <c r="L1363" s="2">
        <v>1097</v>
      </c>
      <c r="P1363" t="s">
        <v>4827</v>
      </c>
      <c r="S1363" t="s">
        <v>33</v>
      </c>
      <c r="X1363" t="s">
        <v>34</v>
      </c>
      <c r="AA1363" t="s">
        <v>38</v>
      </c>
    </row>
    <row r="1364" spans="1:27" hidden="1">
      <c r="A1364" t="s">
        <v>4828</v>
      </c>
      <c r="B1364" t="s">
        <v>4829</v>
      </c>
      <c r="C1364" t="e">
        <f>VLOOKUP(B1364,Sheet2!$A$2:$A$392,1,0)</f>
        <v>#N/A</v>
      </c>
      <c r="E1364" t="s">
        <v>40</v>
      </c>
      <c r="F1364" t="s">
        <v>41</v>
      </c>
      <c r="G1364" t="s">
        <v>29</v>
      </c>
      <c r="I1364" t="s">
        <v>42</v>
      </c>
      <c r="J1364" s="2">
        <v>6247</v>
      </c>
      <c r="K1364" s="2">
        <v>82</v>
      </c>
      <c r="L1364" s="2">
        <v>2546</v>
      </c>
      <c r="P1364" t="s">
        <v>4830</v>
      </c>
      <c r="R1364" t="s">
        <v>42</v>
      </c>
      <c r="S1364" t="s">
        <v>33</v>
      </c>
      <c r="T1364" t="s">
        <v>34</v>
      </c>
      <c r="U1364" t="s">
        <v>35</v>
      </c>
      <c r="X1364" t="s">
        <v>34</v>
      </c>
      <c r="Y1364" t="s">
        <v>45</v>
      </c>
      <c r="Z1364" t="s">
        <v>4831</v>
      </c>
      <c r="AA1364" t="s">
        <v>38</v>
      </c>
    </row>
    <row r="1365" spans="1:27" hidden="1">
      <c r="A1365" t="s">
        <v>4832</v>
      </c>
      <c r="B1365" t="s">
        <v>4833</v>
      </c>
      <c r="C1365" t="e">
        <f>VLOOKUP(B1365,Sheet2!$A$2:$A$392,1,0)</f>
        <v>#N/A</v>
      </c>
      <c r="E1365" t="s">
        <v>27</v>
      </c>
      <c r="G1365" t="s">
        <v>104</v>
      </c>
      <c r="I1365" t="s">
        <v>42</v>
      </c>
      <c r="J1365" s="2">
        <v>20756</v>
      </c>
      <c r="K1365" s="3">
        <v>157.79</v>
      </c>
      <c r="L1365" s="2">
        <v>14118</v>
      </c>
      <c r="P1365" t="s">
        <v>4834</v>
      </c>
      <c r="S1365" t="s">
        <v>33</v>
      </c>
      <c r="X1365" t="s">
        <v>34</v>
      </c>
      <c r="AA1365" t="s">
        <v>38</v>
      </c>
    </row>
    <row r="1366" spans="1:27" hidden="1">
      <c r="A1366" t="s">
        <v>4835</v>
      </c>
      <c r="B1366" t="s">
        <v>4836</v>
      </c>
      <c r="C1366" t="e">
        <f>VLOOKUP(B1366,Sheet2!$A$2:$A$392,1,0)</f>
        <v>#N/A</v>
      </c>
      <c r="E1366" t="s">
        <v>27</v>
      </c>
      <c r="G1366" t="s">
        <v>4636</v>
      </c>
      <c r="I1366" t="s">
        <v>42</v>
      </c>
      <c r="J1366" s="2">
        <v>9500</v>
      </c>
      <c r="K1366" s="2">
        <v>118</v>
      </c>
      <c r="L1366" s="2">
        <v>9500</v>
      </c>
      <c r="P1366" t="s">
        <v>4837</v>
      </c>
      <c r="S1366" t="s">
        <v>33</v>
      </c>
      <c r="X1366" t="s">
        <v>34</v>
      </c>
      <c r="AA1366" t="s">
        <v>38</v>
      </c>
    </row>
    <row r="1367" spans="1:27" hidden="1">
      <c r="A1367" t="s">
        <v>4838</v>
      </c>
      <c r="B1367" t="s">
        <v>4839</v>
      </c>
      <c r="C1367" t="e">
        <f>VLOOKUP(B1367,Sheet2!$A$2:$A$392,1,0)</f>
        <v>#N/A</v>
      </c>
      <c r="E1367" t="s">
        <v>27</v>
      </c>
      <c r="F1367" t="s">
        <v>41</v>
      </c>
      <c r="G1367" t="s">
        <v>29</v>
      </c>
      <c r="I1367" t="s">
        <v>42</v>
      </c>
      <c r="J1367" s="2">
        <v>2800</v>
      </c>
      <c r="K1367" s="2">
        <v>81</v>
      </c>
      <c r="L1367" s="2">
        <v>1605</v>
      </c>
      <c r="P1367" t="s">
        <v>4840</v>
      </c>
      <c r="R1367" t="s">
        <v>32</v>
      </c>
      <c r="S1367" t="s">
        <v>33</v>
      </c>
      <c r="T1367" t="s">
        <v>34</v>
      </c>
      <c r="U1367" t="s">
        <v>35</v>
      </c>
      <c r="X1367" t="s">
        <v>34</v>
      </c>
      <c r="Y1367" t="s">
        <v>45</v>
      </c>
      <c r="Z1367" t="s">
        <v>4841</v>
      </c>
      <c r="AA1367" t="s">
        <v>38</v>
      </c>
    </row>
    <row r="1368" spans="1:27" hidden="1">
      <c r="A1368" t="s">
        <v>4842</v>
      </c>
      <c r="B1368" t="s">
        <v>4843</v>
      </c>
      <c r="C1368" t="e">
        <f>VLOOKUP(B1368,Sheet2!$A$2:$A$392,1,0)</f>
        <v>#N/A</v>
      </c>
      <c r="E1368" t="s">
        <v>52</v>
      </c>
      <c r="F1368" t="s">
        <v>28</v>
      </c>
      <c r="G1368" t="s">
        <v>1513</v>
      </c>
      <c r="I1368" t="s">
        <v>32</v>
      </c>
      <c r="J1368" s="2">
        <v>47263</v>
      </c>
      <c r="K1368" s="3">
        <v>185.73</v>
      </c>
      <c r="L1368" s="2">
        <v>25955</v>
      </c>
      <c r="M1368" s="2">
        <v>8595</v>
      </c>
      <c r="N1368">
        <v>11.5</v>
      </c>
      <c r="O1368" t="s">
        <v>1708</v>
      </c>
      <c r="P1368" t="s">
        <v>4844</v>
      </c>
      <c r="R1368" t="s">
        <v>32</v>
      </c>
      <c r="S1368" t="s">
        <v>33</v>
      </c>
      <c r="U1368" t="s">
        <v>35</v>
      </c>
      <c r="V1368" s="2">
        <v>5</v>
      </c>
      <c r="X1368" t="s">
        <v>34</v>
      </c>
      <c r="Y1368" t="s">
        <v>55</v>
      </c>
      <c r="Z1368" t="s">
        <v>4845</v>
      </c>
      <c r="AA1368" t="s">
        <v>38</v>
      </c>
    </row>
    <row r="1369" spans="1:27" hidden="1">
      <c r="A1369" t="s">
        <v>4846</v>
      </c>
      <c r="B1369" t="s">
        <v>4847</v>
      </c>
      <c r="C1369" t="e">
        <f>VLOOKUP(B1369,Sheet2!$A$2:$A$392,1,0)</f>
        <v>#N/A</v>
      </c>
      <c r="E1369" t="s">
        <v>27</v>
      </c>
      <c r="F1369" t="s">
        <v>41</v>
      </c>
      <c r="G1369" t="s">
        <v>585</v>
      </c>
      <c r="J1369" s="2">
        <v>6774</v>
      </c>
      <c r="K1369" s="3">
        <v>100.17</v>
      </c>
      <c r="L1369" s="2">
        <v>2242</v>
      </c>
      <c r="M1369" s="2">
        <v>3300</v>
      </c>
      <c r="N1369" s="2">
        <v>8</v>
      </c>
      <c r="O1369" t="s">
        <v>1058</v>
      </c>
      <c r="P1369" t="s">
        <v>4848</v>
      </c>
      <c r="R1369" t="s">
        <v>32</v>
      </c>
      <c r="S1369" t="s">
        <v>33</v>
      </c>
      <c r="U1369" t="s">
        <v>44</v>
      </c>
      <c r="V1369" s="2">
        <v>4</v>
      </c>
      <c r="X1369" t="s">
        <v>34</v>
      </c>
      <c r="Y1369" t="s">
        <v>55</v>
      </c>
      <c r="Z1369" t="s">
        <v>4849</v>
      </c>
      <c r="AA1369" t="s">
        <v>38</v>
      </c>
    </row>
    <row r="1370" spans="1:27" hidden="1">
      <c r="A1370" t="s">
        <v>4850</v>
      </c>
      <c r="B1370" t="s">
        <v>4851</v>
      </c>
      <c r="C1370" t="e">
        <f>VLOOKUP(B1370,Sheet2!$A$2:$A$392,1,0)</f>
        <v>#N/A</v>
      </c>
      <c r="E1370" t="s">
        <v>27</v>
      </c>
      <c r="F1370" t="s">
        <v>41</v>
      </c>
      <c r="G1370" t="s">
        <v>29</v>
      </c>
      <c r="I1370" t="s">
        <v>42</v>
      </c>
      <c r="J1370" s="2">
        <v>1</v>
      </c>
      <c r="K1370" s="3">
        <v>73.739999999999995</v>
      </c>
      <c r="L1370" s="2">
        <v>2159</v>
      </c>
      <c r="P1370" t="s">
        <v>74</v>
      </c>
      <c r="Q1370" t="s">
        <v>34</v>
      </c>
      <c r="R1370" t="s">
        <v>42</v>
      </c>
      <c r="S1370" t="s">
        <v>33</v>
      </c>
      <c r="T1370" t="s">
        <v>34</v>
      </c>
      <c r="U1370" t="s">
        <v>35</v>
      </c>
      <c r="X1370" t="s">
        <v>34</v>
      </c>
      <c r="Y1370" t="s">
        <v>45</v>
      </c>
      <c r="Z1370" t="s">
        <v>4852</v>
      </c>
      <c r="AA1370" t="s">
        <v>38</v>
      </c>
    </row>
    <row r="1371" spans="1:27" hidden="1">
      <c r="A1371" t="s">
        <v>4853</v>
      </c>
      <c r="B1371" t="s">
        <v>4854</v>
      </c>
      <c r="C1371" t="e">
        <f>VLOOKUP(B1371,Sheet2!$A$2:$A$392,1,0)</f>
        <v>#N/A</v>
      </c>
      <c r="E1371" t="s">
        <v>27</v>
      </c>
      <c r="F1371" t="s">
        <v>41</v>
      </c>
      <c r="G1371" t="s">
        <v>29</v>
      </c>
      <c r="I1371" t="s">
        <v>42</v>
      </c>
      <c r="J1371" s="2">
        <v>1000</v>
      </c>
      <c r="K1371" s="2">
        <v>53</v>
      </c>
      <c r="L1371" s="2">
        <v>670</v>
      </c>
      <c r="N1371">
        <v>5.4</v>
      </c>
      <c r="P1371" t="s">
        <v>4855</v>
      </c>
      <c r="R1371" t="s">
        <v>32</v>
      </c>
      <c r="S1371" t="s">
        <v>33</v>
      </c>
      <c r="T1371" t="s">
        <v>34</v>
      </c>
      <c r="U1371" t="s">
        <v>35</v>
      </c>
      <c r="X1371" t="s">
        <v>34</v>
      </c>
      <c r="Y1371" t="s">
        <v>45</v>
      </c>
      <c r="Z1371" t="s">
        <v>4856</v>
      </c>
      <c r="AA1371" t="s">
        <v>38</v>
      </c>
    </row>
    <row r="1372" spans="1:27" hidden="1">
      <c r="A1372" t="s">
        <v>4857</v>
      </c>
      <c r="B1372" t="s">
        <v>4858</v>
      </c>
      <c r="C1372" t="e">
        <f>VLOOKUP(B1372,Sheet2!$A$2:$A$392,1,0)</f>
        <v>#N/A</v>
      </c>
      <c r="E1372" t="s">
        <v>206</v>
      </c>
      <c r="F1372" t="s">
        <v>41</v>
      </c>
      <c r="G1372" t="s">
        <v>29</v>
      </c>
      <c r="J1372" s="2">
        <v>400</v>
      </c>
      <c r="K1372" s="2">
        <v>70</v>
      </c>
      <c r="L1372" s="2">
        <v>150</v>
      </c>
      <c r="P1372" s="2">
        <v>1</v>
      </c>
      <c r="Q1372" t="s">
        <v>34</v>
      </c>
      <c r="R1372" t="s">
        <v>42</v>
      </c>
      <c r="S1372" t="s">
        <v>33</v>
      </c>
      <c r="U1372" t="s">
        <v>35</v>
      </c>
      <c r="X1372" t="s">
        <v>34</v>
      </c>
      <c r="Y1372" t="s">
        <v>45</v>
      </c>
      <c r="Z1372" t="s">
        <v>4859</v>
      </c>
      <c r="AA1372" t="s">
        <v>38</v>
      </c>
    </row>
    <row r="1373" spans="1:27" hidden="1">
      <c r="A1373" t="s">
        <v>4860</v>
      </c>
      <c r="B1373" t="s">
        <v>4861</v>
      </c>
      <c r="C1373" t="e">
        <f>VLOOKUP(B1373,Sheet2!$A$2:$A$392,1,0)</f>
        <v>#N/A</v>
      </c>
      <c r="E1373" t="s">
        <v>170</v>
      </c>
      <c r="G1373" t="s">
        <v>555</v>
      </c>
      <c r="I1373" t="s">
        <v>42</v>
      </c>
      <c r="J1373" s="2">
        <v>3</v>
      </c>
      <c r="K1373">
        <v>84.3</v>
      </c>
      <c r="L1373" s="2">
        <v>2025</v>
      </c>
      <c r="P1373" t="s">
        <v>4862</v>
      </c>
      <c r="S1373" t="s">
        <v>33</v>
      </c>
      <c r="X1373" t="s">
        <v>34</v>
      </c>
      <c r="AA1373" t="s">
        <v>38</v>
      </c>
    </row>
    <row r="1374" spans="1:27">
      <c r="A1374" t="s">
        <v>4863</v>
      </c>
      <c r="B1374" t="s">
        <v>4864</v>
      </c>
      <c r="C1374" t="str">
        <f>VLOOKUP(B1374,Sheet2!$A$2:$A$392,1,0)</f>
        <v>TB. SYUKUR 01 / BG. SYUKUR 61</v>
      </c>
      <c r="E1374" t="s">
        <v>40</v>
      </c>
      <c r="F1374" t="s">
        <v>41</v>
      </c>
      <c r="G1374" t="s">
        <v>29</v>
      </c>
      <c r="I1374" t="s">
        <v>42</v>
      </c>
      <c r="J1374" s="2">
        <v>8000</v>
      </c>
      <c r="K1374" s="2">
        <v>91</v>
      </c>
      <c r="L1374" s="2">
        <v>3315</v>
      </c>
      <c r="P1374" t="s">
        <v>4865</v>
      </c>
      <c r="R1374" t="s">
        <v>42</v>
      </c>
      <c r="S1374" t="s">
        <v>33</v>
      </c>
      <c r="T1374" t="s">
        <v>34</v>
      </c>
      <c r="U1374" t="s">
        <v>44</v>
      </c>
      <c r="X1374" t="s">
        <v>34</v>
      </c>
      <c r="Y1374" t="s">
        <v>45</v>
      </c>
      <c r="Z1374" t="s">
        <v>4760</v>
      </c>
      <c r="AA1374" t="s">
        <v>38</v>
      </c>
    </row>
    <row r="1375" spans="1:27" hidden="1">
      <c r="A1375" t="s">
        <v>4866</v>
      </c>
      <c r="B1375" t="s">
        <v>4867</v>
      </c>
      <c r="C1375" t="e">
        <f>VLOOKUP(B1375,Sheet2!$A$2:$A$392,1,0)</f>
        <v>#N/A</v>
      </c>
      <c r="E1375" t="s">
        <v>40</v>
      </c>
      <c r="F1375" t="s">
        <v>41</v>
      </c>
      <c r="G1375" t="s">
        <v>29</v>
      </c>
      <c r="I1375" t="s">
        <v>42</v>
      </c>
      <c r="J1375" s="2">
        <v>5000</v>
      </c>
      <c r="K1375" s="2">
        <v>79</v>
      </c>
      <c r="L1375" s="2">
        <v>2298</v>
      </c>
      <c r="P1375" t="s">
        <v>185</v>
      </c>
      <c r="R1375" t="s">
        <v>42</v>
      </c>
      <c r="S1375" t="s">
        <v>33</v>
      </c>
      <c r="T1375" t="s">
        <v>34</v>
      </c>
      <c r="U1375" t="s">
        <v>35</v>
      </c>
      <c r="X1375" t="s">
        <v>34</v>
      </c>
      <c r="Y1375" t="s">
        <v>45</v>
      </c>
      <c r="Z1375" t="s">
        <v>4868</v>
      </c>
      <c r="AA1375" t="s">
        <v>38</v>
      </c>
    </row>
    <row r="1376" spans="1:27" hidden="1">
      <c r="A1376" t="s">
        <v>4869</v>
      </c>
      <c r="B1376" t="s">
        <v>4870</v>
      </c>
      <c r="C1376" t="e">
        <f>VLOOKUP(B1376,Sheet2!$A$2:$A$392,1,0)</f>
        <v>#N/A</v>
      </c>
      <c r="E1376" t="s">
        <v>40</v>
      </c>
      <c r="F1376" t="s">
        <v>41</v>
      </c>
      <c r="G1376" t="s">
        <v>29</v>
      </c>
      <c r="I1376" t="s">
        <v>42</v>
      </c>
      <c r="J1376" s="2">
        <v>5000</v>
      </c>
      <c r="K1376" s="2">
        <v>76</v>
      </c>
      <c r="L1376" s="2">
        <v>2091</v>
      </c>
      <c r="P1376" t="s">
        <v>4871</v>
      </c>
      <c r="R1376" t="s">
        <v>42</v>
      </c>
      <c r="S1376" t="s">
        <v>33</v>
      </c>
      <c r="T1376" t="s">
        <v>34</v>
      </c>
      <c r="U1376" t="s">
        <v>35</v>
      </c>
      <c r="X1376" t="s">
        <v>34</v>
      </c>
      <c r="Y1376" t="s">
        <v>45</v>
      </c>
      <c r="Z1376" t="s">
        <v>278</v>
      </c>
      <c r="AA1376" t="s">
        <v>38</v>
      </c>
    </row>
    <row r="1377" spans="1:27" hidden="1">
      <c r="A1377" t="s">
        <v>4872</v>
      </c>
      <c r="B1377" t="s">
        <v>4873</v>
      </c>
      <c r="C1377" t="e">
        <f>VLOOKUP(B1377,Sheet2!$A$2:$A$392,1,0)</f>
        <v>#N/A</v>
      </c>
      <c r="E1377" t="s">
        <v>40</v>
      </c>
      <c r="F1377" t="s">
        <v>41</v>
      </c>
      <c r="G1377" t="s">
        <v>29</v>
      </c>
      <c r="I1377" t="s">
        <v>42</v>
      </c>
      <c r="J1377" s="2">
        <v>8000</v>
      </c>
      <c r="K1377" s="2">
        <v>91</v>
      </c>
      <c r="L1377" s="2">
        <v>3246</v>
      </c>
      <c r="P1377" t="s">
        <v>2671</v>
      </c>
      <c r="R1377" t="s">
        <v>42</v>
      </c>
      <c r="S1377" t="s">
        <v>33</v>
      </c>
      <c r="T1377" t="s">
        <v>34</v>
      </c>
      <c r="U1377" t="s">
        <v>35</v>
      </c>
      <c r="X1377" t="s">
        <v>34</v>
      </c>
      <c r="Y1377" t="s">
        <v>45</v>
      </c>
      <c r="Z1377" t="s">
        <v>4874</v>
      </c>
      <c r="AA1377" t="s">
        <v>38</v>
      </c>
    </row>
    <row r="1378" spans="1:27" hidden="1">
      <c r="A1378" t="s">
        <v>4875</v>
      </c>
      <c r="B1378" t="s">
        <v>4876</v>
      </c>
      <c r="C1378" t="e">
        <f>VLOOKUP(B1378,Sheet2!$A$2:$A$392,1,0)</f>
        <v>#N/A</v>
      </c>
      <c r="E1378" t="s">
        <v>170</v>
      </c>
      <c r="G1378" t="s">
        <v>555</v>
      </c>
      <c r="I1378" t="s">
        <v>42</v>
      </c>
      <c r="J1378" s="2">
        <v>3</v>
      </c>
      <c r="K1378">
        <v>85.3</v>
      </c>
      <c r="L1378" s="2">
        <v>1994</v>
      </c>
      <c r="P1378" t="s">
        <v>4877</v>
      </c>
      <c r="S1378" t="s">
        <v>33</v>
      </c>
      <c r="X1378" t="s">
        <v>34</v>
      </c>
      <c r="AA1378" t="s">
        <v>38</v>
      </c>
    </row>
    <row r="1379" spans="1:27" hidden="1">
      <c r="A1379" t="s">
        <v>4878</v>
      </c>
      <c r="B1379" t="s">
        <v>4879</v>
      </c>
      <c r="C1379" t="e">
        <f>VLOOKUP(B1379,Sheet2!$A$2:$A$392,1,0)</f>
        <v>#N/A</v>
      </c>
      <c r="E1379" t="s">
        <v>1063</v>
      </c>
      <c r="F1379" t="s">
        <v>41</v>
      </c>
      <c r="G1379" t="s">
        <v>336</v>
      </c>
      <c r="I1379" t="s">
        <v>42</v>
      </c>
      <c r="J1379" s="2">
        <v>2662</v>
      </c>
      <c r="K1379" s="2">
        <v>108</v>
      </c>
      <c r="L1379" s="2">
        <v>8772</v>
      </c>
      <c r="P1379" t="s">
        <v>4880</v>
      </c>
      <c r="R1379" t="s">
        <v>42</v>
      </c>
      <c r="S1379" t="s">
        <v>33</v>
      </c>
      <c r="T1379" t="s">
        <v>34</v>
      </c>
      <c r="U1379" t="s">
        <v>35</v>
      </c>
      <c r="X1379" t="s">
        <v>34</v>
      </c>
      <c r="Y1379" t="s">
        <v>117</v>
      </c>
      <c r="Z1379" t="s">
        <v>4881</v>
      </c>
      <c r="AA1379" t="s">
        <v>38</v>
      </c>
    </row>
    <row r="1380" spans="1:27" hidden="1">
      <c r="A1380" t="s">
        <v>4882</v>
      </c>
      <c r="B1380" t="s">
        <v>4883</v>
      </c>
      <c r="C1380" t="e">
        <f>VLOOKUP(B1380,Sheet2!$A$2:$A$392,1,0)</f>
        <v>#N/A</v>
      </c>
      <c r="E1380" t="s">
        <v>196</v>
      </c>
      <c r="F1380" t="s">
        <v>41</v>
      </c>
      <c r="G1380" t="s">
        <v>59</v>
      </c>
      <c r="J1380" s="2">
        <v>9709</v>
      </c>
      <c r="K1380" s="2">
        <v>113</v>
      </c>
      <c r="L1380" s="2">
        <v>7104</v>
      </c>
      <c r="M1380" s="2">
        <v>3883</v>
      </c>
      <c r="N1380" s="2">
        <v>8</v>
      </c>
      <c r="O1380" t="s">
        <v>61</v>
      </c>
      <c r="P1380" t="s">
        <v>3695</v>
      </c>
      <c r="R1380" t="s">
        <v>32</v>
      </c>
      <c r="S1380" t="s">
        <v>33</v>
      </c>
      <c r="U1380" t="s">
        <v>35</v>
      </c>
      <c r="V1380" s="2">
        <v>3</v>
      </c>
      <c r="W1380" t="s">
        <v>63</v>
      </c>
      <c r="Y1380" t="s">
        <v>64</v>
      </c>
      <c r="Z1380" t="s">
        <v>4884</v>
      </c>
      <c r="AA1380" t="s">
        <v>38</v>
      </c>
    </row>
    <row r="1381" spans="1:27" hidden="1">
      <c r="A1381" t="s">
        <v>4885</v>
      </c>
      <c r="B1381" t="s">
        <v>4886</v>
      </c>
      <c r="C1381" t="e">
        <f>VLOOKUP(B1381,Sheet2!$A$2:$A$392,1,0)</f>
        <v>#N/A</v>
      </c>
      <c r="E1381" t="s">
        <v>27</v>
      </c>
      <c r="F1381" t="s">
        <v>41</v>
      </c>
      <c r="G1381" t="s">
        <v>158</v>
      </c>
      <c r="I1381" t="s">
        <v>42</v>
      </c>
      <c r="J1381" s="2">
        <v>3508</v>
      </c>
      <c r="K1381">
        <v>91.5</v>
      </c>
      <c r="L1381" s="2">
        <v>2226</v>
      </c>
      <c r="O1381" t="s">
        <v>159</v>
      </c>
      <c r="P1381" t="s">
        <v>4887</v>
      </c>
      <c r="R1381" t="s">
        <v>32</v>
      </c>
      <c r="S1381" t="s">
        <v>33</v>
      </c>
      <c r="T1381" t="s">
        <v>34</v>
      </c>
      <c r="U1381" t="s">
        <v>35</v>
      </c>
      <c r="W1381" t="s">
        <v>63</v>
      </c>
      <c r="X1381" t="s">
        <v>34</v>
      </c>
      <c r="Y1381" t="s">
        <v>64</v>
      </c>
      <c r="Z1381" t="s">
        <v>4888</v>
      </c>
      <c r="AA1381" t="s">
        <v>38</v>
      </c>
    </row>
    <row r="1382" spans="1:27" hidden="1">
      <c r="A1382" t="s">
        <v>4889</v>
      </c>
      <c r="B1382" t="s">
        <v>4890</v>
      </c>
      <c r="C1382" t="e">
        <f>VLOOKUP(B1382,Sheet2!$A$2:$A$392,1,0)</f>
        <v>#N/A</v>
      </c>
      <c r="E1382" t="s">
        <v>40</v>
      </c>
      <c r="G1382" t="s">
        <v>125</v>
      </c>
      <c r="I1382" t="s">
        <v>42</v>
      </c>
      <c r="J1382" s="2">
        <v>399</v>
      </c>
      <c r="K1382" s="3">
        <v>35.71</v>
      </c>
      <c r="L1382" s="2">
        <v>399</v>
      </c>
      <c r="P1382" t="s">
        <v>4891</v>
      </c>
      <c r="S1382" t="s">
        <v>33</v>
      </c>
      <c r="X1382" t="s">
        <v>34</v>
      </c>
      <c r="AA1382" t="s">
        <v>38</v>
      </c>
    </row>
    <row r="1383" spans="1:27" hidden="1">
      <c r="A1383" t="s">
        <v>4892</v>
      </c>
      <c r="B1383" t="s">
        <v>4893</v>
      </c>
      <c r="C1383" t="e">
        <f>VLOOKUP(B1383,Sheet2!$A$2:$A$392,1,0)</f>
        <v>#N/A</v>
      </c>
      <c r="E1383" t="s">
        <v>40</v>
      </c>
      <c r="F1383" t="s">
        <v>41</v>
      </c>
      <c r="G1383" t="s">
        <v>29</v>
      </c>
      <c r="I1383" t="s">
        <v>42</v>
      </c>
      <c r="J1383" s="2">
        <v>8000</v>
      </c>
      <c r="K1383" s="2">
        <v>91</v>
      </c>
      <c r="L1383" s="2">
        <v>3309</v>
      </c>
      <c r="P1383" t="s">
        <v>1451</v>
      </c>
      <c r="R1383" t="s">
        <v>42</v>
      </c>
      <c r="S1383" t="s">
        <v>33</v>
      </c>
      <c r="T1383" t="s">
        <v>34</v>
      </c>
      <c r="U1383" t="s">
        <v>35</v>
      </c>
      <c r="X1383" t="s">
        <v>34</v>
      </c>
      <c r="Y1383" t="s">
        <v>45</v>
      </c>
      <c r="Z1383" t="s">
        <v>4894</v>
      </c>
      <c r="AA1383" t="s">
        <v>38</v>
      </c>
    </row>
    <row r="1384" spans="1:27">
      <c r="A1384" t="s">
        <v>4895</v>
      </c>
      <c r="B1384" t="s">
        <v>2374</v>
      </c>
      <c r="C1384" t="str">
        <f>VLOOKUP(B1384,Sheet2!$A$2:$A$392,1,0)</f>
        <v>KM. SALIM MUJUR 1</v>
      </c>
      <c r="E1384" t="s">
        <v>27</v>
      </c>
      <c r="F1384" t="s">
        <v>41</v>
      </c>
      <c r="G1384" t="s">
        <v>158</v>
      </c>
      <c r="J1384" s="2">
        <v>3000</v>
      </c>
      <c r="K1384" s="3">
        <v>78.959999999999994</v>
      </c>
      <c r="L1384" s="2">
        <v>1638</v>
      </c>
      <c r="O1384" t="s">
        <v>159</v>
      </c>
      <c r="P1384" t="s">
        <v>4896</v>
      </c>
      <c r="R1384" t="s">
        <v>32</v>
      </c>
      <c r="S1384" t="s">
        <v>33</v>
      </c>
      <c r="U1384" t="s">
        <v>35</v>
      </c>
      <c r="W1384" t="s">
        <v>63</v>
      </c>
      <c r="X1384" t="s">
        <v>34</v>
      </c>
      <c r="Y1384" t="s">
        <v>64</v>
      </c>
      <c r="Z1384" t="s">
        <v>4897</v>
      </c>
      <c r="AA1384" t="s">
        <v>38</v>
      </c>
    </row>
    <row r="1385" spans="1:27" hidden="1">
      <c r="A1385" t="s">
        <v>4898</v>
      </c>
      <c r="B1385" t="s">
        <v>4899</v>
      </c>
      <c r="C1385" t="e">
        <f>VLOOKUP(B1385,Sheet2!$A$2:$A$392,1,0)</f>
        <v>#N/A</v>
      </c>
      <c r="E1385" t="s">
        <v>40</v>
      </c>
      <c r="F1385" t="s">
        <v>41</v>
      </c>
      <c r="G1385" t="s">
        <v>29</v>
      </c>
      <c r="I1385" t="s">
        <v>42</v>
      </c>
      <c r="J1385" s="2">
        <v>8000</v>
      </c>
      <c r="K1385" s="2">
        <v>87</v>
      </c>
      <c r="L1385" s="2">
        <v>3326</v>
      </c>
      <c r="P1385" t="s">
        <v>185</v>
      </c>
      <c r="R1385" t="s">
        <v>42</v>
      </c>
      <c r="S1385" t="s">
        <v>33</v>
      </c>
      <c r="T1385" t="s">
        <v>34</v>
      </c>
      <c r="U1385" t="s">
        <v>35</v>
      </c>
      <c r="X1385" t="s">
        <v>34</v>
      </c>
      <c r="Y1385" t="s">
        <v>45</v>
      </c>
      <c r="Z1385" t="s">
        <v>4900</v>
      </c>
      <c r="AA1385" t="s">
        <v>38</v>
      </c>
    </row>
    <row r="1386" spans="1:27" hidden="1">
      <c r="A1386" t="s">
        <v>4901</v>
      </c>
      <c r="B1386" t="s">
        <v>4902</v>
      </c>
      <c r="C1386" t="e">
        <f>VLOOKUP(B1386,Sheet2!$A$2:$A$392,1,0)</f>
        <v>#N/A</v>
      </c>
      <c r="E1386" t="s">
        <v>40</v>
      </c>
      <c r="F1386" t="s">
        <v>41</v>
      </c>
      <c r="G1386" t="s">
        <v>29</v>
      </c>
      <c r="I1386" t="s">
        <v>42</v>
      </c>
      <c r="J1386" s="2">
        <v>8000</v>
      </c>
      <c r="K1386" s="2">
        <v>87</v>
      </c>
      <c r="L1386" s="2">
        <v>3324</v>
      </c>
      <c r="M1386" s="2">
        <v>1658</v>
      </c>
      <c r="N1386">
        <v>5.4</v>
      </c>
      <c r="P1386" t="s">
        <v>1275</v>
      </c>
      <c r="R1386" t="s">
        <v>42</v>
      </c>
      <c r="S1386" t="s">
        <v>33</v>
      </c>
      <c r="T1386" t="s">
        <v>34</v>
      </c>
      <c r="U1386" t="s">
        <v>35</v>
      </c>
      <c r="X1386" t="s">
        <v>34</v>
      </c>
      <c r="Y1386" t="s">
        <v>45</v>
      </c>
      <c r="Z1386" t="s">
        <v>4903</v>
      </c>
      <c r="AA1386" t="s">
        <v>38</v>
      </c>
    </row>
    <row r="1387" spans="1:27">
      <c r="A1387" t="s">
        <v>4904</v>
      </c>
      <c r="B1387" t="s">
        <v>4905</v>
      </c>
      <c r="C1387" t="str">
        <f>VLOOKUP(B1387,Sheet2!$A$2:$A$392,1,0)</f>
        <v>TB. KIETRANS 32 / BG. STAR MARINE 3032</v>
      </c>
      <c r="E1387" t="s">
        <v>40</v>
      </c>
      <c r="F1387" t="s">
        <v>41</v>
      </c>
      <c r="G1387" t="s">
        <v>29</v>
      </c>
      <c r="J1387" s="2">
        <v>8000</v>
      </c>
      <c r="K1387" s="2">
        <v>87</v>
      </c>
      <c r="L1387" s="2">
        <v>3327</v>
      </c>
      <c r="P1387" t="s">
        <v>185</v>
      </c>
      <c r="R1387" t="s">
        <v>42</v>
      </c>
      <c r="S1387" t="s">
        <v>33</v>
      </c>
      <c r="U1387" t="s">
        <v>35</v>
      </c>
      <c r="X1387" t="s">
        <v>34</v>
      </c>
      <c r="Y1387" t="s">
        <v>45</v>
      </c>
      <c r="Z1387" t="s">
        <v>4906</v>
      </c>
      <c r="AA1387" t="s">
        <v>38</v>
      </c>
    </row>
    <row r="1388" spans="1:27" hidden="1">
      <c r="A1388" t="s">
        <v>4907</v>
      </c>
      <c r="B1388" t="s">
        <v>4908</v>
      </c>
      <c r="C1388" t="e">
        <f>VLOOKUP(B1388,Sheet2!$A$2:$A$392,1,0)</f>
        <v>#N/A</v>
      </c>
      <c r="E1388" t="s">
        <v>40</v>
      </c>
      <c r="F1388" t="s">
        <v>41</v>
      </c>
      <c r="G1388" t="s">
        <v>1968</v>
      </c>
      <c r="I1388" t="s">
        <v>42</v>
      </c>
      <c r="J1388" s="2">
        <v>8000</v>
      </c>
      <c r="K1388" s="3">
        <v>91.44</v>
      </c>
      <c r="L1388" s="2">
        <v>3114</v>
      </c>
      <c r="M1388" s="2">
        <v>1500</v>
      </c>
      <c r="N1388" s="2">
        <v>4</v>
      </c>
      <c r="O1388" t="s">
        <v>281</v>
      </c>
      <c r="P1388" t="s">
        <v>4909</v>
      </c>
      <c r="R1388" t="s">
        <v>42</v>
      </c>
      <c r="S1388" t="s">
        <v>33</v>
      </c>
      <c r="T1388" t="s">
        <v>34</v>
      </c>
      <c r="U1388" t="s">
        <v>35</v>
      </c>
      <c r="V1388" s="2">
        <v>0</v>
      </c>
      <c r="W1388" t="s">
        <v>63</v>
      </c>
      <c r="X1388" t="s">
        <v>34</v>
      </c>
      <c r="Y1388" t="s">
        <v>64</v>
      </c>
      <c r="Z1388" t="s">
        <v>4910</v>
      </c>
      <c r="AA1388" t="s">
        <v>38</v>
      </c>
    </row>
    <row r="1389" spans="1:27" hidden="1">
      <c r="A1389" t="s">
        <v>4911</v>
      </c>
      <c r="B1389" t="s">
        <v>4912</v>
      </c>
      <c r="C1389" t="e">
        <f>VLOOKUP(B1389,Sheet2!$A$2:$A$392,1,0)</f>
        <v>#N/A</v>
      </c>
      <c r="E1389" t="s">
        <v>27</v>
      </c>
      <c r="G1389" t="s">
        <v>250</v>
      </c>
      <c r="I1389" t="s">
        <v>42</v>
      </c>
      <c r="J1389" s="2">
        <v>5222</v>
      </c>
      <c r="K1389">
        <v>96.5</v>
      </c>
      <c r="L1389" s="2">
        <v>2993</v>
      </c>
      <c r="P1389" t="s">
        <v>4913</v>
      </c>
      <c r="S1389" t="s">
        <v>33</v>
      </c>
      <c r="X1389" t="s">
        <v>34</v>
      </c>
      <c r="AA1389" t="s">
        <v>38</v>
      </c>
    </row>
    <row r="1390" spans="1:27" hidden="1">
      <c r="A1390" t="s">
        <v>4914</v>
      </c>
      <c r="B1390" t="s">
        <v>4915</v>
      </c>
      <c r="C1390" t="e">
        <f>VLOOKUP(B1390,Sheet2!$A$2:$A$392,1,0)</f>
        <v>#N/A</v>
      </c>
      <c r="E1390" t="s">
        <v>27</v>
      </c>
      <c r="F1390" t="s">
        <v>41</v>
      </c>
      <c r="G1390" t="s">
        <v>158</v>
      </c>
      <c r="J1390" s="2">
        <v>6023</v>
      </c>
      <c r="K1390" s="3">
        <v>99.94</v>
      </c>
      <c r="L1390" s="2">
        <v>4251</v>
      </c>
      <c r="O1390" t="s">
        <v>159</v>
      </c>
      <c r="P1390" t="s">
        <v>4916</v>
      </c>
      <c r="R1390" t="s">
        <v>4917</v>
      </c>
      <c r="S1390" t="s">
        <v>33</v>
      </c>
      <c r="U1390" t="s">
        <v>35</v>
      </c>
      <c r="X1390" t="s">
        <v>147</v>
      </c>
      <c r="Y1390" t="s">
        <v>154</v>
      </c>
      <c r="Z1390" t="s">
        <v>4694</v>
      </c>
      <c r="AA1390" t="s">
        <v>38</v>
      </c>
    </row>
    <row r="1391" spans="1:27" hidden="1">
      <c r="A1391" t="s">
        <v>4918</v>
      </c>
      <c r="B1391" t="s">
        <v>4919</v>
      </c>
      <c r="C1391" t="e">
        <f>VLOOKUP(B1391,Sheet2!$A$2:$A$392,1,0)</f>
        <v>#N/A</v>
      </c>
      <c r="E1391" t="s">
        <v>27</v>
      </c>
      <c r="F1391" t="s">
        <v>41</v>
      </c>
      <c r="G1391" t="s">
        <v>29</v>
      </c>
      <c r="I1391" t="s">
        <v>42</v>
      </c>
      <c r="J1391" s="2">
        <v>1000</v>
      </c>
      <c r="K1391" s="2">
        <v>57</v>
      </c>
      <c r="L1391" s="2">
        <v>613</v>
      </c>
      <c r="N1391" s="3">
        <v>3.16</v>
      </c>
      <c r="P1391" t="s">
        <v>185</v>
      </c>
      <c r="R1391" t="s">
        <v>32</v>
      </c>
      <c r="S1391" t="s">
        <v>33</v>
      </c>
      <c r="T1391" t="s">
        <v>34</v>
      </c>
      <c r="U1391" t="s">
        <v>35</v>
      </c>
      <c r="W1391" t="s">
        <v>165</v>
      </c>
      <c r="X1391" t="s">
        <v>34</v>
      </c>
      <c r="Y1391" t="s">
        <v>166</v>
      </c>
      <c r="Z1391" t="s">
        <v>3372</v>
      </c>
      <c r="AA1391" t="s">
        <v>38</v>
      </c>
    </row>
    <row r="1392" spans="1:27" hidden="1">
      <c r="A1392" t="s">
        <v>4920</v>
      </c>
      <c r="B1392" t="s">
        <v>4921</v>
      </c>
      <c r="C1392" t="e">
        <f>VLOOKUP(B1392,Sheet2!$A$2:$A$392,1,0)</f>
        <v>#N/A</v>
      </c>
      <c r="E1392" t="s">
        <v>40</v>
      </c>
      <c r="I1392" t="s">
        <v>42</v>
      </c>
      <c r="J1392" s="2">
        <v>30</v>
      </c>
      <c r="K1392" s="3">
        <v>21.51</v>
      </c>
      <c r="L1392" s="2">
        <v>100</v>
      </c>
      <c r="P1392" t="s">
        <v>4922</v>
      </c>
      <c r="S1392" t="s">
        <v>33</v>
      </c>
      <c r="X1392" t="s">
        <v>34</v>
      </c>
      <c r="Y1392" t="s">
        <v>96</v>
      </c>
      <c r="Z1392" t="s">
        <v>4923</v>
      </c>
      <c r="AA1392" t="s">
        <v>38</v>
      </c>
    </row>
    <row r="1393" spans="1:27" hidden="1">
      <c r="A1393" t="s">
        <v>4924</v>
      </c>
      <c r="B1393" t="s">
        <v>4925</v>
      </c>
      <c r="C1393" t="e">
        <f>VLOOKUP(B1393,Sheet2!$A$2:$A$392,1,0)</f>
        <v>#N/A</v>
      </c>
      <c r="E1393" t="s">
        <v>27</v>
      </c>
      <c r="F1393" t="s">
        <v>41</v>
      </c>
      <c r="G1393" t="s">
        <v>158</v>
      </c>
      <c r="J1393" s="2">
        <v>2750</v>
      </c>
      <c r="K1393">
        <v>73.599999999999994</v>
      </c>
      <c r="L1393" s="2">
        <v>1382</v>
      </c>
      <c r="P1393" t="s">
        <v>4926</v>
      </c>
      <c r="R1393" t="s">
        <v>32</v>
      </c>
      <c r="S1393" t="s">
        <v>33</v>
      </c>
      <c r="U1393" t="s">
        <v>35</v>
      </c>
      <c r="W1393" t="s">
        <v>63</v>
      </c>
      <c r="X1393" t="s">
        <v>34</v>
      </c>
      <c r="Y1393" t="s">
        <v>64</v>
      </c>
      <c r="Z1393" t="s">
        <v>4927</v>
      </c>
      <c r="AA1393" t="s">
        <v>38</v>
      </c>
    </row>
    <row r="1394" spans="1:27">
      <c r="A1394" t="s">
        <v>4928</v>
      </c>
      <c r="B1394" t="s">
        <v>4929</v>
      </c>
      <c r="C1394" t="str">
        <f>VLOOKUP(B1394,Sheet2!$A$2:$A$392,1,0)</f>
        <v>SABUK NUSANTARA 37</v>
      </c>
      <c r="E1394" t="s">
        <v>2318</v>
      </c>
      <c r="F1394" t="s">
        <v>41</v>
      </c>
      <c r="G1394" t="s">
        <v>2067</v>
      </c>
      <c r="I1394" t="s">
        <v>42</v>
      </c>
      <c r="J1394" s="2">
        <v>1308</v>
      </c>
      <c r="K1394" s="2">
        <v>63</v>
      </c>
      <c r="L1394" s="2">
        <v>1202</v>
      </c>
      <c r="P1394" t="s">
        <v>4930</v>
      </c>
      <c r="R1394" t="s">
        <v>42</v>
      </c>
      <c r="S1394" t="s">
        <v>33</v>
      </c>
      <c r="T1394" t="s">
        <v>106</v>
      </c>
      <c r="U1394" t="s">
        <v>44</v>
      </c>
      <c r="W1394" t="s">
        <v>518</v>
      </c>
      <c r="X1394" t="s">
        <v>34</v>
      </c>
      <c r="Y1394" t="s">
        <v>519</v>
      </c>
      <c r="Z1394" t="s">
        <v>4931</v>
      </c>
      <c r="AA1394" t="s">
        <v>38</v>
      </c>
    </row>
    <row r="1395" spans="1:27" hidden="1">
      <c r="A1395" t="s">
        <v>4932</v>
      </c>
      <c r="B1395" t="s">
        <v>4933</v>
      </c>
      <c r="C1395" t="e">
        <f>VLOOKUP(B1395,Sheet2!$A$2:$A$392,1,0)</f>
        <v>#N/A</v>
      </c>
      <c r="E1395" t="s">
        <v>249</v>
      </c>
      <c r="G1395" t="s">
        <v>336</v>
      </c>
      <c r="I1395" t="s">
        <v>42</v>
      </c>
      <c r="J1395" s="2">
        <v>33891</v>
      </c>
      <c r="K1395" s="3">
        <v>208.29</v>
      </c>
      <c r="L1395" s="2">
        <v>25709</v>
      </c>
      <c r="P1395" t="s">
        <v>4934</v>
      </c>
      <c r="S1395" t="s">
        <v>33</v>
      </c>
      <c r="X1395" t="s">
        <v>34</v>
      </c>
      <c r="AA1395" t="s">
        <v>38</v>
      </c>
    </row>
    <row r="1396" spans="1:27" hidden="1">
      <c r="A1396" t="s">
        <v>4935</v>
      </c>
      <c r="B1396" t="s">
        <v>4936</v>
      </c>
      <c r="C1396" t="e">
        <f>VLOOKUP(B1396,Sheet2!$A$2:$A$392,1,0)</f>
        <v>#N/A</v>
      </c>
      <c r="E1396" t="s">
        <v>249</v>
      </c>
      <c r="G1396" t="s">
        <v>336</v>
      </c>
      <c r="I1396" t="s">
        <v>42</v>
      </c>
      <c r="J1396" s="2">
        <v>33891</v>
      </c>
      <c r="K1396" s="3">
        <v>208.29</v>
      </c>
      <c r="L1396" s="2">
        <v>25709</v>
      </c>
      <c r="P1396" t="s">
        <v>4937</v>
      </c>
      <c r="S1396" t="s">
        <v>33</v>
      </c>
      <c r="X1396" t="s">
        <v>34</v>
      </c>
      <c r="AA1396" t="s">
        <v>38</v>
      </c>
    </row>
    <row r="1397" spans="1:27" hidden="1">
      <c r="A1397" t="s">
        <v>4938</v>
      </c>
      <c r="B1397" t="s">
        <v>4939</v>
      </c>
      <c r="C1397" t="e">
        <f>VLOOKUP(B1397,Sheet2!$A$2:$A$392,1,0)</f>
        <v>#N/A</v>
      </c>
      <c r="E1397" t="s">
        <v>27</v>
      </c>
      <c r="F1397" t="s">
        <v>41</v>
      </c>
      <c r="G1397" t="s">
        <v>29</v>
      </c>
      <c r="I1397" t="s">
        <v>42</v>
      </c>
      <c r="J1397" s="2">
        <v>1000</v>
      </c>
      <c r="K1397" s="2">
        <v>57</v>
      </c>
      <c r="L1397" s="2">
        <v>680</v>
      </c>
      <c r="P1397" t="s">
        <v>4940</v>
      </c>
      <c r="R1397" t="s">
        <v>32</v>
      </c>
      <c r="S1397" t="s">
        <v>33</v>
      </c>
      <c r="T1397" t="s">
        <v>34</v>
      </c>
      <c r="U1397" t="s">
        <v>35</v>
      </c>
      <c r="X1397" t="s">
        <v>34</v>
      </c>
      <c r="Y1397" t="s">
        <v>45</v>
      </c>
      <c r="Z1397" t="s">
        <v>4941</v>
      </c>
      <c r="AA1397" t="s">
        <v>38</v>
      </c>
    </row>
    <row r="1398" spans="1:27" hidden="1">
      <c r="A1398" t="s">
        <v>4942</v>
      </c>
      <c r="B1398" t="s">
        <v>4943</v>
      </c>
      <c r="C1398" t="e">
        <f>VLOOKUP(B1398,Sheet2!$A$2:$A$392,1,0)</f>
        <v>#N/A</v>
      </c>
      <c r="E1398" t="s">
        <v>40</v>
      </c>
      <c r="F1398" t="s">
        <v>41</v>
      </c>
      <c r="G1398" t="s">
        <v>59</v>
      </c>
      <c r="I1398" t="s">
        <v>42</v>
      </c>
      <c r="J1398" s="2">
        <v>8000</v>
      </c>
      <c r="K1398" s="3">
        <v>87.78</v>
      </c>
      <c r="L1398" s="2">
        <v>3551</v>
      </c>
      <c r="O1398" t="s">
        <v>61</v>
      </c>
      <c r="P1398" t="s">
        <v>4944</v>
      </c>
      <c r="R1398" t="s">
        <v>42</v>
      </c>
      <c r="S1398" t="s">
        <v>33</v>
      </c>
      <c r="T1398" t="s">
        <v>34</v>
      </c>
      <c r="U1398" t="s">
        <v>44</v>
      </c>
      <c r="W1398" t="s">
        <v>63</v>
      </c>
      <c r="X1398" t="s">
        <v>34</v>
      </c>
      <c r="Y1398" t="s">
        <v>64</v>
      </c>
      <c r="Z1398" t="s">
        <v>4945</v>
      </c>
      <c r="AA1398" t="s">
        <v>38</v>
      </c>
    </row>
    <row r="1399" spans="1:27" hidden="1">
      <c r="A1399" t="s">
        <v>4946</v>
      </c>
      <c r="B1399" t="s">
        <v>4947</v>
      </c>
      <c r="C1399" t="e">
        <f>VLOOKUP(B1399,Sheet2!$A$2:$A$392,1,0)</f>
        <v>#N/A</v>
      </c>
      <c r="E1399" t="s">
        <v>1063</v>
      </c>
      <c r="G1399" t="s">
        <v>3473</v>
      </c>
      <c r="I1399" t="s">
        <v>42</v>
      </c>
      <c r="J1399" s="2">
        <v>10707</v>
      </c>
      <c r="K1399" s="3">
        <v>141.75</v>
      </c>
      <c r="L1399" s="2">
        <v>10707</v>
      </c>
      <c r="P1399" t="s">
        <v>4948</v>
      </c>
      <c r="S1399" t="s">
        <v>33</v>
      </c>
      <c r="X1399" t="s">
        <v>34</v>
      </c>
      <c r="AA1399" t="s">
        <v>38</v>
      </c>
    </row>
    <row r="1400" spans="1:27" hidden="1">
      <c r="A1400" t="s">
        <v>4949</v>
      </c>
      <c r="B1400" t="s">
        <v>4950</v>
      </c>
      <c r="C1400" t="e">
        <f>VLOOKUP(B1400,Sheet2!$A$2:$A$392,1,0)</f>
        <v>#N/A</v>
      </c>
      <c r="E1400" t="s">
        <v>72</v>
      </c>
      <c r="G1400" t="s">
        <v>2046</v>
      </c>
      <c r="I1400" t="s">
        <v>42</v>
      </c>
      <c r="J1400" s="2">
        <v>1603</v>
      </c>
      <c r="K1400">
        <v>76.2</v>
      </c>
      <c r="L1400" s="2">
        <v>1790</v>
      </c>
      <c r="P1400" t="s">
        <v>74</v>
      </c>
      <c r="S1400" t="s">
        <v>33</v>
      </c>
      <c r="X1400" t="s">
        <v>34</v>
      </c>
      <c r="AA1400" t="s">
        <v>38</v>
      </c>
    </row>
    <row r="1401" spans="1:27">
      <c r="A1401" t="s">
        <v>4951</v>
      </c>
      <c r="B1401" t="s">
        <v>4952</v>
      </c>
      <c r="C1401" t="str">
        <f>VLOOKUP(B1401,Sheet2!$A$2:$A$392,1,0)</f>
        <v>MV. STAR ROYAL</v>
      </c>
      <c r="E1401" t="s">
        <v>52</v>
      </c>
      <c r="F1401" t="s">
        <v>28</v>
      </c>
      <c r="G1401" t="s">
        <v>151</v>
      </c>
      <c r="J1401" s="2">
        <v>52055</v>
      </c>
      <c r="K1401">
        <v>189.9</v>
      </c>
      <c r="L1401" s="2">
        <v>29499</v>
      </c>
      <c r="N1401" s="2">
        <v>11</v>
      </c>
      <c r="O1401" t="s">
        <v>152</v>
      </c>
      <c r="P1401" t="s">
        <v>4039</v>
      </c>
      <c r="R1401" t="s">
        <v>60</v>
      </c>
      <c r="S1401" t="s">
        <v>33</v>
      </c>
      <c r="U1401" t="s">
        <v>35</v>
      </c>
      <c r="V1401" s="2">
        <v>5</v>
      </c>
      <c r="X1401" t="s">
        <v>34</v>
      </c>
      <c r="Y1401" t="s">
        <v>154</v>
      </c>
      <c r="Z1401" t="s">
        <v>4953</v>
      </c>
      <c r="AA1401" t="s">
        <v>38</v>
      </c>
    </row>
    <row r="1402" spans="1:27" hidden="1">
      <c r="A1402" t="s">
        <v>4954</v>
      </c>
      <c r="B1402" t="s">
        <v>4955</v>
      </c>
      <c r="C1402" t="e">
        <f>VLOOKUP(B1402,Sheet2!$A$2:$A$392,1,0)</f>
        <v>#N/A</v>
      </c>
      <c r="E1402" t="s">
        <v>93</v>
      </c>
      <c r="G1402" t="s">
        <v>1301</v>
      </c>
      <c r="I1402" t="s">
        <v>42</v>
      </c>
      <c r="J1402" s="2">
        <v>500</v>
      </c>
      <c r="K1402">
        <v>50.6</v>
      </c>
      <c r="L1402" s="2">
        <v>315</v>
      </c>
      <c r="P1402" t="s">
        <v>4956</v>
      </c>
      <c r="S1402" t="s">
        <v>33</v>
      </c>
      <c r="X1402" t="s">
        <v>34</v>
      </c>
      <c r="AA1402" t="s">
        <v>38</v>
      </c>
    </row>
    <row r="1403" spans="1:27" hidden="1">
      <c r="A1403" t="s">
        <v>4957</v>
      </c>
      <c r="B1403" t="s">
        <v>4958</v>
      </c>
      <c r="C1403" t="e">
        <f>VLOOKUP(B1403,Sheet2!$A$2:$A$392,1,0)</f>
        <v>#N/A</v>
      </c>
      <c r="E1403" t="s">
        <v>27</v>
      </c>
      <c r="F1403" t="s">
        <v>41</v>
      </c>
      <c r="G1403" t="s">
        <v>29</v>
      </c>
      <c r="I1403" t="s">
        <v>42</v>
      </c>
      <c r="J1403" s="2">
        <v>5231</v>
      </c>
      <c r="K1403" s="2">
        <v>96</v>
      </c>
      <c r="L1403" s="2">
        <v>2989</v>
      </c>
      <c r="P1403" t="s">
        <v>2389</v>
      </c>
      <c r="R1403" t="s">
        <v>581</v>
      </c>
      <c r="S1403" t="s">
        <v>33</v>
      </c>
      <c r="T1403" t="s">
        <v>34</v>
      </c>
      <c r="U1403" t="s">
        <v>35</v>
      </c>
      <c r="X1403" t="s">
        <v>34</v>
      </c>
      <c r="Y1403" t="s">
        <v>45</v>
      </c>
      <c r="Z1403" t="s">
        <v>4959</v>
      </c>
      <c r="AA1403" t="s">
        <v>38</v>
      </c>
    </row>
    <row r="1404" spans="1:27" hidden="1">
      <c r="A1404" t="s">
        <v>4960</v>
      </c>
      <c r="B1404" t="s">
        <v>4961</v>
      </c>
      <c r="C1404" t="e">
        <f>VLOOKUP(B1404,Sheet2!$A$2:$A$392,1,0)</f>
        <v>#N/A</v>
      </c>
      <c r="E1404" t="s">
        <v>52</v>
      </c>
      <c r="F1404" t="s">
        <v>41</v>
      </c>
      <c r="G1404" t="s">
        <v>29</v>
      </c>
      <c r="I1404" t="s">
        <v>42</v>
      </c>
      <c r="J1404" s="2">
        <v>1300</v>
      </c>
      <c r="K1404" s="2">
        <v>58</v>
      </c>
      <c r="L1404" s="2">
        <v>1089</v>
      </c>
      <c r="P1404" s="2">
        <v>1234</v>
      </c>
      <c r="R1404" t="s">
        <v>42</v>
      </c>
      <c r="S1404" t="s">
        <v>33</v>
      </c>
      <c r="T1404" t="s">
        <v>106</v>
      </c>
      <c r="U1404" t="s">
        <v>35</v>
      </c>
      <c r="X1404" t="s">
        <v>34</v>
      </c>
      <c r="Y1404" t="s">
        <v>142</v>
      </c>
      <c r="Z1404" t="s">
        <v>4962</v>
      </c>
      <c r="AA1404" t="s">
        <v>38</v>
      </c>
    </row>
    <row r="1405" spans="1:27" hidden="1">
      <c r="A1405" t="s">
        <v>4963</v>
      </c>
      <c r="B1405" t="s">
        <v>4964</v>
      </c>
      <c r="C1405" t="e">
        <f>VLOOKUP(B1405,Sheet2!$A$2:$A$392,1,0)</f>
        <v>#N/A</v>
      </c>
      <c r="E1405" t="s">
        <v>170</v>
      </c>
      <c r="I1405" t="s">
        <v>42</v>
      </c>
      <c r="J1405" s="2">
        <v>16945</v>
      </c>
      <c r="K1405" s="3">
        <v>144.47</v>
      </c>
      <c r="L1405" s="2">
        <v>11243</v>
      </c>
      <c r="P1405" t="s">
        <v>4965</v>
      </c>
      <c r="S1405" t="s">
        <v>33</v>
      </c>
      <c r="X1405" t="s">
        <v>34</v>
      </c>
      <c r="AA1405" t="s">
        <v>38</v>
      </c>
    </row>
    <row r="1406" spans="1:27" hidden="1">
      <c r="A1406" t="s">
        <v>4966</v>
      </c>
      <c r="B1406" t="s">
        <v>4967</v>
      </c>
      <c r="C1406" t="e">
        <f>VLOOKUP(B1406,Sheet2!$A$2:$A$392,1,0)</f>
        <v>#N/A</v>
      </c>
      <c r="E1406" t="s">
        <v>27</v>
      </c>
      <c r="F1406" t="s">
        <v>41</v>
      </c>
      <c r="G1406" t="s">
        <v>29</v>
      </c>
      <c r="J1406" s="2">
        <v>210</v>
      </c>
      <c r="K1406" s="2">
        <v>50</v>
      </c>
      <c r="L1406" s="2">
        <v>150</v>
      </c>
      <c r="P1406" t="s">
        <v>4966</v>
      </c>
      <c r="Q1406" t="s">
        <v>34</v>
      </c>
      <c r="R1406" t="s">
        <v>42</v>
      </c>
      <c r="S1406" t="s">
        <v>33</v>
      </c>
      <c r="U1406" t="s">
        <v>35</v>
      </c>
      <c r="X1406" t="s">
        <v>34</v>
      </c>
      <c r="Y1406" t="s">
        <v>45</v>
      </c>
      <c r="Z1406" t="s">
        <v>4968</v>
      </c>
      <c r="AA1406" t="s">
        <v>38</v>
      </c>
    </row>
    <row r="1407" spans="1:27" hidden="1">
      <c r="A1407" t="s">
        <v>4969</v>
      </c>
      <c r="B1407" t="s">
        <v>4970</v>
      </c>
      <c r="C1407" t="e">
        <f>VLOOKUP(B1407,Sheet2!$A$2:$A$392,1,0)</f>
        <v>#N/A</v>
      </c>
      <c r="E1407" t="s">
        <v>170</v>
      </c>
      <c r="I1407" t="s">
        <v>42</v>
      </c>
      <c r="J1407" s="2">
        <v>16989</v>
      </c>
      <c r="K1407" s="3">
        <v>145.15</v>
      </c>
      <c r="L1407" s="2">
        <v>11248</v>
      </c>
      <c r="P1407" t="s">
        <v>4971</v>
      </c>
      <c r="S1407" t="s">
        <v>33</v>
      </c>
      <c r="X1407" t="s">
        <v>34</v>
      </c>
      <c r="AA1407" t="s">
        <v>38</v>
      </c>
    </row>
    <row r="1408" spans="1:27" hidden="1">
      <c r="A1408" t="s">
        <v>4972</v>
      </c>
      <c r="B1408" t="s">
        <v>4973</v>
      </c>
      <c r="C1408" t="e">
        <f>VLOOKUP(B1408,Sheet2!$A$2:$A$392,1,0)</f>
        <v>#N/A</v>
      </c>
      <c r="E1408" t="s">
        <v>27</v>
      </c>
      <c r="G1408" t="s">
        <v>4974</v>
      </c>
      <c r="I1408" t="s">
        <v>42</v>
      </c>
      <c r="J1408" s="2">
        <v>1</v>
      </c>
      <c r="K1408" s="2">
        <v>64</v>
      </c>
      <c r="L1408" s="2">
        <v>1035</v>
      </c>
      <c r="P1408" t="s">
        <v>4975</v>
      </c>
      <c r="S1408" t="s">
        <v>33</v>
      </c>
      <c r="X1408" t="s">
        <v>34</v>
      </c>
      <c r="AA1408" t="s">
        <v>38</v>
      </c>
    </row>
    <row r="1409" spans="1:27" hidden="1">
      <c r="A1409" t="s">
        <v>4976</v>
      </c>
      <c r="B1409" t="s">
        <v>4977</v>
      </c>
      <c r="C1409" t="e">
        <f>VLOOKUP(B1409,Sheet2!$A$2:$A$392,1,0)</f>
        <v>#N/A</v>
      </c>
      <c r="E1409" t="s">
        <v>27</v>
      </c>
      <c r="F1409" t="s">
        <v>41</v>
      </c>
      <c r="G1409" t="s">
        <v>29</v>
      </c>
      <c r="I1409" t="s">
        <v>42</v>
      </c>
      <c r="J1409" s="2">
        <v>1200</v>
      </c>
      <c r="K1409" s="2">
        <v>58</v>
      </c>
      <c r="L1409" s="2">
        <v>683</v>
      </c>
      <c r="P1409" t="s">
        <v>4978</v>
      </c>
      <c r="R1409" t="s">
        <v>32</v>
      </c>
      <c r="S1409" t="s">
        <v>33</v>
      </c>
      <c r="T1409" t="s">
        <v>34</v>
      </c>
      <c r="U1409" t="s">
        <v>35</v>
      </c>
      <c r="X1409" t="s">
        <v>34</v>
      </c>
      <c r="Y1409" t="s">
        <v>45</v>
      </c>
      <c r="Z1409" t="s">
        <v>4979</v>
      </c>
      <c r="AA1409" t="s">
        <v>38</v>
      </c>
    </row>
    <row r="1410" spans="1:27" hidden="1">
      <c r="A1410" t="s">
        <v>4980</v>
      </c>
      <c r="B1410" t="s">
        <v>4981</v>
      </c>
      <c r="C1410" t="e">
        <f>VLOOKUP(B1410,Sheet2!$A$2:$A$392,1,0)</f>
        <v>#N/A</v>
      </c>
      <c r="E1410" t="s">
        <v>52</v>
      </c>
      <c r="F1410" t="s">
        <v>28</v>
      </c>
      <c r="G1410" t="s">
        <v>151</v>
      </c>
      <c r="J1410" s="2">
        <v>53742</v>
      </c>
      <c r="K1410" s="2">
        <v>189</v>
      </c>
      <c r="L1410" s="2">
        <v>29989</v>
      </c>
      <c r="O1410" t="s">
        <v>61</v>
      </c>
      <c r="P1410" t="s">
        <v>4682</v>
      </c>
      <c r="R1410" t="s">
        <v>60</v>
      </c>
      <c r="S1410" t="s">
        <v>33</v>
      </c>
      <c r="U1410" t="s">
        <v>35</v>
      </c>
      <c r="X1410" t="s">
        <v>34</v>
      </c>
      <c r="Y1410" t="s">
        <v>154</v>
      </c>
      <c r="Z1410" t="s">
        <v>4982</v>
      </c>
      <c r="AA1410" t="s">
        <v>38</v>
      </c>
    </row>
    <row r="1411" spans="1:27" hidden="1">
      <c r="A1411" t="s">
        <v>4983</v>
      </c>
      <c r="B1411" t="s">
        <v>4984</v>
      </c>
      <c r="C1411" t="e">
        <f>VLOOKUP(B1411,Sheet2!$A$2:$A$392,1,0)</f>
        <v>#N/A</v>
      </c>
      <c r="E1411" t="s">
        <v>170</v>
      </c>
      <c r="I1411" t="s">
        <v>42</v>
      </c>
      <c r="J1411" s="2">
        <v>17428</v>
      </c>
      <c r="K1411" s="3">
        <v>70.95</v>
      </c>
      <c r="L1411" s="2">
        <v>986</v>
      </c>
      <c r="P1411" t="s">
        <v>174</v>
      </c>
      <c r="S1411" t="s">
        <v>33</v>
      </c>
      <c r="X1411" t="s">
        <v>34</v>
      </c>
      <c r="AA1411" t="s">
        <v>38</v>
      </c>
    </row>
    <row r="1412" spans="1:27" hidden="1">
      <c r="A1412" t="s">
        <v>4985</v>
      </c>
      <c r="B1412" t="s">
        <v>4986</v>
      </c>
      <c r="C1412" t="e">
        <f>VLOOKUP(B1412,Sheet2!$A$2:$A$392,1,0)</f>
        <v>#N/A</v>
      </c>
      <c r="E1412" t="s">
        <v>72</v>
      </c>
      <c r="G1412" t="s">
        <v>125</v>
      </c>
      <c r="I1412" t="s">
        <v>42</v>
      </c>
      <c r="J1412" s="2">
        <v>1990</v>
      </c>
      <c r="K1412">
        <v>70.099999999999994</v>
      </c>
      <c r="L1412" s="2">
        <v>1990</v>
      </c>
      <c r="P1412" t="s">
        <v>74</v>
      </c>
      <c r="S1412" t="s">
        <v>33</v>
      </c>
      <c r="X1412" t="s">
        <v>34</v>
      </c>
      <c r="AA1412" t="s">
        <v>38</v>
      </c>
    </row>
    <row r="1413" spans="1:27" hidden="1">
      <c r="A1413" t="s">
        <v>4987</v>
      </c>
      <c r="B1413" t="s">
        <v>4988</v>
      </c>
      <c r="C1413" t="e">
        <f>VLOOKUP(B1413,Sheet2!$A$2:$A$392,1,0)</f>
        <v>#N/A</v>
      </c>
      <c r="E1413" t="s">
        <v>27</v>
      </c>
      <c r="F1413" t="s">
        <v>41</v>
      </c>
      <c r="G1413" t="s">
        <v>29</v>
      </c>
      <c r="J1413" s="2">
        <v>2146</v>
      </c>
      <c r="K1413">
        <v>69.900000000000006</v>
      </c>
      <c r="L1413" s="2">
        <v>1073</v>
      </c>
      <c r="P1413" t="s">
        <v>4989</v>
      </c>
      <c r="R1413" t="s">
        <v>32</v>
      </c>
      <c r="S1413" t="s">
        <v>33</v>
      </c>
      <c r="U1413" t="s">
        <v>35</v>
      </c>
      <c r="W1413" t="s">
        <v>165</v>
      </c>
      <c r="X1413" t="s">
        <v>34</v>
      </c>
      <c r="Y1413" t="s">
        <v>166</v>
      </c>
      <c r="Z1413" t="s">
        <v>4990</v>
      </c>
      <c r="AA1413" t="s">
        <v>38</v>
      </c>
    </row>
    <row r="1414" spans="1:27" hidden="1">
      <c r="A1414" t="s">
        <v>4991</v>
      </c>
      <c r="B1414" t="s">
        <v>4992</v>
      </c>
      <c r="C1414" t="e">
        <f>VLOOKUP(B1414,Sheet2!$A$2:$A$392,1,0)</f>
        <v>#N/A</v>
      </c>
      <c r="E1414" t="s">
        <v>40</v>
      </c>
      <c r="F1414" t="s">
        <v>41</v>
      </c>
      <c r="G1414" t="s">
        <v>29</v>
      </c>
      <c r="I1414" t="s">
        <v>42</v>
      </c>
      <c r="J1414" s="2">
        <v>8000</v>
      </c>
      <c r="K1414" s="2">
        <v>91</v>
      </c>
      <c r="L1414" s="2">
        <v>3485</v>
      </c>
      <c r="P1414" t="s">
        <v>4993</v>
      </c>
      <c r="R1414" t="s">
        <v>42</v>
      </c>
      <c r="S1414" t="s">
        <v>33</v>
      </c>
      <c r="T1414" t="s">
        <v>34</v>
      </c>
      <c r="U1414" t="s">
        <v>44</v>
      </c>
      <c r="X1414" t="s">
        <v>34</v>
      </c>
      <c r="Y1414" t="s">
        <v>45</v>
      </c>
      <c r="Z1414" t="s">
        <v>4994</v>
      </c>
      <c r="AA1414" t="s">
        <v>38</v>
      </c>
    </row>
    <row r="1415" spans="1:27" hidden="1">
      <c r="A1415" t="s">
        <v>4995</v>
      </c>
      <c r="B1415" t="s">
        <v>4996</v>
      </c>
      <c r="C1415" t="e">
        <f>VLOOKUP(B1415,Sheet2!$A$2:$A$392,1,0)</f>
        <v>#N/A</v>
      </c>
      <c r="E1415" t="s">
        <v>27</v>
      </c>
      <c r="I1415" t="s">
        <v>42</v>
      </c>
      <c r="J1415" s="2">
        <v>3582</v>
      </c>
      <c r="K1415" s="3">
        <v>89.98</v>
      </c>
      <c r="L1415" s="2">
        <v>2670</v>
      </c>
      <c r="P1415" t="s">
        <v>4997</v>
      </c>
      <c r="S1415" t="s">
        <v>33</v>
      </c>
      <c r="X1415" t="s">
        <v>34</v>
      </c>
      <c r="AA1415" t="s">
        <v>38</v>
      </c>
    </row>
    <row r="1416" spans="1:27" hidden="1">
      <c r="A1416" t="s">
        <v>4998</v>
      </c>
      <c r="B1416" t="s">
        <v>4999</v>
      </c>
      <c r="C1416" t="e">
        <f>VLOOKUP(B1416,Sheet2!$A$2:$A$392,1,0)</f>
        <v>#N/A</v>
      </c>
      <c r="E1416" t="s">
        <v>27</v>
      </c>
      <c r="F1416" t="s">
        <v>41</v>
      </c>
      <c r="G1416" t="s">
        <v>29</v>
      </c>
      <c r="J1416" s="2">
        <v>1650</v>
      </c>
      <c r="K1416">
        <v>69.900000000000006</v>
      </c>
      <c r="L1416" s="2">
        <v>1073</v>
      </c>
      <c r="M1416" s="2">
        <v>1000</v>
      </c>
      <c r="N1416">
        <v>5.2</v>
      </c>
      <c r="P1416" t="s">
        <v>4989</v>
      </c>
      <c r="R1416" t="s">
        <v>42</v>
      </c>
      <c r="S1416" t="s">
        <v>33</v>
      </c>
      <c r="U1416" t="s">
        <v>35</v>
      </c>
      <c r="V1416" s="2">
        <v>2</v>
      </c>
      <c r="W1416" t="s">
        <v>165</v>
      </c>
      <c r="X1416" t="s">
        <v>34</v>
      </c>
      <c r="Y1416" t="s">
        <v>166</v>
      </c>
      <c r="Z1416" t="s">
        <v>5000</v>
      </c>
      <c r="AA1416" t="s">
        <v>38</v>
      </c>
    </row>
    <row r="1417" spans="1:27" hidden="1">
      <c r="A1417" t="s">
        <v>5001</v>
      </c>
      <c r="B1417" t="s">
        <v>5002</v>
      </c>
      <c r="C1417" t="e">
        <f>VLOOKUP(B1417,Sheet2!$A$2:$A$392,1,0)</f>
        <v>#N/A</v>
      </c>
      <c r="E1417" t="s">
        <v>52</v>
      </c>
      <c r="F1417" t="s">
        <v>28</v>
      </c>
      <c r="G1417" t="s">
        <v>59</v>
      </c>
      <c r="I1417" t="s">
        <v>60</v>
      </c>
      <c r="J1417">
        <v>48.265000000000001</v>
      </c>
      <c r="K1417" s="3">
        <v>189.33</v>
      </c>
      <c r="L1417" s="2">
        <v>26612</v>
      </c>
      <c r="O1417" t="s">
        <v>61</v>
      </c>
      <c r="P1417" t="s">
        <v>2768</v>
      </c>
      <c r="R1417" t="s">
        <v>60</v>
      </c>
      <c r="S1417" t="s">
        <v>33</v>
      </c>
      <c r="T1417" t="s">
        <v>34</v>
      </c>
      <c r="U1417" t="s">
        <v>44</v>
      </c>
      <c r="W1417" t="s">
        <v>63</v>
      </c>
      <c r="X1417" t="s">
        <v>34</v>
      </c>
      <c r="Y1417" t="s">
        <v>64</v>
      </c>
      <c r="Z1417" t="s">
        <v>5003</v>
      </c>
      <c r="AA1417" t="s">
        <v>38</v>
      </c>
    </row>
    <row r="1418" spans="1:27" hidden="1">
      <c r="A1418" t="s">
        <v>5004</v>
      </c>
      <c r="B1418" t="s">
        <v>5005</v>
      </c>
      <c r="C1418" t="e">
        <f>VLOOKUP(B1418,Sheet2!$A$2:$A$392,1,0)</f>
        <v>#N/A</v>
      </c>
      <c r="E1418" t="s">
        <v>27</v>
      </c>
      <c r="F1418" t="s">
        <v>41</v>
      </c>
      <c r="G1418" t="s">
        <v>29</v>
      </c>
      <c r="I1418" t="s">
        <v>42</v>
      </c>
      <c r="J1418" s="2">
        <v>5002</v>
      </c>
      <c r="K1418" s="2">
        <v>106</v>
      </c>
      <c r="L1418" s="2">
        <v>3199</v>
      </c>
      <c r="M1418" s="2">
        <v>1765</v>
      </c>
      <c r="P1418" t="s">
        <v>5006</v>
      </c>
      <c r="R1418" t="s">
        <v>581</v>
      </c>
      <c r="S1418" t="s">
        <v>33</v>
      </c>
      <c r="T1418" t="s">
        <v>34</v>
      </c>
      <c r="U1418" t="s">
        <v>35</v>
      </c>
      <c r="X1418" t="s">
        <v>34</v>
      </c>
      <c r="Y1418" t="s">
        <v>45</v>
      </c>
      <c r="Z1418" t="s">
        <v>5007</v>
      </c>
      <c r="AA1418" t="s">
        <v>38</v>
      </c>
    </row>
    <row r="1419" spans="1:27" hidden="1">
      <c r="A1419" t="s">
        <v>5008</v>
      </c>
      <c r="B1419" t="s">
        <v>5009</v>
      </c>
      <c r="C1419" t="e">
        <f>VLOOKUP(B1419,Sheet2!$A$2:$A$392,1,0)</f>
        <v>#N/A</v>
      </c>
      <c r="E1419" t="s">
        <v>40</v>
      </c>
      <c r="G1419" t="s">
        <v>831</v>
      </c>
      <c r="I1419" t="s">
        <v>42</v>
      </c>
      <c r="J1419" s="2">
        <v>800</v>
      </c>
      <c r="K1419" s="3">
        <v>28.35</v>
      </c>
      <c r="L1419" s="2">
        <v>212</v>
      </c>
      <c r="P1419" t="s">
        <v>5010</v>
      </c>
      <c r="S1419" t="s">
        <v>33</v>
      </c>
      <c r="X1419" t="s">
        <v>34</v>
      </c>
      <c r="AA1419" t="s">
        <v>38</v>
      </c>
    </row>
    <row r="1420" spans="1:27" hidden="1">
      <c r="A1420" t="s">
        <v>5011</v>
      </c>
      <c r="B1420" t="s">
        <v>5012</v>
      </c>
      <c r="C1420" t="e">
        <f>VLOOKUP(B1420,Sheet2!$A$2:$A$392,1,0)</f>
        <v>#N/A</v>
      </c>
      <c r="E1420" t="s">
        <v>72</v>
      </c>
      <c r="G1420" t="s">
        <v>831</v>
      </c>
      <c r="I1420" t="s">
        <v>42</v>
      </c>
      <c r="J1420" s="2">
        <v>5000</v>
      </c>
      <c r="K1420" s="3">
        <v>91.44</v>
      </c>
      <c r="L1420" s="2">
        <v>3476</v>
      </c>
      <c r="P1420" t="s">
        <v>74</v>
      </c>
      <c r="S1420" t="s">
        <v>33</v>
      </c>
      <c r="X1420" t="s">
        <v>34</v>
      </c>
      <c r="AA1420" t="s">
        <v>38</v>
      </c>
    </row>
    <row r="1421" spans="1:27" hidden="1">
      <c r="A1421" t="s">
        <v>5013</v>
      </c>
      <c r="B1421" t="s">
        <v>5014</v>
      </c>
      <c r="C1421" t="e">
        <f>VLOOKUP(B1421,Sheet2!$A$2:$A$392,1,0)</f>
        <v>#N/A</v>
      </c>
      <c r="E1421" t="s">
        <v>40</v>
      </c>
      <c r="G1421" t="s">
        <v>427</v>
      </c>
      <c r="I1421" t="s">
        <v>42</v>
      </c>
      <c r="J1421" s="2">
        <v>56</v>
      </c>
      <c r="K1421" s="2">
        <v>26</v>
      </c>
      <c r="L1421" s="2">
        <v>184</v>
      </c>
      <c r="P1421" t="s">
        <v>5015</v>
      </c>
      <c r="S1421" t="s">
        <v>33</v>
      </c>
      <c r="X1421" t="s">
        <v>34</v>
      </c>
      <c r="Y1421" t="s">
        <v>96</v>
      </c>
      <c r="Z1421" t="s">
        <v>5016</v>
      </c>
      <c r="AA1421" t="s">
        <v>38</v>
      </c>
    </row>
    <row r="1422" spans="1:27" hidden="1">
      <c r="A1422" t="s">
        <v>5017</v>
      </c>
      <c r="B1422" t="s">
        <v>5018</v>
      </c>
      <c r="C1422" t="e">
        <f>VLOOKUP(B1422,Sheet2!$A$2:$A$392,1,0)</f>
        <v>#N/A</v>
      </c>
      <c r="E1422" t="s">
        <v>40</v>
      </c>
      <c r="G1422" t="s">
        <v>89</v>
      </c>
      <c r="I1422" t="s">
        <v>42</v>
      </c>
      <c r="J1422" s="2">
        <v>58</v>
      </c>
      <c r="K1422" s="3">
        <v>26.98</v>
      </c>
      <c r="L1422" s="2">
        <v>191</v>
      </c>
      <c r="P1422" t="s">
        <v>5019</v>
      </c>
      <c r="S1422" t="s">
        <v>33</v>
      </c>
      <c r="X1422" t="s">
        <v>34</v>
      </c>
      <c r="AA1422" t="s">
        <v>38</v>
      </c>
    </row>
    <row r="1423" spans="1:27" hidden="1">
      <c r="A1423" t="s">
        <v>5020</v>
      </c>
      <c r="B1423" t="s">
        <v>5021</v>
      </c>
      <c r="C1423" t="e">
        <f>VLOOKUP(B1423,Sheet2!$A$2:$A$392,1,0)</f>
        <v>#N/A</v>
      </c>
      <c r="E1423" t="s">
        <v>40</v>
      </c>
      <c r="G1423" t="s">
        <v>89</v>
      </c>
      <c r="I1423" t="s">
        <v>42</v>
      </c>
      <c r="J1423" s="2">
        <v>42</v>
      </c>
      <c r="K1423" s="3">
        <v>23.57</v>
      </c>
      <c r="L1423" s="2">
        <v>139</v>
      </c>
      <c r="P1423" t="s">
        <v>5022</v>
      </c>
      <c r="S1423" t="s">
        <v>33</v>
      </c>
      <c r="X1423" t="s">
        <v>34</v>
      </c>
      <c r="AA1423" t="s">
        <v>38</v>
      </c>
    </row>
    <row r="1424" spans="1:27" hidden="1">
      <c r="A1424" t="s">
        <v>5023</v>
      </c>
      <c r="B1424" t="s">
        <v>5024</v>
      </c>
      <c r="C1424" t="e">
        <f>VLOOKUP(B1424,Sheet2!$A$2:$A$392,1,0)</f>
        <v>#N/A</v>
      </c>
      <c r="E1424" t="s">
        <v>40</v>
      </c>
      <c r="F1424" t="s">
        <v>41</v>
      </c>
      <c r="G1424" t="s">
        <v>158</v>
      </c>
      <c r="J1424">
        <v>8.2430000000000003</v>
      </c>
      <c r="K1424" s="3">
        <v>91.44</v>
      </c>
      <c r="L1424" s="2">
        <v>3476</v>
      </c>
      <c r="O1424" t="s">
        <v>159</v>
      </c>
      <c r="P1424" t="s">
        <v>5025</v>
      </c>
      <c r="R1424" t="s">
        <v>32</v>
      </c>
      <c r="S1424" t="s">
        <v>33</v>
      </c>
      <c r="U1424" t="s">
        <v>35</v>
      </c>
      <c r="V1424" s="2">
        <v>0</v>
      </c>
      <c r="X1424" t="s">
        <v>34</v>
      </c>
      <c r="Y1424" t="s">
        <v>5026</v>
      </c>
      <c r="Z1424" t="s">
        <v>5027</v>
      </c>
      <c r="AA1424" t="s">
        <v>38</v>
      </c>
    </row>
    <row r="1425" spans="1:27" hidden="1">
      <c r="A1425" t="s">
        <v>5028</v>
      </c>
      <c r="B1425" t="s">
        <v>5029</v>
      </c>
      <c r="C1425" t="e">
        <f>VLOOKUP(B1425,Sheet2!$A$2:$A$392,1,0)</f>
        <v>#N/A</v>
      </c>
      <c r="E1425" t="s">
        <v>170</v>
      </c>
      <c r="I1425" t="s">
        <v>42</v>
      </c>
      <c r="J1425" s="2">
        <v>6854</v>
      </c>
      <c r="K1425" s="3">
        <v>102.33</v>
      </c>
      <c r="L1425" s="2">
        <v>4725</v>
      </c>
      <c r="P1425" t="s">
        <v>5030</v>
      </c>
      <c r="S1425" t="s">
        <v>33</v>
      </c>
      <c r="X1425" t="s">
        <v>34</v>
      </c>
      <c r="AA1425" t="s">
        <v>38</v>
      </c>
    </row>
    <row r="1426" spans="1:27" hidden="1">
      <c r="A1426" t="s">
        <v>5031</v>
      </c>
      <c r="B1426" t="s">
        <v>2314</v>
      </c>
      <c r="C1426" t="e">
        <f>VLOOKUP(B1426,Sheet2!$A$2:$A$392,1,0)</f>
        <v>#N/A</v>
      </c>
      <c r="E1426" t="s">
        <v>27</v>
      </c>
      <c r="F1426" t="s">
        <v>41</v>
      </c>
      <c r="G1426" t="s">
        <v>847</v>
      </c>
      <c r="J1426" s="2">
        <v>3000</v>
      </c>
      <c r="K1426" s="2">
        <v>81</v>
      </c>
      <c r="L1426" s="2">
        <v>2034</v>
      </c>
      <c r="M1426" s="2">
        <v>2000</v>
      </c>
      <c r="N1426" s="2">
        <v>6</v>
      </c>
      <c r="O1426" t="s">
        <v>61</v>
      </c>
      <c r="P1426" t="s">
        <v>1853</v>
      </c>
      <c r="R1426" t="s">
        <v>42</v>
      </c>
      <c r="S1426" t="s">
        <v>33</v>
      </c>
      <c r="U1426" t="s">
        <v>35</v>
      </c>
      <c r="X1426" t="s">
        <v>34</v>
      </c>
      <c r="Y1426" t="s">
        <v>154</v>
      </c>
      <c r="Z1426" t="s">
        <v>5032</v>
      </c>
      <c r="AA1426" t="s">
        <v>38</v>
      </c>
    </row>
    <row r="1427" spans="1:27">
      <c r="A1427" t="s">
        <v>5033</v>
      </c>
      <c r="B1427" t="s">
        <v>5034</v>
      </c>
      <c r="C1427" t="str">
        <f>VLOOKUP(B1427,Sheet2!$A$2:$A$392,1,0)</f>
        <v>KM. STB 22</v>
      </c>
      <c r="E1427" t="s">
        <v>27</v>
      </c>
      <c r="F1427" t="s">
        <v>41</v>
      </c>
      <c r="G1427" t="s">
        <v>29</v>
      </c>
      <c r="I1427" t="s">
        <v>42</v>
      </c>
      <c r="J1427" s="2">
        <v>3217</v>
      </c>
      <c r="K1427">
        <v>74.3</v>
      </c>
      <c r="L1427" s="2">
        <v>1379</v>
      </c>
      <c r="P1427" t="s">
        <v>5035</v>
      </c>
      <c r="R1427" t="s">
        <v>42</v>
      </c>
      <c r="S1427" t="s">
        <v>33</v>
      </c>
      <c r="T1427" t="s">
        <v>34</v>
      </c>
      <c r="U1427" t="s">
        <v>35</v>
      </c>
      <c r="X1427" t="s">
        <v>34</v>
      </c>
      <c r="Y1427" t="s">
        <v>45</v>
      </c>
      <c r="Z1427" t="s">
        <v>5036</v>
      </c>
      <c r="AA1427" t="s">
        <v>38</v>
      </c>
    </row>
    <row r="1428" spans="1:27">
      <c r="A1428" t="s">
        <v>5037</v>
      </c>
      <c r="B1428" t="s">
        <v>5038</v>
      </c>
      <c r="C1428" t="str">
        <f>VLOOKUP(B1428,Sheet2!$A$2:$A$392,1,0)</f>
        <v>KM. STB 30</v>
      </c>
      <c r="E1428" t="s">
        <v>27</v>
      </c>
      <c r="F1428" t="s">
        <v>41</v>
      </c>
      <c r="G1428" t="s">
        <v>29</v>
      </c>
      <c r="I1428" t="s">
        <v>42</v>
      </c>
      <c r="J1428" s="2">
        <v>3300</v>
      </c>
      <c r="K1428" s="3">
        <v>83.13</v>
      </c>
      <c r="L1428" s="2">
        <v>1956</v>
      </c>
      <c r="P1428" t="s">
        <v>5039</v>
      </c>
      <c r="R1428" t="s">
        <v>32</v>
      </c>
      <c r="S1428" t="s">
        <v>33</v>
      </c>
      <c r="U1428" t="s">
        <v>35</v>
      </c>
      <c r="X1428" t="s">
        <v>34</v>
      </c>
      <c r="Y1428" t="s">
        <v>45</v>
      </c>
      <c r="Z1428" t="s">
        <v>5040</v>
      </c>
      <c r="AA1428" t="s">
        <v>38</v>
      </c>
    </row>
    <row r="1429" spans="1:27">
      <c r="A1429" t="s">
        <v>5041</v>
      </c>
      <c r="B1429" t="s">
        <v>5042</v>
      </c>
      <c r="C1429" t="str">
        <f>VLOOKUP(B1429,Sheet2!$A$2:$A$392,1,0)</f>
        <v>TB. SATRIA LAKSANA 8 / BG. MJL 3016</v>
      </c>
      <c r="E1429" t="s">
        <v>40</v>
      </c>
      <c r="F1429" t="s">
        <v>41</v>
      </c>
      <c r="G1429" t="s">
        <v>29</v>
      </c>
      <c r="I1429" t="s">
        <v>42</v>
      </c>
      <c r="J1429" s="2">
        <v>8000</v>
      </c>
      <c r="K1429" s="2">
        <v>91</v>
      </c>
      <c r="L1429" s="2">
        <v>3304</v>
      </c>
      <c r="P1429" t="s">
        <v>5043</v>
      </c>
      <c r="R1429" t="s">
        <v>42</v>
      </c>
      <c r="S1429" t="s">
        <v>33</v>
      </c>
      <c r="T1429" t="s">
        <v>34</v>
      </c>
      <c r="U1429" t="s">
        <v>35</v>
      </c>
      <c r="X1429" t="s">
        <v>34</v>
      </c>
      <c r="Y1429" t="s">
        <v>45</v>
      </c>
      <c r="Z1429" t="s">
        <v>1452</v>
      </c>
      <c r="AA1429" t="s">
        <v>38</v>
      </c>
    </row>
    <row r="1430" spans="1:27">
      <c r="A1430" t="s">
        <v>5044</v>
      </c>
      <c r="B1430" t="s">
        <v>5045</v>
      </c>
      <c r="C1430" t="str">
        <f>VLOOKUP(B1430,Sheet2!$A$2:$A$392,1,0)</f>
        <v>KM. SJW TRANS</v>
      </c>
      <c r="E1430" t="s">
        <v>27</v>
      </c>
      <c r="F1430" t="s">
        <v>41</v>
      </c>
      <c r="G1430" t="s">
        <v>29</v>
      </c>
      <c r="J1430" s="2">
        <v>4000</v>
      </c>
      <c r="K1430">
        <v>88.4</v>
      </c>
      <c r="L1430" s="2">
        <v>2812</v>
      </c>
      <c r="O1430" t="s">
        <v>482</v>
      </c>
      <c r="P1430" t="s">
        <v>5046</v>
      </c>
      <c r="Q1430" t="s">
        <v>34</v>
      </c>
      <c r="R1430" t="s">
        <v>32</v>
      </c>
      <c r="S1430" t="s">
        <v>33</v>
      </c>
      <c r="U1430" t="s">
        <v>35</v>
      </c>
      <c r="X1430" t="s">
        <v>34</v>
      </c>
      <c r="Y1430" t="s">
        <v>45</v>
      </c>
      <c r="Z1430" t="s">
        <v>5047</v>
      </c>
      <c r="AA1430" t="s">
        <v>38</v>
      </c>
    </row>
    <row r="1431" spans="1:27" hidden="1">
      <c r="A1431" t="s">
        <v>5048</v>
      </c>
      <c r="B1431" t="s">
        <v>5049</v>
      </c>
      <c r="C1431" t="e">
        <f>VLOOKUP(B1431,Sheet2!$A$2:$A$392,1,0)</f>
        <v>#N/A</v>
      </c>
      <c r="E1431" t="s">
        <v>52</v>
      </c>
      <c r="F1431" t="s">
        <v>28</v>
      </c>
      <c r="G1431" t="s">
        <v>59</v>
      </c>
      <c r="I1431" t="s">
        <v>2635</v>
      </c>
      <c r="J1431" s="2">
        <v>67661</v>
      </c>
      <c r="K1431" s="3">
        <v>189.99</v>
      </c>
      <c r="L1431" s="2">
        <v>34258</v>
      </c>
      <c r="O1431" t="s">
        <v>61</v>
      </c>
      <c r="P1431" t="s">
        <v>5050</v>
      </c>
      <c r="R1431" t="s">
        <v>2635</v>
      </c>
      <c r="S1431" t="s">
        <v>33</v>
      </c>
      <c r="T1431" t="s">
        <v>34</v>
      </c>
      <c r="U1431" t="s">
        <v>44</v>
      </c>
      <c r="W1431" t="s">
        <v>63</v>
      </c>
      <c r="X1431" t="s">
        <v>34</v>
      </c>
      <c r="Y1431" t="s">
        <v>64</v>
      </c>
      <c r="Z1431" t="s">
        <v>5051</v>
      </c>
      <c r="AA1431" t="s">
        <v>38</v>
      </c>
    </row>
    <row r="1432" spans="1:27">
      <c r="A1432" t="s">
        <v>5052</v>
      </c>
      <c r="B1432" t="s">
        <v>4671</v>
      </c>
      <c r="C1432" t="str">
        <f>VLOOKUP(B1432,Sheet2!$A$2:$A$392,1,0)</f>
        <v>KM. SENTOSA 207</v>
      </c>
      <c r="E1432" t="s">
        <v>27</v>
      </c>
      <c r="F1432" t="s">
        <v>41</v>
      </c>
      <c r="G1432" t="s">
        <v>158</v>
      </c>
      <c r="J1432" s="2">
        <v>2350</v>
      </c>
      <c r="K1432" s="2">
        <v>75</v>
      </c>
      <c r="L1432" s="2">
        <v>1501</v>
      </c>
      <c r="O1432" t="s">
        <v>159</v>
      </c>
      <c r="P1432" t="s">
        <v>4672</v>
      </c>
      <c r="R1432" t="s">
        <v>32</v>
      </c>
      <c r="S1432" t="s">
        <v>33</v>
      </c>
      <c r="U1432" t="s">
        <v>35</v>
      </c>
      <c r="W1432" t="s">
        <v>63</v>
      </c>
      <c r="X1432" t="s">
        <v>34</v>
      </c>
      <c r="Y1432" t="s">
        <v>64</v>
      </c>
      <c r="Z1432" t="s">
        <v>5053</v>
      </c>
      <c r="AA1432" t="s">
        <v>38</v>
      </c>
    </row>
    <row r="1433" spans="1:27" hidden="1">
      <c r="A1433" t="s">
        <v>5054</v>
      </c>
      <c r="B1433" t="s">
        <v>5055</v>
      </c>
      <c r="C1433" t="e">
        <f>VLOOKUP(B1433,Sheet2!$A$2:$A$392,1,0)</f>
        <v>#N/A</v>
      </c>
      <c r="E1433" t="s">
        <v>27</v>
      </c>
      <c r="F1433" t="s">
        <v>41</v>
      </c>
      <c r="G1433" t="s">
        <v>29</v>
      </c>
      <c r="I1433" t="s">
        <v>42</v>
      </c>
      <c r="J1433" s="2">
        <v>4748</v>
      </c>
      <c r="K1433" s="2">
        <v>97</v>
      </c>
      <c r="L1433" s="2">
        <v>2848</v>
      </c>
      <c r="P1433" t="s">
        <v>5056</v>
      </c>
      <c r="R1433" t="s">
        <v>32</v>
      </c>
      <c r="S1433" t="s">
        <v>33</v>
      </c>
      <c r="T1433" t="s">
        <v>34</v>
      </c>
      <c r="U1433" t="s">
        <v>35</v>
      </c>
      <c r="W1433" t="s">
        <v>165</v>
      </c>
      <c r="X1433" t="s">
        <v>34</v>
      </c>
      <c r="Y1433" t="s">
        <v>245</v>
      </c>
      <c r="Z1433" t="s">
        <v>5057</v>
      </c>
      <c r="AA1433" t="s">
        <v>38</v>
      </c>
    </row>
    <row r="1434" spans="1:27" hidden="1">
      <c r="A1434" t="s">
        <v>5058</v>
      </c>
      <c r="B1434" t="s">
        <v>5059</v>
      </c>
      <c r="C1434" t="e">
        <f>VLOOKUP(B1434,Sheet2!$A$2:$A$392,1,0)</f>
        <v>#N/A</v>
      </c>
      <c r="E1434" t="s">
        <v>40</v>
      </c>
      <c r="F1434" t="s">
        <v>41</v>
      </c>
      <c r="G1434" t="s">
        <v>29</v>
      </c>
      <c r="I1434" t="s">
        <v>42</v>
      </c>
      <c r="J1434" s="2">
        <v>8000</v>
      </c>
      <c r="K1434" s="2">
        <v>91</v>
      </c>
      <c r="L1434" s="2">
        <v>3379</v>
      </c>
      <c r="P1434" t="s">
        <v>5060</v>
      </c>
      <c r="R1434" t="s">
        <v>42</v>
      </c>
      <c r="S1434" t="s">
        <v>33</v>
      </c>
      <c r="T1434" t="s">
        <v>34</v>
      </c>
      <c r="U1434" t="s">
        <v>35</v>
      </c>
      <c r="X1434" t="s">
        <v>34</v>
      </c>
      <c r="Y1434" t="s">
        <v>45</v>
      </c>
      <c r="Z1434" t="s">
        <v>1515</v>
      </c>
      <c r="AA1434" t="s">
        <v>38</v>
      </c>
    </row>
    <row r="1435" spans="1:27" hidden="1">
      <c r="A1435" t="s">
        <v>5061</v>
      </c>
      <c r="B1435" t="s">
        <v>5062</v>
      </c>
      <c r="C1435" t="e">
        <f>VLOOKUP(B1435,Sheet2!$A$2:$A$392,1,0)</f>
        <v>#N/A</v>
      </c>
      <c r="E1435" t="s">
        <v>170</v>
      </c>
      <c r="I1435" t="s">
        <v>42</v>
      </c>
      <c r="J1435" s="2">
        <v>36859</v>
      </c>
      <c r="K1435" s="2">
        <v>183</v>
      </c>
      <c r="L1435" s="2">
        <v>23849</v>
      </c>
      <c r="P1435" t="s">
        <v>5063</v>
      </c>
      <c r="S1435" t="s">
        <v>33</v>
      </c>
      <c r="X1435" t="s">
        <v>34</v>
      </c>
      <c r="AA1435" t="s">
        <v>38</v>
      </c>
    </row>
    <row r="1436" spans="1:27" hidden="1">
      <c r="A1436" t="s">
        <v>5064</v>
      </c>
      <c r="B1436" t="s">
        <v>5065</v>
      </c>
      <c r="C1436" t="e">
        <f>VLOOKUP(B1436,Sheet2!$A$2:$A$392,1,0)</f>
        <v>#N/A</v>
      </c>
      <c r="E1436" t="s">
        <v>52</v>
      </c>
      <c r="F1436" t="s">
        <v>41</v>
      </c>
      <c r="G1436" t="s">
        <v>29</v>
      </c>
      <c r="I1436" t="s">
        <v>42</v>
      </c>
      <c r="J1436" s="2">
        <v>1940</v>
      </c>
      <c r="K1436" s="2">
        <v>66</v>
      </c>
      <c r="L1436" s="2">
        <v>1075</v>
      </c>
      <c r="P1436" s="2">
        <v>1940</v>
      </c>
      <c r="R1436" t="s">
        <v>32</v>
      </c>
      <c r="S1436" t="s">
        <v>33</v>
      </c>
      <c r="T1436" t="s">
        <v>106</v>
      </c>
      <c r="U1436" t="s">
        <v>35</v>
      </c>
      <c r="W1436" t="s">
        <v>165</v>
      </c>
      <c r="X1436" t="s">
        <v>34</v>
      </c>
      <c r="Y1436" t="s">
        <v>245</v>
      </c>
      <c r="Z1436" t="s">
        <v>718</v>
      </c>
      <c r="AA1436" t="s">
        <v>38</v>
      </c>
    </row>
    <row r="1437" spans="1:27" hidden="1">
      <c r="A1437" t="s">
        <v>5066</v>
      </c>
      <c r="B1437" t="s">
        <v>5067</v>
      </c>
      <c r="C1437" t="e">
        <f>VLOOKUP(B1437,Sheet2!$A$2:$A$392,1,0)</f>
        <v>#N/A</v>
      </c>
      <c r="E1437" t="s">
        <v>27</v>
      </c>
      <c r="F1437" t="s">
        <v>41</v>
      </c>
      <c r="G1437" t="s">
        <v>29</v>
      </c>
      <c r="J1437" s="2">
        <v>115</v>
      </c>
      <c r="K1437" s="2">
        <v>70</v>
      </c>
      <c r="L1437" s="2">
        <v>149</v>
      </c>
      <c r="M1437" s="2">
        <v>830</v>
      </c>
      <c r="N1437" s="2">
        <v>3</v>
      </c>
      <c r="P1437" t="s">
        <v>1890</v>
      </c>
      <c r="R1437" t="s">
        <v>42</v>
      </c>
      <c r="S1437" t="s">
        <v>33</v>
      </c>
      <c r="U1437" t="s">
        <v>35</v>
      </c>
      <c r="X1437" t="s">
        <v>34</v>
      </c>
      <c r="Y1437" t="s">
        <v>45</v>
      </c>
      <c r="Z1437" t="s">
        <v>5068</v>
      </c>
      <c r="AA1437" t="s">
        <v>38</v>
      </c>
    </row>
    <row r="1438" spans="1:27" hidden="1">
      <c r="A1438" t="s">
        <v>5069</v>
      </c>
      <c r="B1438" t="s">
        <v>5070</v>
      </c>
      <c r="C1438" t="e">
        <f>VLOOKUP(B1438,Sheet2!$A$2:$A$392,1,0)</f>
        <v>#N/A</v>
      </c>
      <c r="E1438" t="s">
        <v>27</v>
      </c>
      <c r="F1438" t="s">
        <v>41</v>
      </c>
      <c r="G1438" t="s">
        <v>158</v>
      </c>
      <c r="I1438" t="s">
        <v>42</v>
      </c>
      <c r="J1438" s="2">
        <v>2550</v>
      </c>
      <c r="K1438" s="3">
        <v>57.46</v>
      </c>
      <c r="L1438" s="2">
        <v>1349</v>
      </c>
      <c r="O1438" t="s">
        <v>159</v>
      </c>
      <c r="P1438" t="s">
        <v>5071</v>
      </c>
      <c r="R1438" t="s">
        <v>42</v>
      </c>
      <c r="S1438" t="s">
        <v>33</v>
      </c>
      <c r="T1438" t="s">
        <v>34</v>
      </c>
      <c r="U1438" t="s">
        <v>35</v>
      </c>
      <c r="X1438" t="s">
        <v>147</v>
      </c>
      <c r="Y1438" t="s">
        <v>154</v>
      </c>
      <c r="Z1438" t="s">
        <v>4694</v>
      </c>
      <c r="AA1438" t="s">
        <v>38</v>
      </c>
    </row>
    <row r="1439" spans="1:27">
      <c r="A1439" t="s">
        <v>5072</v>
      </c>
      <c r="B1439" t="s">
        <v>5073</v>
      </c>
      <c r="C1439" t="str">
        <f>VLOOKUP(B1439,Sheet2!$A$2:$A$392,1,0)</f>
        <v>KM.SUNLY SAMUDERA</v>
      </c>
      <c r="E1439" t="s">
        <v>27</v>
      </c>
      <c r="F1439" t="s">
        <v>41</v>
      </c>
      <c r="G1439" t="s">
        <v>842</v>
      </c>
      <c r="I1439" t="s">
        <v>42</v>
      </c>
      <c r="J1439" s="2">
        <v>2000</v>
      </c>
      <c r="K1439" s="3">
        <v>68.62</v>
      </c>
      <c r="L1439" s="2">
        <v>1126</v>
      </c>
      <c r="M1439" s="2">
        <v>1100</v>
      </c>
      <c r="N1439" s="2">
        <v>5</v>
      </c>
      <c r="O1439" t="s">
        <v>938</v>
      </c>
      <c r="P1439" t="s">
        <v>5074</v>
      </c>
      <c r="R1439" t="s">
        <v>42</v>
      </c>
      <c r="S1439" t="s">
        <v>33</v>
      </c>
      <c r="T1439" t="s">
        <v>106</v>
      </c>
      <c r="U1439" t="s">
        <v>35</v>
      </c>
      <c r="V1439" s="2">
        <v>1</v>
      </c>
      <c r="X1439" t="s">
        <v>34</v>
      </c>
      <c r="Y1439" t="s">
        <v>154</v>
      </c>
      <c r="Z1439" t="s">
        <v>5075</v>
      </c>
      <c r="AA1439" t="s">
        <v>38</v>
      </c>
    </row>
    <row r="1440" spans="1:27" hidden="1">
      <c r="A1440" t="s">
        <v>5076</v>
      </c>
      <c r="B1440" t="s">
        <v>5077</v>
      </c>
      <c r="C1440" t="e">
        <f>VLOOKUP(B1440,Sheet2!$A$2:$A$392,1,0)</f>
        <v>#N/A</v>
      </c>
      <c r="E1440" t="s">
        <v>52</v>
      </c>
      <c r="F1440" t="s">
        <v>28</v>
      </c>
      <c r="G1440" t="s">
        <v>29</v>
      </c>
      <c r="I1440" t="s">
        <v>30</v>
      </c>
      <c r="J1440" s="2">
        <v>34491</v>
      </c>
      <c r="K1440" s="3">
        <v>179.97</v>
      </c>
      <c r="L1440" s="2">
        <v>21526</v>
      </c>
      <c r="M1440" s="2">
        <v>7671</v>
      </c>
      <c r="N1440" s="3">
        <v>9.82</v>
      </c>
      <c r="P1440" t="s">
        <v>5078</v>
      </c>
      <c r="R1440" t="s">
        <v>32</v>
      </c>
      <c r="S1440" t="s">
        <v>33</v>
      </c>
      <c r="T1440" t="s">
        <v>34</v>
      </c>
      <c r="U1440" t="s">
        <v>35</v>
      </c>
      <c r="V1440" s="2">
        <v>5</v>
      </c>
      <c r="X1440" t="s">
        <v>34</v>
      </c>
      <c r="Y1440" t="s">
        <v>45</v>
      </c>
      <c r="Z1440" t="s">
        <v>5079</v>
      </c>
      <c r="AA1440" t="s">
        <v>38</v>
      </c>
    </row>
    <row r="1441" spans="1:27">
      <c r="A1441" t="s">
        <v>5080</v>
      </c>
      <c r="B1441" t="s">
        <v>5081</v>
      </c>
      <c r="C1441" t="str">
        <f>VLOOKUP(B1441,Sheet2!$A$2:$A$392,1,0)</f>
        <v>MV. SUNDA STRAIT</v>
      </c>
      <c r="E1441" t="s">
        <v>52</v>
      </c>
      <c r="F1441" t="s">
        <v>41</v>
      </c>
      <c r="G1441" t="s">
        <v>29</v>
      </c>
      <c r="I1441" t="s">
        <v>42</v>
      </c>
      <c r="J1441" s="2">
        <v>5200</v>
      </c>
      <c r="K1441" s="2">
        <v>98</v>
      </c>
      <c r="L1441" s="2">
        <v>3262</v>
      </c>
      <c r="P1441" t="s">
        <v>5082</v>
      </c>
      <c r="R1441" t="s">
        <v>581</v>
      </c>
      <c r="S1441" t="s">
        <v>33</v>
      </c>
      <c r="T1441" t="s">
        <v>34</v>
      </c>
      <c r="U1441" t="s">
        <v>35</v>
      </c>
      <c r="X1441" t="s">
        <v>34</v>
      </c>
      <c r="Y1441" t="s">
        <v>45</v>
      </c>
      <c r="Z1441" t="s">
        <v>5083</v>
      </c>
      <c r="AA1441" t="s">
        <v>38</v>
      </c>
    </row>
    <row r="1442" spans="1:27" hidden="1">
      <c r="A1442" t="s">
        <v>5084</v>
      </c>
      <c r="B1442" t="s">
        <v>5085</v>
      </c>
      <c r="C1442" t="e">
        <f>VLOOKUP(B1442,Sheet2!$A$2:$A$392,1,0)</f>
        <v>#N/A</v>
      </c>
      <c r="E1442" t="s">
        <v>40</v>
      </c>
      <c r="G1442" t="s">
        <v>125</v>
      </c>
      <c r="I1442" t="s">
        <v>42</v>
      </c>
      <c r="J1442" s="2">
        <v>226</v>
      </c>
      <c r="K1442" s="2">
        <v>29</v>
      </c>
      <c r="L1442" s="2">
        <v>226</v>
      </c>
      <c r="P1442" t="s">
        <v>5086</v>
      </c>
      <c r="S1442" t="s">
        <v>33</v>
      </c>
      <c r="X1442" t="s">
        <v>34</v>
      </c>
      <c r="AA1442" t="s">
        <v>38</v>
      </c>
    </row>
    <row r="1443" spans="1:27" hidden="1">
      <c r="A1443" t="s">
        <v>5087</v>
      </c>
      <c r="B1443" t="s">
        <v>5088</v>
      </c>
      <c r="C1443" t="e">
        <f>VLOOKUP(B1443,Sheet2!$A$2:$A$392,1,0)</f>
        <v>#N/A</v>
      </c>
      <c r="E1443" t="s">
        <v>27</v>
      </c>
      <c r="G1443" t="s">
        <v>629</v>
      </c>
      <c r="I1443" t="s">
        <v>42</v>
      </c>
      <c r="J1443" s="2">
        <v>2280</v>
      </c>
      <c r="K1443" s="3">
        <v>87.26</v>
      </c>
      <c r="L1443" s="2">
        <v>2280</v>
      </c>
      <c r="P1443" t="s">
        <v>5089</v>
      </c>
      <c r="S1443" t="s">
        <v>33</v>
      </c>
      <c r="X1443" t="s">
        <v>34</v>
      </c>
      <c r="AA1443" t="s">
        <v>38</v>
      </c>
    </row>
    <row r="1444" spans="1:27" hidden="1">
      <c r="A1444" t="s">
        <v>5090</v>
      </c>
      <c r="B1444" t="s">
        <v>5091</v>
      </c>
      <c r="C1444" t="e">
        <f>VLOOKUP(B1444,Sheet2!$A$2:$A$392,1,0)</f>
        <v>#N/A</v>
      </c>
      <c r="E1444" t="s">
        <v>27</v>
      </c>
      <c r="G1444" t="s">
        <v>629</v>
      </c>
      <c r="I1444" t="s">
        <v>42</v>
      </c>
      <c r="J1444" s="2">
        <v>2384</v>
      </c>
      <c r="K1444" s="3">
        <v>88.35</v>
      </c>
      <c r="L1444" s="2">
        <v>2384</v>
      </c>
      <c r="P1444" t="s">
        <v>5092</v>
      </c>
      <c r="S1444" t="s">
        <v>33</v>
      </c>
      <c r="X1444" t="s">
        <v>34</v>
      </c>
      <c r="AA1444" t="s">
        <v>38</v>
      </c>
    </row>
    <row r="1445" spans="1:27" hidden="1">
      <c r="A1445" t="s">
        <v>5093</v>
      </c>
      <c r="B1445" t="s">
        <v>5094</v>
      </c>
      <c r="C1445" t="e">
        <f>VLOOKUP(B1445,Sheet2!$A$2:$A$392,1,0)</f>
        <v>#N/A</v>
      </c>
      <c r="E1445" t="s">
        <v>170</v>
      </c>
      <c r="I1445" t="s">
        <v>42</v>
      </c>
      <c r="J1445" s="2">
        <v>105426</v>
      </c>
      <c r="K1445" s="3">
        <v>240.99</v>
      </c>
      <c r="L1445" s="2">
        <v>56854</v>
      </c>
      <c r="P1445" t="s">
        <v>5095</v>
      </c>
      <c r="S1445" t="s">
        <v>33</v>
      </c>
      <c r="X1445" t="s">
        <v>34</v>
      </c>
      <c r="AA1445" t="s">
        <v>38</v>
      </c>
    </row>
    <row r="1446" spans="1:27" hidden="1">
      <c r="A1446" t="s">
        <v>5096</v>
      </c>
      <c r="B1446" t="s">
        <v>5097</v>
      </c>
      <c r="C1446" t="e">
        <f>VLOOKUP(B1446,Sheet2!$A$2:$A$392,1,0)</f>
        <v>#N/A</v>
      </c>
      <c r="E1446" t="s">
        <v>196</v>
      </c>
      <c r="F1446" t="s">
        <v>41</v>
      </c>
      <c r="G1446" t="s">
        <v>907</v>
      </c>
      <c r="J1446" s="2">
        <v>9649</v>
      </c>
      <c r="K1446">
        <v>109.9</v>
      </c>
      <c r="L1446" s="2">
        <v>6943</v>
      </c>
      <c r="N1446" s="2">
        <v>6518</v>
      </c>
      <c r="O1446" t="s">
        <v>1356</v>
      </c>
      <c r="P1446" t="s">
        <v>5098</v>
      </c>
      <c r="R1446" t="s">
        <v>42</v>
      </c>
      <c r="S1446" t="s">
        <v>33</v>
      </c>
      <c r="U1446" t="s">
        <v>44</v>
      </c>
      <c r="X1446" t="s">
        <v>34</v>
      </c>
      <c r="Y1446" t="s">
        <v>154</v>
      </c>
      <c r="Z1446" t="s">
        <v>5099</v>
      </c>
      <c r="AA1446" t="s">
        <v>38</v>
      </c>
    </row>
    <row r="1447" spans="1:27" hidden="1">
      <c r="A1447" t="s">
        <v>5100</v>
      </c>
      <c r="B1447" t="s">
        <v>5101</v>
      </c>
      <c r="C1447" t="e">
        <f>VLOOKUP(B1447,Sheet2!$A$2:$A$392,1,0)</f>
        <v>#N/A</v>
      </c>
      <c r="E1447" t="s">
        <v>27</v>
      </c>
      <c r="F1447" t="s">
        <v>41</v>
      </c>
      <c r="G1447" t="s">
        <v>29</v>
      </c>
      <c r="I1447" t="s">
        <v>42</v>
      </c>
      <c r="J1447" s="2">
        <v>6246</v>
      </c>
      <c r="K1447" s="2">
        <v>99</v>
      </c>
      <c r="L1447" s="2">
        <v>4251</v>
      </c>
      <c r="O1447" t="s">
        <v>482</v>
      </c>
      <c r="P1447" t="s">
        <v>185</v>
      </c>
      <c r="Q1447" t="s">
        <v>34</v>
      </c>
      <c r="R1447" t="s">
        <v>32</v>
      </c>
      <c r="S1447" t="s">
        <v>33</v>
      </c>
      <c r="T1447" t="s">
        <v>34</v>
      </c>
      <c r="U1447" t="s">
        <v>35</v>
      </c>
      <c r="X1447" t="s">
        <v>34</v>
      </c>
      <c r="Y1447" t="s">
        <v>45</v>
      </c>
      <c r="Z1447" t="s">
        <v>5102</v>
      </c>
      <c r="AA1447" t="s">
        <v>38</v>
      </c>
    </row>
    <row r="1448" spans="1:27" hidden="1">
      <c r="A1448" t="s">
        <v>5103</v>
      </c>
      <c r="B1448" t="s">
        <v>5104</v>
      </c>
      <c r="C1448" t="e">
        <f>VLOOKUP(B1448,Sheet2!$A$2:$A$392,1,0)</f>
        <v>#N/A</v>
      </c>
      <c r="E1448" t="s">
        <v>27</v>
      </c>
      <c r="F1448" t="s">
        <v>41</v>
      </c>
      <c r="G1448" t="s">
        <v>29</v>
      </c>
      <c r="I1448" t="s">
        <v>42</v>
      </c>
      <c r="J1448" s="2">
        <v>3100</v>
      </c>
      <c r="K1448" s="2">
        <v>81</v>
      </c>
      <c r="L1448" s="2">
        <v>1727</v>
      </c>
      <c r="M1448" s="2">
        <v>1471</v>
      </c>
      <c r="N1448" s="2">
        <v>4</v>
      </c>
      <c r="P1448" t="s">
        <v>5105</v>
      </c>
      <c r="R1448" t="s">
        <v>32</v>
      </c>
      <c r="S1448" t="s">
        <v>33</v>
      </c>
      <c r="T1448" t="s">
        <v>34</v>
      </c>
      <c r="U1448" t="s">
        <v>35</v>
      </c>
      <c r="X1448" t="s">
        <v>34</v>
      </c>
      <c r="Y1448" t="s">
        <v>45</v>
      </c>
      <c r="Z1448" t="s">
        <v>5106</v>
      </c>
      <c r="AA1448" t="s">
        <v>38</v>
      </c>
    </row>
    <row r="1449" spans="1:27" hidden="1">
      <c r="A1449" t="s">
        <v>5107</v>
      </c>
      <c r="B1449" t="s">
        <v>5108</v>
      </c>
      <c r="C1449" t="e">
        <f>VLOOKUP(B1449,Sheet2!$A$2:$A$392,1,0)</f>
        <v>#N/A</v>
      </c>
      <c r="E1449" t="s">
        <v>40</v>
      </c>
      <c r="F1449" t="s">
        <v>41</v>
      </c>
      <c r="G1449" t="s">
        <v>29</v>
      </c>
      <c r="I1449" t="s">
        <v>42</v>
      </c>
      <c r="J1449" s="2">
        <v>8000</v>
      </c>
      <c r="K1449" s="3">
        <v>87.78</v>
      </c>
      <c r="L1449" s="2">
        <v>3299</v>
      </c>
      <c r="P1449" t="s">
        <v>185</v>
      </c>
      <c r="R1449" t="s">
        <v>42</v>
      </c>
      <c r="S1449" t="s">
        <v>33</v>
      </c>
      <c r="T1449" t="s">
        <v>34</v>
      </c>
      <c r="U1449" t="s">
        <v>35</v>
      </c>
      <c r="X1449" t="s">
        <v>34</v>
      </c>
      <c r="Y1449" t="s">
        <v>45</v>
      </c>
      <c r="Z1449" t="s">
        <v>5109</v>
      </c>
      <c r="AA1449" t="s">
        <v>38</v>
      </c>
    </row>
    <row r="1450" spans="1:27">
      <c r="A1450" t="s">
        <v>5110</v>
      </c>
      <c r="B1450" t="s">
        <v>5111</v>
      </c>
      <c r="C1450" t="str">
        <f>VLOOKUP(B1450,Sheet2!$A$2:$A$392,1,0)</f>
        <v>TB. SYUKUR 11 / BG. SYUKUR 06</v>
      </c>
      <c r="E1450" t="s">
        <v>40</v>
      </c>
      <c r="F1450" t="s">
        <v>41</v>
      </c>
      <c r="G1450" t="s">
        <v>29</v>
      </c>
      <c r="I1450" t="s">
        <v>42</v>
      </c>
      <c r="J1450" s="2">
        <v>8000</v>
      </c>
      <c r="K1450" s="2">
        <v>91</v>
      </c>
      <c r="L1450" s="2">
        <v>3349</v>
      </c>
      <c r="P1450" t="s">
        <v>185</v>
      </c>
      <c r="R1450" t="s">
        <v>42</v>
      </c>
      <c r="S1450" t="s">
        <v>33</v>
      </c>
      <c r="T1450" t="s">
        <v>34</v>
      </c>
      <c r="U1450" t="s">
        <v>44</v>
      </c>
      <c r="X1450" t="s">
        <v>34</v>
      </c>
      <c r="Y1450" t="s">
        <v>45</v>
      </c>
      <c r="Z1450" t="s">
        <v>5112</v>
      </c>
      <c r="AA1450" t="s">
        <v>38</v>
      </c>
    </row>
    <row r="1451" spans="1:27" hidden="1">
      <c r="A1451" t="s">
        <v>5113</v>
      </c>
      <c r="B1451" t="s">
        <v>5114</v>
      </c>
      <c r="C1451" t="e">
        <f>VLOOKUP(B1451,Sheet2!$A$2:$A$392,1,0)</f>
        <v>#N/A</v>
      </c>
      <c r="E1451" t="s">
        <v>27</v>
      </c>
      <c r="F1451" t="s">
        <v>41</v>
      </c>
      <c r="G1451" t="s">
        <v>29</v>
      </c>
      <c r="I1451" t="s">
        <v>42</v>
      </c>
      <c r="J1451" s="2">
        <v>2050</v>
      </c>
      <c r="K1451" s="2">
        <v>72</v>
      </c>
      <c r="L1451" s="2">
        <v>1360</v>
      </c>
      <c r="P1451" t="s">
        <v>5115</v>
      </c>
      <c r="R1451" t="s">
        <v>32</v>
      </c>
      <c r="S1451" t="s">
        <v>33</v>
      </c>
      <c r="U1451" t="s">
        <v>35</v>
      </c>
      <c r="X1451" t="s">
        <v>34</v>
      </c>
      <c r="Y1451" t="s">
        <v>45</v>
      </c>
      <c r="Z1451" t="s">
        <v>5116</v>
      </c>
      <c r="AA1451" t="s">
        <v>38</v>
      </c>
    </row>
    <row r="1452" spans="1:27">
      <c r="A1452" t="s">
        <v>5117</v>
      </c>
      <c r="B1452" t="s">
        <v>5118</v>
      </c>
      <c r="C1452" t="str">
        <f>VLOOKUP(B1452,Sheet2!$A$2:$A$392,1,0)</f>
        <v>TB. SYUKUR 30 / BG. SYUKUR 29</v>
      </c>
      <c r="E1452" t="s">
        <v>40</v>
      </c>
      <c r="F1452" t="s">
        <v>41</v>
      </c>
      <c r="G1452" t="s">
        <v>29</v>
      </c>
      <c r="I1452" t="s">
        <v>42</v>
      </c>
      <c r="J1452" s="2">
        <v>8000</v>
      </c>
      <c r="K1452" s="2">
        <v>91</v>
      </c>
      <c r="L1452" s="2">
        <v>3294</v>
      </c>
      <c r="P1452" t="s">
        <v>5119</v>
      </c>
      <c r="R1452" t="s">
        <v>42</v>
      </c>
      <c r="S1452" t="s">
        <v>33</v>
      </c>
      <c r="T1452" t="s">
        <v>34</v>
      </c>
      <c r="U1452" t="s">
        <v>35</v>
      </c>
      <c r="X1452" t="s">
        <v>34</v>
      </c>
      <c r="Y1452" t="s">
        <v>45</v>
      </c>
      <c r="Z1452" t="s">
        <v>5120</v>
      </c>
      <c r="AA1452" t="s">
        <v>38</v>
      </c>
    </row>
    <row r="1453" spans="1:27">
      <c r="A1453" t="s">
        <v>5121</v>
      </c>
      <c r="B1453" t="s">
        <v>5122</v>
      </c>
      <c r="C1453" t="str">
        <f>VLOOKUP(B1453,Sheet2!$A$2:$A$392,1,0)</f>
        <v>TB. SYUKUR 45 / BG. SYUKUR 47</v>
      </c>
      <c r="E1453" t="s">
        <v>40</v>
      </c>
      <c r="F1453" t="s">
        <v>41</v>
      </c>
      <c r="G1453" t="s">
        <v>29</v>
      </c>
      <c r="I1453" t="s">
        <v>42</v>
      </c>
      <c r="J1453" s="2">
        <v>8000</v>
      </c>
      <c r="K1453" s="2">
        <v>91</v>
      </c>
      <c r="L1453" s="2">
        <v>3433</v>
      </c>
      <c r="P1453" t="s">
        <v>5123</v>
      </c>
      <c r="R1453" t="s">
        <v>42</v>
      </c>
      <c r="S1453" t="s">
        <v>33</v>
      </c>
      <c r="T1453" t="s">
        <v>34</v>
      </c>
      <c r="U1453" t="s">
        <v>35</v>
      </c>
      <c r="X1453" t="s">
        <v>34</v>
      </c>
      <c r="Y1453" t="s">
        <v>45</v>
      </c>
      <c r="Z1453" t="s">
        <v>5124</v>
      </c>
      <c r="AA1453" t="s">
        <v>38</v>
      </c>
    </row>
    <row r="1454" spans="1:27">
      <c r="A1454" t="s">
        <v>5125</v>
      </c>
      <c r="B1454" t="s">
        <v>5126</v>
      </c>
      <c r="C1454" t="str">
        <f>VLOOKUP(B1454,Sheet2!$A$2:$A$392,1,0)</f>
        <v>TB. SYUKUR 51 / BG. SYUKUR 57</v>
      </c>
      <c r="E1454" t="s">
        <v>40</v>
      </c>
      <c r="F1454" t="s">
        <v>41</v>
      </c>
      <c r="G1454" t="s">
        <v>29</v>
      </c>
      <c r="I1454" t="s">
        <v>42</v>
      </c>
      <c r="J1454" s="2">
        <v>8000</v>
      </c>
      <c r="K1454" s="2">
        <v>91</v>
      </c>
      <c r="L1454" s="2">
        <v>3433</v>
      </c>
      <c r="P1454" t="s">
        <v>5127</v>
      </c>
      <c r="R1454" t="s">
        <v>42</v>
      </c>
      <c r="S1454" t="s">
        <v>33</v>
      </c>
      <c r="T1454" t="s">
        <v>34</v>
      </c>
      <c r="U1454" t="s">
        <v>44</v>
      </c>
      <c r="X1454" t="s">
        <v>34</v>
      </c>
      <c r="Y1454" t="s">
        <v>45</v>
      </c>
      <c r="Z1454" t="s">
        <v>5128</v>
      </c>
      <c r="AA1454" t="s">
        <v>38</v>
      </c>
    </row>
    <row r="1455" spans="1:27" hidden="1">
      <c r="A1455" t="s">
        <v>5129</v>
      </c>
      <c r="B1455" t="s">
        <v>5130</v>
      </c>
      <c r="C1455" t="e">
        <f>VLOOKUP(B1455,Sheet2!$A$2:$A$392,1,0)</f>
        <v>#N/A</v>
      </c>
      <c r="E1455" t="s">
        <v>40</v>
      </c>
      <c r="F1455" t="s">
        <v>41</v>
      </c>
      <c r="G1455" t="s">
        <v>29</v>
      </c>
      <c r="I1455" t="s">
        <v>42</v>
      </c>
      <c r="J1455" s="2">
        <v>8000</v>
      </c>
      <c r="K1455" s="2">
        <v>91</v>
      </c>
      <c r="L1455" s="2">
        <v>3367</v>
      </c>
      <c r="P1455" t="s">
        <v>185</v>
      </c>
      <c r="R1455" t="s">
        <v>42</v>
      </c>
      <c r="S1455" t="s">
        <v>33</v>
      </c>
      <c r="T1455" t="s">
        <v>34</v>
      </c>
      <c r="U1455" t="s">
        <v>35</v>
      </c>
      <c r="X1455" t="s">
        <v>34</v>
      </c>
      <c r="Y1455" t="s">
        <v>45</v>
      </c>
      <c r="Z1455" t="s">
        <v>5131</v>
      </c>
      <c r="AA1455" t="s">
        <v>38</v>
      </c>
    </row>
    <row r="1456" spans="1:27">
      <c r="A1456" t="s">
        <v>5132</v>
      </c>
      <c r="B1456" t="s">
        <v>5133</v>
      </c>
      <c r="C1456" t="str">
        <f>VLOOKUP(B1456,Sheet2!$A$2:$A$392,1,0)</f>
        <v>TB. SYUKUR 62 / BG. SYUKUR 09</v>
      </c>
      <c r="E1456" t="s">
        <v>40</v>
      </c>
      <c r="F1456" t="s">
        <v>41</v>
      </c>
      <c r="G1456" t="s">
        <v>29</v>
      </c>
      <c r="I1456" t="s">
        <v>42</v>
      </c>
      <c r="J1456" s="2">
        <v>8000</v>
      </c>
      <c r="K1456" s="2">
        <v>91</v>
      </c>
      <c r="L1456" s="2">
        <v>3388</v>
      </c>
      <c r="P1456" t="s">
        <v>5134</v>
      </c>
      <c r="R1456" t="s">
        <v>42</v>
      </c>
      <c r="S1456" t="s">
        <v>33</v>
      </c>
      <c r="T1456" t="s">
        <v>34</v>
      </c>
      <c r="U1456" t="s">
        <v>44</v>
      </c>
      <c r="X1456" t="s">
        <v>34</v>
      </c>
      <c r="Y1456" t="s">
        <v>45</v>
      </c>
      <c r="Z1456" t="s">
        <v>5128</v>
      </c>
      <c r="AA1456" t="s">
        <v>38</v>
      </c>
    </row>
    <row r="1457" spans="1:27">
      <c r="A1457" t="s">
        <v>5135</v>
      </c>
      <c r="B1457" t="s">
        <v>5136</v>
      </c>
      <c r="C1457" t="str">
        <f>VLOOKUP(B1457,Sheet2!$A$2:$A$392,1,0)</f>
        <v>TB. SYUKUR 72 / BG. SYUKUR 79</v>
      </c>
      <c r="E1457" t="s">
        <v>40</v>
      </c>
      <c r="F1457" t="s">
        <v>41</v>
      </c>
      <c r="G1457" t="s">
        <v>29</v>
      </c>
      <c r="I1457" t="s">
        <v>42</v>
      </c>
      <c r="J1457" s="2">
        <v>8000</v>
      </c>
      <c r="K1457" s="2">
        <v>91</v>
      </c>
      <c r="L1457" s="2">
        <v>3392</v>
      </c>
      <c r="P1457" t="s">
        <v>5137</v>
      </c>
      <c r="R1457" t="s">
        <v>42</v>
      </c>
      <c r="S1457" t="s">
        <v>33</v>
      </c>
      <c r="T1457" t="s">
        <v>34</v>
      </c>
      <c r="U1457" t="s">
        <v>44</v>
      </c>
      <c r="X1457" t="s">
        <v>34</v>
      </c>
      <c r="Y1457" t="s">
        <v>45</v>
      </c>
      <c r="Z1457" t="s">
        <v>5138</v>
      </c>
      <c r="AA1457" t="s">
        <v>38</v>
      </c>
    </row>
    <row r="1458" spans="1:27" hidden="1">
      <c r="A1458" t="s">
        <v>5139</v>
      </c>
      <c r="B1458" t="s">
        <v>5140</v>
      </c>
      <c r="C1458" t="e">
        <f>VLOOKUP(B1458,Sheet2!$A$2:$A$392,1,0)</f>
        <v>#N/A</v>
      </c>
      <c r="E1458" t="s">
        <v>40</v>
      </c>
      <c r="F1458" t="s">
        <v>41</v>
      </c>
      <c r="G1458" t="s">
        <v>29</v>
      </c>
      <c r="I1458" t="s">
        <v>42</v>
      </c>
      <c r="J1458" s="2">
        <v>8000</v>
      </c>
      <c r="K1458" s="2">
        <v>91</v>
      </c>
      <c r="L1458" s="2">
        <v>3377</v>
      </c>
      <c r="P1458" t="s">
        <v>5141</v>
      </c>
      <c r="R1458" t="s">
        <v>42</v>
      </c>
      <c r="S1458" t="s">
        <v>33</v>
      </c>
      <c r="T1458" t="s">
        <v>34</v>
      </c>
      <c r="U1458" t="s">
        <v>35</v>
      </c>
      <c r="X1458" t="s">
        <v>34</v>
      </c>
      <c r="Y1458" t="s">
        <v>45</v>
      </c>
      <c r="Z1458" t="s">
        <v>5142</v>
      </c>
      <c r="AA1458" t="s">
        <v>38</v>
      </c>
    </row>
    <row r="1459" spans="1:27">
      <c r="A1459" t="s">
        <v>5143</v>
      </c>
      <c r="B1459" t="s">
        <v>5144</v>
      </c>
      <c r="C1459" t="str">
        <f>VLOOKUP(B1459,Sheet2!$A$2:$A$392,1,0)</f>
        <v>TB. SYUKUR 78 / BG. SYUKUR 53</v>
      </c>
      <c r="E1459" t="s">
        <v>40</v>
      </c>
      <c r="F1459" t="s">
        <v>41</v>
      </c>
      <c r="G1459" t="s">
        <v>382</v>
      </c>
      <c r="I1459" t="s">
        <v>42</v>
      </c>
      <c r="J1459" s="2">
        <v>8000</v>
      </c>
      <c r="K1459" s="2">
        <v>91</v>
      </c>
      <c r="L1459" s="2">
        <v>3391</v>
      </c>
      <c r="O1459" t="s">
        <v>383</v>
      </c>
      <c r="P1459" t="s">
        <v>5145</v>
      </c>
      <c r="R1459" t="s">
        <v>42</v>
      </c>
      <c r="S1459" t="s">
        <v>33</v>
      </c>
      <c r="U1459" t="s">
        <v>44</v>
      </c>
      <c r="W1459" t="s">
        <v>63</v>
      </c>
      <c r="X1459" t="s">
        <v>34</v>
      </c>
      <c r="Y1459" t="s">
        <v>64</v>
      </c>
      <c r="Z1459" t="s">
        <v>5146</v>
      </c>
      <c r="AA1459" t="s">
        <v>38</v>
      </c>
    </row>
    <row r="1460" spans="1:27" hidden="1">
      <c r="A1460" t="s">
        <v>5147</v>
      </c>
      <c r="B1460" t="s">
        <v>5148</v>
      </c>
      <c r="C1460" t="e">
        <f>VLOOKUP(B1460,Sheet2!$A$2:$A$392,1,0)</f>
        <v>#N/A</v>
      </c>
      <c r="E1460" t="s">
        <v>27</v>
      </c>
      <c r="F1460" t="s">
        <v>41</v>
      </c>
      <c r="G1460" t="s">
        <v>29</v>
      </c>
      <c r="J1460" s="2">
        <v>2750</v>
      </c>
      <c r="K1460" s="2">
        <v>75</v>
      </c>
      <c r="L1460" s="2">
        <v>1475</v>
      </c>
      <c r="P1460" t="s">
        <v>5149</v>
      </c>
      <c r="R1460" t="s">
        <v>32</v>
      </c>
      <c r="S1460" t="s">
        <v>33</v>
      </c>
      <c r="U1460" t="s">
        <v>35</v>
      </c>
      <c r="X1460" t="s">
        <v>34</v>
      </c>
      <c r="Y1460" t="s">
        <v>45</v>
      </c>
      <c r="Z1460" t="s">
        <v>5150</v>
      </c>
      <c r="AA1460" t="s">
        <v>38</v>
      </c>
    </row>
    <row r="1461" spans="1:27">
      <c r="A1461" t="s">
        <v>5151</v>
      </c>
      <c r="B1461" t="s">
        <v>5152</v>
      </c>
      <c r="C1461" t="str">
        <f>VLOOKUP(B1461,Sheet2!$A$2:$A$392,1,0)</f>
        <v>TB. SYUKUR 52 / BG. SYUKUR 80</v>
      </c>
      <c r="E1461" t="s">
        <v>40</v>
      </c>
      <c r="F1461" t="s">
        <v>41</v>
      </c>
      <c r="G1461" t="s">
        <v>29</v>
      </c>
      <c r="I1461" t="s">
        <v>42</v>
      </c>
      <c r="J1461" s="2">
        <v>8000</v>
      </c>
      <c r="K1461" s="2">
        <v>91</v>
      </c>
      <c r="L1461" s="2">
        <v>3440</v>
      </c>
      <c r="P1461" t="s">
        <v>710</v>
      </c>
      <c r="R1461" t="s">
        <v>42</v>
      </c>
      <c r="S1461" t="s">
        <v>33</v>
      </c>
      <c r="T1461" t="s">
        <v>34</v>
      </c>
      <c r="U1461" t="s">
        <v>44</v>
      </c>
      <c r="X1461" t="s">
        <v>34</v>
      </c>
      <c r="Y1461" t="s">
        <v>45</v>
      </c>
      <c r="Z1461" t="s">
        <v>5153</v>
      </c>
      <c r="AA1461" t="s">
        <v>38</v>
      </c>
    </row>
    <row r="1462" spans="1:27" hidden="1">
      <c r="A1462" t="s">
        <v>5154</v>
      </c>
      <c r="B1462" t="s">
        <v>5155</v>
      </c>
      <c r="C1462" t="e">
        <f>VLOOKUP(B1462,Sheet2!$A$2:$A$392,1,0)</f>
        <v>#N/A</v>
      </c>
      <c r="E1462" t="s">
        <v>27</v>
      </c>
      <c r="F1462" t="s">
        <v>41</v>
      </c>
      <c r="G1462" t="s">
        <v>29</v>
      </c>
      <c r="J1462" s="2">
        <v>210</v>
      </c>
      <c r="K1462" s="2">
        <v>50</v>
      </c>
      <c r="L1462" s="2">
        <v>200</v>
      </c>
      <c r="P1462" t="s">
        <v>5154</v>
      </c>
      <c r="Q1462" t="s">
        <v>34</v>
      </c>
      <c r="R1462" t="s">
        <v>42</v>
      </c>
      <c r="S1462" t="s">
        <v>33</v>
      </c>
      <c r="U1462" t="s">
        <v>35</v>
      </c>
      <c r="X1462" t="s">
        <v>34</v>
      </c>
      <c r="Y1462" t="s">
        <v>45</v>
      </c>
      <c r="Z1462" t="s">
        <v>5156</v>
      </c>
      <c r="AA1462" t="s">
        <v>38</v>
      </c>
    </row>
    <row r="1463" spans="1:27">
      <c r="A1463" t="s">
        <v>5157</v>
      </c>
      <c r="B1463" t="s">
        <v>5158</v>
      </c>
      <c r="C1463" t="str">
        <f>VLOOKUP(B1463,Sheet2!$A$2:$A$392,1,0)</f>
        <v>KM. SURYA PAPUA</v>
      </c>
      <c r="E1463" t="s">
        <v>27</v>
      </c>
      <c r="F1463" t="s">
        <v>41</v>
      </c>
      <c r="G1463" t="s">
        <v>29</v>
      </c>
      <c r="I1463" t="s">
        <v>42</v>
      </c>
      <c r="J1463" s="2">
        <v>2000</v>
      </c>
      <c r="K1463" s="2">
        <v>71</v>
      </c>
      <c r="L1463" s="2">
        <v>1305</v>
      </c>
      <c r="P1463" t="s">
        <v>5159</v>
      </c>
      <c r="R1463" t="s">
        <v>32</v>
      </c>
      <c r="S1463" t="s">
        <v>33</v>
      </c>
      <c r="T1463" t="s">
        <v>34</v>
      </c>
      <c r="U1463" t="s">
        <v>35</v>
      </c>
      <c r="X1463" t="s">
        <v>34</v>
      </c>
      <c r="Y1463" t="s">
        <v>45</v>
      </c>
      <c r="Z1463" t="s">
        <v>5160</v>
      </c>
      <c r="AA1463" t="s">
        <v>38</v>
      </c>
    </row>
    <row r="1464" spans="1:27" hidden="1">
      <c r="A1464" t="s">
        <v>5161</v>
      </c>
      <c r="B1464" t="s">
        <v>5162</v>
      </c>
      <c r="C1464" t="e">
        <f>VLOOKUP(B1464,Sheet2!$A$2:$A$392,1,0)</f>
        <v>#N/A</v>
      </c>
      <c r="E1464" t="s">
        <v>40</v>
      </c>
      <c r="F1464" t="s">
        <v>41</v>
      </c>
      <c r="G1464" t="s">
        <v>29</v>
      </c>
      <c r="I1464" t="s">
        <v>42</v>
      </c>
      <c r="J1464" s="2">
        <v>3103</v>
      </c>
      <c r="K1464" s="3">
        <v>91.44</v>
      </c>
      <c r="L1464" s="2">
        <v>3103</v>
      </c>
      <c r="P1464" s="2">
        <v>1234</v>
      </c>
      <c r="R1464" t="s">
        <v>42</v>
      </c>
      <c r="S1464" t="s">
        <v>33</v>
      </c>
      <c r="T1464" t="s">
        <v>106</v>
      </c>
      <c r="U1464" t="s">
        <v>35</v>
      </c>
      <c r="X1464" t="s">
        <v>34</v>
      </c>
      <c r="Y1464" t="s">
        <v>142</v>
      </c>
      <c r="Z1464" t="s">
        <v>5163</v>
      </c>
      <c r="AA1464" t="s">
        <v>38</v>
      </c>
    </row>
    <row r="1465" spans="1:27" hidden="1">
      <c r="A1465" t="s">
        <v>5164</v>
      </c>
      <c r="B1465" t="s">
        <v>5165</v>
      </c>
      <c r="C1465" t="e">
        <f>VLOOKUP(B1465,Sheet2!$A$2:$A$392,1,0)</f>
        <v>#N/A</v>
      </c>
      <c r="E1465" t="s">
        <v>40</v>
      </c>
      <c r="F1465" t="s">
        <v>41</v>
      </c>
      <c r="G1465" t="s">
        <v>29</v>
      </c>
      <c r="I1465" t="s">
        <v>42</v>
      </c>
      <c r="J1465" s="2">
        <v>600</v>
      </c>
      <c r="K1465">
        <v>43.1</v>
      </c>
      <c r="L1465" s="2">
        <v>800</v>
      </c>
      <c r="M1465" s="2">
        <v>500</v>
      </c>
      <c r="N1465" s="2">
        <v>5</v>
      </c>
      <c r="P1465" t="s">
        <v>5164</v>
      </c>
      <c r="R1465" t="s">
        <v>42</v>
      </c>
      <c r="S1465" t="s">
        <v>33</v>
      </c>
      <c r="T1465" t="s">
        <v>34</v>
      </c>
      <c r="U1465" t="s">
        <v>44</v>
      </c>
      <c r="X1465" t="s">
        <v>34</v>
      </c>
      <c r="Y1465" t="s">
        <v>142</v>
      </c>
      <c r="Z1465" t="s">
        <v>5166</v>
      </c>
      <c r="AA1465" t="s">
        <v>38</v>
      </c>
    </row>
    <row r="1466" spans="1:27" hidden="1">
      <c r="A1466" t="s">
        <v>5167</v>
      </c>
      <c r="B1466" t="s">
        <v>5168</v>
      </c>
      <c r="C1466" t="e">
        <f>VLOOKUP(B1466,Sheet2!$A$2:$A$392,1,0)</f>
        <v>#N/A</v>
      </c>
      <c r="E1466" t="s">
        <v>27</v>
      </c>
      <c r="F1466" t="s">
        <v>41</v>
      </c>
      <c r="G1466" t="s">
        <v>29</v>
      </c>
      <c r="I1466" t="s">
        <v>42</v>
      </c>
      <c r="J1466" s="2">
        <v>1000</v>
      </c>
      <c r="K1466" s="2">
        <v>57</v>
      </c>
      <c r="L1466" s="2">
        <v>671</v>
      </c>
      <c r="P1466" t="s">
        <v>5169</v>
      </c>
      <c r="R1466" t="s">
        <v>32</v>
      </c>
      <c r="S1466" t="s">
        <v>33</v>
      </c>
      <c r="T1466" t="s">
        <v>34</v>
      </c>
      <c r="U1466" t="s">
        <v>35</v>
      </c>
      <c r="X1466" t="s">
        <v>34</v>
      </c>
      <c r="Y1466" t="s">
        <v>45</v>
      </c>
      <c r="Z1466" t="s">
        <v>1639</v>
      </c>
      <c r="AA1466" t="s">
        <v>38</v>
      </c>
    </row>
    <row r="1467" spans="1:27" hidden="1">
      <c r="A1467" t="s">
        <v>5170</v>
      </c>
      <c r="B1467" t="s">
        <v>5171</v>
      </c>
      <c r="C1467" t="e">
        <f>VLOOKUP(B1467,Sheet2!$A$2:$A$392,1,0)</f>
        <v>#N/A</v>
      </c>
      <c r="E1467" t="s">
        <v>40</v>
      </c>
      <c r="G1467" t="s">
        <v>89</v>
      </c>
      <c r="I1467" t="s">
        <v>42</v>
      </c>
      <c r="J1467" s="2">
        <v>10000</v>
      </c>
      <c r="K1467" s="3">
        <v>23.42</v>
      </c>
      <c r="L1467" s="2">
        <v>143</v>
      </c>
      <c r="P1467" t="s">
        <v>5172</v>
      </c>
      <c r="S1467" t="s">
        <v>33</v>
      </c>
      <c r="X1467" t="s">
        <v>34</v>
      </c>
      <c r="AA1467" t="s">
        <v>38</v>
      </c>
    </row>
    <row r="1468" spans="1:27" hidden="1">
      <c r="A1468" t="s">
        <v>5173</v>
      </c>
      <c r="B1468" t="s">
        <v>5174</v>
      </c>
      <c r="C1468" t="e">
        <f>VLOOKUP(B1468,Sheet2!$A$2:$A$392,1,0)</f>
        <v>#N/A</v>
      </c>
      <c r="E1468" t="s">
        <v>196</v>
      </c>
      <c r="F1468" t="s">
        <v>41</v>
      </c>
      <c r="G1468" t="s">
        <v>1513</v>
      </c>
      <c r="I1468" t="s">
        <v>42</v>
      </c>
      <c r="J1468" s="2">
        <v>3850</v>
      </c>
      <c r="K1468" s="3">
        <v>83.35</v>
      </c>
      <c r="L1468" s="2">
        <v>2294</v>
      </c>
      <c r="M1468" s="2">
        <v>2800</v>
      </c>
      <c r="N1468" s="2">
        <v>6</v>
      </c>
      <c r="O1468" t="s">
        <v>482</v>
      </c>
      <c r="P1468" t="s">
        <v>2450</v>
      </c>
      <c r="R1468" t="s">
        <v>32</v>
      </c>
      <c r="S1468" t="s">
        <v>33</v>
      </c>
      <c r="U1468" t="s">
        <v>35</v>
      </c>
      <c r="V1468" s="2">
        <v>2</v>
      </c>
      <c r="X1468" t="s">
        <v>34</v>
      </c>
      <c r="Y1468" t="s">
        <v>55</v>
      </c>
      <c r="Z1468" t="s">
        <v>5175</v>
      </c>
      <c r="AA1468" t="s">
        <v>38</v>
      </c>
    </row>
    <row r="1469" spans="1:27" hidden="1">
      <c r="A1469" t="s">
        <v>5176</v>
      </c>
      <c r="B1469" t="s">
        <v>5177</v>
      </c>
      <c r="C1469" t="e">
        <f>VLOOKUP(B1469,Sheet2!$A$2:$A$392,1,0)</f>
        <v>#N/A</v>
      </c>
      <c r="E1469" t="s">
        <v>40</v>
      </c>
      <c r="F1469" t="s">
        <v>41</v>
      </c>
      <c r="G1469" t="s">
        <v>415</v>
      </c>
      <c r="J1469" s="2">
        <v>9306</v>
      </c>
      <c r="K1469" s="3">
        <v>91.44</v>
      </c>
      <c r="L1469" s="2">
        <v>3102</v>
      </c>
      <c r="N1469">
        <v>5.5</v>
      </c>
      <c r="O1469" t="s">
        <v>1606</v>
      </c>
      <c r="P1469" t="s">
        <v>5178</v>
      </c>
      <c r="R1469" t="s">
        <v>42</v>
      </c>
      <c r="S1469" t="s">
        <v>33</v>
      </c>
      <c r="U1469" t="s">
        <v>44</v>
      </c>
      <c r="V1469" s="2">
        <v>1</v>
      </c>
      <c r="W1469" t="s">
        <v>63</v>
      </c>
      <c r="X1469" t="s">
        <v>34</v>
      </c>
      <c r="Y1469" t="s">
        <v>64</v>
      </c>
      <c r="Z1469" t="s">
        <v>5179</v>
      </c>
      <c r="AA1469" t="s">
        <v>38</v>
      </c>
    </row>
    <row r="1470" spans="1:27">
      <c r="A1470" t="s">
        <v>5180</v>
      </c>
      <c r="B1470" t="s">
        <v>5181</v>
      </c>
      <c r="C1470" t="str">
        <f>VLOOKUP(B1470,Sheet2!$A$2:$A$392,1,0)</f>
        <v>TB. OCEAN MASTER 102 / BG. PELICAN 302</v>
      </c>
      <c r="E1470" t="s">
        <v>40</v>
      </c>
      <c r="F1470" t="s">
        <v>41</v>
      </c>
      <c r="G1470" t="s">
        <v>415</v>
      </c>
      <c r="I1470" t="s">
        <v>42</v>
      </c>
      <c r="J1470" s="2">
        <v>12000</v>
      </c>
      <c r="K1470" s="3">
        <v>91.44</v>
      </c>
      <c r="L1470" s="2">
        <v>3731</v>
      </c>
      <c r="N1470">
        <v>6.1</v>
      </c>
      <c r="O1470" t="s">
        <v>1606</v>
      </c>
      <c r="P1470" t="s">
        <v>5182</v>
      </c>
      <c r="R1470" t="s">
        <v>42</v>
      </c>
      <c r="S1470" t="s">
        <v>33</v>
      </c>
      <c r="T1470" t="s">
        <v>34</v>
      </c>
      <c r="U1470" t="s">
        <v>44</v>
      </c>
      <c r="V1470" s="2">
        <v>1</v>
      </c>
      <c r="W1470" t="s">
        <v>63</v>
      </c>
      <c r="X1470" t="s">
        <v>34</v>
      </c>
      <c r="Y1470" t="s">
        <v>64</v>
      </c>
      <c r="Z1470" t="s">
        <v>5183</v>
      </c>
      <c r="AA1470" t="s">
        <v>38</v>
      </c>
    </row>
    <row r="1471" spans="1:27">
      <c r="A1471" t="s">
        <v>5184</v>
      </c>
      <c r="B1471" t="s">
        <v>5185</v>
      </c>
      <c r="C1471" t="str">
        <f>VLOOKUP(B1471,Sheet2!$A$2:$A$392,1,0)</f>
        <v>TB. OCEAN MASTER 101/BG. AZAMARA 23</v>
      </c>
      <c r="E1471" t="s">
        <v>40</v>
      </c>
      <c r="F1471" t="s">
        <v>41</v>
      </c>
      <c r="G1471" t="s">
        <v>29</v>
      </c>
      <c r="J1471" s="2">
        <v>12510</v>
      </c>
      <c r="K1471" s="3">
        <v>100.58</v>
      </c>
      <c r="L1471" s="2">
        <v>4170</v>
      </c>
      <c r="P1471" t="s">
        <v>4225</v>
      </c>
      <c r="R1471" t="s">
        <v>42</v>
      </c>
      <c r="S1471" t="s">
        <v>33</v>
      </c>
      <c r="U1471" t="s">
        <v>44</v>
      </c>
      <c r="V1471" s="2">
        <v>1</v>
      </c>
      <c r="X1471" t="s">
        <v>34</v>
      </c>
      <c r="Y1471" t="s">
        <v>45</v>
      </c>
      <c r="Z1471" t="s">
        <v>5186</v>
      </c>
      <c r="AA1471" t="s">
        <v>38</v>
      </c>
    </row>
    <row r="1472" spans="1:27">
      <c r="A1472" t="s">
        <v>5187</v>
      </c>
      <c r="B1472" t="s">
        <v>5188</v>
      </c>
      <c r="C1472" t="str">
        <f>VLOOKUP(B1472,Sheet2!$A$2:$A$392,1,0)</f>
        <v>TB. OCEANUS 202 / BG. OCENAUS 32</v>
      </c>
      <c r="E1472" t="s">
        <v>40</v>
      </c>
      <c r="F1472" t="s">
        <v>41</v>
      </c>
      <c r="G1472" t="s">
        <v>293</v>
      </c>
      <c r="J1472" s="2">
        <v>8000</v>
      </c>
      <c r="K1472" s="3">
        <v>91.44</v>
      </c>
      <c r="L1472" s="2">
        <v>3064</v>
      </c>
      <c r="M1472" s="2">
        <v>1518</v>
      </c>
      <c r="N1472" s="2">
        <v>6</v>
      </c>
      <c r="O1472" t="s">
        <v>294</v>
      </c>
      <c r="P1472" t="s">
        <v>5189</v>
      </c>
      <c r="R1472" t="s">
        <v>42</v>
      </c>
      <c r="S1472" t="s">
        <v>33</v>
      </c>
      <c r="U1472" t="s">
        <v>35</v>
      </c>
      <c r="W1472" t="s">
        <v>63</v>
      </c>
      <c r="X1472" t="s">
        <v>34</v>
      </c>
      <c r="Y1472" t="s">
        <v>64</v>
      </c>
      <c r="Z1472" t="s">
        <v>5190</v>
      </c>
      <c r="AA1472" t="s">
        <v>38</v>
      </c>
    </row>
    <row r="1473" spans="1:27" hidden="1">
      <c r="A1473" t="s">
        <v>5191</v>
      </c>
      <c r="B1473" t="s">
        <v>5192</v>
      </c>
      <c r="C1473" t="e">
        <f>VLOOKUP(B1473,Sheet2!$A$2:$A$392,1,0)</f>
        <v>#N/A</v>
      </c>
      <c r="E1473" t="s">
        <v>27</v>
      </c>
      <c r="F1473" t="s">
        <v>41</v>
      </c>
      <c r="G1473" t="s">
        <v>29</v>
      </c>
      <c r="I1473" t="s">
        <v>42</v>
      </c>
      <c r="J1473" s="2">
        <v>6500</v>
      </c>
      <c r="K1473" s="2">
        <v>118</v>
      </c>
      <c r="L1473" s="2">
        <v>4727</v>
      </c>
      <c r="M1473" s="2">
        <v>2060</v>
      </c>
      <c r="N1473" s="2">
        <v>7</v>
      </c>
      <c r="P1473" t="s">
        <v>5193</v>
      </c>
      <c r="R1473" t="s">
        <v>581</v>
      </c>
      <c r="S1473" t="s">
        <v>33</v>
      </c>
      <c r="T1473" t="s">
        <v>34</v>
      </c>
      <c r="U1473" t="s">
        <v>35</v>
      </c>
      <c r="X1473" t="s">
        <v>34</v>
      </c>
      <c r="Y1473" t="s">
        <v>45</v>
      </c>
      <c r="Z1473" t="s">
        <v>5194</v>
      </c>
      <c r="AA1473" t="s">
        <v>38</v>
      </c>
    </row>
    <row r="1474" spans="1:27">
      <c r="A1474" t="s">
        <v>5195</v>
      </c>
      <c r="B1474" t="s">
        <v>5196</v>
      </c>
      <c r="C1474" t="str">
        <f>VLOOKUP(B1474,Sheet2!$A$2:$A$392,1,0)</f>
        <v>TAREX 2</v>
      </c>
      <c r="E1474" t="s">
        <v>27</v>
      </c>
      <c r="F1474" t="s">
        <v>41</v>
      </c>
      <c r="G1474" t="s">
        <v>158</v>
      </c>
      <c r="J1474" s="2">
        <v>3194</v>
      </c>
      <c r="K1474" s="3">
        <v>74.290000000000006</v>
      </c>
      <c r="L1474" s="2">
        <v>1597</v>
      </c>
      <c r="O1474" t="s">
        <v>159</v>
      </c>
      <c r="P1474" t="s">
        <v>5197</v>
      </c>
      <c r="R1474" t="s">
        <v>32</v>
      </c>
      <c r="S1474" t="s">
        <v>33</v>
      </c>
      <c r="U1474" t="s">
        <v>35</v>
      </c>
      <c r="W1474" t="s">
        <v>63</v>
      </c>
      <c r="X1474" t="s">
        <v>34</v>
      </c>
      <c r="Y1474" t="s">
        <v>64</v>
      </c>
      <c r="Z1474" t="s">
        <v>2411</v>
      </c>
      <c r="AA1474" t="s">
        <v>38</v>
      </c>
    </row>
    <row r="1475" spans="1:27" hidden="1">
      <c r="A1475" t="s">
        <v>5198</v>
      </c>
      <c r="B1475" t="s">
        <v>5199</v>
      </c>
      <c r="C1475" t="e">
        <f>VLOOKUP(B1475,Sheet2!$A$2:$A$392,1,0)</f>
        <v>#N/A</v>
      </c>
      <c r="E1475" t="s">
        <v>72</v>
      </c>
      <c r="G1475" t="s">
        <v>922</v>
      </c>
      <c r="I1475" t="s">
        <v>42</v>
      </c>
      <c r="J1475" s="2">
        <v>7514</v>
      </c>
      <c r="K1475" s="3">
        <v>82.35</v>
      </c>
      <c r="L1475" s="2">
        <v>2085</v>
      </c>
      <c r="P1475" s="2">
        <v>0</v>
      </c>
      <c r="S1475" t="s">
        <v>33</v>
      </c>
      <c r="X1475" t="s">
        <v>34</v>
      </c>
      <c r="Y1475" t="s">
        <v>96</v>
      </c>
      <c r="Z1475" t="s">
        <v>5200</v>
      </c>
      <c r="AA1475" t="s">
        <v>38</v>
      </c>
    </row>
    <row r="1476" spans="1:27" hidden="1">
      <c r="A1476" t="s">
        <v>5201</v>
      </c>
      <c r="B1476" t="s">
        <v>5202</v>
      </c>
      <c r="C1476" t="e">
        <f>VLOOKUP(B1476,Sheet2!$A$2:$A$392,1,0)</f>
        <v>#N/A</v>
      </c>
      <c r="E1476" t="s">
        <v>40</v>
      </c>
      <c r="F1476" t="s">
        <v>41</v>
      </c>
      <c r="G1476" t="s">
        <v>29</v>
      </c>
      <c r="J1476" s="2">
        <v>8000</v>
      </c>
      <c r="K1476" s="2">
        <v>87</v>
      </c>
      <c r="L1476" s="2">
        <v>3339</v>
      </c>
      <c r="P1476" t="s">
        <v>5203</v>
      </c>
      <c r="R1476" t="s">
        <v>694</v>
      </c>
      <c r="S1476" t="s">
        <v>33</v>
      </c>
      <c r="U1476" t="s">
        <v>35</v>
      </c>
      <c r="X1476" t="s">
        <v>34</v>
      </c>
      <c r="Y1476" t="s">
        <v>45</v>
      </c>
      <c r="Z1476" t="s">
        <v>5204</v>
      </c>
      <c r="AA1476" t="s">
        <v>38</v>
      </c>
    </row>
    <row r="1477" spans="1:27" hidden="1">
      <c r="A1477" t="s">
        <v>5205</v>
      </c>
      <c r="B1477" t="s">
        <v>5206</v>
      </c>
      <c r="C1477" t="e">
        <f>VLOOKUP(B1477,Sheet2!$A$2:$A$392,1,0)</f>
        <v>#N/A</v>
      </c>
      <c r="E1477" t="s">
        <v>40</v>
      </c>
      <c r="F1477" t="s">
        <v>41</v>
      </c>
      <c r="G1477" t="s">
        <v>29</v>
      </c>
      <c r="I1477" t="s">
        <v>42</v>
      </c>
      <c r="J1477" s="2">
        <v>9000</v>
      </c>
      <c r="K1477" s="2">
        <v>91</v>
      </c>
      <c r="L1477" s="2">
        <v>3951</v>
      </c>
      <c r="P1477" t="s">
        <v>5207</v>
      </c>
      <c r="R1477" t="s">
        <v>42</v>
      </c>
      <c r="S1477" t="s">
        <v>33</v>
      </c>
      <c r="T1477" t="s">
        <v>34</v>
      </c>
      <c r="U1477" t="s">
        <v>44</v>
      </c>
      <c r="X1477" t="s">
        <v>34</v>
      </c>
      <c r="Y1477" t="s">
        <v>45</v>
      </c>
      <c r="Z1477" t="s">
        <v>5208</v>
      </c>
      <c r="AA1477" t="s">
        <v>38</v>
      </c>
    </row>
    <row r="1478" spans="1:27" hidden="1">
      <c r="A1478" t="s">
        <v>5209</v>
      </c>
      <c r="B1478" t="s">
        <v>5210</v>
      </c>
      <c r="C1478" t="e">
        <f>VLOOKUP(B1478,Sheet2!$A$2:$A$392,1,0)</f>
        <v>#N/A</v>
      </c>
      <c r="E1478" t="s">
        <v>40</v>
      </c>
      <c r="F1478" t="s">
        <v>41</v>
      </c>
      <c r="G1478" t="s">
        <v>29</v>
      </c>
      <c r="I1478" t="s">
        <v>42</v>
      </c>
      <c r="J1478" s="2">
        <v>8000</v>
      </c>
      <c r="K1478" s="2">
        <v>87</v>
      </c>
      <c r="L1478" s="2">
        <v>3314</v>
      </c>
      <c r="M1478" s="2">
        <v>2000</v>
      </c>
      <c r="P1478" t="s">
        <v>5211</v>
      </c>
      <c r="R1478" t="s">
        <v>42</v>
      </c>
      <c r="S1478" t="s">
        <v>33</v>
      </c>
      <c r="T1478" t="s">
        <v>34</v>
      </c>
      <c r="U1478" t="s">
        <v>35</v>
      </c>
      <c r="X1478" t="s">
        <v>34</v>
      </c>
      <c r="Y1478" t="s">
        <v>45</v>
      </c>
      <c r="Z1478" t="s">
        <v>4332</v>
      </c>
      <c r="AA1478" t="s">
        <v>38</v>
      </c>
    </row>
    <row r="1479" spans="1:27" hidden="1">
      <c r="A1479" t="s">
        <v>5212</v>
      </c>
      <c r="B1479" t="s">
        <v>5213</v>
      </c>
      <c r="C1479" t="e">
        <f>VLOOKUP(B1479,Sheet2!$A$2:$A$392,1,0)</f>
        <v>#N/A</v>
      </c>
      <c r="E1479" t="s">
        <v>40</v>
      </c>
      <c r="F1479" t="s">
        <v>41</v>
      </c>
      <c r="G1479" t="s">
        <v>29</v>
      </c>
      <c r="I1479" t="s">
        <v>42</v>
      </c>
      <c r="J1479" s="2">
        <v>7000</v>
      </c>
      <c r="K1479" s="2">
        <v>91</v>
      </c>
      <c r="L1479" s="2">
        <v>3269</v>
      </c>
      <c r="P1479" t="s">
        <v>5214</v>
      </c>
      <c r="R1479" t="s">
        <v>42</v>
      </c>
      <c r="S1479" t="s">
        <v>33</v>
      </c>
      <c r="T1479" t="s">
        <v>34</v>
      </c>
      <c r="U1479" t="s">
        <v>35</v>
      </c>
      <c r="X1479" t="s">
        <v>34</v>
      </c>
      <c r="Y1479" t="s">
        <v>45</v>
      </c>
      <c r="Z1479" t="s">
        <v>5215</v>
      </c>
      <c r="AA1479" t="s">
        <v>38</v>
      </c>
    </row>
    <row r="1480" spans="1:27" hidden="1">
      <c r="A1480" t="s">
        <v>5216</v>
      </c>
      <c r="B1480" t="s">
        <v>5217</v>
      </c>
      <c r="C1480" t="e">
        <f>VLOOKUP(B1480,Sheet2!$A$2:$A$392,1,0)</f>
        <v>#N/A</v>
      </c>
      <c r="E1480" t="s">
        <v>40</v>
      </c>
      <c r="F1480" t="s">
        <v>41</v>
      </c>
      <c r="G1480" t="s">
        <v>29</v>
      </c>
      <c r="I1480" t="s">
        <v>42</v>
      </c>
      <c r="J1480" s="2">
        <v>5000</v>
      </c>
      <c r="K1480" s="2">
        <v>82</v>
      </c>
      <c r="L1480" s="2">
        <v>2547</v>
      </c>
      <c r="N1480" s="3">
        <v>4.25</v>
      </c>
      <c r="P1480" t="s">
        <v>185</v>
      </c>
      <c r="R1480" t="s">
        <v>42</v>
      </c>
      <c r="S1480" t="s">
        <v>33</v>
      </c>
      <c r="T1480" t="s">
        <v>34</v>
      </c>
      <c r="U1480" t="s">
        <v>35</v>
      </c>
      <c r="X1480" t="s">
        <v>34</v>
      </c>
      <c r="Y1480" t="s">
        <v>45</v>
      </c>
      <c r="Z1480" t="s">
        <v>5218</v>
      </c>
      <c r="AA1480" t="s">
        <v>38</v>
      </c>
    </row>
    <row r="1481" spans="1:27" hidden="1">
      <c r="A1481" t="s">
        <v>5219</v>
      </c>
      <c r="B1481" t="s">
        <v>5220</v>
      </c>
      <c r="C1481" t="e">
        <f>VLOOKUP(B1481,Sheet2!$A$2:$A$392,1,0)</f>
        <v>#N/A</v>
      </c>
      <c r="E1481" t="s">
        <v>40</v>
      </c>
      <c r="F1481" t="s">
        <v>41</v>
      </c>
      <c r="G1481" t="s">
        <v>415</v>
      </c>
      <c r="J1481" s="2">
        <v>5000</v>
      </c>
      <c r="K1481" s="3">
        <v>73.150000000000006</v>
      </c>
      <c r="L1481" s="2">
        <v>2128</v>
      </c>
      <c r="P1481" t="s">
        <v>5221</v>
      </c>
      <c r="R1481" t="s">
        <v>42</v>
      </c>
      <c r="S1481" t="s">
        <v>33</v>
      </c>
      <c r="U1481" t="s">
        <v>44</v>
      </c>
      <c r="V1481" s="2">
        <v>1</v>
      </c>
      <c r="W1481" t="s">
        <v>63</v>
      </c>
      <c r="X1481" t="s">
        <v>34</v>
      </c>
      <c r="Y1481" t="s">
        <v>64</v>
      </c>
      <c r="Z1481" t="s">
        <v>5222</v>
      </c>
      <c r="AA1481" t="s">
        <v>38</v>
      </c>
    </row>
    <row r="1482" spans="1:27">
      <c r="A1482" t="s">
        <v>5223</v>
      </c>
      <c r="B1482" t="s">
        <v>5224</v>
      </c>
      <c r="C1482" t="str">
        <f>VLOOKUP(B1482,Sheet2!$A$2:$A$392,1,0)</f>
        <v>TB. ANUGERAH BERSAMA 2235 / BG. PELICAN 303</v>
      </c>
      <c r="E1482" t="s">
        <v>40</v>
      </c>
      <c r="F1482" t="s">
        <v>41</v>
      </c>
      <c r="G1482" t="s">
        <v>415</v>
      </c>
      <c r="I1482" t="s">
        <v>42</v>
      </c>
      <c r="J1482" s="2">
        <v>12000</v>
      </c>
      <c r="K1482" s="3">
        <v>91.44</v>
      </c>
      <c r="L1482" s="2">
        <v>3738</v>
      </c>
      <c r="M1482" s="2">
        <v>1200</v>
      </c>
      <c r="N1482">
        <v>6.1</v>
      </c>
      <c r="O1482" t="s">
        <v>1606</v>
      </c>
      <c r="P1482" t="s">
        <v>5225</v>
      </c>
      <c r="R1482" t="s">
        <v>42</v>
      </c>
      <c r="S1482" t="s">
        <v>33</v>
      </c>
      <c r="U1482" t="s">
        <v>44</v>
      </c>
      <c r="V1482" s="2">
        <v>1</v>
      </c>
      <c r="W1482" t="s">
        <v>63</v>
      </c>
      <c r="X1482" t="s">
        <v>34</v>
      </c>
      <c r="Y1482" t="s">
        <v>64</v>
      </c>
      <c r="Z1482" t="s">
        <v>5226</v>
      </c>
      <c r="AA1482" t="s">
        <v>38</v>
      </c>
    </row>
    <row r="1483" spans="1:27" hidden="1">
      <c r="A1483" t="s">
        <v>5227</v>
      </c>
      <c r="B1483" t="s">
        <v>5228</v>
      </c>
      <c r="C1483" t="e">
        <f>VLOOKUP(B1483,Sheet2!$A$2:$A$392,1,0)</f>
        <v>#N/A</v>
      </c>
      <c r="E1483" t="s">
        <v>40</v>
      </c>
      <c r="F1483" t="s">
        <v>41</v>
      </c>
      <c r="G1483" t="s">
        <v>610</v>
      </c>
      <c r="J1483" s="2">
        <v>8000</v>
      </c>
      <c r="K1483" s="2">
        <v>92</v>
      </c>
      <c r="L1483" s="2">
        <v>3060</v>
      </c>
      <c r="P1483" t="s">
        <v>5229</v>
      </c>
      <c r="R1483" t="s">
        <v>42</v>
      </c>
      <c r="S1483" t="s">
        <v>33</v>
      </c>
      <c r="U1483" t="s">
        <v>44</v>
      </c>
      <c r="W1483" t="s">
        <v>63</v>
      </c>
      <c r="X1483" t="s">
        <v>34</v>
      </c>
      <c r="Y1483" t="s">
        <v>64</v>
      </c>
      <c r="Z1483" t="s">
        <v>5230</v>
      </c>
      <c r="AA1483" t="s">
        <v>38</v>
      </c>
    </row>
    <row r="1484" spans="1:27" hidden="1">
      <c r="A1484" t="s">
        <v>5231</v>
      </c>
      <c r="B1484" t="s">
        <v>5232</v>
      </c>
      <c r="C1484" t="e">
        <f>VLOOKUP(B1484,Sheet2!$A$2:$A$392,1,0)</f>
        <v>#N/A</v>
      </c>
      <c r="E1484" t="s">
        <v>40</v>
      </c>
      <c r="F1484" t="s">
        <v>41</v>
      </c>
      <c r="G1484" t="s">
        <v>293</v>
      </c>
      <c r="J1484" s="2">
        <v>1026</v>
      </c>
      <c r="K1484" s="3">
        <v>87.78</v>
      </c>
      <c r="L1484" s="2">
        <v>3418</v>
      </c>
      <c r="M1484" s="2">
        <v>2400</v>
      </c>
      <c r="N1484" s="2">
        <v>5</v>
      </c>
      <c r="O1484" t="s">
        <v>294</v>
      </c>
      <c r="P1484" t="s">
        <v>5233</v>
      </c>
      <c r="R1484" t="s">
        <v>42</v>
      </c>
      <c r="S1484" t="s">
        <v>33</v>
      </c>
      <c r="U1484" t="s">
        <v>35</v>
      </c>
      <c r="W1484" t="s">
        <v>63</v>
      </c>
      <c r="X1484" t="s">
        <v>34</v>
      </c>
      <c r="Y1484" t="s">
        <v>64</v>
      </c>
      <c r="Z1484" t="s">
        <v>5234</v>
      </c>
      <c r="AA1484" t="s">
        <v>38</v>
      </c>
    </row>
    <row r="1485" spans="1:27" hidden="1">
      <c r="A1485" t="s">
        <v>5235</v>
      </c>
      <c r="B1485" t="s">
        <v>5236</v>
      </c>
      <c r="C1485" t="e">
        <f>VLOOKUP(B1485,Sheet2!$A$2:$A$392,1,0)</f>
        <v>#N/A</v>
      </c>
      <c r="E1485" t="s">
        <v>40</v>
      </c>
      <c r="F1485" t="s">
        <v>41</v>
      </c>
      <c r="G1485" t="s">
        <v>59</v>
      </c>
      <c r="I1485" t="s">
        <v>42</v>
      </c>
      <c r="J1485" s="2">
        <v>4500</v>
      </c>
      <c r="K1485" s="2">
        <v>82</v>
      </c>
      <c r="L1485" s="2">
        <v>3254</v>
      </c>
      <c r="M1485" s="2">
        <v>2000</v>
      </c>
      <c r="N1485" s="2">
        <v>5</v>
      </c>
      <c r="O1485" t="s">
        <v>61</v>
      </c>
      <c r="P1485" t="s">
        <v>5237</v>
      </c>
      <c r="R1485" t="s">
        <v>42</v>
      </c>
      <c r="S1485" t="s">
        <v>33</v>
      </c>
      <c r="T1485" t="s">
        <v>34</v>
      </c>
      <c r="U1485" t="s">
        <v>35</v>
      </c>
      <c r="W1485" t="s">
        <v>63</v>
      </c>
      <c r="X1485" t="s">
        <v>34</v>
      </c>
      <c r="Y1485" t="s">
        <v>64</v>
      </c>
      <c r="Z1485" t="s">
        <v>5238</v>
      </c>
      <c r="AA1485" t="s">
        <v>38</v>
      </c>
    </row>
    <row r="1486" spans="1:27">
      <c r="A1486" t="s">
        <v>5239</v>
      </c>
      <c r="B1486" t="s">
        <v>5240</v>
      </c>
      <c r="C1486" t="str">
        <f>VLOOKUP(B1486,Sheet2!$A$2:$A$392,1,0)</f>
        <v>TB. ALBATROSS 6-BG. PELICAN 305</v>
      </c>
      <c r="E1486" t="s">
        <v>40</v>
      </c>
      <c r="F1486" t="s">
        <v>41</v>
      </c>
      <c r="G1486" t="s">
        <v>415</v>
      </c>
      <c r="I1486" t="s">
        <v>42</v>
      </c>
      <c r="J1486" s="2">
        <v>9330</v>
      </c>
      <c r="K1486">
        <v>91.5</v>
      </c>
      <c r="L1486" s="2">
        <v>3110</v>
      </c>
      <c r="N1486">
        <v>6.1</v>
      </c>
      <c r="O1486" t="s">
        <v>1606</v>
      </c>
      <c r="P1486" t="s">
        <v>5241</v>
      </c>
      <c r="R1486" t="s">
        <v>42</v>
      </c>
      <c r="S1486" t="s">
        <v>33</v>
      </c>
      <c r="T1486" t="s">
        <v>34</v>
      </c>
      <c r="U1486" t="s">
        <v>44</v>
      </c>
      <c r="V1486" s="2">
        <v>1</v>
      </c>
      <c r="W1486" t="s">
        <v>63</v>
      </c>
      <c r="X1486" t="s">
        <v>34</v>
      </c>
      <c r="Y1486" t="s">
        <v>64</v>
      </c>
      <c r="Z1486" t="s">
        <v>5242</v>
      </c>
      <c r="AA1486" t="s">
        <v>38</v>
      </c>
    </row>
    <row r="1487" spans="1:27">
      <c r="A1487" t="s">
        <v>5243</v>
      </c>
      <c r="B1487" t="s">
        <v>5244</v>
      </c>
      <c r="C1487" t="str">
        <f>VLOOKUP(B1487,Sheet2!$A$2:$A$392,1,0)</f>
        <v>TB. ALBATROSS 7-BG. PELICAN 307</v>
      </c>
      <c r="E1487" t="s">
        <v>40</v>
      </c>
      <c r="F1487" t="s">
        <v>41</v>
      </c>
      <c r="G1487" t="s">
        <v>415</v>
      </c>
      <c r="I1487" t="s">
        <v>42</v>
      </c>
      <c r="J1487" s="2">
        <v>9441</v>
      </c>
      <c r="K1487">
        <v>91.5</v>
      </c>
      <c r="L1487" s="2">
        <v>3147</v>
      </c>
      <c r="N1487">
        <v>5.5</v>
      </c>
      <c r="O1487" t="s">
        <v>1606</v>
      </c>
      <c r="P1487" t="s">
        <v>1220</v>
      </c>
      <c r="R1487" t="s">
        <v>42</v>
      </c>
      <c r="S1487" t="s">
        <v>33</v>
      </c>
      <c r="T1487" t="s">
        <v>34</v>
      </c>
      <c r="U1487" t="s">
        <v>44</v>
      </c>
      <c r="W1487" t="s">
        <v>63</v>
      </c>
      <c r="X1487" t="s">
        <v>34</v>
      </c>
      <c r="Y1487" t="s">
        <v>64</v>
      </c>
      <c r="Z1487" t="s">
        <v>5245</v>
      </c>
      <c r="AA1487" t="s">
        <v>38</v>
      </c>
    </row>
    <row r="1488" spans="1:27">
      <c r="A1488" t="s">
        <v>5246</v>
      </c>
      <c r="B1488" t="s">
        <v>5247</v>
      </c>
      <c r="C1488" t="str">
        <f>VLOOKUP(B1488,Sheet2!$A$2:$A$392,1,0)</f>
        <v>TB. KBS 208-BG. GTO 395</v>
      </c>
      <c r="E1488" t="s">
        <v>40</v>
      </c>
      <c r="F1488" t="s">
        <v>41</v>
      </c>
      <c r="G1488" t="s">
        <v>415</v>
      </c>
      <c r="I1488" t="s">
        <v>42</v>
      </c>
      <c r="J1488" s="2">
        <v>10632</v>
      </c>
      <c r="K1488">
        <v>91.5</v>
      </c>
      <c r="L1488" s="2">
        <v>3544</v>
      </c>
      <c r="N1488">
        <v>5.5</v>
      </c>
      <c r="O1488" t="s">
        <v>1606</v>
      </c>
      <c r="P1488" t="s">
        <v>5248</v>
      </c>
      <c r="R1488" t="s">
        <v>42</v>
      </c>
      <c r="S1488" t="s">
        <v>33</v>
      </c>
      <c r="T1488" t="s">
        <v>34</v>
      </c>
      <c r="U1488" t="s">
        <v>44</v>
      </c>
      <c r="W1488" t="s">
        <v>63</v>
      </c>
      <c r="X1488" t="s">
        <v>34</v>
      </c>
      <c r="Y1488" t="s">
        <v>64</v>
      </c>
      <c r="Z1488" t="s">
        <v>5245</v>
      </c>
      <c r="AA1488" t="s">
        <v>38</v>
      </c>
    </row>
    <row r="1489" spans="1:27">
      <c r="A1489" t="s">
        <v>5249</v>
      </c>
      <c r="B1489" t="s">
        <v>5250</v>
      </c>
      <c r="C1489" t="str">
        <f>VLOOKUP(B1489,Sheet2!$A$2:$A$392,1,0)</f>
        <v>TB. LIBERTY 3-BG. AZAMARA 3055</v>
      </c>
      <c r="E1489" t="s">
        <v>40</v>
      </c>
      <c r="F1489" t="s">
        <v>41</v>
      </c>
      <c r="G1489" t="s">
        <v>415</v>
      </c>
      <c r="I1489" t="s">
        <v>42</v>
      </c>
      <c r="J1489" s="2">
        <v>11193</v>
      </c>
      <c r="K1489" s="3">
        <v>91.44</v>
      </c>
      <c r="L1489" s="2">
        <v>3731</v>
      </c>
      <c r="N1489">
        <v>6.1</v>
      </c>
      <c r="O1489" t="s">
        <v>1606</v>
      </c>
      <c r="P1489" t="s">
        <v>2564</v>
      </c>
      <c r="R1489" t="s">
        <v>42</v>
      </c>
      <c r="S1489" t="s">
        <v>33</v>
      </c>
      <c r="T1489" t="s">
        <v>34</v>
      </c>
      <c r="U1489" t="s">
        <v>44</v>
      </c>
      <c r="V1489" s="2">
        <v>1</v>
      </c>
      <c r="W1489" t="s">
        <v>63</v>
      </c>
      <c r="X1489" t="s">
        <v>34</v>
      </c>
      <c r="Y1489" t="s">
        <v>64</v>
      </c>
      <c r="Z1489" t="s">
        <v>5245</v>
      </c>
      <c r="AA1489" t="s">
        <v>38</v>
      </c>
    </row>
    <row r="1490" spans="1:27" hidden="1">
      <c r="A1490" t="s">
        <v>5251</v>
      </c>
      <c r="B1490" t="s">
        <v>5252</v>
      </c>
      <c r="C1490" t="e">
        <f>VLOOKUP(B1490,Sheet2!$A$2:$A$392,1,0)</f>
        <v>#N/A</v>
      </c>
      <c r="E1490" t="s">
        <v>40</v>
      </c>
      <c r="F1490" t="s">
        <v>41</v>
      </c>
      <c r="G1490" t="s">
        <v>29</v>
      </c>
      <c r="I1490" t="s">
        <v>42</v>
      </c>
      <c r="J1490" s="2">
        <v>8000</v>
      </c>
      <c r="K1490" s="2">
        <v>87</v>
      </c>
      <c r="L1490" s="2">
        <v>3312</v>
      </c>
      <c r="P1490" t="s">
        <v>185</v>
      </c>
      <c r="R1490" t="s">
        <v>42</v>
      </c>
      <c r="S1490" t="s">
        <v>33</v>
      </c>
      <c r="T1490" t="s">
        <v>34</v>
      </c>
      <c r="U1490" t="s">
        <v>35</v>
      </c>
      <c r="X1490" t="s">
        <v>34</v>
      </c>
      <c r="Y1490" t="s">
        <v>45</v>
      </c>
      <c r="Z1490" t="s">
        <v>698</v>
      </c>
      <c r="AA1490" t="s">
        <v>38</v>
      </c>
    </row>
    <row r="1491" spans="1:27" hidden="1">
      <c r="A1491" t="s">
        <v>5253</v>
      </c>
      <c r="B1491" t="s">
        <v>5254</v>
      </c>
      <c r="C1491" t="e">
        <f>VLOOKUP(B1491,Sheet2!$A$2:$A$392,1,0)</f>
        <v>#N/A</v>
      </c>
      <c r="E1491" t="s">
        <v>40</v>
      </c>
      <c r="F1491" t="s">
        <v>41</v>
      </c>
      <c r="G1491" t="s">
        <v>415</v>
      </c>
      <c r="I1491" t="s">
        <v>42</v>
      </c>
      <c r="J1491" s="2">
        <v>9347</v>
      </c>
      <c r="K1491" s="3">
        <v>87.84</v>
      </c>
      <c r="L1491" s="2">
        <v>3739</v>
      </c>
      <c r="O1491" t="s">
        <v>1606</v>
      </c>
      <c r="P1491" t="s">
        <v>5255</v>
      </c>
      <c r="R1491" t="s">
        <v>42</v>
      </c>
      <c r="S1491" t="s">
        <v>33</v>
      </c>
      <c r="T1491" t="s">
        <v>34</v>
      </c>
      <c r="U1491" t="s">
        <v>44</v>
      </c>
      <c r="V1491" s="2">
        <v>1</v>
      </c>
      <c r="W1491" t="s">
        <v>63</v>
      </c>
      <c r="X1491" t="s">
        <v>34</v>
      </c>
      <c r="Y1491" t="s">
        <v>64</v>
      </c>
      <c r="Z1491" t="s">
        <v>5256</v>
      </c>
      <c r="AA1491" t="s">
        <v>38</v>
      </c>
    </row>
    <row r="1492" spans="1:27" hidden="1">
      <c r="A1492" t="s">
        <v>5257</v>
      </c>
      <c r="B1492" t="s">
        <v>5258</v>
      </c>
      <c r="C1492" t="e">
        <f>VLOOKUP(B1492,Sheet2!$A$2:$A$392,1,0)</f>
        <v>#N/A</v>
      </c>
      <c r="E1492" t="s">
        <v>40</v>
      </c>
      <c r="F1492" t="s">
        <v>41</v>
      </c>
      <c r="G1492" t="s">
        <v>415</v>
      </c>
      <c r="I1492" t="s">
        <v>42</v>
      </c>
      <c r="J1492" s="2">
        <v>5570</v>
      </c>
      <c r="K1492">
        <v>82.3</v>
      </c>
      <c r="L1492" s="2">
        <v>2228</v>
      </c>
      <c r="M1492" s="2">
        <v>1200</v>
      </c>
      <c r="O1492" t="s">
        <v>1606</v>
      </c>
      <c r="P1492" t="s">
        <v>5259</v>
      </c>
      <c r="R1492" t="s">
        <v>42</v>
      </c>
      <c r="S1492" t="s">
        <v>33</v>
      </c>
      <c r="T1492" t="s">
        <v>34</v>
      </c>
      <c r="U1492" t="s">
        <v>44</v>
      </c>
      <c r="V1492" s="2">
        <v>1</v>
      </c>
      <c r="W1492" t="s">
        <v>63</v>
      </c>
      <c r="X1492" t="s">
        <v>34</v>
      </c>
      <c r="Y1492" t="s">
        <v>64</v>
      </c>
      <c r="Z1492" t="s">
        <v>5260</v>
      </c>
      <c r="AA1492" t="s">
        <v>38</v>
      </c>
    </row>
    <row r="1493" spans="1:27" hidden="1">
      <c r="A1493" t="s">
        <v>5261</v>
      </c>
      <c r="B1493" t="s">
        <v>5262</v>
      </c>
      <c r="C1493" t="e">
        <f>VLOOKUP(B1493,Sheet2!$A$2:$A$392,1,0)</f>
        <v>#N/A</v>
      </c>
      <c r="E1493" t="s">
        <v>40</v>
      </c>
      <c r="F1493" t="s">
        <v>41</v>
      </c>
      <c r="G1493" t="s">
        <v>415</v>
      </c>
      <c r="I1493" t="s">
        <v>42</v>
      </c>
      <c r="J1493" s="2">
        <v>1365</v>
      </c>
      <c r="K1493" s="3">
        <v>100.58</v>
      </c>
      <c r="L1493" s="2">
        <v>4550</v>
      </c>
      <c r="N1493">
        <v>6.4</v>
      </c>
      <c r="O1493" t="s">
        <v>1606</v>
      </c>
      <c r="P1493" t="s">
        <v>401</v>
      </c>
      <c r="R1493" t="s">
        <v>42</v>
      </c>
      <c r="S1493" t="s">
        <v>33</v>
      </c>
      <c r="T1493" t="s">
        <v>34</v>
      </c>
      <c r="U1493" t="s">
        <v>44</v>
      </c>
      <c r="V1493" s="2">
        <v>1</v>
      </c>
      <c r="W1493" t="s">
        <v>63</v>
      </c>
      <c r="X1493" t="s">
        <v>34</v>
      </c>
      <c r="Y1493" t="s">
        <v>64</v>
      </c>
      <c r="Z1493" t="s">
        <v>5263</v>
      </c>
      <c r="AA1493" t="s">
        <v>38</v>
      </c>
    </row>
    <row r="1494" spans="1:27" hidden="1">
      <c r="A1494" t="s">
        <v>5264</v>
      </c>
      <c r="B1494" t="s">
        <v>5265</v>
      </c>
      <c r="C1494" t="e">
        <f>VLOOKUP(B1494,Sheet2!$A$2:$A$392,1,0)</f>
        <v>#N/A</v>
      </c>
      <c r="E1494" t="s">
        <v>40</v>
      </c>
      <c r="F1494" t="s">
        <v>41</v>
      </c>
      <c r="G1494" t="s">
        <v>610</v>
      </c>
      <c r="J1494" s="2">
        <v>9000</v>
      </c>
      <c r="K1494" s="3">
        <v>94.49</v>
      </c>
      <c r="L1494" s="2">
        <v>3578</v>
      </c>
      <c r="P1494" t="s">
        <v>5266</v>
      </c>
      <c r="R1494" t="s">
        <v>42</v>
      </c>
      <c r="S1494" t="s">
        <v>33</v>
      </c>
      <c r="U1494" t="s">
        <v>44</v>
      </c>
      <c r="W1494" t="s">
        <v>63</v>
      </c>
      <c r="X1494" t="s">
        <v>34</v>
      </c>
      <c r="Y1494" t="s">
        <v>64</v>
      </c>
      <c r="Z1494" t="s">
        <v>5267</v>
      </c>
      <c r="AA1494" t="s">
        <v>38</v>
      </c>
    </row>
    <row r="1495" spans="1:27" hidden="1">
      <c r="A1495" t="s">
        <v>5268</v>
      </c>
      <c r="B1495" t="s">
        <v>5269</v>
      </c>
      <c r="C1495" t="e">
        <f>VLOOKUP(B1495,Sheet2!$A$2:$A$392,1,0)</f>
        <v>#N/A</v>
      </c>
      <c r="E1495" t="s">
        <v>249</v>
      </c>
      <c r="G1495" t="s">
        <v>5270</v>
      </c>
      <c r="I1495" t="s">
        <v>42</v>
      </c>
      <c r="J1495" s="2">
        <v>6144</v>
      </c>
      <c r="K1495" s="2">
        <v>107</v>
      </c>
      <c r="L1495" s="2">
        <v>3994</v>
      </c>
      <c r="P1495" t="s">
        <v>5271</v>
      </c>
      <c r="S1495" t="s">
        <v>33</v>
      </c>
      <c r="X1495" t="s">
        <v>34</v>
      </c>
      <c r="AA1495" t="s">
        <v>38</v>
      </c>
    </row>
    <row r="1496" spans="1:27" hidden="1">
      <c r="A1496" t="s">
        <v>5272</v>
      </c>
      <c r="B1496" t="s">
        <v>5273</v>
      </c>
      <c r="C1496" t="e">
        <f>VLOOKUP(B1496,Sheet2!$A$2:$A$392,1,0)</f>
        <v>#N/A</v>
      </c>
      <c r="E1496" t="s">
        <v>40</v>
      </c>
      <c r="F1496" t="s">
        <v>41</v>
      </c>
      <c r="G1496" t="s">
        <v>59</v>
      </c>
      <c r="I1496" t="s">
        <v>42</v>
      </c>
      <c r="J1496" s="2">
        <v>4000</v>
      </c>
      <c r="K1496" s="2">
        <v>70</v>
      </c>
      <c r="L1496" s="2">
        <v>1465</v>
      </c>
      <c r="M1496" s="2">
        <v>894</v>
      </c>
      <c r="N1496" s="2">
        <v>5</v>
      </c>
      <c r="O1496" t="s">
        <v>61</v>
      </c>
      <c r="P1496" t="s">
        <v>5274</v>
      </c>
      <c r="R1496" t="s">
        <v>42</v>
      </c>
      <c r="S1496" t="s">
        <v>33</v>
      </c>
      <c r="T1496" t="s">
        <v>34</v>
      </c>
      <c r="U1496" t="s">
        <v>35</v>
      </c>
      <c r="W1496" t="s">
        <v>63</v>
      </c>
      <c r="X1496" t="s">
        <v>34</v>
      </c>
      <c r="Y1496" t="s">
        <v>64</v>
      </c>
      <c r="Z1496" t="s">
        <v>4044</v>
      </c>
      <c r="AA1496" t="s">
        <v>38</v>
      </c>
    </row>
    <row r="1497" spans="1:27">
      <c r="A1497" t="s">
        <v>5275</v>
      </c>
      <c r="B1497" t="s">
        <v>5276</v>
      </c>
      <c r="C1497" t="str">
        <f>VLOOKUP(B1497,Sheet2!$A$2:$A$392,1,0)</f>
        <v>TB. AVENGERS 07 &amp; BG. SPA 30002</v>
      </c>
      <c r="E1497" t="s">
        <v>40</v>
      </c>
      <c r="F1497" t="s">
        <v>41</v>
      </c>
      <c r="G1497" t="s">
        <v>158</v>
      </c>
      <c r="I1497" t="s">
        <v>42</v>
      </c>
      <c r="J1497" s="2">
        <v>7351</v>
      </c>
      <c r="K1497" s="3">
        <v>91.44</v>
      </c>
      <c r="L1497" s="2">
        <v>3045</v>
      </c>
      <c r="P1497" t="s">
        <v>5277</v>
      </c>
      <c r="R1497" t="s">
        <v>42</v>
      </c>
      <c r="S1497" t="s">
        <v>33</v>
      </c>
      <c r="T1497" t="s">
        <v>34</v>
      </c>
      <c r="U1497" t="s">
        <v>35</v>
      </c>
      <c r="W1497" t="s">
        <v>63</v>
      </c>
      <c r="X1497" t="s">
        <v>34</v>
      </c>
      <c r="Y1497" t="s">
        <v>64</v>
      </c>
      <c r="Z1497" t="s">
        <v>5278</v>
      </c>
      <c r="AA1497" t="s">
        <v>38</v>
      </c>
    </row>
    <row r="1498" spans="1:27">
      <c r="A1498" t="s">
        <v>5279</v>
      </c>
      <c r="B1498" t="s">
        <v>5280</v>
      </c>
      <c r="C1498" t="str">
        <f>VLOOKUP(B1498,Sheet2!$A$2:$A$392,1,0)</f>
        <v>TB. ALPHA II / BG. AULIYA KURNIA V</v>
      </c>
      <c r="E1498" t="s">
        <v>40</v>
      </c>
      <c r="F1498" t="s">
        <v>41</v>
      </c>
      <c r="G1498" t="s">
        <v>158</v>
      </c>
      <c r="J1498" s="2">
        <v>4000</v>
      </c>
      <c r="K1498">
        <v>76.2</v>
      </c>
      <c r="L1498" s="2">
        <v>2013</v>
      </c>
      <c r="O1498" t="s">
        <v>159</v>
      </c>
      <c r="P1498" t="s">
        <v>5281</v>
      </c>
      <c r="R1498" t="s">
        <v>42</v>
      </c>
      <c r="S1498" t="s">
        <v>33</v>
      </c>
      <c r="U1498" t="s">
        <v>35</v>
      </c>
      <c r="W1498" t="s">
        <v>63</v>
      </c>
      <c r="X1498" t="s">
        <v>34</v>
      </c>
      <c r="Y1498" t="s">
        <v>64</v>
      </c>
      <c r="Z1498" t="s">
        <v>5282</v>
      </c>
      <c r="AA1498" t="s">
        <v>38</v>
      </c>
    </row>
    <row r="1499" spans="1:27" hidden="1">
      <c r="A1499" t="s">
        <v>5283</v>
      </c>
      <c r="B1499" t="s">
        <v>5284</v>
      </c>
      <c r="C1499" t="e">
        <f>VLOOKUP(B1499,Sheet2!$A$2:$A$392,1,0)</f>
        <v>#N/A</v>
      </c>
      <c r="E1499" t="s">
        <v>40</v>
      </c>
      <c r="F1499" t="s">
        <v>41</v>
      </c>
      <c r="G1499" t="s">
        <v>158</v>
      </c>
      <c r="J1499" s="2">
        <v>3535</v>
      </c>
      <c r="K1499">
        <v>70.099999999999994</v>
      </c>
      <c r="L1499" s="2">
        <v>1416</v>
      </c>
      <c r="O1499" t="s">
        <v>159</v>
      </c>
      <c r="P1499" t="s">
        <v>5285</v>
      </c>
      <c r="R1499" t="s">
        <v>42</v>
      </c>
      <c r="S1499" t="s">
        <v>33</v>
      </c>
      <c r="U1499" t="s">
        <v>35</v>
      </c>
      <c r="W1499" t="s">
        <v>63</v>
      </c>
      <c r="X1499" t="s">
        <v>34</v>
      </c>
      <c r="Y1499" t="s">
        <v>64</v>
      </c>
      <c r="Z1499" t="s">
        <v>5282</v>
      </c>
      <c r="AA1499" t="s">
        <v>38</v>
      </c>
    </row>
    <row r="1500" spans="1:27">
      <c r="A1500" t="s">
        <v>5286</v>
      </c>
      <c r="B1500" t="s">
        <v>381</v>
      </c>
      <c r="C1500" t="str">
        <f>VLOOKUP(B1500,Sheet2!$A$2:$A$392,1,0)</f>
        <v>TB. AVERY / BG. NAOMI</v>
      </c>
      <c r="E1500" t="s">
        <v>40</v>
      </c>
      <c r="F1500" t="s">
        <v>41</v>
      </c>
      <c r="G1500" t="s">
        <v>382</v>
      </c>
      <c r="I1500" t="s">
        <v>42</v>
      </c>
      <c r="J1500" s="2">
        <v>8000</v>
      </c>
      <c r="K1500" s="3">
        <v>91.44</v>
      </c>
      <c r="L1500" s="2">
        <v>3145</v>
      </c>
      <c r="M1500" s="2">
        <v>1658</v>
      </c>
      <c r="N1500" s="2">
        <v>4</v>
      </c>
      <c r="O1500" t="s">
        <v>383</v>
      </c>
      <c r="P1500" t="s">
        <v>384</v>
      </c>
      <c r="R1500" t="s">
        <v>42</v>
      </c>
      <c r="S1500" t="s">
        <v>33</v>
      </c>
      <c r="T1500" t="s">
        <v>34</v>
      </c>
      <c r="U1500" t="s">
        <v>35</v>
      </c>
      <c r="V1500" s="2">
        <v>0</v>
      </c>
      <c r="W1500" t="s">
        <v>63</v>
      </c>
      <c r="X1500" t="s">
        <v>34</v>
      </c>
      <c r="Y1500" t="s">
        <v>64</v>
      </c>
      <c r="Z1500" t="s">
        <v>5287</v>
      </c>
      <c r="AA1500" t="s">
        <v>38</v>
      </c>
    </row>
    <row r="1501" spans="1:27" hidden="1">
      <c r="A1501" t="s">
        <v>5288</v>
      </c>
      <c r="B1501" t="s">
        <v>5289</v>
      </c>
      <c r="C1501" t="e">
        <f>VLOOKUP(B1501,Sheet2!$A$2:$A$392,1,0)</f>
        <v>#N/A</v>
      </c>
      <c r="E1501" t="s">
        <v>40</v>
      </c>
      <c r="F1501" t="s">
        <v>41</v>
      </c>
      <c r="G1501" t="s">
        <v>756</v>
      </c>
      <c r="J1501" s="2">
        <v>700</v>
      </c>
      <c r="K1501" s="2">
        <v>41</v>
      </c>
      <c r="L1501" s="2">
        <v>332</v>
      </c>
      <c r="O1501" t="s">
        <v>757</v>
      </c>
      <c r="P1501" t="s">
        <v>5290</v>
      </c>
      <c r="R1501" t="s">
        <v>42</v>
      </c>
      <c r="S1501" t="s">
        <v>33</v>
      </c>
      <c r="U1501" t="s">
        <v>35</v>
      </c>
      <c r="W1501" t="s">
        <v>63</v>
      </c>
      <c r="X1501" t="s">
        <v>34</v>
      </c>
      <c r="Y1501" t="s">
        <v>64</v>
      </c>
      <c r="Z1501" t="s">
        <v>5291</v>
      </c>
      <c r="AA1501" t="s">
        <v>38</v>
      </c>
    </row>
    <row r="1502" spans="1:27" hidden="1">
      <c r="A1502" t="s">
        <v>5292</v>
      </c>
      <c r="B1502" t="s">
        <v>5293</v>
      </c>
      <c r="C1502" t="e">
        <f>VLOOKUP(B1502,Sheet2!$A$2:$A$392,1,0)</f>
        <v>#N/A</v>
      </c>
      <c r="E1502" t="s">
        <v>27</v>
      </c>
      <c r="I1502" t="s">
        <v>42</v>
      </c>
      <c r="J1502" s="2">
        <v>1</v>
      </c>
      <c r="K1502" s="2">
        <v>65</v>
      </c>
      <c r="L1502" s="2">
        <v>1387</v>
      </c>
      <c r="P1502" t="s">
        <v>5294</v>
      </c>
      <c r="S1502" t="s">
        <v>33</v>
      </c>
      <c r="X1502" t="s">
        <v>34</v>
      </c>
      <c r="AA1502" t="s">
        <v>38</v>
      </c>
    </row>
    <row r="1503" spans="1:27" hidden="1">
      <c r="A1503" t="s">
        <v>5295</v>
      </c>
      <c r="B1503" t="s">
        <v>5296</v>
      </c>
      <c r="C1503" t="e">
        <f>VLOOKUP(B1503,Sheet2!$A$2:$A$392,1,0)</f>
        <v>#N/A</v>
      </c>
      <c r="E1503" t="s">
        <v>40</v>
      </c>
      <c r="F1503" t="s">
        <v>41</v>
      </c>
      <c r="G1503" t="s">
        <v>610</v>
      </c>
      <c r="I1503" t="s">
        <v>42</v>
      </c>
      <c r="J1503" s="2">
        <v>9500</v>
      </c>
      <c r="K1503">
        <v>97.6</v>
      </c>
      <c r="L1503" s="2">
        <v>3761</v>
      </c>
      <c r="P1503" t="s">
        <v>5297</v>
      </c>
      <c r="R1503" t="s">
        <v>42</v>
      </c>
      <c r="S1503" t="s">
        <v>33</v>
      </c>
      <c r="T1503" t="s">
        <v>34</v>
      </c>
      <c r="U1503" t="s">
        <v>44</v>
      </c>
      <c r="W1503" t="s">
        <v>63</v>
      </c>
      <c r="X1503" t="s">
        <v>34</v>
      </c>
      <c r="Y1503" t="s">
        <v>64</v>
      </c>
      <c r="Z1503" t="s">
        <v>2838</v>
      </c>
      <c r="AA1503" t="s">
        <v>38</v>
      </c>
    </row>
    <row r="1504" spans="1:27">
      <c r="A1504" t="s">
        <v>5298</v>
      </c>
      <c r="B1504" t="s">
        <v>5299</v>
      </c>
      <c r="C1504" t="str">
        <f>VLOOKUP(B1504,Sheet2!$A$2:$A$392,1,0)</f>
        <v>TB. BLUEFIN III / BG.DIAMOND 3002</v>
      </c>
      <c r="E1504" t="s">
        <v>40</v>
      </c>
      <c r="F1504" t="s">
        <v>41</v>
      </c>
      <c r="G1504" t="s">
        <v>382</v>
      </c>
      <c r="I1504" t="s">
        <v>42</v>
      </c>
      <c r="J1504" s="2">
        <v>8000</v>
      </c>
      <c r="K1504">
        <v>91.5</v>
      </c>
      <c r="L1504" s="2">
        <v>3138</v>
      </c>
      <c r="M1504" s="2">
        <v>1030</v>
      </c>
      <c r="N1504" s="2">
        <v>4</v>
      </c>
      <c r="O1504" t="s">
        <v>383</v>
      </c>
      <c r="P1504" t="s">
        <v>5300</v>
      </c>
      <c r="R1504" t="s">
        <v>42</v>
      </c>
      <c r="S1504" t="s">
        <v>33</v>
      </c>
      <c r="T1504" t="s">
        <v>34</v>
      </c>
      <c r="U1504" t="s">
        <v>35</v>
      </c>
      <c r="V1504" s="2">
        <v>0</v>
      </c>
      <c r="W1504" t="s">
        <v>63</v>
      </c>
      <c r="X1504" t="s">
        <v>34</v>
      </c>
      <c r="Y1504" t="s">
        <v>64</v>
      </c>
      <c r="Z1504" t="s">
        <v>5301</v>
      </c>
      <c r="AA1504" t="s">
        <v>38</v>
      </c>
    </row>
    <row r="1505" spans="1:27" hidden="1">
      <c r="A1505" t="s">
        <v>5302</v>
      </c>
      <c r="B1505" t="s">
        <v>5303</v>
      </c>
      <c r="C1505" t="e">
        <f>VLOOKUP(B1505,Sheet2!$A$2:$A$392,1,0)</f>
        <v>#N/A</v>
      </c>
      <c r="E1505" t="s">
        <v>40</v>
      </c>
      <c r="F1505" t="s">
        <v>41</v>
      </c>
      <c r="G1505" t="s">
        <v>415</v>
      </c>
      <c r="J1505" s="2">
        <v>9300</v>
      </c>
      <c r="K1505" s="2">
        <v>92</v>
      </c>
      <c r="L1505" s="2">
        <v>3099</v>
      </c>
      <c r="O1505" t="s">
        <v>1606</v>
      </c>
      <c r="P1505" t="s">
        <v>5304</v>
      </c>
      <c r="R1505" t="s">
        <v>42</v>
      </c>
      <c r="S1505" t="s">
        <v>33</v>
      </c>
      <c r="U1505" t="s">
        <v>44</v>
      </c>
      <c r="W1505" t="s">
        <v>63</v>
      </c>
      <c r="X1505" t="s">
        <v>34</v>
      </c>
      <c r="Y1505" t="s">
        <v>64</v>
      </c>
      <c r="Z1505" t="s">
        <v>5305</v>
      </c>
      <c r="AA1505" t="s">
        <v>38</v>
      </c>
    </row>
    <row r="1506" spans="1:27" hidden="1">
      <c r="A1506" t="s">
        <v>5306</v>
      </c>
      <c r="B1506" t="s">
        <v>5307</v>
      </c>
      <c r="C1506" t="e">
        <f>VLOOKUP(B1506,Sheet2!$A$2:$A$392,1,0)</f>
        <v>#N/A</v>
      </c>
      <c r="E1506" t="s">
        <v>40</v>
      </c>
      <c r="F1506" t="s">
        <v>41</v>
      </c>
      <c r="G1506" t="s">
        <v>610</v>
      </c>
      <c r="I1506" t="s">
        <v>42</v>
      </c>
      <c r="J1506" s="2">
        <v>8000</v>
      </c>
      <c r="K1506" s="3">
        <v>91.44</v>
      </c>
      <c r="L1506" s="2">
        <v>3226</v>
      </c>
      <c r="O1506" t="s">
        <v>5308</v>
      </c>
      <c r="P1506" t="s">
        <v>5309</v>
      </c>
      <c r="R1506" t="s">
        <v>42</v>
      </c>
      <c r="S1506" t="s">
        <v>33</v>
      </c>
      <c r="U1506" t="s">
        <v>44</v>
      </c>
      <c r="W1506" t="s">
        <v>63</v>
      </c>
      <c r="X1506" t="s">
        <v>34</v>
      </c>
      <c r="Y1506" t="s">
        <v>64</v>
      </c>
      <c r="Z1506" t="s">
        <v>5310</v>
      </c>
      <c r="AA1506" t="s">
        <v>38</v>
      </c>
    </row>
    <row r="1507" spans="1:27" hidden="1">
      <c r="A1507" t="s">
        <v>5311</v>
      </c>
      <c r="B1507" t="s">
        <v>5312</v>
      </c>
      <c r="C1507" t="e">
        <f>VLOOKUP(B1507,Sheet2!$A$2:$A$392,1,0)</f>
        <v>#N/A</v>
      </c>
      <c r="E1507" t="s">
        <v>40</v>
      </c>
      <c r="F1507" t="s">
        <v>41</v>
      </c>
      <c r="G1507" t="s">
        <v>29</v>
      </c>
      <c r="J1507" s="2">
        <v>8200</v>
      </c>
      <c r="K1507" s="3">
        <v>91.44</v>
      </c>
      <c r="L1507" s="2">
        <v>3477</v>
      </c>
      <c r="M1507" s="2">
        <v>2276</v>
      </c>
      <c r="P1507" t="s">
        <v>5313</v>
      </c>
      <c r="R1507" t="s">
        <v>42</v>
      </c>
      <c r="S1507" t="s">
        <v>33</v>
      </c>
      <c r="U1507" t="s">
        <v>35</v>
      </c>
      <c r="X1507" t="s">
        <v>34</v>
      </c>
      <c r="Y1507" t="s">
        <v>45</v>
      </c>
      <c r="Z1507" t="s">
        <v>5314</v>
      </c>
      <c r="AA1507" t="s">
        <v>38</v>
      </c>
    </row>
    <row r="1508" spans="1:27" hidden="1">
      <c r="A1508" t="s">
        <v>5315</v>
      </c>
      <c r="B1508" t="s">
        <v>5316</v>
      </c>
      <c r="C1508" t="e">
        <f>VLOOKUP(B1508,Sheet2!$A$2:$A$392,1,0)</f>
        <v>#N/A</v>
      </c>
      <c r="E1508" t="s">
        <v>40</v>
      </c>
      <c r="F1508" t="s">
        <v>41</v>
      </c>
      <c r="G1508" t="s">
        <v>29</v>
      </c>
      <c r="I1508" t="s">
        <v>42</v>
      </c>
      <c r="J1508" s="2">
        <v>8000</v>
      </c>
      <c r="K1508" s="2">
        <v>87</v>
      </c>
      <c r="L1508" s="2">
        <v>3383</v>
      </c>
      <c r="M1508" s="2">
        <v>2060</v>
      </c>
      <c r="P1508" t="s">
        <v>814</v>
      </c>
      <c r="R1508" t="s">
        <v>42</v>
      </c>
      <c r="S1508" t="s">
        <v>33</v>
      </c>
      <c r="T1508" t="s">
        <v>34</v>
      </c>
      <c r="U1508" t="s">
        <v>35</v>
      </c>
      <c r="X1508" t="s">
        <v>34</v>
      </c>
      <c r="Y1508" t="s">
        <v>45</v>
      </c>
      <c r="Z1508" t="s">
        <v>698</v>
      </c>
      <c r="AA1508" t="s">
        <v>38</v>
      </c>
    </row>
    <row r="1509" spans="1:27" hidden="1">
      <c r="A1509" t="s">
        <v>5317</v>
      </c>
      <c r="B1509" t="s">
        <v>5318</v>
      </c>
      <c r="C1509" t="e">
        <f>VLOOKUP(B1509,Sheet2!$A$2:$A$392,1,0)</f>
        <v>#N/A</v>
      </c>
      <c r="E1509" t="s">
        <v>40</v>
      </c>
      <c r="F1509" t="s">
        <v>41</v>
      </c>
      <c r="G1509" t="s">
        <v>1968</v>
      </c>
      <c r="I1509" t="s">
        <v>42</v>
      </c>
      <c r="J1509" s="2">
        <v>3600</v>
      </c>
      <c r="K1509" s="2">
        <v>6730</v>
      </c>
      <c r="L1509" s="2">
        <v>1416</v>
      </c>
      <c r="M1509" s="2">
        <v>850</v>
      </c>
      <c r="N1509" s="3">
        <v>2.97</v>
      </c>
      <c r="O1509" t="s">
        <v>281</v>
      </c>
      <c r="P1509" t="s">
        <v>5319</v>
      </c>
      <c r="R1509" t="s">
        <v>42</v>
      </c>
      <c r="S1509" t="s">
        <v>33</v>
      </c>
      <c r="U1509" t="s">
        <v>44</v>
      </c>
      <c r="X1509" t="s">
        <v>34</v>
      </c>
      <c r="Y1509" t="s">
        <v>2525</v>
      </c>
      <c r="Z1509" t="s">
        <v>5320</v>
      </c>
      <c r="AA1509" t="s">
        <v>38</v>
      </c>
    </row>
    <row r="1510" spans="1:27" hidden="1">
      <c r="A1510" t="s">
        <v>5321</v>
      </c>
      <c r="B1510" t="s">
        <v>5322</v>
      </c>
      <c r="C1510" t="e">
        <f>VLOOKUP(B1510,Sheet2!$A$2:$A$392,1,0)</f>
        <v>#N/A</v>
      </c>
      <c r="E1510" t="s">
        <v>52</v>
      </c>
      <c r="F1510" t="s">
        <v>28</v>
      </c>
      <c r="G1510" t="s">
        <v>29</v>
      </c>
      <c r="I1510" t="s">
        <v>352</v>
      </c>
      <c r="J1510" s="2">
        <v>29887</v>
      </c>
      <c r="K1510">
        <v>170.7</v>
      </c>
      <c r="L1510" s="2">
        <v>17953</v>
      </c>
      <c r="P1510" t="s">
        <v>5323</v>
      </c>
      <c r="R1510" t="s">
        <v>32</v>
      </c>
      <c r="S1510" t="s">
        <v>33</v>
      </c>
      <c r="T1510" t="s">
        <v>34</v>
      </c>
      <c r="U1510" t="s">
        <v>35</v>
      </c>
      <c r="X1510" t="s">
        <v>34</v>
      </c>
      <c r="Y1510" t="s">
        <v>45</v>
      </c>
      <c r="Z1510" t="s">
        <v>5324</v>
      </c>
      <c r="AA1510" t="s">
        <v>38</v>
      </c>
    </row>
    <row r="1511" spans="1:27" hidden="1">
      <c r="A1511" t="s">
        <v>5325</v>
      </c>
      <c r="B1511" t="s">
        <v>5326</v>
      </c>
      <c r="C1511" t="e">
        <f>VLOOKUP(B1511,Sheet2!$A$2:$A$392,1,0)</f>
        <v>#N/A</v>
      </c>
      <c r="E1511" t="s">
        <v>52</v>
      </c>
      <c r="F1511" t="s">
        <v>28</v>
      </c>
      <c r="G1511" t="s">
        <v>29</v>
      </c>
      <c r="I1511" t="s">
        <v>352</v>
      </c>
      <c r="J1511" s="2">
        <v>24838</v>
      </c>
      <c r="K1511">
        <v>153.5</v>
      </c>
      <c r="L1511" s="2">
        <v>15137</v>
      </c>
      <c r="M1511" s="2">
        <v>7398</v>
      </c>
      <c r="N1511">
        <v>9.7010000000000005</v>
      </c>
      <c r="P1511" t="s">
        <v>5327</v>
      </c>
      <c r="R1511" t="s">
        <v>32</v>
      </c>
      <c r="S1511" t="s">
        <v>33</v>
      </c>
      <c r="T1511" t="s">
        <v>34</v>
      </c>
      <c r="U1511" t="s">
        <v>35</v>
      </c>
      <c r="X1511" t="s">
        <v>34</v>
      </c>
      <c r="Y1511" t="s">
        <v>45</v>
      </c>
      <c r="Z1511" t="s">
        <v>5328</v>
      </c>
      <c r="AA1511" t="s">
        <v>38</v>
      </c>
    </row>
    <row r="1512" spans="1:27" hidden="1">
      <c r="A1512" t="s">
        <v>5329</v>
      </c>
      <c r="B1512" t="s">
        <v>5330</v>
      </c>
      <c r="C1512" t="e">
        <f>VLOOKUP(B1512,Sheet2!$A$2:$A$392,1,0)</f>
        <v>#N/A</v>
      </c>
      <c r="E1512" t="s">
        <v>40</v>
      </c>
      <c r="F1512" t="s">
        <v>41</v>
      </c>
      <c r="G1512" t="s">
        <v>29</v>
      </c>
      <c r="J1512" s="2">
        <v>8000</v>
      </c>
      <c r="K1512" s="3">
        <v>90.71</v>
      </c>
      <c r="L1512" s="2">
        <v>3458</v>
      </c>
      <c r="M1512" s="2">
        <v>1200</v>
      </c>
      <c r="N1512" s="2">
        <v>5</v>
      </c>
      <c r="O1512" t="s">
        <v>482</v>
      </c>
      <c r="P1512" t="s">
        <v>5331</v>
      </c>
      <c r="R1512" t="s">
        <v>42</v>
      </c>
      <c r="S1512" t="s">
        <v>33</v>
      </c>
      <c r="U1512" t="s">
        <v>35</v>
      </c>
      <c r="X1512" t="s">
        <v>34</v>
      </c>
      <c r="Y1512" t="s">
        <v>45</v>
      </c>
      <c r="Z1512" t="s">
        <v>5332</v>
      </c>
      <c r="AA1512" t="s">
        <v>38</v>
      </c>
    </row>
    <row r="1513" spans="1:27" hidden="1">
      <c r="A1513" t="s">
        <v>5333</v>
      </c>
      <c r="B1513" t="s">
        <v>5334</v>
      </c>
      <c r="C1513" t="e">
        <f>VLOOKUP(B1513,Sheet2!$A$2:$A$392,1,0)</f>
        <v>#N/A</v>
      </c>
      <c r="E1513" t="s">
        <v>40</v>
      </c>
      <c r="F1513" t="s">
        <v>41</v>
      </c>
      <c r="G1513" t="s">
        <v>29</v>
      </c>
      <c r="I1513" t="s">
        <v>42</v>
      </c>
      <c r="J1513" s="2">
        <v>8000</v>
      </c>
      <c r="K1513" s="2">
        <v>91</v>
      </c>
      <c r="L1513" s="2">
        <v>3371</v>
      </c>
      <c r="P1513" t="s">
        <v>5335</v>
      </c>
      <c r="R1513" t="s">
        <v>42</v>
      </c>
      <c r="S1513" t="s">
        <v>33</v>
      </c>
      <c r="T1513" t="s">
        <v>34</v>
      </c>
      <c r="U1513" t="s">
        <v>44</v>
      </c>
      <c r="X1513" t="s">
        <v>34</v>
      </c>
      <c r="Y1513" t="s">
        <v>45</v>
      </c>
      <c r="Z1513" t="s">
        <v>5336</v>
      </c>
      <c r="AA1513" t="s">
        <v>38</v>
      </c>
    </row>
    <row r="1514" spans="1:27" hidden="1">
      <c r="A1514" t="s">
        <v>5337</v>
      </c>
      <c r="B1514" t="s">
        <v>5338</v>
      </c>
      <c r="C1514" t="e">
        <f>VLOOKUP(B1514,Sheet2!$A$2:$A$392,1,0)</f>
        <v>#N/A</v>
      </c>
      <c r="E1514" t="s">
        <v>40</v>
      </c>
      <c r="F1514" t="s">
        <v>41</v>
      </c>
      <c r="G1514" t="s">
        <v>59</v>
      </c>
      <c r="J1514" s="2">
        <v>4000</v>
      </c>
      <c r="K1514" s="3">
        <v>79.010000000000005</v>
      </c>
      <c r="L1514" s="2">
        <v>2087</v>
      </c>
      <c r="M1514" s="2">
        <v>1204</v>
      </c>
      <c r="N1514" s="2">
        <v>4</v>
      </c>
      <c r="O1514" t="s">
        <v>61</v>
      </c>
      <c r="P1514" t="s">
        <v>5339</v>
      </c>
      <c r="R1514" t="s">
        <v>42</v>
      </c>
      <c r="S1514" t="s">
        <v>33</v>
      </c>
      <c r="U1514" t="s">
        <v>35</v>
      </c>
      <c r="W1514" t="s">
        <v>63</v>
      </c>
      <c r="X1514" t="s">
        <v>34</v>
      </c>
      <c r="Y1514" t="s">
        <v>64</v>
      </c>
      <c r="Z1514" t="s">
        <v>5340</v>
      </c>
      <c r="AA1514" t="s">
        <v>38</v>
      </c>
    </row>
    <row r="1515" spans="1:27" hidden="1">
      <c r="A1515" t="s">
        <v>5341</v>
      </c>
      <c r="B1515" t="s">
        <v>5342</v>
      </c>
      <c r="C1515" t="e">
        <f>VLOOKUP(B1515,Sheet2!$A$2:$A$392,1,0)</f>
        <v>#N/A</v>
      </c>
      <c r="E1515" t="s">
        <v>40</v>
      </c>
      <c r="F1515" t="s">
        <v>41</v>
      </c>
      <c r="G1515" t="s">
        <v>59</v>
      </c>
      <c r="I1515" t="s">
        <v>42</v>
      </c>
      <c r="J1515" s="2">
        <v>5000</v>
      </c>
      <c r="K1515" s="3">
        <v>79.010000000000005</v>
      </c>
      <c r="L1515" s="2">
        <v>2431</v>
      </c>
      <c r="M1515" s="2">
        <v>1318</v>
      </c>
      <c r="N1515" s="2">
        <v>5</v>
      </c>
      <c r="O1515" t="s">
        <v>61</v>
      </c>
      <c r="P1515" t="s">
        <v>5343</v>
      </c>
      <c r="R1515" t="s">
        <v>42</v>
      </c>
      <c r="S1515" t="s">
        <v>33</v>
      </c>
      <c r="T1515" t="s">
        <v>34</v>
      </c>
      <c r="U1515" t="s">
        <v>35</v>
      </c>
      <c r="W1515" t="s">
        <v>63</v>
      </c>
      <c r="X1515" t="s">
        <v>34</v>
      </c>
      <c r="Y1515" t="s">
        <v>64</v>
      </c>
      <c r="Z1515" t="s">
        <v>5344</v>
      </c>
      <c r="AA1515" t="s">
        <v>38</v>
      </c>
    </row>
    <row r="1516" spans="1:27" hidden="1">
      <c r="A1516" t="s">
        <v>5345</v>
      </c>
      <c r="B1516" t="s">
        <v>5346</v>
      </c>
      <c r="C1516" t="e">
        <f>VLOOKUP(B1516,Sheet2!$A$2:$A$392,1,0)</f>
        <v>#N/A</v>
      </c>
      <c r="E1516" t="s">
        <v>40</v>
      </c>
      <c r="F1516" t="s">
        <v>41</v>
      </c>
      <c r="G1516" t="s">
        <v>59</v>
      </c>
      <c r="I1516" t="s">
        <v>42</v>
      </c>
      <c r="J1516" s="2">
        <v>8000</v>
      </c>
      <c r="K1516" s="3">
        <v>87.78</v>
      </c>
      <c r="L1516" s="2">
        <v>3078</v>
      </c>
      <c r="M1516" s="2">
        <v>1518</v>
      </c>
      <c r="N1516">
        <v>5.4</v>
      </c>
      <c r="O1516" t="s">
        <v>61</v>
      </c>
      <c r="P1516" t="s">
        <v>5347</v>
      </c>
      <c r="R1516" t="s">
        <v>42</v>
      </c>
      <c r="S1516" t="s">
        <v>33</v>
      </c>
      <c r="T1516" t="s">
        <v>34</v>
      </c>
      <c r="U1516" t="s">
        <v>35</v>
      </c>
      <c r="W1516" t="s">
        <v>63</v>
      </c>
      <c r="X1516" t="s">
        <v>34</v>
      </c>
      <c r="Y1516" t="s">
        <v>64</v>
      </c>
      <c r="Z1516" t="s">
        <v>5348</v>
      </c>
      <c r="AA1516" t="s">
        <v>38</v>
      </c>
    </row>
    <row r="1517" spans="1:27" hidden="1">
      <c r="A1517" t="s">
        <v>5349</v>
      </c>
      <c r="B1517" t="s">
        <v>5350</v>
      </c>
      <c r="C1517" t="e">
        <f>VLOOKUP(B1517,Sheet2!$A$2:$A$392,1,0)</f>
        <v>#N/A</v>
      </c>
      <c r="E1517" t="s">
        <v>40</v>
      </c>
      <c r="F1517" t="s">
        <v>41</v>
      </c>
      <c r="G1517" t="s">
        <v>59</v>
      </c>
      <c r="I1517" t="s">
        <v>42</v>
      </c>
      <c r="J1517" s="2">
        <v>8000</v>
      </c>
      <c r="K1517" s="3">
        <v>87.78</v>
      </c>
      <c r="L1517" s="2">
        <v>3089</v>
      </c>
      <c r="M1517" s="2">
        <v>1518</v>
      </c>
      <c r="N1517">
        <v>5.4</v>
      </c>
      <c r="O1517" t="s">
        <v>61</v>
      </c>
      <c r="P1517" t="s">
        <v>523</v>
      </c>
      <c r="R1517" t="s">
        <v>42</v>
      </c>
      <c r="S1517" t="s">
        <v>33</v>
      </c>
      <c r="T1517" t="s">
        <v>34</v>
      </c>
      <c r="U1517" t="s">
        <v>35</v>
      </c>
      <c r="W1517" t="s">
        <v>63</v>
      </c>
      <c r="X1517" t="s">
        <v>34</v>
      </c>
      <c r="Y1517" t="s">
        <v>64</v>
      </c>
      <c r="Z1517" t="s">
        <v>5351</v>
      </c>
      <c r="AA1517" t="s">
        <v>38</v>
      </c>
    </row>
    <row r="1518" spans="1:27" hidden="1">
      <c r="A1518" t="s">
        <v>5352</v>
      </c>
      <c r="B1518" t="s">
        <v>5353</v>
      </c>
      <c r="C1518" t="e">
        <f>VLOOKUP(B1518,Sheet2!$A$2:$A$392,1,0)</f>
        <v>#N/A</v>
      </c>
      <c r="E1518" t="s">
        <v>40</v>
      </c>
      <c r="F1518" t="s">
        <v>41</v>
      </c>
      <c r="G1518" t="s">
        <v>610</v>
      </c>
      <c r="I1518" t="s">
        <v>42</v>
      </c>
      <c r="J1518" s="2">
        <v>8000</v>
      </c>
      <c r="K1518" s="2">
        <v>92</v>
      </c>
      <c r="L1518" s="2">
        <v>3107</v>
      </c>
      <c r="P1518" t="s">
        <v>5354</v>
      </c>
      <c r="R1518" t="s">
        <v>42</v>
      </c>
      <c r="S1518" t="s">
        <v>33</v>
      </c>
      <c r="T1518" t="s">
        <v>34</v>
      </c>
      <c r="U1518" t="s">
        <v>44</v>
      </c>
      <c r="W1518" t="s">
        <v>63</v>
      </c>
      <c r="X1518" t="s">
        <v>34</v>
      </c>
      <c r="Y1518" t="s">
        <v>64</v>
      </c>
      <c r="Z1518" t="s">
        <v>5355</v>
      </c>
      <c r="AA1518" t="s">
        <v>38</v>
      </c>
    </row>
    <row r="1519" spans="1:27" hidden="1">
      <c r="A1519" t="s">
        <v>5356</v>
      </c>
      <c r="B1519" t="s">
        <v>5357</v>
      </c>
      <c r="C1519" t="e">
        <f>VLOOKUP(B1519,Sheet2!$A$2:$A$392,1,0)</f>
        <v>#N/A</v>
      </c>
      <c r="E1519" t="s">
        <v>40</v>
      </c>
      <c r="F1519" t="s">
        <v>41</v>
      </c>
      <c r="G1519" t="s">
        <v>29</v>
      </c>
      <c r="I1519" t="s">
        <v>42</v>
      </c>
      <c r="J1519" s="2">
        <v>5500</v>
      </c>
      <c r="K1519" s="2">
        <v>79</v>
      </c>
      <c r="L1519" s="2">
        <v>2262</v>
      </c>
      <c r="P1519" t="s">
        <v>5358</v>
      </c>
      <c r="R1519" t="s">
        <v>42</v>
      </c>
      <c r="S1519" t="s">
        <v>33</v>
      </c>
      <c r="T1519" t="s">
        <v>34</v>
      </c>
      <c r="U1519" t="s">
        <v>35</v>
      </c>
      <c r="X1519" t="s">
        <v>34</v>
      </c>
      <c r="Y1519" t="s">
        <v>45</v>
      </c>
      <c r="Z1519" t="s">
        <v>1184</v>
      </c>
      <c r="AA1519" t="s">
        <v>38</v>
      </c>
    </row>
    <row r="1520" spans="1:27" hidden="1">
      <c r="A1520" t="s">
        <v>5359</v>
      </c>
      <c r="B1520" t="s">
        <v>5360</v>
      </c>
      <c r="C1520" t="e">
        <f>VLOOKUP(B1520,Sheet2!$A$2:$A$392,1,0)</f>
        <v>#N/A</v>
      </c>
      <c r="E1520" t="s">
        <v>40</v>
      </c>
      <c r="F1520" t="s">
        <v>41</v>
      </c>
      <c r="G1520" t="s">
        <v>59</v>
      </c>
      <c r="I1520" t="s">
        <v>42</v>
      </c>
      <c r="J1520" s="2">
        <v>11000</v>
      </c>
      <c r="K1520" s="2">
        <v>98</v>
      </c>
      <c r="L1520" s="2">
        <v>3300</v>
      </c>
      <c r="M1520" s="2">
        <v>2200</v>
      </c>
      <c r="N1520" s="2">
        <v>6</v>
      </c>
      <c r="P1520" t="s">
        <v>5361</v>
      </c>
      <c r="R1520" t="s">
        <v>42</v>
      </c>
      <c r="S1520" t="s">
        <v>33</v>
      </c>
      <c r="T1520" t="s">
        <v>34</v>
      </c>
      <c r="U1520" t="s">
        <v>35</v>
      </c>
      <c r="W1520" t="s">
        <v>63</v>
      </c>
      <c r="X1520" t="s">
        <v>34</v>
      </c>
      <c r="Y1520" t="s">
        <v>64</v>
      </c>
      <c r="Z1520" t="s">
        <v>5362</v>
      </c>
      <c r="AA1520" t="s">
        <v>38</v>
      </c>
    </row>
    <row r="1521" spans="1:27" hidden="1">
      <c r="A1521" t="s">
        <v>5363</v>
      </c>
      <c r="B1521" t="s">
        <v>5364</v>
      </c>
      <c r="C1521" t="e">
        <f>VLOOKUP(B1521,Sheet2!$A$2:$A$392,1,0)</f>
        <v>#N/A</v>
      </c>
      <c r="E1521" t="s">
        <v>40</v>
      </c>
      <c r="F1521" t="s">
        <v>41</v>
      </c>
      <c r="G1521" t="s">
        <v>29</v>
      </c>
      <c r="J1521" s="2">
        <v>4200</v>
      </c>
      <c r="K1521" s="3">
        <v>87.78</v>
      </c>
      <c r="L1521" s="2">
        <v>3117</v>
      </c>
      <c r="M1521" s="2">
        <v>2200</v>
      </c>
      <c r="N1521" s="2">
        <v>5</v>
      </c>
      <c r="O1521" t="s">
        <v>482</v>
      </c>
      <c r="P1521" t="s">
        <v>5365</v>
      </c>
      <c r="R1521" t="s">
        <v>42</v>
      </c>
      <c r="S1521" t="s">
        <v>33</v>
      </c>
      <c r="U1521" t="s">
        <v>35</v>
      </c>
      <c r="X1521" t="s">
        <v>34</v>
      </c>
      <c r="Y1521" t="s">
        <v>45</v>
      </c>
      <c r="Z1521" t="s">
        <v>5366</v>
      </c>
      <c r="AA1521" t="s">
        <v>38</v>
      </c>
    </row>
    <row r="1522" spans="1:27" hidden="1">
      <c r="A1522" t="s">
        <v>5367</v>
      </c>
      <c r="B1522" t="s">
        <v>5368</v>
      </c>
      <c r="C1522" t="e">
        <f>VLOOKUP(B1522,Sheet2!$A$2:$A$392,1,0)</f>
        <v>#N/A</v>
      </c>
      <c r="E1522" t="s">
        <v>170</v>
      </c>
      <c r="I1522" t="s">
        <v>42</v>
      </c>
      <c r="J1522" s="2">
        <v>4932</v>
      </c>
      <c r="K1522">
        <v>101.9</v>
      </c>
      <c r="L1522" s="2">
        <v>3633</v>
      </c>
      <c r="P1522" t="s">
        <v>5369</v>
      </c>
      <c r="S1522" t="s">
        <v>33</v>
      </c>
      <c r="X1522" t="s">
        <v>34</v>
      </c>
      <c r="AA1522" t="s">
        <v>38</v>
      </c>
    </row>
    <row r="1523" spans="1:27" hidden="1">
      <c r="A1523" t="s">
        <v>5370</v>
      </c>
      <c r="B1523" t="s">
        <v>5371</v>
      </c>
      <c r="C1523" t="e">
        <f>VLOOKUP(B1523,Sheet2!$A$2:$A$392,1,0)</f>
        <v>#N/A</v>
      </c>
      <c r="E1523" t="s">
        <v>40</v>
      </c>
      <c r="F1523" t="s">
        <v>41</v>
      </c>
      <c r="G1523" t="s">
        <v>59</v>
      </c>
      <c r="J1523" s="2">
        <v>8000</v>
      </c>
      <c r="K1523" s="3">
        <v>89.87</v>
      </c>
      <c r="L1523" s="2">
        <v>3107</v>
      </c>
      <c r="M1523" s="2">
        <v>2500</v>
      </c>
      <c r="O1523" t="s">
        <v>61</v>
      </c>
      <c r="P1523" t="s">
        <v>5372</v>
      </c>
      <c r="R1523" t="s">
        <v>42</v>
      </c>
      <c r="S1523" t="s">
        <v>33</v>
      </c>
      <c r="U1523" t="s">
        <v>35</v>
      </c>
      <c r="W1523" t="s">
        <v>63</v>
      </c>
      <c r="X1523" t="s">
        <v>34</v>
      </c>
      <c r="Y1523" t="s">
        <v>64</v>
      </c>
      <c r="Z1523" t="s">
        <v>5373</v>
      </c>
      <c r="AA1523" t="s">
        <v>38</v>
      </c>
    </row>
    <row r="1524" spans="1:27">
      <c r="A1524" t="s">
        <v>5374</v>
      </c>
      <c r="B1524" t="s">
        <v>5375</v>
      </c>
      <c r="C1524" t="str">
        <f>VLOOKUP(B1524,Sheet2!$A$2:$A$392,1,0)</f>
        <v>TB. BONTOA / BG. TONASA LINES XXII</v>
      </c>
      <c r="E1524" t="s">
        <v>40</v>
      </c>
      <c r="F1524" t="s">
        <v>41</v>
      </c>
      <c r="G1524" t="s">
        <v>29</v>
      </c>
      <c r="J1524" s="2">
        <v>4500</v>
      </c>
      <c r="K1524" s="3">
        <v>87.78</v>
      </c>
      <c r="L1524" s="2">
        <v>3100</v>
      </c>
      <c r="M1524" s="2">
        <v>2000</v>
      </c>
      <c r="N1524">
        <v>5.4</v>
      </c>
      <c r="O1524" t="s">
        <v>482</v>
      </c>
      <c r="P1524" t="s">
        <v>5376</v>
      </c>
      <c r="R1524" t="s">
        <v>42</v>
      </c>
      <c r="S1524" t="s">
        <v>33</v>
      </c>
      <c r="U1524" t="s">
        <v>35</v>
      </c>
      <c r="X1524" t="s">
        <v>34</v>
      </c>
      <c r="Y1524" t="s">
        <v>45</v>
      </c>
      <c r="Z1524" t="s">
        <v>5377</v>
      </c>
      <c r="AA1524" t="s">
        <v>38</v>
      </c>
    </row>
    <row r="1525" spans="1:27" hidden="1">
      <c r="A1525" t="s">
        <v>5378</v>
      </c>
      <c r="B1525" t="s">
        <v>5379</v>
      </c>
      <c r="C1525" t="e">
        <f>VLOOKUP(B1525,Sheet2!$A$2:$A$392,1,0)</f>
        <v>#N/A</v>
      </c>
      <c r="E1525" t="s">
        <v>40</v>
      </c>
      <c r="F1525" t="s">
        <v>41</v>
      </c>
      <c r="G1525" t="s">
        <v>610</v>
      </c>
      <c r="I1525" t="s">
        <v>42</v>
      </c>
      <c r="J1525" s="2">
        <v>7500</v>
      </c>
      <c r="K1525" s="3">
        <v>91.44</v>
      </c>
      <c r="L1525" s="2">
        <v>3176</v>
      </c>
      <c r="P1525" t="s">
        <v>5380</v>
      </c>
      <c r="R1525" t="s">
        <v>42</v>
      </c>
      <c r="S1525" t="s">
        <v>33</v>
      </c>
      <c r="T1525" t="s">
        <v>34</v>
      </c>
      <c r="U1525" t="s">
        <v>44</v>
      </c>
      <c r="W1525" t="s">
        <v>63</v>
      </c>
      <c r="X1525" t="s">
        <v>34</v>
      </c>
      <c r="Y1525" t="s">
        <v>64</v>
      </c>
      <c r="Z1525" t="s">
        <v>5381</v>
      </c>
      <c r="AA1525" t="s">
        <v>38</v>
      </c>
    </row>
    <row r="1526" spans="1:27" hidden="1">
      <c r="A1526" t="s">
        <v>5382</v>
      </c>
      <c r="B1526" t="s">
        <v>5383</v>
      </c>
      <c r="C1526" t="e">
        <f>VLOOKUP(B1526,Sheet2!$A$2:$A$392,1,0)</f>
        <v>#N/A</v>
      </c>
      <c r="E1526" t="s">
        <v>40</v>
      </c>
      <c r="F1526" t="s">
        <v>41</v>
      </c>
      <c r="G1526" t="s">
        <v>610</v>
      </c>
      <c r="I1526" t="s">
        <v>42</v>
      </c>
      <c r="J1526" s="2">
        <v>8000</v>
      </c>
      <c r="K1526" s="3">
        <v>91.44</v>
      </c>
      <c r="L1526" s="2">
        <v>3303</v>
      </c>
      <c r="P1526" t="s">
        <v>5384</v>
      </c>
      <c r="R1526" t="s">
        <v>42</v>
      </c>
      <c r="S1526" t="s">
        <v>33</v>
      </c>
      <c r="T1526" t="s">
        <v>34</v>
      </c>
      <c r="U1526" t="s">
        <v>44</v>
      </c>
      <c r="W1526" t="s">
        <v>63</v>
      </c>
      <c r="X1526" t="s">
        <v>34</v>
      </c>
      <c r="Y1526" t="s">
        <v>64</v>
      </c>
      <c r="Z1526" t="s">
        <v>5385</v>
      </c>
      <c r="AA1526" t="s">
        <v>38</v>
      </c>
    </row>
    <row r="1527" spans="1:27" hidden="1">
      <c r="A1527" t="s">
        <v>5386</v>
      </c>
      <c r="B1527" t="s">
        <v>5387</v>
      </c>
      <c r="C1527" t="e">
        <f>VLOOKUP(B1527,Sheet2!$A$2:$A$392,1,0)</f>
        <v>#N/A</v>
      </c>
      <c r="E1527" t="s">
        <v>40</v>
      </c>
      <c r="F1527" t="s">
        <v>41</v>
      </c>
      <c r="G1527" t="s">
        <v>610</v>
      </c>
      <c r="I1527" t="s">
        <v>42</v>
      </c>
      <c r="J1527" s="2">
        <v>8000</v>
      </c>
      <c r="K1527" s="3">
        <v>91.44</v>
      </c>
      <c r="L1527" s="2">
        <v>3305</v>
      </c>
      <c r="P1527" t="s">
        <v>1086</v>
      </c>
      <c r="R1527" t="s">
        <v>42</v>
      </c>
      <c r="S1527" t="s">
        <v>33</v>
      </c>
      <c r="T1527" t="s">
        <v>34</v>
      </c>
      <c r="U1527" t="s">
        <v>44</v>
      </c>
      <c r="W1527" t="s">
        <v>63</v>
      </c>
      <c r="X1527" t="s">
        <v>34</v>
      </c>
      <c r="Y1527" t="s">
        <v>64</v>
      </c>
      <c r="Z1527" t="s">
        <v>5388</v>
      </c>
      <c r="AA1527" t="s">
        <v>38</v>
      </c>
    </row>
    <row r="1528" spans="1:27">
      <c r="A1528" t="s">
        <v>5389</v>
      </c>
      <c r="B1528" t="s">
        <v>1081</v>
      </c>
      <c r="C1528" t="str">
        <f>VLOOKUP(B1528,Sheet2!$A$2:$A$392,1,0)</f>
        <v>TB. DUTA KAPUAS 10/BG. KAPUAS 312</v>
      </c>
      <c r="E1528" t="s">
        <v>40</v>
      </c>
      <c r="F1528" t="s">
        <v>41</v>
      </c>
      <c r="G1528" t="s">
        <v>382</v>
      </c>
      <c r="J1528" s="2">
        <v>8000</v>
      </c>
      <c r="K1528" s="3">
        <v>94.49</v>
      </c>
      <c r="L1528" s="2">
        <v>3584</v>
      </c>
      <c r="M1528" s="2">
        <v>1900</v>
      </c>
      <c r="N1528" s="2">
        <v>4</v>
      </c>
      <c r="O1528" t="s">
        <v>383</v>
      </c>
      <c r="P1528" t="s">
        <v>1082</v>
      </c>
      <c r="R1528" t="s">
        <v>42</v>
      </c>
      <c r="S1528" t="s">
        <v>33</v>
      </c>
      <c r="U1528" t="s">
        <v>35</v>
      </c>
      <c r="V1528" s="2">
        <v>0</v>
      </c>
      <c r="W1528" t="s">
        <v>63</v>
      </c>
      <c r="X1528" t="s">
        <v>34</v>
      </c>
      <c r="Y1528" t="s">
        <v>64</v>
      </c>
      <c r="Z1528" t="s">
        <v>5390</v>
      </c>
      <c r="AA1528" t="s">
        <v>38</v>
      </c>
    </row>
    <row r="1529" spans="1:27">
      <c r="A1529" t="s">
        <v>5391</v>
      </c>
      <c r="B1529" t="s">
        <v>5392</v>
      </c>
      <c r="C1529" t="str">
        <f>VLOOKUP(B1529,Sheet2!$A$2:$A$392,1,0)</f>
        <v>TB. DEL 03 / BG. APURA 088</v>
      </c>
      <c r="E1529" t="s">
        <v>40</v>
      </c>
      <c r="F1529" t="s">
        <v>41</v>
      </c>
      <c r="G1529" t="s">
        <v>293</v>
      </c>
      <c r="I1529" t="s">
        <v>42</v>
      </c>
      <c r="J1529" s="2">
        <v>8000</v>
      </c>
      <c r="K1529" s="3">
        <v>91.44</v>
      </c>
      <c r="L1529" s="2">
        <v>3145</v>
      </c>
      <c r="O1529" t="s">
        <v>294</v>
      </c>
      <c r="P1529" t="s">
        <v>5393</v>
      </c>
      <c r="R1529" t="s">
        <v>42</v>
      </c>
      <c r="S1529" t="s">
        <v>33</v>
      </c>
      <c r="U1529" t="s">
        <v>44</v>
      </c>
      <c r="W1529" t="s">
        <v>63</v>
      </c>
      <c r="X1529" t="s">
        <v>34</v>
      </c>
      <c r="Y1529" t="s">
        <v>64</v>
      </c>
      <c r="Z1529" t="s">
        <v>5394</v>
      </c>
      <c r="AA1529" t="s">
        <v>38</v>
      </c>
    </row>
    <row r="1530" spans="1:27" hidden="1">
      <c r="A1530" t="s">
        <v>5395</v>
      </c>
      <c r="B1530" t="s">
        <v>5396</v>
      </c>
      <c r="C1530" t="e">
        <f>VLOOKUP(B1530,Sheet2!$A$2:$A$392,1,0)</f>
        <v>#N/A</v>
      </c>
      <c r="E1530" t="s">
        <v>40</v>
      </c>
      <c r="F1530" t="s">
        <v>41</v>
      </c>
      <c r="G1530" t="s">
        <v>610</v>
      </c>
      <c r="I1530" t="s">
        <v>42</v>
      </c>
      <c r="J1530" s="2">
        <v>8000</v>
      </c>
      <c r="K1530" s="3">
        <v>91.44</v>
      </c>
      <c r="L1530" s="2">
        <v>3145</v>
      </c>
      <c r="P1530" t="s">
        <v>5397</v>
      </c>
      <c r="R1530" t="s">
        <v>42</v>
      </c>
      <c r="S1530" t="s">
        <v>33</v>
      </c>
      <c r="T1530" t="s">
        <v>34</v>
      </c>
      <c r="U1530" t="s">
        <v>44</v>
      </c>
      <c r="W1530" t="s">
        <v>63</v>
      </c>
      <c r="X1530" t="s">
        <v>34</v>
      </c>
      <c r="Y1530" t="s">
        <v>64</v>
      </c>
      <c r="Z1530" t="s">
        <v>5398</v>
      </c>
      <c r="AA1530" t="s">
        <v>38</v>
      </c>
    </row>
    <row r="1531" spans="1:27">
      <c r="A1531" t="s">
        <v>5399</v>
      </c>
      <c r="B1531" t="s">
        <v>5400</v>
      </c>
      <c r="C1531" t="str">
        <f>VLOOKUP(B1531,Sheet2!$A$2:$A$392,1,0)</f>
        <v>TB. EAGLE 01 - BG. SINAR ANUGRAH 2503</v>
      </c>
      <c r="E1531" t="s">
        <v>40</v>
      </c>
      <c r="F1531" t="s">
        <v>41</v>
      </c>
      <c r="G1531" t="s">
        <v>415</v>
      </c>
      <c r="I1531" t="s">
        <v>42</v>
      </c>
      <c r="J1531" s="2">
        <v>5530</v>
      </c>
      <c r="K1531" s="3">
        <v>76.25</v>
      </c>
      <c r="L1531" s="2">
        <v>2212</v>
      </c>
      <c r="N1531">
        <v>4.9000000000000004</v>
      </c>
      <c r="O1531" t="s">
        <v>1606</v>
      </c>
      <c r="P1531" t="s">
        <v>5401</v>
      </c>
      <c r="R1531" t="s">
        <v>42</v>
      </c>
      <c r="S1531" t="s">
        <v>33</v>
      </c>
      <c r="T1531" t="s">
        <v>34</v>
      </c>
      <c r="U1531" t="s">
        <v>44</v>
      </c>
      <c r="V1531" s="2">
        <v>1</v>
      </c>
      <c r="W1531" t="s">
        <v>63</v>
      </c>
      <c r="X1531" t="s">
        <v>34</v>
      </c>
      <c r="Y1531" t="s">
        <v>64</v>
      </c>
      <c r="Z1531" t="s">
        <v>5402</v>
      </c>
      <c r="AA1531" t="s">
        <v>38</v>
      </c>
    </row>
    <row r="1532" spans="1:27" hidden="1">
      <c r="A1532" t="s">
        <v>5403</v>
      </c>
      <c r="B1532" t="s">
        <v>5404</v>
      </c>
      <c r="C1532" t="e">
        <f>VLOOKUP(B1532,Sheet2!$A$2:$A$392,1,0)</f>
        <v>#N/A</v>
      </c>
      <c r="E1532" t="s">
        <v>40</v>
      </c>
      <c r="F1532" t="s">
        <v>41</v>
      </c>
      <c r="I1532" t="s">
        <v>42</v>
      </c>
      <c r="J1532" s="2">
        <v>8000</v>
      </c>
      <c r="K1532" s="3">
        <v>91.44</v>
      </c>
      <c r="L1532" s="2">
        <v>3082</v>
      </c>
      <c r="P1532" t="s">
        <v>5405</v>
      </c>
      <c r="R1532" t="s">
        <v>42</v>
      </c>
      <c r="S1532" t="s">
        <v>33</v>
      </c>
      <c r="T1532" t="s">
        <v>34</v>
      </c>
      <c r="U1532" t="s">
        <v>44</v>
      </c>
      <c r="W1532" t="s">
        <v>63</v>
      </c>
      <c r="X1532" t="s">
        <v>34</v>
      </c>
      <c r="Y1532" t="s">
        <v>64</v>
      </c>
      <c r="Z1532" t="s">
        <v>5406</v>
      </c>
      <c r="AA1532" t="s">
        <v>38</v>
      </c>
    </row>
    <row r="1533" spans="1:27" hidden="1">
      <c r="A1533" t="s">
        <v>5407</v>
      </c>
      <c r="B1533" t="s">
        <v>5408</v>
      </c>
      <c r="C1533" t="e">
        <f>VLOOKUP(B1533,Sheet2!$A$2:$A$392,1,0)</f>
        <v>#N/A</v>
      </c>
      <c r="E1533" t="s">
        <v>40</v>
      </c>
      <c r="F1533" t="s">
        <v>41</v>
      </c>
      <c r="G1533" t="s">
        <v>29</v>
      </c>
      <c r="I1533" t="s">
        <v>42</v>
      </c>
      <c r="J1533" s="2">
        <v>3000</v>
      </c>
      <c r="K1533" s="2">
        <v>70</v>
      </c>
      <c r="L1533" s="2">
        <v>1604</v>
      </c>
      <c r="P1533" t="s">
        <v>185</v>
      </c>
      <c r="R1533" t="s">
        <v>42</v>
      </c>
      <c r="S1533" t="s">
        <v>33</v>
      </c>
      <c r="T1533" t="s">
        <v>34</v>
      </c>
      <c r="U1533" t="s">
        <v>35</v>
      </c>
      <c r="X1533" t="s">
        <v>34</v>
      </c>
      <c r="Y1533" t="s">
        <v>45</v>
      </c>
      <c r="Z1533" t="s">
        <v>5409</v>
      </c>
      <c r="AA1533" t="s">
        <v>38</v>
      </c>
    </row>
    <row r="1534" spans="1:27" hidden="1">
      <c r="A1534" t="s">
        <v>3288</v>
      </c>
      <c r="B1534" t="s">
        <v>5410</v>
      </c>
      <c r="C1534" t="e">
        <f>VLOOKUP(B1534,Sheet2!$A$2:$A$392,1,0)</f>
        <v>#N/A</v>
      </c>
      <c r="E1534" t="s">
        <v>27</v>
      </c>
      <c r="F1534" t="s">
        <v>41</v>
      </c>
      <c r="G1534" t="s">
        <v>29</v>
      </c>
      <c r="J1534" s="2">
        <v>400</v>
      </c>
      <c r="K1534" s="2">
        <v>160</v>
      </c>
      <c r="L1534" s="2">
        <v>150</v>
      </c>
      <c r="M1534" s="2">
        <v>500</v>
      </c>
      <c r="N1534" s="2">
        <v>5</v>
      </c>
      <c r="O1534" t="s">
        <v>254</v>
      </c>
      <c r="P1534" t="s">
        <v>4625</v>
      </c>
      <c r="Q1534" t="s">
        <v>34</v>
      </c>
      <c r="R1534" t="s">
        <v>42</v>
      </c>
      <c r="S1534" t="s">
        <v>33</v>
      </c>
      <c r="U1534" t="s">
        <v>44</v>
      </c>
      <c r="X1534" t="s">
        <v>34</v>
      </c>
      <c r="Y1534" t="s">
        <v>45</v>
      </c>
      <c r="Z1534" t="s">
        <v>5411</v>
      </c>
      <c r="AA1534" t="s">
        <v>38</v>
      </c>
    </row>
    <row r="1535" spans="1:27">
      <c r="A1535" t="s">
        <v>5412</v>
      </c>
      <c r="B1535" t="s">
        <v>5413</v>
      </c>
      <c r="C1535" t="str">
        <f>VLOOKUP(B1535,Sheet2!$A$2:$A$392,1,0)</f>
        <v>TB. FERY XXI / BG. MASADA 18</v>
      </c>
      <c r="E1535" t="s">
        <v>40</v>
      </c>
      <c r="F1535" t="s">
        <v>41</v>
      </c>
      <c r="G1535" t="s">
        <v>29</v>
      </c>
      <c r="I1535" t="s">
        <v>42</v>
      </c>
      <c r="J1535" s="2">
        <v>8000</v>
      </c>
      <c r="K1535" s="2">
        <v>91</v>
      </c>
      <c r="L1535" s="2">
        <v>3547</v>
      </c>
      <c r="P1535" t="s">
        <v>5414</v>
      </c>
      <c r="R1535" t="s">
        <v>42</v>
      </c>
      <c r="S1535" t="s">
        <v>33</v>
      </c>
      <c r="T1535" t="s">
        <v>34</v>
      </c>
      <c r="U1535" t="s">
        <v>44</v>
      </c>
      <c r="X1535" t="s">
        <v>34</v>
      </c>
      <c r="Y1535" t="s">
        <v>45</v>
      </c>
      <c r="Z1535" t="s">
        <v>5415</v>
      </c>
      <c r="AA1535" t="s">
        <v>38</v>
      </c>
    </row>
    <row r="1536" spans="1:27" hidden="1">
      <c r="A1536" t="s">
        <v>5416</v>
      </c>
      <c r="B1536" t="s">
        <v>5417</v>
      </c>
      <c r="C1536" t="e">
        <f>VLOOKUP(B1536,Sheet2!$A$2:$A$392,1,0)</f>
        <v>#N/A</v>
      </c>
      <c r="E1536" t="s">
        <v>40</v>
      </c>
      <c r="F1536" t="s">
        <v>41</v>
      </c>
      <c r="G1536" t="s">
        <v>59</v>
      </c>
      <c r="I1536" t="s">
        <v>42</v>
      </c>
      <c r="J1536" s="2">
        <v>8000</v>
      </c>
      <c r="K1536" s="3">
        <v>87.78</v>
      </c>
      <c r="L1536" s="2">
        <v>3099</v>
      </c>
      <c r="M1536" s="2">
        <v>2080</v>
      </c>
      <c r="N1536">
        <v>5.5</v>
      </c>
      <c r="O1536" t="s">
        <v>61</v>
      </c>
      <c r="P1536" t="s">
        <v>5418</v>
      </c>
      <c r="R1536" t="s">
        <v>42</v>
      </c>
      <c r="S1536" t="s">
        <v>33</v>
      </c>
      <c r="T1536" t="s">
        <v>34</v>
      </c>
      <c r="U1536" t="s">
        <v>35</v>
      </c>
      <c r="W1536" t="s">
        <v>63</v>
      </c>
      <c r="X1536" t="s">
        <v>34</v>
      </c>
      <c r="Y1536" t="s">
        <v>64</v>
      </c>
      <c r="Z1536" t="s">
        <v>5419</v>
      </c>
      <c r="AA1536" t="s">
        <v>38</v>
      </c>
    </row>
    <row r="1537" spans="1:27" hidden="1">
      <c r="A1537" t="s">
        <v>5420</v>
      </c>
      <c r="B1537" t="s">
        <v>5421</v>
      </c>
      <c r="C1537" t="e">
        <f>VLOOKUP(B1537,Sheet2!$A$2:$A$392,1,0)</f>
        <v>#N/A</v>
      </c>
      <c r="E1537" t="s">
        <v>40</v>
      </c>
      <c r="F1537" t="s">
        <v>41</v>
      </c>
      <c r="G1537" t="s">
        <v>59</v>
      </c>
      <c r="I1537" t="s">
        <v>42</v>
      </c>
      <c r="J1537" s="2">
        <v>10000</v>
      </c>
      <c r="K1537" s="3">
        <v>87.78</v>
      </c>
      <c r="L1537" s="2">
        <v>3117</v>
      </c>
      <c r="M1537" s="2">
        <v>2200</v>
      </c>
      <c r="N1537" s="2">
        <v>5</v>
      </c>
      <c r="O1537" t="s">
        <v>61</v>
      </c>
      <c r="P1537" t="s">
        <v>5422</v>
      </c>
      <c r="R1537" t="s">
        <v>42</v>
      </c>
      <c r="S1537" t="s">
        <v>33</v>
      </c>
      <c r="T1537" t="s">
        <v>34</v>
      </c>
      <c r="U1537" t="s">
        <v>35</v>
      </c>
      <c r="W1537" t="s">
        <v>63</v>
      </c>
      <c r="X1537" t="s">
        <v>34</v>
      </c>
      <c r="Y1537" t="s">
        <v>64</v>
      </c>
      <c r="Z1537" t="s">
        <v>5423</v>
      </c>
      <c r="AA1537" t="s">
        <v>38</v>
      </c>
    </row>
    <row r="1538" spans="1:27" hidden="1">
      <c r="A1538" t="s">
        <v>5424</v>
      </c>
      <c r="B1538" t="s">
        <v>5425</v>
      </c>
      <c r="C1538" t="e">
        <f>VLOOKUP(B1538,Sheet2!$A$2:$A$392,1,0)</f>
        <v>#N/A</v>
      </c>
      <c r="E1538" t="s">
        <v>27</v>
      </c>
      <c r="F1538" t="s">
        <v>28</v>
      </c>
      <c r="G1538" t="s">
        <v>29</v>
      </c>
      <c r="J1538" s="2">
        <v>48058</v>
      </c>
      <c r="K1538" s="2">
        <v>182</v>
      </c>
      <c r="L1538" s="2">
        <v>24159</v>
      </c>
      <c r="M1538" s="2">
        <v>7044</v>
      </c>
      <c r="N1538">
        <v>10.5</v>
      </c>
      <c r="P1538" t="s">
        <v>5426</v>
      </c>
      <c r="R1538" t="s">
        <v>581</v>
      </c>
      <c r="S1538" t="s">
        <v>33</v>
      </c>
      <c r="T1538" t="s">
        <v>34</v>
      </c>
      <c r="U1538" t="s">
        <v>35</v>
      </c>
      <c r="W1538" t="s">
        <v>165</v>
      </c>
      <c r="X1538" t="s">
        <v>34</v>
      </c>
      <c r="Y1538" t="s">
        <v>245</v>
      </c>
      <c r="Z1538" t="s">
        <v>5427</v>
      </c>
      <c r="AA1538" t="s">
        <v>38</v>
      </c>
    </row>
    <row r="1539" spans="1:27" hidden="1">
      <c r="A1539" t="s">
        <v>5428</v>
      </c>
      <c r="B1539" t="s">
        <v>5429</v>
      </c>
      <c r="C1539" t="e">
        <f>VLOOKUP(B1539,Sheet2!$A$2:$A$392,1,0)</f>
        <v>#N/A</v>
      </c>
      <c r="E1539" t="s">
        <v>40</v>
      </c>
      <c r="F1539" t="s">
        <v>41</v>
      </c>
      <c r="G1539" t="s">
        <v>59</v>
      </c>
      <c r="J1539" s="2">
        <v>7500</v>
      </c>
      <c r="K1539" s="3">
        <v>87.84</v>
      </c>
      <c r="L1539" s="2">
        <v>3357</v>
      </c>
      <c r="M1539" s="2">
        <v>2200</v>
      </c>
      <c r="N1539" s="2">
        <v>6</v>
      </c>
      <c r="O1539" t="s">
        <v>61</v>
      </c>
      <c r="P1539" t="s">
        <v>5422</v>
      </c>
      <c r="R1539" t="s">
        <v>42</v>
      </c>
      <c r="S1539" t="s">
        <v>33</v>
      </c>
      <c r="U1539" t="s">
        <v>35</v>
      </c>
      <c r="W1539" t="s">
        <v>63</v>
      </c>
      <c r="X1539" t="s">
        <v>34</v>
      </c>
      <c r="Y1539" t="s">
        <v>64</v>
      </c>
      <c r="Z1539" t="s">
        <v>5430</v>
      </c>
      <c r="AA1539" t="s">
        <v>38</v>
      </c>
    </row>
    <row r="1540" spans="1:27" hidden="1">
      <c r="A1540" t="s">
        <v>5431</v>
      </c>
      <c r="B1540" t="s">
        <v>5432</v>
      </c>
      <c r="C1540" t="e">
        <f>VLOOKUP(B1540,Sheet2!$A$2:$A$392,1,0)</f>
        <v>#N/A</v>
      </c>
      <c r="E1540" t="s">
        <v>40</v>
      </c>
      <c r="F1540" t="s">
        <v>41</v>
      </c>
      <c r="G1540" t="s">
        <v>59</v>
      </c>
      <c r="I1540" t="s">
        <v>42</v>
      </c>
      <c r="J1540" s="2">
        <v>8000</v>
      </c>
      <c r="K1540" s="3">
        <v>87.84</v>
      </c>
      <c r="L1540" s="2">
        <v>3238</v>
      </c>
      <c r="M1540" s="2">
        <v>2500</v>
      </c>
      <c r="N1540" s="2">
        <v>5</v>
      </c>
      <c r="O1540" t="s">
        <v>61</v>
      </c>
      <c r="P1540" t="s">
        <v>432</v>
      </c>
      <c r="R1540" t="s">
        <v>42</v>
      </c>
      <c r="S1540" t="s">
        <v>33</v>
      </c>
      <c r="T1540" t="s">
        <v>34</v>
      </c>
      <c r="U1540" t="s">
        <v>35</v>
      </c>
      <c r="W1540" t="s">
        <v>63</v>
      </c>
      <c r="X1540" t="s">
        <v>34</v>
      </c>
      <c r="Y1540" t="s">
        <v>64</v>
      </c>
      <c r="Z1540" t="s">
        <v>1646</v>
      </c>
      <c r="AA1540" t="s">
        <v>38</v>
      </c>
    </row>
    <row r="1541" spans="1:27" hidden="1">
      <c r="A1541" t="s">
        <v>5433</v>
      </c>
      <c r="B1541" t="s">
        <v>5434</v>
      </c>
      <c r="C1541" t="e">
        <f>VLOOKUP(B1541,Sheet2!$A$2:$A$392,1,0)</f>
        <v>#N/A</v>
      </c>
      <c r="E1541" t="s">
        <v>40</v>
      </c>
      <c r="F1541" t="s">
        <v>41</v>
      </c>
      <c r="G1541" t="s">
        <v>29</v>
      </c>
      <c r="J1541" s="2">
        <v>9000</v>
      </c>
      <c r="K1541" s="3">
        <v>87.78</v>
      </c>
      <c r="L1541" s="2">
        <v>3619</v>
      </c>
      <c r="M1541" s="2">
        <v>2200</v>
      </c>
      <c r="N1541" s="2">
        <v>6</v>
      </c>
      <c r="O1541" t="s">
        <v>482</v>
      </c>
      <c r="P1541" t="s">
        <v>5435</v>
      </c>
      <c r="R1541" t="s">
        <v>42</v>
      </c>
      <c r="S1541" t="s">
        <v>33</v>
      </c>
      <c r="U1541" t="s">
        <v>35</v>
      </c>
      <c r="X1541" t="s">
        <v>34</v>
      </c>
      <c r="Y1541" t="s">
        <v>45</v>
      </c>
      <c r="Z1541" t="s">
        <v>5436</v>
      </c>
      <c r="AA1541" t="s">
        <v>38</v>
      </c>
    </row>
    <row r="1542" spans="1:27" hidden="1">
      <c r="A1542" t="s">
        <v>5437</v>
      </c>
      <c r="B1542" t="s">
        <v>5438</v>
      </c>
      <c r="C1542" t="e">
        <f>VLOOKUP(B1542,Sheet2!$A$2:$A$392,1,0)</f>
        <v>#N/A</v>
      </c>
      <c r="E1542" t="s">
        <v>40</v>
      </c>
      <c r="F1542" t="s">
        <v>41</v>
      </c>
      <c r="G1542" t="s">
        <v>59</v>
      </c>
      <c r="I1542" t="s">
        <v>42</v>
      </c>
      <c r="J1542" s="2">
        <v>5000</v>
      </c>
      <c r="K1542" s="2">
        <v>93</v>
      </c>
      <c r="L1542" s="2">
        <v>3695</v>
      </c>
      <c r="M1542" s="2">
        <v>2000</v>
      </c>
      <c r="N1542" s="2">
        <v>5</v>
      </c>
      <c r="O1542" t="s">
        <v>61</v>
      </c>
      <c r="P1542" t="s">
        <v>5439</v>
      </c>
      <c r="R1542" t="s">
        <v>42</v>
      </c>
      <c r="S1542" t="s">
        <v>33</v>
      </c>
      <c r="T1542" t="s">
        <v>34</v>
      </c>
      <c r="U1542" t="s">
        <v>35</v>
      </c>
      <c r="W1542" t="s">
        <v>63</v>
      </c>
      <c r="X1542" t="s">
        <v>34</v>
      </c>
      <c r="Y1542" t="s">
        <v>64</v>
      </c>
      <c r="Z1542" t="s">
        <v>5440</v>
      </c>
      <c r="AA1542" t="s">
        <v>38</v>
      </c>
    </row>
    <row r="1543" spans="1:27" hidden="1">
      <c r="A1543" t="s">
        <v>5441</v>
      </c>
      <c r="B1543" t="s">
        <v>5442</v>
      </c>
      <c r="C1543" t="e">
        <f>VLOOKUP(B1543,Sheet2!$A$2:$A$392,1,0)</f>
        <v>#N/A</v>
      </c>
      <c r="E1543" t="s">
        <v>40</v>
      </c>
      <c r="F1543" t="s">
        <v>41</v>
      </c>
      <c r="G1543" t="s">
        <v>59</v>
      </c>
      <c r="I1543" t="s">
        <v>42</v>
      </c>
      <c r="J1543" s="2">
        <v>5200</v>
      </c>
      <c r="K1543" s="2">
        <v>90</v>
      </c>
      <c r="L1543" s="2">
        <v>4116</v>
      </c>
      <c r="N1543" s="2">
        <v>5</v>
      </c>
      <c r="O1543" t="s">
        <v>61</v>
      </c>
      <c r="P1543" t="s">
        <v>5443</v>
      </c>
      <c r="R1543" t="s">
        <v>42</v>
      </c>
      <c r="S1543" t="s">
        <v>33</v>
      </c>
      <c r="T1543" t="s">
        <v>34</v>
      </c>
      <c r="U1543" t="s">
        <v>35</v>
      </c>
      <c r="W1543" t="s">
        <v>63</v>
      </c>
      <c r="X1543" t="s">
        <v>34</v>
      </c>
      <c r="Y1543" t="s">
        <v>64</v>
      </c>
      <c r="Z1543" t="s">
        <v>5444</v>
      </c>
      <c r="AA1543" t="s">
        <v>38</v>
      </c>
    </row>
    <row r="1544" spans="1:27" hidden="1">
      <c r="A1544" t="s">
        <v>5445</v>
      </c>
      <c r="B1544" t="s">
        <v>5446</v>
      </c>
      <c r="C1544" t="e">
        <f>VLOOKUP(B1544,Sheet2!$A$2:$A$392,1,0)</f>
        <v>#N/A</v>
      </c>
      <c r="E1544" t="s">
        <v>40</v>
      </c>
      <c r="F1544" t="s">
        <v>41</v>
      </c>
      <c r="G1544" t="s">
        <v>29</v>
      </c>
      <c r="I1544" t="s">
        <v>42</v>
      </c>
      <c r="J1544" s="2">
        <v>8000</v>
      </c>
      <c r="K1544" s="2">
        <v>91</v>
      </c>
      <c r="L1544" s="2">
        <v>3376</v>
      </c>
      <c r="P1544" t="s">
        <v>5447</v>
      </c>
      <c r="R1544" t="s">
        <v>581</v>
      </c>
      <c r="S1544" t="s">
        <v>33</v>
      </c>
      <c r="T1544" t="s">
        <v>34</v>
      </c>
      <c r="U1544" t="s">
        <v>44</v>
      </c>
      <c r="X1544" t="s">
        <v>34</v>
      </c>
      <c r="Y1544" t="s">
        <v>45</v>
      </c>
      <c r="Z1544" t="s">
        <v>5448</v>
      </c>
      <c r="AA1544" t="s">
        <v>38</v>
      </c>
    </row>
    <row r="1545" spans="1:27" hidden="1">
      <c r="A1545" t="s">
        <v>5449</v>
      </c>
      <c r="B1545" t="s">
        <v>5450</v>
      </c>
      <c r="C1545" t="e">
        <f>VLOOKUP(B1545,Sheet2!$A$2:$A$392,1,0)</f>
        <v>#N/A</v>
      </c>
      <c r="E1545" t="s">
        <v>40</v>
      </c>
      <c r="F1545" t="s">
        <v>41</v>
      </c>
      <c r="G1545" t="s">
        <v>29</v>
      </c>
      <c r="I1545" t="s">
        <v>42</v>
      </c>
      <c r="J1545" s="2">
        <v>8000</v>
      </c>
      <c r="K1545" s="2">
        <v>87</v>
      </c>
      <c r="L1545" s="2">
        <v>3269</v>
      </c>
      <c r="P1545" t="s">
        <v>5451</v>
      </c>
      <c r="R1545" t="s">
        <v>42</v>
      </c>
      <c r="S1545" t="s">
        <v>33</v>
      </c>
      <c r="T1545" t="s">
        <v>34</v>
      </c>
      <c r="U1545" t="s">
        <v>35</v>
      </c>
      <c r="X1545" t="s">
        <v>34</v>
      </c>
      <c r="Y1545" t="s">
        <v>45</v>
      </c>
      <c r="Z1545" t="s">
        <v>5452</v>
      </c>
      <c r="AA1545" t="s">
        <v>38</v>
      </c>
    </row>
    <row r="1546" spans="1:27" hidden="1">
      <c r="A1546" t="s">
        <v>5453</v>
      </c>
      <c r="B1546" t="s">
        <v>5454</v>
      </c>
      <c r="C1546" t="e">
        <f>VLOOKUP(B1546,Sheet2!$A$2:$A$392,1,0)</f>
        <v>#N/A</v>
      </c>
      <c r="E1546" t="s">
        <v>40</v>
      </c>
      <c r="F1546" t="s">
        <v>41</v>
      </c>
      <c r="G1546" t="s">
        <v>29</v>
      </c>
      <c r="I1546" t="s">
        <v>42</v>
      </c>
      <c r="J1546" s="2">
        <v>8000</v>
      </c>
      <c r="K1546" s="2">
        <v>87</v>
      </c>
      <c r="L1546" s="2">
        <v>3277</v>
      </c>
      <c r="P1546" t="s">
        <v>1333</v>
      </c>
      <c r="R1546" t="s">
        <v>581</v>
      </c>
      <c r="S1546" t="s">
        <v>33</v>
      </c>
      <c r="T1546" t="s">
        <v>34</v>
      </c>
      <c r="U1546" t="s">
        <v>35</v>
      </c>
      <c r="X1546" t="s">
        <v>34</v>
      </c>
      <c r="Y1546" t="s">
        <v>45</v>
      </c>
      <c r="Z1546" t="s">
        <v>5455</v>
      </c>
      <c r="AA1546" t="s">
        <v>38</v>
      </c>
    </row>
    <row r="1547" spans="1:27" hidden="1">
      <c r="A1547" t="s">
        <v>5456</v>
      </c>
      <c r="B1547" t="s">
        <v>5457</v>
      </c>
      <c r="C1547" t="e">
        <f>VLOOKUP(B1547,Sheet2!$A$2:$A$392,1,0)</f>
        <v>#N/A</v>
      </c>
      <c r="E1547" t="s">
        <v>40</v>
      </c>
      <c r="F1547" t="s">
        <v>41</v>
      </c>
      <c r="G1547" t="s">
        <v>59</v>
      </c>
      <c r="I1547" t="s">
        <v>42</v>
      </c>
      <c r="J1547" s="2">
        <v>11000</v>
      </c>
      <c r="K1547">
        <v>90.7</v>
      </c>
      <c r="L1547" s="2">
        <v>4122</v>
      </c>
      <c r="M1547" s="2">
        <v>2080</v>
      </c>
      <c r="N1547" s="2">
        <v>6</v>
      </c>
      <c r="O1547" t="s">
        <v>61</v>
      </c>
      <c r="P1547" t="s">
        <v>5458</v>
      </c>
      <c r="R1547" t="s">
        <v>42</v>
      </c>
      <c r="S1547" t="s">
        <v>33</v>
      </c>
      <c r="T1547" t="s">
        <v>34</v>
      </c>
      <c r="U1547" t="s">
        <v>35</v>
      </c>
      <c r="W1547" t="s">
        <v>63</v>
      </c>
      <c r="X1547" t="s">
        <v>34</v>
      </c>
      <c r="Y1547" t="s">
        <v>64</v>
      </c>
      <c r="Z1547" t="s">
        <v>5459</v>
      </c>
      <c r="AA1547" t="s">
        <v>38</v>
      </c>
    </row>
    <row r="1548" spans="1:27" hidden="1">
      <c r="A1548" t="s">
        <v>5460</v>
      </c>
      <c r="B1548" t="s">
        <v>5461</v>
      </c>
      <c r="C1548" t="e">
        <f>VLOOKUP(B1548,Sheet2!$A$2:$A$392,1,0)</f>
        <v>#N/A</v>
      </c>
      <c r="E1548" t="s">
        <v>40</v>
      </c>
      <c r="F1548" t="s">
        <v>41</v>
      </c>
      <c r="G1548" t="s">
        <v>59</v>
      </c>
      <c r="J1548" s="2">
        <v>10000</v>
      </c>
      <c r="K1548" s="2">
        <v>100</v>
      </c>
      <c r="L1548" s="2">
        <v>4565</v>
      </c>
      <c r="P1548" t="s">
        <v>5462</v>
      </c>
      <c r="R1548" t="s">
        <v>42</v>
      </c>
      <c r="S1548" t="s">
        <v>33</v>
      </c>
      <c r="U1548" t="s">
        <v>35</v>
      </c>
      <c r="W1548" t="s">
        <v>63</v>
      </c>
      <c r="X1548" t="s">
        <v>34</v>
      </c>
      <c r="Y1548" t="s">
        <v>64</v>
      </c>
      <c r="Z1548" t="s">
        <v>5463</v>
      </c>
      <c r="AA1548" t="s">
        <v>38</v>
      </c>
    </row>
    <row r="1549" spans="1:27" hidden="1">
      <c r="A1549" t="s">
        <v>5464</v>
      </c>
      <c r="B1549" t="s">
        <v>5465</v>
      </c>
      <c r="C1549" t="e">
        <f>VLOOKUP(B1549,Sheet2!$A$2:$A$392,1,0)</f>
        <v>#N/A</v>
      </c>
      <c r="E1549" t="s">
        <v>40</v>
      </c>
      <c r="F1549" t="s">
        <v>41</v>
      </c>
      <c r="G1549" t="s">
        <v>29</v>
      </c>
      <c r="J1549" s="2">
        <v>4000</v>
      </c>
      <c r="K1549" s="3">
        <v>87.78</v>
      </c>
      <c r="L1549" s="2">
        <v>3099</v>
      </c>
      <c r="M1549" s="2">
        <v>2000</v>
      </c>
      <c r="N1549" s="2">
        <v>5</v>
      </c>
      <c r="O1549" t="s">
        <v>482</v>
      </c>
      <c r="P1549" t="s">
        <v>5466</v>
      </c>
      <c r="R1549" t="s">
        <v>42</v>
      </c>
      <c r="S1549" t="s">
        <v>33</v>
      </c>
      <c r="U1549" t="s">
        <v>35</v>
      </c>
      <c r="X1549" t="s">
        <v>34</v>
      </c>
      <c r="Y1549" t="s">
        <v>45</v>
      </c>
      <c r="Z1549" t="s">
        <v>5467</v>
      </c>
      <c r="AA1549" t="s">
        <v>38</v>
      </c>
    </row>
    <row r="1550" spans="1:27" hidden="1">
      <c r="A1550" t="s">
        <v>5468</v>
      </c>
      <c r="B1550" t="s">
        <v>5469</v>
      </c>
      <c r="C1550" t="e">
        <f>VLOOKUP(B1550,Sheet2!$A$2:$A$392,1,0)</f>
        <v>#N/A</v>
      </c>
      <c r="E1550" t="s">
        <v>40</v>
      </c>
      <c r="F1550" t="s">
        <v>41</v>
      </c>
      <c r="G1550" t="s">
        <v>59</v>
      </c>
      <c r="I1550" t="s">
        <v>42</v>
      </c>
      <c r="J1550" s="2">
        <v>10000</v>
      </c>
      <c r="K1550">
        <v>96.4</v>
      </c>
      <c r="L1550" s="2">
        <v>4280</v>
      </c>
      <c r="M1550" s="2">
        <v>1764</v>
      </c>
      <c r="N1550" s="2">
        <v>6</v>
      </c>
      <c r="O1550" t="s">
        <v>61</v>
      </c>
      <c r="P1550" t="s">
        <v>5443</v>
      </c>
      <c r="R1550" t="s">
        <v>42</v>
      </c>
      <c r="S1550" t="s">
        <v>33</v>
      </c>
      <c r="T1550" t="s">
        <v>34</v>
      </c>
      <c r="U1550" t="s">
        <v>35</v>
      </c>
      <c r="W1550" t="s">
        <v>63</v>
      </c>
      <c r="X1550" t="s">
        <v>34</v>
      </c>
      <c r="Y1550" t="s">
        <v>64</v>
      </c>
      <c r="Z1550" t="s">
        <v>5470</v>
      </c>
      <c r="AA1550" t="s">
        <v>38</v>
      </c>
    </row>
    <row r="1551" spans="1:27" hidden="1">
      <c r="A1551" t="s">
        <v>5471</v>
      </c>
      <c r="B1551" t="s">
        <v>5472</v>
      </c>
      <c r="C1551" t="e">
        <f>VLOOKUP(B1551,Sheet2!$A$2:$A$392,1,0)</f>
        <v>#N/A</v>
      </c>
      <c r="E1551" t="s">
        <v>40</v>
      </c>
      <c r="F1551" t="s">
        <v>41</v>
      </c>
      <c r="G1551" t="s">
        <v>29</v>
      </c>
      <c r="J1551" s="2">
        <v>8000</v>
      </c>
      <c r="K1551" s="2">
        <v>89</v>
      </c>
      <c r="L1551" s="2">
        <v>3099</v>
      </c>
      <c r="M1551" s="2">
        <v>2200</v>
      </c>
      <c r="N1551" s="2">
        <v>6</v>
      </c>
      <c r="O1551" t="s">
        <v>482</v>
      </c>
      <c r="P1551" t="s">
        <v>5473</v>
      </c>
      <c r="R1551" t="s">
        <v>42</v>
      </c>
      <c r="S1551" t="s">
        <v>33</v>
      </c>
      <c r="U1551" t="s">
        <v>35</v>
      </c>
      <c r="X1551" t="s">
        <v>34</v>
      </c>
      <c r="Y1551" t="s">
        <v>45</v>
      </c>
      <c r="Z1551" t="s">
        <v>5474</v>
      </c>
      <c r="AA1551" t="s">
        <v>38</v>
      </c>
    </row>
    <row r="1552" spans="1:27" hidden="1">
      <c r="A1552" t="s">
        <v>5475</v>
      </c>
      <c r="B1552" t="s">
        <v>5476</v>
      </c>
      <c r="C1552" t="e">
        <f>VLOOKUP(B1552,Sheet2!$A$2:$A$392,1,0)</f>
        <v>#N/A</v>
      </c>
      <c r="E1552" t="s">
        <v>40</v>
      </c>
      <c r="F1552" t="s">
        <v>41</v>
      </c>
      <c r="G1552" t="s">
        <v>29</v>
      </c>
      <c r="I1552" t="s">
        <v>42</v>
      </c>
      <c r="J1552" s="2">
        <v>8000</v>
      </c>
      <c r="K1552" s="2">
        <v>91</v>
      </c>
      <c r="L1552" s="2">
        <v>3335</v>
      </c>
      <c r="P1552" t="s">
        <v>517</v>
      </c>
      <c r="R1552" t="s">
        <v>42</v>
      </c>
      <c r="S1552" t="s">
        <v>33</v>
      </c>
      <c r="T1552" t="s">
        <v>34</v>
      </c>
      <c r="U1552" t="s">
        <v>35</v>
      </c>
      <c r="X1552" t="s">
        <v>34</v>
      </c>
      <c r="Y1552" t="s">
        <v>45</v>
      </c>
      <c r="Z1552" t="s">
        <v>1955</v>
      </c>
      <c r="AA1552" t="s">
        <v>38</v>
      </c>
    </row>
    <row r="1553" spans="1:27" hidden="1">
      <c r="A1553" t="s">
        <v>5477</v>
      </c>
      <c r="B1553" t="s">
        <v>5478</v>
      </c>
      <c r="C1553" t="e">
        <f>VLOOKUP(B1553,Sheet2!$A$2:$A$392,1,0)</f>
        <v>#N/A</v>
      </c>
      <c r="E1553" t="s">
        <v>40</v>
      </c>
      <c r="F1553" t="s">
        <v>41</v>
      </c>
      <c r="G1553" t="s">
        <v>29</v>
      </c>
      <c r="I1553" t="s">
        <v>42</v>
      </c>
      <c r="J1553" s="2">
        <v>8000</v>
      </c>
      <c r="K1553" s="3">
        <v>91.44</v>
      </c>
      <c r="L1553" s="2">
        <v>3296</v>
      </c>
      <c r="P1553" t="s">
        <v>5479</v>
      </c>
      <c r="R1553" t="s">
        <v>42</v>
      </c>
      <c r="S1553" t="s">
        <v>33</v>
      </c>
      <c r="T1553" t="s">
        <v>34</v>
      </c>
      <c r="U1553" t="s">
        <v>35</v>
      </c>
      <c r="X1553" t="s">
        <v>34</v>
      </c>
      <c r="Y1553" t="s">
        <v>45</v>
      </c>
      <c r="Z1553" t="s">
        <v>5480</v>
      </c>
      <c r="AA1553" t="s">
        <v>38</v>
      </c>
    </row>
    <row r="1554" spans="1:27" hidden="1">
      <c r="A1554" t="s">
        <v>5481</v>
      </c>
      <c r="B1554" t="s">
        <v>5482</v>
      </c>
      <c r="C1554" t="e">
        <f>VLOOKUP(B1554,Sheet2!$A$2:$A$392,1,0)</f>
        <v>#N/A</v>
      </c>
      <c r="E1554" t="s">
        <v>40</v>
      </c>
      <c r="F1554" t="s">
        <v>41</v>
      </c>
      <c r="G1554" t="s">
        <v>158</v>
      </c>
      <c r="J1554" s="2">
        <v>4500</v>
      </c>
      <c r="K1554">
        <v>82.3</v>
      </c>
      <c r="L1554" s="2">
        <v>2140</v>
      </c>
      <c r="M1554">
        <v>1.8</v>
      </c>
      <c r="N1554">
        <v>3.5</v>
      </c>
      <c r="P1554" t="s">
        <v>5483</v>
      </c>
      <c r="R1554" t="s">
        <v>42</v>
      </c>
      <c r="S1554" t="s">
        <v>33</v>
      </c>
      <c r="U1554" t="s">
        <v>35</v>
      </c>
      <c r="W1554" t="s">
        <v>63</v>
      </c>
      <c r="X1554" t="s">
        <v>34</v>
      </c>
      <c r="Y1554" t="s">
        <v>64</v>
      </c>
      <c r="Z1554" t="s">
        <v>5484</v>
      </c>
      <c r="AA1554" t="s">
        <v>38</v>
      </c>
    </row>
    <row r="1555" spans="1:27" hidden="1">
      <c r="A1555" t="s">
        <v>5485</v>
      </c>
      <c r="B1555" t="s">
        <v>5486</v>
      </c>
      <c r="C1555" t="e">
        <f>VLOOKUP(B1555,Sheet2!$A$2:$A$392,1,0)</f>
        <v>#N/A</v>
      </c>
      <c r="E1555" t="s">
        <v>40</v>
      </c>
      <c r="F1555" t="s">
        <v>41</v>
      </c>
      <c r="G1555" t="s">
        <v>29</v>
      </c>
      <c r="J1555" s="2">
        <v>8000</v>
      </c>
      <c r="K1555" s="2">
        <v>91</v>
      </c>
      <c r="L1555" s="2">
        <v>3310</v>
      </c>
      <c r="P1555" t="s">
        <v>5487</v>
      </c>
      <c r="R1555" t="s">
        <v>42</v>
      </c>
      <c r="S1555" t="s">
        <v>33</v>
      </c>
      <c r="U1555" t="s">
        <v>44</v>
      </c>
      <c r="X1555" t="s">
        <v>34</v>
      </c>
      <c r="Y1555" t="s">
        <v>378</v>
      </c>
      <c r="Z1555" t="s">
        <v>5488</v>
      </c>
      <c r="AA1555" t="s">
        <v>38</v>
      </c>
    </row>
    <row r="1556" spans="1:27" hidden="1">
      <c r="A1556" t="s">
        <v>5489</v>
      </c>
      <c r="B1556" t="s">
        <v>5490</v>
      </c>
      <c r="C1556" t="e">
        <f>VLOOKUP(B1556,Sheet2!$A$2:$A$392,1,0)</f>
        <v>#N/A</v>
      </c>
      <c r="E1556" t="s">
        <v>40</v>
      </c>
      <c r="F1556" t="s">
        <v>41</v>
      </c>
      <c r="G1556" t="s">
        <v>29</v>
      </c>
      <c r="J1556" s="2">
        <v>8000</v>
      </c>
      <c r="K1556" s="2">
        <v>91</v>
      </c>
      <c r="L1556" s="2">
        <v>3349</v>
      </c>
      <c r="N1556" s="2">
        <v>5</v>
      </c>
      <c r="P1556" t="s">
        <v>509</v>
      </c>
      <c r="R1556" t="s">
        <v>42</v>
      </c>
      <c r="S1556" t="s">
        <v>33</v>
      </c>
      <c r="U1556" t="s">
        <v>35</v>
      </c>
      <c r="X1556" t="s">
        <v>34</v>
      </c>
      <c r="Y1556" t="s">
        <v>45</v>
      </c>
      <c r="Z1556" t="s">
        <v>5491</v>
      </c>
      <c r="AA1556" t="s">
        <v>38</v>
      </c>
    </row>
    <row r="1557" spans="1:27">
      <c r="A1557" t="s">
        <v>5492</v>
      </c>
      <c r="B1557" t="s">
        <v>5493</v>
      </c>
      <c r="C1557" t="str">
        <f>VLOOKUP(B1557,Sheet2!$A$2:$A$392,1,0)</f>
        <v>TB HASNUR 02 / BG HASNUR 303</v>
      </c>
      <c r="E1557" t="s">
        <v>40</v>
      </c>
      <c r="F1557" t="s">
        <v>41</v>
      </c>
      <c r="G1557" t="s">
        <v>29</v>
      </c>
      <c r="J1557" s="2">
        <v>7500</v>
      </c>
      <c r="K1557" s="2">
        <v>87</v>
      </c>
      <c r="L1557" s="2">
        <v>3089</v>
      </c>
      <c r="M1557" s="2">
        <v>1518</v>
      </c>
      <c r="N1557">
        <v>5.4</v>
      </c>
      <c r="O1557" t="s">
        <v>482</v>
      </c>
      <c r="P1557" t="s">
        <v>1587</v>
      </c>
      <c r="R1557" t="s">
        <v>42</v>
      </c>
      <c r="S1557" t="s">
        <v>33</v>
      </c>
      <c r="U1557" t="s">
        <v>35</v>
      </c>
      <c r="X1557" t="s">
        <v>34</v>
      </c>
      <c r="Y1557" t="s">
        <v>45</v>
      </c>
      <c r="Z1557" t="s">
        <v>5494</v>
      </c>
      <c r="AA1557" t="s">
        <v>38</v>
      </c>
    </row>
    <row r="1558" spans="1:27">
      <c r="A1558" t="s">
        <v>5495</v>
      </c>
      <c r="B1558" t="s">
        <v>5496</v>
      </c>
      <c r="C1558" t="str">
        <f>VLOOKUP(B1558,Sheet2!$A$2:$A$392,1,0)</f>
        <v>TB. HARMONY-XXVII / BG. LINTAS SAMUDERA 139</v>
      </c>
      <c r="E1558" t="s">
        <v>40</v>
      </c>
      <c r="F1558" t="s">
        <v>41</v>
      </c>
      <c r="G1558" t="s">
        <v>382</v>
      </c>
      <c r="I1558" t="s">
        <v>42</v>
      </c>
      <c r="J1558" s="2">
        <v>8000</v>
      </c>
      <c r="K1558" s="3">
        <v>91.44</v>
      </c>
      <c r="L1558" s="2">
        <v>3123</v>
      </c>
      <c r="M1558" s="2">
        <v>1718</v>
      </c>
      <c r="N1558" s="2">
        <v>4</v>
      </c>
      <c r="O1558" t="s">
        <v>383</v>
      </c>
      <c r="P1558" t="s">
        <v>5497</v>
      </c>
      <c r="R1558" t="s">
        <v>42</v>
      </c>
      <c r="S1558" t="s">
        <v>33</v>
      </c>
      <c r="T1558" t="s">
        <v>34</v>
      </c>
      <c r="U1558" t="s">
        <v>35</v>
      </c>
      <c r="V1558" s="2">
        <v>0</v>
      </c>
      <c r="W1558" t="s">
        <v>63</v>
      </c>
      <c r="X1558" t="s">
        <v>34</v>
      </c>
      <c r="Y1558" t="s">
        <v>64</v>
      </c>
      <c r="Z1558" t="s">
        <v>5498</v>
      </c>
      <c r="AA1558" t="s">
        <v>38</v>
      </c>
    </row>
    <row r="1559" spans="1:27" hidden="1">
      <c r="A1559" t="s">
        <v>5499</v>
      </c>
      <c r="B1559" t="s">
        <v>5500</v>
      </c>
      <c r="C1559" t="e">
        <f>VLOOKUP(B1559,Sheet2!$A$2:$A$392,1,0)</f>
        <v>#N/A</v>
      </c>
      <c r="E1559" t="s">
        <v>40</v>
      </c>
      <c r="F1559" t="s">
        <v>41</v>
      </c>
      <c r="G1559" t="s">
        <v>415</v>
      </c>
      <c r="I1559" t="s">
        <v>42</v>
      </c>
      <c r="J1559" s="3">
        <v>4.88</v>
      </c>
      <c r="K1559" s="2">
        <v>79</v>
      </c>
      <c r="L1559" s="2">
        <v>2152</v>
      </c>
      <c r="O1559" t="s">
        <v>1606</v>
      </c>
      <c r="P1559" t="s">
        <v>5501</v>
      </c>
      <c r="R1559" t="s">
        <v>42</v>
      </c>
      <c r="S1559" t="s">
        <v>33</v>
      </c>
      <c r="T1559" t="s">
        <v>34</v>
      </c>
      <c r="U1559" t="s">
        <v>44</v>
      </c>
      <c r="W1559" t="s">
        <v>63</v>
      </c>
      <c r="X1559" t="s">
        <v>34</v>
      </c>
      <c r="Y1559" t="s">
        <v>64</v>
      </c>
      <c r="Z1559" t="s">
        <v>5502</v>
      </c>
      <c r="AA1559" t="s">
        <v>38</v>
      </c>
    </row>
    <row r="1560" spans="1:27">
      <c r="A1560" t="s">
        <v>5503</v>
      </c>
      <c r="B1560" t="s">
        <v>5504</v>
      </c>
      <c r="C1560" t="str">
        <f>VLOOKUP(B1560,Sheet2!$A$2:$A$392,1,0)</f>
        <v>TB. HARMONY-XXVIII / BG. LINTAS SAMUDERA 96</v>
      </c>
      <c r="E1560" t="s">
        <v>40</v>
      </c>
      <c r="F1560" t="s">
        <v>41</v>
      </c>
      <c r="G1560" t="s">
        <v>1968</v>
      </c>
      <c r="I1560" t="s">
        <v>42</v>
      </c>
      <c r="J1560" s="2">
        <v>8000</v>
      </c>
      <c r="K1560" s="3">
        <v>91.44</v>
      </c>
      <c r="L1560" s="2">
        <v>3170</v>
      </c>
      <c r="M1560" s="2">
        <v>1220</v>
      </c>
      <c r="N1560" s="2">
        <v>4</v>
      </c>
      <c r="O1560" t="s">
        <v>281</v>
      </c>
      <c r="P1560" t="s">
        <v>5505</v>
      </c>
      <c r="R1560" t="s">
        <v>42</v>
      </c>
      <c r="S1560" t="s">
        <v>33</v>
      </c>
      <c r="T1560" t="s">
        <v>34</v>
      </c>
      <c r="U1560" t="s">
        <v>35</v>
      </c>
      <c r="V1560" s="2">
        <v>0</v>
      </c>
      <c r="W1560" t="s">
        <v>63</v>
      </c>
      <c r="X1560" t="s">
        <v>34</v>
      </c>
      <c r="Y1560" t="s">
        <v>64</v>
      </c>
      <c r="Z1560" t="s">
        <v>1083</v>
      </c>
      <c r="AA1560" t="s">
        <v>38</v>
      </c>
    </row>
    <row r="1561" spans="1:27" hidden="1">
      <c r="A1561" t="s">
        <v>5506</v>
      </c>
      <c r="B1561" t="s">
        <v>5507</v>
      </c>
      <c r="C1561" t="e">
        <f>VLOOKUP(B1561,Sheet2!$A$2:$A$392,1,0)</f>
        <v>#N/A</v>
      </c>
      <c r="E1561" t="s">
        <v>249</v>
      </c>
      <c r="G1561" t="s">
        <v>5270</v>
      </c>
      <c r="I1561" t="s">
        <v>42</v>
      </c>
      <c r="J1561" s="2">
        <v>8180</v>
      </c>
      <c r="K1561">
        <v>119.9</v>
      </c>
      <c r="L1561" s="2">
        <v>6616</v>
      </c>
      <c r="P1561" t="s">
        <v>5508</v>
      </c>
      <c r="S1561" t="s">
        <v>33</v>
      </c>
      <c r="X1561" t="s">
        <v>34</v>
      </c>
      <c r="AA1561" t="s">
        <v>38</v>
      </c>
    </row>
    <row r="1562" spans="1:27" hidden="1">
      <c r="A1562" t="s">
        <v>5509</v>
      </c>
      <c r="B1562" t="s">
        <v>5510</v>
      </c>
      <c r="C1562" t="e">
        <f>VLOOKUP(B1562,Sheet2!$A$2:$A$392,1,0)</f>
        <v>#N/A</v>
      </c>
      <c r="E1562" t="s">
        <v>40</v>
      </c>
      <c r="F1562" t="s">
        <v>41</v>
      </c>
      <c r="G1562" t="s">
        <v>59</v>
      </c>
      <c r="I1562" t="s">
        <v>42</v>
      </c>
      <c r="J1562" s="2">
        <v>9000</v>
      </c>
      <c r="K1562" s="2">
        <v>87</v>
      </c>
      <c r="L1562" s="2">
        <v>3089</v>
      </c>
      <c r="M1562" s="2">
        <v>2500</v>
      </c>
      <c r="N1562" s="2">
        <v>6</v>
      </c>
      <c r="O1562" t="s">
        <v>61</v>
      </c>
      <c r="P1562" t="s">
        <v>5511</v>
      </c>
      <c r="R1562" t="s">
        <v>42</v>
      </c>
      <c r="S1562" t="s">
        <v>33</v>
      </c>
      <c r="T1562" t="s">
        <v>34</v>
      </c>
      <c r="U1562" t="s">
        <v>35</v>
      </c>
      <c r="W1562" t="s">
        <v>63</v>
      </c>
      <c r="X1562" t="s">
        <v>34</v>
      </c>
      <c r="Y1562" t="s">
        <v>64</v>
      </c>
      <c r="Z1562" t="s">
        <v>1466</v>
      </c>
      <c r="AA1562" t="s">
        <v>38</v>
      </c>
    </row>
    <row r="1563" spans="1:27" hidden="1">
      <c r="A1563" t="s">
        <v>5512</v>
      </c>
      <c r="B1563" t="s">
        <v>5513</v>
      </c>
      <c r="C1563" t="e">
        <f>VLOOKUP(B1563,Sheet2!$A$2:$A$392,1,0)</f>
        <v>#N/A</v>
      </c>
      <c r="E1563" t="s">
        <v>249</v>
      </c>
      <c r="G1563" t="s">
        <v>5270</v>
      </c>
      <c r="I1563" t="s">
        <v>42</v>
      </c>
      <c r="J1563" s="2">
        <v>4868</v>
      </c>
      <c r="K1563" s="3">
        <v>97.08</v>
      </c>
      <c r="L1563" s="2">
        <v>3666</v>
      </c>
      <c r="P1563" t="s">
        <v>5514</v>
      </c>
      <c r="S1563" t="s">
        <v>33</v>
      </c>
      <c r="X1563" t="s">
        <v>34</v>
      </c>
      <c r="AA1563" t="s">
        <v>38</v>
      </c>
    </row>
    <row r="1564" spans="1:27" hidden="1">
      <c r="A1564" t="s">
        <v>5515</v>
      </c>
      <c r="B1564" t="s">
        <v>5516</v>
      </c>
      <c r="C1564" t="e">
        <f>VLOOKUP(B1564,Sheet2!$A$2:$A$392,1,0)</f>
        <v>#N/A</v>
      </c>
      <c r="E1564" t="s">
        <v>40</v>
      </c>
      <c r="F1564" t="s">
        <v>41</v>
      </c>
      <c r="G1564" t="s">
        <v>59</v>
      </c>
      <c r="I1564" t="s">
        <v>42</v>
      </c>
      <c r="J1564" s="2">
        <v>6255</v>
      </c>
      <c r="K1564" s="2">
        <v>96</v>
      </c>
      <c r="L1564" s="2">
        <v>4170</v>
      </c>
      <c r="M1564" s="2">
        <v>2276</v>
      </c>
      <c r="N1564" s="2">
        <v>5</v>
      </c>
      <c r="O1564" t="s">
        <v>61</v>
      </c>
      <c r="P1564" t="s">
        <v>5517</v>
      </c>
      <c r="R1564" t="s">
        <v>42</v>
      </c>
      <c r="S1564" t="s">
        <v>33</v>
      </c>
      <c r="T1564" t="s">
        <v>34</v>
      </c>
      <c r="U1564" t="s">
        <v>35</v>
      </c>
      <c r="W1564" t="s">
        <v>63</v>
      </c>
      <c r="X1564" t="s">
        <v>34</v>
      </c>
      <c r="Y1564" t="s">
        <v>64</v>
      </c>
      <c r="Z1564" t="s">
        <v>5518</v>
      </c>
      <c r="AA1564" t="s">
        <v>38</v>
      </c>
    </row>
    <row r="1565" spans="1:27" hidden="1">
      <c r="A1565" t="s">
        <v>5519</v>
      </c>
      <c r="B1565" t="s">
        <v>5520</v>
      </c>
      <c r="C1565" t="e">
        <f>VLOOKUP(B1565,Sheet2!$A$2:$A$392,1,0)</f>
        <v>#N/A</v>
      </c>
      <c r="E1565" t="s">
        <v>40</v>
      </c>
      <c r="F1565" t="s">
        <v>41</v>
      </c>
      <c r="G1565" t="s">
        <v>29</v>
      </c>
      <c r="I1565" t="s">
        <v>42</v>
      </c>
      <c r="J1565" s="2">
        <v>10000</v>
      </c>
      <c r="K1565" s="2">
        <v>100</v>
      </c>
      <c r="L1565" s="2">
        <v>4275</v>
      </c>
      <c r="N1565" s="2">
        <v>4</v>
      </c>
      <c r="P1565" t="s">
        <v>5521</v>
      </c>
      <c r="R1565" t="s">
        <v>581</v>
      </c>
      <c r="S1565" t="s">
        <v>33</v>
      </c>
      <c r="T1565" t="s">
        <v>34</v>
      </c>
      <c r="U1565" t="s">
        <v>35</v>
      </c>
      <c r="X1565" t="s">
        <v>34</v>
      </c>
      <c r="Y1565" t="s">
        <v>45</v>
      </c>
      <c r="Z1565" t="s">
        <v>5522</v>
      </c>
      <c r="AA1565" t="s">
        <v>38</v>
      </c>
    </row>
    <row r="1566" spans="1:27" hidden="1">
      <c r="A1566" t="s">
        <v>5523</v>
      </c>
      <c r="B1566" t="s">
        <v>5524</v>
      </c>
      <c r="C1566" t="e">
        <f>VLOOKUP(B1566,Sheet2!$A$2:$A$392,1,0)</f>
        <v>#N/A</v>
      </c>
      <c r="E1566" t="s">
        <v>40</v>
      </c>
      <c r="F1566" t="s">
        <v>41</v>
      </c>
      <c r="G1566" t="s">
        <v>59</v>
      </c>
      <c r="I1566" t="s">
        <v>42</v>
      </c>
      <c r="J1566" s="2">
        <v>5000</v>
      </c>
      <c r="K1566" s="3">
        <v>96.56</v>
      </c>
      <c r="L1566" s="2">
        <v>4362</v>
      </c>
      <c r="M1566" s="2">
        <v>2400</v>
      </c>
      <c r="N1566" s="2">
        <v>6</v>
      </c>
      <c r="O1566" t="s">
        <v>61</v>
      </c>
      <c r="P1566" t="s">
        <v>5525</v>
      </c>
      <c r="R1566" t="s">
        <v>42</v>
      </c>
      <c r="S1566" t="s">
        <v>33</v>
      </c>
      <c r="U1566" t="s">
        <v>35</v>
      </c>
      <c r="W1566" t="s">
        <v>63</v>
      </c>
      <c r="X1566" t="s">
        <v>34</v>
      </c>
      <c r="Y1566" t="s">
        <v>64</v>
      </c>
      <c r="Z1566" t="s">
        <v>5526</v>
      </c>
      <c r="AA1566" t="s">
        <v>38</v>
      </c>
    </row>
    <row r="1567" spans="1:27" hidden="1">
      <c r="A1567" t="s">
        <v>5527</v>
      </c>
      <c r="B1567" t="s">
        <v>5528</v>
      </c>
      <c r="C1567" t="e">
        <f>VLOOKUP(B1567,Sheet2!$A$2:$A$392,1,0)</f>
        <v>#N/A</v>
      </c>
      <c r="E1567" t="s">
        <v>27</v>
      </c>
      <c r="F1567" t="s">
        <v>41</v>
      </c>
      <c r="G1567" t="s">
        <v>29</v>
      </c>
      <c r="I1567" t="s">
        <v>42</v>
      </c>
      <c r="J1567" s="2">
        <v>1000</v>
      </c>
      <c r="K1567">
        <v>50.1</v>
      </c>
      <c r="L1567" s="2">
        <v>599</v>
      </c>
      <c r="P1567" t="s">
        <v>5529</v>
      </c>
      <c r="R1567" t="s">
        <v>32</v>
      </c>
      <c r="S1567" t="s">
        <v>33</v>
      </c>
      <c r="T1567" t="s">
        <v>34</v>
      </c>
      <c r="U1567" t="s">
        <v>35</v>
      </c>
      <c r="X1567" t="s">
        <v>34</v>
      </c>
      <c r="Y1567" t="s">
        <v>45</v>
      </c>
      <c r="Z1567" t="s">
        <v>5530</v>
      </c>
      <c r="AA1567" t="s">
        <v>38</v>
      </c>
    </row>
    <row r="1568" spans="1:27" hidden="1">
      <c r="A1568" t="s">
        <v>5531</v>
      </c>
      <c r="B1568" t="s">
        <v>5532</v>
      </c>
      <c r="C1568" t="e">
        <f>VLOOKUP(B1568,Sheet2!$A$2:$A$392,1,0)</f>
        <v>#N/A</v>
      </c>
      <c r="E1568" t="s">
        <v>40</v>
      </c>
      <c r="F1568" t="s">
        <v>41</v>
      </c>
      <c r="G1568" t="s">
        <v>1968</v>
      </c>
      <c r="I1568" t="s">
        <v>42</v>
      </c>
      <c r="J1568" s="2">
        <v>7480</v>
      </c>
      <c r="K1568" s="2">
        <v>91</v>
      </c>
      <c r="L1568" s="2">
        <v>3065</v>
      </c>
      <c r="M1568" s="2">
        <v>1030</v>
      </c>
      <c r="N1568" s="2">
        <v>4</v>
      </c>
      <c r="O1568" t="s">
        <v>281</v>
      </c>
      <c r="P1568" t="s">
        <v>5533</v>
      </c>
      <c r="R1568" t="s">
        <v>42</v>
      </c>
      <c r="S1568" t="s">
        <v>33</v>
      </c>
      <c r="T1568" t="s">
        <v>34</v>
      </c>
      <c r="U1568" t="s">
        <v>35</v>
      </c>
      <c r="V1568" s="2">
        <v>1</v>
      </c>
      <c r="W1568" t="s">
        <v>63</v>
      </c>
      <c r="X1568" t="s">
        <v>34</v>
      </c>
      <c r="Y1568" t="s">
        <v>64</v>
      </c>
      <c r="Z1568" t="s">
        <v>5534</v>
      </c>
      <c r="AA1568" t="s">
        <v>38</v>
      </c>
    </row>
    <row r="1569" spans="1:27" hidden="1">
      <c r="A1569" t="s">
        <v>5535</v>
      </c>
      <c r="B1569" t="s">
        <v>5536</v>
      </c>
      <c r="C1569" t="e">
        <f>VLOOKUP(B1569,Sheet2!$A$2:$A$392,1,0)</f>
        <v>#N/A</v>
      </c>
      <c r="E1569" t="s">
        <v>40</v>
      </c>
      <c r="F1569" t="s">
        <v>41</v>
      </c>
      <c r="G1569" t="s">
        <v>29</v>
      </c>
      <c r="I1569" t="s">
        <v>42</v>
      </c>
      <c r="J1569" s="2">
        <v>8000</v>
      </c>
      <c r="K1569" s="2">
        <v>87</v>
      </c>
      <c r="L1569" s="2">
        <v>3370</v>
      </c>
      <c r="P1569" t="s">
        <v>5537</v>
      </c>
      <c r="R1569" t="s">
        <v>581</v>
      </c>
      <c r="S1569" t="s">
        <v>33</v>
      </c>
      <c r="T1569" t="s">
        <v>34</v>
      </c>
      <c r="U1569" t="s">
        <v>44</v>
      </c>
      <c r="W1569" t="s">
        <v>165</v>
      </c>
      <c r="X1569" t="s">
        <v>34</v>
      </c>
      <c r="Y1569" t="s">
        <v>245</v>
      </c>
      <c r="Z1569" t="s">
        <v>5538</v>
      </c>
      <c r="AA1569" t="s">
        <v>38</v>
      </c>
    </row>
    <row r="1570" spans="1:27" hidden="1">
      <c r="A1570" t="s">
        <v>5539</v>
      </c>
      <c r="B1570" t="s">
        <v>5540</v>
      </c>
      <c r="C1570" t="e">
        <f>VLOOKUP(B1570,Sheet2!$A$2:$A$392,1,0)</f>
        <v>#N/A</v>
      </c>
      <c r="E1570" t="s">
        <v>40</v>
      </c>
      <c r="F1570" t="s">
        <v>41</v>
      </c>
      <c r="G1570" t="s">
        <v>29</v>
      </c>
      <c r="I1570" t="s">
        <v>42</v>
      </c>
      <c r="J1570" s="2">
        <v>7900</v>
      </c>
      <c r="K1570" s="2">
        <v>91</v>
      </c>
      <c r="L1570" s="2">
        <v>3417</v>
      </c>
      <c r="M1570" s="2">
        <v>1200</v>
      </c>
      <c r="P1570" t="s">
        <v>185</v>
      </c>
      <c r="R1570" t="s">
        <v>42</v>
      </c>
      <c r="S1570" t="s">
        <v>33</v>
      </c>
      <c r="T1570" t="s">
        <v>34</v>
      </c>
      <c r="U1570" t="s">
        <v>35</v>
      </c>
      <c r="X1570" t="s">
        <v>34</v>
      </c>
      <c r="Y1570" t="s">
        <v>45</v>
      </c>
      <c r="Z1570" t="s">
        <v>5541</v>
      </c>
      <c r="AA1570" t="s">
        <v>38</v>
      </c>
    </row>
    <row r="1571" spans="1:27" hidden="1">
      <c r="A1571" t="s">
        <v>5542</v>
      </c>
      <c r="B1571" t="s">
        <v>5543</v>
      </c>
      <c r="C1571" t="e">
        <f>VLOOKUP(B1571,Sheet2!$A$2:$A$392,1,0)</f>
        <v>#N/A</v>
      </c>
      <c r="E1571" t="s">
        <v>40</v>
      </c>
      <c r="F1571" t="s">
        <v>41</v>
      </c>
      <c r="G1571" t="s">
        <v>415</v>
      </c>
      <c r="I1571" t="s">
        <v>42</v>
      </c>
      <c r="J1571" s="2">
        <v>5000</v>
      </c>
      <c r="K1571">
        <v>82.3</v>
      </c>
      <c r="L1571" s="2">
        <v>2124</v>
      </c>
      <c r="P1571" t="s">
        <v>74</v>
      </c>
      <c r="R1571" t="s">
        <v>42</v>
      </c>
      <c r="S1571" t="s">
        <v>33</v>
      </c>
      <c r="T1571" t="s">
        <v>34</v>
      </c>
      <c r="U1571" t="s">
        <v>44</v>
      </c>
      <c r="W1571" t="s">
        <v>63</v>
      </c>
      <c r="X1571" t="s">
        <v>34</v>
      </c>
      <c r="Y1571" t="s">
        <v>64</v>
      </c>
      <c r="Z1571" t="s">
        <v>5544</v>
      </c>
      <c r="AA1571" t="s">
        <v>38</v>
      </c>
    </row>
    <row r="1572" spans="1:27" hidden="1">
      <c r="A1572" t="s">
        <v>5545</v>
      </c>
      <c r="B1572" t="s">
        <v>5546</v>
      </c>
      <c r="C1572" t="e">
        <f>VLOOKUP(B1572,Sheet2!$A$2:$A$392,1,0)</f>
        <v>#N/A</v>
      </c>
      <c r="E1572" t="s">
        <v>40</v>
      </c>
      <c r="F1572" t="s">
        <v>41</v>
      </c>
      <c r="G1572" t="s">
        <v>415</v>
      </c>
      <c r="I1572" t="s">
        <v>42</v>
      </c>
      <c r="J1572" s="2">
        <v>7500</v>
      </c>
      <c r="K1572" s="2">
        <v>88</v>
      </c>
      <c r="L1572" s="2">
        <v>3116</v>
      </c>
      <c r="M1572" s="2">
        <v>2000</v>
      </c>
      <c r="P1572" t="s">
        <v>5547</v>
      </c>
      <c r="R1572" t="s">
        <v>42</v>
      </c>
      <c r="S1572" t="s">
        <v>33</v>
      </c>
      <c r="T1572" t="s">
        <v>34</v>
      </c>
      <c r="U1572" t="s">
        <v>44</v>
      </c>
      <c r="W1572" t="s">
        <v>63</v>
      </c>
      <c r="X1572" t="s">
        <v>34</v>
      </c>
      <c r="Y1572" t="s">
        <v>64</v>
      </c>
      <c r="Z1572" t="s">
        <v>5548</v>
      </c>
      <c r="AA1572" t="s">
        <v>38</v>
      </c>
    </row>
    <row r="1573" spans="1:27" hidden="1">
      <c r="A1573" t="s">
        <v>5549</v>
      </c>
      <c r="B1573" t="s">
        <v>5550</v>
      </c>
      <c r="C1573" t="e">
        <f>VLOOKUP(B1573,Sheet2!$A$2:$A$392,1,0)</f>
        <v>#N/A</v>
      </c>
      <c r="E1573" t="s">
        <v>40</v>
      </c>
      <c r="F1573" t="s">
        <v>41</v>
      </c>
      <c r="G1573" t="s">
        <v>415</v>
      </c>
      <c r="I1573" t="s">
        <v>42</v>
      </c>
      <c r="J1573" s="2">
        <v>7500</v>
      </c>
      <c r="K1573" s="2">
        <v>88</v>
      </c>
      <c r="L1573" s="2">
        <v>3142</v>
      </c>
      <c r="M1573" s="2">
        <v>2000</v>
      </c>
      <c r="N1573" s="2">
        <v>4</v>
      </c>
      <c r="P1573" t="s">
        <v>5551</v>
      </c>
      <c r="R1573" t="s">
        <v>42</v>
      </c>
      <c r="S1573" t="s">
        <v>33</v>
      </c>
      <c r="T1573" t="s">
        <v>34</v>
      </c>
      <c r="U1573" t="s">
        <v>44</v>
      </c>
      <c r="V1573" s="2">
        <v>1</v>
      </c>
      <c r="W1573" t="s">
        <v>63</v>
      </c>
      <c r="X1573" t="s">
        <v>34</v>
      </c>
      <c r="Y1573" t="s">
        <v>64</v>
      </c>
      <c r="Z1573" t="s">
        <v>5552</v>
      </c>
      <c r="AA1573" t="s">
        <v>38</v>
      </c>
    </row>
    <row r="1574" spans="1:27" hidden="1">
      <c r="A1574" t="s">
        <v>5553</v>
      </c>
      <c r="B1574" t="s">
        <v>5554</v>
      </c>
      <c r="C1574" t="e">
        <f>VLOOKUP(B1574,Sheet2!$A$2:$A$392,1,0)</f>
        <v>#N/A</v>
      </c>
      <c r="E1574" t="s">
        <v>40</v>
      </c>
      <c r="F1574" t="s">
        <v>41</v>
      </c>
      <c r="G1574" t="s">
        <v>59</v>
      </c>
      <c r="I1574" t="s">
        <v>42</v>
      </c>
      <c r="J1574" s="2">
        <v>3500</v>
      </c>
      <c r="K1574" s="2">
        <v>89</v>
      </c>
      <c r="L1574" s="2">
        <v>2102</v>
      </c>
      <c r="M1574" s="2">
        <v>2000</v>
      </c>
      <c r="N1574" s="2">
        <v>5</v>
      </c>
      <c r="O1574" t="s">
        <v>61</v>
      </c>
      <c r="P1574" t="s">
        <v>5555</v>
      </c>
      <c r="R1574" t="s">
        <v>42</v>
      </c>
      <c r="S1574" t="s">
        <v>33</v>
      </c>
      <c r="T1574" t="s">
        <v>34</v>
      </c>
      <c r="U1574" t="s">
        <v>35</v>
      </c>
      <c r="W1574" t="s">
        <v>63</v>
      </c>
      <c r="X1574" t="s">
        <v>34</v>
      </c>
      <c r="Y1574" t="s">
        <v>64</v>
      </c>
      <c r="Z1574" t="s">
        <v>5556</v>
      </c>
      <c r="AA1574" t="s">
        <v>38</v>
      </c>
    </row>
    <row r="1575" spans="1:27" hidden="1">
      <c r="A1575" t="s">
        <v>5557</v>
      </c>
      <c r="B1575" t="s">
        <v>5558</v>
      </c>
      <c r="C1575" t="e">
        <f>VLOOKUP(B1575,Sheet2!$A$2:$A$392,1,0)</f>
        <v>#N/A</v>
      </c>
      <c r="E1575" t="s">
        <v>40</v>
      </c>
      <c r="F1575" t="s">
        <v>41</v>
      </c>
      <c r="G1575" t="s">
        <v>415</v>
      </c>
      <c r="I1575" t="s">
        <v>42</v>
      </c>
      <c r="J1575" s="2">
        <v>7500</v>
      </c>
      <c r="K1575" s="2">
        <v>88</v>
      </c>
      <c r="L1575" s="2">
        <v>3233</v>
      </c>
      <c r="M1575" s="2">
        <v>2000</v>
      </c>
      <c r="N1575" s="2">
        <v>4</v>
      </c>
      <c r="P1575" t="s">
        <v>5559</v>
      </c>
      <c r="R1575" t="s">
        <v>42</v>
      </c>
      <c r="S1575" t="s">
        <v>33</v>
      </c>
      <c r="T1575" t="s">
        <v>34</v>
      </c>
      <c r="U1575" t="s">
        <v>44</v>
      </c>
      <c r="W1575" t="s">
        <v>63</v>
      </c>
      <c r="X1575" t="s">
        <v>34</v>
      </c>
      <c r="Y1575" t="s">
        <v>64</v>
      </c>
      <c r="Z1575" t="s">
        <v>5560</v>
      </c>
      <c r="AA1575" t="s">
        <v>38</v>
      </c>
    </row>
    <row r="1576" spans="1:27" hidden="1">
      <c r="A1576" t="s">
        <v>5561</v>
      </c>
      <c r="B1576" t="s">
        <v>5562</v>
      </c>
      <c r="C1576" t="e">
        <f>VLOOKUP(B1576,Sheet2!$A$2:$A$392,1,0)</f>
        <v>#N/A</v>
      </c>
      <c r="E1576" t="s">
        <v>40</v>
      </c>
      <c r="F1576" t="s">
        <v>41</v>
      </c>
      <c r="G1576" t="s">
        <v>29</v>
      </c>
      <c r="I1576" t="s">
        <v>42</v>
      </c>
      <c r="J1576" s="2">
        <v>7500</v>
      </c>
      <c r="K1576" s="2">
        <v>91</v>
      </c>
      <c r="L1576" s="2">
        <v>3287</v>
      </c>
      <c r="P1576" t="s">
        <v>5563</v>
      </c>
      <c r="R1576" t="s">
        <v>42</v>
      </c>
      <c r="S1576" t="s">
        <v>33</v>
      </c>
      <c r="U1576" t="s">
        <v>44</v>
      </c>
      <c r="X1576" t="s">
        <v>34</v>
      </c>
      <c r="Y1576" t="s">
        <v>1241</v>
      </c>
      <c r="Z1576" t="s">
        <v>5564</v>
      </c>
      <c r="AA1576" t="s">
        <v>38</v>
      </c>
    </row>
    <row r="1577" spans="1:27" hidden="1">
      <c r="A1577" t="s">
        <v>5565</v>
      </c>
      <c r="B1577" t="s">
        <v>5566</v>
      </c>
      <c r="C1577" t="e">
        <f>VLOOKUP(B1577,Sheet2!$A$2:$A$392,1,0)</f>
        <v>#N/A</v>
      </c>
      <c r="E1577" t="s">
        <v>40</v>
      </c>
      <c r="F1577" t="s">
        <v>41</v>
      </c>
      <c r="G1577" t="s">
        <v>29</v>
      </c>
      <c r="I1577" t="s">
        <v>42</v>
      </c>
      <c r="J1577" s="2">
        <v>8000</v>
      </c>
      <c r="K1577" s="2">
        <v>87</v>
      </c>
      <c r="L1577" s="2">
        <v>3287</v>
      </c>
      <c r="P1577" t="s">
        <v>185</v>
      </c>
      <c r="R1577" t="s">
        <v>42</v>
      </c>
      <c r="S1577" t="s">
        <v>33</v>
      </c>
      <c r="T1577" t="s">
        <v>34</v>
      </c>
      <c r="U1577" t="s">
        <v>35</v>
      </c>
      <c r="X1577" t="s">
        <v>34</v>
      </c>
      <c r="Y1577" t="s">
        <v>45</v>
      </c>
      <c r="Z1577" t="s">
        <v>5567</v>
      </c>
      <c r="AA1577" t="s">
        <v>38</v>
      </c>
    </row>
    <row r="1578" spans="1:27">
      <c r="A1578" t="s">
        <v>5568</v>
      </c>
      <c r="B1578" t="s">
        <v>5569</v>
      </c>
      <c r="C1578" t="str">
        <f>VLOOKUP(B1578,Sheet2!$A$2:$A$392,1,0)</f>
        <v>TB. KARYA STAR 39 / BG. KBT 31</v>
      </c>
      <c r="E1578" t="s">
        <v>40</v>
      </c>
      <c r="F1578" t="s">
        <v>28</v>
      </c>
      <c r="G1578" t="s">
        <v>756</v>
      </c>
      <c r="J1578" s="2">
        <v>8000</v>
      </c>
      <c r="K1578" s="3">
        <v>87.78</v>
      </c>
      <c r="L1578" s="2">
        <v>228</v>
      </c>
      <c r="M1578" s="2">
        <v>1518</v>
      </c>
      <c r="N1578" s="2">
        <v>6</v>
      </c>
      <c r="O1578" t="s">
        <v>757</v>
      </c>
      <c r="P1578" t="s">
        <v>5570</v>
      </c>
      <c r="R1578" t="s">
        <v>42</v>
      </c>
      <c r="S1578" t="s">
        <v>33</v>
      </c>
      <c r="U1578" t="s">
        <v>35</v>
      </c>
      <c r="W1578" t="s">
        <v>63</v>
      </c>
      <c r="X1578" t="s">
        <v>34</v>
      </c>
      <c r="Y1578" t="s">
        <v>64</v>
      </c>
      <c r="Z1578" t="s">
        <v>5571</v>
      </c>
      <c r="AA1578" t="s">
        <v>38</v>
      </c>
    </row>
    <row r="1579" spans="1:27" hidden="1">
      <c r="A1579" t="s">
        <v>5572</v>
      </c>
      <c r="B1579" t="s">
        <v>5573</v>
      </c>
      <c r="C1579" t="e">
        <f>VLOOKUP(B1579,Sheet2!$A$2:$A$392,1,0)</f>
        <v>#N/A</v>
      </c>
      <c r="E1579" t="s">
        <v>40</v>
      </c>
      <c r="F1579" t="s">
        <v>41</v>
      </c>
      <c r="G1579" t="s">
        <v>29</v>
      </c>
      <c r="J1579" s="2">
        <v>7500</v>
      </c>
      <c r="K1579" s="2">
        <v>87</v>
      </c>
      <c r="L1579" s="2">
        <v>3336</v>
      </c>
      <c r="P1579" t="s">
        <v>185</v>
      </c>
      <c r="R1579" t="s">
        <v>42</v>
      </c>
      <c r="S1579" t="s">
        <v>33</v>
      </c>
      <c r="U1579" t="s">
        <v>35</v>
      </c>
      <c r="X1579" t="s">
        <v>34</v>
      </c>
      <c r="Y1579" t="s">
        <v>45</v>
      </c>
      <c r="Z1579" t="s">
        <v>5574</v>
      </c>
      <c r="AA1579" t="s">
        <v>38</v>
      </c>
    </row>
    <row r="1580" spans="1:27">
      <c r="A1580" t="s">
        <v>5575</v>
      </c>
      <c r="B1580" t="s">
        <v>5576</v>
      </c>
      <c r="C1580" t="str">
        <f>VLOOKUP(B1580,Sheet2!$A$2:$A$392,1,0)</f>
        <v>TB. KARYA STAR 56 / BG.  KBT 36</v>
      </c>
      <c r="E1580" t="s">
        <v>40</v>
      </c>
      <c r="F1580" t="s">
        <v>41</v>
      </c>
      <c r="G1580" t="s">
        <v>756</v>
      </c>
      <c r="J1580" s="2">
        <v>9000</v>
      </c>
      <c r="K1580" s="3">
        <v>91.44</v>
      </c>
      <c r="L1580" s="2">
        <v>3511</v>
      </c>
      <c r="M1580" s="2">
        <v>1518</v>
      </c>
      <c r="N1580" s="2">
        <v>5</v>
      </c>
      <c r="O1580" t="s">
        <v>757</v>
      </c>
      <c r="P1580" t="s">
        <v>5577</v>
      </c>
      <c r="R1580" t="s">
        <v>42</v>
      </c>
      <c r="S1580" t="s">
        <v>33</v>
      </c>
      <c r="U1580" t="s">
        <v>35</v>
      </c>
      <c r="W1580" t="s">
        <v>63</v>
      </c>
      <c r="X1580" t="s">
        <v>34</v>
      </c>
      <c r="Y1580" t="s">
        <v>64</v>
      </c>
      <c r="Z1580" t="s">
        <v>5578</v>
      </c>
      <c r="AA1580" t="s">
        <v>38</v>
      </c>
    </row>
    <row r="1581" spans="1:27" hidden="1">
      <c r="A1581" t="s">
        <v>5579</v>
      </c>
      <c r="B1581" t="s">
        <v>5580</v>
      </c>
      <c r="C1581" t="e">
        <f>VLOOKUP(B1581,Sheet2!$A$2:$A$392,1,0)</f>
        <v>#N/A</v>
      </c>
      <c r="E1581" t="s">
        <v>40</v>
      </c>
      <c r="F1581" t="s">
        <v>41</v>
      </c>
      <c r="G1581" t="s">
        <v>29</v>
      </c>
      <c r="I1581" t="s">
        <v>42</v>
      </c>
      <c r="J1581" s="2">
        <v>8000</v>
      </c>
      <c r="K1581" s="2">
        <v>87</v>
      </c>
      <c r="L1581" s="2">
        <v>3269</v>
      </c>
      <c r="M1581" s="2">
        <v>1220</v>
      </c>
      <c r="P1581" t="s">
        <v>185</v>
      </c>
      <c r="R1581" t="s">
        <v>581</v>
      </c>
      <c r="S1581" t="s">
        <v>33</v>
      </c>
      <c r="T1581" t="s">
        <v>34</v>
      </c>
      <c r="U1581" t="s">
        <v>35</v>
      </c>
      <c r="X1581" t="s">
        <v>34</v>
      </c>
      <c r="Y1581" t="s">
        <v>45</v>
      </c>
      <c r="Z1581" t="s">
        <v>5581</v>
      </c>
      <c r="AA1581" t="s">
        <v>38</v>
      </c>
    </row>
    <row r="1582" spans="1:27">
      <c r="A1582" t="s">
        <v>5582</v>
      </c>
      <c r="B1582" t="s">
        <v>5583</v>
      </c>
      <c r="C1582" t="str">
        <f>VLOOKUP(B1582,Sheet2!$A$2:$A$392,1,0)</f>
        <v>TB. KIETRANS 80 / BG. STAR MARINE 3080</v>
      </c>
      <c r="E1582" t="s">
        <v>40</v>
      </c>
      <c r="F1582" t="s">
        <v>41</v>
      </c>
      <c r="G1582" t="s">
        <v>29</v>
      </c>
      <c r="I1582" t="s">
        <v>42</v>
      </c>
      <c r="J1582" s="2">
        <v>8700</v>
      </c>
      <c r="K1582" s="2">
        <v>91</v>
      </c>
      <c r="L1582" s="2">
        <v>3791</v>
      </c>
      <c r="P1582" t="s">
        <v>185</v>
      </c>
      <c r="R1582" t="s">
        <v>42</v>
      </c>
      <c r="S1582" t="s">
        <v>33</v>
      </c>
      <c r="T1582" t="s">
        <v>34</v>
      </c>
      <c r="U1582" t="s">
        <v>35</v>
      </c>
      <c r="X1582" t="s">
        <v>34</v>
      </c>
      <c r="Y1582" t="s">
        <v>45</v>
      </c>
      <c r="Z1582" t="s">
        <v>5584</v>
      </c>
      <c r="AA1582" t="s">
        <v>38</v>
      </c>
    </row>
    <row r="1583" spans="1:27" hidden="1">
      <c r="A1583" t="s">
        <v>5585</v>
      </c>
      <c r="B1583" t="s">
        <v>5586</v>
      </c>
      <c r="C1583" t="e">
        <f>VLOOKUP(B1583,Sheet2!$A$2:$A$392,1,0)</f>
        <v>#N/A</v>
      </c>
      <c r="E1583" t="s">
        <v>40</v>
      </c>
      <c r="F1583" t="s">
        <v>41</v>
      </c>
      <c r="G1583" t="s">
        <v>29</v>
      </c>
      <c r="I1583" t="s">
        <v>42</v>
      </c>
      <c r="J1583" s="2">
        <v>8000</v>
      </c>
      <c r="K1583" s="2">
        <v>87</v>
      </c>
      <c r="L1583" s="2">
        <v>3367</v>
      </c>
      <c r="P1583" t="s">
        <v>5587</v>
      </c>
      <c r="R1583" t="s">
        <v>581</v>
      </c>
      <c r="S1583" t="s">
        <v>33</v>
      </c>
      <c r="T1583" t="s">
        <v>34</v>
      </c>
      <c r="U1583" t="s">
        <v>35</v>
      </c>
      <c r="X1583" t="s">
        <v>34</v>
      </c>
      <c r="Y1583" t="s">
        <v>45</v>
      </c>
      <c r="Z1583" t="s">
        <v>5581</v>
      </c>
      <c r="AA1583" t="s">
        <v>38</v>
      </c>
    </row>
    <row r="1584" spans="1:27" hidden="1">
      <c r="A1584" t="s">
        <v>5588</v>
      </c>
      <c r="B1584" t="s">
        <v>5589</v>
      </c>
      <c r="C1584" t="e">
        <f>VLOOKUP(B1584,Sheet2!$A$2:$A$392,1,0)</f>
        <v>#N/A</v>
      </c>
      <c r="E1584" t="s">
        <v>249</v>
      </c>
      <c r="G1584" t="s">
        <v>5270</v>
      </c>
      <c r="I1584" t="s">
        <v>42</v>
      </c>
      <c r="J1584" s="2">
        <v>8180</v>
      </c>
      <c r="K1584">
        <v>119.9</v>
      </c>
      <c r="L1584" s="2">
        <v>6616</v>
      </c>
      <c r="P1584" t="s">
        <v>5590</v>
      </c>
      <c r="S1584" t="s">
        <v>33</v>
      </c>
      <c r="X1584" t="s">
        <v>34</v>
      </c>
      <c r="AA1584" t="s">
        <v>38</v>
      </c>
    </row>
    <row r="1585" spans="1:27">
      <c r="A1585" t="s">
        <v>5591</v>
      </c>
      <c r="B1585" t="s">
        <v>5592</v>
      </c>
      <c r="C1585" t="str">
        <f>VLOOKUP(B1585,Sheet2!$A$2:$A$392,1,0)</f>
        <v>TB. KANAYA 2 / BG. IRONMAN XLII</v>
      </c>
      <c r="E1585" t="s">
        <v>40</v>
      </c>
      <c r="F1585" t="s">
        <v>41</v>
      </c>
      <c r="G1585" t="s">
        <v>293</v>
      </c>
      <c r="J1585" s="2">
        <v>8000</v>
      </c>
      <c r="K1585" s="2">
        <v>93</v>
      </c>
      <c r="L1585" s="2">
        <v>3197</v>
      </c>
      <c r="M1585" s="2">
        <v>2000</v>
      </c>
      <c r="N1585" s="2">
        <v>5</v>
      </c>
      <c r="O1585" t="s">
        <v>294</v>
      </c>
      <c r="P1585" t="s">
        <v>5593</v>
      </c>
      <c r="R1585" t="s">
        <v>42</v>
      </c>
      <c r="S1585" t="s">
        <v>33</v>
      </c>
      <c r="U1585" t="s">
        <v>35</v>
      </c>
      <c r="W1585" t="s">
        <v>63</v>
      </c>
      <c r="X1585" t="s">
        <v>34</v>
      </c>
      <c r="Y1585" t="s">
        <v>64</v>
      </c>
      <c r="Z1585" t="s">
        <v>5594</v>
      </c>
      <c r="AA1585" t="s">
        <v>38</v>
      </c>
    </row>
    <row r="1586" spans="1:27" hidden="1">
      <c r="A1586" t="s">
        <v>5595</v>
      </c>
      <c r="B1586" t="s">
        <v>5596</v>
      </c>
      <c r="C1586" t="e">
        <f>VLOOKUP(B1586,Sheet2!$A$2:$A$392,1,0)</f>
        <v>#N/A</v>
      </c>
      <c r="E1586" t="s">
        <v>93</v>
      </c>
      <c r="G1586" t="s">
        <v>136</v>
      </c>
      <c r="I1586" t="s">
        <v>42</v>
      </c>
      <c r="J1586" s="2">
        <v>2000</v>
      </c>
      <c r="K1586" s="3">
        <v>60.65</v>
      </c>
      <c r="L1586" s="2">
        <v>628</v>
      </c>
      <c r="P1586" t="s">
        <v>5597</v>
      </c>
      <c r="S1586" t="s">
        <v>33</v>
      </c>
      <c r="X1586" t="s">
        <v>34</v>
      </c>
      <c r="AA1586" t="s">
        <v>38</v>
      </c>
    </row>
    <row r="1587" spans="1:27" hidden="1">
      <c r="A1587" t="s">
        <v>5598</v>
      </c>
      <c r="B1587" t="s">
        <v>5599</v>
      </c>
      <c r="C1587" t="e">
        <f>VLOOKUP(B1587,Sheet2!$A$2:$A$392,1,0)</f>
        <v>#N/A</v>
      </c>
      <c r="E1587" t="s">
        <v>5600</v>
      </c>
      <c r="F1587" t="s">
        <v>41</v>
      </c>
      <c r="G1587" t="s">
        <v>756</v>
      </c>
      <c r="J1587" s="2">
        <v>700</v>
      </c>
      <c r="K1587">
        <v>42.7</v>
      </c>
      <c r="L1587" s="2">
        <v>332</v>
      </c>
      <c r="M1587" s="2">
        <v>800</v>
      </c>
      <c r="N1587" s="2">
        <v>2</v>
      </c>
      <c r="O1587" t="s">
        <v>757</v>
      </c>
      <c r="P1587" t="s">
        <v>5601</v>
      </c>
      <c r="R1587" t="s">
        <v>42</v>
      </c>
      <c r="S1587" t="s">
        <v>33</v>
      </c>
      <c r="U1587" t="s">
        <v>35</v>
      </c>
      <c r="W1587" t="s">
        <v>63</v>
      </c>
      <c r="X1587" t="s">
        <v>34</v>
      </c>
      <c r="Y1587" t="s">
        <v>64</v>
      </c>
      <c r="Z1587" t="s">
        <v>5602</v>
      </c>
      <c r="AA1587" t="s">
        <v>38</v>
      </c>
    </row>
    <row r="1588" spans="1:27" hidden="1">
      <c r="A1588" t="s">
        <v>5603</v>
      </c>
      <c r="B1588" t="s">
        <v>5604</v>
      </c>
      <c r="C1588" t="e">
        <f>VLOOKUP(B1588,Sheet2!$A$2:$A$392,1,0)</f>
        <v>#N/A</v>
      </c>
      <c r="E1588" t="s">
        <v>196</v>
      </c>
      <c r="F1588" t="s">
        <v>41</v>
      </c>
      <c r="G1588" t="s">
        <v>59</v>
      </c>
      <c r="J1588" s="2">
        <v>3500</v>
      </c>
      <c r="K1588" s="2">
        <v>86</v>
      </c>
      <c r="L1588" s="2">
        <v>2266</v>
      </c>
      <c r="M1588" s="2">
        <v>2700</v>
      </c>
      <c r="N1588" s="2">
        <v>6</v>
      </c>
      <c r="O1588" t="s">
        <v>61</v>
      </c>
      <c r="P1588" t="s">
        <v>2414</v>
      </c>
      <c r="R1588" t="s">
        <v>42</v>
      </c>
      <c r="S1588" t="s">
        <v>33</v>
      </c>
      <c r="U1588" t="s">
        <v>35</v>
      </c>
      <c r="W1588" t="s">
        <v>63</v>
      </c>
      <c r="X1588" t="s">
        <v>34</v>
      </c>
      <c r="Y1588" t="s">
        <v>64</v>
      </c>
      <c r="Z1588" t="s">
        <v>5605</v>
      </c>
      <c r="AA1588" t="s">
        <v>38</v>
      </c>
    </row>
    <row r="1589" spans="1:27" hidden="1">
      <c r="A1589" t="s">
        <v>5606</v>
      </c>
      <c r="B1589" t="s">
        <v>5607</v>
      </c>
      <c r="C1589" t="e">
        <f>VLOOKUP(B1589,Sheet2!$A$2:$A$392,1,0)</f>
        <v>#N/A</v>
      </c>
      <c r="E1589" t="s">
        <v>40</v>
      </c>
      <c r="F1589" t="s">
        <v>41</v>
      </c>
      <c r="G1589" t="s">
        <v>415</v>
      </c>
      <c r="J1589" s="2">
        <v>10533</v>
      </c>
      <c r="K1589" s="2">
        <v>9144</v>
      </c>
      <c r="L1589" s="2">
        <v>3511</v>
      </c>
      <c r="O1589" t="s">
        <v>1606</v>
      </c>
      <c r="P1589" t="s">
        <v>5608</v>
      </c>
      <c r="R1589" t="s">
        <v>42</v>
      </c>
      <c r="S1589" t="s">
        <v>33</v>
      </c>
      <c r="U1589" t="s">
        <v>44</v>
      </c>
      <c r="V1589" s="2">
        <v>1</v>
      </c>
      <c r="W1589" t="s">
        <v>63</v>
      </c>
      <c r="X1589" t="s">
        <v>34</v>
      </c>
      <c r="Y1589" t="s">
        <v>64</v>
      </c>
      <c r="Z1589" t="s">
        <v>5609</v>
      </c>
      <c r="AA1589" t="s">
        <v>38</v>
      </c>
    </row>
    <row r="1590" spans="1:27" hidden="1">
      <c r="A1590" t="s">
        <v>5610</v>
      </c>
      <c r="B1590" t="s">
        <v>5611</v>
      </c>
      <c r="C1590" t="e">
        <f>VLOOKUP(B1590,Sheet2!$A$2:$A$392,1,0)</f>
        <v>#N/A</v>
      </c>
      <c r="E1590" t="s">
        <v>40</v>
      </c>
      <c r="F1590" t="s">
        <v>41</v>
      </c>
      <c r="G1590" t="s">
        <v>29</v>
      </c>
      <c r="I1590" t="s">
        <v>42</v>
      </c>
      <c r="J1590" s="2">
        <v>3000</v>
      </c>
      <c r="K1590">
        <v>91.5</v>
      </c>
      <c r="L1590" s="2">
        <v>3739</v>
      </c>
      <c r="M1590" s="2">
        <v>0</v>
      </c>
      <c r="N1590" s="2">
        <v>4</v>
      </c>
      <c r="O1590" t="s">
        <v>482</v>
      </c>
      <c r="P1590" t="s">
        <v>5612</v>
      </c>
      <c r="Q1590" t="s">
        <v>34</v>
      </c>
      <c r="R1590" t="s">
        <v>42</v>
      </c>
      <c r="S1590" t="s">
        <v>33</v>
      </c>
      <c r="T1590" t="s">
        <v>34</v>
      </c>
      <c r="U1590" t="s">
        <v>35</v>
      </c>
      <c r="V1590" s="2">
        <v>1</v>
      </c>
      <c r="X1590" t="s">
        <v>34</v>
      </c>
      <c r="Y1590" t="s">
        <v>45</v>
      </c>
      <c r="Z1590" t="s">
        <v>5613</v>
      </c>
      <c r="AA1590" t="s">
        <v>38</v>
      </c>
    </row>
    <row r="1591" spans="1:27" hidden="1">
      <c r="A1591" t="s">
        <v>5614</v>
      </c>
      <c r="B1591" t="s">
        <v>5615</v>
      </c>
      <c r="C1591" t="e">
        <f>VLOOKUP(B1591,Sheet2!$A$2:$A$392,1,0)</f>
        <v>#N/A</v>
      </c>
      <c r="E1591" t="s">
        <v>40</v>
      </c>
      <c r="F1591" t="s">
        <v>41</v>
      </c>
      <c r="G1591" t="s">
        <v>29</v>
      </c>
      <c r="J1591" s="2">
        <v>9300</v>
      </c>
      <c r="K1591">
        <v>91.5</v>
      </c>
      <c r="L1591" s="2">
        <v>3738</v>
      </c>
      <c r="O1591" t="s">
        <v>482</v>
      </c>
      <c r="P1591" t="s">
        <v>74</v>
      </c>
      <c r="R1591" t="s">
        <v>42</v>
      </c>
      <c r="S1591" t="s">
        <v>33</v>
      </c>
      <c r="U1591" t="s">
        <v>35</v>
      </c>
      <c r="X1591" t="s">
        <v>34</v>
      </c>
      <c r="Y1591" t="s">
        <v>45</v>
      </c>
      <c r="Z1591" t="s">
        <v>5616</v>
      </c>
      <c r="AA1591" t="s">
        <v>38</v>
      </c>
    </row>
    <row r="1592" spans="1:27" hidden="1">
      <c r="A1592" t="s">
        <v>5617</v>
      </c>
      <c r="B1592" t="s">
        <v>5618</v>
      </c>
      <c r="C1592" t="e">
        <f>VLOOKUP(B1592,Sheet2!$A$2:$A$392,1,0)</f>
        <v>#N/A</v>
      </c>
      <c r="E1592" t="s">
        <v>40</v>
      </c>
      <c r="F1592" t="s">
        <v>41</v>
      </c>
      <c r="G1592" t="s">
        <v>415</v>
      </c>
      <c r="I1592" t="s">
        <v>42</v>
      </c>
      <c r="J1592" s="2">
        <v>9345</v>
      </c>
      <c r="K1592" s="3">
        <v>87.84</v>
      </c>
      <c r="L1592" s="2">
        <v>3738</v>
      </c>
      <c r="N1592">
        <v>6.1</v>
      </c>
      <c r="P1592" t="s">
        <v>74</v>
      </c>
      <c r="R1592" t="s">
        <v>42</v>
      </c>
      <c r="S1592" t="s">
        <v>33</v>
      </c>
      <c r="T1592" t="s">
        <v>34</v>
      </c>
      <c r="U1592" t="s">
        <v>44</v>
      </c>
      <c r="V1592" s="2">
        <v>1</v>
      </c>
      <c r="W1592" t="s">
        <v>63</v>
      </c>
      <c r="X1592" t="s">
        <v>34</v>
      </c>
      <c r="Y1592" t="s">
        <v>64</v>
      </c>
      <c r="Z1592" t="s">
        <v>5619</v>
      </c>
      <c r="AA1592" t="s">
        <v>38</v>
      </c>
    </row>
    <row r="1593" spans="1:27" hidden="1">
      <c r="A1593" t="s">
        <v>5620</v>
      </c>
      <c r="B1593" t="s">
        <v>5621</v>
      </c>
      <c r="C1593" t="e">
        <f>VLOOKUP(B1593,Sheet2!$A$2:$A$392,1,0)</f>
        <v>#N/A</v>
      </c>
      <c r="E1593" t="s">
        <v>40</v>
      </c>
      <c r="F1593" t="s">
        <v>41</v>
      </c>
      <c r="G1593" t="s">
        <v>29</v>
      </c>
      <c r="J1593" s="2">
        <v>9527</v>
      </c>
      <c r="K1593" s="2">
        <v>98</v>
      </c>
      <c r="L1593" s="2">
        <v>3811</v>
      </c>
      <c r="N1593">
        <v>6.1</v>
      </c>
      <c r="O1593" t="s">
        <v>482</v>
      </c>
      <c r="P1593" t="s">
        <v>5622</v>
      </c>
      <c r="R1593" t="s">
        <v>42</v>
      </c>
      <c r="S1593" t="s">
        <v>33</v>
      </c>
      <c r="U1593" t="s">
        <v>44</v>
      </c>
      <c r="V1593" s="2">
        <v>1</v>
      </c>
      <c r="X1593" t="s">
        <v>34</v>
      </c>
      <c r="Y1593" t="s">
        <v>45</v>
      </c>
      <c r="Z1593" t="s">
        <v>5623</v>
      </c>
      <c r="AA1593" t="s">
        <v>38</v>
      </c>
    </row>
    <row r="1594" spans="1:27" hidden="1">
      <c r="A1594" t="s">
        <v>5624</v>
      </c>
      <c r="B1594" t="s">
        <v>5625</v>
      </c>
      <c r="C1594" t="e">
        <f>VLOOKUP(B1594,Sheet2!$A$2:$A$392,1,0)</f>
        <v>#N/A</v>
      </c>
      <c r="E1594" t="s">
        <v>40</v>
      </c>
      <c r="F1594" t="s">
        <v>41</v>
      </c>
      <c r="G1594" t="s">
        <v>415</v>
      </c>
      <c r="I1594" t="s">
        <v>42</v>
      </c>
      <c r="J1594" s="2">
        <v>7500</v>
      </c>
      <c r="K1594" s="2">
        <v>98</v>
      </c>
      <c r="L1594" s="2">
        <v>3811</v>
      </c>
      <c r="M1594" s="2">
        <v>1518</v>
      </c>
      <c r="N1594" s="2">
        <v>4</v>
      </c>
      <c r="P1594" t="s">
        <v>5608</v>
      </c>
      <c r="R1594" t="s">
        <v>42</v>
      </c>
      <c r="S1594" t="s">
        <v>33</v>
      </c>
      <c r="T1594" t="s">
        <v>34</v>
      </c>
      <c r="U1594" t="s">
        <v>44</v>
      </c>
      <c r="W1594" t="s">
        <v>63</v>
      </c>
      <c r="X1594" t="s">
        <v>34</v>
      </c>
      <c r="Y1594" t="s">
        <v>64</v>
      </c>
      <c r="Z1594" t="s">
        <v>5626</v>
      </c>
      <c r="AA1594" t="s">
        <v>38</v>
      </c>
    </row>
    <row r="1595" spans="1:27" hidden="1">
      <c r="A1595" t="s">
        <v>5627</v>
      </c>
      <c r="B1595" t="s">
        <v>5628</v>
      </c>
      <c r="C1595" t="e">
        <f>VLOOKUP(B1595,Sheet2!$A$2:$A$392,1,0)</f>
        <v>#N/A</v>
      </c>
      <c r="E1595" t="s">
        <v>40</v>
      </c>
      <c r="F1595" t="s">
        <v>41</v>
      </c>
      <c r="G1595" t="s">
        <v>415</v>
      </c>
      <c r="I1595" t="s">
        <v>42</v>
      </c>
      <c r="J1595" s="2">
        <v>7000</v>
      </c>
      <c r="K1595" s="3">
        <v>87.78</v>
      </c>
      <c r="L1595" s="2">
        <v>2974</v>
      </c>
      <c r="M1595" s="2">
        <v>1200</v>
      </c>
      <c r="N1595" s="2">
        <v>4</v>
      </c>
      <c r="P1595" t="s">
        <v>5629</v>
      </c>
      <c r="R1595" t="s">
        <v>42</v>
      </c>
      <c r="S1595" t="s">
        <v>33</v>
      </c>
      <c r="T1595" t="s">
        <v>34</v>
      </c>
      <c r="U1595" t="s">
        <v>44</v>
      </c>
      <c r="W1595" t="s">
        <v>63</v>
      </c>
      <c r="X1595" t="s">
        <v>34</v>
      </c>
      <c r="Y1595" t="s">
        <v>64</v>
      </c>
      <c r="Z1595" t="s">
        <v>5630</v>
      </c>
      <c r="AA1595" t="s">
        <v>38</v>
      </c>
    </row>
    <row r="1596" spans="1:27" hidden="1">
      <c r="A1596" t="s">
        <v>5631</v>
      </c>
      <c r="B1596" t="s">
        <v>5632</v>
      </c>
      <c r="C1596" t="e">
        <f>VLOOKUP(B1596,Sheet2!$A$2:$A$392,1,0)</f>
        <v>#N/A</v>
      </c>
      <c r="E1596" t="s">
        <v>40</v>
      </c>
      <c r="F1596" t="s">
        <v>41</v>
      </c>
      <c r="G1596" t="s">
        <v>415</v>
      </c>
      <c r="I1596" t="s">
        <v>42</v>
      </c>
      <c r="J1596" s="2">
        <v>12000</v>
      </c>
      <c r="K1596">
        <v>91.5</v>
      </c>
      <c r="L1596" s="2">
        <v>3111</v>
      </c>
      <c r="O1596" t="s">
        <v>1606</v>
      </c>
      <c r="P1596" t="s">
        <v>5447</v>
      </c>
      <c r="Q1596" t="s">
        <v>34</v>
      </c>
      <c r="R1596" t="s">
        <v>42</v>
      </c>
      <c r="S1596" t="s">
        <v>33</v>
      </c>
      <c r="T1596" t="s">
        <v>34</v>
      </c>
      <c r="U1596" t="s">
        <v>44</v>
      </c>
      <c r="V1596" s="2">
        <v>1</v>
      </c>
      <c r="W1596" t="s">
        <v>63</v>
      </c>
      <c r="X1596" t="s">
        <v>34</v>
      </c>
      <c r="Y1596" t="s">
        <v>64</v>
      </c>
      <c r="Z1596" t="s">
        <v>5633</v>
      </c>
      <c r="AA1596" t="s">
        <v>38</v>
      </c>
    </row>
    <row r="1597" spans="1:27" hidden="1">
      <c r="A1597" t="s">
        <v>5634</v>
      </c>
      <c r="B1597" t="s">
        <v>5635</v>
      </c>
      <c r="C1597" t="e">
        <f>VLOOKUP(B1597,Sheet2!$A$2:$A$392,1,0)</f>
        <v>#N/A</v>
      </c>
      <c r="E1597" t="s">
        <v>40</v>
      </c>
      <c r="F1597" t="s">
        <v>41</v>
      </c>
      <c r="G1597" t="s">
        <v>415</v>
      </c>
      <c r="I1597" t="s">
        <v>42</v>
      </c>
      <c r="J1597" s="3">
        <v>4.25</v>
      </c>
      <c r="K1597">
        <v>76.2</v>
      </c>
      <c r="L1597" s="2">
        <v>2125</v>
      </c>
      <c r="P1597" t="s">
        <v>5636</v>
      </c>
      <c r="R1597" t="s">
        <v>42</v>
      </c>
      <c r="S1597" t="s">
        <v>33</v>
      </c>
      <c r="T1597" t="s">
        <v>34</v>
      </c>
      <c r="U1597" t="s">
        <v>44</v>
      </c>
      <c r="V1597" s="2">
        <v>1</v>
      </c>
      <c r="W1597" t="s">
        <v>63</v>
      </c>
      <c r="X1597" t="s">
        <v>34</v>
      </c>
      <c r="Y1597" t="s">
        <v>64</v>
      </c>
      <c r="Z1597" t="s">
        <v>5637</v>
      </c>
      <c r="AA1597" t="s">
        <v>38</v>
      </c>
    </row>
    <row r="1598" spans="1:27">
      <c r="A1598" t="s">
        <v>5638</v>
      </c>
      <c r="B1598" t="s">
        <v>2413</v>
      </c>
      <c r="C1598" t="str">
        <f>VLOOKUP(B1598,Sheet2!$A$2:$A$392,1,0)</f>
        <v>KM. TONASA LINE X</v>
      </c>
      <c r="E1598" t="s">
        <v>196</v>
      </c>
      <c r="F1598" t="s">
        <v>41</v>
      </c>
      <c r="G1598" t="s">
        <v>59</v>
      </c>
      <c r="J1598" s="2">
        <v>3994</v>
      </c>
      <c r="K1598" s="2">
        <v>92</v>
      </c>
      <c r="L1598" s="2">
        <v>2266</v>
      </c>
      <c r="M1598" s="2">
        <v>2700</v>
      </c>
      <c r="N1598" s="2">
        <v>6</v>
      </c>
      <c r="O1598" t="s">
        <v>61</v>
      </c>
      <c r="P1598" t="s">
        <v>2414</v>
      </c>
      <c r="R1598" t="s">
        <v>42</v>
      </c>
      <c r="S1598" t="s">
        <v>33</v>
      </c>
      <c r="U1598" t="s">
        <v>35</v>
      </c>
      <c r="W1598" t="s">
        <v>63</v>
      </c>
      <c r="X1598" t="s">
        <v>34</v>
      </c>
      <c r="Y1598" t="s">
        <v>64</v>
      </c>
      <c r="Z1598" t="s">
        <v>5639</v>
      </c>
      <c r="AA1598" t="s">
        <v>38</v>
      </c>
    </row>
    <row r="1599" spans="1:27">
      <c r="A1599" t="s">
        <v>5640</v>
      </c>
      <c r="B1599" t="s">
        <v>5641</v>
      </c>
      <c r="C1599" t="str">
        <f>VLOOKUP(B1599,Sheet2!$A$2:$A$392,1,0)</f>
        <v>TB. LIBERTY 17 - BG. OCEAN MASTER 205</v>
      </c>
      <c r="E1599" t="s">
        <v>40</v>
      </c>
      <c r="F1599" t="s">
        <v>41</v>
      </c>
      <c r="G1599" t="s">
        <v>415</v>
      </c>
      <c r="I1599" t="s">
        <v>42</v>
      </c>
      <c r="J1599" s="2">
        <v>12000</v>
      </c>
      <c r="K1599" s="3">
        <v>97.54</v>
      </c>
      <c r="L1599" s="2">
        <v>3708</v>
      </c>
      <c r="N1599" s="2">
        <v>4</v>
      </c>
      <c r="O1599" t="s">
        <v>1606</v>
      </c>
      <c r="P1599" t="s">
        <v>5642</v>
      </c>
      <c r="R1599" t="s">
        <v>42</v>
      </c>
      <c r="S1599" t="s">
        <v>33</v>
      </c>
      <c r="T1599" t="s">
        <v>34</v>
      </c>
      <c r="U1599" t="s">
        <v>44</v>
      </c>
      <c r="V1599" s="2">
        <v>1</v>
      </c>
      <c r="W1599" t="s">
        <v>63</v>
      </c>
      <c r="X1599" t="s">
        <v>34</v>
      </c>
      <c r="Y1599" t="s">
        <v>64</v>
      </c>
      <c r="Z1599" t="s">
        <v>5643</v>
      </c>
      <c r="AA1599" t="s">
        <v>38</v>
      </c>
    </row>
    <row r="1600" spans="1:27">
      <c r="A1600" t="s">
        <v>5644</v>
      </c>
      <c r="B1600" t="s">
        <v>5645</v>
      </c>
      <c r="C1600" t="str">
        <f>VLOOKUP(B1600,Sheet2!$A$2:$A$392,1,0)</f>
        <v>MV. TONASA LINE XVIII</v>
      </c>
      <c r="E1600" t="s">
        <v>52</v>
      </c>
      <c r="F1600" t="s">
        <v>41</v>
      </c>
      <c r="G1600" t="s">
        <v>29</v>
      </c>
      <c r="J1600" s="2">
        <v>8010</v>
      </c>
      <c r="K1600" s="2">
        <v>112</v>
      </c>
      <c r="L1600" s="2">
        <v>7347</v>
      </c>
      <c r="M1600" s="2">
        <v>5300</v>
      </c>
      <c r="N1600">
        <v>5.2</v>
      </c>
      <c r="O1600" t="s">
        <v>482</v>
      </c>
      <c r="P1600" t="s">
        <v>5646</v>
      </c>
      <c r="Q1600" t="s">
        <v>34</v>
      </c>
      <c r="R1600" t="s">
        <v>42</v>
      </c>
      <c r="S1600" t="s">
        <v>33</v>
      </c>
      <c r="U1600" t="s">
        <v>35</v>
      </c>
      <c r="X1600" t="s">
        <v>34</v>
      </c>
      <c r="Y1600" t="s">
        <v>45</v>
      </c>
      <c r="Z1600" t="s">
        <v>1955</v>
      </c>
      <c r="AA1600" t="s">
        <v>38</v>
      </c>
    </row>
    <row r="1601" spans="1:27" hidden="1">
      <c r="A1601" t="s">
        <v>5647</v>
      </c>
      <c r="B1601" t="s">
        <v>5648</v>
      </c>
      <c r="C1601" t="e">
        <f>VLOOKUP(B1601,Sheet2!$A$2:$A$392,1,0)</f>
        <v>#N/A</v>
      </c>
      <c r="E1601" t="s">
        <v>40</v>
      </c>
      <c r="F1601" t="s">
        <v>41</v>
      </c>
      <c r="G1601" t="s">
        <v>415</v>
      </c>
      <c r="I1601" t="s">
        <v>42</v>
      </c>
      <c r="J1601" s="2">
        <v>5000</v>
      </c>
      <c r="K1601" s="3">
        <v>73.150000000000006</v>
      </c>
      <c r="L1601" s="2">
        <v>2222</v>
      </c>
      <c r="P1601" t="s">
        <v>5649</v>
      </c>
      <c r="R1601" t="s">
        <v>42</v>
      </c>
      <c r="S1601" t="s">
        <v>33</v>
      </c>
      <c r="T1601" t="s">
        <v>34</v>
      </c>
      <c r="U1601" t="s">
        <v>44</v>
      </c>
      <c r="V1601" s="2">
        <v>1</v>
      </c>
      <c r="W1601" t="s">
        <v>63</v>
      </c>
      <c r="X1601" t="s">
        <v>34</v>
      </c>
      <c r="Y1601" t="s">
        <v>64</v>
      </c>
      <c r="Z1601" t="s">
        <v>5650</v>
      </c>
      <c r="AA1601" t="s">
        <v>38</v>
      </c>
    </row>
    <row r="1602" spans="1:27">
      <c r="A1602" t="s">
        <v>5651</v>
      </c>
      <c r="B1602" t="s">
        <v>5652</v>
      </c>
      <c r="C1602" t="str">
        <f>VLOOKUP(B1602,Sheet2!$A$2:$A$392,1,0)</f>
        <v>TB. LIBERTY 21 - BG. AZAMARA 12</v>
      </c>
      <c r="E1602" t="s">
        <v>40</v>
      </c>
      <c r="F1602" t="s">
        <v>41</v>
      </c>
      <c r="G1602" t="s">
        <v>29</v>
      </c>
      <c r="J1602" s="2">
        <v>12000</v>
      </c>
      <c r="K1602" s="3">
        <v>97.59</v>
      </c>
      <c r="L1602" s="2">
        <v>3746</v>
      </c>
      <c r="N1602">
        <v>6.1</v>
      </c>
      <c r="P1602" t="s">
        <v>5653</v>
      </c>
      <c r="R1602" t="s">
        <v>42</v>
      </c>
      <c r="S1602" t="s">
        <v>33</v>
      </c>
      <c r="U1602" t="s">
        <v>44</v>
      </c>
      <c r="V1602" s="2">
        <v>1</v>
      </c>
      <c r="X1602" t="s">
        <v>34</v>
      </c>
      <c r="Y1602" t="s">
        <v>45</v>
      </c>
      <c r="Z1602" t="s">
        <v>5654</v>
      </c>
      <c r="AA1602" t="s">
        <v>38</v>
      </c>
    </row>
    <row r="1603" spans="1:27">
      <c r="A1603" t="s">
        <v>5655</v>
      </c>
      <c r="B1603" t="s">
        <v>5656</v>
      </c>
      <c r="C1603" t="str">
        <f>VLOOKUP(B1603,Sheet2!$A$2:$A$392,1,0)</f>
        <v>TB. OCEANIC 5 - BG. AZAMARA 9</v>
      </c>
      <c r="E1603" t="s">
        <v>40</v>
      </c>
      <c r="F1603" t="s">
        <v>41</v>
      </c>
      <c r="G1603" t="s">
        <v>415</v>
      </c>
      <c r="I1603" t="s">
        <v>42</v>
      </c>
      <c r="J1603" s="2">
        <v>12000</v>
      </c>
      <c r="K1603" s="3">
        <v>91.44</v>
      </c>
      <c r="L1603" s="2">
        <v>3104</v>
      </c>
      <c r="N1603" s="2">
        <v>4</v>
      </c>
      <c r="O1603" t="s">
        <v>1606</v>
      </c>
      <c r="P1603" t="s">
        <v>5657</v>
      </c>
      <c r="R1603" t="s">
        <v>42</v>
      </c>
      <c r="S1603" t="s">
        <v>33</v>
      </c>
      <c r="T1603" t="s">
        <v>34</v>
      </c>
      <c r="U1603" t="s">
        <v>44</v>
      </c>
      <c r="V1603" s="2">
        <v>1</v>
      </c>
      <c r="W1603" t="s">
        <v>63</v>
      </c>
      <c r="X1603" t="s">
        <v>34</v>
      </c>
      <c r="Y1603" t="s">
        <v>64</v>
      </c>
      <c r="Z1603" t="s">
        <v>5643</v>
      </c>
      <c r="AA1603" t="s">
        <v>38</v>
      </c>
    </row>
    <row r="1604" spans="1:27" hidden="1">
      <c r="A1604" t="s">
        <v>5658</v>
      </c>
      <c r="B1604" t="s">
        <v>5659</v>
      </c>
      <c r="C1604" t="e">
        <f>VLOOKUP(B1604,Sheet2!$A$2:$A$392,1,0)</f>
        <v>#N/A</v>
      </c>
      <c r="E1604" t="s">
        <v>40</v>
      </c>
      <c r="F1604" t="s">
        <v>41</v>
      </c>
      <c r="G1604" t="s">
        <v>415</v>
      </c>
      <c r="J1604" s="2">
        <v>5000</v>
      </c>
      <c r="K1604" s="2">
        <v>79</v>
      </c>
      <c r="L1604" s="2">
        <v>2494</v>
      </c>
      <c r="M1604" s="2">
        <v>1220</v>
      </c>
      <c r="N1604" s="2">
        <v>5</v>
      </c>
      <c r="P1604" t="s">
        <v>5660</v>
      </c>
      <c r="R1604" t="s">
        <v>42</v>
      </c>
      <c r="S1604" t="s">
        <v>33</v>
      </c>
      <c r="U1604" t="s">
        <v>44</v>
      </c>
      <c r="X1604" t="s">
        <v>34</v>
      </c>
      <c r="Y1604" t="s">
        <v>5661</v>
      </c>
      <c r="Z1604" t="s">
        <v>5662</v>
      </c>
      <c r="AA1604" t="s">
        <v>38</v>
      </c>
    </row>
    <row r="1605" spans="1:27" hidden="1">
      <c r="A1605" t="s">
        <v>5663</v>
      </c>
      <c r="B1605" t="s">
        <v>5664</v>
      </c>
      <c r="C1605" t="e">
        <f>VLOOKUP(B1605,Sheet2!$A$2:$A$392,1,0)</f>
        <v>#N/A</v>
      </c>
      <c r="E1605" t="s">
        <v>40</v>
      </c>
      <c r="F1605" t="s">
        <v>41</v>
      </c>
      <c r="G1605" t="s">
        <v>158</v>
      </c>
      <c r="J1605" s="2">
        <v>5000</v>
      </c>
      <c r="K1605" s="2">
        <v>82</v>
      </c>
      <c r="L1605" s="2">
        <v>2494</v>
      </c>
      <c r="M1605" s="2">
        <v>1220</v>
      </c>
      <c r="N1605" s="2">
        <v>4</v>
      </c>
      <c r="P1605" t="s">
        <v>5665</v>
      </c>
      <c r="R1605" t="s">
        <v>42</v>
      </c>
      <c r="S1605" t="s">
        <v>33</v>
      </c>
      <c r="U1605" t="s">
        <v>44</v>
      </c>
      <c r="V1605" s="2">
        <v>1</v>
      </c>
      <c r="W1605" t="s">
        <v>63</v>
      </c>
      <c r="X1605" t="s">
        <v>34</v>
      </c>
      <c r="Y1605" t="s">
        <v>64</v>
      </c>
      <c r="Z1605" t="s">
        <v>5666</v>
      </c>
      <c r="AA1605" t="s">
        <v>38</v>
      </c>
    </row>
    <row r="1606" spans="1:27" hidden="1">
      <c r="A1606" t="s">
        <v>5667</v>
      </c>
      <c r="B1606" t="s">
        <v>5668</v>
      </c>
      <c r="C1606" t="e">
        <f>VLOOKUP(B1606,Sheet2!$A$2:$A$392,1,0)</f>
        <v>#N/A</v>
      </c>
      <c r="E1606" t="s">
        <v>40</v>
      </c>
      <c r="F1606" t="s">
        <v>41</v>
      </c>
      <c r="G1606" t="s">
        <v>29</v>
      </c>
      <c r="I1606" t="s">
        <v>42</v>
      </c>
      <c r="J1606" s="2">
        <v>8000</v>
      </c>
      <c r="K1606" s="2">
        <v>92</v>
      </c>
      <c r="L1606" s="2">
        <v>3306</v>
      </c>
      <c r="P1606" t="s">
        <v>770</v>
      </c>
      <c r="R1606" t="s">
        <v>42</v>
      </c>
      <c r="S1606" t="s">
        <v>33</v>
      </c>
      <c r="T1606" t="s">
        <v>34</v>
      </c>
      <c r="U1606" t="s">
        <v>35</v>
      </c>
      <c r="W1606" t="s">
        <v>165</v>
      </c>
      <c r="X1606" t="s">
        <v>34</v>
      </c>
      <c r="Y1606" t="s">
        <v>245</v>
      </c>
      <c r="Z1606" t="s">
        <v>5669</v>
      </c>
      <c r="AA1606" t="s">
        <v>38</v>
      </c>
    </row>
    <row r="1607" spans="1:27" hidden="1">
      <c r="A1607" t="s">
        <v>5670</v>
      </c>
      <c r="B1607" t="s">
        <v>5671</v>
      </c>
      <c r="C1607" t="e">
        <f>VLOOKUP(B1607,Sheet2!$A$2:$A$392,1,0)</f>
        <v>#N/A</v>
      </c>
      <c r="E1607" t="s">
        <v>196</v>
      </c>
      <c r="F1607" t="s">
        <v>41</v>
      </c>
      <c r="G1607" t="s">
        <v>29</v>
      </c>
      <c r="I1607" t="s">
        <v>42</v>
      </c>
      <c r="J1607" s="2">
        <v>4438</v>
      </c>
      <c r="K1607" s="2">
        <v>110</v>
      </c>
      <c r="L1607" s="2">
        <v>2343</v>
      </c>
      <c r="O1607" t="s">
        <v>482</v>
      </c>
      <c r="P1607" t="s">
        <v>5672</v>
      </c>
      <c r="R1607" t="s">
        <v>32</v>
      </c>
      <c r="S1607" t="s">
        <v>33</v>
      </c>
      <c r="T1607" t="s">
        <v>34</v>
      </c>
      <c r="U1607" t="s">
        <v>35</v>
      </c>
      <c r="X1607" t="s">
        <v>34</v>
      </c>
      <c r="Y1607" t="s">
        <v>45</v>
      </c>
      <c r="Z1607" t="s">
        <v>5673</v>
      </c>
      <c r="AA1607" t="s">
        <v>38</v>
      </c>
    </row>
    <row r="1608" spans="1:27">
      <c r="A1608" t="s">
        <v>5674</v>
      </c>
      <c r="B1608" t="s">
        <v>5675</v>
      </c>
      <c r="C1608" t="str">
        <f>VLOOKUP(B1608,Sheet2!$A$2:$A$392,1,0)</f>
        <v>TB. LIBERTY 9 / BG. AZAMARA 3032</v>
      </c>
      <c r="E1608" t="s">
        <v>40</v>
      </c>
      <c r="F1608" t="s">
        <v>41</v>
      </c>
      <c r="G1608" t="s">
        <v>29</v>
      </c>
      <c r="J1608" s="2">
        <v>10000</v>
      </c>
      <c r="K1608" s="2">
        <v>91</v>
      </c>
      <c r="L1608" s="2">
        <v>3511</v>
      </c>
      <c r="M1608" s="2">
        <v>1518</v>
      </c>
      <c r="O1608" t="s">
        <v>482</v>
      </c>
      <c r="P1608" t="s">
        <v>5608</v>
      </c>
      <c r="R1608" t="s">
        <v>42</v>
      </c>
      <c r="S1608" t="s">
        <v>33</v>
      </c>
      <c r="U1608" t="s">
        <v>44</v>
      </c>
      <c r="V1608" s="2">
        <v>1</v>
      </c>
      <c r="X1608" t="s">
        <v>34</v>
      </c>
      <c r="Y1608" t="s">
        <v>45</v>
      </c>
      <c r="Z1608" t="s">
        <v>5676</v>
      </c>
      <c r="AA1608" t="s">
        <v>38</v>
      </c>
    </row>
    <row r="1609" spans="1:27" hidden="1">
      <c r="A1609" t="s">
        <v>5677</v>
      </c>
      <c r="B1609" t="s">
        <v>5678</v>
      </c>
      <c r="C1609" t="e">
        <f>VLOOKUP(B1609,Sheet2!$A$2:$A$392,1,0)</f>
        <v>#N/A</v>
      </c>
      <c r="E1609" t="s">
        <v>40</v>
      </c>
      <c r="F1609" t="s">
        <v>41</v>
      </c>
      <c r="G1609" t="s">
        <v>415</v>
      </c>
      <c r="J1609" s="2">
        <v>9320</v>
      </c>
      <c r="K1609" s="3">
        <v>87.78</v>
      </c>
      <c r="L1609" s="2">
        <v>3728</v>
      </c>
      <c r="N1609" s="2">
        <v>6</v>
      </c>
      <c r="O1609" t="s">
        <v>482</v>
      </c>
      <c r="P1609" t="s">
        <v>416</v>
      </c>
      <c r="R1609" t="s">
        <v>42</v>
      </c>
      <c r="S1609" t="s">
        <v>33</v>
      </c>
      <c r="U1609" t="s">
        <v>44</v>
      </c>
      <c r="V1609" s="2">
        <v>1</v>
      </c>
      <c r="W1609" t="s">
        <v>63</v>
      </c>
      <c r="X1609" t="s">
        <v>34</v>
      </c>
      <c r="Y1609" t="s">
        <v>64</v>
      </c>
      <c r="Z1609" t="s">
        <v>5679</v>
      </c>
      <c r="AA1609" t="s">
        <v>38</v>
      </c>
    </row>
    <row r="1610" spans="1:27" hidden="1">
      <c r="A1610" t="s">
        <v>5680</v>
      </c>
      <c r="B1610" t="s">
        <v>5681</v>
      </c>
      <c r="C1610" t="e">
        <f>VLOOKUP(B1610,Sheet2!$A$2:$A$392,1,0)</f>
        <v>#N/A</v>
      </c>
      <c r="E1610" t="s">
        <v>40</v>
      </c>
      <c r="F1610" t="s">
        <v>41</v>
      </c>
      <c r="G1610" t="s">
        <v>29</v>
      </c>
      <c r="J1610" s="2">
        <v>8240</v>
      </c>
      <c r="K1610" s="3">
        <v>87.78</v>
      </c>
      <c r="L1610" s="2">
        <v>3731</v>
      </c>
      <c r="O1610" t="s">
        <v>482</v>
      </c>
      <c r="P1610" t="s">
        <v>5682</v>
      </c>
      <c r="R1610" t="s">
        <v>42</v>
      </c>
      <c r="S1610" t="s">
        <v>33</v>
      </c>
      <c r="U1610" t="s">
        <v>44</v>
      </c>
      <c r="X1610" t="s">
        <v>34</v>
      </c>
      <c r="Y1610" t="s">
        <v>45</v>
      </c>
      <c r="Z1610" t="s">
        <v>5683</v>
      </c>
      <c r="AA1610" t="s">
        <v>38</v>
      </c>
    </row>
    <row r="1611" spans="1:27" hidden="1">
      <c r="A1611" t="s">
        <v>5684</v>
      </c>
      <c r="B1611" t="s">
        <v>5685</v>
      </c>
      <c r="C1611" t="e">
        <f>VLOOKUP(B1611,Sheet2!$A$2:$A$392,1,0)</f>
        <v>#N/A</v>
      </c>
      <c r="E1611" t="s">
        <v>40</v>
      </c>
      <c r="F1611" t="s">
        <v>41</v>
      </c>
      <c r="G1611" t="s">
        <v>415</v>
      </c>
      <c r="I1611" t="s">
        <v>42</v>
      </c>
      <c r="J1611" s="2">
        <v>8000</v>
      </c>
      <c r="K1611" s="2">
        <v>91</v>
      </c>
      <c r="L1611" s="2">
        <v>3731</v>
      </c>
      <c r="P1611" t="s">
        <v>5686</v>
      </c>
      <c r="R1611" t="s">
        <v>42</v>
      </c>
      <c r="S1611" t="s">
        <v>33</v>
      </c>
      <c r="T1611" t="s">
        <v>34</v>
      </c>
      <c r="U1611" t="s">
        <v>44</v>
      </c>
      <c r="W1611" t="s">
        <v>63</v>
      </c>
      <c r="X1611" t="s">
        <v>34</v>
      </c>
      <c r="Y1611" t="s">
        <v>64</v>
      </c>
      <c r="Z1611" t="s">
        <v>5687</v>
      </c>
      <c r="AA1611" t="s">
        <v>38</v>
      </c>
    </row>
    <row r="1612" spans="1:27" hidden="1">
      <c r="A1612" t="s">
        <v>5688</v>
      </c>
      <c r="B1612" t="s">
        <v>5689</v>
      </c>
      <c r="C1612" t="e">
        <f>VLOOKUP(B1612,Sheet2!$A$2:$A$392,1,0)</f>
        <v>#N/A</v>
      </c>
      <c r="E1612" t="s">
        <v>40</v>
      </c>
      <c r="F1612" t="s">
        <v>41</v>
      </c>
      <c r="G1612" t="s">
        <v>415</v>
      </c>
      <c r="I1612" t="s">
        <v>42</v>
      </c>
      <c r="J1612" s="2">
        <v>9320</v>
      </c>
      <c r="K1612" s="3">
        <v>91.44</v>
      </c>
      <c r="L1612" s="2">
        <v>3731</v>
      </c>
      <c r="P1612" t="s">
        <v>5690</v>
      </c>
      <c r="R1612" t="s">
        <v>42</v>
      </c>
      <c r="S1612" t="s">
        <v>33</v>
      </c>
      <c r="T1612" t="s">
        <v>34</v>
      </c>
      <c r="U1612" t="s">
        <v>35</v>
      </c>
      <c r="W1612" t="s">
        <v>63</v>
      </c>
      <c r="X1612" t="s">
        <v>34</v>
      </c>
      <c r="Y1612" t="s">
        <v>64</v>
      </c>
      <c r="Z1612" t="s">
        <v>5691</v>
      </c>
      <c r="AA1612" t="s">
        <v>38</v>
      </c>
    </row>
    <row r="1613" spans="1:27" hidden="1">
      <c r="A1613" t="s">
        <v>5692</v>
      </c>
      <c r="B1613" t="s">
        <v>5693</v>
      </c>
      <c r="C1613" t="e">
        <f>VLOOKUP(B1613,Sheet2!$A$2:$A$392,1,0)</f>
        <v>#N/A</v>
      </c>
      <c r="E1613" t="s">
        <v>40</v>
      </c>
      <c r="F1613" t="s">
        <v>28</v>
      </c>
      <c r="G1613" t="s">
        <v>415</v>
      </c>
      <c r="J1613" s="2">
        <v>9327</v>
      </c>
      <c r="K1613" s="2">
        <v>91</v>
      </c>
      <c r="L1613" s="2">
        <v>3731</v>
      </c>
      <c r="N1613">
        <v>6.1</v>
      </c>
      <c r="O1613" t="s">
        <v>1606</v>
      </c>
      <c r="P1613" t="s">
        <v>5694</v>
      </c>
      <c r="R1613" t="s">
        <v>42</v>
      </c>
      <c r="S1613" t="s">
        <v>33</v>
      </c>
      <c r="U1613" t="s">
        <v>44</v>
      </c>
      <c r="V1613" s="2">
        <v>1</v>
      </c>
      <c r="W1613" t="s">
        <v>63</v>
      </c>
      <c r="X1613" t="s">
        <v>34</v>
      </c>
      <c r="Y1613" t="s">
        <v>64</v>
      </c>
      <c r="Z1613" t="s">
        <v>5695</v>
      </c>
      <c r="AA1613" t="s">
        <v>38</v>
      </c>
    </row>
    <row r="1614" spans="1:27" hidden="1">
      <c r="A1614" t="s">
        <v>5696</v>
      </c>
      <c r="B1614" t="s">
        <v>5697</v>
      </c>
      <c r="C1614" t="e">
        <f>VLOOKUP(B1614,Sheet2!$A$2:$A$392,1,0)</f>
        <v>#N/A</v>
      </c>
      <c r="E1614" t="s">
        <v>40</v>
      </c>
      <c r="F1614" t="s">
        <v>41</v>
      </c>
      <c r="G1614" t="s">
        <v>29</v>
      </c>
      <c r="J1614" s="2">
        <v>11193</v>
      </c>
      <c r="K1614">
        <v>91.5</v>
      </c>
      <c r="L1614" s="2">
        <v>3731</v>
      </c>
      <c r="O1614" t="s">
        <v>482</v>
      </c>
      <c r="P1614" t="s">
        <v>74</v>
      </c>
      <c r="R1614" t="s">
        <v>42</v>
      </c>
      <c r="S1614" t="s">
        <v>33</v>
      </c>
      <c r="U1614" t="s">
        <v>44</v>
      </c>
      <c r="V1614" s="2">
        <v>1</v>
      </c>
      <c r="X1614" t="s">
        <v>34</v>
      </c>
      <c r="Y1614" t="s">
        <v>45</v>
      </c>
      <c r="Z1614" t="s">
        <v>5698</v>
      </c>
      <c r="AA1614" t="s">
        <v>38</v>
      </c>
    </row>
    <row r="1615" spans="1:27">
      <c r="A1615" t="s">
        <v>5699</v>
      </c>
      <c r="B1615" t="s">
        <v>5700</v>
      </c>
      <c r="C1615" t="str">
        <f>VLOOKUP(B1615,Sheet2!$A$2:$A$392,1,0)</f>
        <v>TB. LIBERTY 25 / BG. AZAMARA 3063</v>
      </c>
      <c r="E1615" t="s">
        <v>40</v>
      </c>
      <c r="F1615" t="s">
        <v>41</v>
      </c>
      <c r="G1615" t="s">
        <v>415</v>
      </c>
      <c r="J1615" s="2">
        <v>12000</v>
      </c>
      <c r="K1615">
        <v>91.5</v>
      </c>
      <c r="L1615" s="2">
        <v>3731</v>
      </c>
      <c r="N1615" s="2">
        <v>4</v>
      </c>
      <c r="O1615" t="s">
        <v>1606</v>
      </c>
      <c r="P1615" t="s">
        <v>5701</v>
      </c>
      <c r="Q1615" t="s">
        <v>34</v>
      </c>
      <c r="R1615" t="s">
        <v>42</v>
      </c>
      <c r="S1615" t="s">
        <v>33</v>
      </c>
      <c r="U1615" t="s">
        <v>44</v>
      </c>
      <c r="V1615" s="2">
        <v>1</v>
      </c>
      <c r="W1615" t="s">
        <v>63</v>
      </c>
      <c r="X1615" t="s">
        <v>34</v>
      </c>
      <c r="Y1615" t="s">
        <v>64</v>
      </c>
      <c r="Z1615" t="s">
        <v>5702</v>
      </c>
      <c r="AA1615" t="s">
        <v>38</v>
      </c>
    </row>
    <row r="1616" spans="1:27" hidden="1">
      <c r="A1616" t="s">
        <v>5703</v>
      </c>
      <c r="B1616" t="s">
        <v>5704</v>
      </c>
      <c r="C1616" t="e">
        <f>VLOOKUP(B1616,Sheet2!$A$2:$A$392,1,0)</f>
        <v>#N/A</v>
      </c>
      <c r="E1616" t="s">
        <v>40</v>
      </c>
      <c r="F1616" t="s">
        <v>41</v>
      </c>
      <c r="G1616" t="s">
        <v>59</v>
      </c>
      <c r="J1616" s="2">
        <v>4500</v>
      </c>
      <c r="K1616" s="2">
        <v>87</v>
      </c>
      <c r="L1616" s="2">
        <v>3107</v>
      </c>
      <c r="M1616" s="2">
        <v>1658</v>
      </c>
      <c r="N1616" s="2">
        <v>5</v>
      </c>
      <c r="O1616" t="s">
        <v>61</v>
      </c>
      <c r="P1616" t="s">
        <v>5705</v>
      </c>
      <c r="R1616" t="s">
        <v>42</v>
      </c>
      <c r="S1616" t="s">
        <v>33</v>
      </c>
      <c r="U1616" t="s">
        <v>35</v>
      </c>
      <c r="W1616" t="s">
        <v>63</v>
      </c>
      <c r="X1616" t="s">
        <v>34</v>
      </c>
      <c r="Y1616" t="s">
        <v>64</v>
      </c>
      <c r="Z1616" t="s">
        <v>5706</v>
      </c>
      <c r="AA1616" t="s">
        <v>38</v>
      </c>
    </row>
    <row r="1617" spans="1:27" hidden="1">
      <c r="A1617" t="s">
        <v>5707</v>
      </c>
      <c r="B1617" t="s">
        <v>5708</v>
      </c>
      <c r="C1617" t="e">
        <f>VLOOKUP(B1617,Sheet2!$A$2:$A$392,1,0)</f>
        <v>#N/A</v>
      </c>
      <c r="E1617" t="s">
        <v>40</v>
      </c>
      <c r="G1617" t="s">
        <v>857</v>
      </c>
      <c r="I1617" t="s">
        <v>42</v>
      </c>
      <c r="J1617" s="2">
        <v>300</v>
      </c>
      <c r="K1617" s="3">
        <v>22.75</v>
      </c>
      <c r="L1617" s="2">
        <v>180</v>
      </c>
      <c r="P1617" t="s">
        <v>5709</v>
      </c>
      <c r="S1617" t="s">
        <v>33</v>
      </c>
      <c r="X1617" t="s">
        <v>34</v>
      </c>
      <c r="AA1617" t="s">
        <v>38</v>
      </c>
    </row>
    <row r="1618" spans="1:27" hidden="1">
      <c r="A1618" t="s">
        <v>5710</v>
      </c>
      <c r="B1618" t="s">
        <v>5711</v>
      </c>
      <c r="C1618" t="e">
        <f>VLOOKUP(B1618,Sheet2!$A$2:$A$392,1,0)</f>
        <v>#N/A</v>
      </c>
      <c r="E1618" t="s">
        <v>249</v>
      </c>
      <c r="G1618" t="s">
        <v>5270</v>
      </c>
      <c r="I1618" t="s">
        <v>42</v>
      </c>
      <c r="J1618" s="2">
        <v>8180</v>
      </c>
      <c r="K1618">
        <v>119.9</v>
      </c>
      <c r="L1618" s="2">
        <v>6616</v>
      </c>
      <c r="P1618" t="s">
        <v>5712</v>
      </c>
      <c r="S1618" t="s">
        <v>33</v>
      </c>
      <c r="X1618" t="s">
        <v>34</v>
      </c>
      <c r="AA1618" t="s">
        <v>38</v>
      </c>
    </row>
    <row r="1619" spans="1:27" hidden="1">
      <c r="A1619" t="s">
        <v>5713</v>
      </c>
      <c r="B1619" t="s">
        <v>5714</v>
      </c>
      <c r="C1619" t="e">
        <f>VLOOKUP(B1619,Sheet2!$A$2:$A$392,1,0)</f>
        <v>#N/A</v>
      </c>
      <c r="E1619" t="s">
        <v>40</v>
      </c>
      <c r="F1619" t="s">
        <v>41</v>
      </c>
      <c r="G1619" t="s">
        <v>29</v>
      </c>
      <c r="I1619" t="s">
        <v>42</v>
      </c>
      <c r="J1619" s="2">
        <v>4300</v>
      </c>
      <c r="K1619" s="2">
        <v>90</v>
      </c>
      <c r="L1619" s="2">
        <v>1924</v>
      </c>
      <c r="P1619" t="s">
        <v>5713</v>
      </c>
      <c r="R1619" t="s">
        <v>685</v>
      </c>
      <c r="S1619" t="s">
        <v>33</v>
      </c>
      <c r="T1619" t="s">
        <v>34</v>
      </c>
      <c r="U1619" t="s">
        <v>35</v>
      </c>
      <c r="X1619" t="s">
        <v>34</v>
      </c>
      <c r="Y1619" t="s">
        <v>378</v>
      </c>
      <c r="Z1619" t="s">
        <v>5715</v>
      </c>
      <c r="AA1619" t="s">
        <v>38</v>
      </c>
    </row>
    <row r="1620" spans="1:27">
      <c r="A1620" t="s">
        <v>5716</v>
      </c>
      <c r="B1620" t="s">
        <v>5717</v>
      </c>
      <c r="C1620" t="str">
        <f>VLOOKUP(B1620,Sheet2!$A$2:$A$392,1,0)</f>
        <v>TB. LIUS 09 - BG. LIUS XIX</v>
      </c>
      <c r="E1620" t="s">
        <v>40</v>
      </c>
      <c r="F1620" t="s">
        <v>41</v>
      </c>
      <c r="G1620" t="s">
        <v>415</v>
      </c>
      <c r="I1620" t="s">
        <v>42</v>
      </c>
      <c r="J1620" s="2">
        <v>9500</v>
      </c>
      <c r="K1620">
        <v>91.5</v>
      </c>
      <c r="L1620" s="2">
        <v>3197</v>
      </c>
      <c r="N1620">
        <v>5.5</v>
      </c>
      <c r="O1620" t="s">
        <v>1606</v>
      </c>
      <c r="P1620" t="s">
        <v>5718</v>
      </c>
      <c r="R1620" t="s">
        <v>42</v>
      </c>
      <c r="S1620" t="s">
        <v>33</v>
      </c>
      <c r="T1620" t="s">
        <v>34</v>
      </c>
      <c r="U1620" t="s">
        <v>44</v>
      </c>
      <c r="V1620" s="2">
        <v>1</v>
      </c>
      <c r="W1620" t="s">
        <v>63</v>
      </c>
      <c r="X1620" t="s">
        <v>34</v>
      </c>
      <c r="Y1620" t="s">
        <v>64</v>
      </c>
      <c r="Z1620" t="s">
        <v>5719</v>
      </c>
      <c r="AA1620" t="s">
        <v>38</v>
      </c>
    </row>
    <row r="1621" spans="1:27" hidden="1">
      <c r="A1621" t="s">
        <v>5720</v>
      </c>
      <c r="B1621" t="s">
        <v>2299</v>
      </c>
      <c r="C1621" t="e">
        <f>VLOOKUP(B1621,Sheet2!$A$2:$A$392,1,0)</f>
        <v>#N/A</v>
      </c>
      <c r="E1621" t="s">
        <v>196</v>
      </c>
      <c r="F1621" t="s">
        <v>41</v>
      </c>
      <c r="G1621" t="s">
        <v>1513</v>
      </c>
      <c r="I1621" t="s">
        <v>42</v>
      </c>
      <c r="J1621" s="2">
        <v>3850</v>
      </c>
      <c r="K1621" s="3">
        <v>83.35</v>
      </c>
      <c r="L1621" s="2">
        <v>2294</v>
      </c>
      <c r="M1621" s="2">
        <v>2800</v>
      </c>
      <c r="N1621" s="2">
        <v>6</v>
      </c>
      <c r="O1621" t="s">
        <v>482</v>
      </c>
      <c r="P1621" t="s">
        <v>2450</v>
      </c>
      <c r="R1621" t="s">
        <v>32</v>
      </c>
      <c r="S1621" t="s">
        <v>33</v>
      </c>
      <c r="U1621" t="s">
        <v>35</v>
      </c>
      <c r="V1621" s="2">
        <v>2</v>
      </c>
      <c r="X1621" t="s">
        <v>34</v>
      </c>
      <c r="Y1621" t="s">
        <v>55</v>
      </c>
      <c r="Z1621" t="s">
        <v>5721</v>
      </c>
      <c r="AA1621" t="s">
        <v>38</v>
      </c>
    </row>
    <row r="1622" spans="1:27" hidden="1">
      <c r="A1622" t="s">
        <v>5722</v>
      </c>
      <c r="B1622" t="s">
        <v>5723</v>
      </c>
      <c r="C1622" t="e">
        <f>VLOOKUP(B1622,Sheet2!$A$2:$A$392,1,0)</f>
        <v>#N/A</v>
      </c>
      <c r="E1622" t="s">
        <v>249</v>
      </c>
      <c r="G1622" t="s">
        <v>5270</v>
      </c>
      <c r="I1622" t="s">
        <v>42</v>
      </c>
      <c r="J1622" s="2">
        <v>8180</v>
      </c>
      <c r="K1622">
        <v>119.9</v>
      </c>
      <c r="L1622" s="2">
        <v>6616</v>
      </c>
      <c r="P1622" t="s">
        <v>5724</v>
      </c>
      <c r="S1622" t="s">
        <v>33</v>
      </c>
      <c r="X1622" t="s">
        <v>34</v>
      </c>
      <c r="AA1622" t="s">
        <v>38</v>
      </c>
    </row>
    <row r="1623" spans="1:27">
      <c r="A1623" t="s">
        <v>5725</v>
      </c>
      <c r="B1623" t="s">
        <v>2583</v>
      </c>
      <c r="C1623" t="str">
        <f>VLOOKUP(B1623,Sheet2!$A$2:$A$392,1,0)</f>
        <v>TB. L MARITIM / BG. SURYA MAS</v>
      </c>
      <c r="E1623" t="s">
        <v>40</v>
      </c>
      <c r="F1623" t="s">
        <v>41</v>
      </c>
      <c r="G1623" t="s">
        <v>29</v>
      </c>
      <c r="I1623" t="s">
        <v>42</v>
      </c>
      <c r="J1623" s="2">
        <v>8000</v>
      </c>
      <c r="K1623" s="2">
        <v>91</v>
      </c>
      <c r="L1623" s="2">
        <v>3339</v>
      </c>
      <c r="P1623" t="s">
        <v>5726</v>
      </c>
      <c r="R1623" t="s">
        <v>42</v>
      </c>
      <c r="S1623" t="s">
        <v>33</v>
      </c>
      <c r="T1623" t="s">
        <v>34</v>
      </c>
      <c r="U1623" t="s">
        <v>44</v>
      </c>
      <c r="X1623" t="s">
        <v>34</v>
      </c>
      <c r="Y1623" t="s">
        <v>45</v>
      </c>
      <c r="Z1623" t="s">
        <v>5727</v>
      </c>
      <c r="AA1623" t="s">
        <v>38</v>
      </c>
    </row>
    <row r="1624" spans="1:27">
      <c r="A1624" t="s">
        <v>5728</v>
      </c>
      <c r="B1624" t="s">
        <v>5729</v>
      </c>
      <c r="C1624" t="str">
        <f>VLOOKUP(B1624,Sheet2!$A$2:$A$392,1,0)</f>
        <v>KM. TONASA LINES XVIII</v>
      </c>
      <c r="E1624" t="s">
        <v>196</v>
      </c>
      <c r="F1624" t="s">
        <v>41</v>
      </c>
      <c r="G1624" t="s">
        <v>29</v>
      </c>
      <c r="J1624" s="2">
        <v>8500</v>
      </c>
      <c r="K1624" s="2">
        <v>106</v>
      </c>
      <c r="L1624" s="2">
        <v>7347</v>
      </c>
      <c r="M1624" s="2">
        <v>1950</v>
      </c>
      <c r="N1624" s="2">
        <v>8</v>
      </c>
      <c r="O1624" t="s">
        <v>482</v>
      </c>
      <c r="P1624" t="s">
        <v>5646</v>
      </c>
      <c r="R1624" t="s">
        <v>42</v>
      </c>
      <c r="S1624" t="s">
        <v>33</v>
      </c>
      <c r="U1624" t="s">
        <v>35</v>
      </c>
      <c r="X1624" t="s">
        <v>34</v>
      </c>
      <c r="Y1624" t="s">
        <v>45</v>
      </c>
      <c r="Z1624" t="s">
        <v>5730</v>
      </c>
      <c r="AA1624" t="s">
        <v>38</v>
      </c>
    </row>
    <row r="1625" spans="1:27" hidden="1">
      <c r="A1625" t="s">
        <v>5731</v>
      </c>
      <c r="B1625" t="s">
        <v>5732</v>
      </c>
      <c r="C1625" t="e">
        <f>VLOOKUP(B1625,Sheet2!$A$2:$A$392,1,0)</f>
        <v>#N/A</v>
      </c>
      <c r="E1625" t="s">
        <v>27</v>
      </c>
      <c r="F1625" t="s">
        <v>41</v>
      </c>
      <c r="G1625" t="s">
        <v>29</v>
      </c>
      <c r="I1625" t="s">
        <v>42</v>
      </c>
      <c r="J1625" s="2">
        <v>500</v>
      </c>
      <c r="K1625">
        <v>61.2</v>
      </c>
      <c r="L1625" s="2">
        <v>1000</v>
      </c>
      <c r="M1625" s="2">
        <v>10000</v>
      </c>
      <c r="N1625" s="2">
        <v>5</v>
      </c>
      <c r="O1625" t="s">
        <v>254</v>
      </c>
      <c r="P1625" t="s">
        <v>5731</v>
      </c>
      <c r="R1625" t="s">
        <v>42</v>
      </c>
      <c r="S1625" t="s">
        <v>33</v>
      </c>
      <c r="T1625" t="s">
        <v>34</v>
      </c>
      <c r="U1625" t="s">
        <v>44</v>
      </c>
      <c r="W1625" t="s">
        <v>165</v>
      </c>
      <c r="X1625" t="s">
        <v>34</v>
      </c>
      <c r="Y1625" t="s">
        <v>245</v>
      </c>
      <c r="Z1625" t="s">
        <v>794</v>
      </c>
      <c r="AA1625" t="s">
        <v>38</v>
      </c>
    </row>
    <row r="1626" spans="1:27">
      <c r="A1626" t="s">
        <v>5733</v>
      </c>
      <c r="B1626" t="s">
        <v>5734</v>
      </c>
      <c r="C1626" t="str">
        <f>VLOOKUP(B1626,Sheet2!$A$2:$A$392,1,0)</f>
        <v>TONASA LINE XV</v>
      </c>
      <c r="E1626" t="s">
        <v>196</v>
      </c>
      <c r="F1626" t="s">
        <v>41</v>
      </c>
      <c r="G1626" t="s">
        <v>29</v>
      </c>
      <c r="J1626" s="2">
        <v>2476</v>
      </c>
      <c r="K1626">
        <v>79.3</v>
      </c>
      <c r="L1626" s="2">
        <v>1465</v>
      </c>
      <c r="M1626" s="2">
        <v>1000</v>
      </c>
      <c r="N1626" s="2">
        <v>6</v>
      </c>
      <c r="O1626" t="s">
        <v>482</v>
      </c>
      <c r="P1626" t="s">
        <v>5733</v>
      </c>
      <c r="Q1626" t="s">
        <v>34</v>
      </c>
      <c r="R1626" t="s">
        <v>42</v>
      </c>
      <c r="S1626" t="s">
        <v>33</v>
      </c>
      <c r="U1626" t="s">
        <v>44</v>
      </c>
      <c r="V1626" s="2">
        <v>1</v>
      </c>
      <c r="X1626" t="s">
        <v>34</v>
      </c>
      <c r="Y1626" t="s">
        <v>45</v>
      </c>
      <c r="Z1626" t="s">
        <v>5735</v>
      </c>
      <c r="AA1626" t="s">
        <v>38</v>
      </c>
    </row>
    <row r="1627" spans="1:27">
      <c r="A1627" t="s">
        <v>5736</v>
      </c>
      <c r="B1627" t="s">
        <v>5737</v>
      </c>
      <c r="C1627" t="str">
        <f>VLOOKUP(B1627,Sheet2!$A$2:$A$392,1,0)</f>
        <v>KM. TONASA LINE XI</v>
      </c>
      <c r="E1627" t="s">
        <v>196</v>
      </c>
      <c r="F1627" t="s">
        <v>41</v>
      </c>
      <c r="G1627" t="s">
        <v>29</v>
      </c>
      <c r="I1627" t="s">
        <v>42</v>
      </c>
      <c r="J1627" s="2">
        <v>3801</v>
      </c>
      <c r="K1627" s="2">
        <v>92</v>
      </c>
      <c r="L1627" s="2">
        <v>2185</v>
      </c>
      <c r="M1627" s="2">
        <v>0</v>
      </c>
      <c r="N1627" s="2">
        <v>0</v>
      </c>
      <c r="P1627" t="s">
        <v>5736</v>
      </c>
      <c r="Q1627" t="s">
        <v>34</v>
      </c>
      <c r="R1627" t="s">
        <v>42</v>
      </c>
      <c r="S1627" t="s">
        <v>33</v>
      </c>
      <c r="U1627" t="s">
        <v>44</v>
      </c>
      <c r="X1627" t="s">
        <v>34</v>
      </c>
      <c r="Y1627" t="s">
        <v>45</v>
      </c>
      <c r="Z1627" t="s">
        <v>5738</v>
      </c>
      <c r="AA1627" t="s">
        <v>38</v>
      </c>
    </row>
    <row r="1628" spans="1:27">
      <c r="A1628" t="s">
        <v>5739</v>
      </c>
      <c r="B1628" t="s">
        <v>5740</v>
      </c>
      <c r="C1628" t="str">
        <f>VLOOKUP(B1628,Sheet2!$A$2:$A$392,1,0)</f>
        <v>KM. TONASA LINE XVIII</v>
      </c>
      <c r="E1628" t="s">
        <v>27</v>
      </c>
      <c r="F1628" t="s">
        <v>28</v>
      </c>
      <c r="G1628" t="s">
        <v>59</v>
      </c>
      <c r="J1628" s="2">
        <v>0</v>
      </c>
      <c r="K1628">
        <v>113.2</v>
      </c>
      <c r="L1628" s="2">
        <v>7347</v>
      </c>
      <c r="M1628" s="2">
        <v>3883</v>
      </c>
      <c r="O1628" t="s">
        <v>482</v>
      </c>
      <c r="P1628" t="s">
        <v>3964</v>
      </c>
      <c r="Q1628" t="s">
        <v>34</v>
      </c>
      <c r="R1628" t="s">
        <v>32</v>
      </c>
      <c r="S1628" t="s">
        <v>33</v>
      </c>
      <c r="U1628" t="s">
        <v>35</v>
      </c>
      <c r="W1628" t="s">
        <v>63</v>
      </c>
      <c r="X1628" t="s">
        <v>34</v>
      </c>
      <c r="Y1628" t="s">
        <v>64</v>
      </c>
      <c r="Z1628" t="s">
        <v>5741</v>
      </c>
      <c r="AA1628" t="s">
        <v>38</v>
      </c>
    </row>
    <row r="1629" spans="1:27" hidden="1">
      <c r="A1629" t="s">
        <v>766</v>
      </c>
      <c r="B1629" t="s">
        <v>770</v>
      </c>
      <c r="C1629" t="e">
        <f>VLOOKUP(B1629,Sheet2!$A$2:$A$392,1,0)</f>
        <v>#N/A</v>
      </c>
      <c r="E1629" t="s">
        <v>27</v>
      </c>
      <c r="F1629" t="s">
        <v>41</v>
      </c>
      <c r="G1629" t="s">
        <v>29</v>
      </c>
      <c r="I1629" t="s">
        <v>42</v>
      </c>
      <c r="J1629" s="2">
        <v>1200</v>
      </c>
      <c r="K1629">
        <v>60.1</v>
      </c>
      <c r="L1629" s="2">
        <v>1000</v>
      </c>
      <c r="M1629" s="2">
        <v>10000</v>
      </c>
      <c r="N1629" s="2">
        <v>5</v>
      </c>
      <c r="O1629" t="s">
        <v>254</v>
      </c>
      <c r="P1629" t="s">
        <v>766</v>
      </c>
      <c r="R1629" t="s">
        <v>42</v>
      </c>
      <c r="S1629" t="s">
        <v>33</v>
      </c>
      <c r="T1629" t="s">
        <v>34</v>
      </c>
      <c r="U1629" t="s">
        <v>44</v>
      </c>
      <c r="W1629" t="s">
        <v>165</v>
      </c>
      <c r="X1629" t="s">
        <v>34</v>
      </c>
      <c r="Y1629" t="s">
        <v>245</v>
      </c>
      <c r="Z1629" t="s">
        <v>5742</v>
      </c>
      <c r="AA1629" t="s">
        <v>38</v>
      </c>
    </row>
    <row r="1630" spans="1:27" hidden="1">
      <c r="A1630" t="s">
        <v>5743</v>
      </c>
      <c r="B1630" t="s">
        <v>5744</v>
      </c>
      <c r="C1630" t="e">
        <f>VLOOKUP(B1630,Sheet2!$A$2:$A$392,1,0)</f>
        <v>#N/A</v>
      </c>
      <c r="E1630" t="s">
        <v>40</v>
      </c>
      <c r="F1630" t="s">
        <v>41</v>
      </c>
      <c r="G1630" t="s">
        <v>610</v>
      </c>
      <c r="I1630" t="s">
        <v>42</v>
      </c>
      <c r="J1630" s="2">
        <v>5000</v>
      </c>
      <c r="K1630">
        <v>82.3</v>
      </c>
      <c r="L1630" s="2">
        <v>2137</v>
      </c>
      <c r="P1630" t="s">
        <v>5745</v>
      </c>
      <c r="R1630" t="s">
        <v>42</v>
      </c>
      <c r="S1630" t="s">
        <v>33</v>
      </c>
      <c r="T1630" t="s">
        <v>34</v>
      </c>
      <c r="U1630" t="s">
        <v>44</v>
      </c>
      <c r="W1630" t="s">
        <v>63</v>
      </c>
      <c r="X1630" t="s">
        <v>34</v>
      </c>
      <c r="Y1630" t="s">
        <v>64</v>
      </c>
      <c r="Z1630" t="s">
        <v>5746</v>
      </c>
      <c r="AA1630" t="s">
        <v>38</v>
      </c>
    </row>
    <row r="1631" spans="1:27" hidden="1">
      <c r="A1631" t="s">
        <v>5747</v>
      </c>
      <c r="B1631" t="s">
        <v>5748</v>
      </c>
      <c r="C1631" t="e">
        <f>VLOOKUP(B1631,Sheet2!$A$2:$A$392,1,0)</f>
        <v>#N/A</v>
      </c>
      <c r="E1631" t="s">
        <v>40</v>
      </c>
      <c r="F1631" t="s">
        <v>41</v>
      </c>
      <c r="G1631" t="s">
        <v>59</v>
      </c>
      <c r="I1631" t="s">
        <v>42</v>
      </c>
      <c r="J1631" s="2">
        <v>3500</v>
      </c>
      <c r="K1631" s="3">
        <v>87.78</v>
      </c>
      <c r="L1631" s="2">
        <v>3099</v>
      </c>
      <c r="M1631" s="2">
        <v>1642</v>
      </c>
      <c r="N1631" s="2">
        <v>6</v>
      </c>
      <c r="O1631" t="s">
        <v>61</v>
      </c>
      <c r="P1631" t="s">
        <v>5749</v>
      </c>
      <c r="R1631" t="s">
        <v>42</v>
      </c>
      <c r="S1631" t="s">
        <v>33</v>
      </c>
      <c r="T1631" t="s">
        <v>34</v>
      </c>
      <c r="U1631" t="s">
        <v>35</v>
      </c>
      <c r="W1631" t="s">
        <v>63</v>
      </c>
      <c r="X1631" t="s">
        <v>34</v>
      </c>
      <c r="Y1631" t="s">
        <v>64</v>
      </c>
      <c r="Z1631" t="s">
        <v>5750</v>
      </c>
      <c r="AA1631" t="s">
        <v>38</v>
      </c>
    </row>
    <row r="1632" spans="1:27" hidden="1">
      <c r="A1632" t="s">
        <v>5751</v>
      </c>
      <c r="B1632" t="s">
        <v>5752</v>
      </c>
      <c r="C1632" t="e">
        <f>VLOOKUP(B1632,Sheet2!$A$2:$A$392,1,0)</f>
        <v>#N/A</v>
      </c>
      <c r="E1632" t="s">
        <v>40</v>
      </c>
      <c r="F1632" t="s">
        <v>41</v>
      </c>
      <c r="G1632" t="s">
        <v>29</v>
      </c>
      <c r="I1632" t="s">
        <v>42</v>
      </c>
      <c r="J1632" s="2">
        <v>3700</v>
      </c>
      <c r="K1632" s="2">
        <v>64</v>
      </c>
      <c r="L1632" s="2">
        <v>1067</v>
      </c>
      <c r="P1632" t="s">
        <v>5753</v>
      </c>
      <c r="R1632" t="s">
        <v>42</v>
      </c>
      <c r="S1632" t="s">
        <v>33</v>
      </c>
      <c r="T1632" t="s">
        <v>34</v>
      </c>
      <c r="U1632" t="s">
        <v>35</v>
      </c>
      <c r="X1632" t="s">
        <v>34</v>
      </c>
      <c r="Y1632" t="s">
        <v>45</v>
      </c>
      <c r="Z1632" t="s">
        <v>5754</v>
      </c>
      <c r="AA1632" t="s">
        <v>38</v>
      </c>
    </row>
    <row r="1633" spans="1:27" hidden="1">
      <c r="A1633" t="s">
        <v>5755</v>
      </c>
      <c r="B1633" t="s">
        <v>5756</v>
      </c>
      <c r="C1633" t="e">
        <f>VLOOKUP(B1633,Sheet2!$A$2:$A$392,1,0)</f>
        <v>#N/A</v>
      </c>
      <c r="E1633" t="s">
        <v>40</v>
      </c>
      <c r="F1633" t="s">
        <v>41</v>
      </c>
      <c r="G1633" t="s">
        <v>610</v>
      </c>
      <c r="I1633" t="s">
        <v>42</v>
      </c>
      <c r="J1633" s="2">
        <v>8500</v>
      </c>
      <c r="K1633" s="3">
        <v>91.44</v>
      </c>
      <c r="L1633" s="2">
        <v>3648</v>
      </c>
      <c r="P1633" t="s">
        <v>5757</v>
      </c>
      <c r="R1633" t="s">
        <v>42</v>
      </c>
      <c r="S1633" t="s">
        <v>33</v>
      </c>
      <c r="T1633" t="s">
        <v>34</v>
      </c>
      <c r="U1633" t="s">
        <v>44</v>
      </c>
      <c r="W1633" t="s">
        <v>63</v>
      </c>
      <c r="X1633" t="s">
        <v>34</v>
      </c>
      <c r="Y1633" t="s">
        <v>64</v>
      </c>
      <c r="Z1633" t="s">
        <v>5758</v>
      </c>
      <c r="AA1633" t="s">
        <v>38</v>
      </c>
    </row>
    <row r="1634" spans="1:27" hidden="1">
      <c r="A1634" t="s">
        <v>5759</v>
      </c>
      <c r="B1634" t="s">
        <v>5760</v>
      </c>
      <c r="C1634" t="e">
        <f>VLOOKUP(B1634,Sheet2!$A$2:$A$392,1,0)</f>
        <v>#N/A</v>
      </c>
      <c r="E1634" t="s">
        <v>40</v>
      </c>
      <c r="F1634" t="s">
        <v>41</v>
      </c>
      <c r="G1634" t="s">
        <v>29</v>
      </c>
      <c r="J1634" s="2">
        <v>2300</v>
      </c>
      <c r="K1634" s="2">
        <v>99</v>
      </c>
      <c r="L1634" s="2">
        <v>2299</v>
      </c>
      <c r="M1634" s="2">
        <v>0</v>
      </c>
      <c r="N1634" s="2">
        <v>4</v>
      </c>
      <c r="O1634" t="s">
        <v>482</v>
      </c>
      <c r="P1634" s="2">
        <v>123</v>
      </c>
      <c r="R1634" t="s">
        <v>42</v>
      </c>
      <c r="S1634" t="s">
        <v>33</v>
      </c>
      <c r="U1634" t="s">
        <v>44</v>
      </c>
      <c r="X1634" t="s">
        <v>34</v>
      </c>
      <c r="Y1634" t="s">
        <v>45</v>
      </c>
      <c r="Z1634" t="s">
        <v>5761</v>
      </c>
      <c r="AA1634" t="s">
        <v>38</v>
      </c>
    </row>
    <row r="1635" spans="1:27" hidden="1">
      <c r="A1635" t="s">
        <v>5762</v>
      </c>
      <c r="B1635" t="s">
        <v>5763</v>
      </c>
      <c r="C1635" t="e">
        <f>VLOOKUP(B1635,Sheet2!$A$2:$A$392,1,0)</f>
        <v>#N/A</v>
      </c>
      <c r="E1635" t="s">
        <v>40</v>
      </c>
      <c r="F1635" t="s">
        <v>41</v>
      </c>
      <c r="G1635" t="s">
        <v>59</v>
      </c>
      <c r="J1635" s="2">
        <v>8000</v>
      </c>
      <c r="K1635" s="2">
        <v>91</v>
      </c>
      <c r="L1635" s="2">
        <v>3790</v>
      </c>
      <c r="P1635" t="s">
        <v>3724</v>
      </c>
      <c r="R1635" t="s">
        <v>42</v>
      </c>
      <c r="S1635" t="s">
        <v>33</v>
      </c>
      <c r="U1635" t="s">
        <v>35</v>
      </c>
      <c r="W1635" t="s">
        <v>63</v>
      </c>
      <c r="X1635" t="s">
        <v>34</v>
      </c>
      <c r="Y1635" t="s">
        <v>64</v>
      </c>
      <c r="Z1635" t="s">
        <v>5764</v>
      </c>
      <c r="AA1635" t="s">
        <v>38</v>
      </c>
    </row>
    <row r="1636" spans="1:27" hidden="1">
      <c r="A1636" t="s">
        <v>5765</v>
      </c>
      <c r="B1636" t="s">
        <v>5766</v>
      </c>
      <c r="C1636" t="e">
        <f>VLOOKUP(B1636,Sheet2!$A$2:$A$392,1,0)</f>
        <v>#N/A</v>
      </c>
      <c r="E1636" t="s">
        <v>40</v>
      </c>
      <c r="F1636" t="s">
        <v>41</v>
      </c>
      <c r="G1636" t="s">
        <v>29</v>
      </c>
      <c r="I1636" t="s">
        <v>42</v>
      </c>
      <c r="J1636" s="2">
        <v>5000</v>
      </c>
      <c r="K1636" s="2">
        <v>79</v>
      </c>
      <c r="L1636" s="2">
        <v>2324</v>
      </c>
      <c r="P1636" t="s">
        <v>185</v>
      </c>
      <c r="R1636" t="s">
        <v>42</v>
      </c>
      <c r="S1636" t="s">
        <v>33</v>
      </c>
      <c r="T1636" t="s">
        <v>34</v>
      </c>
      <c r="U1636" t="s">
        <v>35</v>
      </c>
      <c r="X1636" t="s">
        <v>34</v>
      </c>
      <c r="Y1636" t="s">
        <v>45</v>
      </c>
      <c r="Z1636" t="s">
        <v>5767</v>
      </c>
      <c r="AA1636" t="s">
        <v>38</v>
      </c>
    </row>
    <row r="1637" spans="1:27" hidden="1">
      <c r="A1637" t="s">
        <v>5768</v>
      </c>
      <c r="B1637" t="s">
        <v>5769</v>
      </c>
      <c r="C1637" t="e">
        <f>VLOOKUP(B1637,Sheet2!$A$2:$A$392,1,0)</f>
        <v>#N/A</v>
      </c>
      <c r="E1637" t="s">
        <v>40</v>
      </c>
      <c r="F1637" t="s">
        <v>41</v>
      </c>
      <c r="G1637" t="s">
        <v>5770</v>
      </c>
      <c r="I1637" t="s">
        <v>42</v>
      </c>
      <c r="J1637" s="2">
        <v>8500</v>
      </c>
      <c r="K1637" s="3">
        <v>91.44</v>
      </c>
      <c r="L1637" s="2">
        <v>3398</v>
      </c>
      <c r="M1637" s="2">
        <v>2000</v>
      </c>
      <c r="N1637" s="2">
        <v>5</v>
      </c>
      <c r="O1637" t="s">
        <v>5771</v>
      </c>
      <c r="P1637" t="s">
        <v>5772</v>
      </c>
      <c r="R1637" t="s">
        <v>42</v>
      </c>
      <c r="S1637" t="s">
        <v>33</v>
      </c>
      <c r="U1637" t="s">
        <v>35</v>
      </c>
      <c r="W1637" t="s">
        <v>63</v>
      </c>
      <c r="X1637" t="s">
        <v>34</v>
      </c>
      <c r="Y1637" t="s">
        <v>64</v>
      </c>
      <c r="Z1637" t="s">
        <v>5773</v>
      </c>
      <c r="AA1637" t="s">
        <v>38</v>
      </c>
    </row>
    <row r="1638" spans="1:27" hidden="1">
      <c r="A1638" t="s">
        <v>5774</v>
      </c>
      <c r="B1638" t="s">
        <v>3109</v>
      </c>
      <c r="C1638" t="e">
        <f>VLOOKUP(B1638,Sheet2!$A$2:$A$392,1,0)</f>
        <v>#N/A</v>
      </c>
      <c r="E1638" t="s">
        <v>40</v>
      </c>
      <c r="F1638" t="s">
        <v>41</v>
      </c>
      <c r="G1638" t="s">
        <v>59</v>
      </c>
      <c r="J1638" s="2">
        <v>8000</v>
      </c>
      <c r="K1638" s="2">
        <v>91</v>
      </c>
      <c r="L1638" s="2">
        <v>3330</v>
      </c>
      <c r="M1638" s="2">
        <v>947</v>
      </c>
      <c r="P1638" t="s">
        <v>5775</v>
      </c>
      <c r="R1638" t="s">
        <v>42</v>
      </c>
      <c r="S1638" t="s">
        <v>33</v>
      </c>
      <c r="U1638" t="s">
        <v>35</v>
      </c>
      <c r="W1638" t="s">
        <v>63</v>
      </c>
      <c r="X1638" t="s">
        <v>34</v>
      </c>
      <c r="Y1638" t="s">
        <v>64</v>
      </c>
      <c r="Z1638" t="s">
        <v>5776</v>
      </c>
      <c r="AA1638" t="s">
        <v>38</v>
      </c>
    </row>
    <row r="1639" spans="1:27" hidden="1">
      <c r="A1639" t="s">
        <v>5777</v>
      </c>
      <c r="B1639" t="s">
        <v>5778</v>
      </c>
      <c r="C1639" t="e">
        <f>VLOOKUP(B1639,Sheet2!$A$2:$A$392,1,0)</f>
        <v>#N/A</v>
      </c>
      <c r="E1639" t="s">
        <v>40</v>
      </c>
      <c r="F1639" t="s">
        <v>41</v>
      </c>
      <c r="G1639" t="s">
        <v>29</v>
      </c>
      <c r="I1639" t="s">
        <v>42</v>
      </c>
      <c r="J1639" s="2">
        <v>8000</v>
      </c>
      <c r="K1639" s="2">
        <v>87</v>
      </c>
      <c r="L1639" s="2">
        <v>3372</v>
      </c>
      <c r="P1639" t="s">
        <v>5779</v>
      </c>
      <c r="R1639" t="s">
        <v>42</v>
      </c>
      <c r="S1639" t="s">
        <v>33</v>
      </c>
      <c r="T1639" t="s">
        <v>34</v>
      </c>
      <c r="U1639" t="s">
        <v>35</v>
      </c>
      <c r="X1639" t="s">
        <v>34</v>
      </c>
      <c r="Y1639" t="s">
        <v>45</v>
      </c>
      <c r="Z1639" t="s">
        <v>5522</v>
      </c>
      <c r="AA1639" t="s">
        <v>38</v>
      </c>
    </row>
    <row r="1640" spans="1:27" hidden="1">
      <c r="A1640" t="s">
        <v>5780</v>
      </c>
      <c r="B1640" t="s">
        <v>5781</v>
      </c>
      <c r="C1640" t="e">
        <f>VLOOKUP(B1640,Sheet2!$A$2:$A$392,1,0)</f>
        <v>#N/A</v>
      </c>
      <c r="E1640" t="s">
        <v>40</v>
      </c>
      <c r="F1640" t="s">
        <v>41</v>
      </c>
      <c r="G1640" t="s">
        <v>29</v>
      </c>
      <c r="I1640" t="s">
        <v>42</v>
      </c>
      <c r="J1640" s="2">
        <v>8000</v>
      </c>
      <c r="K1640" s="2">
        <v>91</v>
      </c>
      <c r="L1640" s="2">
        <v>3339</v>
      </c>
      <c r="P1640" t="s">
        <v>5782</v>
      </c>
      <c r="R1640" t="s">
        <v>42</v>
      </c>
      <c r="S1640" t="s">
        <v>33</v>
      </c>
      <c r="T1640" t="s">
        <v>34</v>
      </c>
      <c r="U1640" t="s">
        <v>35</v>
      </c>
      <c r="X1640" t="s">
        <v>34</v>
      </c>
      <c r="Y1640" t="s">
        <v>45</v>
      </c>
      <c r="Z1640" t="s">
        <v>5783</v>
      </c>
      <c r="AA1640" t="s">
        <v>38</v>
      </c>
    </row>
    <row r="1641" spans="1:27" hidden="1">
      <c r="A1641" t="s">
        <v>5784</v>
      </c>
      <c r="B1641" t="s">
        <v>5785</v>
      </c>
      <c r="C1641" t="e">
        <f>VLOOKUP(B1641,Sheet2!$A$2:$A$392,1,0)</f>
        <v>#N/A</v>
      </c>
      <c r="E1641" t="s">
        <v>40</v>
      </c>
      <c r="F1641" t="s">
        <v>28</v>
      </c>
      <c r="G1641" t="s">
        <v>29</v>
      </c>
      <c r="I1641" t="s">
        <v>42</v>
      </c>
      <c r="J1641" s="2">
        <v>10000</v>
      </c>
      <c r="K1641" s="2">
        <v>100</v>
      </c>
      <c r="L1641" s="2">
        <v>4459</v>
      </c>
      <c r="P1641" t="s">
        <v>1275</v>
      </c>
      <c r="R1641" t="s">
        <v>42</v>
      </c>
      <c r="S1641" t="s">
        <v>33</v>
      </c>
      <c r="T1641" t="s">
        <v>34</v>
      </c>
      <c r="U1641" t="s">
        <v>44</v>
      </c>
      <c r="W1641" t="s">
        <v>165</v>
      </c>
      <c r="X1641" t="s">
        <v>34</v>
      </c>
      <c r="Y1641" t="s">
        <v>245</v>
      </c>
      <c r="Z1641" t="s">
        <v>3838</v>
      </c>
      <c r="AA1641" t="s">
        <v>38</v>
      </c>
    </row>
    <row r="1642" spans="1:27" hidden="1">
      <c r="A1642" t="s">
        <v>5786</v>
      </c>
      <c r="B1642" t="s">
        <v>5787</v>
      </c>
      <c r="C1642" t="e">
        <f>VLOOKUP(B1642,Sheet2!$A$2:$A$392,1,0)</f>
        <v>#N/A</v>
      </c>
      <c r="E1642" t="s">
        <v>40</v>
      </c>
      <c r="F1642" t="s">
        <v>41</v>
      </c>
      <c r="G1642" t="s">
        <v>610</v>
      </c>
      <c r="I1642" t="s">
        <v>42</v>
      </c>
      <c r="J1642" s="2">
        <v>8500</v>
      </c>
      <c r="K1642" s="2">
        <v>92</v>
      </c>
      <c r="L1642" s="2">
        <v>3346</v>
      </c>
      <c r="P1642" t="s">
        <v>5788</v>
      </c>
      <c r="R1642" t="s">
        <v>42</v>
      </c>
      <c r="S1642" t="s">
        <v>33</v>
      </c>
      <c r="T1642" t="s">
        <v>34</v>
      </c>
      <c r="U1642" t="s">
        <v>44</v>
      </c>
      <c r="W1642" t="s">
        <v>63</v>
      </c>
      <c r="X1642" t="s">
        <v>34</v>
      </c>
      <c r="Y1642" t="s">
        <v>64</v>
      </c>
      <c r="Z1642" t="s">
        <v>5789</v>
      </c>
      <c r="AA1642" t="s">
        <v>38</v>
      </c>
    </row>
    <row r="1643" spans="1:27" hidden="1">
      <c r="A1643" t="s">
        <v>5790</v>
      </c>
      <c r="B1643" t="s">
        <v>5791</v>
      </c>
      <c r="C1643" t="e">
        <f>VLOOKUP(B1643,Sheet2!$A$2:$A$392,1,0)</f>
        <v>#N/A</v>
      </c>
      <c r="E1643" t="s">
        <v>40</v>
      </c>
      <c r="F1643" t="s">
        <v>41</v>
      </c>
      <c r="G1643" t="s">
        <v>293</v>
      </c>
      <c r="J1643" s="2">
        <v>3346</v>
      </c>
      <c r="K1643" s="3">
        <v>91.44</v>
      </c>
      <c r="L1643" s="2">
        <v>1004</v>
      </c>
      <c r="M1643" s="2">
        <v>2400</v>
      </c>
      <c r="N1643" s="2">
        <v>5</v>
      </c>
      <c r="O1643" t="s">
        <v>294</v>
      </c>
      <c r="P1643" t="s">
        <v>5792</v>
      </c>
      <c r="R1643" t="s">
        <v>694</v>
      </c>
      <c r="S1643" t="s">
        <v>33</v>
      </c>
      <c r="U1643" t="s">
        <v>35</v>
      </c>
      <c r="W1643" t="s">
        <v>63</v>
      </c>
      <c r="X1643" t="s">
        <v>34</v>
      </c>
      <c r="Y1643" t="s">
        <v>64</v>
      </c>
      <c r="Z1643" t="s">
        <v>5793</v>
      </c>
      <c r="AA1643" t="s">
        <v>38</v>
      </c>
    </row>
    <row r="1644" spans="1:27" hidden="1">
      <c r="A1644" t="s">
        <v>5794</v>
      </c>
      <c r="B1644" t="s">
        <v>5795</v>
      </c>
      <c r="C1644" t="e">
        <f>VLOOKUP(B1644,Sheet2!$A$2:$A$392,1,0)</f>
        <v>#N/A</v>
      </c>
      <c r="E1644" t="s">
        <v>40</v>
      </c>
      <c r="F1644" t="s">
        <v>41</v>
      </c>
      <c r="G1644" t="s">
        <v>610</v>
      </c>
      <c r="I1644" t="s">
        <v>42</v>
      </c>
      <c r="J1644" s="2">
        <v>8500</v>
      </c>
      <c r="K1644" s="3">
        <v>91.44</v>
      </c>
      <c r="L1644" s="2">
        <v>3346</v>
      </c>
      <c r="P1644" t="s">
        <v>5796</v>
      </c>
      <c r="R1644" t="s">
        <v>42</v>
      </c>
      <c r="S1644" t="s">
        <v>33</v>
      </c>
      <c r="T1644" t="s">
        <v>34</v>
      </c>
      <c r="U1644" t="s">
        <v>44</v>
      </c>
      <c r="W1644" t="s">
        <v>63</v>
      </c>
      <c r="X1644" t="s">
        <v>34</v>
      </c>
      <c r="Y1644" t="s">
        <v>64</v>
      </c>
      <c r="Z1644" t="s">
        <v>5797</v>
      </c>
      <c r="AA1644" t="s">
        <v>38</v>
      </c>
    </row>
    <row r="1645" spans="1:27" hidden="1">
      <c r="A1645" t="s">
        <v>5798</v>
      </c>
      <c r="B1645" t="s">
        <v>5799</v>
      </c>
      <c r="C1645" t="e">
        <f>VLOOKUP(B1645,Sheet2!$A$2:$A$392,1,0)</f>
        <v>#N/A</v>
      </c>
      <c r="E1645" t="s">
        <v>40</v>
      </c>
      <c r="F1645" t="s">
        <v>41</v>
      </c>
      <c r="G1645" t="s">
        <v>610</v>
      </c>
      <c r="I1645" t="s">
        <v>42</v>
      </c>
      <c r="J1645" s="2">
        <v>8500</v>
      </c>
      <c r="K1645" s="3">
        <v>91.44</v>
      </c>
      <c r="L1645" s="2">
        <v>3346</v>
      </c>
      <c r="P1645" t="s">
        <v>5800</v>
      </c>
      <c r="R1645" t="s">
        <v>42</v>
      </c>
      <c r="S1645" t="s">
        <v>33</v>
      </c>
      <c r="T1645" t="s">
        <v>34</v>
      </c>
      <c r="U1645" t="s">
        <v>44</v>
      </c>
      <c r="X1645" t="s">
        <v>34</v>
      </c>
      <c r="Y1645" t="s">
        <v>45</v>
      </c>
      <c r="Z1645" t="s">
        <v>5801</v>
      </c>
      <c r="AA1645" t="s">
        <v>38</v>
      </c>
    </row>
    <row r="1646" spans="1:27" hidden="1">
      <c r="A1646" t="s">
        <v>5802</v>
      </c>
      <c r="B1646" t="s">
        <v>5803</v>
      </c>
      <c r="C1646" t="e">
        <f>VLOOKUP(B1646,Sheet2!$A$2:$A$392,1,0)</f>
        <v>#N/A</v>
      </c>
      <c r="E1646" t="s">
        <v>40</v>
      </c>
      <c r="F1646" t="s">
        <v>41</v>
      </c>
      <c r="G1646" t="s">
        <v>415</v>
      </c>
      <c r="J1646" s="2">
        <v>4700</v>
      </c>
      <c r="K1646" s="2">
        <v>76</v>
      </c>
      <c r="L1646" s="2">
        <v>2141</v>
      </c>
      <c r="P1646" t="s">
        <v>5804</v>
      </c>
      <c r="R1646" t="s">
        <v>42</v>
      </c>
      <c r="S1646" t="s">
        <v>33</v>
      </c>
      <c r="U1646" t="s">
        <v>44</v>
      </c>
      <c r="W1646" t="s">
        <v>63</v>
      </c>
      <c r="X1646" t="s">
        <v>34</v>
      </c>
      <c r="Y1646" t="s">
        <v>64</v>
      </c>
      <c r="Z1646" t="s">
        <v>5805</v>
      </c>
      <c r="AA1646" t="s">
        <v>38</v>
      </c>
    </row>
    <row r="1647" spans="1:27" hidden="1">
      <c r="A1647" t="s">
        <v>5806</v>
      </c>
      <c r="B1647" t="s">
        <v>5807</v>
      </c>
      <c r="C1647" t="e">
        <f>VLOOKUP(B1647,Sheet2!$A$2:$A$392,1,0)</f>
        <v>#N/A</v>
      </c>
      <c r="E1647" t="s">
        <v>40</v>
      </c>
      <c r="F1647" t="s">
        <v>41</v>
      </c>
      <c r="G1647" t="s">
        <v>158</v>
      </c>
      <c r="I1647" t="s">
        <v>42</v>
      </c>
      <c r="J1647" s="2">
        <v>5413</v>
      </c>
      <c r="K1647" s="3">
        <v>91.44</v>
      </c>
      <c r="L1647" s="2">
        <v>3122</v>
      </c>
      <c r="O1647" t="s">
        <v>159</v>
      </c>
      <c r="P1647" t="s">
        <v>5808</v>
      </c>
      <c r="R1647" t="s">
        <v>32</v>
      </c>
      <c r="S1647" t="s">
        <v>33</v>
      </c>
      <c r="T1647" t="s">
        <v>34</v>
      </c>
      <c r="U1647" t="s">
        <v>35</v>
      </c>
      <c r="W1647" t="s">
        <v>63</v>
      </c>
      <c r="X1647" t="s">
        <v>34</v>
      </c>
      <c r="Y1647" t="s">
        <v>64</v>
      </c>
      <c r="Z1647" t="s">
        <v>5809</v>
      </c>
      <c r="AA1647" t="s">
        <v>38</v>
      </c>
    </row>
    <row r="1648" spans="1:27" hidden="1">
      <c r="A1648" t="s">
        <v>5810</v>
      </c>
      <c r="B1648" t="s">
        <v>5811</v>
      </c>
      <c r="C1648" t="e">
        <f>VLOOKUP(B1648,Sheet2!$A$2:$A$392,1,0)</f>
        <v>#N/A</v>
      </c>
      <c r="E1648" t="s">
        <v>40</v>
      </c>
      <c r="F1648" t="s">
        <v>41</v>
      </c>
      <c r="G1648" t="s">
        <v>415</v>
      </c>
      <c r="I1648" t="s">
        <v>42</v>
      </c>
      <c r="J1648" s="2">
        <v>4500</v>
      </c>
      <c r="K1648" s="3">
        <v>73.150000000000006</v>
      </c>
      <c r="L1648" s="2">
        <v>1998</v>
      </c>
      <c r="P1648" t="s">
        <v>5812</v>
      </c>
      <c r="R1648" t="s">
        <v>42</v>
      </c>
      <c r="S1648" t="s">
        <v>33</v>
      </c>
      <c r="T1648" t="s">
        <v>34</v>
      </c>
      <c r="U1648" t="s">
        <v>44</v>
      </c>
      <c r="V1648" s="2">
        <v>1</v>
      </c>
      <c r="W1648" t="s">
        <v>63</v>
      </c>
      <c r="X1648" t="s">
        <v>34</v>
      </c>
      <c r="Y1648" t="s">
        <v>64</v>
      </c>
      <c r="Z1648" t="s">
        <v>5813</v>
      </c>
      <c r="AA1648" t="s">
        <v>38</v>
      </c>
    </row>
    <row r="1649" spans="1:27" hidden="1">
      <c r="A1649" t="s">
        <v>5814</v>
      </c>
      <c r="B1649" t="s">
        <v>5815</v>
      </c>
      <c r="C1649" t="e">
        <f>VLOOKUP(B1649,Sheet2!$A$2:$A$392,1,0)</f>
        <v>#N/A</v>
      </c>
      <c r="E1649" t="s">
        <v>249</v>
      </c>
      <c r="G1649" t="s">
        <v>250</v>
      </c>
      <c r="I1649" t="s">
        <v>42</v>
      </c>
      <c r="J1649" s="2">
        <v>8180</v>
      </c>
      <c r="K1649">
        <v>119.9</v>
      </c>
      <c r="L1649" s="2">
        <v>6640</v>
      </c>
      <c r="P1649" t="s">
        <v>5816</v>
      </c>
      <c r="S1649" t="s">
        <v>33</v>
      </c>
      <c r="X1649" t="s">
        <v>34</v>
      </c>
      <c r="AA1649" t="s">
        <v>38</v>
      </c>
    </row>
    <row r="1650" spans="1:27" hidden="1">
      <c r="A1650" t="s">
        <v>5817</v>
      </c>
      <c r="B1650" t="s">
        <v>5818</v>
      </c>
      <c r="C1650" t="e">
        <f>VLOOKUP(B1650,Sheet2!$A$2:$A$392,1,0)</f>
        <v>#N/A</v>
      </c>
      <c r="E1650" t="s">
        <v>40</v>
      </c>
      <c r="F1650" t="s">
        <v>41</v>
      </c>
      <c r="G1650" t="s">
        <v>29</v>
      </c>
      <c r="I1650" t="s">
        <v>42</v>
      </c>
      <c r="J1650" s="2">
        <v>8000</v>
      </c>
      <c r="K1650" s="2">
        <v>91</v>
      </c>
      <c r="L1650" s="2">
        <v>3343</v>
      </c>
      <c r="P1650" t="s">
        <v>5819</v>
      </c>
      <c r="R1650" t="s">
        <v>42</v>
      </c>
      <c r="S1650" t="s">
        <v>33</v>
      </c>
      <c r="T1650" t="s">
        <v>34</v>
      </c>
      <c r="U1650" t="s">
        <v>35</v>
      </c>
      <c r="X1650" t="s">
        <v>34</v>
      </c>
      <c r="Y1650" t="s">
        <v>45</v>
      </c>
      <c r="Z1650" t="s">
        <v>5820</v>
      </c>
      <c r="AA1650" t="s">
        <v>38</v>
      </c>
    </row>
    <row r="1651" spans="1:27" hidden="1">
      <c r="A1651" t="s">
        <v>5821</v>
      </c>
      <c r="B1651" t="s">
        <v>5822</v>
      </c>
      <c r="C1651" t="e">
        <f>VLOOKUP(B1651,Sheet2!$A$2:$A$392,1,0)</f>
        <v>#N/A</v>
      </c>
      <c r="E1651" t="s">
        <v>249</v>
      </c>
      <c r="G1651" t="s">
        <v>5270</v>
      </c>
      <c r="I1651" t="s">
        <v>42</v>
      </c>
      <c r="J1651" s="2">
        <v>2000</v>
      </c>
      <c r="K1651">
        <v>119.9</v>
      </c>
      <c r="L1651" s="2">
        <v>6616</v>
      </c>
      <c r="P1651" t="s">
        <v>5823</v>
      </c>
      <c r="S1651" t="s">
        <v>33</v>
      </c>
      <c r="X1651" t="s">
        <v>34</v>
      </c>
      <c r="Y1651" t="s">
        <v>96</v>
      </c>
      <c r="Z1651" t="s">
        <v>5824</v>
      </c>
      <c r="AA1651" t="s">
        <v>38</v>
      </c>
    </row>
    <row r="1652" spans="1:27" hidden="1">
      <c r="A1652" t="s">
        <v>5825</v>
      </c>
      <c r="B1652" t="s">
        <v>5826</v>
      </c>
      <c r="C1652" t="e">
        <f>VLOOKUP(B1652,Sheet2!$A$2:$A$392,1,0)</f>
        <v>#N/A</v>
      </c>
      <c r="E1652" t="s">
        <v>27</v>
      </c>
      <c r="F1652" t="s">
        <v>41</v>
      </c>
      <c r="G1652" t="s">
        <v>29</v>
      </c>
      <c r="I1652" t="s">
        <v>42</v>
      </c>
      <c r="J1652" s="2">
        <v>1100</v>
      </c>
      <c r="K1652" s="2">
        <v>50</v>
      </c>
      <c r="L1652" s="2">
        <v>666</v>
      </c>
      <c r="P1652" t="s">
        <v>5827</v>
      </c>
      <c r="R1652" t="s">
        <v>32</v>
      </c>
      <c r="S1652" t="s">
        <v>33</v>
      </c>
      <c r="T1652" t="s">
        <v>34</v>
      </c>
      <c r="U1652" t="s">
        <v>35</v>
      </c>
      <c r="X1652" t="s">
        <v>34</v>
      </c>
      <c r="Y1652" t="s">
        <v>1241</v>
      </c>
      <c r="Z1652" t="s">
        <v>5828</v>
      </c>
      <c r="AA1652" t="s">
        <v>38</v>
      </c>
    </row>
    <row r="1653" spans="1:27" hidden="1">
      <c r="A1653" t="s">
        <v>5829</v>
      </c>
      <c r="B1653" t="s">
        <v>5830</v>
      </c>
      <c r="C1653" t="e">
        <f>VLOOKUP(B1653,Sheet2!$A$2:$A$392,1,0)</f>
        <v>#N/A</v>
      </c>
      <c r="E1653" t="s">
        <v>27</v>
      </c>
      <c r="F1653" t="s">
        <v>41</v>
      </c>
      <c r="G1653" t="s">
        <v>29</v>
      </c>
      <c r="I1653" t="s">
        <v>42</v>
      </c>
      <c r="J1653" s="2">
        <v>1520</v>
      </c>
      <c r="K1653" s="2">
        <v>74</v>
      </c>
      <c r="L1653" s="2">
        <v>1463</v>
      </c>
      <c r="M1653" s="2">
        <v>1000</v>
      </c>
      <c r="P1653" t="s">
        <v>5831</v>
      </c>
      <c r="R1653" t="s">
        <v>32</v>
      </c>
      <c r="S1653" t="s">
        <v>33</v>
      </c>
      <c r="T1653" t="s">
        <v>34</v>
      </c>
      <c r="U1653" t="s">
        <v>35</v>
      </c>
      <c r="X1653" t="s">
        <v>34</v>
      </c>
      <c r="Y1653" t="s">
        <v>45</v>
      </c>
      <c r="Z1653" t="s">
        <v>5832</v>
      </c>
      <c r="AA1653" t="s">
        <v>38</v>
      </c>
    </row>
    <row r="1654" spans="1:27" hidden="1">
      <c r="A1654" t="s">
        <v>5833</v>
      </c>
      <c r="B1654" t="s">
        <v>5834</v>
      </c>
      <c r="C1654" t="e">
        <f>VLOOKUP(B1654,Sheet2!$A$2:$A$392,1,0)</f>
        <v>#N/A</v>
      </c>
      <c r="E1654" t="s">
        <v>40</v>
      </c>
      <c r="F1654" t="s">
        <v>41</v>
      </c>
      <c r="G1654" t="s">
        <v>59</v>
      </c>
      <c r="J1654" s="2">
        <v>5000</v>
      </c>
      <c r="K1654" s="2">
        <v>87</v>
      </c>
      <c r="L1654" s="2">
        <v>3357</v>
      </c>
      <c r="M1654" s="2">
        <v>1800</v>
      </c>
      <c r="N1654" s="2">
        <v>5</v>
      </c>
      <c r="O1654" t="s">
        <v>61</v>
      </c>
      <c r="P1654" t="s">
        <v>5525</v>
      </c>
      <c r="R1654" t="s">
        <v>42</v>
      </c>
      <c r="S1654" t="s">
        <v>33</v>
      </c>
      <c r="U1654" t="s">
        <v>35</v>
      </c>
      <c r="W1654" t="s">
        <v>63</v>
      </c>
      <c r="X1654" t="s">
        <v>34</v>
      </c>
      <c r="Y1654" t="s">
        <v>64</v>
      </c>
      <c r="Z1654" t="s">
        <v>5835</v>
      </c>
      <c r="AA1654" t="s">
        <v>38</v>
      </c>
    </row>
    <row r="1655" spans="1:27">
      <c r="A1655" t="s">
        <v>5836</v>
      </c>
      <c r="B1655" t="s">
        <v>5837</v>
      </c>
      <c r="C1655" t="str">
        <f>VLOOKUP(B1655,Sheet2!$A$2:$A$392,1,0)</f>
        <v>KM. TONASA LINES XXVI</v>
      </c>
      <c r="E1655" t="s">
        <v>52</v>
      </c>
      <c r="F1655" t="s">
        <v>41</v>
      </c>
      <c r="G1655" t="s">
        <v>29</v>
      </c>
      <c r="I1655" t="s">
        <v>42</v>
      </c>
      <c r="J1655" s="2">
        <v>4438</v>
      </c>
      <c r="K1655" s="2">
        <v>97</v>
      </c>
      <c r="L1655" s="2">
        <v>2671</v>
      </c>
      <c r="P1655" t="s">
        <v>5672</v>
      </c>
      <c r="R1655" t="s">
        <v>32</v>
      </c>
      <c r="S1655" t="s">
        <v>33</v>
      </c>
      <c r="T1655" t="s">
        <v>34</v>
      </c>
      <c r="U1655" t="s">
        <v>35</v>
      </c>
      <c r="X1655" t="s">
        <v>34</v>
      </c>
      <c r="Y1655" t="s">
        <v>45</v>
      </c>
      <c r="Z1655" t="s">
        <v>5838</v>
      </c>
      <c r="AA1655" t="s">
        <v>38</v>
      </c>
    </row>
    <row r="1656" spans="1:27" hidden="1">
      <c r="A1656" t="s">
        <v>5839</v>
      </c>
      <c r="B1656" t="s">
        <v>5840</v>
      </c>
      <c r="C1656" t="e">
        <f>VLOOKUP(B1656,Sheet2!$A$2:$A$392,1,0)</f>
        <v>#N/A</v>
      </c>
      <c r="E1656" t="s">
        <v>40</v>
      </c>
      <c r="F1656" t="s">
        <v>41</v>
      </c>
      <c r="G1656" t="s">
        <v>158</v>
      </c>
      <c r="I1656" t="s">
        <v>42</v>
      </c>
      <c r="J1656" s="2">
        <v>7500</v>
      </c>
      <c r="K1656" s="3">
        <v>91.44</v>
      </c>
      <c r="L1656" s="2">
        <v>3222</v>
      </c>
      <c r="P1656" t="s">
        <v>74</v>
      </c>
      <c r="R1656" t="s">
        <v>42</v>
      </c>
      <c r="S1656" t="s">
        <v>33</v>
      </c>
      <c r="T1656" t="s">
        <v>34</v>
      </c>
      <c r="U1656" t="s">
        <v>35</v>
      </c>
      <c r="X1656" t="s">
        <v>34</v>
      </c>
      <c r="Y1656" t="s">
        <v>45</v>
      </c>
      <c r="Z1656" t="s">
        <v>5841</v>
      </c>
      <c r="AA1656" t="s">
        <v>38</v>
      </c>
    </row>
    <row r="1657" spans="1:27" hidden="1">
      <c r="A1657" t="s">
        <v>5842</v>
      </c>
      <c r="B1657" t="s">
        <v>5843</v>
      </c>
      <c r="C1657" t="e">
        <f>VLOOKUP(B1657,Sheet2!$A$2:$A$392,1,0)</f>
        <v>#N/A</v>
      </c>
      <c r="E1657" t="s">
        <v>1063</v>
      </c>
      <c r="F1657" t="s">
        <v>41</v>
      </c>
      <c r="G1657" t="s">
        <v>3473</v>
      </c>
      <c r="I1657" t="s">
        <v>42</v>
      </c>
      <c r="J1657" s="2">
        <v>5532</v>
      </c>
      <c r="K1657" s="3">
        <v>101.55</v>
      </c>
      <c r="L1657" s="2">
        <v>5532</v>
      </c>
      <c r="P1657" t="s">
        <v>5844</v>
      </c>
      <c r="S1657" t="s">
        <v>33</v>
      </c>
      <c r="T1657" t="s">
        <v>34</v>
      </c>
      <c r="X1657" t="s">
        <v>34</v>
      </c>
      <c r="Y1657" t="s">
        <v>117</v>
      </c>
      <c r="Z1657" t="s">
        <v>5845</v>
      </c>
      <c r="AA1657" t="s">
        <v>38</v>
      </c>
    </row>
    <row r="1658" spans="1:27" hidden="1">
      <c r="A1658" t="s">
        <v>5846</v>
      </c>
      <c r="B1658" t="s">
        <v>5847</v>
      </c>
      <c r="C1658" t="e">
        <f>VLOOKUP(B1658,Sheet2!$A$2:$A$392,1,0)</f>
        <v>#N/A</v>
      </c>
      <c r="E1658" t="s">
        <v>40</v>
      </c>
      <c r="G1658" t="s">
        <v>115</v>
      </c>
      <c r="I1658" t="s">
        <v>42</v>
      </c>
      <c r="J1658" s="2">
        <v>486</v>
      </c>
      <c r="K1658" s="3">
        <v>29.82</v>
      </c>
      <c r="L1658" s="2">
        <v>192</v>
      </c>
      <c r="P1658" t="s">
        <v>5848</v>
      </c>
      <c r="S1658" t="s">
        <v>33</v>
      </c>
      <c r="X1658" t="s">
        <v>34</v>
      </c>
      <c r="AA1658" t="s">
        <v>38</v>
      </c>
    </row>
    <row r="1659" spans="1:27">
      <c r="A1659" t="s">
        <v>5849</v>
      </c>
      <c r="B1659" t="s">
        <v>5850</v>
      </c>
      <c r="C1659" t="str">
        <f>VLOOKUP(B1659,Sheet2!$A$2:$A$392,1,0)</f>
        <v>TB. OCEANUS 201 / BG. OCEANUS 31</v>
      </c>
      <c r="E1659" t="s">
        <v>40</v>
      </c>
      <c r="F1659" t="s">
        <v>41</v>
      </c>
      <c r="G1659" t="s">
        <v>293</v>
      </c>
      <c r="J1659" s="2">
        <v>8000</v>
      </c>
      <c r="K1659" s="3">
        <v>91.44</v>
      </c>
      <c r="L1659" s="2">
        <v>3064</v>
      </c>
      <c r="M1659" s="2">
        <v>1518</v>
      </c>
      <c r="N1659" s="2">
        <v>6</v>
      </c>
      <c r="O1659" t="s">
        <v>294</v>
      </c>
      <c r="P1659" t="s">
        <v>5851</v>
      </c>
      <c r="R1659" t="s">
        <v>42</v>
      </c>
      <c r="S1659" t="s">
        <v>33</v>
      </c>
      <c r="U1659" t="s">
        <v>35</v>
      </c>
      <c r="W1659" t="s">
        <v>63</v>
      </c>
      <c r="X1659" t="s">
        <v>34</v>
      </c>
      <c r="Y1659" t="s">
        <v>64</v>
      </c>
      <c r="Z1659" t="s">
        <v>5852</v>
      </c>
      <c r="AA1659" t="s">
        <v>38</v>
      </c>
    </row>
    <row r="1660" spans="1:27">
      <c r="A1660" t="s">
        <v>5853</v>
      </c>
      <c r="B1660" t="s">
        <v>5854</v>
      </c>
      <c r="C1660" t="str">
        <f>VLOOKUP(B1660,Sheet2!$A$2:$A$392,1,0)</f>
        <v>TB. OCEANUS 203 / BG. OCEANUS 33</v>
      </c>
      <c r="E1660" t="s">
        <v>40</v>
      </c>
      <c r="F1660" t="s">
        <v>41</v>
      </c>
      <c r="G1660" t="s">
        <v>293</v>
      </c>
      <c r="J1660" s="2">
        <v>8000</v>
      </c>
      <c r="K1660">
        <v>91.5</v>
      </c>
      <c r="L1660" s="2">
        <v>3064</v>
      </c>
      <c r="M1660" s="2">
        <v>1518</v>
      </c>
      <c r="N1660">
        <v>5.5</v>
      </c>
      <c r="O1660" t="s">
        <v>294</v>
      </c>
      <c r="P1660" t="s">
        <v>5855</v>
      </c>
      <c r="R1660" t="s">
        <v>42</v>
      </c>
      <c r="S1660" t="s">
        <v>33</v>
      </c>
      <c r="U1660" t="s">
        <v>35</v>
      </c>
      <c r="W1660" t="s">
        <v>63</v>
      </c>
      <c r="X1660" t="s">
        <v>34</v>
      </c>
      <c r="Y1660" t="s">
        <v>64</v>
      </c>
      <c r="Z1660" t="s">
        <v>5856</v>
      </c>
      <c r="AA1660" t="s">
        <v>38</v>
      </c>
    </row>
    <row r="1661" spans="1:27" hidden="1">
      <c r="A1661" t="s">
        <v>5857</v>
      </c>
      <c r="B1661" t="s">
        <v>5858</v>
      </c>
      <c r="C1661" t="e">
        <f>VLOOKUP(B1661,Sheet2!$A$2:$A$392,1,0)</f>
        <v>#N/A</v>
      </c>
      <c r="E1661" t="s">
        <v>40</v>
      </c>
      <c r="F1661" t="s">
        <v>41</v>
      </c>
      <c r="G1661" t="s">
        <v>293</v>
      </c>
      <c r="J1661" s="2">
        <v>10000</v>
      </c>
      <c r="K1661" s="3">
        <v>100.58</v>
      </c>
      <c r="L1661" s="2">
        <v>4332</v>
      </c>
      <c r="O1661" t="s">
        <v>294</v>
      </c>
      <c r="P1661" t="s">
        <v>4371</v>
      </c>
      <c r="R1661" t="s">
        <v>42</v>
      </c>
      <c r="S1661" t="s">
        <v>33</v>
      </c>
      <c r="U1661" t="s">
        <v>44</v>
      </c>
      <c r="W1661" t="s">
        <v>63</v>
      </c>
      <c r="X1661" t="s">
        <v>34</v>
      </c>
      <c r="Y1661" t="s">
        <v>64</v>
      </c>
      <c r="Z1661" t="s">
        <v>5859</v>
      </c>
      <c r="AA1661" t="s">
        <v>38</v>
      </c>
    </row>
    <row r="1662" spans="1:27" hidden="1">
      <c r="A1662" t="s">
        <v>5860</v>
      </c>
      <c r="B1662" t="s">
        <v>5861</v>
      </c>
      <c r="C1662" t="e">
        <f>VLOOKUP(B1662,Sheet2!$A$2:$A$392,1,0)</f>
        <v>#N/A</v>
      </c>
      <c r="E1662" t="s">
        <v>40</v>
      </c>
      <c r="F1662" t="s">
        <v>41</v>
      </c>
      <c r="G1662" t="s">
        <v>610</v>
      </c>
      <c r="I1662" t="s">
        <v>42</v>
      </c>
      <c r="J1662" s="2">
        <v>8000</v>
      </c>
      <c r="K1662" s="3">
        <v>91.44</v>
      </c>
      <c r="L1662" s="2">
        <v>3089</v>
      </c>
      <c r="P1662" t="s">
        <v>5862</v>
      </c>
      <c r="R1662" t="s">
        <v>42</v>
      </c>
      <c r="S1662" t="s">
        <v>33</v>
      </c>
      <c r="T1662" t="s">
        <v>34</v>
      </c>
      <c r="U1662" t="s">
        <v>44</v>
      </c>
      <c r="W1662" t="s">
        <v>63</v>
      </c>
      <c r="X1662" t="s">
        <v>34</v>
      </c>
      <c r="Y1662" t="s">
        <v>64</v>
      </c>
      <c r="Z1662" t="s">
        <v>5863</v>
      </c>
      <c r="AA1662" t="s">
        <v>38</v>
      </c>
    </row>
    <row r="1663" spans="1:27" hidden="1">
      <c r="A1663" t="s">
        <v>5864</v>
      </c>
      <c r="B1663" t="s">
        <v>5865</v>
      </c>
      <c r="C1663" t="e">
        <f>VLOOKUP(B1663,Sheet2!$A$2:$A$392,1,0)</f>
        <v>#N/A</v>
      </c>
      <c r="E1663" t="s">
        <v>40</v>
      </c>
      <c r="F1663" t="s">
        <v>41</v>
      </c>
      <c r="G1663" t="s">
        <v>293</v>
      </c>
      <c r="J1663">
        <v>91.5</v>
      </c>
      <c r="K1663">
        <v>91.5</v>
      </c>
      <c r="L1663" s="2">
        <v>3276</v>
      </c>
      <c r="M1663" s="2">
        <v>2000</v>
      </c>
      <c r="O1663" t="s">
        <v>294</v>
      </c>
      <c r="P1663" t="s">
        <v>5866</v>
      </c>
      <c r="R1663" t="s">
        <v>42</v>
      </c>
      <c r="S1663" t="s">
        <v>33</v>
      </c>
      <c r="U1663" t="s">
        <v>35</v>
      </c>
      <c r="W1663" t="s">
        <v>63</v>
      </c>
      <c r="X1663" t="s">
        <v>34</v>
      </c>
      <c r="Y1663" t="s">
        <v>64</v>
      </c>
      <c r="Z1663" t="s">
        <v>5867</v>
      </c>
      <c r="AA1663" t="s">
        <v>38</v>
      </c>
    </row>
    <row r="1664" spans="1:27">
      <c r="A1664" t="s">
        <v>5868</v>
      </c>
      <c r="B1664" t="s">
        <v>5869</v>
      </c>
      <c r="C1664" t="str">
        <f>VLOOKUP(B1664,Sheet2!$A$2:$A$392,1,0)</f>
        <v>TB. PACIFIC SEVEN / BG. PACIFIC 3007</v>
      </c>
      <c r="E1664" t="s">
        <v>40</v>
      </c>
      <c r="F1664" t="s">
        <v>41</v>
      </c>
      <c r="G1664" t="s">
        <v>293</v>
      </c>
      <c r="J1664" s="2">
        <v>3249</v>
      </c>
      <c r="K1664" s="3">
        <v>91.44</v>
      </c>
      <c r="L1664" s="2">
        <v>3249</v>
      </c>
      <c r="O1664" t="s">
        <v>294</v>
      </c>
      <c r="P1664" t="s">
        <v>5870</v>
      </c>
      <c r="R1664" t="s">
        <v>42</v>
      </c>
      <c r="S1664" t="s">
        <v>33</v>
      </c>
      <c r="U1664" t="s">
        <v>44</v>
      </c>
      <c r="V1664" s="2">
        <v>1</v>
      </c>
      <c r="W1664" t="s">
        <v>63</v>
      </c>
      <c r="X1664" t="s">
        <v>34</v>
      </c>
      <c r="Y1664" t="s">
        <v>64</v>
      </c>
      <c r="Z1664" t="s">
        <v>5871</v>
      </c>
      <c r="AA1664" t="s">
        <v>38</v>
      </c>
    </row>
    <row r="1665" spans="1:27" hidden="1">
      <c r="A1665" t="s">
        <v>5872</v>
      </c>
      <c r="B1665" t="s">
        <v>5873</v>
      </c>
      <c r="C1665" t="e">
        <f>VLOOKUP(B1665,Sheet2!$A$2:$A$392,1,0)</f>
        <v>#N/A</v>
      </c>
      <c r="E1665" t="s">
        <v>40</v>
      </c>
      <c r="F1665" t="s">
        <v>41</v>
      </c>
      <c r="G1665" t="s">
        <v>610</v>
      </c>
      <c r="I1665" t="s">
        <v>42</v>
      </c>
      <c r="J1665" s="2">
        <v>3249</v>
      </c>
      <c r="K1665" s="3">
        <v>91.44</v>
      </c>
      <c r="L1665" s="2">
        <v>3249</v>
      </c>
      <c r="P1665" t="s">
        <v>5874</v>
      </c>
      <c r="R1665" t="s">
        <v>42</v>
      </c>
      <c r="S1665" t="s">
        <v>33</v>
      </c>
      <c r="T1665" t="s">
        <v>34</v>
      </c>
      <c r="U1665" t="s">
        <v>44</v>
      </c>
      <c r="W1665" t="s">
        <v>63</v>
      </c>
      <c r="X1665" t="s">
        <v>34</v>
      </c>
      <c r="Y1665" t="s">
        <v>64</v>
      </c>
      <c r="Z1665" t="s">
        <v>5875</v>
      </c>
      <c r="AA1665" t="s">
        <v>38</v>
      </c>
    </row>
    <row r="1666" spans="1:27" hidden="1">
      <c r="A1666" t="s">
        <v>5876</v>
      </c>
      <c r="B1666" t="s">
        <v>5877</v>
      </c>
      <c r="C1666" t="e">
        <f>VLOOKUP(B1666,Sheet2!$A$2:$A$392,1,0)</f>
        <v>#N/A</v>
      </c>
      <c r="E1666" t="s">
        <v>40</v>
      </c>
      <c r="F1666" t="s">
        <v>41</v>
      </c>
      <c r="G1666" t="s">
        <v>610</v>
      </c>
      <c r="I1666" t="s">
        <v>42</v>
      </c>
      <c r="J1666" s="2">
        <v>3270</v>
      </c>
      <c r="K1666" s="2">
        <v>91</v>
      </c>
      <c r="L1666" s="2">
        <v>3270</v>
      </c>
      <c r="P1666" t="s">
        <v>5878</v>
      </c>
      <c r="R1666" t="s">
        <v>42</v>
      </c>
      <c r="S1666" t="s">
        <v>33</v>
      </c>
      <c r="U1666" t="s">
        <v>44</v>
      </c>
      <c r="W1666" t="s">
        <v>63</v>
      </c>
      <c r="X1666" t="s">
        <v>34</v>
      </c>
      <c r="Y1666" t="s">
        <v>64</v>
      </c>
      <c r="Z1666" t="s">
        <v>5879</v>
      </c>
      <c r="AA1666" t="s">
        <v>38</v>
      </c>
    </row>
    <row r="1667" spans="1:27" hidden="1">
      <c r="A1667" t="s">
        <v>5880</v>
      </c>
      <c r="B1667" t="s">
        <v>5881</v>
      </c>
      <c r="C1667" t="e">
        <f>VLOOKUP(B1667,Sheet2!$A$2:$A$392,1,0)</f>
        <v>#N/A</v>
      </c>
      <c r="E1667" t="s">
        <v>40</v>
      </c>
      <c r="F1667" t="s">
        <v>41</v>
      </c>
      <c r="G1667" t="s">
        <v>610</v>
      </c>
      <c r="I1667" t="s">
        <v>42</v>
      </c>
      <c r="J1667" s="2">
        <v>8000</v>
      </c>
      <c r="K1667" s="3">
        <v>91.44</v>
      </c>
      <c r="L1667" s="2">
        <v>3270</v>
      </c>
      <c r="P1667" t="s">
        <v>5882</v>
      </c>
      <c r="R1667" t="s">
        <v>42</v>
      </c>
      <c r="S1667" t="s">
        <v>33</v>
      </c>
      <c r="T1667" t="s">
        <v>106</v>
      </c>
      <c r="U1667" t="s">
        <v>44</v>
      </c>
      <c r="W1667" t="s">
        <v>63</v>
      </c>
      <c r="X1667" t="s">
        <v>34</v>
      </c>
      <c r="Y1667" t="s">
        <v>64</v>
      </c>
      <c r="Z1667" t="s">
        <v>5883</v>
      </c>
      <c r="AA1667" t="s">
        <v>38</v>
      </c>
    </row>
    <row r="1668" spans="1:27" hidden="1">
      <c r="A1668" t="s">
        <v>5884</v>
      </c>
      <c r="B1668" t="s">
        <v>5885</v>
      </c>
      <c r="C1668" t="e">
        <f>VLOOKUP(B1668,Sheet2!$A$2:$A$392,1,0)</f>
        <v>#N/A</v>
      </c>
      <c r="E1668" t="s">
        <v>40</v>
      </c>
      <c r="F1668" t="s">
        <v>41</v>
      </c>
      <c r="G1668" t="s">
        <v>610</v>
      </c>
      <c r="J1668" s="2">
        <v>3270</v>
      </c>
      <c r="K1668" s="3">
        <v>91.44</v>
      </c>
      <c r="L1668" s="2">
        <v>3270</v>
      </c>
      <c r="P1668" t="s">
        <v>5886</v>
      </c>
      <c r="R1668" t="s">
        <v>42</v>
      </c>
      <c r="S1668" t="s">
        <v>33</v>
      </c>
      <c r="U1668" t="s">
        <v>44</v>
      </c>
      <c r="W1668" t="s">
        <v>63</v>
      </c>
      <c r="X1668" t="s">
        <v>34</v>
      </c>
      <c r="Y1668" t="s">
        <v>64</v>
      </c>
      <c r="Z1668" t="s">
        <v>5887</v>
      </c>
      <c r="AA1668" t="s">
        <v>38</v>
      </c>
    </row>
    <row r="1669" spans="1:27" hidden="1">
      <c r="A1669" t="s">
        <v>5888</v>
      </c>
      <c r="B1669" t="s">
        <v>5889</v>
      </c>
      <c r="C1669" t="e">
        <f>VLOOKUP(B1669,Sheet2!$A$2:$A$392,1,0)</f>
        <v>#N/A</v>
      </c>
      <c r="E1669" t="s">
        <v>40</v>
      </c>
      <c r="F1669" t="s">
        <v>41</v>
      </c>
      <c r="G1669" t="s">
        <v>610</v>
      </c>
      <c r="I1669" t="s">
        <v>42</v>
      </c>
      <c r="J1669" s="2">
        <v>8000</v>
      </c>
      <c r="K1669" s="3">
        <v>91.44</v>
      </c>
      <c r="L1669" s="2">
        <v>3270</v>
      </c>
      <c r="P1669" t="s">
        <v>5890</v>
      </c>
      <c r="R1669" t="s">
        <v>42</v>
      </c>
      <c r="S1669" t="s">
        <v>33</v>
      </c>
      <c r="U1669" t="s">
        <v>44</v>
      </c>
      <c r="W1669" t="s">
        <v>63</v>
      </c>
      <c r="X1669" t="s">
        <v>34</v>
      </c>
      <c r="Y1669" t="s">
        <v>64</v>
      </c>
      <c r="Z1669" t="s">
        <v>5891</v>
      </c>
      <c r="AA1669" t="s">
        <v>38</v>
      </c>
    </row>
    <row r="1670" spans="1:27">
      <c r="A1670" t="s">
        <v>5892</v>
      </c>
      <c r="B1670" t="s">
        <v>5893</v>
      </c>
      <c r="C1670" t="str">
        <f>VLOOKUP(B1670,Sheet2!$A$2:$A$392,1,0)</f>
        <v>TB. PACIFIC SIXTEEN BG. PACIFIC 3016</v>
      </c>
      <c r="E1670" t="s">
        <v>40</v>
      </c>
      <c r="F1670" t="s">
        <v>41</v>
      </c>
      <c r="G1670" t="s">
        <v>293</v>
      </c>
      <c r="J1670" s="2">
        <v>8000</v>
      </c>
      <c r="K1670" s="3">
        <v>91.44</v>
      </c>
      <c r="L1670" s="2">
        <v>3270</v>
      </c>
      <c r="O1670" t="s">
        <v>294</v>
      </c>
      <c r="P1670" t="s">
        <v>5894</v>
      </c>
      <c r="R1670" t="s">
        <v>42</v>
      </c>
      <c r="S1670" t="s">
        <v>33</v>
      </c>
      <c r="U1670" t="s">
        <v>44</v>
      </c>
      <c r="W1670" t="s">
        <v>63</v>
      </c>
      <c r="X1670" t="s">
        <v>34</v>
      </c>
      <c r="Y1670" t="s">
        <v>64</v>
      </c>
      <c r="Z1670" t="s">
        <v>5895</v>
      </c>
      <c r="AA1670" t="s">
        <v>38</v>
      </c>
    </row>
    <row r="1671" spans="1:27">
      <c r="A1671" t="s">
        <v>5896</v>
      </c>
      <c r="B1671" t="s">
        <v>5897</v>
      </c>
      <c r="C1671" t="str">
        <f>VLOOKUP(B1671,Sheet2!$A$2:$A$392,1,0)</f>
        <v>TB. PACIFIC SEVENTEEN / BG. PACIFIC 3017</v>
      </c>
      <c r="E1671" t="s">
        <v>40</v>
      </c>
      <c r="F1671" t="s">
        <v>41</v>
      </c>
      <c r="G1671" t="s">
        <v>293</v>
      </c>
      <c r="J1671" s="2">
        <v>8000</v>
      </c>
      <c r="K1671" s="3">
        <v>91.44</v>
      </c>
      <c r="L1671" s="2">
        <v>3269</v>
      </c>
      <c r="O1671" t="s">
        <v>294</v>
      </c>
      <c r="P1671" t="s">
        <v>5898</v>
      </c>
      <c r="R1671" t="s">
        <v>42</v>
      </c>
      <c r="S1671" t="s">
        <v>33</v>
      </c>
      <c r="U1671" t="s">
        <v>35</v>
      </c>
      <c r="W1671" t="s">
        <v>63</v>
      </c>
      <c r="X1671" t="s">
        <v>34</v>
      </c>
      <c r="Y1671" t="s">
        <v>64</v>
      </c>
      <c r="Z1671" t="s">
        <v>5899</v>
      </c>
      <c r="AA1671" t="s">
        <v>38</v>
      </c>
    </row>
    <row r="1672" spans="1:27" hidden="1">
      <c r="A1672" t="s">
        <v>5900</v>
      </c>
      <c r="B1672" t="s">
        <v>5901</v>
      </c>
      <c r="C1672" t="e">
        <f>VLOOKUP(B1672,Sheet2!$A$2:$A$392,1,0)</f>
        <v>#N/A</v>
      </c>
      <c r="E1672" t="s">
        <v>40</v>
      </c>
      <c r="F1672" t="s">
        <v>41</v>
      </c>
      <c r="G1672" t="s">
        <v>29</v>
      </c>
      <c r="I1672" t="s">
        <v>42</v>
      </c>
      <c r="J1672" s="2">
        <v>8000</v>
      </c>
      <c r="K1672" s="2">
        <v>91</v>
      </c>
      <c r="L1672" s="2">
        <v>3336</v>
      </c>
      <c r="P1672" t="s">
        <v>5902</v>
      </c>
      <c r="R1672" t="s">
        <v>42</v>
      </c>
      <c r="S1672" t="s">
        <v>33</v>
      </c>
      <c r="T1672" t="s">
        <v>34</v>
      </c>
      <c r="U1672" t="s">
        <v>35</v>
      </c>
      <c r="X1672" t="s">
        <v>34</v>
      </c>
      <c r="Y1672" t="s">
        <v>45</v>
      </c>
      <c r="Z1672" t="s">
        <v>5903</v>
      </c>
      <c r="AA1672" t="s">
        <v>38</v>
      </c>
    </row>
    <row r="1673" spans="1:27" hidden="1">
      <c r="A1673" t="s">
        <v>5904</v>
      </c>
      <c r="B1673" t="s">
        <v>5905</v>
      </c>
      <c r="C1673" t="e">
        <f>VLOOKUP(B1673,Sheet2!$A$2:$A$392,1,0)</f>
        <v>#N/A</v>
      </c>
      <c r="E1673" t="s">
        <v>40</v>
      </c>
      <c r="F1673" t="s">
        <v>41</v>
      </c>
      <c r="G1673" t="s">
        <v>29</v>
      </c>
      <c r="I1673" t="s">
        <v>42</v>
      </c>
      <c r="J1673" s="2">
        <v>8000</v>
      </c>
      <c r="K1673" s="3">
        <v>87.78</v>
      </c>
      <c r="L1673" s="2">
        <v>3322</v>
      </c>
      <c r="M1673" s="2">
        <v>2060</v>
      </c>
      <c r="P1673" t="s">
        <v>5906</v>
      </c>
      <c r="R1673" t="s">
        <v>42</v>
      </c>
      <c r="S1673" t="s">
        <v>33</v>
      </c>
      <c r="T1673" t="s">
        <v>34</v>
      </c>
      <c r="U1673" t="s">
        <v>35</v>
      </c>
      <c r="X1673" t="s">
        <v>34</v>
      </c>
      <c r="Y1673" t="s">
        <v>45</v>
      </c>
      <c r="Z1673" t="s">
        <v>5907</v>
      </c>
      <c r="AA1673" t="s">
        <v>38</v>
      </c>
    </row>
    <row r="1674" spans="1:27" hidden="1">
      <c r="A1674" t="s">
        <v>5908</v>
      </c>
      <c r="B1674" t="s">
        <v>5909</v>
      </c>
      <c r="C1674" t="e">
        <f>VLOOKUP(B1674,Sheet2!$A$2:$A$392,1,0)</f>
        <v>#N/A</v>
      </c>
      <c r="E1674" t="s">
        <v>40</v>
      </c>
      <c r="F1674" t="s">
        <v>41</v>
      </c>
      <c r="G1674" t="s">
        <v>29</v>
      </c>
      <c r="J1674" s="2">
        <v>8000</v>
      </c>
      <c r="K1674" s="3">
        <v>91.44</v>
      </c>
      <c r="L1674" s="2">
        <v>3271</v>
      </c>
      <c r="O1674" t="s">
        <v>482</v>
      </c>
      <c r="P1674" t="s">
        <v>5910</v>
      </c>
      <c r="R1674" t="s">
        <v>42</v>
      </c>
      <c r="S1674" t="s">
        <v>33</v>
      </c>
      <c r="U1674" t="s">
        <v>44</v>
      </c>
      <c r="X1674" t="s">
        <v>34</v>
      </c>
      <c r="Y1674" t="s">
        <v>45</v>
      </c>
      <c r="Z1674" t="s">
        <v>5911</v>
      </c>
      <c r="AA1674" t="s">
        <v>38</v>
      </c>
    </row>
    <row r="1675" spans="1:27">
      <c r="A1675" t="s">
        <v>5912</v>
      </c>
      <c r="B1675" t="s">
        <v>5913</v>
      </c>
      <c r="C1675" t="str">
        <f>VLOOKUP(B1675,Sheet2!$A$2:$A$392,1,0)</f>
        <v>TB. PACIFIC TWENTY ONE / BG.  PACIFIC 3021</v>
      </c>
      <c r="E1675" t="s">
        <v>40</v>
      </c>
      <c r="F1675" t="s">
        <v>41</v>
      </c>
      <c r="G1675" t="s">
        <v>293</v>
      </c>
      <c r="J1675" s="2">
        <v>8000</v>
      </c>
      <c r="K1675" s="3">
        <v>91.44</v>
      </c>
      <c r="L1675" s="2">
        <v>3271</v>
      </c>
      <c r="O1675" t="s">
        <v>294</v>
      </c>
      <c r="P1675" t="s">
        <v>5914</v>
      </c>
      <c r="R1675" t="s">
        <v>42</v>
      </c>
      <c r="S1675" t="s">
        <v>33</v>
      </c>
      <c r="U1675" t="s">
        <v>44</v>
      </c>
      <c r="W1675" t="s">
        <v>63</v>
      </c>
      <c r="X1675" t="s">
        <v>34</v>
      </c>
      <c r="Y1675" t="s">
        <v>64</v>
      </c>
      <c r="Z1675" t="s">
        <v>5915</v>
      </c>
      <c r="AA1675" t="s">
        <v>38</v>
      </c>
    </row>
    <row r="1676" spans="1:27" hidden="1">
      <c r="A1676" t="s">
        <v>5916</v>
      </c>
      <c r="B1676" t="s">
        <v>5917</v>
      </c>
      <c r="C1676" t="e">
        <f>VLOOKUP(B1676,Sheet2!$A$2:$A$392,1,0)</f>
        <v>#N/A</v>
      </c>
      <c r="E1676" t="s">
        <v>40</v>
      </c>
      <c r="F1676" t="s">
        <v>41</v>
      </c>
      <c r="G1676" t="s">
        <v>610</v>
      </c>
      <c r="I1676" t="s">
        <v>42</v>
      </c>
      <c r="J1676" s="2">
        <v>8000</v>
      </c>
      <c r="K1676" s="3">
        <v>91.44</v>
      </c>
      <c r="L1676" s="2">
        <v>3271</v>
      </c>
      <c r="P1676" t="s">
        <v>4349</v>
      </c>
      <c r="R1676" t="s">
        <v>42</v>
      </c>
      <c r="S1676" t="s">
        <v>33</v>
      </c>
      <c r="T1676" t="s">
        <v>34</v>
      </c>
      <c r="U1676" t="s">
        <v>44</v>
      </c>
      <c r="W1676" t="s">
        <v>63</v>
      </c>
      <c r="X1676" t="s">
        <v>34</v>
      </c>
      <c r="Y1676" t="s">
        <v>64</v>
      </c>
      <c r="Z1676" t="s">
        <v>5918</v>
      </c>
      <c r="AA1676" t="s">
        <v>38</v>
      </c>
    </row>
    <row r="1677" spans="1:27" hidden="1">
      <c r="A1677" t="s">
        <v>5919</v>
      </c>
      <c r="B1677" t="s">
        <v>5920</v>
      </c>
      <c r="C1677" t="e">
        <f>VLOOKUP(B1677,Sheet2!$A$2:$A$392,1,0)</f>
        <v>#N/A</v>
      </c>
      <c r="E1677" t="s">
        <v>40</v>
      </c>
      <c r="F1677" t="s">
        <v>41</v>
      </c>
      <c r="G1677" t="s">
        <v>610</v>
      </c>
      <c r="I1677" t="s">
        <v>42</v>
      </c>
      <c r="J1677" s="2">
        <v>8000</v>
      </c>
      <c r="K1677" s="3">
        <v>91.44</v>
      </c>
      <c r="L1677" s="2">
        <v>3271</v>
      </c>
      <c r="P1677" t="s">
        <v>5921</v>
      </c>
      <c r="R1677" t="s">
        <v>42</v>
      </c>
      <c r="S1677" t="s">
        <v>33</v>
      </c>
      <c r="T1677" t="s">
        <v>34</v>
      </c>
      <c r="U1677" t="s">
        <v>44</v>
      </c>
      <c r="W1677" t="s">
        <v>63</v>
      </c>
      <c r="X1677" t="s">
        <v>34</v>
      </c>
      <c r="Y1677" t="s">
        <v>64</v>
      </c>
      <c r="Z1677" t="s">
        <v>5922</v>
      </c>
      <c r="AA1677" t="s">
        <v>38</v>
      </c>
    </row>
    <row r="1678" spans="1:27" hidden="1">
      <c r="A1678" t="s">
        <v>5923</v>
      </c>
      <c r="B1678" t="s">
        <v>5924</v>
      </c>
      <c r="C1678" t="e">
        <f>VLOOKUP(B1678,Sheet2!$A$2:$A$392,1,0)</f>
        <v>#N/A</v>
      </c>
      <c r="E1678" t="s">
        <v>40</v>
      </c>
      <c r="F1678" t="s">
        <v>41</v>
      </c>
      <c r="G1678" t="s">
        <v>293</v>
      </c>
      <c r="J1678" s="2">
        <v>8000</v>
      </c>
      <c r="K1678" s="2">
        <v>92</v>
      </c>
      <c r="L1678" s="2">
        <v>3271</v>
      </c>
      <c r="O1678" t="s">
        <v>294</v>
      </c>
      <c r="P1678" t="s">
        <v>5925</v>
      </c>
      <c r="R1678" t="s">
        <v>42</v>
      </c>
      <c r="S1678" t="s">
        <v>33</v>
      </c>
      <c r="U1678" t="s">
        <v>44</v>
      </c>
      <c r="W1678" t="s">
        <v>63</v>
      </c>
      <c r="X1678" t="s">
        <v>34</v>
      </c>
      <c r="Y1678" t="s">
        <v>64</v>
      </c>
      <c r="Z1678" t="s">
        <v>5926</v>
      </c>
      <c r="AA1678" t="s">
        <v>38</v>
      </c>
    </row>
    <row r="1679" spans="1:27" hidden="1">
      <c r="A1679" t="s">
        <v>5927</v>
      </c>
      <c r="B1679" t="s">
        <v>5928</v>
      </c>
      <c r="C1679" t="e">
        <f>VLOOKUP(B1679,Sheet2!$A$2:$A$392,1,0)</f>
        <v>#N/A</v>
      </c>
      <c r="E1679" t="s">
        <v>40</v>
      </c>
      <c r="F1679" t="s">
        <v>41</v>
      </c>
      <c r="G1679" t="s">
        <v>29</v>
      </c>
      <c r="I1679" t="s">
        <v>42</v>
      </c>
      <c r="J1679" s="2">
        <v>8000</v>
      </c>
      <c r="K1679" s="2">
        <v>87</v>
      </c>
      <c r="L1679" s="2">
        <v>3379</v>
      </c>
      <c r="P1679" t="s">
        <v>5929</v>
      </c>
      <c r="R1679" t="s">
        <v>42</v>
      </c>
      <c r="S1679" t="s">
        <v>33</v>
      </c>
      <c r="T1679" t="s">
        <v>34</v>
      </c>
      <c r="U1679" t="s">
        <v>35</v>
      </c>
      <c r="X1679" t="s">
        <v>34</v>
      </c>
      <c r="Y1679" t="s">
        <v>45</v>
      </c>
      <c r="Z1679" t="s">
        <v>5903</v>
      </c>
      <c r="AA1679" t="s">
        <v>38</v>
      </c>
    </row>
    <row r="1680" spans="1:27" hidden="1">
      <c r="A1680" t="s">
        <v>5930</v>
      </c>
      <c r="B1680" t="s">
        <v>5931</v>
      </c>
      <c r="C1680" t="e">
        <f>VLOOKUP(B1680,Sheet2!$A$2:$A$392,1,0)</f>
        <v>#N/A</v>
      </c>
      <c r="E1680" t="s">
        <v>40</v>
      </c>
      <c r="F1680" t="s">
        <v>41</v>
      </c>
      <c r="G1680" t="s">
        <v>610</v>
      </c>
      <c r="J1680" s="2">
        <v>8000</v>
      </c>
      <c r="K1680" s="3">
        <v>91.44</v>
      </c>
      <c r="L1680" s="2">
        <v>3271</v>
      </c>
      <c r="O1680" t="s">
        <v>5308</v>
      </c>
      <c r="P1680" t="s">
        <v>74</v>
      </c>
      <c r="R1680" t="s">
        <v>42</v>
      </c>
      <c r="S1680" t="s">
        <v>33</v>
      </c>
      <c r="U1680" t="s">
        <v>44</v>
      </c>
      <c r="W1680" t="s">
        <v>63</v>
      </c>
      <c r="X1680" t="s">
        <v>34</v>
      </c>
      <c r="Y1680" t="s">
        <v>64</v>
      </c>
      <c r="Z1680" t="s">
        <v>5932</v>
      </c>
      <c r="AA1680" t="s">
        <v>38</v>
      </c>
    </row>
    <row r="1681" spans="1:27" hidden="1">
      <c r="A1681" t="s">
        <v>5933</v>
      </c>
      <c r="B1681" t="s">
        <v>5934</v>
      </c>
      <c r="C1681" t="e">
        <f>VLOOKUP(B1681,Sheet2!$A$2:$A$392,1,0)</f>
        <v>#N/A</v>
      </c>
      <c r="E1681" t="s">
        <v>40</v>
      </c>
      <c r="F1681" t="s">
        <v>41</v>
      </c>
      <c r="G1681" t="s">
        <v>293</v>
      </c>
      <c r="J1681" s="2">
        <v>8000</v>
      </c>
      <c r="K1681" s="2">
        <v>92</v>
      </c>
      <c r="L1681" s="2">
        <v>3272</v>
      </c>
      <c r="O1681" t="s">
        <v>294</v>
      </c>
      <c r="P1681" t="s">
        <v>5935</v>
      </c>
      <c r="R1681" t="s">
        <v>42</v>
      </c>
      <c r="S1681" t="s">
        <v>33</v>
      </c>
      <c r="U1681" t="s">
        <v>44</v>
      </c>
      <c r="W1681" t="s">
        <v>63</v>
      </c>
      <c r="X1681" t="s">
        <v>34</v>
      </c>
      <c r="Y1681" t="s">
        <v>64</v>
      </c>
      <c r="Z1681" t="s">
        <v>5936</v>
      </c>
      <c r="AA1681" t="s">
        <v>38</v>
      </c>
    </row>
    <row r="1682" spans="1:27">
      <c r="A1682" t="s">
        <v>5937</v>
      </c>
      <c r="B1682" t="s">
        <v>5938</v>
      </c>
      <c r="C1682" t="str">
        <f>VLOOKUP(B1682,Sheet2!$A$2:$A$392,1,0)</f>
        <v>TB. PACIFIC THIRTY FIVE / BG. PACIFIC 3035</v>
      </c>
      <c r="E1682" t="s">
        <v>40</v>
      </c>
      <c r="F1682" t="s">
        <v>41</v>
      </c>
      <c r="I1682" t="s">
        <v>42</v>
      </c>
      <c r="J1682" s="2">
        <v>8500</v>
      </c>
      <c r="K1682" s="3">
        <v>91.44</v>
      </c>
      <c r="L1682" s="2">
        <v>3271</v>
      </c>
      <c r="P1682" t="s">
        <v>5939</v>
      </c>
      <c r="R1682" t="s">
        <v>42</v>
      </c>
      <c r="S1682" t="s">
        <v>33</v>
      </c>
      <c r="T1682" t="s">
        <v>34</v>
      </c>
      <c r="U1682" t="s">
        <v>35</v>
      </c>
      <c r="W1682" t="s">
        <v>63</v>
      </c>
      <c r="X1682" t="s">
        <v>34</v>
      </c>
      <c r="Y1682" t="s">
        <v>64</v>
      </c>
      <c r="Z1682" t="s">
        <v>5940</v>
      </c>
      <c r="AA1682" t="s">
        <v>38</v>
      </c>
    </row>
    <row r="1683" spans="1:27">
      <c r="A1683" t="s">
        <v>5941</v>
      </c>
      <c r="B1683" t="s">
        <v>5942</v>
      </c>
      <c r="C1683" t="str">
        <f>VLOOKUP(B1683,Sheet2!$A$2:$A$392,1,0)</f>
        <v>TB. PACIFIC THIRTY SIX / BG. PACIFIC 3036</v>
      </c>
      <c r="E1683" t="s">
        <v>40</v>
      </c>
      <c r="F1683" t="s">
        <v>41</v>
      </c>
      <c r="G1683" t="s">
        <v>293</v>
      </c>
      <c r="J1683" s="2">
        <v>8000</v>
      </c>
      <c r="K1683" s="3">
        <v>91.44</v>
      </c>
      <c r="L1683" s="2">
        <v>3271</v>
      </c>
      <c r="M1683" s="2">
        <v>1518</v>
      </c>
      <c r="N1683" s="2">
        <v>6</v>
      </c>
      <c r="O1683" t="s">
        <v>294</v>
      </c>
      <c r="P1683" t="s">
        <v>5943</v>
      </c>
      <c r="R1683" t="s">
        <v>42</v>
      </c>
      <c r="S1683" t="s">
        <v>33</v>
      </c>
      <c r="U1683" t="s">
        <v>35</v>
      </c>
      <c r="W1683" t="s">
        <v>63</v>
      </c>
      <c r="X1683" t="s">
        <v>34</v>
      </c>
      <c r="Y1683" t="s">
        <v>64</v>
      </c>
      <c r="Z1683" t="s">
        <v>5944</v>
      </c>
      <c r="AA1683" t="s">
        <v>38</v>
      </c>
    </row>
    <row r="1684" spans="1:27" hidden="1">
      <c r="A1684" t="s">
        <v>5945</v>
      </c>
      <c r="B1684" t="s">
        <v>5946</v>
      </c>
      <c r="C1684" t="e">
        <f>VLOOKUP(B1684,Sheet2!$A$2:$A$392,1,0)</f>
        <v>#N/A</v>
      </c>
      <c r="E1684" t="s">
        <v>40</v>
      </c>
      <c r="F1684" t="s">
        <v>41</v>
      </c>
      <c r="G1684" t="s">
        <v>29</v>
      </c>
      <c r="I1684" t="s">
        <v>42</v>
      </c>
      <c r="J1684" s="2">
        <v>8000</v>
      </c>
      <c r="K1684" s="2">
        <v>91</v>
      </c>
      <c r="L1684" s="2">
        <v>3425</v>
      </c>
      <c r="P1684" t="s">
        <v>5947</v>
      </c>
      <c r="R1684" t="s">
        <v>42</v>
      </c>
      <c r="S1684" t="s">
        <v>33</v>
      </c>
      <c r="T1684" t="s">
        <v>34</v>
      </c>
      <c r="U1684" t="s">
        <v>35</v>
      </c>
      <c r="X1684" t="s">
        <v>34</v>
      </c>
      <c r="Y1684" t="s">
        <v>45</v>
      </c>
      <c r="Z1684" t="s">
        <v>5948</v>
      </c>
      <c r="AA1684" t="s">
        <v>38</v>
      </c>
    </row>
    <row r="1685" spans="1:27" hidden="1">
      <c r="A1685" t="s">
        <v>5949</v>
      </c>
      <c r="B1685" t="s">
        <v>5950</v>
      </c>
      <c r="C1685" t="e">
        <f>VLOOKUP(B1685,Sheet2!$A$2:$A$392,1,0)</f>
        <v>#N/A</v>
      </c>
      <c r="E1685" t="s">
        <v>40</v>
      </c>
      <c r="F1685" t="s">
        <v>41</v>
      </c>
      <c r="G1685" t="s">
        <v>29</v>
      </c>
      <c r="I1685" t="s">
        <v>42</v>
      </c>
      <c r="J1685" s="2">
        <v>5000</v>
      </c>
      <c r="K1685" s="3">
        <v>79.010000000000005</v>
      </c>
      <c r="L1685" s="2">
        <v>2332</v>
      </c>
      <c r="M1685" s="2">
        <v>1200</v>
      </c>
      <c r="P1685" t="s">
        <v>5951</v>
      </c>
      <c r="R1685" t="s">
        <v>42</v>
      </c>
      <c r="S1685" t="s">
        <v>33</v>
      </c>
      <c r="T1685" t="s">
        <v>34</v>
      </c>
      <c r="U1685" t="s">
        <v>35</v>
      </c>
      <c r="X1685" t="s">
        <v>34</v>
      </c>
      <c r="Y1685" t="s">
        <v>45</v>
      </c>
      <c r="Z1685" t="s">
        <v>5952</v>
      </c>
      <c r="AA1685" t="s">
        <v>38</v>
      </c>
    </row>
    <row r="1686" spans="1:27">
      <c r="A1686" t="s">
        <v>5953</v>
      </c>
      <c r="B1686" t="s">
        <v>5954</v>
      </c>
      <c r="C1686" t="str">
        <f>VLOOKUP(B1686,Sheet2!$A$2:$A$392,1,0)</f>
        <v>TB. PACIFIC NINETEEN / BG. PACIFIC 3019</v>
      </c>
      <c r="E1686" t="s">
        <v>40</v>
      </c>
      <c r="F1686" t="s">
        <v>41</v>
      </c>
      <c r="G1686" t="s">
        <v>293</v>
      </c>
      <c r="J1686" s="2">
        <v>8000</v>
      </c>
      <c r="K1686" s="3">
        <v>91.44</v>
      </c>
      <c r="L1686" s="2">
        <v>3272</v>
      </c>
      <c r="O1686" t="s">
        <v>294</v>
      </c>
      <c r="P1686" t="s">
        <v>5955</v>
      </c>
      <c r="R1686" t="s">
        <v>42</v>
      </c>
      <c r="S1686" t="s">
        <v>33</v>
      </c>
      <c r="U1686" t="s">
        <v>44</v>
      </c>
      <c r="W1686" t="s">
        <v>63</v>
      </c>
      <c r="X1686" t="s">
        <v>34</v>
      </c>
      <c r="Y1686" t="s">
        <v>64</v>
      </c>
      <c r="Z1686" t="s">
        <v>5956</v>
      </c>
      <c r="AA1686" t="s">
        <v>38</v>
      </c>
    </row>
    <row r="1687" spans="1:27" hidden="1">
      <c r="A1687" t="s">
        <v>5957</v>
      </c>
      <c r="B1687" t="s">
        <v>5958</v>
      </c>
      <c r="C1687" t="e">
        <f>VLOOKUP(B1687,Sheet2!$A$2:$A$392,1,0)</f>
        <v>#N/A</v>
      </c>
      <c r="E1687" t="s">
        <v>52</v>
      </c>
      <c r="F1687" t="s">
        <v>28</v>
      </c>
      <c r="G1687" t="s">
        <v>59</v>
      </c>
      <c r="I1687" t="s">
        <v>301</v>
      </c>
      <c r="J1687">
        <v>44.002000000000002</v>
      </c>
      <c r="K1687" s="2">
        <v>186</v>
      </c>
      <c r="L1687" s="2">
        <v>30974</v>
      </c>
      <c r="O1687" t="s">
        <v>61</v>
      </c>
      <c r="P1687" t="s">
        <v>5959</v>
      </c>
      <c r="R1687" t="s">
        <v>301</v>
      </c>
      <c r="S1687" t="s">
        <v>33</v>
      </c>
      <c r="T1687" t="s">
        <v>34</v>
      </c>
      <c r="U1687" t="s">
        <v>35</v>
      </c>
      <c r="W1687" t="s">
        <v>63</v>
      </c>
      <c r="X1687" t="s">
        <v>34</v>
      </c>
      <c r="Y1687" t="s">
        <v>64</v>
      </c>
      <c r="Z1687" t="s">
        <v>5960</v>
      </c>
      <c r="AA1687" t="s">
        <v>38</v>
      </c>
    </row>
    <row r="1688" spans="1:27" hidden="1">
      <c r="A1688" t="s">
        <v>5961</v>
      </c>
      <c r="B1688" t="s">
        <v>5962</v>
      </c>
      <c r="C1688" t="e">
        <f>VLOOKUP(B1688,Sheet2!$A$2:$A$392,1,0)</f>
        <v>#N/A</v>
      </c>
      <c r="E1688" t="s">
        <v>40</v>
      </c>
      <c r="F1688" t="s">
        <v>41</v>
      </c>
      <c r="G1688" t="s">
        <v>293</v>
      </c>
      <c r="J1688" s="2">
        <v>8000</v>
      </c>
      <c r="K1688" s="3">
        <v>91.44</v>
      </c>
      <c r="L1688" s="2">
        <v>3107</v>
      </c>
      <c r="O1688" t="s">
        <v>294</v>
      </c>
      <c r="P1688" t="s">
        <v>5963</v>
      </c>
      <c r="R1688" t="s">
        <v>42</v>
      </c>
      <c r="S1688" t="s">
        <v>33</v>
      </c>
      <c r="U1688" t="s">
        <v>44</v>
      </c>
      <c r="W1688" t="s">
        <v>63</v>
      </c>
      <c r="X1688" t="s">
        <v>34</v>
      </c>
      <c r="Y1688" t="s">
        <v>64</v>
      </c>
      <c r="Z1688" t="s">
        <v>5964</v>
      </c>
      <c r="AA1688" t="s">
        <v>38</v>
      </c>
    </row>
    <row r="1689" spans="1:27" hidden="1">
      <c r="A1689" t="s">
        <v>5965</v>
      </c>
      <c r="B1689" t="s">
        <v>5966</v>
      </c>
      <c r="C1689" t="e">
        <f>VLOOKUP(B1689,Sheet2!$A$2:$A$392,1,0)</f>
        <v>#N/A</v>
      </c>
      <c r="E1689" t="s">
        <v>40</v>
      </c>
      <c r="F1689" t="s">
        <v>41</v>
      </c>
      <c r="G1689" t="s">
        <v>29</v>
      </c>
      <c r="J1689" s="2">
        <v>973</v>
      </c>
      <c r="K1689" s="2">
        <v>118</v>
      </c>
      <c r="L1689" s="2">
        <v>3238</v>
      </c>
      <c r="M1689" s="2">
        <v>0</v>
      </c>
      <c r="O1689" t="s">
        <v>482</v>
      </c>
      <c r="P1689" t="s">
        <v>5965</v>
      </c>
      <c r="R1689" t="s">
        <v>42</v>
      </c>
      <c r="S1689" t="s">
        <v>33</v>
      </c>
      <c r="U1689" t="s">
        <v>35</v>
      </c>
      <c r="X1689" t="s">
        <v>34</v>
      </c>
      <c r="Y1689" t="s">
        <v>45</v>
      </c>
      <c r="Z1689" t="s">
        <v>5967</v>
      </c>
      <c r="AA1689" t="s">
        <v>38</v>
      </c>
    </row>
    <row r="1690" spans="1:27" hidden="1">
      <c r="A1690" t="s">
        <v>5968</v>
      </c>
      <c r="B1690" t="s">
        <v>5969</v>
      </c>
      <c r="C1690" t="e">
        <f>VLOOKUP(B1690,Sheet2!$A$2:$A$392,1,0)</f>
        <v>#N/A</v>
      </c>
      <c r="E1690" t="s">
        <v>40</v>
      </c>
      <c r="F1690" t="s">
        <v>41</v>
      </c>
      <c r="G1690" t="s">
        <v>29</v>
      </c>
      <c r="I1690" t="s">
        <v>42</v>
      </c>
      <c r="J1690" s="2">
        <v>8000</v>
      </c>
      <c r="K1690" s="2">
        <v>91</v>
      </c>
      <c r="L1690" s="2">
        <v>3317</v>
      </c>
      <c r="P1690" t="s">
        <v>5970</v>
      </c>
      <c r="R1690" t="s">
        <v>42</v>
      </c>
      <c r="S1690" t="s">
        <v>33</v>
      </c>
      <c r="T1690" t="s">
        <v>34</v>
      </c>
      <c r="U1690" t="s">
        <v>35</v>
      </c>
      <c r="X1690" t="s">
        <v>34</v>
      </c>
      <c r="Y1690" t="s">
        <v>45</v>
      </c>
      <c r="Z1690" t="s">
        <v>5971</v>
      </c>
      <c r="AA1690" t="s">
        <v>38</v>
      </c>
    </row>
    <row r="1691" spans="1:27" hidden="1">
      <c r="A1691" t="s">
        <v>5972</v>
      </c>
      <c r="B1691" t="s">
        <v>5973</v>
      </c>
      <c r="C1691" t="e">
        <f>VLOOKUP(B1691,Sheet2!$A$2:$A$392,1,0)</f>
        <v>#N/A</v>
      </c>
      <c r="E1691" t="s">
        <v>40</v>
      </c>
      <c r="F1691" t="s">
        <v>41</v>
      </c>
      <c r="G1691" t="s">
        <v>610</v>
      </c>
      <c r="I1691" t="s">
        <v>42</v>
      </c>
      <c r="J1691" s="2">
        <v>9600</v>
      </c>
      <c r="K1691">
        <v>97.2</v>
      </c>
      <c r="L1691" s="2">
        <v>4162</v>
      </c>
      <c r="P1691" t="s">
        <v>5974</v>
      </c>
      <c r="R1691" t="s">
        <v>42</v>
      </c>
      <c r="S1691" t="s">
        <v>33</v>
      </c>
      <c r="T1691" t="s">
        <v>34</v>
      </c>
      <c r="U1691" t="s">
        <v>44</v>
      </c>
      <c r="W1691" t="s">
        <v>63</v>
      </c>
      <c r="X1691" t="s">
        <v>34</v>
      </c>
      <c r="Y1691" t="s">
        <v>64</v>
      </c>
      <c r="Z1691" t="s">
        <v>5975</v>
      </c>
      <c r="AA1691" t="s">
        <v>38</v>
      </c>
    </row>
    <row r="1692" spans="1:27">
      <c r="A1692" t="s">
        <v>5976</v>
      </c>
      <c r="B1692" t="s">
        <v>5977</v>
      </c>
      <c r="C1692" t="str">
        <f>VLOOKUP(B1692,Sheet2!$A$2:$A$392,1,0)</f>
        <v>TB. PACIFIC TWENTY SIX / BG. PACIFIC 3026</v>
      </c>
      <c r="E1692" t="s">
        <v>40</v>
      </c>
      <c r="F1692" t="s">
        <v>41</v>
      </c>
      <c r="G1692" t="s">
        <v>415</v>
      </c>
      <c r="J1692" s="2">
        <v>8000</v>
      </c>
      <c r="K1692" s="3">
        <v>91.44</v>
      </c>
      <c r="L1692" s="2">
        <v>3271</v>
      </c>
      <c r="O1692" t="s">
        <v>1606</v>
      </c>
      <c r="P1692" t="s">
        <v>5978</v>
      </c>
      <c r="R1692" t="s">
        <v>42</v>
      </c>
      <c r="S1692" t="s">
        <v>33</v>
      </c>
      <c r="U1692" t="s">
        <v>44</v>
      </c>
      <c r="W1692" t="s">
        <v>63</v>
      </c>
      <c r="X1692" t="s">
        <v>34</v>
      </c>
      <c r="Y1692" t="s">
        <v>64</v>
      </c>
      <c r="Z1692" t="s">
        <v>5979</v>
      </c>
      <c r="AA1692" t="s">
        <v>38</v>
      </c>
    </row>
    <row r="1693" spans="1:27" hidden="1">
      <c r="A1693" t="s">
        <v>5980</v>
      </c>
      <c r="B1693" t="s">
        <v>5981</v>
      </c>
      <c r="C1693" t="e">
        <f>VLOOKUP(B1693,Sheet2!$A$2:$A$392,1,0)</f>
        <v>#N/A</v>
      </c>
      <c r="E1693" t="s">
        <v>27</v>
      </c>
      <c r="F1693" t="s">
        <v>41</v>
      </c>
      <c r="G1693" t="s">
        <v>29</v>
      </c>
      <c r="J1693" s="2">
        <v>1000</v>
      </c>
      <c r="K1693" s="2">
        <v>59</v>
      </c>
      <c r="L1693" s="2">
        <v>400</v>
      </c>
      <c r="P1693" t="s">
        <v>5980</v>
      </c>
      <c r="R1693" t="s">
        <v>42</v>
      </c>
      <c r="S1693" t="s">
        <v>33</v>
      </c>
      <c r="U1693" t="s">
        <v>35</v>
      </c>
      <c r="X1693" t="s">
        <v>34</v>
      </c>
      <c r="Y1693" t="s">
        <v>45</v>
      </c>
      <c r="Z1693" t="s">
        <v>5982</v>
      </c>
      <c r="AA1693" t="s">
        <v>38</v>
      </c>
    </row>
    <row r="1694" spans="1:27" hidden="1">
      <c r="A1694" t="s">
        <v>5983</v>
      </c>
      <c r="B1694" t="s">
        <v>5984</v>
      </c>
      <c r="C1694" t="e">
        <f>VLOOKUP(B1694,Sheet2!$A$2:$A$392,1,0)</f>
        <v>#N/A</v>
      </c>
      <c r="E1694" t="s">
        <v>40</v>
      </c>
      <c r="G1694" t="s">
        <v>857</v>
      </c>
      <c r="I1694" t="s">
        <v>42</v>
      </c>
      <c r="J1694" s="2">
        <v>200</v>
      </c>
      <c r="K1694" s="3">
        <v>21.12</v>
      </c>
      <c r="L1694" s="2">
        <v>135</v>
      </c>
      <c r="P1694" t="s">
        <v>5985</v>
      </c>
      <c r="S1694" t="s">
        <v>33</v>
      </c>
      <c r="X1694" t="s">
        <v>34</v>
      </c>
      <c r="AA1694" t="s">
        <v>38</v>
      </c>
    </row>
    <row r="1695" spans="1:27" hidden="1">
      <c r="A1695" t="s">
        <v>5986</v>
      </c>
      <c r="B1695" t="s">
        <v>5987</v>
      </c>
      <c r="C1695" t="e">
        <f>VLOOKUP(B1695,Sheet2!$A$2:$A$392,1,0)</f>
        <v>#N/A</v>
      </c>
      <c r="E1695" t="s">
        <v>40</v>
      </c>
      <c r="F1695" t="s">
        <v>41</v>
      </c>
      <c r="G1695" t="s">
        <v>158</v>
      </c>
      <c r="I1695" t="s">
        <v>42</v>
      </c>
      <c r="J1695" s="2">
        <v>92</v>
      </c>
      <c r="K1695" s="2">
        <v>2912</v>
      </c>
      <c r="L1695" s="2">
        <v>305</v>
      </c>
      <c r="P1695" t="s">
        <v>5988</v>
      </c>
      <c r="R1695" t="s">
        <v>42</v>
      </c>
      <c r="S1695" t="s">
        <v>33</v>
      </c>
      <c r="T1695" t="s">
        <v>34</v>
      </c>
      <c r="U1695" t="s">
        <v>35</v>
      </c>
      <c r="X1695" t="s">
        <v>147</v>
      </c>
      <c r="Y1695" t="s">
        <v>45</v>
      </c>
      <c r="Z1695" t="s">
        <v>5989</v>
      </c>
      <c r="AA1695" t="s">
        <v>38</v>
      </c>
    </row>
    <row r="1696" spans="1:27" hidden="1">
      <c r="A1696" t="s">
        <v>5990</v>
      </c>
      <c r="B1696" t="s">
        <v>5991</v>
      </c>
      <c r="C1696" t="e">
        <f>VLOOKUP(B1696,Sheet2!$A$2:$A$392,1,0)</f>
        <v>#N/A</v>
      </c>
      <c r="E1696" t="s">
        <v>40</v>
      </c>
      <c r="F1696" t="s">
        <v>41</v>
      </c>
      <c r="G1696" t="s">
        <v>29</v>
      </c>
      <c r="J1696" s="2">
        <v>11240</v>
      </c>
      <c r="K1696" s="3">
        <v>97.59</v>
      </c>
      <c r="L1696" s="2">
        <v>3746</v>
      </c>
      <c r="O1696" t="s">
        <v>482</v>
      </c>
      <c r="P1696" t="s">
        <v>4581</v>
      </c>
      <c r="R1696" t="s">
        <v>42</v>
      </c>
      <c r="S1696" t="s">
        <v>33</v>
      </c>
      <c r="U1696" t="s">
        <v>44</v>
      </c>
      <c r="V1696" s="2">
        <v>1</v>
      </c>
      <c r="X1696" t="s">
        <v>34</v>
      </c>
      <c r="Y1696" t="s">
        <v>45</v>
      </c>
      <c r="Z1696" t="s">
        <v>5992</v>
      </c>
      <c r="AA1696" t="s">
        <v>38</v>
      </c>
    </row>
    <row r="1697" spans="1:27" hidden="1">
      <c r="A1697" t="s">
        <v>5993</v>
      </c>
      <c r="B1697" t="s">
        <v>5994</v>
      </c>
      <c r="C1697" t="e">
        <f>VLOOKUP(B1697,Sheet2!$A$2:$A$392,1,0)</f>
        <v>#N/A</v>
      </c>
      <c r="E1697" t="s">
        <v>40</v>
      </c>
      <c r="F1697" t="s">
        <v>41</v>
      </c>
      <c r="G1697" t="s">
        <v>29</v>
      </c>
      <c r="I1697" t="s">
        <v>42</v>
      </c>
      <c r="J1697" s="2">
        <v>6000</v>
      </c>
      <c r="K1697" s="2">
        <v>87</v>
      </c>
      <c r="L1697" s="2">
        <v>3156</v>
      </c>
      <c r="M1697" s="2">
        <v>2000</v>
      </c>
      <c r="P1697" t="s">
        <v>185</v>
      </c>
      <c r="R1697" t="s">
        <v>42</v>
      </c>
      <c r="S1697" t="s">
        <v>33</v>
      </c>
      <c r="T1697" t="s">
        <v>34</v>
      </c>
      <c r="U1697" t="s">
        <v>35</v>
      </c>
      <c r="X1697" t="s">
        <v>34</v>
      </c>
      <c r="Y1697" t="s">
        <v>45</v>
      </c>
      <c r="Z1697" t="s">
        <v>5995</v>
      </c>
      <c r="AA1697" t="s">
        <v>38</v>
      </c>
    </row>
    <row r="1698" spans="1:27" hidden="1">
      <c r="A1698" t="s">
        <v>5996</v>
      </c>
      <c r="B1698" t="s">
        <v>5997</v>
      </c>
      <c r="C1698" t="e">
        <f>VLOOKUP(B1698,Sheet2!$A$2:$A$392,1,0)</f>
        <v>#N/A</v>
      </c>
      <c r="E1698" t="s">
        <v>27</v>
      </c>
      <c r="F1698" t="s">
        <v>41</v>
      </c>
      <c r="G1698" t="s">
        <v>29</v>
      </c>
      <c r="I1698" t="s">
        <v>42</v>
      </c>
      <c r="J1698" s="2">
        <v>1200</v>
      </c>
      <c r="K1698" s="2">
        <v>61</v>
      </c>
      <c r="L1698" s="2">
        <v>1322</v>
      </c>
      <c r="M1698" s="2">
        <v>10000</v>
      </c>
      <c r="N1698" s="2">
        <v>5</v>
      </c>
      <c r="O1698" t="s">
        <v>254</v>
      </c>
      <c r="P1698" t="s">
        <v>5996</v>
      </c>
      <c r="R1698" t="s">
        <v>42</v>
      </c>
      <c r="S1698" t="s">
        <v>33</v>
      </c>
      <c r="T1698" t="s">
        <v>34</v>
      </c>
      <c r="U1698" t="s">
        <v>44</v>
      </c>
      <c r="X1698" t="s">
        <v>34</v>
      </c>
      <c r="Y1698" t="s">
        <v>142</v>
      </c>
      <c r="Z1698" t="s">
        <v>5998</v>
      </c>
      <c r="AA1698" t="s">
        <v>38</v>
      </c>
    </row>
    <row r="1699" spans="1:27" hidden="1">
      <c r="A1699" t="s">
        <v>5999</v>
      </c>
      <c r="B1699" t="s">
        <v>6000</v>
      </c>
      <c r="C1699" t="e">
        <f>VLOOKUP(B1699,Sheet2!$A$2:$A$392,1,0)</f>
        <v>#N/A</v>
      </c>
      <c r="E1699" t="s">
        <v>27</v>
      </c>
      <c r="F1699" t="s">
        <v>41</v>
      </c>
      <c r="G1699" t="s">
        <v>29</v>
      </c>
      <c r="I1699" t="s">
        <v>42</v>
      </c>
      <c r="J1699" s="2">
        <v>2257</v>
      </c>
      <c r="K1699" s="2">
        <v>69</v>
      </c>
      <c r="L1699" s="2">
        <v>1240</v>
      </c>
      <c r="P1699" t="s">
        <v>6001</v>
      </c>
      <c r="R1699" t="s">
        <v>244</v>
      </c>
      <c r="S1699" t="s">
        <v>33</v>
      </c>
      <c r="T1699" t="s">
        <v>34</v>
      </c>
      <c r="U1699" t="s">
        <v>35</v>
      </c>
      <c r="W1699" t="s">
        <v>165</v>
      </c>
      <c r="X1699" t="s">
        <v>34</v>
      </c>
      <c r="Y1699" t="s">
        <v>245</v>
      </c>
      <c r="Z1699" t="s">
        <v>6002</v>
      </c>
      <c r="AA1699" t="s">
        <v>38</v>
      </c>
    </row>
    <row r="1700" spans="1:27" hidden="1">
      <c r="A1700" t="s">
        <v>6003</v>
      </c>
      <c r="B1700" t="s">
        <v>6004</v>
      </c>
      <c r="C1700" t="e">
        <f>VLOOKUP(B1700,Sheet2!$A$2:$A$392,1,0)</f>
        <v>#N/A</v>
      </c>
      <c r="E1700" t="s">
        <v>27</v>
      </c>
      <c r="F1700" t="s">
        <v>41</v>
      </c>
      <c r="G1700" t="s">
        <v>29</v>
      </c>
      <c r="J1700" s="2">
        <v>4122</v>
      </c>
      <c r="K1700" s="2">
        <v>84</v>
      </c>
      <c r="L1700" s="2">
        <v>2864</v>
      </c>
      <c r="P1700" t="s">
        <v>6005</v>
      </c>
      <c r="R1700" t="s">
        <v>32</v>
      </c>
      <c r="S1700" t="s">
        <v>33</v>
      </c>
      <c r="U1700" t="s">
        <v>35</v>
      </c>
      <c r="V1700" s="2">
        <v>2</v>
      </c>
      <c r="X1700" t="s">
        <v>34</v>
      </c>
      <c r="Y1700" t="s">
        <v>45</v>
      </c>
      <c r="Z1700" t="s">
        <v>6006</v>
      </c>
      <c r="AA1700" t="s">
        <v>38</v>
      </c>
    </row>
    <row r="1701" spans="1:27" hidden="1">
      <c r="A1701" t="s">
        <v>6007</v>
      </c>
      <c r="B1701" t="s">
        <v>6008</v>
      </c>
      <c r="C1701" t="e">
        <f>VLOOKUP(B1701,Sheet2!$A$2:$A$392,1,0)</f>
        <v>#N/A</v>
      </c>
      <c r="E1701" t="s">
        <v>27</v>
      </c>
      <c r="G1701" t="s">
        <v>210</v>
      </c>
      <c r="I1701" t="s">
        <v>42</v>
      </c>
      <c r="J1701" s="2">
        <v>290</v>
      </c>
      <c r="K1701" s="3">
        <v>29.55</v>
      </c>
      <c r="L1701" s="2">
        <v>104</v>
      </c>
      <c r="P1701" t="s">
        <v>6009</v>
      </c>
      <c r="S1701" t="s">
        <v>33</v>
      </c>
      <c r="X1701" t="s">
        <v>34</v>
      </c>
      <c r="Y1701" t="s">
        <v>96</v>
      </c>
      <c r="Z1701" t="s">
        <v>6010</v>
      </c>
      <c r="AA1701" t="s">
        <v>38</v>
      </c>
    </row>
    <row r="1702" spans="1:27" hidden="1">
      <c r="A1702" t="s">
        <v>6011</v>
      </c>
      <c r="B1702" t="s">
        <v>6012</v>
      </c>
      <c r="C1702" t="e">
        <f>VLOOKUP(B1702,Sheet2!$A$2:$A$392,1,0)</f>
        <v>#N/A</v>
      </c>
      <c r="E1702" t="s">
        <v>40</v>
      </c>
      <c r="F1702" t="s">
        <v>41</v>
      </c>
      <c r="G1702" t="s">
        <v>29</v>
      </c>
      <c r="J1702" s="2">
        <v>5000</v>
      </c>
      <c r="K1702" s="2">
        <v>82</v>
      </c>
      <c r="L1702" s="2">
        <v>2307</v>
      </c>
      <c r="P1702" t="s">
        <v>185</v>
      </c>
      <c r="R1702" t="s">
        <v>42</v>
      </c>
      <c r="S1702" t="s">
        <v>33</v>
      </c>
      <c r="U1702" t="s">
        <v>35</v>
      </c>
      <c r="X1702" t="s">
        <v>34</v>
      </c>
      <c r="Y1702" t="s">
        <v>45</v>
      </c>
      <c r="Z1702" t="s">
        <v>6013</v>
      </c>
      <c r="AA1702" t="s">
        <v>38</v>
      </c>
    </row>
    <row r="1703" spans="1:27" hidden="1">
      <c r="A1703" t="s">
        <v>6014</v>
      </c>
      <c r="B1703" t="s">
        <v>6015</v>
      </c>
      <c r="C1703" t="e">
        <f>VLOOKUP(B1703,Sheet2!$A$2:$A$392,1,0)</f>
        <v>#N/A</v>
      </c>
      <c r="E1703" t="s">
        <v>40</v>
      </c>
      <c r="F1703" t="s">
        <v>41</v>
      </c>
      <c r="G1703" t="s">
        <v>29</v>
      </c>
      <c r="I1703" t="s">
        <v>42</v>
      </c>
      <c r="J1703" s="2">
        <v>7500</v>
      </c>
      <c r="K1703" s="2">
        <v>87</v>
      </c>
      <c r="L1703" s="2">
        <v>3350</v>
      </c>
      <c r="P1703" t="s">
        <v>185</v>
      </c>
      <c r="R1703" t="s">
        <v>42</v>
      </c>
      <c r="S1703" t="s">
        <v>33</v>
      </c>
      <c r="T1703" t="s">
        <v>34</v>
      </c>
      <c r="U1703" t="s">
        <v>44</v>
      </c>
      <c r="W1703" t="s">
        <v>165</v>
      </c>
      <c r="X1703" t="s">
        <v>34</v>
      </c>
      <c r="Y1703" t="s">
        <v>245</v>
      </c>
      <c r="Z1703" t="s">
        <v>6016</v>
      </c>
      <c r="AA1703" t="s">
        <v>38</v>
      </c>
    </row>
    <row r="1704" spans="1:27" hidden="1">
      <c r="A1704" t="s">
        <v>6017</v>
      </c>
      <c r="B1704" t="s">
        <v>6018</v>
      </c>
      <c r="C1704" t="e">
        <f>VLOOKUP(B1704,Sheet2!$A$2:$A$392,1,0)</f>
        <v>#N/A</v>
      </c>
      <c r="E1704" t="s">
        <v>40</v>
      </c>
      <c r="F1704" t="s">
        <v>41</v>
      </c>
      <c r="G1704" t="s">
        <v>29</v>
      </c>
      <c r="I1704" t="s">
        <v>42</v>
      </c>
      <c r="J1704" s="2">
        <v>6000</v>
      </c>
      <c r="K1704" s="2">
        <v>82</v>
      </c>
      <c r="L1704" s="2">
        <v>2260</v>
      </c>
      <c r="N1704" s="2">
        <v>4</v>
      </c>
      <c r="P1704" t="s">
        <v>185</v>
      </c>
      <c r="R1704" t="s">
        <v>42</v>
      </c>
      <c r="S1704" t="s">
        <v>33</v>
      </c>
      <c r="T1704" t="s">
        <v>34</v>
      </c>
      <c r="U1704" t="s">
        <v>35</v>
      </c>
      <c r="X1704" t="s">
        <v>34</v>
      </c>
      <c r="Y1704" t="s">
        <v>45</v>
      </c>
      <c r="Z1704" t="s">
        <v>5541</v>
      </c>
      <c r="AA1704" t="s">
        <v>38</v>
      </c>
    </row>
    <row r="1705" spans="1:27" hidden="1">
      <c r="A1705" t="s">
        <v>6019</v>
      </c>
      <c r="B1705" t="s">
        <v>6020</v>
      </c>
      <c r="C1705" t="e">
        <f>VLOOKUP(B1705,Sheet2!$A$2:$A$392,1,0)</f>
        <v>#N/A</v>
      </c>
      <c r="E1705" t="s">
        <v>40</v>
      </c>
      <c r="F1705" t="s">
        <v>41</v>
      </c>
      <c r="G1705" t="s">
        <v>29</v>
      </c>
      <c r="I1705" t="s">
        <v>42</v>
      </c>
      <c r="J1705" s="2">
        <v>5000</v>
      </c>
      <c r="K1705" s="2">
        <v>82</v>
      </c>
      <c r="L1705" s="2">
        <v>2282</v>
      </c>
      <c r="M1705" s="2">
        <v>1280</v>
      </c>
      <c r="P1705" t="s">
        <v>185</v>
      </c>
      <c r="R1705" t="s">
        <v>42</v>
      </c>
      <c r="S1705" t="s">
        <v>33</v>
      </c>
      <c r="T1705" t="s">
        <v>34</v>
      </c>
      <c r="U1705" t="s">
        <v>35</v>
      </c>
      <c r="X1705" t="s">
        <v>34</v>
      </c>
      <c r="Y1705" t="s">
        <v>45</v>
      </c>
      <c r="Z1705" t="s">
        <v>6021</v>
      </c>
      <c r="AA1705" t="s">
        <v>38</v>
      </c>
    </row>
    <row r="1706" spans="1:27" hidden="1">
      <c r="A1706" t="s">
        <v>6022</v>
      </c>
      <c r="B1706" t="s">
        <v>4693</v>
      </c>
      <c r="C1706" t="e">
        <f>VLOOKUP(B1706,Sheet2!$A$2:$A$392,1,0)</f>
        <v>#N/A</v>
      </c>
      <c r="E1706" t="s">
        <v>40</v>
      </c>
      <c r="F1706" t="s">
        <v>41</v>
      </c>
      <c r="G1706" t="s">
        <v>29</v>
      </c>
      <c r="J1706" s="2">
        <v>8000</v>
      </c>
      <c r="K1706" s="2">
        <v>87</v>
      </c>
      <c r="L1706" s="2">
        <v>3305</v>
      </c>
      <c r="P1706" t="s">
        <v>185</v>
      </c>
      <c r="R1706" t="s">
        <v>42</v>
      </c>
      <c r="S1706" t="s">
        <v>33</v>
      </c>
      <c r="U1706" t="s">
        <v>44</v>
      </c>
      <c r="X1706" t="s">
        <v>34</v>
      </c>
      <c r="Y1706" t="s">
        <v>378</v>
      </c>
      <c r="Z1706" t="s">
        <v>6023</v>
      </c>
      <c r="AA1706" t="s">
        <v>38</v>
      </c>
    </row>
    <row r="1707" spans="1:27" hidden="1">
      <c r="A1707" t="s">
        <v>6024</v>
      </c>
      <c r="B1707" t="s">
        <v>6025</v>
      </c>
      <c r="C1707" t="e">
        <f>VLOOKUP(B1707,Sheet2!$A$2:$A$392,1,0)</f>
        <v>#N/A</v>
      </c>
      <c r="E1707" t="s">
        <v>40</v>
      </c>
      <c r="F1707" t="s">
        <v>41</v>
      </c>
      <c r="G1707" t="s">
        <v>29</v>
      </c>
      <c r="I1707" t="s">
        <v>42</v>
      </c>
      <c r="J1707" s="2">
        <v>5000</v>
      </c>
      <c r="K1707" s="2">
        <v>67</v>
      </c>
      <c r="L1707" s="2">
        <v>1479</v>
      </c>
      <c r="P1707" t="s">
        <v>185</v>
      </c>
      <c r="R1707" t="s">
        <v>42</v>
      </c>
      <c r="S1707" t="s">
        <v>33</v>
      </c>
      <c r="T1707" t="s">
        <v>34</v>
      </c>
      <c r="U1707" t="s">
        <v>35</v>
      </c>
      <c r="X1707" t="s">
        <v>34</v>
      </c>
      <c r="Y1707" t="s">
        <v>45</v>
      </c>
      <c r="Z1707" t="s">
        <v>6026</v>
      </c>
      <c r="AA1707" t="s">
        <v>38</v>
      </c>
    </row>
    <row r="1708" spans="1:27" hidden="1">
      <c r="A1708" t="s">
        <v>6027</v>
      </c>
      <c r="B1708" t="s">
        <v>6028</v>
      </c>
      <c r="C1708" t="e">
        <f>VLOOKUP(B1708,Sheet2!$A$2:$A$392,1,0)</f>
        <v>#N/A</v>
      </c>
      <c r="E1708" t="s">
        <v>40</v>
      </c>
      <c r="F1708" t="s">
        <v>41</v>
      </c>
      <c r="G1708" t="s">
        <v>415</v>
      </c>
      <c r="I1708" t="s">
        <v>42</v>
      </c>
      <c r="J1708" s="2">
        <v>7767</v>
      </c>
      <c r="K1708" s="3">
        <v>91.44</v>
      </c>
      <c r="L1708" s="2">
        <v>3107</v>
      </c>
      <c r="O1708" t="s">
        <v>1606</v>
      </c>
      <c r="P1708" t="s">
        <v>4655</v>
      </c>
      <c r="R1708" t="s">
        <v>42</v>
      </c>
      <c r="S1708" t="s">
        <v>33</v>
      </c>
      <c r="T1708" t="s">
        <v>34</v>
      </c>
      <c r="U1708" t="s">
        <v>35</v>
      </c>
      <c r="W1708" t="s">
        <v>63</v>
      </c>
      <c r="X1708" t="s">
        <v>34</v>
      </c>
      <c r="Y1708" t="s">
        <v>64</v>
      </c>
      <c r="Z1708" t="s">
        <v>6029</v>
      </c>
      <c r="AA1708" t="s">
        <v>38</v>
      </c>
    </row>
    <row r="1709" spans="1:27" hidden="1">
      <c r="A1709" t="s">
        <v>6030</v>
      </c>
      <c r="B1709" t="s">
        <v>2351</v>
      </c>
      <c r="C1709" t="e">
        <f>VLOOKUP(B1709,Sheet2!$A$2:$A$392,1,0)</f>
        <v>#N/A</v>
      </c>
      <c r="E1709" t="s">
        <v>27</v>
      </c>
      <c r="F1709" t="s">
        <v>41</v>
      </c>
      <c r="G1709" t="s">
        <v>415</v>
      </c>
      <c r="I1709" t="s">
        <v>42</v>
      </c>
      <c r="J1709" s="2">
        <v>4109</v>
      </c>
      <c r="K1709">
        <v>97.4</v>
      </c>
      <c r="L1709" s="2">
        <v>3810</v>
      </c>
      <c r="N1709" s="2">
        <v>8</v>
      </c>
      <c r="O1709" t="s">
        <v>1606</v>
      </c>
      <c r="P1709" t="s">
        <v>6031</v>
      </c>
      <c r="R1709" t="s">
        <v>42</v>
      </c>
      <c r="S1709" t="s">
        <v>33</v>
      </c>
      <c r="T1709" t="s">
        <v>34</v>
      </c>
      <c r="U1709" t="s">
        <v>44</v>
      </c>
      <c r="V1709" s="2">
        <v>1</v>
      </c>
      <c r="W1709" t="s">
        <v>63</v>
      </c>
      <c r="X1709" t="s">
        <v>34</v>
      </c>
      <c r="Y1709" t="s">
        <v>64</v>
      </c>
      <c r="Z1709" t="s">
        <v>6032</v>
      </c>
      <c r="AA1709" t="s">
        <v>38</v>
      </c>
    </row>
    <row r="1710" spans="1:27" hidden="1">
      <c r="A1710" t="s">
        <v>6033</v>
      </c>
      <c r="B1710" t="s">
        <v>6034</v>
      </c>
      <c r="C1710" t="e">
        <f>VLOOKUP(B1710,Sheet2!$A$2:$A$392,1,0)</f>
        <v>#N/A</v>
      </c>
      <c r="E1710" t="s">
        <v>40</v>
      </c>
      <c r="F1710" t="s">
        <v>41</v>
      </c>
      <c r="G1710" t="s">
        <v>29</v>
      </c>
      <c r="J1710" s="2">
        <v>8000</v>
      </c>
      <c r="K1710" s="2">
        <v>87</v>
      </c>
      <c r="L1710" s="2">
        <v>3355</v>
      </c>
      <c r="P1710" t="s">
        <v>6035</v>
      </c>
      <c r="R1710" t="s">
        <v>42</v>
      </c>
      <c r="S1710" t="s">
        <v>33</v>
      </c>
      <c r="U1710" t="s">
        <v>35</v>
      </c>
      <c r="X1710" t="s">
        <v>34</v>
      </c>
      <c r="Y1710" t="s">
        <v>45</v>
      </c>
      <c r="Z1710" t="s">
        <v>6036</v>
      </c>
      <c r="AA1710" t="s">
        <v>38</v>
      </c>
    </row>
    <row r="1711" spans="1:27">
      <c r="A1711" t="s">
        <v>6037</v>
      </c>
      <c r="B1711" t="s">
        <v>6038</v>
      </c>
      <c r="C1711" t="str">
        <f>VLOOKUP(B1711,Sheet2!$A$2:$A$392,1,0)</f>
        <v>TB. SYUKUR 36 / BG. SYUKUR 37</v>
      </c>
      <c r="E1711" t="s">
        <v>40</v>
      </c>
      <c r="F1711" t="s">
        <v>41</v>
      </c>
      <c r="G1711" t="s">
        <v>29</v>
      </c>
      <c r="I1711" t="s">
        <v>42</v>
      </c>
      <c r="J1711" s="2">
        <v>8000</v>
      </c>
      <c r="K1711" s="2">
        <v>87</v>
      </c>
      <c r="L1711" s="2">
        <v>3385</v>
      </c>
      <c r="P1711" t="s">
        <v>185</v>
      </c>
      <c r="R1711" t="s">
        <v>42</v>
      </c>
      <c r="S1711" t="s">
        <v>33</v>
      </c>
      <c r="T1711" t="s">
        <v>34</v>
      </c>
      <c r="U1711" t="s">
        <v>44</v>
      </c>
      <c r="W1711" t="s">
        <v>165</v>
      </c>
      <c r="X1711" t="s">
        <v>34</v>
      </c>
      <c r="Y1711" t="s">
        <v>245</v>
      </c>
      <c r="Z1711" t="s">
        <v>2077</v>
      </c>
      <c r="AA1711" t="s">
        <v>38</v>
      </c>
    </row>
    <row r="1712" spans="1:27" hidden="1">
      <c r="A1712" t="s">
        <v>6039</v>
      </c>
      <c r="B1712" t="s">
        <v>6040</v>
      </c>
      <c r="C1712" t="e">
        <f>VLOOKUP(B1712,Sheet2!$A$2:$A$392,1,0)</f>
        <v>#N/A</v>
      </c>
      <c r="E1712" t="s">
        <v>40</v>
      </c>
      <c r="F1712" t="s">
        <v>41</v>
      </c>
      <c r="G1712" t="s">
        <v>29</v>
      </c>
      <c r="I1712" t="s">
        <v>42</v>
      </c>
      <c r="J1712" s="2">
        <v>5000</v>
      </c>
      <c r="K1712" s="2">
        <v>76</v>
      </c>
      <c r="L1712" s="2">
        <v>2037</v>
      </c>
      <c r="P1712" t="s">
        <v>6041</v>
      </c>
      <c r="R1712" t="s">
        <v>42</v>
      </c>
      <c r="S1712" t="s">
        <v>33</v>
      </c>
      <c r="T1712" t="s">
        <v>34</v>
      </c>
      <c r="U1712" t="s">
        <v>35</v>
      </c>
      <c r="X1712" t="s">
        <v>34</v>
      </c>
      <c r="Y1712" t="s">
        <v>45</v>
      </c>
      <c r="Z1712" t="s">
        <v>2676</v>
      </c>
      <c r="AA1712" t="s">
        <v>38</v>
      </c>
    </row>
    <row r="1713" spans="1:27" hidden="1">
      <c r="A1713" t="s">
        <v>6042</v>
      </c>
      <c r="B1713" t="s">
        <v>6043</v>
      </c>
      <c r="C1713" t="e">
        <f>VLOOKUP(B1713,Sheet2!$A$2:$A$392,1,0)</f>
        <v>#N/A</v>
      </c>
      <c r="E1713" t="s">
        <v>40</v>
      </c>
      <c r="F1713" t="s">
        <v>41</v>
      </c>
      <c r="G1713" t="s">
        <v>415</v>
      </c>
      <c r="I1713" t="s">
        <v>42</v>
      </c>
      <c r="J1713" s="2">
        <v>5000</v>
      </c>
      <c r="K1713" s="3">
        <v>85.34</v>
      </c>
      <c r="L1713" s="2">
        <v>2587</v>
      </c>
      <c r="P1713" t="s">
        <v>6044</v>
      </c>
      <c r="R1713" t="s">
        <v>42</v>
      </c>
      <c r="S1713" t="s">
        <v>33</v>
      </c>
      <c r="T1713" t="s">
        <v>34</v>
      </c>
      <c r="U1713" t="s">
        <v>44</v>
      </c>
      <c r="V1713" s="2">
        <v>1</v>
      </c>
      <c r="W1713" t="s">
        <v>63</v>
      </c>
      <c r="X1713" t="s">
        <v>34</v>
      </c>
      <c r="Y1713" t="s">
        <v>64</v>
      </c>
      <c r="Z1713" t="s">
        <v>6045</v>
      </c>
      <c r="AA1713" t="s">
        <v>38</v>
      </c>
    </row>
    <row r="1714" spans="1:27" hidden="1">
      <c r="A1714" t="s">
        <v>6046</v>
      </c>
      <c r="B1714" t="s">
        <v>6047</v>
      </c>
      <c r="C1714" t="e">
        <f>VLOOKUP(B1714,Sheet2!$A$2:$A$392,1,0)</f>
        <v>#N/A</v>
      </c>
      <c r="E1714" t="s">
        <v>40</v>
      </c>
      <c r="F1714" t="s">
        <v>41</v>
      </c>
      <c r="G1714" t="s">
        <v>29</v>
      </c>
      <c r="I1714" t="s">
        <v>42</v>
      </c>
      <c r="J1714" s="2">
        <v>1500</v>
      </c>
      <c r="K1714" s="2">
        <v>52</v>
      </c>
      <c r="L1714" s="2">
        <v>734</v>
      </c>
      <c r="N1714" s="2">
        <v>3</v>
      </c>
      <c r="P1714" t="s">
        <v>185</v>
      </c>
      <c r="R1714" t="s">
        <v>42</v>
      </c>
      <c r="S1714" t="s">
        <v>33</v>
      </c>
      <c r="T1714" t="s">
        <v>34</v>
      </c>
      <c r="U1714" t="s">
        <v>35</v>
      </c>
      <c r="X1714" t="s">
        <v>34</v>
      </c>
      <c r="Y1714" t="s">
        <v>45</v>
      </c>
      <c r="Z1714" t="s">
        <v>1850</v>
      </c>
      <c r="AA1714" t="s">
        <v>38</v>
      </c>
    </row>
    <row r="1715" spans="1:27" hidden="1">
      <c r="A1715" t="s">
        <v>6048</v>
      </c>
      <c r="B1715" t="s">
        <v>6049</v>
      </c>
      <c r="C1715" t="e">
        <f>VLOOKUP(B1715,Sheet2!$A$2:$A$392,1,0)</f>
        <v>#N/A</v>
      </c>
      <c r="E1715" t="s">
        <v>249</v>
      </c>
      <c r="G1715" t="s">
        <v>5270</v>
      </c>
      <c r="I1715" t="s">
        <v>42</v>
      </c>
      <c r="J1715" s="2">
        <v>5500</v>
      </c>
      <c r="K1715" s="2">
        <v>113</v>
      </c>
      <c r="L1715" s="2">
        <v>4811</v>
      </c>
      <c r="P1715" t="s">
        <v>6050</v>
      </c>
      <c r="S1715" t="s">
        <v>33</v>
      </c>
      <c r="X1715" t="s">
        <v>34</v>
      </c>
      <c r="AA1715" t="s">
        <v>38</v>
      </c>
    </row>
    <row r="1716" spans="1:27">
      <c r="A1716" t="s">
        <v>6051</v>
      </c>
      <c r="B1716" t="s">
        <v>6052</v>
      </c>
      <c r="C1716" t="str">
        <f>VLOOKUP(B1716,Sheet2!$A$2:$A$392,1,0)</f>
        <v>TRITON SHIP</v>
      </c>
      <c r="E1716" t="s">
        <v>27</v>
      </c>
      <c r="F1716" t="s">
        <v>41</v>
      </c>
      <c r="G1716" t="s">
        <v>1968</v>
      </c>
      <c r="I1716" t="s">
        <v>42</v>
      </c>
      <c r="J1716" s="2">
        <v>2000</v>
      </c>
      <c r="K1716" s="2">
        <v>71</v>
      </c>
      <c r="L1716" s="2">
        <v>1274</v>
      </c>
      <c r="M1716" s="2">
        <v>1000</v>
      </c>
      <c r="N1716" s="2">
        <v>5</v>
      </c>
      <c r="O1716" t="s">
        <v>281</v>
      </c>
      <c r="P1716" t="s">
        <v>6053</v>
      </c>
      <c r="R1716" t="s">
        <v>42</v>
      </c>
      <c r="S1716" t="s">
        <v>33</v>
      </c>
      <c r="T1716" t="s">
        <v>34</v>
      </c>
      <c r="U1716" t="s">
        <v>44</v>
      </c>
      <c r="V1716" s="2">
        <v>1</v>
      </c>
      <c r="W1716" t="s">
        <v>63</v>
      </c>
      <c r="X1716" t="s">
        <v>34</v>
      </c>
      <c r="Y1716" t="s">
        <v>64</v>
      </c>
      <c r="Z1716" t="s">
        <v>6054</v>
      </c>
      <c r="AA1716" t="s">
        <v>38</v>
      </c>
    </row>
    <row r="1717" spans="1:27" hidden="1">
      <c r="A1717" t="s">
        <v>6055</v>
      </c>
      <c r="B1717" t="s">
        <v>6056</v>
      </c>
      <c r="C1717" t="e">
        <f>VLOOKUP(B1717,Sheet2!$A$2:$A$392,1,0)</f>
        <v>#N/A</v>
      </c>
      <c r="E1717" t="s">
        <v>40</v>
      </c>
      <c r="F1717" t="s">
        <v>41</v>
      </c>
      <c r="G1717" t="s">
        <v>158</v>
      </c>
      <c r="I1717" t="s">
        <v>42</v>
      </c>
      <c r="J1717" s="2">
        <v>5223</v>
      </c>
      <c r="K1717" s="2">
        <v>101</v>
      </c>
      <c r="L1717" s="2">
        <v>5113</v>
      </c>
      <c r="P1717" t="s">
        <v>6057</v>
      </c>
      <c r="Q1717" t="s">
        <v>106</v>
      </c>
      <c r="R1717" t="s">
        <v>42</v>
      </c>
      <c r="S1717" t="s">
        <v>33</v>
      </c>
      <c r="T1717" t="s">
        <v>106</v>
      </c>
      <c r="U1717" t="s">
        <v>44</v>
      </c>
      <c r="W1717" t="s">
        <v>63</v>
      </c>
      <c r="X1717" t="s">
        <v>34</v>
      </c>
      <c r="Y1717" t="s">
        <v>64</v>
      </c>
      <c r="Z1717" t="s">
        <v>6058</v>
      </c>
      <c r="AA1717" t="s">
        <v>38</v>
      </c>
    </row>
    <row r="1718" spans="1:27" hidden="1">
      <c r="A1718" t="s">
        <v>6059</v>
      </c>
      <c r="B1718" t="s">
        <v>6060</v>
      </c>
      <c r="C1718" t="e">
        <f>VLOOKUP(B1718,Sheet2!$A$2:$A$392,1,0)</f>
        <v>#N/A</v>
      </c>
      <c r="E1718" t="s">
        <v>27</v>
      </c>
      <c r="G1718" t="s">
        <v>4974</v>
      </c>
      <c r="I1718" t="s">
        <v>42</v>
      </c>
      <c r="J1718" s="2">
        <v>2199</v>
      </c>
      <c r="K1718">
        <v>71.3</v>
      </c>
      <c r="L1718" s="2">
        <v>1307</v>
      </c>
      <c r="P1718" t="s">
        <v>6061</v>
      </c>
      <c r="S1718" t="s">
        <v>33</v>
      </c>
      <c r="X1718" t="s">
        <v>34</v>
      </c>
      <c r="AA1718" t="s">
        <v>38</v>
      </c>
    </row>
    <row r="1719" spans="1:27" hidden="1">
      <c r="A1719" t="s">
        <v>6062</v>
      </c>
      <c r="B1719" t="s">
        <v>6063</v>
      </c>
      <c r="C1719" t="e">
        <f>VLOOKUP(B1719,Sheet2!$A$2:$A$392,1,0)</f>
        <v>#N/A</v>
      </c>
      <c r="E1719" t="s">
        <v>27</v>
      </c>
      <c r="F1719" t="s">
        <v>41</v>
      </c>
      <c r="G1719" t="s">
        <v>340</v>
      </c>
      <c r="I1719" t="s">
        <v>42</v>
      </c>
      <c r="J1719" s="2">
        <v>3700</v>
      </c>
      <c r="K1719" s="3">
        <v>88.25</v>
      </c>
      <c r="L1719" s="2">
        <v>1329</v>
      </c>
      <c r="M1719" s="2">
        <v>230</v>
      </c>
      <c r="N1719">
        <v>5.0999999999999996</v>
      </c>
      <c r="O1719" t="s">
        <v>341</v>
      </c>
      <c r="P1719" t="s">
        <v>342</v>
      </c>
      <c r="R1719" t="s">
        <v>42</v>
      </c>
      <c r="S1719" t="s">
        <v>33</v>
      </c>
      <c r="T1719" t="s">
        <v>34</v>
      </c>
      <c r="U1719" t="s">
        <v>44</v>
      </c>
      <c r="V1719" s="2">
        <v>2</v>
      </c>
      <c r="W1719" t="s">
        <v>518</v>
      </c>
      <c r="X1719" t="s">
        <v>34</v>
      </c>
      <c r="Y1719" t="s">
        <v>2977</v>
      </c>
      <c r="Z1719" t="s">
        <v>6064</v>
      </c>
      <c r="AA1719" t="s">
        <v>38</v>
      </c>
    </row>
    <row r="1720" spans="1:27" hidden="1">
      <c r="A1720" t="s">
        <v>6065</v>
      </c>
      <c r="B1720" t="s">
        <v>6066</v>
      </c>
      <c r="C1720" t="e">
        <f>VLOOKUP(B1720,Sheet2!$A$2:$A$392,1,0)</f>
        <v>#N/A</v>
      </c>
      <c r="E1720" t="s">
        <v>40</v>
      </c>
      <c r="F1720" t="s">
        <v>41</v>
      </c>
      <c r="G1720" t="s">
        <v>415</v>
      </c>
      <c r="I1720" t="s">
        <v>42</v>
      </c>
      <c r="J1720" s="2">
        <v>3142</v>
      </c>
      <c r="K1720" s="3">
        <v>87.78</v>
      </c>
      <c r="L1720" s="2">
        <v>3142</v>
      </c>
      <c r="N1720" s="2">
        <v>4</v>
      </c>
      <c r="P1720" t="s">
        <v>6067</v>
      </c>
      <c r="R1720" t="s">
        <v>42</v>
      </c>
      <c r="S1720" t="s">
        <v>33</v>
      </c>
      <c r="T1720" t="s">
        <v>34</v>
      </c>
      <c r="U1720" t="s">
        <v>44</v>
      </c>
      <c r="V1720" s="2">
        <v>1</v>
      </c>
      <c r="X1720" t="s">
        <v>34</v>
      </c>
      <c r="Y1720" t="s">
        <v>45</v>
      </c>
      <c r="Z1720" t="s">
        <v>6068</v>
      </c>
      <c r="AA1720" t="s">
        <v>38</v>
      </c>
    </row>
    <row r="1721" spans="1:27" hidden="1">
      <c r="A1721" t="s">
        <v>6069</v>
      </c>
      <c r="B1721" t="s">
        <v>6070</v>
      </c>
      <c r="C1721" t="e">
        <f>VLOOKUP(B1721,Sheet2!$A$2:$A$392,1,0)</f>
        <v>#N/A</v>
      </c>
      <c r="E1721" t="s">
        <v>40</v>
      </c>
      <c r="F1721" t="s">
        <v>41</v>
      </c>
      <c r="G1721" t="s">
        <v>29</v>
      </c>
      <c r="I1721" t="s">
        <v>42</v>
      </c>
      <c r="J1721" s="2">
        <v>5000</v>
      </c>
      <c r="K1721" s="2">
        <v>79</v>
      </c>
      <c r="L1721" s="2">
        <v>2294</v>
      </c>
      <c r="P1721" t="s">
        <v>6071</v>
      </c>
      <c r="R1721" t="s">
        <v>42</v>
      </c>
      <c r="S1721" t="s">
        <v>33</v>
      </c>
      <c r="T1721" t="s">
        <v>34</v>
      </c>
      <c r="U1721" t="s">
        <v>35</v>
      </c>
      <c r="X1721" t="s">
        <v>34</v>
      </c>
      <c r="Y1721" t="s">
        <v>45</v>
      </c>
      <c r="Z1721" t="s">
        <v>6072</v>
      </c>
      <c r="AA1721" t="s">
        <v>38</v>
      </c>
    </row>
    <row r="1722" spans="1:27" hidden="1">
      <c r="A1722" t="s">
        <v>6073</v>
      </c>
      <c r="B1722" t="s">
        <v>6074</v>
      </c>
      <c r="C1722" t="e">
        <f>VLOOKUP(B1722,Sheet2!$A$2:$A$392,1,0)</f>
        <v>#N/A</v>
      </c>
      <c r="E1722" t="s">
        <v>40</v>
      </c>
      <c r="F1722" t="s">
        <v>41</v>
      </c>
      <c r="G1722" t="s">
        <v>415</v>
      </c>
      <c r="I1722" t="s">
        <v>42</v>
      </c>
      <c r="J1722" s="2">
        <v>7500</v>
      </c>
      <c r="K1722" s="2">
        <v>88</v>
      </c>
      <c r="L1722" s="2">
        <v>3142</v>
      </c>
      <c r="M1722" s="2">
        <v>1658</v>
      </c>
      <c r="P1722" t="s">
        <v>6067</v>
      </c>
      <c r="R1722" t="s">
        <v>42</v>
      </c>
      <c r="S1722" t="s">
        <v>33</v>
      </c>
      <c r="T1722" t="s">
        <v>34</v>
      </c>
      <c r="U1722" t="s">
        <v>44</v>
      </c>
      <c r="X1722" t="s">
        <v>34</v>
      </c>
      <c r="Y1722" t="s">
        <v>45</v>
      </c>
      <c r="Z1722" t="s">
        <v>6068</v>
      </c>
      <c r="AA1722" t="s">
        <v>38</v>
      </c>
    </row>
    <row r="1723" spans="1:27" hidden="1">
      <c r="A1723" t="s">
        <v>6075</v>
      </c>
      <c r="B1723" t="s">
        <v>6076</v>
      </c>
      <c r="C1723" t="e">
        <f>VLOOKUP(B1723,Sheet2!$A$2:$A$392,1,0)</f>
        <v>#N/A</v>
      </c>
      <c r="E1723" t="s">
        <v>40</v>
      </c>
      <c r="F1723" t="s">
        <v>41</v>
      </c>
      <c r="G1723" t="s">
        <v>415</v>
      </c>
      <c r="J1723" s="2">
        <v>9423</v>
      </c>
      <c r="K1723" s="3">
        <v>87.84</v>
      </c>
      <c r="L1723" s="2">
        <v>3141</v>
      </c>
      <c r="O1723" t="s">
        <v>1606</v>
      </c>
      <c r="P1723" t="s">
        <v>4491</v>
      </c>
      <c r="R1723" t="s">
        <v>42</v>
      </c>
      <c r="S1723" t="s">
        <v>33</v>
      </c>
      <c r="U1723" t="s">
        <v>44</v>
      </c>
      <c r="W1723" t="s">
        <v>63</v>
      </c>
      <c r="X1723" t="s">
        <v>34</v>
      </c>
      <c r="Y1723" t="s">
        <v>64</v>
      </c>
      <c r="Z1723" t="s">
        <v>6077</v>
      </c>
      <c r="AA1723" t="s">
        <v>38</v>
      </c>
    </row>
    <row r="1724" spans="1:27" hidden="1">
      <c r="A1724" t="s">
        <v>6078</v>
      </c>
      <c r="B1724" t="s">
        <v>6079</v>
      </c>
      <c r="C1724" t="e">
        <f>VLOOKUP(B1724,Sheet2!$A$2:$A$392,1,0)</f>
        <v>#N/A</v>
      </c>
      <c r="E1724" t="s">
        <v>40</v>
      </c>
      <c r="F1724" t="s">
        <v>41</v>
      </c>
      <c r="G1724" t="s">
        <v>415</v>
      </c>
      <c r="I1724" t="s">
        <v>42</v>
      </c>
      <c r="J1724" s="2">
        <v>9417</v>
      </c>
      <c r="K1724" s="2">
        <v>9144</v>
      </c>
      <c r="L1724" s="2">
        <v>3139</v>
      </c>
      <c r="O1724" t="s">
        <v>1606</v>
      </c>
      <c r="P1724" t="s">
        <v>74</v>
      </c>
      <c r="R1724" t="s">
        <v>42</v>
      </c>
      <c r="S1724" t="s">
        <v>33</v>
      </c>
      <c r="T1724" t="s">
        <v>34</v>
      </c>
      <c r="U1724" t="s">
        <v>44</v>
      </c>
      <c r="W1724" t="s">
        <v>63</v>
      </c>
      <c r="X1724" t="s">
        <v>34</v>
      </c>
      <c r="Y1724" t="s">
        <v>64</v>
      </c>
      <c r="Z1724" t="s">
        <v>6080</v>
      </c>
      <c r="AA1724" t="s">
        <v>38</v>
      </c>
    </row>
    <row r="1725" spans="1:27" hidden="1">
      <c r="A1725" t="s">
        <v>6081</v>
      </c>
      <c r="B1725" t="s">
        <v>6082</v>
      </c>
      <c r="C1725" t="e">
        <f>VLOOKUP(B1725,Sheet2!$A$2:$A$392,1,0)</f>
        <v>#N/A</v>
      </c>
      <c r="E1725" t="s">
        <v>40</v>
      </c>
      <c r="F1725" t="s">
        <v>41</v>
      </c>
      <c r="G1725" t="s">
        <v>29</v>
      </c>
      <c r="I1725" t="s">
        <v>42</v>
      </c>
      <c r="J1725" s="2">
        <v>5500</v>
      </c>
      <c r="K1725" s="2">
        <v>79</v>
      </c>
      <c r="L1725" s="2">
        <v>2296</v>
      </c>
      <c r="P1725" t="s">
        <v>185</v>
      </c>
      <c r="R1725" t="s">
        <v>42</v>
      </c>
      <c r="S1725" t="s">
        <v>33</v>
      </c>
      <c r="T1725" t="s">
        <v>34</v>
      </c>
      <c r="U1725" t="s">
        <v>35</v>
      </c>
      <c r="X1725" t="s">
        <v>34</v>
      </c>
      <c r="Y1725" t="s">
        <v>45</v>
      </c>
      <c r="Z1725" t="s">
        <v>5541</v>
      </c>
      <c r="AA1725" t="s">
        <v>38</v>
      </c>
    </row>
    <row r="1726" spans="1:27" hidden="1">
      <c r="A1726" t="s">
        <v>6083</v>
      </c>
      <c r="B1726" t="s">
        <v>6084</v>
      </c>
      <c r="C1726" t="e">
        <f>VLOOKUP(B1726,Sheet2!$A$2:$A$392,1,0)</f>
        <v>#N/A</v>
      </c>
      <c r="E1726" t="s">
        <v>40</v>
      </c>
      <c r="F1726" t="s">
        <v>41</v>
      </c>
      <c r="G1726" t="s">
        <v>29</v>
      </c>
      <c r="I1726" t="s">
        <v>42</v>
      </c>
      <c r="J1726" s="2">
        <v>7500</v>
      </c>
      <c r="K1726">
        <v>91.5</v>
      </c>
      <c r="L1726" s="2">
        <v>3245</v>
      </c>
      <c r="M1726" s="2">
        <v>2400</v>
      </c>
      <c r="N1726" s="2">
        <v>4</v>
      </c>
      <c r="P1726" t="s">
        <v>6085</v>
      </c>
      <c r="Q1726" t="s">
        <v>34</v>
      </c>
      <c r="R1726" t="s">
        <v>42</v>
      </c>
      <c r="S1726" t="s">
        <v>33</v>
      </c>
      <c r="T1726" t="s">
        <v>34</v>
      </c>
      <c r="U1726" t="s">
        <v>44</v>
      </c>
      <c r="X1726" t="s">
        <v>34</v>
      </c>
      <c r="Y1726" t="s">
        <v>45</v>
      </c>
      <c r="Z1726" t="s">
        <v>6086</v>
      </c>
      <c r="AA1726" t="s">
        <v>38</v>
      </c>
    </row>
    <row r="1727" spans="1:27" hidden="1">
      <c r="A1727" t="s">
        <v>6087</v>
      </c>
      <c r="B1727" t="s">
        <v>6088</v>
      </c>
      <c r="C1727" t="e">
        <f>VLOOKUP(B1727,Sheet2!$A$2:$A$392,1,0)</f>
        <v>#N/A</v>
      </c>
      <c r="E1727" t="s">
        <v>40</v>
      </c>
      <c r="F1727" t="s">
        <v>41</v>
      </c>
      <c r="G1727" t="s">
        <v>29</v>
      </c>
      <c r="J1727" s="2">
        <v>7500</v>
      </c>
      <c r="K1727" s="3">
        <v>87.84</v>
      </c>
      <c r="L1727" s="2">
        <v>3146</v>
      </c>
      <c r="M1727" s="2">
        <v>2060</v>
      </c>
      <c r="P1727" t="s">
        <v>6089</v>
      </c>
      <c r="R1727" t="s">
        <v>42</v>
      </c>
      <c r="S1727" t="s">
        <v>33</v>
      </c>
      <c r="U1727" t="s">
        <v>44</v>
      </c>
      <c r="V1727" s="2">
        <v>1</v>
      </c>
      <c r="X1727" t="s">
        <v>34</v>
      </c>
      <c r="Y1727" t="s">
        <v>45</v>
      </c>
      <c r="Z1727" t="s">
        <v>6090</v>
      </c>
      <c r="AA1727" t="s">
        <v>38</v>
      </c>
    </row>
    <row r="1728" spans="1:27" hidden="1">
      <c r="A1728" t="s">
        <v>6091</v>
      </c>
      <c r="B1728" t="s">
        <v>6092</v>
      </c>
      <c r="C1728" t="e">
        <f>VLOOKUP(B1728,Sheet2!$A$2:$A$392,1,0)</f>
        <v>#N/A</v>
      </c>
      <c r="E1728" t="s">
        <v>40</v>
      </c>
      <c r="F1728" t="s">
        <v>41</v>
      </c>
      <c r="G1728" t="s">
        <v>29</v>
      </c>
      <c r="I1728" t="s">
        <v>42</v>
      </c>
      <c r="J1728" s="2">
        <v>8000</v>
      </c>
      <c r="K1728" s="2">
        <v>91</v>
      </c>
      <c r="L1728" s="2">
        <v>3346</v>
      </c>
      <c r="P1728" t="s">
        <v>6093</v>
      </c>
      <c r="R1728" t="s">
        <v>581</v>
      </c>
      <c r="S1728" t="s">
        <v>33</v>
      </c>
      <c r="T1728" t="s">
        <v>34</v>
      </c>
      <c r="U1728" t="s">
        <v>35</v>
      </c>
      <c r="X1728" t="s">
        <v>34</v>
      </c>
      <c r="Y1728" t="s">
        <v>45</v>
      </c>
      <c r="Z1728" t="s">
        <v>2152</v>
      </c>
      <c r="AA1728" t="s">
        <v>38</v>
      </c>
    </row>
    <row r="1729" spans="1:27" hidden="1">
      <c r="A1729" t="s">
        <v>6094</v>
      </c>
      <c r="B1729" t="s">
        <v>6095</v>
      </c>
      <c r="C1729" t="e">
        <f>VLOOKUP(B1729,Sheet2!$A$2:$A$392,1,0)</f>
        <v>#N/A</v>
      </c>
      <c r="E1729" t="s">
        <v>40</v>
      </c>
      <c r="F1729" t="s">
        <v>41</v>
      </c>
      <c r="G1729" t="s">
        <v>415</v>
      </c>
      <c r="I1729" t="s">
        <v>42</v>
      </c>
      <c r="J1729" s="2">
        <v>13650</v>
      </c>
      <c r="K1729" s="3">
        <v>27.51</v>
      </c>
      <c r="L1729" s="3">
        <v>96.56</v>
      </c>
      <c r="O1729" t="s">
        <v>1606</v>
      </c>
      <c r="P1729" t="s">
        <v>6096</v>
      </c>
      <c r="R1729" t="s">
        <v>42</v>
      </c>
      <c r="S1729" t="s">
        <v>33</v>
      </c>
      <c r="T1729" t="s">
        <v>34</v>
      </c>
      <c r="U1729" t="s">
        <v>44</v>
      </c>
      <c r="V1729" s="2">
        <v>1</v>
      </c>
      <c r="W1729" t="s">
        <v>63</v>
      </c>
      <c r="X1729" t="s">
        <v>34</v>
      </c>
      <c r="Y1729" t="s">
        <v>64</v>
      </c>
      <c r="Z1729" t="s">
        <v>6097</v>
      </c>
      <c r="AA1729" t="s">
        <v>38</v>
      </c>
    </row>
    <row r="1730" spans="1:27" hidden="1">
      <c r="A1730" t="s">
        <v>6098</v>
      </c>
      <c r="B1730" t="s">
        <v>6099</v>
      </c>
      <c r="C1730" t="e">
        <f>VLOOKUP(B1730,Sheet2!$A$2:$A$392,1,0)</f>
        <v>#N/A</v>
      </c>
      <c r="E1730" t="s">
        <v>40</v>
      </c>
      <c r="F1730" t="s">
        <v>41</v>
      </c>
      <c r="G1730" t="s">
        <v>415</v>
      </c>
      <c r="J1730" s="2">
        <v>13650</v>
      </c>
      <c r="K1730" s="3">
        <v>100.58</v>
      </c>
      <c r="L1730" s="2">
        <v>4550</v>
      </c>
      <c r="O1730" t="s">
        <v>1606</v>
      </c>
      <c r="P1730" t="s">
        <v>6096</v>
      </c>
      <c r="R1730" t="s">
        <v>42</v>
      </c>
      <c r="S1730" t="s">
        <v>33</v>
      </c>
      <c r="U1730" t="s">
        <v>44</v>
      </c>
      <c r="V1730" s="2">
        <v>1</v>
      </c>
      <c r="W1730" t="s">
        <v>63</v>
      </c>
      <c r="X1730" t="s">
        <v>34</v>
      </c>
      <c r="Y1730" t="s">
        <v>64</v>
      </c>
      <c r="Z1730" t="s">
        <v>6100</v>
      </c>
      <c r="AA1730" t="s">
        <v>38</v>
      </c>
    </row>
    <row r="1731" spans="1:27" hidden="1">
      <c r="A1731" t="s">
        <v>6101</v>
      </c>
      <c r="B1731" t="s">
        <v>6102</v>
      </c>
      <c r="C1731" t="e">
        <f>VLOOKUP(B1731,Sheet2!$A$2:$A$392,1,0)</f>
        <v>#N/A</v>
      </c>
      <c r="E1731" t="s">
        <v>40</v>
      </c>
      <c r="F1731" t="s">
        <v>41</v>
      </c>
      <c r="G1731" t="s">
        <v>415</v>
      </c>
      <c r="I1731" t="s">
        <v>42</v>
      </c>
      <c r="J1731" s="2">
        <v>7500</v>
      </c>
      <c r="K1731" s="2">
        <v>91</v>
      </c>
      <c r="L1731" s="2">
        <v>3145</v>
      </c>
      <c r="P1731" t="s">
        <v>6103</v>
      </c>
      <c r="R1731" t="s">
        <v>42</v>
      </c>
      <c r="S1731" t="s">
        <v>33</v>
      </c>
      <c r="T1731" t="s">
        <v>34</v>
      </c>
      <c r="U1731" t="s">
        <v>44</v>
      </c>
      <c r="V1731" s="2">
        <v>1</v>
      </c>
      <c r="W1731" t="s">
        <v>63</v>
      </c>
      <c r="X1731" t="s">
        <v>34</v>
      </c>
      <c r="Y1731" t="s">
        <v>64</v>
      </c>
      <c r="Z1731" t="s">
        <v>6104</v>
      </c>
      <c r="AA1731" t="s">
        <v>38</v>
      </c>
    </row>
    <row r="1732" spans="1:27" hidden="1">
      <c r="A1732" t="s">
        <v>6105</v>
      </c>
      <c r="B1732" t="s">
        <v>6106</v>
      </c>
      <c r="C1732" t="e">
        <f>VLOOKUP(B1732,Sheet2!$A$2:$A$392,1,0)</f>
        <v>#N/A</v>
      </c>
      <c r="E1732" t="s">
        <v>40</v>
      </c>
      <c r="F1732" t="s">
        <v>41</v>
      </c>
      <c r="G1732" t="s">
        <v>59</v>
      </c>
      <c r="J1732" s="2">
        <v>7000</v>
      </c>
      <c r="K1732" s="3">
        <v>87.86</v>
      </c>
      <c r="L1732" s="2">
        <v>3071</v>
      </c>
      <c r="O1732" t="s">
        <v>61</v>
      </c>
      <c r="P1732" t="s">
        <v>6107</v>
      </c>
      <c r="R1732" t="s">
        <v>42</v>
      </c>
      <c r="S1732" t="s">
        <v>33</v>
      </c>
      <c r="U1732" t="s">
        <v>44</v>
      </c>
      <c r="W1732" t="s">
        <v>63</v>
      </c>
      <c r="X1732" t="s">
        <v>34</v>
      </c>
      <c r="Y1732" t="s">
        <v>64</v>
      </c>
      <c r="Z1732" t="s">
        <v>6108</v>
      </c>
      <c r="AA1732" t="s">
        <v>38</v>
      </c>
    </row>
    <row r="1733" spans="1:27">
      <c r="A1733" t="s">
        <v>6109</v>
      </c>
      <c r="B1733" t="s">
        <v>6110</v>
      </c>
      <c r="C1733" t="str">
        <f>VLOOKUP(B1733,Sheet2!$A$2:$A$392,1,0)</f>
        <v>TB. UNITED XI / BG. ISM 3017</v>
      </c>
      <c r="E1733" t="s">
        <v>40</v>
      </c>
      <c r="F1733" t="s">
        <v>28</v>
      </c>
      <c r="G1733" t="s">
        <v>293</v>
      </c>
      <c r="J1733" s="2">
        <v>9000</v>
      </c>
      <c r="K1733" s="3">
        <v>91.44</v>
      </c>
      <c r="L1733" s="2">
        <v>3418</v>
      </c>
      <c r="M1733" s="2">
        <v>1220</v>
      </c>
      <c r="N1733" s="2">
        <v>6</v>
      </c>
      <c r="O1733" t="s">
        <v>294</v>
      </c>
      <c r="P1733" t="s">
        <v>6111</v>
      </c>
      <c r="R1733" t="s">
        <v>42</v>
      </c>
      <c r="S1733" t="s">
        <v>33</v>
      </c>
      <c r="U1733" t="s">
        <v>35</v>
      </c>
      <c r="W1733" t="s">
        <v>63</v>
      </c>
      <c r="X1733" t="s">
        <v>34</v>
      </c>
      <c r="Y1733" t="s">
        <v>64</v>
      </c>
      <c r="Z1733" t="s">
        <v>6112</v>
      </c>
      <c r="AA1733" t="s">
        <v>38</v>
      </c>
    </row>
    <row r="1734" spans="1:27" hidden="1">
      <c r="A1734" t="s">
        <v>6113</v>
      </c>
      <c r="B1734" t="s">
        <v>6114</v>
      </c>
      <c r="C1734" t="e">
        <f>VLOOKUP(B1734,Sheet2!$A$2:$A$392,1,0)</f>
        <v>#N/A</v>
      </c>
      <c r="E1734" t="s">
        <v>40</v>
      </c>
      <c r="F1734" t="s">
        <v>28</v>
      </c>
      <c r="G1734" t="s">
        <v>415</v>
      </c>
      <c r="I1734" t="s">
        <v>42</v>
      </c>
      <c r="J1734" s="2">
        <v>12000</v>
      </c>
      <c r="K1734" s="3">
        <v>93.64</v>
      </c>
      <c r="L1734" s="2">
        <v>3708</v>
      </c>
      <c r="N1734" s="2">
        <v>6</v>
      </c>
      <c r="O1734" t="s">
        <v>1606</v>
      </c>
      <c r="P1734" t="s">
        <v>4229</v>
      </c>
      <c r="R1734" t="s">
        <v>42</v>
      </c>
      <c r="S1734" t="s">
        <v>33</v>
      </c>
      <c r="T1734" t="s">
        <v>34</v>
      </c>
      <c r="U1734" t="s">
        <v>44</v>
      </c>
      <c r="V1734" s="2">
        <v>1</v>
      </c>
      <c r="W1734" t="s">
        <v>63</v>
      </c>
      <c r="X1734" t="s">
        <v>34</v>
      </c>
      <c r="Y1734" t="s">
        <v>64</v>
      </c>
      <c r="Z1734" t="s">
        <v>6115</v>
      </c>
      <c r="AA1734" t="s">
        <v>38</v>
      </c>
    </row>
    <row r="1735" spans="1:27">
      <c r="A1735" t="s">
        <v>6116</v>
      </c>
      <c r="B1735" t="s">
        <v>6117</v>
      </c>
      <c r="C1735" t="str">
        <f>VLOOKUP(B1735,Sheet2!$A$2:$A$392,1,0)</f>
        <v>TB. VARIA USAHA 9 - BG. LINTAS SEGARA 9</v>
      </c>
      <c r="E1735" t="s">
        <v>40</v>
      </c>
      <c r="F1735" t="s">
        <v>41</v>
      </c>
      <c r="G1735" t="s">
        <v>59</v>
      </c>
      <c r="I1735" t="s">
        <v>42</v>
      </c>
      <c r="J1735" s="2">
        <v>4654</v>
      </c>
      <c r="K1735" s="3">
        <v>80.78</v>
      </c>
      <c r="L1735" s="2">
        <v>249</v>
      </c>
      <c r="M1735" s="2">
        <v>1500</v>
      </c>
      <c r="N1735" s="2">
        <v>5</v>
      </c>
      <c r="O1735" t="s">
        <v>61</v>
      </c>
      <c r="P1735" t="s">
        <v>6118</v>
      </c>
      <c r="R1735" t="s">
        <v>42</v>
      </c>
      <c r="S1735" t="s">
        <v>33</v>
      </c>
      <c r="T1735" t="s">
        <v>34</v>
      </c>
      <c r="U1735" t="s">
        <v>35</v>
      </c>
      <c r="W1735" t="s">
        <v>63</v>
      </c>
      <c r="X1735" t="s">
        <v>34</v>
      </c>
      <c r="Y1735" t="s">
        <v>64</v>
      </c>
      <c r="Z1735" t="s">
        <v>6119</v>
      </c>
      <c r="AA1735" t="s">
        <v>38</v>
      </c>
    </row>
    <row r="1736" spans="1:27" hidden="1">
      <c r="A1736" t="s">
        <v>6120</v>
      </c>
      <c r="B1736" t="s">
        <v>6121</v>
      </c>
      <c r="C1736" t="e">
        <f>VLOOKUP(B1736,Sheet2!$A$2:$A$392,1,0)</f>
        <v>#N/A</v>
      </c>
      <c r="E1736" t="s">
        <v>40</v>
      </c>
      <c r="F1736" t="s">
        <v>41</v>
      </c>
      <c r="G1736" t="s">
        <v>415</v>
      </c>
      <c r="I1736" t="s">
        <v>42</v>
      </c>
      <c r="J1736">
        <v>8.2390000000000008</v>
      </c>
      <c r="K1736" s="3">
        <v>100.58</v>
      </c>
      <c r="L1736" s="2">
        <v>4170</v>
      </c>
      <c r="P1736" t="s">
        <v>6122</v>
      </c>
      <c r="R1736" t="s">
        <v>42</v>
      </c>
      <c r="S1736" t="s">
        <v>33</v>
      </c>
      <c r="T1736" t="s">
        <v>34</v>
      </c>
      <c r="U1736" t="s">
        <v>44</v>
      </c>
      <c r="V1736" s="2">
        <v>1</v>
      </c>
      <c r="X1736" t="s">
        <v>34</v>
      </c>
      <c r="Y1736" t="s">
        <v>45</v>
      </c>
      <c r="Z1736" t="s">
        <v>6123</v>
      </c>
      <c r="AA1736" t="s">
        <v>38</v>
      </c>
    </row>
    <row r="1737" spans="1:27" hidden="1">
      <c r="A1737" t="s">
        <v>6124</v>
      </c>
      <c r="B1737" t="s">
        <v>6125</v>
      </c>
      <c r="C1737" t="e">
        <f>VLOOKUP(B1737,Sheet2!$A$2:$A$392,1,0)</f>
        <v>#N/A</v>
      </c>
      <c r="E1737" t="s">
        <v>40</v>
      </c>
      <c r="F1737" t="s">
        <v>41</v>
      </c>
      <c r="G1737" t="s">
        <v>415</v>
      </c>
      <c r="J1737" s="2">
        <v>7500</v>
      </c>
      <c r="K1737" s="2">
        <v>88</v>
      </c>
      <c r="L1737" s="2">
        <v>3144</v>
      </c>
      <c r="M1737" s="2">
        <v>2200</v>
      </c>
      <c r="N1737" s="2">
        <v>4</v>
      </c>
      <c r="P1737" t="s">
        <v>6126</v>
      </c>
      <c r="R1737" t="s">
        <v>42</v>
      </c>
      <c r="S1737" t="s">
        <v>33</v>
      </c>
      <c r="U1737" t="s">
        <v>44</v>
      </c>
      <c r="W1737" t="s">
        <v>63</v>
      </c>
      <c r="X1737" t="s">
        <v>34</v>
      </c>
      <c r="Y1737" t="s">
        <v>64</v>
      </c>
      <c r="Z1737" t="s">
        <v>6127</v>
      </c>
      <c r="AA1737" t="s">
        <v>38</v>
      </c>
    </row>
    <row r="1738" spans="1:27" hidden="1">
      <c r="A1738" t="s">
        <v>6128</v>
      </c>
      <c r="B1738" t="s">
        <v>6129</v>
      </c>
      <c r="C1738" t="e">
        <f>VLOOKUP(B1738,Sheet2!$A$2:$A$392,1,0)</f>
        <v>#N/A</v>
      </c>
      <c r="E1738" t="s">
        <v>40</v>
      </c>
      <c r="F1738" t="s">
        <v>41</v>
      </c>
      <c r="G1738" t="s">
        <v>415</v>
      </c>
      <c r="J1738" s="2">
        <v>9000</v>
      </c>
      <c r="K1738" s="2">
        <v>87</v>
      </c>
      <c r="L1738" s="2">
        <v>3728</v>
      </c>
      <c r="O1738" t="s">
        <v>1606</v>
      </c>
      <c r="P1738" t="s">
        <v>5225</v>
      </c>
      <c r="R1738" t="s">
        <v>42</v>
      </c>
      <c r="S1738" t="s">
        <v>33</v>
      </c>
      <c r="U1738" t="s">
        <v>35</v>
      </c>
      <c r="W1738" t="s">
        <v>63</v>
      </c>
      <c r="X1738" t="s">
        <v>34</v>
      </c>
      <c r="Y1738" t="s">
        <v>64</v>
      </c>
      <c r="Z1738" t="s">
        <v>6130</v>
      </c>
      <c r="AA1738" t="s">
        <v>38</v>
      </c>
    </row>
    <row r="1739" spans="1:27" hidden="1">
      <c r="A1739" t="s">
        <v>6131</v>
      </c>
      <c r="B1739" t="s">
        <v>6132</v>
      </c>
      <c r="C1739" t="e">
        <f>VLOOKUP(B1739,Sheet2!$A$2:$A$392,1,0)</f>
        <v>#N/A</v>
      </c>
      <c r="E1739" t="s">
        <v>40</v>
      </c>
      <c r="F1739" t="s">
        <v>41</v>
      </c>
      <c r="G1739" t="s">
        <v>415</v>
      </c>
      <c r="J1739" s="2">
        <v>9295</v>
      </c>
      <c r="K1739" s="2">
        <v>88</v>
      </c>
      <c r="L1739" s="2">
        <v>3728</v>
      </c>
      <c r="M1739" s="2">
        <v>1040</v>
      </c>
      <c r="N1739" s="2">
        <v>610</v>
      </c>
      <c r="O1739" t="s">
        <v>1606</v>
      </c>
      <c r="P1739" t="s">
        <v>6133</v>
      </c>
      <c r="R1739" t="s">
        <v>42</v>
      </c>
      <c r="S1739" t="s">
        <v>33</v>
      </c>
      <c r="U1739" t="s">
        <v>44</v>
      </c>
      <c r="W1739" t="s">
        <v>63</v>
      </c>
      <c r="X1739" t="s">
        <v>34</v>
      </c>
      <c r="Y1739" t="s">
        <v>64</v>
      </c>
      <c r="Z1739" t="s">
        <v>6134</v>
      </c>
      <c r="AA1739" t="s">
        <v>38</v>
      </c>
    </row>
    <row r="1740" spans="1:27" hidden="1">
      <c r="A1740" t="s">
        <v>6135</v>
      </c>
      <c r="B1740" t="s">
        <v>6136</v>
      </c>
      <c r="C1740" t="e">
        <f>VLOOKUP(B1740,Sheet2!$A$2:$A$392,1,0)</f>
        <v>#N/A</v>
      </c>
      <c r="E1740" t="s">
        <v>40</v>
      </c>
      <c r="F1740" t="s">
        <v>41</v>
      </c>
      <c r="G1740" t="s">
        <v>29</v>
      </c>
      <c r="I1740" t="s">
        <v>42</v>
      </c>
      <c r="J1740">
        <v>8.4</v>
      </c>
      <c r="K1740" s="3">
        <v>87.78</v>
      </c>
      <c r="L1740" s="2">
        <v>3731</v>
      </c>
      <c r="P1740" t="s">
        <v>6137</v>
      </c>
      <c r="R1740" t="s">
        <v>42</v>
      </c>
      <c r="S1740" t="s">
        <v>33</v>
      </c>
      <c r="U1740" t="s">
        <v>44</v>
      </c>
      <c r="V1740" s="2">
        <v>1</v>
      </c>
      <c r="X1740" t="s">
        <v>34</v>
      </c>
      <c r="Y1740" t="s">
        <v>45</v>
      </c>
      <c r="Z1740" t="s">
        <v>6138</v>
      </c>
      <c r="AA1740" t="s">
        <v>38</v>
      </c>
    </row>
    <row r="1741" spans="1:27" hidden="1">
      <c r="A1741" t="s">
        <v>6139</v>
      </c>
      <c r="B1741" t="s">
        <v>6140</v>
      </c>
      <c r="C1741" t="e">
        <f>VLOOKUP(B1741,Sheet2!$A$2:$A$392,1,0)</f>
        <v>#N/A</v>
      </c>
      <c r="E1741" t="s">
        <v>40</v>
      </c>
      <c r="F1741" t="s">
        <v>41</v>
      </c>
      <c r="G1741" t="s">
        <v>59</v>
      </c>
      <c r="I1741" t="s">
        <v>42</v>
      </c>
      <c r="J1741" s="2">
        <v>4500</v>
      </c>
      <c r="K1741" s="2">
        <v>89</v>
      </c>
      <c r="L1741" s="2">
        <v>3103</v>
      </c>
      <c r="M1741" s="2">
        <v>1398</v>
      </c>
      <c r="N1741" s="2">
        <v>6</v>
      </c>
      <c r="O1741" t="s">
        <v>61</v>
      </c>
      <c r="P1741" t="s">
        <v>2675</v>
      </c>
      <c r="R1741" t="s">
        <v>42</v>
      </c>
      <c r="S1741" t="s">
        <v>33</v>
      </c>
      <c r="T1741" t="s">
        <v>34</v>
      </c>
      <c r="U1741" t="s">
        <v>35</v>
      </c>
      <c r="W1741" t="s">
        <v>63</v>
      </c>
      <c r="X1741" t="s">
        <v>34</v>
      </c>
      <c r="Y1741" t="s">
        <v>64</v>
      </c>
      <c r="Z1741" t="s">
        <v>6141</v>
      </c>
      <c r="AA1741" t="s">
        <v>38</v>
      </c>
    </row>
    <row r="1742" spans="1:27" hidden="1">
      <c r="A1742" t="s">
        <v>6142</v>
      </c>
      <c r="B1742" t="s">
        <v>6143</v>
      </c>
      <c r="C1742" t="e">
        <f>VLOOKUP(B1742,Sheet2!$A$2:$A$392,1,0)</f>
        <v>#N/A</v>
      </c>
      <c r="E1742" t="s">
        <v>170</v>
      </c>
      <c r="I1742" t="s">
        <v>42</v>
      </c>
      <c r="J1742" s="2">
        <v>40845</v>
      </c>
      <c r="K1742">
        <v>179.8</v>
      </c>
      <c r="L1742" s="2">
        <v>25961</v>
      </c>
      <c r="P1742" t="s">
        <v>6144</v>
      </c>
      <c r="S1742" t="s">
        <v>33</v>
      </c>
      <c r="X1742" t="s">
        <v>34</v>
      </c>
      <c r="AA1742" t="s">
        <v>38</v>
      </c>
    </row>
    <row r="1743" spans="1:27" hidden="1">
      <c r="A1743" t="s">
        <v>6145</v>
      </c>
      <c r="B1743" t="s">
        <v>6146</v>
      </c>
      <c r="C1743" t="e">
        <f>VLOOKUP(B1743,Sheet2!$A$2:$A$392,1,0)</f>
        <v>#N/A</v>
      </c>
      <c r="E1743" t="s">
        <v>40</v>
      </c>
      <c r="F1743" t="s">
        <v>41</v>
      </c>
      <c r="G1743" t="s">
        <v>29</v>
      </c>
      <c r="I1743" t="s">
        <v>42</v>
      </c>
      <c r="J1743" s="2">
        <v>5418</v>
      </c>
      <c r="K1743" s="2">
        <v>76</v>
      </c>
      <c r="L1743" s="2">
        <v>2374</v>
      </c>
      <c r="P1743" t="s">
        <v>185</v>
      </c>
      <c r="R1743" t="s">
        <v>42</v>
      </c>
      <c r="S1743" t="s">
        <v>33</v>
      </c>
      <c r="T1743" t="s">
        <v>34</v>
      </c>
      <c r="U1743" t="s">
        <v>35</v>
      </c>
      <c r="X1743" t="s">
        <v>34</v>
      </c>
      <c r="Y1743" t="s">
        <v>45</v>
      </c>
      <c r="Z1743" t="s">
        <v>6147</v>
      </c>
      <c r="AA1743" t="s">
        <v>38</v>
      </c>
    </row>
    <row r="1744" spans="1:27">
      <c r="A1744" t="s">
        <v>6148</v>
      </c>
      <c r="B1744" t="s">
        <v>6148</v>
      </c>
      <c r="C1744" t="str">
        <f>VLOOKUP(B1744,Sheet2!$A$2:$A$392,1,0)</f>
        <v>UNEI</v>
      </c>
      <c r="E1744" t="s">
        <v>27</v>
      </c>
      <c r="F1744" t="s">
        <v>41</v>
      </c>
      <c r="G1744" t="s">
        <v>2067</v>
      </c>
      <c r="I1744" t="s">
        <v>42</v>
      </c>
      <c r="J1744" s="2">
        <v>2300</v>
      </c>
      <c r="K1744" s="2">
        <v>69</v>
      </c>
      <c r="L1744" s="2">
        <v>1291</v>
      </c>
      <c r="P1744" t="s">
        <v>6149</v>
      </c>
      <c r="R1744" t="s">
        <v>42</v>
      </c>
      <c r="S1744" t="s">
        <v>33</v>
      </c>
      <c r="T1744" t="s">
        <v>106</v>
      </c>
      <c r="U1744" t="s">
        <v>44</v>
      </c>
      <c r="W1744" t="s">
        <v>518</v>
      </c>
      <c r="X1744" t="s">
        <v>34</v>
      </c>
      <c r="Y1744" t="s">
        <v>519</v>
      </c>
      <c r="Z1744" t="s">
        <v>6150</v>
      </c>
      <c r="AA1744" t="s">
        <v>38</v>
      </c>
    </row>
    <row r="1745" spans="1:27" hidden="1">
      <c r="A1745" t="s">
        <v>6151</v>
      </c>
      <c r="B1745" t="s">
        <v>6152</v>
      </c>
      <c r="C1745" t="e">
        <f>VLOOKUP(B1745,Sheet2!$A$2:$A$392,1,0)</f>
        <v>#N/A</v>
      </c>
      <c r="E1745" t="s">
        <v>27</v>
      </c>
      <c r="F1745" t="s">
        <v>41</v>
      </c>
      <c r="G1745" t="s">
        <v>29</v>
      </c>
      <c r="I1745" t="s">
        <v>42</v>
      </c>
      <c r="J1745" s="2">
        <v>1900</v>
      </c>
      <c r="K1745" s="2">
        <v>57</v>
      </c>
      <c r="L1745" s="2">
        <v>941</v>
      </c>
      <c r="M1745" s="2">
        <v>1000</v>
      </c>
      <c r="N1745" s="3">
        <v>4.54</v>
      </c>
      <c r="P1745" t="s">
        <v>6153</v>
      </c>
      <c r="R1745" t="s">
        <v>32</v>
      </c>
      <c r="S1745" t="s">
        <v>33</v>
      </c>
      <c r="T1745" t="s">
        <v>34</v>
      </c>
      <c r="U1745" t="s">
        <v>35</v>
      </c>
      <c r="X1745" t="s">
        <v>34</v>
      </c>
      <c r="Y1745" t="s">
        <v>45</v>
      </c>
      <c r="Z1745" t="s">
        <v>6154</v>
      </c>
      <c r="AA1745" t="s">
        <v>38</v>
      </c>
    </row>
    <row r="1746" spans="1:27" hidden="1">
      <c r="A1746" t="s">
        <v>6155</v>
      </c>
      <c r="B1746" t="s">
        <v>6156</v>
      </c>
      <c r="C1746" t="e">
        <f>VLOOKUP(B1746,Sheet2!$A$2:$A$392,1,0)</f>
        <v>#N/A</v>
      </c>
      <c r="E1746" t="s">
        <v>72</v>
      </c>
      <c r="G1746" t="s">
        <v>629</v>
      </c>
      <c r="I1746" t="s">
        <v>42</v>
      </c>
      <c r="J1746" s="2">
        <v>757</v>
      </c>
      <c r="K1746" s="3">
        <v>64.319999999999993</v>
      </c>
      <c r="L1746" s="2">
        <v>1343</v>
      </c>
      <c r="P1746" t="s">
        <v>74</v>
      </c>
      <c r="S1746" t="s">
        <v>33</v>
      </c>
      <c r="X1746" t="s">
        <v>34</v>
      </c>
      <c r="AA1746" t="s">
        <v>38</v>
      </c>
    </row>
    <row r="1747" spans="1:27" hidden="1">
      <c r="A1747" t="s">
        <v>6157</v>
      </c>
      <c r="B1747" t="s">
        <v>6158</v>
      </c>
      <c r="C1747" t="e">
        <f>VLOOKUP(B1747,Sheet2!$A$2:$A$392,1,0)</f>
        <v>#N/A</v>
      </c>
      <c r="E1747" t="s">
        <v>72</v>
      </c>
      <c r="G1747" t="s">
        <v>629</v>
      </c>
      <c r="I1747" t="s">
        <v>42</v>
      </c>
      <c r="J1747" s="2">
        <v>1343</v>
      </c>
      <c r="K1747" s="2">
        <v>67</v>
      </c>
      <c r="L1747" s="2">
        <v>1343</v>
      </c>
      <c r="P1747" t="s">
        <v>74</v>
      </c>
      <c r="S1747" t="s">
        <v>33</v>
      </c>
      <c r="X1747" t="s">
        <v>34</v>
      </c>
      <c r="AA1747" t="s">
        <v>38</v>
      </c>
    </row>
    <row r="1748" spans="1:27" hidden="1">
      <c r="A1748" t="s">
        <v>6159</v>
      </c>
      <c r="B1748" t="s">
        <v>6160</v>
      </c>
      <c r="C1748" t="e">
        <f>VLOOKUP(B1748,Sheet2!$A$2:$A$392,1,0)</f>
        <v>#N/A</v>
      </c>
      <c r="E1748" t="s">
        <v>27</v>
      </c>
      <c r="G1748" t="s">
        <v>1313</v>
      </c>
      <c r="I1748" t="s">
        <v>42</v>
      </c>
      <c r="J1748" s="2">
        <v>1050</v>
      </c>
      <c r="K1748" s="3">
        <v>55.06</v>
      </c>
      <c r="L1748" s="2">
        <v>953</v>
      </c>
      <c r="P1748" t="s">
        <v>6161</v>
      </c>
      <c r="S1748" t="s">
        <v>33</v>
      </c>
      <c r="X1748" t="s">
        <v>34</v>
      </c>
      <c r="Y1748" t="s">
        <v>96</v>
      </c>
      <c r="Z1748" t="s">
        <v>6162</v>
      </c>
      <c r="AA1748" t="s">
        <v>38</v>
      </c>
    </row>
    <row r="1749" spans="1:27">
      <c r="A1749" t="s">
        <v>6163</v>
      </c>
      <c r="B1749" t="s">
        <v>2492</v>
      </c>
      <c r="C1749" t="str">
        <f>VLOOKUP(B1749,Sheet2!$A$2:$A$392,1,0)</f>
        <v>KM. VICTORY 8</v>
      </c>
      <c r="E1749" t="s">
        <v>27</v>
      </c>
      <c r="F1749" t="s">
        <v>41</v>
      </c>
      <c r="G1749" t="s">
        <v>158</v>
      </c>
      <c r="I1749" t="s">
        <v>42</v>
      </c>
      <c r="J1749" s="2">
        <v>2500</v>
      </c>
      <c r="K1749" s="3">
        <v>76.430000000000007</v>
      </c>
      <c r="L1749" s="2">
        <v>1519</v>
      </c>
      <c r="O1749" t="s">
        <v>159</v>
      </c>
      <c r="P1749" t="s">
        <v>6164</v>
      </c>
      <c r="R1749" t="s">
        <v>32</v>
      </c>
      <c r="S1749" t="s">
        <v>33</v>
      </c>
      <c r="T1749" t="s">
        <v>34</v>
      </c>
      <c r="U1749" t="s">
        <v>35</v>
      </c>
      <c r="W1749" t="s">
        <v>63</v>
      </c>
      <c r="X1749" t="s">
        <v>34</v>
      </c>
      <c r="Y1749" t="s">
        <v>64</v>
      </c>
      <c r="Z1749" t="s">
        <v>6165</v>
      </c>
      <c r="AA1749" t="s">
        <v>38</v>
      </c>
    </row>
    <row r="1750" spans="1:27" hidden="1">
      <c r="A1750" t="s">
        <v>6166</v>
      </c>
      <c r="B1750" t="s">
        <v>6167</v>
      </c>
      <c r="C1750" t="e">
        <f>VLOOKUP(B1750,Sheet2!$A$2:$A$392,1,0)</f>
        <v>#N/A</v>
      </c>
      <c r="E1750" t="s">
        <v>52</v>
      </c>
      <c r="F1750" t="s">
        <v>28</v>
      </c>
      <c r="G1750" t="s">
        <v>59</v>
      </c>
      <c r="I1750" t="s">
        <v>301</v>
      </c>
      <c r="J1750" s="2">
        <v>53562</v>
      </c>
      <c r="K1750" s="3">
        <v>189.99</v>
      </c>
      <c r="L1750" s="2">
        <v>31261</v>
      </c>
      <c r="O1750" t="s">
        <v>61</v>
      </c>
      <c r="P1750" t="s">
        <v>6168</v>
      </c>
      <c r="R1750" t="s">
        <v>301</v>
      </c>
      <c r="S1750" t="s">
        <v>33</v>
      </c>
      <c r="T1750" t="s">
        <v>34</v>
      </c>
      <c r="U1750" t="s">
        <v>35</v>
      </c>
      <c r="W1750" t="s">
        <v>63</v>
      </c>
      <c r="X1750" t="s">
        <v>34</v>
      </c>
      <c r="Y1750" t="s">
        <v>64</v>
      </c>
      <c r="Z1750" t="s">
        <v>6169</v>
      </c>
      <c r="AA1750" t="s">
        <v>38</v>
      </c>
    </row>
    <row r="1751" spans="1:27" hidden="1">
      <c r="A1751" t="s">
        <v>6170</v>
      </c>
      <c r="B1751" t="s">
        <v>6171</v>
      </c>
      <c r="C1751" t="e">
        <f>VLOOKUP(B1751,Sheet2!$A$2:$A$392,1,0)</f>
        <v>#N/A</v>
      </c>
      <c r="E1751" t="s">
        <v>40</v>
      </c>
      <c r="F1751" t="s">
        <v>41</v>
      </c>
      <c r="G1751" t="s">
        <v>59</v>
      </c>
      <c r="I1751" t="s">
        <v>42</v>
      </c>
      <c r="J1751" s="2">
        <v>7792</v>
      </c>
      <c r="K1751" s="3">
        <v>87.78</v>
      </c>
      <c r="L1751" s="2">
        <v>3117</v>
      </c>
      <c r="O1751" t="s">
        <v>61</v>
      </c>
      <c r="P1751" t="s">
        <v>6172</v>
      </c>
      <c r="R1751" t="s">
        <v>42</v>
      </c>
      <c r="S1751" t="s">
        <v>33</v>
      </c>
      <c r="T1751" t="s">
        <v>34</v>
      </c>
      <c r="U1751" t="s">
        <v>44</v>
      </c>
      <c r="W1751" t="s">
        <v>63</v>
      </c>
      <c r="X1751" t="s">
        <v>34</v>
      </c>
      <c r="Y1751" t="s">
        <v>64</v>
      </c>
      <c r="Z1751" t="s">
        <v>6173</v>
      </c>
      <c r="AA1751" t="s">
        <v>38</v>
      </c>
    </row>
    <row r="1752" spans="1:27" hidden="1">
      <c r="A1752" t="s">
        <v>6174</v>
      </c>
      <c r="B1752" t="s">
        <v>6175</v>
      </c>
      <c r="C1752" t="e">
        <f>VLOOKUP(B1752,Sheet2!$A$2:$A$392,1,0)</f>
        <v>#N/A</v>
      </c>
      <c r="E1752" t="s">
        <v>27</v>
      </c>
      <c r="F1752" t="s">
        <v>41</v>
      </c>
      <c r="G1752" t="s">
        <v>158</v>
      </c>
      <c r="J1752" s="2">
        <v>8198</v>
      </c>
      <c r="K1752" s="3">
        <v>104.13</v>
      </c>
      <c r="L1752" s="2">
        <v>6674</v>
      </c>
      <c r="O1752" t="s">
        <v>159</v>
      </c>
      <c r="P1752" t="s">
        <v>6176</v>
      </c>
      <c r="R1752" t="s">
        <v>4047</v>
      </c>
      <c r="S1752" t="s">
        <v>33</v>
      </c>
      <c r="U1752" t="s">
        <v>35</v>
      </c>
      <c r="W1752" t="s">
        <v>63</v>
      </c>
      <c r="X1752" t="s">
        <v>34</v>
      </c>
      <c r="Y1752" t="s">
        <v>64</v>
      </c>
      <c r="Z1752" t="s">
        <v>6177</v>
      </c>
      <c r="AA1752" t="s">
        <v>38</v>
      </c>
    </row>
    <row r="1753" spans="1:27" hidden="1">
      <c r="A1753" t="s">
        <v>6178</v>
      </c>
      <c r="B1753" t="s">
        <v>6179</v>
      </c>
      <c r="C1753" t="e">
        <f>VLOOKUP(B1753,Sheet2!$A$2:$A$392,1,0)</f>
        <v>#N/A</v>
      </c>
      <c r="E1753" t="s">
        <v>52</v>
      </c>
      <c r="F1753" t="s">
        <v>28</v>
      </c>
      <c r="G1753" t="s">
        <v>29</v>
      </c>
      <c r="J1753" s="2">
        <v>47271</v>
      </c>
      <c r="K1753" s="2">
        <v>185</v>
      </c>
      <c r="L1753" s="2">
        <v>25939</v>
      </c>
      <c r="P1753" t="s">
        <v>3968</v>
      </c>
      <c r="R1753" t="s">
        <v>32</v>
      </c>
      <c r="S1753" t="s">
        <v>33</v>
      </c>
      <c r="U1753" t="s">
        <v>35</v>
      </c>
      <c r="X1753" t="s">
        <v>34</v>
      </c>
      <c r="Y1753" t="s">
        <v>45</v>
      </c>
      <c r="Z1753" t="s">
        <v>6180</v>
      </c>
      <c r="AA1753" t="s">
        <v>38</v>
      </c>
    </row>
    <row r="1754" spans="1:27" hidden="1">
      <c r="A1754" t="s">
        <v>6181</v>
      </c>
      <c r="B1754" t="s">
        <v>6179</v>
      </c>
      <c r="C1754" t="e">
        <f>VLOOKUP(B1754,Sheet2!$A$2:$A$392,1,0)</f>
        <v>#N/A</v>
      </c>
      <c r="E1754" t="s">
        <v>52</v>
      </c>
      <c r="F1754" t="s">
        <v>28</v>
      </c>
      <c r="G1754" t="s">
        <v>29</v>
      </c>
      <c r="J1754" s="2">
        <v>47271</v>
      </c>
      <c r="K1754" s="3">
        <v>185.73</v>
      </c>
      <c r="L1754" s="2">
        <v>25939</v>
      </c>
      <c r="M1754" s="2">
        <v>8135</v>
      </c>
      <c r="N1754">
        <v>11.7</v>
      </c>
      <c r="O1754" t="s">
        <v>482</v>
      </c>
      <c r="P1754" t="s">
        <v>3968</v>
      </c>
      <c r="R1754" t="s">
        <v>32</v>
      </c>
      <c r="S1754" t="s">
        <v>33</v>
      </c>
      <c r="U1754" t="s">
        <v>35</v>
      </c>
      <c r="V1754" s="2">
        <v>5</v>
      </c>
      <c r="X1754" t="s">
        <v>34</v>
      </c>
      <c r="Y1754" t="s">
        <v>45</v>
      </c>
      <c r="Z1754" t="s">
        <v>6182</v>
      </c>
      <c r="AA1754" t="s">
        <v>38</v>
      </c>
    </row>
    <row r="1755" spans="1:27" hidden="1">
      <c r="A1755" t="s">
        <v>6183</v>
      </c>
      <c r="B1755" t="s">
        <v>6184</v>
      </c>
      <c r="C1755" t="e">
        <f>VLOOKUP(B1755,Sheet2!$A$2:$A$392,1,0)</f>
        <v>#N/A</v>
      </c>
      <c r="E1755" t="s">
        <v>40</v>
      </c>
      <c r="F1755" t="s">
        <v>41</v>
      </c>
      <c r="G1755" t="s">
        <v>29</v>
      </c>
      <c r="I1755" t="s">
        <v>42</v>
      </c>
      <c r="J1755" s="2">
        <v>5000</v>
      </c>
      <c r="K1755" s="2">
        <v>82</v>
      </c>
      <c r="L1755" s="2">
        <v>2363</v>
      </c>
      <c r="P1755" t="s">
        <v>185</v>
      </c>
      <c r="R1755" t="s">
        <v>42</v>
      </c>
      <c r="S1755" t="s">
        <v>33</v>
      </c>
      <c r="T1755" t="s">
        <v>34</v>
      </c>
      <c r="U1755" t="s">
        <v>35</v>
      </c>
      <c r="X1755" t="s">
        <v>34</v>
      </c>
      <c r="Y1755" t="s">
        <v>45</v>
      </c>
      <c r="Z1755" t="s">
        <v>6185</v>
      </c>
      <c r="AA1755" t="s">
        <v>38</v>
      </c>
    </row>
    <row r="1756" spans="1:27">
      <c r="A1756" t="s">
        <v>6186</v>
      </c>
      <c r="B1756" t="s">
        <v>6187</v>
      </c>
      <c r="C1756" t="str">
        <f>VLOOKUP(B1756,Sheet2!$A$2:$A$392,1,0)</f>
        <v>TB. VINCENT - 1 / BG. MJL 3018</v>
      </c>
      <c r="E1756" t="s">
        <v>40</v>
      </c>
      <c r="F1756" t="s">
        <v>41</v>
      </c>
      <c r="G1756" t="s">
        <v>29</v>
      </c>
      <c r="I1756" t="s">
        <v>42</v>
      </c>
      <c r="J1756" s="2">
        <v>10000</v>
      </c>
      <c r="K1756" s="2">
        <v>91</v>
      </c>
      <c r="L1756" s="2">
        <v>3596</v>
      </c>
      <c r="P1756" t="s">
        <v>5214</v>
      </c>
      <c r="R1756" t="s">
        <v>42</v>
      </c>
      <c r="S1756" t="s">
        <v>33</v>
      </c>
      <c r="T1756" t="s">
        <v>34</v>
      </c>
      <c r="U1756" t="s">
        <v>44</v>
      </c>
      <c r="X1756" t="s">
        <v>34</v>
      </c>
      <c r="Y1756" t="s">
        <v>45</v>
      </c>
      <c r="Z1756" t="s">
        <v>6188</v>
      </c>
      <c r="AA1756" t="s">
        <v>38</v>
      </c>
    </row>
    <row r="1757" spans="1:27" hidden="1">
      <c r="A1757" t="s">
        <v>6189</v>
      </c>
      <c r="B1757" t="s">
        <v>6190</v>
      </c>
      <c r="C1757" t="e">
        <f>VLOOKUP(B1757,Sheet2!$A$2:$A$392,1,0)</f>
        <v>#N/A</v>
      </c>
      <c r="E1757" t="s">
        <v>196</v>
      </c>
      <c r="F1757" t="s">
        <v>41</v>
      </c>
      <c r="G1757" t="s">
        <v>907</v>
      </c>
      <c r="J1757" s="2">
        <v>9636</v>
      </c>
      <c r="K1757">
        <v>109.9</v>
      </c>
      <c r="L1757" s="2">
        <v>6943</v>
      </c>
      <c r="O1757" t="s">
        <v>1606</v>
      </c>
      <c r="P1757" t="s">
        <v>3563</v>
      </c>
      <c r="R1757" t="s">
        <v>42</v>
      </c>
      <c r="S1757" t="s">
        <v>33</v>
      </c>
      <c r="U1757" t="s">
        <v>35</v>
      </c>
      <c r="V1757" s="2">
        <v>8</v>
      </c>
      <c r="X1757" t="s">
        <v>34</v>
      </c>
      <c r="Y1757" t="s">
        <v>154</v>
      </c>
      <c r="Z1757" t="s">
        <v>6191</v>
      </c>
      <c r="AA1757" t="s">
        <v>38</v>
      </c>
    </row>
    <row r="1758" spans="1:27" hidden="1">
      <c r="A1758" t="s">
        <v>6192</v>
      </c>
      <c r="B1758" t="s">
        <v>6193</v>
      </c>
      <c r="C1758" t="e">
        <f>VLOOKUP(B1758,Sheet2!$A$2:$A$392,1,0)</f>
        <v>#N/A</v>
      </c>
      <c r="E1758" t="s">
        <v>27</v>
      </c>
      <c r="F1758" t="s">
        <v>41</v>
      </c>
      <c r="G1758" t="s">
        <v>158</v>
      </c>
      <c r="J1758" s="2">
        <v>8222</v>
      </c>
      <c r="K1758" s="2">
        <v>104</v>
      </c>
      <c r="L1758" s="2">
        <v>6635</v>
      </c>
      <c r="M1758" s="2">
        <v>4000</v>
      </c>
      <c r="N1758" s="2">
        <v>7</v>
      </c>
      <c r="O1758" t="s">
        <v>159</v>
      </c>
      <c r="P1758" t="s">
        <v>6176</v>
      </c>
      <c r="R1758" t="s">
        <v>581</v>
      </c>
      <c r="S1758" t="s">
        <v>33</v>
      </c>
      <c r="U1758" t="s">
        <v>35</v>
      </c>
      <c r="W1758" t="s">
        <v>63</v>
      </c>
      <c r="X1758" t="s">
        <v>34</v>
      </c>
      <c r="Y1758" t="s">
        <v>64</v>
      </c>
      <c r="Z1758" t="s">
        <v>6194</v>
      </c>
      <c r="AA1758" t="s">
        <v>38</v>
      </c>
    </row>
    <row r="1759" spans="1:27">
      <c r="A1759" t="s">
        <v>6195</v>
      </c>
      <c r="B1759" t="s">
        <v>6196</v>
      </c>
      <c r="C1759" t="str">
        <f>VLOOKUP(B1759,Sheet2!$A$2:$A$392,1,0)</f>
        <v>MV. VOSCO SKY</v>
      </c>
      <c r="E1759" t="s">
        <v>52</v>
      </c>
      <c r="F1759" t="s">
        <v>28</v>
      </c>
      <c r="G1759" t="s">
        <v>59</v>
      </c>
      <c r="I1759" t="s">
        <v>352</v>
      </c>
      <c r="J1759" s="2">
        <v>52523</v>
      </c>
      <c r="K1759" s="3">
        <v>188.98</v>
      </c>
      <c r="L1759" s="2">
        <v>29367</v>
      </c>
      <c r="O1759" t="s">
        <v>61</v>
      </c>
      <c r="P1759" t="s">
        <v>6197</v>
      </c>
      <c r="Q1759" t="s">
        <v>34</v>
      </c>
      <c r="R1759" t="s">
        <v>352</v>
      </c>
      <c r="S1759" t="s">
        <v>33</v>
      </c>
      <c r="T1759" t="s">
        <v>34</v>
      </c>
      <c r="U1759" t="s">
        <v>35</v>
      </c>
      <c r="W1759" t="s">
        <v>63</v>
      </c>
      <c r="X1759" t="s">
        <v>34</v>
      </c>
      <c r="Y1759" t="s">
        <v>64</v>
      </c>
      <c r="Z1759" t="s">
        <v>6198</v>
      </c>
      <c r="AA1759" t="s">
        <v>38</v>
      </c>
    </row>
    <row r="1760" spans="1:27" hidden="1">
      <c r="A1760" t="s">
        <v>6199</v>
      </c>
      <c r="B1760" t="s">
        <v>6200</v>
      </c>
      <c r="C1760" t="e">
        <f>VLOOKUP(B1760,Sheet2!$A$2:$A$392,1,0)</f>
        <v>#N/A</v>
      </c>
      <c r="E1760" t="s">
        <v>52</v>
      </c>
      <c r="F1760" t="s">
        <v>28</v>
      </c>
      <c r="G1760" t="s">
        <v>59</v>
      </c>
      <c r="I1760" t="s">
        <v>2635</v>
      </c>
      <c r="J1760" s="2">
        <v>58129</v>
      </c>
      <c r="K1760" s="3">
        <v>189.99</v>
      </c>
      <c r="L1760" s="2">
        <v>32343</v>
      </c>
      <c r="O1760" t="s">
        <v>61</v>
      </c>
      <c r="P1760" t="s">
        <v>3990</v>
      </c>
      <c r="R1760" t="s">
        <v>2635</v>
      </c>
      <c r="S1760" t="s">
        <v>33</v>
      </c>
      <c r="T1760" t="s">
        <v>34</v>
      </c>
      <c r="U1760" t="s">
        <v>35</v>
      </c>
      <c r="W1760" t="s">
        <v>63</v>
      </c>
      <c r="X1760" t="s">
        <v>34</v>
      </c>
      <c r="Y1760" t="s">
        <v>64</v>
      </c>
      <c r="Z1760" t="s">
        <v>6201</v>
      </c>
      <c r="AA1760" t="s">
        <v>38</v>
      </c>
    </row>
    <row r="1761" spans="1:27" hidden="1">
      <c r="A1761" t="s">
        <v>6202</v>
      </c>
      <c r="B1761" t="s">
        <v>6203</v>
      </c>
      <c r="C1761" t="e">
        <f>VLOOKUP(B1761,Sheet2!$A$2:$A$392,1,0)</f>
        <v>#N/A</v>
      </c>
      <c r="E1761" t="s">
        <v>40</v>
      </c>
      <c r="G1761" t="s">
        <v>115</v>
      </c>
      <c r="I1761" t="s">
        <v>42</v>
      </c>
      <c r="J1761" s="2">
        <v>659</v>
      </c>
      <c r="K1761" s="2">
        <v>2499</v>
      </c>
      <c r="L1761" s="2">
        <v>189</v>
      </c>
      <c r="P1761" t="s">
        <v>6204</v>
      </c>
      <c r="S1761" t="s">
        <v>33</v>
      </c>
      <c r="X1761" t="s">
        <v>34</v>
      </c>
      <c r="AA1761" t="s">
        <v>38</v>
      </c>
    </row>
    <row r="1762" spans="1:27">
      <c r="A1762" t="s">
        <v>6205</v>
      </c>
      <c r="B1762" t="s">
        <v>6206</v>
      </c>
      <c r="C1762" t="str">
        <f>VLOOKUP(B1762,Sheet2!$A$2:$A$392,1,0)</f>
        <v>MV. VW PRIDE</v>
      </c>
      <c r="E1762" t="s">
        <v>52</v>
      </c>
      <c r="F1762" t="s">
        <v>28</v>
      </c>
      <c r="G1762" t="s">
        <v>59</v>
      </c>
      <c r="I1762" t="s">
        <v>301</v>
      </c>
      <c r="J1762" s="2">
        <v>52380</v>
      </c>
      <c r="K1762" s="3">
        <v>189.99</v>
      </c>
      <c r="L1762" s="2">
        <v>30053</v>
      </c>
      <c r="O1762" t="s">
        <v>61</v>
      </c>
      <c r="P1762" t="s">
        <v>6207</v>
      </c>
      <c r="R1762" t="s">
        <v>301</v>
      </c>
      <c r="S1762" t="s">
        <v>33</v>
      </c>
      <c r="T1762" t="s">
        <v>34</v>
      </c>
      <c r="U1762" t="s">
        <v>44</v>
      </c>
      <c r="W1762" t="s">
        <v>63</v>
      </c>
      <c r="X1762" t="s">
        <v>34</v>
      </c>
      <c r="Y1762" t="s">
        <v>64</v>
      </c>
      <c r="Z1762" t="s">
        <v>6208</v>
      </c>
      <c r="AA1762" t="s">
        <v>38</v>
      </c>
    </row>
    <row r="1763" spans="1:27">
      <c r="A1763" t="s">
        <v>6209</v>
      </c>
      <c r="B1763" t="s">
        <v>6210</v>
      </c>
      <c r="C1763" t="str">
        <f>VLOOKUP(B1763,Sheet2!$A$2:$A$392,1,0)</f>
        <v>TB. VOYAGER 17 / BG. AZAMARA 3037</v>
      </c>
      <c r="E1763" t="s">
        <v>40</v>
      </c>
      <c r="F1763" t="s">
        <v>41</v>
      </c>
      <c r="G1763" t="s">
        <v>29</v>
      </c>
      <c r="I1763" t="s">
        <v>42</v>
      </c>
      <c r="J1763" s="2">
        <v>8000</v>
      </c>
      <c r="K1763" s="2">
        <v>91</v>
      </c>
      <c r="L1763" s="2">
        <v>4000</v>
      </c>
      <c r="P1763" t="s">
        <v>6122</v>
      </c>
      <c r="R1763" t="s">
        <v>42</v>
      </c>
      <c r="S1763" t="s">
        <v>33</v>
      </c>
      <c r="T1763" t="s">
        <v>34</v>
      </c>
      <c r="U1763" t="s">
        <v>44</v>
      </c>
      <c r="X1763" t="s">
        <v>34</v>
      </c>
      <c r="Y1763" t="s">
        <v>45</v>
      </c>
      <c r="Z1763" t="s">
        <v>6211</v>
      </c>
      <c r="AA1763" t="s">
        <v>38</v>
      </c>
    </row>
    <row r="1764" spans="1:27" hidden="1">
      <c r="A1764" t="s">
        <v>6212</v>
      </c>
      <c r="B1764" t="s">
        <v>6213</v>
      </c>
      <c r="C1764" t="e">
        <f>VLOOKUP(B1764,Sheet2!$A$2:$A$392,1,0)</f>
        <v>#N/A</v>
      </c>
      <c r="E1764" t="s">
        <v>40</v>
      </c>
      <c r="F1764" t="s">
        <v>41</v>
      </c>
      <c r="G1764" t="s">
        <v>29</v>
      </c>
      <c r="I1764" t="s">
        <v>42</v>
      </c>
      <c r="J1764" s="2">
        <v>8000</v>
      </c>
      <c r="K1764" s="2">
        <v>91</v>
      </c>
      <c r="L1764" s="2">
        <v>3401</v>
      </c>
      <c r="N1764" s="2">
        <v>4</v>
      </c>
      <c r="P1764" t="s">
        <v>185</v>
      </c>
      <c r="R1764" t="s">
        <v>42</v>
      </c>
      <c r="S1764" t="s">
        <v>33</v>
      </c>
      <c r="T1764" t="s">
        <v>34</v>
      </c>
      <c r="U1764" t="s">
        <v>35</v>
      </c>
      <c r="X1764" t="s">
        <v>34</v>
      </c>
      <c r="Y1764" t="s">
        <v>45</v>
      </c>
      <c r="Z1764" t="s">
        <v>6214</v>
      </c>
      <c r="AA1764" t="s">
        <v>38</v>
      </c>
    </row>
    <row r="1765" spans="1:27">
      <c r="A1765" t="s">
        <v>6215</v>
      </c>
      <c r="B1765" t="s">
        <v>6216</v>
      </c>
      <c r="C1765" t="str">
        <f>VLOOKUP(B1765,Sheet2!$A$2:$A$392,1,0)</f>
        <v>TB. VOYAGER 3 / BG. AZAMARA 3033</v>
      </c>
      <c r="E1765" t="s">
        <v>40</v>
      </c>
      <c r="F1765" t="s">
        <v>41</v>
      </c>
      <c r="G1765" t="s">
        <v>29</v>
      </c>
      <c r="I1765" t="s">
        <v>42</v>
      </c>
      <c r="J1765" s="2">
        <v>9806</v>
      </c>
      <c r="K1765" s="2">
        <v>91</v>
      </c>
      <c r="L1765" s="2">
        <v>3788</v>
      </c>
      <c r="P1765" t="s">
        <v>6217</v>
      </c>
      <c r="R1765" t="s">
        <v>42</v>
      </c>
      <c r="S1765" t="s">
        <v>33</v>
      </c>
      <c r="T1765" t="s">
        <v>34</v>
      </c>
      <c r="U1765" t="s">
        <v>44</v>
      </c>
      <c r="X1765" t="s">
        <v>34</v>
      </c>
      <c r="Y1765" t="s">
        <v>45</v>
      </c>
      <c r="Z1765" t="s">
        <v>6218</v>
      </c>
      <c r="AA1765" t="s">
        <v>38</v>
      </c>
    </row>
    <row r="1766" spans="1:27">
      <c r="A1766" t="s">
        <v>6219</v>
      </c>
      <c r="B1766" t="s">
        <v>6220</v>
      </c>
      <c r="C1766" t="str">
        <f>VLOOKUP(B1766,Sheet2!$A$2:$A$392,1,0)</f>
        <v>TB. VOYAGER 6 / BG. AZAMARA 3302</v>
      </c>
      <c r="E1766" t="s">
        <v>40</v>
      </c>
      <c r="F1766" t="s">
        <v>41</v>
      </c>
      <c r="G1766" t="s">
        <v>29</v>
      </c>
      <c r="I1766" t="s">
        <v>42</v>
      </c>
      <c r="J1766" s="2">
        <v>10000</v>
      </c>
      <c r="K1766" s="2">
        <v>100</v>
      </c>
      <c r="L1766" s="2">
        <v>4764</v>
      </c>
      <c r="P1766" t="s">
        <v>6221</v>
      </c>
      <c r="R1766" t="s">
        <v>42</v>
      </c>
      <c r="S1766" t="s">
        <v>33</v>
      </c>
      <c r="T1766" t="s">
        <v>34</v>
      </c>
      <c r="U1766" t="s">
        <v>44</v>
      </c>
      <c r="X1766" t="s">
        <v>34</v>
      </c>
      <c r="Y1766" t="s">
        <v>45</v>
      </c>
      <c r="Z1766" t="s">
        <v>6222</v>
      </c>
      <c r="AA1766" t="s">
        <v>38</v>
      </c>
    </row>
    <row r="1767" spans="1:27" hidden="1">
      <c r="A1767" t="s">
        <v>6223</v>
      </c>
      <c r="B1767" t="s">
        <v>6224</v>
      </c>
      <c r="C1767" t="e">
        <f>VLOOKUP(B1767,Sheet2!$A$2:$A$392,1,0)</f>
        <v>#N/A</v>
      </c>
      <c r="E1767" t="s">
        <v>40</v>
      </c>
      <c r="G1767" t="s">
        <v>629</v>
      </c>
      <c r="I1767" t="s">
        <v>42</v>
      </c>
      <c r="J1767" s="2">
        <v>109</v>
      </c>
      <c r="K1767" s="3">
        <v>23.52</v>
      </c>
      <c r="L1767" s="2">
        <v>109</v>
      </c>
      <c r="P1767" t="s">
        <v>6225</v>
      </c>
      <c r="S1767" t="s">
        <v>33</v>
      </c>
      <c r="X1767" t="s">
        <v>34</v>
      </c>
      <c r="AA1767" t="s">
        <v>38</v>
      </c>
    </row>
    <row r="1768" spans="1:27" hidden="1">
      <c r="A1768" t="s">
        <v>6226</v>
      </c>
      <c r="B1768" t="s">
        <v>6227</v>
      </c>
      <c r="C1768" t="e">
        <f>VLOOKUP(B1768,Sheet2!$A$2:$A$392,1,0)</f>
        <v>#N/A</v>
      </c>
      <c r="E1768" t="s">
        <v>40</v>
      </c>
      <c r="F1768" t="s">
        <v>41</v>
      </c>
      <c r="G1768" t="s">
        <v>158</v>
      </c>
      <c r="I1768" t="s">
        <v>42</v>
      </c>
      <c r="J1768" s="2">
        <v>0</v>
      </c>
      <c r="K1768" s="3">
        <v>87.84</v>
      </c>
      <c r="L1768" s="2">
        <v>3143</v>
      </c>
      <c r="O1768" t="s">
        <v>159</v>
      </c>
      <c r="P1768" t="s">
        <v>6228</v>
      </c>
      <c r="R1768" t="s">
        <v>32</v>
      </c>
      <c r="S1768" t="s">
        <v>33</v>
      </c>
      <c r="T1768" t="s">
        <v>34</v>
      </c>
      <c r="U1768" t="s">
        <v>35</v>
      </c>
      <c r="V1768" s="2">
        <v>0</v>
      </c>
      <c r="W1768" t="s">
        <v>63</v>
      </c>
      <c r="X1768" t="s">
        <v>34</v>
      </c>
      <c r="Y1768" t="s">
        <v>64</v>
      </c>
      <c r="Z1768" t="s">
        <v>6229</v>
      </c>
      <c r="AA1768" t="s">
        <v>38</v>
      </c>
    </row>
    <row r="1769" spans="1:27" hidden="1">
      <c r="A1769" t="s">
        <v>6230</v>
      </c>
      <c r="B1769" t="s">
        <v>6231</v>
      </c>
      <c r="C1769" t="e">
        <f>VLOOKUP(B1769,Sheet2!$A$2:$A$392,1,0)</f>
        <v>#N/A</v>
      </c>
      <c r="E1769" t="s">
        <v>52</v>
      </c>
      <c r="F1769" t="s">
        <v>28</v>
      </c>
      <c r="G1769" t="s">
        <v>59</v>
      </c>
      <c r="I1769" t="s">
        <v>6232</v>
      </c>
      <c r="J1769" s="2">
        <v>57281</v>
      </c>
      <c r="K1769" s="2">
        <v>190</v>
      </c>
      <c r="L1769" s="2">
        <v>33295</v>
      </c>
      <c r="M1769" s="2">
        <v>8650</v>
      </c>
      <c r="N1769" s="2">
        <v>13</v>
      </c>
      <c r="P1769" t="s">
        <v>6233</v>
      </c>
      <c r="R1769" t="s">
        <v>32</v>
      </c>
      <c r="S1769" t="s">
        <v>33</v>
      </c>
      <c r="T1769" t="s">
        <v>34</v>
      </c>
      <c r="U1769" t="s">
        <v>35</v>
      </c>
      <c r="V1769" s="2">
        <v>5</v>
      </c>
      <c r="W1769" t="s">
        <v>63</v>
      </c>
      <c r="X1769" t="s">
        <v>34</v>
      </c>
      <c r="Y1769" t="s">
        <v>64</v>
      </c>
      <c r="Z1769" t="s">
        <v>6234</v>
      </c>
      <c r="AA1769" t="s">
        <v>38</v>
      </c>
    </row>
    <row r="1770" spans="1:27" hidden="1">
      <c r="A1770" t="s">
        <v>6235</v>
      </c>
      <c r="B1770" t="s">
        <v>6236</v>
      </c>
      <c r="C1770" t="e">
        <f>VLOOKUP(B1770,Sheet2!$A$2:$A$392,1,0)</f>
        <v>#N/A</v>
      </c>
      <c r="E1770" t="s">
        <v>40</v>
      </c>
      <c r="F1770" t="s">
        <v>41</v>
      </c>
      <c r="G1770" t="s">
        <v>29</v>
      </c>
      <c r="I1770" t="s">
        <v>42</v>
      </c>
      <c r="J1770" s="2">
        <v>5000</v>
      </c>
      <c r="K1770" s="2">
        <v>73</v>
      </c>
      <c r="L1770" s="2">
        <v>2012</v>
      </c>
      <c r="P1770" t="s">
        <v>185</v>
      </c>
      <c r="R1770" t="s">
        <v>42</v>
      </c>
      <c r="S1770" t="s">
        <v>33</v>
      </c>
      <c r="T1770" t="s">
        <v>34</v>
      </c>
      <c r="U1770" t="s">
        <v>35</v>
      </c>
      <c r="X1770" t="s">
        <v>34</v>
      </c>
      <c r="Y1770" t="s">
        <v>45</v>
      </c>
      <c r="Z1770" t="s">
        <v>4481</v>
      </c>
      <c r="AA1770" t="s">
        <v>38</v>
      </c>
    </row>
    <row r="1771" spans="1:27" hidden="1">
      <c r="A1771" t="s">
        <v>6237</v>
      </c>
      <c r="B1771" t="s">
        <v>6238</v>
      </c>
      <c r="C1771" t="e">
        <f>VLOOKUP(B1771,Sheet2!$A$2:$A$392,1,0)</f>
        <v>#N/A</v>
      </c>
      <c r="E1771" t="s">
        <v>52</v>
      </c>
      <c r="F1771" t="s">
        <v>28</v>
      </c>
      <c r="G1771" t="s">
        <v>29</v>
      </c>
      <c r="I1771" t="s">
        <v>301</v>
      </c>
      <c r="J1771" s="2">
        <v>38195</v>
      </c>
      <c r="K1771" s="2">
        <v>183</v>
      </c>
      <c r="L1771" s="2">
        <v>24649</v>
      </c>
      <c r="P1771" t="s">
        <v>6239</v>
      </c>
      <c r="R1771" t="s">
        <v>32</v>
      </c>
      <c r="S1771" t="s">
        <v>33</v>
      </c>
      <c r="T1771" t="s">
        <v>34</v>
      </c>
      <c r="U1771" t="s">
        <v>35</v>
      </c>
      <c r="X1771" t="s">
        <v>34</v>
      </c>
      <c r="Y1771" t="s">
        <v>45</v>
      </c>
      <c r="Z1771" t="s">
        <v>6240</v>
      </c>
      <c r="AA1771" t="s">
        <v>38</v>
      </c>
    </row>
    <row r="1772" spans="1:27" hidden="1">
      <c r="A1772" t="s">
        <v>6241</v>
      </c>
      <c r="B1772" t="s">
        <v>6242</v>
      </c>
      <c r="C1772" t="e">
        <f>VLOOKUP(B1772,Sheet2!$A$2:$A$392,1,0)</f>
        <v>#N/A</v>
      </c>
      <c r="E1772" t="s">
        <v>27</v>
      </c>
      <c r="F1772" t="s">
        <v>41</v>
      </c>
      <c r="G1772" t="s">
        <v>29</v>
      </c>
      <c r="I1772" t="s">
        <v>42</v>
      </c>
      <c r="J1772" s="2">
        <v>1000</v>
      </c>
      <c r="K1772" s="2">
        <v>55</v>
      </c>
      <c r="L1772" s="2">
        <v>792</v>
      </c>
      <c r="M1772" s="2">
        <v>1000</v>
      </c>
      <c r="N1772" s="2">
        <v>5</v>
      </c>
      <c r="P1772" t="s">
        <v>6243</v>
      </c>
      <c r="R1772" t="s">
        <v>32</v>
      </c>
      <c r="S1772" t="s">
        <v>33</v>
      </c>
      <c r="T1772" t="s">
        <v>34</v>
      </c>
      <c r="U1772" t="s">
        <v>35</v>
      </c>
      <c r="X1772" t="s">
        <v>34</v>
      </c>
      <c r="Y1772" t="s">
        <v>45</v>
      </c>
      <c r="Z1772" t="s">
        <v>6244</v>
      </c>
      <c r="AA1772" t="s">
        <v>38</v>
      </c>
    </row>
    <row r="1773" spans="1:27" hidden="1">
      <c r="A1773" t="s">
        <v>6245</v>
      </c>
      <c r="B1773" t="s">
        <v>6246</v>
      </c>
      <c r="C1773" t="e">
        <f>VLOOKUP(B1773,Sheet2!$A$2:$A$392,1,0)</f>
        <v>#N/A</v>
      </c>
      <c r="E1773" t="s">
        <v>249</v>
      </c>
      <c r="G1773" t="s">
        <v>250</v>
      </c>
      <c r="I1773" t="s">
        <v>42</v>
      </c>
      <c r="J1773" s="2">
        <v>8180</v>
      </c>
      <c r="K1773">
        <v>119.9</v>
      </c>
      <c r="L1773" s="2">
        <v>6640</v>
      </c>
      <c r="P1773" t="s">
        <v>6247</v>
      </c>
      <c r="S1773" t="s">
        <v>33</v>
      </c>
      <c r="X1773" t="s">
        <v>34</v>
      </c>
      <c r="AA1773" t="s">
        <v>38</v>
      </c>
    </row>
    <row r="1774" spans="1:27" hidden="1">
      <c r="A1774" t="s">
        <v>6248</v>
      </c>
      <c r="B1774" t="s">
        <v>6249</v>
      </c>
      <c r="C1774" t="e">
        <f>VLOOKUP(B1774,Sheet2!$A$2:$A$392,1,0)</f>
        <v>#N/A</v>
      </c>
      <c r="E1774" t="s">
        <v>52</v>
      </c>
      <c r="F1774" t="s">
        <v>28</v>
      </c>
      <c r="G1774" t="s">
        <v>59</v>
      </c>
      <c r="I1774" t="s">
        <v>301</v>
      </c>
      <c r="J1774" s="2">
        <v>55816</v>
      </c>
      <c r="K1774" s="3">
        <v>189.99</v>
      </c>
      <c r="L1774" s="2">
        <v>31882</v>
      </c>
      <c r="O1774" t="s">
        <v>61</v>
      </c>
      <c r="P1774" t="s">
        <v>6250</v>
      </c>
      <c r="R1774" t="s">
        <v>301</v>
      </c>
      <c r="S1774" t="s">
        <v>33</v>
      </c>
      <c r="T1774" t="s">
        <v>34</v>
      </c>
      <c r="U1774" t="s">
        <v>35</v>
      </c>
      <c r="W1774" t="s">
        <v>63</v>
      </c>
      <c r="X1774" t="s">
        <v>34</v>
      </c>
      <c r="Y1774" t="s">
        <v>64</v>
      </c>
      <c r="Z1774" t="s">
        <v>6251</v>
      </c>
      <c r="AA1774" t="s">
        <v>38</v>
      </c>
    </row>
    <row r="1775" spans="1:27" hidden="1">
      <c r="A1775" t="s">
        <v>6252</v>
      </c>
      <c r="B1775" t="s">
        <v>6253</v>
      </c>
      <c r="C1775" t="e">
        <f>VLOOKUP(B1775,Sheet2!$A$2:$A$392,1,0)</f>
        <v>#N/A</v>
      </c>
      <c r="E1775" t="s">
        <v>52</v>
      </c>
      <c r="F1775" t="s">
        <v>28</v>
      </c>
      <c r="G1775" t="s">
        <v>29</v>
      </c>
      <c r="J1775" s="2">
        <v>0</v>
      </c>
      <c r="K1775" s="2">
        <v>0</v>
      </c>
      <c r="L1775" s="2">
        <v>0</v>
      </c>
      <c r="M1775" s="2">
        <v>8567</v>
      </c>
      <c r="N1775" s="2">
        <v>11</v>
      </c>
      <c r="P1775" t="s">
        <v>4073</v>
      </c>
      <c r="R1775" t="s">
        <v>244</v>
      </c>
      <c r="S1775" t="s">
        <v>33</v>
      </c>
      <c r="T1775" t="s">
        <v>34</v>
      </c>
      <c r="U1775" t="s">
        <v>35</v>
      </c>
      <c r="V1775" s="2">
        <v>4</v>
      </c>
      <c r="X1775" t="s">
        <v>34</v>
      </c>
      <c r="Y1775" t="s">
        <v>6254</v>
      </c>
      <c r="Z1775" t="s">
        <v>6255</v>
      </c>
      <c r="AA1775" t="s">
        <v>38</v>
      </c>
    </row>
    <row r="1776" spans="1:27" hidden="1">
      <c r="A1776" t="s">
        <v>6256</v>
      </c>
      <c r="B1776" t="s">
        <v>6257</v>
      </c>
      <c r="C1776" t="e">
        <f>VLOOKUP(B1776,Sheet2!$A$2:$A$392,1,0)</f>
        <v>#N/A</v>
      </c>
      <c r="E1776" t="s">
        <v>27</v>
      </c>
      <c r="F1776" t="s">
        <v>41</v>
      </c>
      <c r="G1776" t="s">
        <v>29</v>
      </c>
      <c r="I1776" t="s">
        <v>42</v>
      </c>
      <c r="J1776" s="2">
        <v>1200</v>
      </c>
      <c r="K1776" s="2">
        <v>88</v>
      </c>
      <c r="L1776" s="2">
        <v>1000</v>
      </c>
      <c r="M1776" s="2">
        <v>10000</v>
      </c>
      <c r="N1776" s="2">
        <v>5</v>
      </c>
      <c r="O1776" t="s">
        <v>254</v>
      </c>
      <c r="P1776" t="s">
        <v>6256</v>
      </c>
      <c r="Q1776" t="s">
        <v>34</v>
      </c>
      <c r="R1776" t="s">
        <v>42</v>
      </c>
      <c r="S1776" t="s">
        <v>33</v>
      </c>
      <c r="T1776" t="s">
        <v>34</v>
      </c>
      <c r="U1776" t="s">
        <v>44</v>
      </c>
      <c r="X1776" t="s">
        <v>34</v>
      </c>
      <c r="Y1776" t="s">
        <v>45</v>
      </c>
      <c r="Z1776" t="s">
        <v>6258</v>
      </c>
      <c r="AA1776" t="s">
        <v>38</v>
      </c>
    </row>
    <row r="1777" spans="1:27" hidden="1">
      <c r="A1777" t="s">
        <v>6259</v>
      </c>
      <c r="B1777" t="s">
        <v>6260</v>
      </c>
      <c r="C1777" t="e">
        <f>VLOOKUP(B1777,Sheet2!$A$2:$A$392,1,0)</f>
        <v>#N/A</v>
      </c>
      <c r="E1777" t="s">
        <v>196</v>
      </c>
      <c r="F1777" t="s">
        <v>41</v>
      </c>
      <c r="G1777" t="s">
        <v>29</v>
      </c>
      <c r="I1777" t="s">
        <v>42</v>
      </c>
      <c r="J1777" s="2">
        <v>4438</v>
      </c>
      <c r="K1777" s="2">
        <v>110</v>
      </c>
      <c r="L1777" s="2">
        <v>2343</v>
      </c>
      <c r="O1777" t="s">
        <v>482</v>
      </c>
      <c r="P1777" t="s">
        <v>6261</v>
      </c>
      <c r="R1777" t="s">
        <v>32</v>
      </c>
      <c r="S1777" t="s">
        <v>33</v>
      </c>
      <c r="T1777" t="s">
        <v>34</v>
      </c>
      <c r="U1777" t="s">
        <v>35</v>
      </c>
      <c r="X1777" t="s">
        <v>147</v>
      </c>
      <c r="Y1777" t="s">
        <v>45</v>
      </c>
      <c r="Z1777" t="s">
        <v>6262</v>
      </c>
      <c r="AA1777" t="s">
        <v>38</v>
      </c>
    </row>
    <row r="1778" spans="1:27" hidden="1">
      <c r="A1778" t="s">
        <v>6263</v>
      </c>
      <c r="B1778" t="s">
        <v>6264</v>
      </c>
      <c r="C1778" t="e">
        <f>VLOOKUP(B1778,Sheet2!$A$2:$A$392,1,0)</f>
        <v>#N/A</v>
      </c>
      <c r="E1778" t="s">
        <v>40</v>
      </c>
      <c r="G1778" t="s">
        <v>125</v>
      </c>
      <c r="I1778" t="s">
        <v>42</v>
      </c>
      <c r="J1778" s="2">
        <v>249</v>
      </c>
      <c r="K1778" s="3">
        <v>29.59</v>
      </c>
      <c r="L1778" s="2">
        <v>249</v>
      </c>
      <c r="P1778" t="s">
        <v>6265</v>
      </c>
      <c r="S1778" t="s">
        <v>33</v>
      </c>
      <c r="X1778" t="s">
        <v>34</v>
      </c>
      <c r="AA1778" t="s">
        <v>38</v>
      </c>
    </row>
    <row r="1779" spans="1:27">
      <c r="A1779" t="s">
        <v>6266</v>
      </c>
      <c r="B1779" t="s">
        <v>6267</v>
      </c>
      <c r="C1779" t="str">
        <f>VLOOKUP(B1779,Sheet2!$A$2:$A$392,1,0)</f>
        <v>TB. PACIFIC TWENTY EIGHT / BG. PACIFIC 3028</v>
      </c>
      <c r="E1779" t="s">
        <v>40</v>
      </c>
      <c r="F1779" t="s">
        <v>41</v>
      </c>
      <c r="G1779" t="s">
        <v>293</v>
      </c>
      <c r="J1779" s="2">
        <v>8000</v>
      </c>
      <c r="K1779" s="3">
        <v>91.44</v>
      </c>
      <c r="L1779" s="2">
        <v>3271</v>
      </c>
      <c r="M1779" s="2">
        <v>1518</v>
      </c>
      <c r="N1779">
        <v>5.4859999999999998</v>
      </c>
      <c r="O1779" t="s">
        <v>294</v>
      </c>
      <c r="P1779" t="s">
        <v>6268</v>
      </c>
      <c r="R1779" t="s">
        <v>42</v>
      </c>
      <c r="S1779" t="s">
        <v>33</v>
      </c>
      <c r="U1779" t="s">
        <v>35</v>
      </c>
      <c r="W1779" t="s">
        <v>63</v>
      </c>
      <c r="X1779" t="s">
        <v>34</v>
      </c>
      <c r="Y1779" t="s">
        <v>64</v>
      </c>
      <c r="Z1779" t="s">
        <v>6269</v>
      </c>
      <c r="AA1779" t="s">
        <v>38</v>
      </c>
    </row>
    <row r="1780" spans="1:27">
      <c r="A1780" t="s">
        <v>6270</v>
      </c>
      <c r="B1780" t="s">
        <v>6271</v>
      </c>
      <c r="C1780" t="str">
        <f>VLOOKUP(B1780,Sheet2!$A$2:$A$392,1,0)</f>
        <v>MV. BAIK</v>
      </c>
      <c r="E1780" t="s">
        <v>196</v>
      </c>
      <c r="F1780" t="s">
        <v>41</v>
      </c>
      <c r="G1780" t="s">
        <v>907</v>
      </c>
      <c r="J1780" s="2">
        <v>5620</v>
      </c>
      <c r="K1780">
        <v>93.2</v>
      </c>
      <c r="L1780" s="2">
        <v>3541</v>
      </c>
      <c r="P1780" t="s">
        <v>6272</v>
      </c>
      <c r="Q1780" t="s">
        <v>34</v>
      </c>
      <c r="R1780" t="s">
        <v>32</v>
      </c>
      <c r="S1780" t="s">
        <v>33</v>
      </c>
      <c r="U1780" t="s">
        <v>35</v>
      </c>
      <c r="X1780" t="s">
        <v>34</v>
      </c>
      <c r="Y1780" t="s">
        <v>45</v>
      </c>
      <c r="Z1780" t="s">
        <v>6273</v>
      </c>
      <c r="AA1780" t="s">
        <v>38</v>
      </c>
    </row>
    <row r="1781" spans="1:27">
      <c r="A1781" t="s">
        <v>6274</v>
      </c>
      <c r="B1781" t="s">
        <v>703</v>
      </c>
      <c r="C1781" t="str">
        <f>VLOOKUP(B1781,Sheet2!$A$2:$A$392,1,0)</f>
        <v>TB. SMS 160 10 / BG. SMS 10</v>
      </c>
      <c r="E1781" t="s">
        <v>40</v>
      </c>
      <c r="F1781" t="s">
        <v>41</v>
      </c>
      <c r="I1781" t="s">
        <v>42</v>
      </c>
      <c r="J1781" s="2">
        <v>8000</v>
      </c>
      <c r="K1781" s="2">
        <v>92</v>
      </c>
      <c r="L1781" s="2">
        <v>3197</v>
      </c>
      <c r="M1781" s="2">
        <v>1220</v>
      </c>
      <c r="N1781">
        <v>5.5</v>
      </c>
      <c r="O1781" t="s">
        <v>294</v>
      </c>
      <c r="P1781" t="s">
        <v>704</v>
      </c>
      <c r="R1781" t="s">
        <v>42</v>
      </c>
      <c r="S1781" t="s">
        <v>33</v>
      </c>
      <c r="T1781" t="s">
        <v>34</v>
      </c>
      <c r="U1781" t="s">
        <v>35</v>
      </c>
      <c r="W1781" t="s">
        <v>63</v>
      </c>
      <c r="X1781" t="s">
        <v>147</v>
      </c>
      <c r="Y1781" t="s">
        <v>64</v>
      </c>
      <c r="Z1781" t="s">
        <v>6275</v>
      </c>
      <c r="AA1781" t="s">
        <v>38</v>
      </c>
    </row>
    <row r="1782" spans="1:27" hidden="1">
      <c r="A1782" t="s">
        <v>6276</v>
      </c>
      <c r="B1782" t="s">
        <v>6277</v>
      </c>
      <c r="C1782" t="e">
        <f>VLOOKUP(B1782,Sheet2!$A$2:$A$392,1,0)</f>
        <v>#N/A</v>
      </c>
      <c r="E1782" t="s">
        <v>40</v>
      </c>
      <c r="F1782" t="s">
        <v>41</v>
      </c>
      <c r="G1782" t="s">
        <v>293</v>
      </c>
      <c r="J1782" s="2">
        <v>8000</v>
      </c>
      <c r="K1782" s="3">
        <v>91.44</v>
      </c>
      <c r="L1782" s="2">
        <v>3099</v>
      </c>
      <c r="M1782" s="2">
        <v>2400</v>
      </c>
      <c r="N1782" s="2">
        <v>5</v>
      </c>
      <c r="O1782" t="s">
        <v>294</v>
      </c>
      <c r="P1782" t="s">
        <v>6278</v>
      </c>
      <c r="R1782" t="s">
        <v>42</v>
      </c>
      <c r="S1782" t="s">
        <v>33</v>
      </c>
      <c r="U1782" t="s">
        <v>35</v>
      </c>
      <c r="W1782" t="s">
        <v>63</v>
      </c>
      <c r="X1782" t="s">
        <v>34</v>
      </c>
      <c r="Y1782" t="s">
        <v>64</v>
      </c>
      <c r="Z1782" t="s">
        <v>6279</v>
      </c>
      <c r="AA1782" t="s">
        <v>38</v>
      </c>
    </row>
    <row r="1783" spans="1:27" hidden="1">
      <c r="A1783" t="s">
        <v>6280</v>
      </c>
      <c r="B1783" t="s">
        <v>5924</v>
      </c>
      <c r="C1783" t="e">
        <f>VLOOKUP(B1783,Sheet2!$A$2:$A$392,1,0)</f>
        <v>#N/A</v>
      </c>
      <c r="E1783" t="s">
        <v>40</v>
      </c>
      <c r="F1783" t="s">
        <v>41</v>
      </c>
      <c r="G1783" t="s">
        <v>293</v>
      </c>
      <c r="J1783" s="2">
        <v>8000</v>
      </c>
      <c r="K1783" s="3">
        <v>91.44</v>
      </c>
      <c r="L1783" s="2">
        <v>3271</v>
      </c>
      <c r="M1783" s="2">
        <v>1518</v>
      </c>
      <c r="N1783" s="3">
        <v>5.48</v>
      </c>
      <c r="O1783" t="s">
        <v>294</v>
      </c>
      <c r="P1783" t="s">
        <v>6281</v>
      </c>
      <c r="R1783" t="s">
        <v>42</v>
      </c>
      <c r="S1783" t="s">
        <v>33</v>
      </c>
      <c r="U1783" t="s">
        <v>35</v>
      </c>
      <c r="W1783" t="s">
        <v>63</v>
      </c>
      <c r="X1783" t="s">
        <v>34</v>
      </c>
      <c r="Y1783" t="s">
        <v>64</v>
      </c>
      <c r="Z1783" t="s">
        <v>6282</v>
      </c>
      <c r="AA1783" t="s">
        <v>38</v>
      </c>
    </row>
    <row r="1784" spans="1:27" hidden="1">
      <c r="A1784" t="s">
        <v>6283</v>
      </c>
      <c r="B1784" t="s">
        <v>6284</v>
      </c>
      <c r="C1784" t="e">
        <f>VLOOKUP(B1784,Sheet2!$A$2:$A$392,1,0)</f>
        <v>#N/A</v>
      </c>
      <c r="E1784" t="s">
        <v>40</v>
      </c>
      <c r="F1784" t="s">
        <v>41</v>
      </c>
      <c r="G1784" t="s">
        <v>293</v>
      </c>
      <c r="J1784" s="2">
        <v>8000</v>
      </c>
      <c r="K1784" s="2">
        <v>92</v>
      </c>
      <c r="L1784" s="2">
        <v>3271</v>
      </c>
      <c r="M1784" s="2">
        <v>1500</v>
      </c>
      <c r="N1784" s="2">
        <v>5</v>
      </c>
      <c r="O1784" t="s">
        <v>294</v>
      </c>
      <c r="P1784" t="s">
        <v>6285</v>
      </c>
      <c r="R1784" t="s">
        <v>42</v>
      </c>
      <c r="S1784" t="s">
        <v>33</v>
      </c>
      <c r="U1784" t="s">
        <v>35</v>
      </c>
      <c r="W1784" t="s">
        <v>63</v>
      </c>
      <c r="X1784" t="s">
        <v>34</v>
      </c>
      <c r="Y1784" t="s">
        <v>64</v>
      </c>
      <c r="Z1784" t="s">
        <v>6286</v>
      </c>
      <c r="AA1784" t="s">
        <v>38</v>
      </c>
    </row>
    <row r="1785" spans="1:27" hidden="1">
      <c r="A1785" t="s">
        <v>6287</v>
      </c>
      <c r="B1785" t="s">
        <v>6288</v>
      </c>
      <c r="C1785" t="e">
        <f>VLOOKUP(B1785,Sheet2!$A$2:$A$392,1,0)</f>
        <v>#N/A</v>
      </c>
      <c r="E1785" t="s">
        <v>40</v>
      </c>
      <c r="F1785" t="s">
        <v>41</v>
      </c>
      <c r="G1785" t="s">
        <v>293</v>
      </c>
      <c r="J1785" s="2">
        <v>8000</v>
      </c>
      <c r="K1785" s="3">
        <v>91.44</v>
      </c>
      <c r="L1785" s="2">
        <v>3271</v>
      </c>
      <c r="M1785" s="2">
        <v>1518</v>
      </c>
      <c r="N1785" s="3">
        <v>5.48</v>
      </c>
      <c r="O1785" t="s">
        <v>294</v>
      </c>
      <c r="P1785" t="s">
        <v>6289</v>
      </c>
      <c r="R1785" t="s">
        <v>42</v>
      </c>
      <c r="S1785" t="s">
        <v>33</v>
      </c>
      <c r="U1785" t="s">
        <v>35</v>
      </c>
      <c r="W1785" t="s">
        <v>63</v>
      </c>
      <c r="X1785" t="s">
        <v>34</v>
      </c>
      <c r="Y1785" t="s">
        <v>64</v>
      </c>
      <c r="Z1785" t="s">
        <v>6290</v>
      </c>
      <c r="AA1785" t="s">
        <v>38</v>
      </c>
    </row>
    <row r="1786" spans="1:27" hidden="1">
      <c r="A1786" t="s">
        <v>6291</v>
      </c>
      <c r="B1786" t="s">
        <v>6292</v>
      </c>
      <c r="C1786" t="e">
        <f>VLOOKUP(B1786,Sheet2!$A$2:$A$392,1,0)</f>
        <v>#N/A</v>
      </c>
      <c r="E1786" t="s">
        <v>40</v>
      </c>
      <c r="F1786" t="s">
        <v>41</v>
      </c>
      <c r="G1786" t="s">
        <v>293</v>
      </c>
      <c r="J1786" s="2">
        <v>8000</v>
      </c>
      <c r="K1786" s="3">
        <v>91.46</v>
      </c>
      <c r="L1786" s="2">
        <v>3084</v>
      </c>
      <c r="M1786" s="2">
        <v>1500</v>
      </c>
      <c r="N1786" s="2">
        <v>5</v>
      </c>
      <c r="O1786" t="s">
        <v>294</v>
      </c>
      <c r="P1786" t="s">
        <v>6293</v>
      </c>
      <c r="R1786" t="s">
        <v>42</v>
      </c>
      <c r="S1786" t="s">
        <v>33</v>
      </c>
      <c r="U1786" t="s">
        <v>35</v>
      </c>
      <c r="W1786" t="s">
        <v>63</v>
      </c>
      <c r="X1786" t="s">
        <v>34</v>
      </c>
      <c r="Y1786" t="s">
        <v>64</v>
      </c>
      <c r="Z1786" t="s">
        <v>6279</v>
      </c>
      <c r="AA1786" t="s">
        <v>38</v>
      </c>
    </row>
    <row r="1787" spans="1:27" hidden="1">
      <c r="A1787" t="s">
        <v>6294</v>
      </c>
      <c r="B1787" t="s">
        <v>6295</v>
      </c>
      <c r="C1787" t="e">
        <f>VLOOKUP(B1787,Sheet2!$A$2:$A$392,1,0)</f>
        <v>#N/A</v>
      </c>
      <c r="E1787" t="s">
        <v>40</v>
      </c>
      <c r="F1787" t="s">
        <v>41</v>
      </c>
      <c r="G1787" t="s">
        <v>293</v>
      </c>
      <c r="J1787" s="2">
        <v>8000</v>
      </c>
      <c r="K1787">
        <v>91.5</v>
      </c>
      <c r="L1787" s="2">
        <v>3064</v>
      </c>
      <c r="M1787" s="2">
        <v>1518</v>
      </c>
      <c r="N1787">
        <v>5.5</v>
      </c>
      <c r="O1787" t="s">
        <v>294</v>
      </c>
      <c r="P1787" t="s">
        <v>6296</v>
      </c>
      <c r="R1787" t="s">
        <v>42</v>
      </c>
      <c r="S1787" t="s">
        <v>33</v>
      </c>
      <c r="U1787" t="s">
        <v>35</v>
      </c>
      <c r="W1787" t="s">
        <v>63</v>
      </c>
      <c r="X1787" t="s">
        <v>34</v>
      </c>
      <c r="Y1787" t="s">
        <v>64</v>
      </c>
      <c r="Z1787" t="s">
        <v>6297</v>
      </c>
      <c r="AA1787" t="s">
        <v>38</v>
      </c>
    </row>
    <row r="1788" spans="1:27" hidden="1">
      <c r="A1788" t="s">
        <v>6298</v>
      </c>
      <c r="B1788" t="s">
        <v>6299</v>
      </c>
      <c r="C1788" t="e">
        <f>VLOOKUP(B1788,Sheet2!$A$2:$A$392,1,0)</f>
        <v>#N/A</v>
      </c>
      <c r="E1788" t="s">
        <v>40</v>
      </c>
      <c r="F1788" t="s">
        <v>41</v>
      </c>
      <c r="G1788" t="s">
        <v>6300</v>
      </c>
      <c r="I1788" t="s">
        <v>42</v>
      </c>
      <c r="J1788" s="2">
        <v>7500</v>
      </c>
      <c r="K1788" s="3">
        <v>87.84</v>
      </c>
      <c r="L1788" s="2">
        <v>3074</v>
      </c>
      <c r="M1788" s="2">
        <v>2064</v>
      </c>
      <c r="N1788">
        <v>5.5</v>
      </c>
      <c r="P1788" t="s">
        <v>6301</v>
      </c>
      <c r="R1788" t="s">
        <v>581</v>
      </c>
      <c r="S1788" t="s">
        <v>33</v>
      </c>
      <c r="T1788" t="s">
        <v>34</v>
      </c>
      <c r="U1788" t="s">
        <v>35</v>
      </c>
      <c r="W1788" t="s">
        <v>63</v>
      </c>
      <c r="X1788" t="s">
        <v>34</v>
      </c>
      <c r="Y1788" t="s">
        <v>64</v>
      </c>
      <c r="Z1788" t="s">
        <v>6302</v>
      </c>
      <c r="AA1788" t="s">
        <v>38</v>
      </c>
    </row>
    <row r="1789" spans="1:27">
      <c r="A1789" t="s">
        <v>6303</v>
      </c>
      <c r="B1789" t="s">
        <v>6304</v>
      </c>
      <c r="C1789" t="str">
        <f>VLOOKUP(B1789,Sheet2!$A$2:$A$392,1,0)</f>
        <v>TB. ARK LEVI / BG. ARK GARNET</v>
      </c>
      <c r="E1789" t="s">
        <v>40</v>
      </c>
      <c r="F1789" t="s">
        <v>41</v>
      </c>
      <c r="G1789" t="s">
        <v>293</v>
      </c>
      <c r="J1789" s="2">
        <v>8000</v>
      </c>
      <c r="K1789" s="2">
        <v>91</v>
      </c>
      <c r="L1789" s="2">
        <v>3065</v>
      </c>
      <c r="M1789" s="2">
        <v>1500</v>
      </c>
      <c r="N1789" s="2">
        <v>5</v>
      </c>
      <c r="O1789" t="s">
        <v>294</v>
      </c>
      <c r="P1789" t="s">
        <v>6305</v>
      </c>
      <c r="R1789" t="s">
        <v>42</v>
      </c>
      <c r="S1789" t="s">
        <v>33</v>
      </c>
      <c r="U1789" t="s">
        <v>35</v>
      </c>
      <c r="W1789" t="s">
        <v>63</v>
      </c>
      <c r="X1789" t="s">
        <v>34</v>
      </c>
      <c r="Y1789" t="s">
        <v>64</v>
      </c>
      <c r="Z1789" t="s">
        <v>6306</v>
      </c>
      <c r="AA1789" t="s">
        <v>38</v>
      </c>
    </row>
    <row r="1790" spans="1:27">
      <c r="A1790" t="s">
        <v>6307</v>
      </c>
      <c r="B1790" t="s">
        <v>6308</v>
      </c>
      <c r="C1790" t="str">
        <f>VLOOKUP(B1790,Sheet2!$A$2:$A$392,1,0)</f>
        <v>TB. DOLPHIN 58 / BG. BKT 303</v>
      </c>
      <c r="E1790" t="s">
        <v>40</v>
      </c>
      <c r="F1790" t="s">
        <v>41</v>
      </c>
      <c r="G1790" t="s">
        <v>293</v>
      </c>
      <c r="J1790" s="2">
        <v>8000</v>
      </c>
      <c r="K1790">
        <v>91.5</v>
      </c>
      <c r="L1790" s="2">
        <v>3305</v>
      </c>
      <c r="M1790" s="2">
        <v>1658</v>
      </c>
      <c r="N1790">
        <v>5.5</v>
      </c>
      <c r="O1790" t="s">
        <v>294</v>
      </c>
      <c r="P1790" t="s">
        <v>6309</v>
      </c>
      <c r="R1790" t="s">
        <v>42</v>
      </c>
      <c r="S1790" t="s">
        <v>33</v>
      </c>
      <c r="U1790" t="s">
        <v>35</v>
      </c>
      <c r="W1790" t="s">
        <v>63</v>
      </c>
      <c r="X1790" t="s">
        <v>34</v>
      </c>
      <c r="Y1790" t="s">
        <v>64</v>
      </c>
      <c r="Z1790" t="s">
        <v>6310</v>
      </c>
      <c r="AA1790" t="s">
        <v>38</v>
      </c>
    </row>
    <row r="1791" spans="1:27" hidden="1">
      <c r="A1791" t="s">
        <v>6311</v>
      </c>
      <c r="B1791" t="s">
        <v>6312</v>
      </c>
      <c r="C1791" t="e">
        <f>VLOOKUP(B1791,Sheet2!$A$2:$A$392,1,0)</f>
        <v>#N/A</v>
      </c>
      <c r="E1791" t="s">
        <v>40</v>
      </c>
      <c r="F1791" t="s">
        <v>41</v>
      </c>
      <c r="G1791" t="s">
        <v>293</v>
      </c>
      <c r="J1791" s="2">
        <v>8000</v>
      </c>
      <c r="K1791" s="3">
        <v>91.44</v>
      </c>
      <c r="L1791" s="2">
        <v>3346</v>
      </c>
      <c r="M1791" s="2">
        <v>1518</v>
      </c>
      <c r="N1791" s="2">
        <v>6</v>
      </c>
      <c r="O1791" t="s">
        <v>294</v>
      </c>
      <c r="P1791" t="s">
        <v>6313</v>
      </c>
      <c r="R1791" t="s">
        <v>42</v>
      </c>
      <c r="S1791" t="s">
        <v>33</v>
      </c>
      <c r="U1791" t="s">
        <v>35</v>
      </c>
      <c r="W1791" t="s">
        <v>63</v>
      </c>
      <c r="X1791" t="s">
        <v>34</v>
      </c>
      <c r="Y1791" t="s">
        <v>64</v>
      </c>
      <c r="Z1791" t="s">
        <v>6314</v>
      </c>
      <c r="AA1791" t="s">
        <v>38</v>
      </c>
    </row>
    <row r="1792" spans="1:27" hidden="1">
      <c r="A1792" t="s">
        <v>6315</v>
      </c>
      <c r="B1792" t="s">
        <v>6316</v>
      </c>
      <c r="C1792" t="e">
        <f>VLOOKUP(B1792,Sheet2!$A$2:$A$392,1,0)</f>
        <v>#N/A</v>
      </c>
      <c r="E1792" t="s">
        <v>40</v>
      </c>
      <c r="F1792" t="s">
        <v>41</v>
      </c>
      <c r="G1792" t="s">
        <v>293</v>
      </c>
      <c r="J1792" s="2">
        <v>8000</v>
      </c>
      <c r="K1792" s="3">
        <v>96.62</v>
      </c>
      <c r="L1792" s="2">
        <v>4259</v>
      </c>
      <c r="M1792" s="2">
        <v>2276</v>
      </c>
      <c r="N1792" s="2">
        <v>5</v>
      </c>
      <c r="O1792" t="s">
        <v>294</v>
      </c>
      <c r="P1792" t="s">
        <v>295</v>
      </c>
      <c r="R1792" t="s">
        <v>42</v>
      </c>
      <c r="S1792" t="s">
        <v>33</v>
      </c>
      <c r="U1792" t="s">
        <v>35</v>
      </c>
      <c r="V1792" s="2">
        <v>1</v>
      </c>
      <c r="W1792" t="s">
        <v>63</v>
      </c>
      <c r="X1792" t="s">
        <v>34</v>
      </c>
      <c r="Y1792" t="s">
        <v>64</v>
      </c>
      <c r="Z1792" t="s">
        <v>6317</v>
      </c>
      <c r="AA1792" t="s">
        <v>38</v>
      </c>
    </row>
    <row r="1793" spans="1:27">
      <c r="A1793" t="s">
        <v>6318</v>
      </c>
      <c r="B1793" t="s">
        <v>498</v>
      </c>
      <c r="C1793" t="str">
        <f>VLOOKUP(B1793,Sheet2!$A$2:$A$392,1,0)</f>
        <v>TB. SYUKUR 54 / BG. SYUKUR 49</v>
      </c>
      <c r="E1793" t="s">
        <v>40</v>
      </c>
      <c r="F1793" t="s">
        <v>41</v>
      </c>
      <c r="I1793" t="s">
        <v>42</v>
      </c>
      <c r="J1793" s="2">
        <v>8000</v>
      </c>
      <c r="K1793" s="3">
        <v>87.78</v>
      </c>
      <c r="L1793" s="2">
        <v>3117</v>
      </c>
      <c r="M1793" s="2">
        <v>1658</v>
      </c>
      <c r="N1793" s="3">
        <v>5.49</v>
      </c>
      <c r="O1793" t="s">
        <v>294</v>
      </c>
      <c r="P1793" t="s">
        <v>6319</v>
      </c>
      <c r="R1793" t="s">
        <v>42</v>
      </c>
      <c r="S1793" t="s">
        <v>33</v>
      </c>
      <c r="U1793" t="s">
        <v>35</v>
      </c>
      <c r="V1793" s="2">
        <v>1</v>
      </c>
      <c r="W1793" t="s">
        <v>63</v>
      </c>
      <c r="X1793" t="s">
        <v>34</v>
      </c>
      <c r="Y1793" t="s">
        <v>64</v>
      </c>
      <c r="Z1793" t="s">
        <v>6320</v>
      </c>
      <c r="AA1793" t="s">
        <v>38</v>
      </c>
    </row>
    <row r="1794" spans="1:27" hidden="1">
      <c r="A1794" t="s">
        <v>6321</v>
      </c>
      <c r="B1794" t="s">
        <v>6322</v>
      </c>
      <c r="C1794" t="e">
        <f>VLOOKUP(B1794,Sheet2!$A$2:$A$392,1,0)</f>
        <v>#N/A</v>
      </c>
      <c r="E1794" t="s">
        <v>40</v>
      </c>
      <c r="F1794" t="s">
        <v>41</v>
      </c>
      <c r="G1794" t="s">
        <v>293</v>
      </c>
      <c r="J1794" s="2">
        <v>8000</v>
      </c>
      <c r="K1794" s="3">
        <v>87.78</v>
      </c>
      <c r="L1794" s="2">
        <v>3432</v>
      </c>
      <c r="M1794" s="2">
        <v>2060</v>
      </c>
      <c r="N1794" s="2">
        <v>6</v>
      </c>
      <c r="O1794" t="s">
        <v>294</v>
      </c>
      <c r="P1794" t="s">
        <v>6323</v>
      </c>
      <c r="R1794" t="s">
        <v>42</v>
      </c>
      <c r="S1794" t="s">
        <v>33</v>
      </c>
      <c r="U1794" t="s">
        <v>35</v>
      </c>
      <c r="W1794" t="s">
        <v>63</v>
      </c>
      <c r="X1794" t="s">
        <v>34</v>
      </c>
      <c r="Y1794" t="s">
        <v>64</v>
      </c>
      <c r="Z1794" t="s">
        <v>6324</v>
      </c>
      <c r="AA1794" t="s">
        <v>38</v>
      </c>
    </row>
    <row r="1795" spans="1:27" hidden="1">
      <c r="A1795" t="s">
        <v>6325</v>
      </c>
      <c r="B1795" t="s">
        <v>6326</v>
      </c>
      <c r="C1795" t="e">
        <f>VLOOKUP(B1795,Sheet2!$A$2:$A$392,1,0)</f>
        <v>#N/A</v>
      </c>
      <c r="E1795" t="s">
        <v>40</v>
      </c>
      <c r="F1795" t="s">
        <v>41</v>
      </c>
      <c r="G1795" t="s">
        <v>293</v>
      </c>
      <c r="J1795" s="2">
        <v>8000</v>
      </c>
      <c r="K1795" s="3">
        <v>97.59</v>
      </c>
      <c r="L1795" s="2">
        <v>3761</v>
      </c>
      <c r="M1795" s="2">
        <v>2200</v>
      </c>
      <c r="N1795" s="2">
        <v>6</v>
      </c>
      <c r="O1795" t="s">
        <v>294</v>
      </c>
      <c r="P1795" t="s">
        <v>6327</v>
      </c>
      <c r="R1795" t="s">
        <v>42</v>
      </c>
      <c r="S1795" t="s">
        <v>33</v>
      </c>
      <c r="U1795" t="s">
        <v>35</v>
      </c>
      <c r="W1795" t="s">
        <v>63</v>
      </c>
      <c r="X1795" t="s">
        <v>34</v>
      </c>
      <c r="Y1795" t="s">
        <v>64</v>
      </c>
      <c r="Z1795" t="s">
        <v>6328</v>
      </c>
      <c r="AA1795" t="s">
        <v>38</v>
      </c>
    </row>
    <row r="1796" spans="1:27" hidden="1">
      <c r="A1796" t="s">
        <v>6329</v>
      </c>
      <c r="B1796" t="s">
        <v>6330</v>
      </c>
      <c r="C1796" t="e">
        <f>VLOOKUP(B1796,Sheet2!$A$2:$A$392,1,0)</f>
        <v>#N/A</v>
      </c>
      <c r="E1796" t="s">
        <v>40</v>
      </c>
      <c r="F1796" t="s">
        <v>41</v>
      </c>
      <c r="G1796" t="s">
        <v>293</v>
      </c>
      <c r="I1796" t="s">
        <v>42</v>
      </c>
      <c r="J1796" s="2">
        <v>8000</v>
      </c>
      <c r="K1796" s="3">
        <v>91.44</v>
      </c>
      <c r="L1796" s="2">
        <v>3272</v>
      </c>
      <c r="M1796" s="2">
        <v>1518</v>
      </c>
      <c r="N1796" s="3">
        <v>5.49</v>
      </c>
      <c r="O1796" t="s">
        <v>294</v>
      </c>
      <c r="P1796" t="s">
        <v>6331</v>
      </c>
      <c r="R1796" t="s">
        <v>42</v>
      </c>
      <c r="S1796" t="s">
        <v>33</v>
      </c>
      <c r="U1796" t="s">
        <v>35</v>
      </c>
      <c r="W1796" t="s">
        <v>63</v>
      </c>
      <c r="X1796" t="s">
        <v>34</v>
      </c>
      <c r="Y1796" t="s">
        <v>64</v>
      </c>
      <c r="Z1796" t="s">
        <v>6332</v>
      </c>
      <c r="AA1796" t="s">
        <v>38</v>
      </c>
    </row>
    <row r="1797" spans="1:27" hidden="1">
      <c r="A1797" t="s">
        <v>6333</v>
      </c>
      <c r="B1797" t="s">
        <v>6334</v>
      </c>
      <c r="C1797" t="e">
        <f>VLOOKUP(B1797,Sheet2!$A$2:$A$392,1,0)</f>
        <v>#N/A</v>
      </c>
      <c r="E1797" t="s">
        <v>40</v>
      </c>
      <c r="F1797" t="s">
        <v>41</v>
      </c>
      <c r="G1797" t="s">
        <v>6300</v>
      </c>
      <c r="J1797" s="2">
        <v>3111</v>
      </c>
      <c r="K1797" s="2">
        <v>94</v>
      </c>
      <c r="L1797" s="2">
        <v>7500</v>
      </c>
      <c r="M1797" s="2">
        <v>2060</v>
      </c>
      <c r="N1797" s="2">
        <v>5</v>
      </c>
      <c r="O1797" t="s">
        <v>6335</v>
      </c>
      <c r="P1797" t="s">
        <v>6336</v>
      </c>
      <c r="R1797" t="s">
        <v>42</v>
      </c>
      <c r="S1797" t="s">
        <v>33</v>
      </c>
      <c r="U1797" t="s">
        <v>35</v>
      </c>
      <c r="W1797" t="s">
        <v>63</v>
      </c>
      <c r="X1797" t="s">
        <v>34</v>
      </c>
      <c r="Y1797" t="s">
        <v>64</v>
      </c>
      <c r="Z1797" t="s">
        <v>6337</v>
      </c>
      <c r="AA1797" t="s">
        <v>38</v>
      </c>
    </row>
    <row r="1798" spans="1:27" hidden="1">
      <c r="A1798" t="s">
        <v>6338</v>
      </c>
      <c r="B1798" t="s">
        <v>6339</v>
      </c>
      <c r="C1798" t="e">
        <f>VLOOKUP(B1798,Sheet2!$A$2:$A$392,1,0)</f>
        <v>#N/A</v>
      </c>
      <c r="E1798" t="s">
        <v>40</v>
      </c>
      <c r="F1798" t="s">
        <v>41</v>
      </c>
      <c r="G1798" t="s">
        <v>29</v>
      </c>
      <c r="J1798" s="2">
        <v>7500</v>
      </c>
      <c r="K1798" s="2">
        <v>94</v>
      </c>
      <c r="L1798" s="2">
        <v>3111</v>
      </c>
      <c r="M1798" s="2">
        <v>2400</v>
      </c>
      <c r="N1798" s="2">
        <v>5</v>
      </c>
      <c r="O1798" t="s">
        <v>482</v>
      </c>
      <c r="P1798" t="s">
        <v>6340</v>
      </c>
      <c r="R1798" t="s">
        <v>581</v>
      </c>
      <c r="S1798" t="s">
        <v>33</v>
      </c>
      <c r="U1798" t="s">
        <v>35</v>
      </c>
      <c r="X1798" t="s">
        <v>34</v>
      </c>
      <c r="Y1798" t="s">
        <v>45</v>
      </c>
      <c r="Z1798" t="s">
        <v>6341</v>
      </c>
      <c r="AA1798" t="s">
        <v>38</v>
      </c>
    </row>
    <row r="1799" spans="1:27" hidden="1">
      <c r="A1799" t="s">
        <v>2295</v>
      </c>
      <c r="B1799" t="s">
        <v>2294</v>
      </c>
      <c r="C1799" t="e">
        <f>VLOOKUP(B1799,Sheet2!$A$2:$A$392,1,0)</f>
        <v>#N/A</v>
      </c>
      <c r="E1799" t="s">
        <v>52</v>
      </c>
      <c r="F1799" t="s">
        <v>41</v>
      </c>
      <c r="G1799" t="s">
        <v>585</v>
      </c>
      <c r="J1799">
        <v>3.2770000000000001</v>
      </c>
      <c r="K1799">
        <v>80.2</v>
      </c>
      <c r="L1799">
        <v>2.323</v>
      </c>
      <c r="M1799" s="2">
        <v>1200</v>
      </c>
      <c r="N1799" s="2">
        <v>49</v>
      </c>
      <c r="P1799" t="s">
        <v>2295</v>
      </c>
      <c r="R1799" t="s">
        <v>42</v>
      </c>
      <c r="S1799" t="s">
        <v>33</v>
      </c>
      <c r="U1799" t="s">
        <v>44</v>
      </c>
      <c r="X1799" t="s">
        <v>34</v>
      </c>
      <c r="Y1799" t="s">
        <v>45</v>
      </c>
      <c r="Z1799" t="s">
        <v>6342</v>
      </c>
      <c r="AA1799" t="s">
        <v>38</v>
      </c>
    </row>
    <row r="1800" spans="1:27">
      <c r="A1800" t="s">
        <v>6343</v>
      </c>
      <c r="B1800" t="s">
        <v>6344</v>
      </c>
      <c r="C1800" t="str">
        <f>VLOOKUP(B1800,Sheet2!$A$2:$A$392,1,0)</f>
        <v>TB. MHKL 204 / BG. MHKL 36</v>
      </c>
      <c r="E1800" t="s">
        <v>40</v>
      </c>
      <c r="F1800" t="s">
        <v>41</v>
      </c>
      <c r="G1800" t="s">
        <v>293</v>
      </c>
      <c r="J1800" s="2">
        <v>8000</v>
      </c>
      <c r="K1800" s="2">
        <v>87</v>
      </c>
      <c r="L1800" s="2">
        <v>3071</v>
      </c>
      <c r="M1800" s="2">
        <v>2400</v>
      </c>
      <c r="N1800" s="2">
        <v>5</v>
      </c>
      <c r="O1800" t="s">
        <v>294</v>
      </c>
      <c r="P1800" t="s">
        <v>6293</v>
      </c>
      <c r="R1800" t="s">
        <v>42</v>
      </c>
      <c r="S1800" t="s">
        <v>33</v>
      </c>
      <c r="U1800" t="s">
        <v>35</v>
      </c>
      <c r="W1800" t="s">
        <v>63</v>
      </c>
      <c r="X1800" t="s">
        <v>34</v>
      </c>
      <c r="Y1800" t="s">
        <v>64</v>
      </c>
      <c r="Z1800" t="s">
        <v>6345</v>
      </c>
      <c r="AA1800" t="s">
        <v>38</v>
      </c>
    </row>
    <row r="1801" spans="1:27" hidden="1">
      <c r="A1801" t="s">
        <v>6346</v>
      </c>
      <c r="B1801" t="s">
        <v>6347</v>
      </c>
      <c r="C1801" t="e">
        <f>VLOOKUP(B1801,Sheet2!$A$2:$A$392,1,0)</f>
        <v>#N/A</v>
      </c>
      <c r="E1801" t="s">
        <v>40</v>
      </c>
      <c r="F1801" t="s">
        <v>41</v>
      </c>
      <c r="G1801" t="s">
        <v>293</v>
      </c>
      <c r="J1801" s="2">
        <v>8000</v>
      </c>
      <c r="K1801" s="3">
        <v>87.78</v>
      </c>
      <c r="L1801" s="2">
        <v>3379</v>
      </c>
      <c r="M1801" s="2">
        <v>11658</v>
      </c>
      <c r="N1801" s="3">
        <v>5.49</v>
      </c>
      <c r="O1801" t="s">
        <v>294</v>
      </c>
      <c r="P1801" t="s">
        <v>499</v>
      </c>
      <c r="R1801" t="s">
        <v>42</v>
      </c>
      <c r="S1801" t="s">
        <v>33</v>
      </c>
      <c r="U1801" t="s">
        <v>35</v>
      </c>
      <c r="W1801" t="s">
        <v>63</v>
      </c>
      <c r="X1801" t="s">
        <v>34</v>
      </c>
      <c r="Y1801" t="s">
        <v>64</v>
      </c>
      <c r="Z1801" t="s">
        <v>6348</v>
      </c>
      <c r="AA1801" t="s">
        <v>38</v>
      </c>
    </row>
    <row r="1802" spans="1:27" hidden="1">
      <c r="A1802" t="s">
        <v>6349</v>
      </c>
      <c r="B1802" t="s">
        <v>6350</v>
      </c>
      <c r="C1802" t="e">
        <f>VLOOKUP(B1802,Sheet2!$A$2:$A$392,1,0)</f>
        <v>#N/A</v>
      </c>
      <c r="E1802" t="s">
        <v>40</v>
      </c>
      <c r="F1802" t="s">
        <v>41</v>
      </c>
      <c r="G1802" t="s">
        <v>293</v>
      </c>
      <c r="J1802" s="2">
        <v>8000</v>
      </c>
      <c r="K1802" s="3">
        <v>87.78</v>
      </c>
      <c r="L1802" s="2">
        <v>3418</v>
      </c>
      <c r="M1802" s="2">
        <v>3000</v>
      </c>
      <c r="N1802" s="2">
        <v>8</v>
      </c>
      <c r="O1802" t="s">
        <v>294</v>
      </c>
      <c r="P1802" t="s">
        <v>6351</v>
      </c>
      <c r="R1802" t="s">
        <v>42</v>
      </c>
      <c r="S1802" t="s">
        <v>33</v>
      </c>
      <c r="U1802" t="s">
        <v>35</v>
      </c>
      <c r="V1802" s="2">
        <v>1</v>
      </c>
      <c r="W1802" t="s">
        <v>63</v>
      </c>
      <c r="X1802" t="s">
        <v>34</v>
      </c>
      <c r="Y1802" t="s">
        <v>64</v>
      </c>
      <c r="Z1802" t="s">
        <v>6352</v>
      </c>
      <c r="AA1802" t="s">
        <v>38</v>
      </c>
    </row>
    <row r="1803" spans="1:27" hidden="1">
      <c r="A1803" t="s">
        <v>1059</v>
      </c>
      <c r="B1803" t="s">
        <v>1057</v>
      </c>
      <c r="C1803" t="e">
        <f>VLOOKUP(B1803,Sheet2!$A$2:$A$392,1,0)</f>
        <v>#N/A</v>
      </c>
      <c r="E1803" t="s">
        <v>52</v>
      </c>
      <c r="F1803" t="s">
        <v>41</v>
      </c>
      <c r="G1803" t="s">
        <v>585</v>
      </c>
      <c r="I1803" t="s">
        <v>42</v>
      </c>
      <c r="J1803" s="2">
        <v>3100</v>
      </c>
      <c r="K1803" s="2">
        <v>82</v>
      </c>
      <c r="L1803" s="2">
        <v>1965</v>
      </c>
      <c r="M1803" s="2">
        <v>2100</v>
      </c>
      <c r="N1803">
        <v>2.2000000000000002</v>
      </c>
      <c r="O1803" t="s">
        <v>1058</v>
      </c>
      <c r="P1803" t="s">
        <v>1059</v>
      </c>
      <c r="R1803" t="s">
        <v>42</v>
      </c>
      <c r="S1803" t="s">
        <v>33</v>
      </c>
      <c r="T1803" t="s">
        <v>34</v>
      </c>
      <c r="U1803" t="s">
        <v>44</v>
      </c>
      <c r="V1803" s="2">
        <v>2</v>
      </c>
      <c r="X1803" t="s">
        <v>147</v>
      </c>
      <c r="Y1803" t="s">
        <v>154</v>
      </c>
      <c r="Z1803" t="s">
        <v>4694</v>
      </c>
      <c r="AA1803" t="s">
        <v>38</v>
      </c>
    </row>
    <row r="1804" spans="1:27">
      <c r="A1804" t="s">
        <v>6353</v>
      </c>
      <c r="B1804" t="s">
        <v>6354</v>
      </c>
      <c r="C1804" t="str">
        <f>VLOOKUP(B1804,Sheet2!$A$2:$A$392,1,0)</f>
        <v>KM. NOVA GLORIA</v>
      </c>
      <c r="E1804" t="s">
        <v>27</v>
      </c>
      <c r="F1804" t="s">
        <v>28</v>
      </c>
      <c r="G1804" t="s">
        <v>29</v>
      </c>
      <c r="I1804" t="s">
        <v>42</v>
      </c>
      <c r="J1804" s="2">
        <v>2000</v>
      </c>
      <c r="K1804">
        <v>74.599999999999994</v>
      </c>
      <c r="L1804" s="2">
        <v>1437</v>
      </c>
      <c r="N1804" s="2">
        <v>6</v>
      </c>
      <c r="P1804" t="s">
        <v>6355</v>
      </c>
      <c r="R1804" t="s">
        <v>32</v>
      </c>
      <c r="S1804" t="s">
        <v>33</v>
      </c>
      <c r="T1804" t="s">
        <v>34</v>
      </c>
      <c r="U1804" t="s">
        <v>35</v>
      </c>
      <c r="W1804" t="s">
        <v>165</v>
      </c>
      <c r="X1804" t="s">
        <v>34</v>
      </c>
      <c r="Y1804" t="s">
        <v>245</v>
      </c>
      <c r="Z1804" t="s">
        <v>4161</v>
      </c>
      <c r="AA1804" t="s">
        <v>38</v>
      </c>
    </row>
    <row r="1805" spans="1:27" hidden="1">
      <c r="A1805" t="s">
        <v>6356</v>
      </c>
      <c r="B1805" t="s">
        <v>6357</v>
      </c>
      <c r="C1805" t="e">
        <f>VLOOKUP(B1805,Sheet2!$A$2:$A$392,1,0)</f>
        <v>#N/A</v>
      </c>
      <c r="E1805" t="s">
        <v>52</v>
      </c>
      <c r="F1805" t="s">
        <v>41</v>
      </c>
      <c r="G1805" t="s">
        <v>585</v>
      </c>
      <c r="J1805" s="2">
        <v>4109</v>
      </c>
      <c r="K1805" s="2">
        <v>82</v>
      </c>
      <c r="L1805" s="2">
        <v>2620</v>
      </c>
      <c r="M1805" s="2">
        <v>2200</v>
      </c>
      <c r="N1805" s="2">
        <v>50</v>
      </c>
      <c r="O1805" t="s">
        <v>1058</v>
      </c>
      <c r="P1805" t="s">
        <v>6356</v>
      </c>
      <c r="R1805" t="s">
        <v>42</v>
      </c>
      <c r="S1805" t="s">
        <v>33</v>
      </c>
      <c r="U1805" t="s">
        <v>44</v>
      </c>
      <c r="V1805" s="2">
        <v>2</v>
      </c>
      <c r="X1805" t="s">
        <v>34</v>
      </c>
      <c r="Y1805" t="s">
        <v>154</v>
      </c>
      <c r="Z1805" t="s">
        <v>6358</v>
      </c>
      <c r="AA1805" t="s">
        <v>38</v>
      </c>
    </row>
    <row r="1806" spans="1:27">
      <c r="A1806" t="s">
        <v>2475</v>
      </c>
      <c r="B1806" t="s">
        <v>6359</v>
      </c>
      <c r="C1806" t="str">
        <f>VLOOKUP(B1806,Sheet2!$A$2:$A$392,1,0)</f>
        <v>KM. TONASA LINE - VI</v>
      </c>
      <c r="E1806" t="s">
        <v>196</v>
      </c>
      <c r="F1806" t="s">
        <v>41</v>
      </c>
      <c r="G1806" t="s">
        <v>29</v>
      </c>
      <c r="J1806" s="2">
        <v>4477</v>
      </c>
      <c r="K1806" s="2">
        <v>85</v>
      </c>
      <c r="L1806" s="2">
        <v>2472</v>
      </c>
      <c r="O1806" t="s">
        <v>482</v>
      </c>
      <c r="P1806" t="s">
        <v>2475</v>
      </c>
      <c r="R1806" t="s">
        <v>32</v>
      </c>
      <c r="S1806" t="s">
        <v>33</v>
      </c>
      <c r="U1806" t="s">
        <v>35</v>
      </c>
      <c r="X1806" t="s">
        <v>34</v>
      </c>
      <c r="Y1806" t="s">
        <v>45</v>
      </c>
      <c r="Z1806" t="s">
        <v>6360</v>
      </c>
      <c r="AA1806" t="s">
        <v>38</v>
      </c>
    </row>
    <row r="1807" spans="1:27" hidden="1">
      <c r="A1807" t="s">
        <v>6361</v>
      </c>
      <c r="B1807" t="s">
        <v>6362</v>
      </c>
      <c r="C1807" t="e">
        <f>VLOOKUP(B1807,Sheet2!$A$2:$A$392,1,0)</f>
        <v>#N/A</v>
      </c>
      <c r="E1807" t="s">
        <v>27</v>
      </c>
      <c r="F1807" t="s">
        <v>41</v>
      </c>
      <c r="G1807" t="s">
        <v>585</v>
      </c>
      <c r="I1807" t="s">
        <v>42</v>
      </c>
      <c r="J1807" s="2">
        <v>6944</v>
      </c>
      <c r="K1807">
        <v>97.5</v>
      </c>
      <c r="L1807" s="2">
        <v>5550</v>
      </c>
      <c r="M1807" s="2">
        <v>2427</v>
      </c>
      <c r="O1807" t="s">
        <v>1058</v>
      </c>
      <c r="P1807" t="s">
        <v>6361</v>
      </c>
      <c r="R1807" t="s">
        <v>42</v>
      </c>
      <c r="S1807" t="s">
        <v>33</v>
      </c>
      <c r="T1807" t="s">
        <v>106</v>
      </c>
      <c r="U1807" t="s">
        <v>44</v>
      </c>
      <c r="V1807" s="2">
        <v>2</v>
      </c>
      <c r="X1807" t="s">
        <v>34</v>
      </c>
      <c r="Y1807" t="s">
        <v>154</v>
      </c>
      <c r="Z1807" t="s">
        <v>6363</v>
      </c>
      <c r="AA1807" t="s">
        <v>38</v>
      </c>
    </row>
    <row r="1808" spans="1:27">
      <c r="A1808" t="s">
        <v>2247</v>
      </c>
      <c r="B1808" t="s">
        <v>6364</v>
      </c>
      <c r="C1808" t="str">
        <f>VLOOKUP(B1808,Sheet2!$A$2:$A$392,1,0)</f>
        <v>KM. PUL MANDIRI</v>
      </c>
      <c r="E1808" t="s">
        <v>52</v>
      </c>
      <c r="F1808" t="s">
        <v>41</v>
      </c>
      <c r="G1808" t="s">
        <v>585</v>
      </c>
      <c r="I1808" t="s">
        <v>42</v>
      </c>
      <c r="J1808" s="2">
        <v>4293</v>
      </c>
      <c r="K1808" s="3">
        <v>84.24</v>
      </c>
      <c r="L1808" s="2">
        <v>3147</v>
      </c>
      <c r="M1808" s="2">
        <v>2000</v>
      </c>
      <c r="N1808" s="2">
        <v>60</v>
      </c>
      <c r="O1808" t="s">
        <v>1058</v>
      </c>
      <c r="P1808" t="s">
        <v>2247</v>
      </c>
      <c r="R1808" t="s">
        <v>42</v>
      </c>
      <c r="S1808" t="s">
        <v>33</v>
      </c>
      <c r="T1808" t="s">
        <v>106</v>
      </c>
      <c r="U1808" t="s">
        <v>44</v>
      </c>
      <c r="V1808" s="2">
        <v>2</v>
      </c>
      <c r="X1808" t="s">
        <v>34</v>
      </c>
      <c r="Y1808" t="s">
        <v>154</v>
      </c>
      <c r="Z1808" t="s">
        <v>6365</v>
      </c>
      <c r="AA1808" t="s">
        <v>38</v>
      </c>
    </row>
    <row r="1809" spans="1:27">
      <c r="A1809" t="s">
        <v>3964</v>
      </c>
      <c r="B1809" t="s">
        <v>6366</v>
      </c>
      <c r="C1809" t="str">
        <f>VLOOKUP(B1809,Sheet2!$A$2:$A$392,1,0)</f>
        <v>MV. SINAR KUDUS 88</v>
      </c>
      <c r="E1809" t="s">
        <v>27</v>
      </c>
      <c r="F1809" t="s">
        <v>28</v>
      </c>
      <c r="G1809" t="s">
        <v>29</v>
      </c>
      <c r="I1809" t="s">
        <v>42</v>
      </c>
      <c r="J1809" s="2">
        <v>8911</v>
      </c>
      <c r="K1809" s="3">
        <v>113.22</v>
      </c>
      <c r="L1809" s="2">
        <v>7717</v>
      </c>
      <c r="M1809" s="2">
        <v>3883</v>
      </c>
      <c r="P1809" t="s">
        <v>3964</v>
      </c>
      <c r="R1809" t="s">
        <v>32</v>
      </c>
      <c r="S1809" t="s">
        <v>33</v>
      </c>
      <c r="T1809" t="s">
        <v>34</v>
      </c>
      <c r="U1809" t="s">
        <v>35</v>
      </c>
      <c r="X1809" t="s">
        <v>34</v>
      </c>
      <c r="Y1809" t="s">
        <v>142</v>
      </c>
      <c r="Z1809" t="s">
        <v>6367</v>
      </c>
      <c r="AA1809" t="s">
        <v>38</v>
      </c>
    </row>
    <row r="1810" spans="1:27">
      <c r="A1810" t="s">
        <v>6368</v>
      </c>
      <c r="B1810" t="s">
        <v>6369</v>
      </c>
      <c r="C1810" t="str">
        <f>VLOOKUP(B1810,Sheet2!$A$2:$A$392,1,0)</f>
        <v>KM. AMRTA JAYA I</v>
      </c>
      <c r="E1810" t="s">
        <v>52</v>
      </c>
      <c r="F1810" t="s">
        <v>41</v>
      </c>
      <c r="G1810" t="s">
        <v>585</v>
      </c>
      <c r="I1810" t="s">
        <v>42</v>
      </c>
      <c r="J1810" s="2">
        <v>6839</v>
      </c>
      <c r="K1810" s="3">
        <v>98.15</v>
      </c>
      <c r="L1810" s="2">
        <v>5477</v>
      </c>
      <c r="M1810" s="2">
        <v>3300</v>
      </c>
      <c r="O1810" t="s">
        <v>1058</v>
      </c>
      <c r="P1810" t="s">
        <v>6368</v>
      </c>
      <c r="R1810" t="s">
        <v>42</v>
      </c>
      <c r="S1810" t="s">
        <v>33</v>
      </c>
      <c r="T1810" t="s">
        <v>34</v>
      </c>
      <c r="U1810" t="s">
        <v>44</v>
      </c>
      <c r="V1810" s="2">
        <v>2</v>
      </c>
      <c r="X1810" t="s">
        <v>34</v>
      </c>
      <c r="Y1810" t="s">
        <v>154</v>
      </c>
      <c r="Z1810" t="s">
        <v>6370</v>
      </c>
      <c r="AA1810" t="s">
        <v>38</v>
      </c>
    </row>
    <row r="1811" spans="1:27" hidden="1">
      <c r="A1811" t="s">
        <v>6371</v>
      </c>
      <c r="B1811" t="s">
        <v>6372</v>
      </c>
      <c r="C1811" t="e">
        <f>VLOOKUP(B1811,Sheet2!$A$2:$A$392,1,0)</f>
        <v>#N/A</v>
      </c>
      <c r="E1811" t="s">
        <v>27</v>
      </c>
      <c r="F1811" t="s">
        <v>41</v>
      </c>
      <c r="G1811" t="s">
        <v>29</v>
      </c>
      <c r="I1811" t="s">
        <v>42</v>
      </c>
      <c r="J1811" s="2">
        <v>3000</v>
      </c>
      <c r="K1811" s="2">
        <v>84</v>
      </c>
      <c r="L1811" s="2">
        <v>1846</v>
      </c>
      <c r="P1811" t="s">
        <v>6373</v>
      </c>
      <c r="R1811" t="s">
        <v>581</v>
      </c>
      <c r="S1811" t="s">
        <v>33</v>
      </c>
      <c r="T1811" t="s">
        <v>34</v>
      </c>
      <c r="U1811" t="s">
        <v>35</v>
      </c>
      <c r="X1811" t="s">
        <v>34</v>
      </c>
      <c r="Y1811" t="s">
        <v>45</v>
      </c>
      <c r="Z1811" t="s">
        <v>6374</v>
      </c>
      <c r="AA1811" t="s">
        <v>38</v>
      </c>
    </row>
    <row r="1812" spans="1:27" hidden="1">
      <c r="A1812" t="s">
        <v>6375</v>
      </c>
      <c r="B1812" t="s">
        <v>6376</v>
      </c>
      <c r="C1812" t="e">
        <f>VLOOKUP(B1812,Sheet2!$A$2:$A$392,1,0)</f>
        <v>#N/A</v>
      </c>
      <c r="E1812" t="s">
        <v>27</v>
      </c>
      <c r="F1812" t="s">
        <v>41</v>
      </c>
      <c r="G1812" t="s">
        <v>29</v>
      </c>
      <c r="J1812" s="2">
        <v>3300</v>
      </c>
      <c r="K1812" s="2">
        <v>85</v>
      </c>
      <c r="L1812" s="2">
        <v>1863</v>
      </c>
      <c r="P1812" t="s">
        <v>185</v>
      </c>
      <c r="Q1812" t="s">
        <v>34</v>
      </c>
      <c r="R1812" t="s">
        <v>32</v>
      </c>
      <c r="S1812" t="s">
        <v>33</v>
      </c>
      <c r="U1812" t="s">
        <v>35</v>
      </c>
      <c r="X1812" t="s">
        <v>34</v>
      </c>
      <c r="Y1812" t="s">
        <v>45</v>
      </c>
      <c r="Z1812" t="s">
        <v>3315</v>
      </c>
      <c r="AA1812" t="s">
        <v>38</v>
      </c>
    </row>
    <row r="1813" spans="1:27" hidden="1">
      <c r="A1813" t="s">
        <v>6377</v>
      </c>
      <c r="B1813" t="s">
        <v>6378</v>
      </c>
      <c r="C1813" t="e">
        <f>VLOOKUP(B1813,Sheet2!$A$2:$A$392,1,0)</f>
        <v>#N/A</v>
      </c>
      <c r="E1813" t="s">
        <v>52</v>
      </c>
      <c r="F1813" t="s">
        <v>28</v>
      </c>
      <c r="G1813" t="s">
        <v>59</v>
      </c>
      <c r="I1813" t="s">
        <v>301</v>
      </c>
      <c r="J1813" s="2">
        <v>50992</v>
      </c>
      <c r="K1813" s="3">
        <v>189.99</v>
      </c>
      <c r="L1813" s="2">
        <v>28718</v>
      </c>
      <c r="O1813" t="s">
        <v>61</v>
      </c>
      <c r="P1813" t="s">
        <v>4077</v>
      </c>
      <c r="R1813" t="s">
        <v>301</v>
      </c>
      <c r="S1813" t="s">
        <v>33</v>
      </c>
      <c r="T1813" t="s">
        <v>34</v>
      </c>
      <c r="U1813" t="s">
        <v>35</v>
      </c>
      <c r="W1813" t="s">
        <v>63</v>
      </c>
      <c r="X1813" t="s">
        <v>34</v>
      </c>
      <c r="Y1813" t="s">
        <v>64</v>
      </c>
      <c r="Z1813" t="s">
        <v>6379</v>
      </c>
      <c r="AA1813" t="s">
        <v>38</v>
      </c>
    </row>
    <row r="1814" spans="1:27">
      <c r="A1814" t="s">
        <v>6380</v>
      </c>
      <c r="B1814" t="s">
        <v>6381</v>
      </c>
      <c r="C1814" t="str">
        <f>VLOOKUP(B1814,Sheet2!$A$2:$A$392,1,0)</f>
        <v>MV. ZAHAB JAHAN</v>
      </c>
      <c r="E1814" t="s">
        <v>52</v>
      </c>
      <c r="F1814" t="s">
        <v>28</v>
      </c>
      <c r="G1814" t="s">
        <v>151</v>
      </c>
      <c r="I1814" t="s">
        <v>60</v>
      </c>
      <c r="J1814" s="2">
        <v>45499</v>
      </c>
      <c r="K1814" s="3">
        <v>189.83</v>
      </c>
      <c r="L1814" s="2">
        <v>26067</v>
      </c>
      <c r="M1814" s="2">
        <v>7281</v>
      </c>
      <c r="N1814" s="2">
        <v>11</v>
      </c>
      <c r="O1814" t="s">
        <v>152</v>
      </c>
      <c r="P1814" t="s">
        <v>6382</v>
      </c>
      <c r="R1814" t="s">
        <v>32</v>
      </c>
      <c r="S1814" t="s">
        <v>33</v>
      </c>
      <c r="T1814" t="s">
        <v>106</v>
      </c>
      <c r="U1814" t="s">
        <v>35</v>
      </c>
      <c r="X1814" t="s">
        <v>34</v>
      </c>
      <c r="Y1814" t="s">
        <v>154</v>
      </c>
      <c r="Z1814" t="s">
        <v>6383</v>
      </c>
      <c r="AA1814" t="s">
        <v>38</v>
      </c>
    </row>
    <row r="1815" spans="1:27" hidden="1">
      <c r="A1815" t="s">
        <v>6384</v>
      </c>
      <c r="B1815" t="s">
        <v>6385</v>
      </c>
      <c r="C1815" t="e">
        <f>VLOOKUP(B1815,Sheet2!$A$2:$A$392,1,0)</f>
        <v>#N/A</v>
      </c>
      <c r="E1815" t="s">
        <v>40</v>
      </c>
      <c r="F1815" t="s">
        <v>41</v>
      </c>
      <c r="G1815" t="s">
        <v>29</v>
      </c>
      <c r="I1815" t="s">
        <v>42</v>
      </c>
      <c r="J1815" s="2">
        <v>9000</v>
      </c>
      <c r="K1815" s="2">
        <v>91</v>
      </c>
      <c r="L1815" s="2">
        <v>3637</v>
      </c>
      <c r="P1815" t="s">
        <v>6386</v>
      </c>
      <c r="R1815" t="s">
        <v>42</v>
      </c>
      <c r="S1815" t="s">
        <v>33</v>
      </c>
      <c r="T1815" t="s">
        <v>34</v>
      </c>
      <c r="U1815" t="s">
        <v>44</v>
      </c>
      <c r="X1815" t="s">
        <v>34</v>
      </c>
      <c r="Y1815" t="s">
        <v>45</v>
      </c>
      <c r="Z1815" t="s">
        <v>6387</v>
      </c>
      <c r="AA1815" t="s">
        <v>38</v>
      </c>
    </row>
  </sheetData>
  <autoFilter ref="A1:AA1815" xr:uid="{00000000-0001-0000-0000-000000000000}">
    <filterColumn colId="2">
      <filters>
        <filter val="BERKAT MAKMUR 8"/>
        <filter val="CITRA NUSANTARA 01"/>
        <filter val="FORTUNE ISLAND"/>
        <filter val="GRACIA 18"/>
        <filter val="JAHAN SISTERS"/>
        <filter val="KARYA NUSANTARA 8"/>
        <filter val="KM. AMRTA JAYA I"/>
        <filter val="KM. ANUGERAH BUANA III"/>
        <filter val="KM. ANUGERAH VIII"/>
        <filter val="KM. ARTHA PRIMA"/>
        <filter val="KM. ARTHA SENTOSA"/>
        <filter val="KM. ASIA PESONA"/>
        <filter val="KM. ASIA PUTRA"/>
        <filter val="KM. BAHARI 35"/>
        <filter val="KM. BIMA PUTRA"/>
        <filter val="KM. BINTAN UTAMA"/>
        <filter val="KM. BINTANG 28"/>
        <filter val="KM. CAHAYA MANGGALA"/>
        <filter val="KM. CAMRY"/>
        <filter val="KM. CEMCON"/>
        <filter val="KM. CITRA KARYA PAPUA"/>
        <filter val="KM. DAMAI SEJAHTERA 5"/>
        <filter val="KM. DAMAI SEJAHTERA 6"/>
        <filter val="KM. EDEN"/>
        <filter val="KM. FU NO.2"/>
        <filter val="KM. GALATIA 05"/>
        <filter val="KM. GULF DAOUD"/>
        <filter val="KM. HARAPAN BERSAMA 323"/>
        <filter val="KM. HARI BARU"/>
        <filter val="KM. HEBAT"/>
        <filter val="KM. HENG HENG"/>
        <filter val="KM. HTS 38"/>
        <filter val="KM. ILLANNUR"/>
        <filter val="KM. INDI NURMATALIA 07"/>
        <filter val="KM. INDIMATAM"/>
        <filter val="KM. INTI GLORY"/>
        <filter val="KM. INTI MULIA"/>
        <filter val="KM. INTI PRATAMA"/>
        <filter val="KM. IRAMA"/>
        <filter val="KM. ISA VICTORY"/>
        <filter val="KM. KAHING TIGA"/>
        <filter val="KM. KARYA NIAGA"/>
        <filter val="KM. KARYA NUSANTARA 89"/>
        <filter val="KM. KAWAN SEJATI"/>
        <filter val="KM. KENCANA"/>
        <filter val="KM. LINTAS BAHARI 16"/>
        <filter val="KM. LINTAS BAHARI 19"/>
        <filter val="KM. LINTAS PAPUA"/>
        <filter val="KM. LUCKY STAR 88"/>
        <filter val="KM. MA NO. 2"/>
        <filter val="KM. MANDIRI DELAPAN"/>
        <filter val="KM. MEGA ANTARA SAMUDERA"/>
        <filter val="KM. NAGA JAYA"/>
        <filter val="KM. NGADA SEJAHTERA"/>
        <filter val="KM. NIGATA"/>
        <filter val="KM. NOVA GLORIA"/>
        <filter val="KM. NTT SEJAHTERA"/>
        <filter val="KM. OBELIX"/>
        <filter val="KM. OVALE"/>
        <filter val="KM. PELITA NUSANTARA 12"/>
        <filter val="KM. PERMATA PUTRI"/>
        <filter val="KM. PERMATA SAKTI"/>
        <filter val="KM. PERMATA SEHATI"/>
        <filter val="KM. PESONA"/>
        <filter val="KM. PETTA TUNGKE 05"/>
        <filter val="KM. POPULAIR"/>
        <filter val="KM. PRIMA SAMUDRA"/>
        <filter val="KM. PUL MANDIRI"/>
        <filter val="KM. RIMBA EMPAT"/>
        <filter val="KM. ROYAL SHIP"/>
        <filter val="KM. SABUK NUSANTARA 68"/>
        <filter val="KM. SAHABAT SENTOSA"/>
        <filter val="KM. SALIM MUJUR 1"/>
        <filter val="KM. SARANA VIII"/>
        <filter val="KM. SEGARA ANAK 1"/>
        <filter val="KM. SEGARA IBU"/>
        <filter val="KM. SEJAHTERA 25"/>
        <filter val="KM. SENTOSA 207"/>
        <filter val="KM. SENTOSA JAYA SBS"/>
        <filter val="KM. SINAR HARAPAN 78"/>
        <filter val="KM. SINAR MAHKOTA"/>
        <filter val="KM. SJW TRANS"/>
        <filter val="KM. STAR SHIP"/>
        <filter val="KM. STB 22"/>
        <filter val="KM. STB 30"/>
        <filter val="KM. SURYA PAPUA"/>
        <filter val="KM. TONASA LINE - VI"/>
        <filter val="KM. TONASA LINE X"/>
        <filter val="KM. TONASA LINE XI"/>
        <filter val="KM. TONASA LINE XIX"/>
        <filter val="KM. TONASA LINE XVI"/>
        <filter val="KM. TONASA LINE XVIII"/>
        <filter val="KM. TONASA LINE XXV"/>
        <filter val="KM. TONASA LINES XVIII"/>
        <filter val="KM. TONASA LINES XXVI"/>
        <filter val="KM. VICTORY 8"/>
        <filter val="KM.CAHAYA BARU NO.2"/>
        <filter val="KM.SUNLY SAMUDERA"/>
        <filter val="MV. AISHA SARWAR"/>
        <filter val="MV. AKIJ GLOBE"/>
        <filter val="MV. AKIJ OCEAN"/>
        <filter val="MV. AKIJ WAVE"/>
        <filter val="MV. ALWAYS BLESSING"/>
        <filter val="MV. AMMAR"/>
        <filter val="MV. BAIK"/>
        <filter val="MV. BRAVE ROYAL"/>
        <filter val="MV. CEMCON"/>
        <filter val="MV. CEMENT SUCCESS"/>
        <filter val="MV. CEMTRANS"/>
        <filter val="MV. CERDAS"/>
        <filter val="MV. CH CLARE"/>
        <filter val="MV. CHIEF SEATLE"/>
        <filter val="MV. CLIPPER LIS"/>
        <filter val="MV. DARYA SATYA"/>
        <filter val="MV. DONGGALA VIII"/>
        <filter val="MV. EVER ADVANCE"/>
        <filter val="MV. EVER FORTUNE"/>
        <filter val="MV. GRAND CENTURY"/>
        <filter val="MV. GRAND ROYAL EXPRESS"/>
        <filter val="MV. GRAND TAJIMA"/>
        <filter val="MV. GREAT ROYAL"/>
        <filter val="MV. HALUAN SENTOSA"/>
        <filter val="MV. HANEI"/>
        <filter val="MV. HELI"/>
        <filter val="MV. HUA LI"/>
        <filter val="MV. IKAN LANDUK"/>
        <filter val="MV. IRIANA"/>
        <filter val="MV. KOTA PADANG"/>
        <filter val="MV. KOYO"/>
        <filter val="MV. MAA SALEHA BEGUM"/>
        <filter val="MV. MEDELIN FIRST"/>
        <filter val="MV. NACC COZUMEL"/>
        <filter val="MV. NACC PANAREA"/>
        <filter val="MV. OCEAN GLORY"/>
        <filter val="MV. OCEANIC PROGRESS"/>
        <filter val="MV. OLYMPIA LOGGER"/>
        <filter val="MV. PERSADA 8"/>
        <filter val="MV. RIVA WIND"/>
        <filter val="MV. ROYAL PEACE"/>
        <filter val="MV. RUBAIYAT HANIF"/>
        <filter val="MV. SHUN DA"/>
        <filter val="MV. SINAR KUDUS 88"/>
        <filter val="MV. STAR ROYAL"/>
        <filter val="MV. SUNDA STRAIT"/>
        <filter val="MV. SWADAYA LESTARI 1"/>
        <filter val="MV. TAN BINH 256"/>
        <filter val="MV. TONASA LINE XVIII"/>
        <filter val="MV. V DUE"/>
        <filter val="MV. V UNO"/>
        <filter val="MV. VINASHIP UNITY"/>
        <filter val="MV. VOSCO SKY"/>
        <filter val="MV. VOSCO STAR"/>
        <filter val="MV. VW PRIDE"/>
        <filter val="MV. XIANG FU"/>
        <filter val="MV. XIANG HAI"/>
        <filter val="MV. ZAHAB JAHAN"/>
        <filter val="OSAKA"/>
        <filter val="PB.KUNIMI /BG.KUNIMI 1"/>
        <filter val="PERMATA PRIMA"/>
        <filter val="SABUK NUSANTARA 37"/>
        <filter val="SEJAHTERA 30"/>
        <filter val="SHINPO"/>
        <filter val="TAREX 2"/>
        <filter val="TB HASNUR 02 / BG HASNUR 303"/>
        <filter val="TB. ALBATROSS 6-BG. PELICAN 305"/>
        <filter val="TB. ALBATROSS 7-BG. PELICAN 307"/>
        <filter val="TB. ALBATROSS 8 / BG. PELICAN 306"/>
        <filter val="TB. ALPHA II / BG. AULIYA KURNIA V"/>
        <filter val="TB. ANUGERAH 1 / BG. OBT 7"/>
        <filter val="TB. ANUGERAH BERSAMA 2235 / BG. PELICAN 303"/>
        <filter val="TB. ARK LEVI / BG. ARK GARNET"/>
        <filter val="TB. ARTHA KALTIM 12 / BG. ASK XII"/>
        <filter val="TB. ASIA TIRTA 1601 / BG. ASIA PERDANA 2706"/>
        <filter val="TB. ASIA TIRTA 2005 / BG. ASIA PERDANA 3005"/>
        <filter val="TB. ASINDO 007 / BG. ASINDO 010"/>
        <filter val="TB. AVENGERS 07 &amp; BG. SPA 30002"/>
        <filter val="TB. AVERY / BG. NAOMI"/>
        <filter val="TB. BERAU COAL 67 / BG. ROBBY 377"/>
        <filter val="TB. BLORO 1603 / BG. ROBBY 320"/>
        <filter val="TB. BLUEFIN III / BG.DIAMOND 3002"/>
        <filter val="TB. BONTOA / BG. TONASA LINES XXII"/>
        <filter val="TB. DEL 02 / BG. BKT 305"/>
        <filter val="TB. DEL 03 / BG. APURA 088"/>
        <filter val="TB. DHARMA 10 / BG. HM 308"/>
        <filter val="TB. DOLPHIN 58 / BG. BKT 303"/>
        <filter val="TB. DUTA KAPUAS 10/BG. KAPUAS 312"/>
        <filter val="TB. EAGLE 01 - BG. SINAR ANUGRAH 2503"/>
        <filter val="TB. EMILY / BG. GRACE"/>
        <filter val="TB. FERY XXI / BG. MASADA 18"/>
        <filter val="TB. FRANSISCUS 02 / BG. MJL 3015"/>
        <filter val="TB. GONAYA XXIII / BG. MASADA 16"/>
        <filter val="TB. HARMONY XIX / BG. LINTAS SAMUDERA 88"/>
        <filter val="TB. HARMONY-XXVII / BG. LINTAS SAMUDERA 139"/>
        <filter val="TB. HARMONY-XXVIII / BG. LINTAS SAMUDERA 96"/>
        <filter val="TB. HARRY 01 / BG. BULESKO III"/>
        <filter val="TB. HASNUR 02/BG HASNUR 303"/>
        <filter val="TB. HASNUR 07 / BG. HASNUR 307"/>
        <filter val="TB. KALTIM DOLPHIN 17-09 / BG. KALTIM FT 80-11"/>
        <filter val="TB. KANAYA 2 / BG. IRONMAN XLII"/>
        <filter val="TB. KARYA STAR 39 / BG. KBT 31"/>
        <filter val="TB. KARYA STAR 56 / BG.  KBT 36"/>
        <filter val="TB. KARYA STAR 80 / BG. TELAGA MAKMUR 30"/>
        <filter val="TB. KBS 208-BG. GTO 395"/>
        <filter val="TB. KHANSA UTAMA 01 / BG. KHANSA UTAMA 2702"/>
        <filter val="TB. KIETRANS 28 / BG. STAR MARINE 3005"/>
        <filter val="TB. KIETRANS 31 / BG. STAR MARINE 3031"/>
        <filter val="TB. KIETRANS 32 / BG. STAR MARINE 3032"/>
        <filter val="TB. KIETRANS 80 / BG. STAR MARINE 3080"/>
        <filter val="TB. L MARITIM / BG. SURYA MAS"/>
        <filter val="TB. LIBERTY 10 / BG. AZAMARA 3039"/>
        <filter val="TB. LIBERTY 17 - BG. OCEAN MASTER 205"/>
        <filter val="TB. LIBERTY 19 / BG. AZAMARA 3053"/>
        <filter val="TB. LIBERTY 21 - BG. AZAMARA 12"/>
        <filter val="TB. LIBERTY 25 / BG. AZAMARA 3063"/>
        <filter val="TB. LIBERTY 28 / BG. AZAMARA 3058"/>
        <filter val="TB. LIBERTY 3-BG. AZAMARA 3055"/>
        <filter val="TB. LIBERTY 9 / BG. AZAMARA 3032"/>
        <filter val="TB. LIUS 09 - BG. LIUS XIX"/>
        <filter val="TB. MAHKOTA IX / BG. MARITIM PERKASA 2730"/>
        <filter val="TB. MAHKOTA X / BG. MARITIM PERKASA 2727"/>
        <filter val="TB. MASADA 27 / BG. MJL 301"/>
        <filter val="TB. MASADA 29 / BG. JAUHAR"/>
        <filter val="TB. MHKL 204 / BG. MHKL 36"/>
        <filter val="TB. NELLY 97 / BG. NELLY 102"/>
        <filter val="TB. OCEAN MASTER 101 / BG. AZAMARA 23"/>
        <filter val="TB. OCEAN MASTER 101/BG. AZAMARA 23"/>
        <filter val="TB. OCEAN MASTER 102 / BG. PELICAN 302"/>
        <filter val="TB. OCEANIC 5 - BG. AZAMARA 9"/>
        <filter val="TB. OCEANUS 201 / BG. OCEANUS 31"/>
        <filter val="TB. OCEANUS 202 / BG. OCENAUS 32"/>
        <filter val="TB. OCEANUS 203 / BG. OCEANUS 33"/>
        <filter val="TB. PACIFIC FIVE / BG. PACIFIC 3302"/>
        <filter val="TB. PACIFIC JAYA VI / BG. MARITIM PERKASA 2725"/>
        <filter val="TB. PACIFIC NINETEEN / BG. PACIFIC 3019"/>
        <filter val="TB. PACIFIC SEVEN / BG. PACIFIC 3007"/>
        <filter val="TB. PACIFIC SEVENTEEN / BG. PACIFIC 3017"/>
        <filter val="TB. PACIFIC SIXTEEN BG. PACIFIC 3016"/>
        <filter val="TB. PACIFIC THIRTY FIVE / BG. PACIFIC 3035"/>
        <filter val="TB. PACIFIC THIRTY SIX / BG. PACIFIC 3036"/>
        <filter val="TB. PACIFIC TWENTY EIGHT / BG. PACIFIC 3028"/>
        <filter val="TB. PACIFIC TWENTY ONE / BG.  PACIFIC 3021"/>
        <filter val="TB. PACIFIC TWENTY SIX / BG. PACIFIC 3026"/>
        <filter val="TB. PANCARAN 811 / BG. KALYA 102"/>
        <filter val="TB. PERMATA DOLPHIN / BG. BKT 301"/>
        <filter val="TB. PUTRA LAUTAN V / BG. MARITIM PERKASA 2729"/>
        <filter val="TB. PUTRA LAUTAN VI / BG. MARITIM PERKASA 2731"/>
        <filter val="TB. PUTRA LAUTAN VII / BG. KABA PERKASA 2701"/>
        <filter val="TB. PUTRA LAUTAN VIII / BG. MARITIM PERKASA 2722"/>
        <filter val="TB. SAFARI 07 / BG. DAHLIA SAMUDERA 07"/>
        <filter val="TB. SAFARI 09 / BG. ANUGERAH MULIA 09"/>
        <filter val="TB. SAFARI 11 / BG. AMANAH 11"/>
        <filter val="TB. SATRIA LAKSANA 8 / BG. MJL 3016"/>
        <filter val="TB. SETIA ABADI / BG. FERY 9"/>
        <filter val="TB. SMS 160 10 / BG. SMS 10"/>
        <filter val="TB. STAR DOLPHIN / BG. PARTA JAYA 3008"/>
        <filter val="TB. SYUKUR 01 / BG. SYUKUR 61"/>
        <filter val="TB. SYUKUR 11 / BG. SYUKUR 06"/>
        <filter val="TB. SYUKUR 30 / BG. SYUKUR 29"/>
        <filter val="TB. SYUKUR 36 / BG. SYUKUR 37"/>
        <filter val="TB. SYUKUR 45 / BG. SYUKUR 47"/>
        <filter val="TB. SYUKUR 51 / BG. SYUKUR 57"/>
        <filter val="TB. SYUKUR 52 / BG. SYUKUR 80"/>
        <filter val="TB. SYUKUR 54 / BG. SYUKUR 49"/>
        <filter val="TB. SYUKUR 62 / BG. SYUKUR 09"/>
        <filter val="TB. SYUKUR 72 / BG. SYUKUR 79"/>
        <filter val="TB. SYUKUR 78 / BG. SYUKUR 53"/>
        <filter val="TB. TRANS POWER 165 / BG. GOLD TRANS 323"/>
        <filter val="TB. UNITED XI / BG. ISM 3017"/>
        <filter val="TB. VARIA USAHA 10 / BG. LINTAS SEGARA 18"/>
        <filter val="TB. VARIA USAHA 18 / BG. LINTAS SEGARA 10"/>
        <filter val="TB. VARIA USAHA 9 - BG. LINTAS SEGARA 9"/>
        <filter val="TB. VINCENT - 1 / BG. MJL 3018"/>
        <filter val="TB. VOYAGER 17 / BG. AZAMARA 3037"/>
        <filter val="TB. VOYAGER 3 / BG. AZAMARA 3033"/>
        <filter val="TB. VOYAGER 6 / BG. AZAMARA 3302"/>
        <filter val="TONASA LINE XV"/>
        <filter val="TRITON SHIP"/>
        <filter val="UNEI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CDE5-10DB-4C1B-BB51-4729EB458DBF}">
  <dimension ref="A1:C392"/>
  <sheetViews>
    <sheetView topLeftCell="A373" workbookViewId="0">
      <selection sqref="A1:XFD1048576"/>
    </sheetView>
  </sheetViews>
  <sheetFormatPr defaultRowHeight="14.5"/>
  <cols>
    <col min="1" max="1" width="43.26953125" bestFit="1" customWidth="1"/>
    <col min="2" max="2" width="15.36328125" bestFit="1" customWidth="1"/>
    <col min="3" max="3" width="16.1796875" bestFit="1" customWidth="1"/>
  </cols>
  <sheetData>
    <row r="1" spans="1:3">
      <c r="A1" t="s">
        <v>6388</v>
      </c>
      <c r="B1" t="s">
        <v>6389</v>
      </c>
      <c r="C1" t="s">
        <v>6390</v>
      </c>
    </row>
    <row r="2" spans="1:3">
      <c r="A2" t="s">
        <v>6391</v>
      </c>
      <c r="B2" t="s">
        <v>6392</v>
      </c>
      <c r="C2" t="s">
        <v>6393</v>
      </c>
    </row>
    <row r="3" spans="1:3">
      <c r="A3" t="s">
        <v>6394</v>
      </c>
      <c r="B3" t="s">
        <v>6392</v>
      </c>
      <c r="C3" t="s">
        <v>6393</v>
      </c>
    </row>
    <row r="4" spans="1:3">
      <c r="A4" t="s">
        <v>6395</v>
      </c>
      <c r="B4" t="s">
        <v>6396</v>
      </c>
      <c r="C4" t="s">
        <v>6393</v>
      </c>
    </row>
    <row r="5" spans="1:3">
      <c r="A5" t="s">
        <v>6397</v>
      </c>
      <c r="B5" t="s">
        <v>6392</v>
      </c>
      <c r="C5" t="s">
        <v>6393</v>
      </c>
    </row>
    <row r="6" spans="1:3">
      <c r="A6" t="s">
        <v>6398</v>
      </c>
      <c r="B6" t="s">
        <v>6396</v>
      </c>
      <c r="C6" t="s">
        <v>6393</v>
      </c>
    </row>
    <row r="7" spans="1:3">
      <c r="A7" t="s">
        <v>6399</v>
      </c>
      <c r="B7" t="s">
        <v>6392</v>
      </c>
      <c r="C7" t="s">
        <v>6393</v>
      </c>
    </row>
    <row r="8" spans="1:3">
      <c r="A8" t="s">
        <v>599</v>
      </c>
      <c r="B8" t="s">
        <v>6396</v>
      </c>
      <c r="C8" t="s">
        <v>6393</v>
      </c>
    </row>
    <row r="9" spans="1:3">
      <c r="A9" t="s">
        <v>6400</v>
      </c>
      <c r="B9" t="s">
        <v>6392</v>
      </c>
      <c r="C9" t="s">
        <v>6393</v>
      </c>
    </row>
    <row r="10" spans="1:3">
      <c r="A10" t="s">
        <v>914</v>
      </c>
      <c r="B10" t="s">
        <v>6392</v>
      </c>
      <c r="C10" t="s">
        <v>6393</v>
      </c>
    </row>
    <row r="11" spans="1:3">
      <c r="A11" t="s">
        <v>1270</v>
      </c>
      <c r="B11" t="s">
        <v>6396</v>
      </c>
      <c r="C11" t="s">
        <v>6401</v>
      </c>
    </row>
    <row r="12" spans="1:3">
      <c r="A12" t="s">
        <v>1414</v>
      </c>
      <c r="B12" t="s">
        <v>6396</v>
      </c>
      <c r="C12" t="s">
        <v>6393</v>
      </c>
    </row>
    <row r="13" spans="1:3">
      <c r="A13" t="s">
        <v>1707</v>
      </c>
      <c r="B13" t="s">
        <v>6396</v>
      </c>
      <c r="C13" t="s">
        <v>6401</v>
      </c>
    </row>
    <row r="14" spans="1:3">
      <c r="A14" t="s">
        <v>2182</v>
      </c>
      <c r="B14" t="s">
        <v>6392</v>
      </c>
      <c r="C14" t="s">
        <v>6393</v>
      </c>
    </row>
    <row r="15" spans="1:3">
      <c r="A15" t="s">
        <v>6369</v>
      </c>
      <c r="B15" t="s">
        <v>6392</v>
      </c>
      <c r="C15" t="s">
        <v>6393</v>
      </c>
    </row>
    <row r="16" spans="1:3">
      <c r="A16" t="s">
        <v>6369</v>
      </c>
      <c r="B16" t="s">
        <v>6392</v>
      </c>
      <c r="C16" t="s">
        <v>6393</v>
      </c>
    </row>
    <row r="17" spans="1:3">
      <c r="A17" t="s">
        <v>260</v>
      </c>
      <c r="B17" t="s">
        <v>6396</v>
      </c>
      <c r="C17" t="s">
        <v>6393</v>
      </c>
    </row>
    <row r="18" spans="1:3">
      <c r="A18" t="s">
        <v>184</v>
      </c>
      <c r="B18" t="s">
        <v>6392</v>
      </c>
      <c r="C18" t="s">
        <v>6393</v>
      </c>
    </row>
    <row r="19" spans="1:3">
      <c r="A19" t="s">
        <v>184</v>
      </c>
      <c r="B19" t="s">
        <v>6396</v>
      </c>
      <c r="C19" t="s">
        <v>6393</v>
      </c>
    </row>
    <row r="20" spans="1:3">
      <c r="A20" t="s">
        <v>305</v>
      </c>
      <c r="B20" t="s">
        <v>6396</v>
      </c>
      <c r="C20" t="s">
        <v>6393</v>
      </c>
    </row>
    <row r="21" spans="1:3">
      <c r="A21" t="s">
        <v>1832</v>
      </c>
      <c r="B21" t="s">
        <v>6392</v>
      </c>
      <c r="C21" t="s">
        <v>6393</v>
      </c>
    </row>
    <row r="22" spans="1:3">
      <c r="A22" t="s">
        <v>1832</v>
      </c>
      <c r="B22" t="s">
        <v>6392</v>
      </c>
      <c r="C22" t="s">
        <v>6393</v>
      </c>
    </row>
    <row r="23" spans="1:3">
      <c r="A23" t="s">
        <v>1824</v>
      </c>
      <c r="B23" t="s">
        <v>6392</v>
      </c>
      <c r="C23" t="s">
        <v>6393</v>
      </c>
    </row>
    <row r="24" spans="1:3">
      <c r="A24" t="s">
        <v>331</v>
      </c>
      <c r="B24" t="s">
        <v>6392</v>
      </c>
      <c r="C24" t="s">
        <v>6393</v>
      </c>
    </row>
    <row r="25" spans="1:3">
      <c r="A25" t="s">
        <v>534</v>
      </c>
      <c r="B25" t="s">
        <v>6396</v>
      </c>
      <c r="C25" t="s">
        <v>6393</v>
      </c>
    </row>
    <row r="26" spans="1:3">
      <c r="A26" t="s">
        <v>1880</v>
      </c>
      <c r="B26" t="s">
        <v>6396</v>
      </c>
      <c r="C26" t="s">
        <v>6393</v>
      </c>
    </row>
    <row r="27" spans="1:3">
      <c r="A27" t="s">
        <v>1880</v>
      </c>
      <c r="B27" t="s">
        <v>6396</v>
      </c>
      <c r="C27" t="s">
        <v>6393</v>
      </c>
    </row>
    <row r="28" spans="1:3">
      <c r="A28" t="s">
        <v>6402</v>
      </c>
      <c r="B28" t="s">
        <v>6392</v>
      </c>
      <c r="C28" t="s">
        <v>6393</v>
      </c>
    </row>
    <row r="29" spans="1:3">
      <c r="A29" t="s">
        <v>6402</v>
      </c>
      <c r="B29" t="s">
        <v>6392</v>
      </c>
      <c r="C29" t="s">
        <v>6393</v>
      </c>
    </row>
    <row r="30" spans="1:3">
      <c r="A30" t="s">
        <v>786</v>
      </c>
      <c r="B30" t="s">
        <v>6392</v>
      </c>
      <c r="C30" t="s">
        <v>6393</v>
      </c>
    </row>
    <row r="31" spans="1:3">
      <c r="A31" t="s">
        <v>751</v>
      </c>
      <c r="B31" t="s">
        <v>6396</v>
      </c>
      <c r="C31" t="s">
        <v>6393</v>
      </c>
    </row>
    <row r="32" spans="1:3">
      <c r="A32" t="s">
        <v>6403</v>
      </c>
      <c r="B32" t="s">
        <v>6392</v>
      </c>
      <c r="C32" t="s">
        <v>6393</v>
      </c>
    </row>
    <row r="33" spans="1:3">
      <c r="A33" t="s">
        <v>898</v>
      </c>
      <c r="B33" t="s">
        <v>6396</v>
      </c>
      <c r="C33" t="s">
        <v>6393</v>
      </c>
    </row>
    <row r="34" spans="1:3">
      <c r="A34" t="s">
        <v>898</v>
      </c>
      <c r="B34" t="s">
        <v>6396</v>
      </c>
      <c r="C34" t="s">
        <v>6393</v>
      </c>
    </row>
    <row r="35" spans="1:3">
      <c r="A35" t="s">
        <v>902</v>
      </c>
      <c r="B35" t="s">
        <v>6396</v>
      </c>
      <c r="C35" t="s">
        <v>6393</v>
      </c>
    </row>
    <row r="36" spans="1:3">
      <c r="A36" t="s">
        <v>860</v>
      </c>
      <c r="B36" t="s">
        <v>6396</v>
      </c>
      <c r="C36" t="s">
        <v>6393</v>
      </c>
    </row>
    <row r="37" spans="1:3">
      <c r="A37" t="s">
        <v>860</v>
      </c>
      <c r="B37" t="s">
        <v>6396</v>
      </c>
      <c r="C37" t="s">
        <v>6393</v>
      </c>
    </row>
    <row r="38" spans="1:3">
      <c r="A38" t="s">
        <v>887</v>
      </c>
      <c r="B38" t="s">
        <v>6392</v>
      </c>
      <c r="C38" t="s">
        <v>6393</v>
      </c>
    </row>
    <row r="39" spans="1:3">
      <c r="A39" t="s">
        <v>1093</v>
      </c>
      <c r="B39" t="s">
        <v>6396</v>
      </c>
      <c r="C39" t="s">
        <v>6393</v>
      </c>
    </row>
    <row r="40" spans="1:3">
      <c r="A40" t="s">
        <v>1919</v>
      </c>
      <c r="B40" t="s">
        <v>6396</v>
      </c>
      <c r="C40" t="s">
        <v>6393</v>
      </c>
    </row>
    <row r="41" spans="1:3">
      <c r="A41" t="s">
        <v>1919</v>
      </c>
      <c r="B41" t="s">
        <v>6396</v>
      </c>
      <c r="C41" t="s">
        <v>6393</v>
      </c>
    </row>
    <row r="42" spans="1:3">
      <c r="A42" t="s">
        <v>1159</v>
      </c>
      <c r="B42" t="s">
        <v>6392</v>
      </c>
      <c r="C42" t="s">
        <v>6393</v>
      </c>
    </row>
    <row r="43" spans="1:3">
      <c r="A43" t="s">
        <v>1159</v>
      </c>
      <c r="B43" t="s">
        <v>6392</v>
      </c>
      <c r="C43" t="s">
        <v>6393</v>
      </c>
    </row>
    <row r="44" spans="1:3">
      <c r="A44" t="s">
        <v>1239</v>
      </c>
      <c r="B44" t="s">
        <v>6392</v>
      </c>
      <c r="C44" t="s">
        <v>6393</v>
      </c>
    </row>
    <row r="45" spans="1:3">
      <c r="A45" t="s">
        <v>1239</v>
      </c>
      <c r="B45" t="s">
        <v>6392</v>
      </c>
      <c r="C45" t="s">
        <v>6393</v>
      </c>
    </row>
    <row r="46" spans="1:3">
      <c r="A46" t="s">
        <v>1399</v>
      </c>
      <c r="B46" t="s">
        <v>6396</v>
      </c>
      <c r="C46" t="s">
        <v>6393</v>
      </c>
    </row>
    <row r="47" spans="1:3">
      <c r="A47" t="s">
        <v>1399</v>
      </c>
      <c r="B47" t="s">
        <v>6396</v>
      </c>
      <c r="C47" t="s">
        <v>6393</v>
      </c>
    </row>
    <row r="48" spans="1:3">
      <c r="A48" t="s">
        <v>1363</v>
      </c>
      <c r="B48" t="s">
        <v>6392</v>
      </c>
      <c r="C48" t="s">
        <v>6393</v>
      </c>
    </row>
    <row r="49" spans="1:3">
      <c r="A49" t="s">
        <v>1363</v>
      </c>
      <c r="B49" t="s">
        <v>6392</v>
      </c>
      <c r="C49" t="s">
        <v>6393</v>
      </c>
    </row>
    <row r="50" spans="1:3">
      <c r="A50" t="s">
        <v>1984</v>
      </c>
      <c r="B50" t="s">
        <v>6396</v>
      </c>
      <c r="C50" t="s">
        <v>6393</v>
      </c>
    </row>
    <row r="51" spans="1:3">
      <c r="A51" t="s">
        <v>1999</v>
      </c>
      <c r="B51" t="s">
        <v>6392</v>
      </c>
      <c r="C51" t="s">
        <v>6393</v>
      </c>
    </row>
    <row r="52" spans="1:3">
      <c r="A52" t="s">
        <v>1999</v>
      </c>
      <c r="B52" t="s">
        <v>6392</v>
      </c>
      <c r="C52" t="s">
        <v>6393</v>
      </c>
    </row>
    <row r="53" spans="1:3">
      <c r="A53" t="s">
        <v>1521</v>
      </c>
      <c r="B53" t="s">
        <v>6392</v>
      </c>
      <c r="C53" t="s">
        <v>6393</v>
      </c>
    </row>
    <row r="54" spans="1:3">
      <c r="A54" t="s">
        <v>1532</v>
      </c>
      <c r="B54" t="s">
        <v>6392</v>
      </c>
      <c r="C54" t="s">
        <v>6393</v>
      </c>
    </row>
    <row r="55" spans="1:3">
      <c r="A55" t="s">
        <v>1988</v>
      </c>
      <c r="B55" t="s">
        <v>6392</v>
      </c>
      <c r="C55" t="s">
        <v>6393</v>
      </c>
    </row>
    <row r="56" spans="1:3">
      <c r="A56" t="s">
        <v>2022</v>
      </c>
      <c r="B56" t="s">
        <v>6396</v>
      </c>
      <c r="C56" t="s">
        <v>6393</v>
      </c>
    </row>
    <row r="57" spans="1:3">
      <c r="A57" t="s">
        <v>2022</v>
      </c>
      <c r="B57" t="s">
        <v>6396</v>
      </c>
      <c r="C57" t="s">
        <v>6393</v>
      </c>
    </row>
    <row r="58" spans="1:3">
      <c r="A58" t="s">
        <v>1659</v>
      </c>
      <c r="B58" t="s">
        <v>6392</v>
      </c>
      <c r="C58" t="s">
        <v>6393</v>
      </c>
    </row>
    <row r="59" spans="1:3">
      <c r="A59" t="s">
        <v>1633</v>
      </c>
      <c r="B59" t="s">
        <v>6392</v>
      </c>
      <c r="C59" t="s">
        <v>6393</v>
      </c>
    </row>
    <row r="60" spans="1:3">
      <c r="A60" t="s">
        <v>2019</v>
      </c>
      <c r="B60" t="s">
        <v>6392</v>
      </c>
      <c r="C60" t="s">
        <v>6393</v>
      </c>
    </row>
    <row r="61" spans="1:3">
      <c r="A61" t="s">
        <v>1699</v>
      </c>
      <c r="B61" t="s">
        <v>6392</v>
      </c>
      <c r="C61" t="s">
        <v>6393</v>
      </c>
    </row>
    <row r="62" spans="1:3">
      <c r="A62" t="s">
        <v>6404</v>
      </c>
      <c r="B62" t="s">
        <v>6392</v>
      </c>
      <c r="C62" t="s">
        <v>6393</v>
      </c>
    </row>
    <row r="63" spans="1:3">
      <c r="A63" t="s">
        <v>1703</v>
      </c>
      <c r="B63" t="s">
        <v>6392</v>
      </c>
      <c r="C63" t="s">
        <v>6393</v>
      </c>
    </row>
    <row r="64" spans="1:3">
      <c r="A64" t="s">
        <v>1680</v>
      </c>
      <c r="B64" t="s">
        <v>6396</v>
      </c>
      <c r="C64" t="s">
        <v>6393</v>
      </c>
    </row>
    <row r="65" spans="1:3">
      <c r="A65" t="s">
        <v>1695</v>
      </c>
      <c r="B65" t="s">
        <v>6392</v>
      </c>
      <c r="C65" t="s">
        <v>6393</v>
      </c>
    </row>
    <row r="66" spans="1:3">
      <c r="A66" t="s">
        <v>2055</v>
      </c>
      <c r="B66" t="s">
        <v>6396</v>
      </c>
      <c r="C66" t="s">
        <v>6393</v>
      </c>
    </row>
    <row r="67" spans="1:3">
      <c r="A67" t="s">
        <v>2055</v>
      </c>
      <c r="B67" t="s">
        <v>6396</v>
      </c>
      <c r="C67" t="s">
        <v>6393</v>
      </c>
    </row>
    <row r="68" spans="1:3">
      <c r="A68" t="s">
        <v>2519</v>
      </c>
      <c r="B68" t="s">
        <v>6392</v>
      </c>
      <c r="C68" t="s">
        <v>6393</v>
      </c>
    </row>
    <row r="69" spans="1:3">
      <c r="A69" t="s">
        <v>2189</v>
      </c>
      <c r="B69" t="s">
        <v>6396</v>
      </c>
      <c r="C69" t="s">
        <v>6393</v>
      </c>
    </row>
    <row r="70" spans="1:3">
      <c r="A70" t="s">
        <v>2505</v>
      </c>
      <c r="B70" t="s">
        <v>6392</v>
      </c>
      <c r="C70" t="s">
        <v>6393</v>
      </c>
    </row>
    <row r="71" spans="1:3">
      <c r="A71" t="s">
        <v>1905</v>
      </c>
      <c r="B71" t="s">
        <v>6396</v>
      </c>
      <c r="C71" t="s">
        <v>6393</v>
      </c>
    </row>
    <row r="72" spans="1:3">
      <c r="A72" t="s">
        <v>2083</v>
      </c>
      <c r="B72" t="s">
        <v>6392</v>
      </c>
      <c r="C72" t="s">
        <v>6393</v>
      </c>
    </row>
    <row r="73" spans="1:3">
      <c r="A73" t="s">
        <v>2086</v>
      </c>
      <c r="B73" t="s">
        <v>6392</v>
      </c>
      <c r="C73" t="s">
        <v>6393</v>
      </c>
    </row>
    <row r="74" spans="1:3">
      <c r="A74" t="s">
        <v>6405</v>
      </c>
      <c r="B74" t="s">
        <v>6396</v>
      </c>
      <c r="C74" t="s">
        <v>6393</v>
      </c>
    </row>
    <row r="75" spans="1:3">
      <c r="A75" t="s">
        <v>6405</v>
      </c>
      <c r="B75" t="s">
        <v>6396</v>
      </c>
      <c r="C75" t="s">
        <v>6393</v>
      </c>
    </row>
    <row r="76" spans="1:3">
      <c r="A76" t="s">
        <v>2109</v>
      </c>
      <c r="B76" t="s">
        <v>6392</v>
      </c>
      <c r="C76" t="s">
        <v>6393</v>
      </c>
    </row>
    <row r="77" spans="1:3">
      <c r="A77" t="s">
        <v>2094</v>
      </c>
      <c r="B77" t="s">
        <v>6396</v>
      </c>
      <c r="C77" t="s">
        <v>6393</v>
      </c>
    </row>
    <row r="78" spans="1:3">
      <c r="A78" t="s">
        <v>2700</v>
      </c>
      <c r="B78" t="s">
        <v>6392</v>
      </c>
      <c r="C78" t="s">
        <v>6393</v>
      </c>
    </row>
    <row r="79" spans="1:3">
      <c r="A79" t="s">
        <v>6406</v>
      </c>
      <c r="B79" t="s">
        <v>6396</v>
      </c>
      <c r="C79" t="s">
        <v>6393</v>
      </c>
    </row>
    <row r="80" spans="1:3">
      <c r="A80" t="s">
        <v>2135</v>
      </c>
      <c r="B80" t="s">
        <v>6392</v>
      </c>
      <c r="C80" t="s">
        <v>6393</v>
      </c>
    </row>
    <row r="81" spans="1:3">
      <c r="A81" t="s">
        <v>2174</v>
      </c>
      <c r="B81" t="s">
        <v>6392</v>
      </c>
      <c r="C81" t="s">
        <v>6393</v>
      </c>
    </row>
    <row r="82" spans="1:3">
      <c r="A82" t="s">
        <v>6407</v>
      </c>
      <c r="B82" t="s">
        <v>6392</v>
      </c>
      <c r="C82" t="s">
        <v>6393</v>
      </c>
    </row>
    <row r="83" spans="1:3">
      <c r="A83" t="s">
        <v>6408</v>
      </c>
      <c r="B83" t="s">
        <v>6392</v>
      </c>
      <c r="C83" t="s">
        <v>6393</v>
      </c>
    </row>
    <row r="84" spans="1:3">
      <c r="A84" t="s">
        <v>4134</v>
      </c>
      <c r="B84" t="s">
        <v>6396</v>
      </c>
      <c r="C84" t="s">
        <v>6393</v>
      </c>
    </row>
    <row r="85" spans="1:3">
      <c r="A85" t="s">
        <v>2203</v>
      </c>
      <c r="B85" t="s">
        <v>6396</v>
      </c>
      <c r="C85" t="s">
        <v>6393</v>
      </c>
    </row>
    <row r="86" spans="1:3">
      <c r="A86" t="s">
        <v>2203</v>
      </c>
      <c r="B86" t="s">
        <v>6396</v>
      </c>
      <c r="C86" t="s">
        <v>6393</v>
      </c>
    </row>
    <row r="87" spans="1:3">
      <c r="A87" t="s">
        <v>4464</v>
      </c>
      <c r="B87" t="s">
        <v>6392</v>
      </c>
      <c r="C87" t="s">
        <v>6393</v>
      </c>
    </row>
    <row r="88" spans="1:3">
      <c r="A88" t="s">
        <v>6354</v>
      </c>
      <c r="B88" t="s">
        <v>6392</v>
      </c>
      <c r="C88" t="s">
        <v>6393</v>
      </c>
    </row>
    <row r="89" spans="1:3">
      <c r="A89" t="s">
        <v>4180</v>
      </c>
      <c r="B89" t="s">
        <v>6396</v>
      </c>
      <c r="C89" t="s">
        <v>6393</v>
      </c>
    </row>
    <row r="90" spans="1:3">
      <c r="A90" t="s">
        <v>4211</v>
      </c>
      <c r="B90" t="s">
        <v>6392</v>
      </c>
      <c r="C90" t="s">
        <v>6393</v>
      </c>
    </row>
    <row r="91" spans="1:3">
      <c r="A91" t="s">
        <v>2207</v>
      </c>
      <c r="B91" t="s">
        <v>6392</v>
      </c>
      <c r="C91" t="s">
        <v>6393</v>
      </c>
    </row>
    <row r="92" spans="1:3">
      <c r="A92" t="s">
        <v>2207</v>
      </c>
      <c r="B92" t="s">
        <v>6392</v>
      </c>
      <c r="C92" t="s">
        <v>6393</v>
      </c>
    </row>
    <row r="93" spans="1:3">
      <c r="A93" t="s">
        <v>4448</v>
      </c>
      <c r="B93" t="s">
        <v>6392</v>
      </c>
      <c r="C93" t="s">
        <v>6393</v>
      </c>
    </row>
    <row r="94" spans="1:3">
      <c r="A94" t="s">
        <v>4430</v>
      </c>
      <c r="B94" t="s">
        <v>6392</v>
      </c>
      <c r="C94" t="s">
        <v>6393</v>
      </c>
    </row>
    <row r="95" spans="1:3">
      <c r="A95" t="s">
        <v>4437</v>
      </c>
      <c r="B95" t="s">
        <v>6392</v>
      </c>
      <c r="C95" t="s">
        <v>6393</v>
      </c>
    </row>
    <row r="96" spans="1:3">
      <c r="A96" t="s">
        <v>4434</v>
      </c>
      <c r="B96" t="s">
        <v>6396</v>
      </c>
      <c r="C96" t="s">
        <v>6393</v>
      </c>
    </row>
    <row r="97" spans="1:3">
      <c r="A97" t="s">
        <v>2256</v>
      </c>
      <c r="B97" t="s">
        <v>6396</v>
      </c>
      <c r="C97" t="s">
        <v>6393</v>
      </c>
    </row>
    <row r="98" spans="1:3">
      <c r="A98" t="s">
        <v>4524</v>
      </c>
      <c r="B98" t="s">
        <v>6392</v>
      </c>
      <c r="C98" t="s">
        <v>6393</v>
      </c>
    </row>
    <row r="99" spans="1:3">
      <c r="A99" t="s">
        <v>4479</v>
      </c>
      <c r="B99" t="s">
        <v>6392</v>
      </c>
      <c r="C99" t="s">
        <v>6393</v>
      </c>
    </row>
    <row r="100" spans="1:3">
      <c r="A100" t="s">
        <v>2266</v>
      </c>
      <c r="B100" t="s">
        <v>6396</v>
      </c>
      <c r="C100" t="s">
        <v>6393</v>
      </c>
    </row>
    <row r="101" spans="1:3">
      <c r="A101" t="s">
        <v>2266</v>
      </c>
      <c r="B101" t="s">
        <v>6396</v>
      </c>
      <c r="C101" t="s">
        <v>6393</v>
      </c>
    </row>
    <row r="102" spans="1:3">
      <c r="A102" t="s">
        <v>6364</v>
      </c>
      <c r="B102" t="s">
        <v>6392</v>
      </c>
      <c r="C102" t="s">
        <v>6393</v>
      </c>
    </row>
    <row r="103" spans="1:3">
      <c r="A103" t="s">
        <v>2274</v>
      </c>
      <c r="B103" t="s">
        <v>6392</v>
      </c>
      <c r="C103" t="s">
        <v>6393</v>
      </c>
    </row>
    <row r="104" spans="1:3">
      <c r="A104" t="s">
        <v>2280</v>
      </c>
      <c r="B104" t="s">
        <v>6396</v>
      </c>
      <c r="C104" t="s">
        <v>6393</v>
      </c>
    </row>
    <row r="105" spans="1:3">
      <c r="A105" t="s">
        <v>2280</v>
      </c>
      <c r="B105" t="s">
        <v>6396</v>
      </c>
      <c r="C105" t="s">
        <v>6393</v>
      </c>
    </row>
    <row r="106" spans="1:3">
      <c r="A106" t="s">
        <v>2317</v>
      </c>
      <c r="B106" t="s">
        <v>6396</v>
      </c>
      <c r="C106" t="s">
        <v>6393</v>
      </c>
    </row>
    <row r="107" spans="1:3">
      <c r="A107" t="s">
        <v>2317</v>
      </c>
      <c r="B107" t="s">
        <v>6396</v>
      </c>
      <c r="C107" t="s">
        <v>6393</v>
      </c>
    </row>
    <row r="108" spans="1:3">
      <c r="A108" t="s">
        <v>2395</v>
      </c>
      <c r="B108" t="s">
        <v>6396</v>
      </c>
      <c r="C108" t="s">
        <v>6393</v>
      </c>
    </row>
    <row r="109" spans="1:3">
      <c r="A109" t="s">
        <v>2395</v>
      </c>
      <c r="B109" t="s">
        <v>6396</v>
      </c>
      <c r="C109" t="s">
        <v>6393</v>
      </c>
    </row>
    <row r="110" spans="1:3">
      <c r="A110" t="s">
        <v>2374</v>
      </c>
      <c r="B110" t="s">
        <v>6392</v>
      </c>
      <c r="C110" t="s">
        <v>6393</v>
      </c>
    </row>
    <row r="111" spans="1:3">
      <c r="A111" t="s">
        <v>2362</v>
      </c>
      <c r="B111" t="s">
        <v>6396</v>
      </c>
      <c r="C111" t="s">
        <v>6393</v>
      </c>
    </row>
    <row r="112" spans="1:3">
      <c r="A112" t="s">
        <v>4712</v>
      </c>
      <c r="B112" t="s">
        <v>6396</v>
      </c>
      <c r="C112" t="s">
        <v>6393</v>
      </c>
    </row>
    <row r="113" spans="1:3">
      <c r="A113" t="s">
        <v>4804</v>
      </c>
      <c r="B113" t="s">
        <v>6392</v>
      </c>
      <c r="C113" t="s">
        <v>6393</v>
      </c>
    </row>
    <row r="114" spans="1:3">
      <c r="A114" t="s">
        <v>4452</v>
      </c>
      <c r="B114" t="s">
        <v>6392</v>
      </c>
      <c r="C114" t="s">
        <v>6393</v>
      </c>
    </row>
    <row r="115" spans="1:3">
      <c r="A115" t="s">
        <v>4452</v>
      </c>
      <c r="B115" t="s">
        <v>6392</v>
      </c>
      <c r="C115" t="s">
        <v>6393</v>
      </c>
    </row>
    <row r="116" spans="1:3">
      <c r="A116" t="s">
        <v>6409</v>
      </c>
      <c r="B116" t="s">
        <v>6396</v>
      </c>
      <c r="C116" t="s">
        <v>6393</v>
      </c>
    </row>
    <row r="117" spans="1:3">
      <c r="A117" t="s">
        <v>4671</v>
      </c>
      <c r="B117" t="s">
        <v>6396</v>
      </c>
      <c r="C117" t="s">
        <v>6393</v>
      </c>
    </row>
    <row r="118" spans="1:3">
      <c r="A118" t="s">
        <v>2340</v>
      </c>
      <c r="B118" t="s">
        <v>6392</v>
      </c>
      <c r="C118" t="s">
        <v>6393</v>
      </c>
    </row>
    <row r="119" spans="1:3">
      <c r="A119" t="s">
        <v>2340</v>
      </c>
      <c r="B119" t="s">
        <v>6392</v>
      </c>
      <c r="C119" t="s">
        <v>6393</v>
      </c>
    </row>
    <row r="120" spans="1:3">
      <c r="A120" t="s">
        <v>4808</v>
      </c>
      <c r="B120" t="s">
        <v>6392</v>
      </c>
      <c r="C120" t="s">
        <v>6393</v>
      </c>
    </row>
    <row r="121" spans="1:3">
      <c r="A121" t="s">
        <v>2399</v>
      </c>
      <c r="B121" t="s">
        <v>6396</v>
      </c>
      <c r="C121" t="s">
        <v>6393</v>
      </c>
    </row>
    <row r="122" spans="1:3">
      <c r="A122" t="s">
        <v>6410</v>
      </c>
      <c r="B122" t="s">
        <v>6392</v>
      </c>
      <c r="C122" t="s">
        <v>6393</v>
      </c>
    </row>
    <row r="123" spans="1:3">
      <c r="A123" t="s">
        <v>6410</v>
      </c>
      <c r="B123" t="s">
        <v>6392</v>
      </c>
      <c r="C123" t="s">
        <v>6393</v>
      </c>
    </row>
    <row r="124" spans="1:3">
      <c r="A124" t="s">
        <v>5045</v>
      </c>
      <c r="B124" t="s">
        <v>6396</v>
      </c>
      <c r="C124" t="s">
        <v>6393</v>
      </c>
    </row>
    <row r="125" spans="1:3">
      <c r="A125" t="s">
        <v>2366</v>
      </c>
      <c r="B125" t="s">
        <v>6396</v>
      </c>
      <c r="C125" t="s">
        <v>6393</v>
      </c>
    </row>
    <row r="126" spans="1:3">
      <c r="A126" t="s">
        <v>6411</v>
      </c>
      <c r="B126" t="s">
        <v>6392</v>
      </c>
      <c r="C126" t="s">
        <v>6393</v>
      </c>
    </row>
    <row r="127" spans="1:3">
      <c r="A127" t="s">
        <v>6411</v>
      </c>
      <c r="B127" t="s">
        <v>6392</v>
      </c>
      <c r="C127" t="s">
        <v>6393</v>
      </c>
    </row>
    <row r="128" spans="1:3">
      <c r="A128" t="s">
        <v>5034</v>
      </c>
      <c r="B128" t="s">
        <v>6392</v>
      </c>
      <c r="C128" t="s">
        <v>6393</v>
      </c>
    </row>
    <row r="129" spans="1:3">
      <c r="A129" t="s">
        <v>5038</v>
      </c>
      <c r="B129" t="s">
        <v>6392</v>
      </c>
      <c r="C129" t="s">
        <v>6393</v>
      </c>
    </row>
    <row r="130" spans="1:3">
      <c r="A130" t="s">
        <v>5038</v>
      </c>
      <c r="B130" t="s">
        <v>6392</v>
      </c>
      <c r="C130" t="s">
        <v>6393</v>
      </c>
    </row>
    <row r="131" spans="1:3">
      <c r="A131" t="s">
        <v>6412</v>
      </c>
      <c r="B131" t="s">
        <v>6392</v>
      </c>
      <c r="C131" t="s">
        <v>6393</v>
      </c>
    </row>
    <row r="132" spans="1:3">
      <c r="A132" t="s">
        <v>5158</v>
      </c>
      <c r="B132" t="s">
        <v>6392</v>
      </c>
      <c r="C132" t="s">
        <v>6393</v>
      </c>
    </row>
    <row r="133" spans="1:3">
      <c r="A133" t="s">
        <v>6359</v>
      </c>
      <c r="B133" t="s">
        <v>6396</v>
      </c>
      <c r="C133" t="s">
        <v>6393</v>
      </c>
    </row>
    <row r="134" spans="1:3">
      <c r="A134" t="s">
        <v>6413</v>
      </c>
      <c r="B134" t="s">
        <v>6392</v>
      </c>
      <c r="C134" t="s">
        <v>6393</v>
      </c>
    </row>
    <row r="135" spans="1:3">
      <c r="A135" t="s">
        <v>6413</v>
      </c>
      <c r="B135" t="s">
        <v>6392</v>
      </c>
      <c r="C135" t="s">
        <v>6393</v>
      </c>
    </row>
    <row r="136" spans="1:3">
      <c r="A136" t="s">
        <v>6414</v>
      </c>
      <c r="B136" t="s">
        <v>6396</v>
      </c>
      <c r="C136" t="s">
        <v>6393</v>
      </c>
    </row>
    <row r="137" spans="1:3">
      <c r="A137" t="s">
        <v>6414</v>
      </c>
      <c r="B137" t="s">
        <v>6396</v>
      </c>
      <c r="C137" t="s">
        <v>6393</v>
      </c>
    </row>
    <row r="138" spans="1:3">
      <c r="A138" t="s">
        <v>2413</v>
      </c>
      <c r="B138" t="s">
        <v>6396</v>
      </c>
      <c r="C138" t="s">
        <v>6393</v>
      </c>
    </row>
    <row r="139" spans="1:3">
      <c r="A139" t="s">
        <v>5737</v>
      </c>
      <c r="B139" t="s">
        <v>6392</v>
      </c>
      <c r="C139" t="s">
        <v>6393</v>
      </c>
    </row>
    <row r="140" spans="1:3">
      <c r="A140" t="s">
        <v>5737</v>
      </c>
      <c r="B140" t="s">
        <v>6392</v>
      </c>
      <c r="C140" t="s">
        <v>6393</v>
      </c>
    </row>
    <row r="141" spans="1:3">
      <c r="A141" t="s">
        <v>2417</v>
      </c>
      <c r="B141" t="s">
        <v>6396</v>
      </c>
      <c r="C141" t="s">
        <v>6393</v>
      </c>
    </row>
    <row r="142" spans="1:3">
      <c r="A142" t="s">
        <v>2417</v>
      </c>
      <c r="B142" t="s">
        <v>6396</v>
      </c>
      <c r="C142" t="s">
        <v>6393</v>
      </c>
    </row>
    <row r="143" spans="1:3">
      <c r="A143" t="s">
        <v>2523</v>
      </c>
      <c r="B143" t="s">
        <v>6396</v>
      </c>
      <c r="C143" t="s">
        <v>6393</v>
      </c>
    </row>
    <row r="144" spans="1:3">
      <c r="A144" t="s">
        <v>2523</v>
      </c>
      <c r="B144" t="s">
        <v>6392</v>
      </c>
      <c r="C144" t="s">
        <v>6393</v>
      </c>
    </row>
    <row r="145" spans="1:3">
      <c r="A145" t="s">
        <v>5740</v>
      </c>
      <c r="B145" t="s">
        <v>6396</v>
      </c>
      <c r="C145" t="s">
        <v>6393</v>
      </c>
    </row>
    <row r="146" spans="1:3">
      <c r="A146" t="s">
        <v>5740</v>
      </c>
      <c r="B146" t="s">
        <v>6396</v>
      </c>
      <c r="C146" t="s">
        <v>6393</v>
      </c>
    </row>
    <row r="147" spans="1:3">
      <c r="A147" t="s">
        <v>2481</v>
      </c>
      <c r="B147" t="s">
        <v>6396</v>
      </c>
      <c r="C147" t="s">
        <v>6393</v>
      </c>
    </row>
    <row r="148" spans="1:3">
      <c r="A148" t="s">
        <v>2481</v>
      </c>
      <c r="B148" t="s">
        <v>6396</v>
      </c>
      <c r="C148" t="s">
        <v>6393</v>
      </c>
    </row>
    <row r="149" spans="1:3">
      <c r="A149" t="s">
        <v>6415</v>
      </c>
      <c r="B149" t="s">
        <v>6392</v>
      </c>
      <c r="C149" t="s">
        <v>6393</v>
      </c>
    </row>
    <row r="150" spans="1:3">
      <c r="A150" t="s">
        <v>6416</v>
      </c>
      <c r="B150" t="s">
        <v>6396</v>
      </c>
      <c r="C150" t="s">
        <v>6393</v>
      </c>
    </row>
    <row r="151" spans="1:3">
      <c r="A151" t="s">
        <v>6416</v>
      </c>
      <c r="B151" t="s">
        <v>6396</v>
      </c>
      <c r="C151" t="s">
        <v>6393</v>
      </c>
    </row>
    <row r="152" spans="1:3">
      <c r="A152" t="s">
        <v>5729</v>
      </c>
      <c r="B152" t="s">
        <v>6396</v>
      </c>
      <c r="C152" t="s">
        <v>6393</v>
      </c>
    </row>
    <row r="153" spans="1:3">
      <c r="A153" t="s">
        <v>5837</v>
      </c>
      <c r="B153" t="s">
        <v>6392</v>
      </c>
      <c r="C153" t="s">
        <v>6393</v>
      </c>
    </row>
    <row r="154" spans="1:3">
      <c r="A154" t="s">
        <v>2492</v>
      </c>
      <c r="B154" t="s">
        <v>6392</v>
      </c>
      <c r="C154" t="s">
        <v>6393</v>
      </c>
    </row>
    <row r="155" spans="1:3">
      <c r="A155" t="s">
        <v>937</v>
      </c>
      <c r="B155" t="s">
        <v>6392</v>
      </c>
      <c r="C155" t="s">
        <v>6393</v>
      </c>
    </row>
    <row r="156" spans="1:3">
      <c r="A156" t="s">
        <v>5073</v>
      </c>
      <c r="B156" t="s">
        <v>6392</v>
      </c>
      <c r="C156" t="s">
        <v>6393</v>
      </c>
    </row>
    <row r="157" spans="1:3">
      <c r="A157" t="s">
        <v>2767</v>
      </c>
      <c r="B157" t="s">
        <v>6396</v>
      </c>
      <c r="C157" t="s">
        <v>6401</v>
      </c>
    </row>
    <row r="158" spans="1:3">
      <c r="A158" t="s">
        <v>2767</v>
      </c>
      <c r="B158" t="s">
        <v>6396</v>
      </c>
      <c r="C158" t="s">
        <v>6401</v>
      </c>
    </row>
    <row r="159" spans="1:3">
      <c r="A159" t="s">
        <v>2736</v>
      </c>
      <c r="B159" t="s">
        <v>6396</v>
      </c>
      <c r="C159" t="s">
        <v>6401</v>
      </c>
    </row>
    <row r="160" spans="1:3">
      <c r="A160" t="s">
        <v>2736</v>
      </c>
      <c r="B160" t="s">
        <v>6396</v>
      </c>
      <c r="C160" t="s">
        <v>6401</v>
      </c>
    </row>
    <row r="161" spans="1:3">
      <c r="A161" t="s">
        <v>6417</v>
      </c>
      <c r="B161" t="s">
        <v>6396</v>
      </c>
      <c r="C161" t="s">
        <v>6401</v>
      </c>
    </row>
    <row r="162" spans="1:3">
      <c r="A162" t="s">
        <v>6418</v>
      </c>
      <c r="B162" t="s">
        <v>6396</v>
      </c>
      <c r="C162" t="s">
        <v>6401</v>
      </c>
    </row>
    <row r="163" spans="1:3">
      <c r="A163" t="s">
        <v>6418</v>
      </c>
      <c r="B163" t="s">
        <v>6396</v>
      </c>
      <c r="C163" t="s">
        <v>6401</v>
      </c>
    </row>
    <row r="164" spans="1:3">
      <c r="A164" t="s">
        <v>217</v>
      </c>
      <c r="B164" t="s">
        <v>6396</v>
      </c>
      <c r="C164" t="s">
        <v>6401</v>
      </c>
    </row>
    <row r="165" spans="1:3">
      <c r="A165" t="s">
        <v>6419</v>
      </c>
      <c r="B165" t="s">
        <v>6396</v>
      </c>
      <c r="C165" t="s">
        <v>6401</v>
      </c>
    </row>
    <row r="166" spans="1:3">
      <c r="A166" t="s">
        <v>2814</v>
      </c>
      <c r="B166" t="s">
        <v>6396</v>
      </c>
      <c r="C166" t="s">
        <v>6401</v>
      </c>
    </row>
    <row r="167" spans="1:3">
      <c r="A167" t="s">
        <v>2814</v>
      </c>
      <c r="B167" t="s">
        <v>6396</v>
      </c>
      <c r="C167" t="s">
        <v>6401</v>
      </c>
    </row>
    <row r="168" spans="1:3">
      <c r="A168" t="s">
        <v>2782</v>
      </c>
      <c r="B168" t="s">
        <v>6396</v>
      </c>
      <c r="C168" t="s">
        <v>6401</v>
      </c>
    </row>
    <row r="169" spans="1:3">
      <c r="A169" t="s">
        <v>2724</v>
      </c>
      <c r="B169" t="s">
        <v>6396</v>
      </c>
      <c r="C169" t="s">
        <v>6401</v>
      </c>
    </row>
    <row r="170" spans="1:3">
      <c r="A170" t="s">
        <v>6420</v>
      </c>
      <c r="B170" t="s">
        <v>6396</v>
      </c>
      <c r="C170" t="s">
        <v>6401</v>
      </c>
    </row>
    <row r="171" spans="1:3">
      <c r="A171" t="s">
        <v>6271</v>
      </c>
      <c r="B171" t="s">
        <v>6396</v>
      </c>
      <c r="C171" t="s">
        <v>6393</v>
      </c>
    </row>
    <row r="172" spans="1:3">
      <c r="A172" t="s">
        <v>6271</v>
      </c>
      <c r="B172" t="s">
        <v>6396</v>
      </c>
      <c r="C172" t="s">
        <v>6393</v>
      </c>
    </row>
    <row r="173" spans="1:3">
      <c r="A173" t="s">
        <v>2870</v>
      </c>
      <c r="B173" t="s">
        <v>6396</v>
      </c>
      <c r="C173" t="s">
        <v>6401</v>
      </c>
    </row>
    <row r="174" spans="1:3">
      <c r="A174" t="s">
        <v>2870</v>
      </c>
      <c r="B174" t="s">
        <v>6396</v>
      </c>
      <c r="C174" t="s">
        <v>6401</v>
      </c>
    </row>
    <row r="175" spans="1:3">
      <c r="A175" t="s">
        <v>895</v>
      </c>
      <c r="B175" t="s">
        <v>6396</v>
      </c>
      <c r="C175" t="s">
        <v>6393</v>
      </c>
    </row>
    <row r="176" spans="1:3">
      <c r="A176" t="s">
        <v>895</v>
      </c>
      <c r="B176" t="s">
        <v>6392</v>
      </c>
      <c r="C176" t="s">
        <v>6393</v>
      </c>
    </row>
    <row r="177" spans="1:3">
      <c r="A177" t="s">
        <v>2946</v>
      </c>
      <c r="B177" t="s">
        <v>6396</v>
      </c>
      <c r="C177" t="s">
        <v>6401</v>
      </c>
    </row>
    <row r="178" spans="1:3">
      <c r="A178" t="s">
        <v>2946</v>
      </c>
      <c r="B178" t="s">
        <v>6396</v>
      </c>
      <c r="C178" t="s">
        <v>6401</v>
      </c>
    </row>
    <row r="179" spans="1:3">
      <c r="A179" t="s">
        <v>910</v>
      </c>
      <c r="B179" t="s">
        <v>6396</v>
      </c>
      <c r="C179" t="s">
        <v>6393</v>
      </c>
    </row>
    <row r="180" spans="1:3">
      <c r="A180" t="s">
        <v>910</v>
      </c>
      <c r="B180" t="s">
        <v>6396</v>
      </c>
      <c r="C180" t="s">
        <v>6393</v>
      </c>
    </row>
    <row r="181" spans="1:3">
      <c r="A181" t="s">
        <v>3938</v>
      </c>
      <c r="B181" t="s">
        <v>6396</v>
      </c>
      <c r="C181" t="s">
        <v>6393</v>
      </c>
    </row>
    <row r="182" spans="1:3">
      <c r="A182" t="s">
        <v>3938</v>
      </c>
      <c r="B182" t="s">
        <v>6396</v>
      </c>
      <c r="C182" t="s">
        <v>6393</v>
      </c>
    </row>
    <row r="183" spans="1:3">
      <c r="A183" t="s">
        <v>2909</v>
      </c>
      <c r="B183" t="s">
        <v>6396</v>
      </c>
      <c r="C183" t="s">
        <v>6401</v>
      </c>
    </row>
    <row r="184" spans="1:3">
      <c r="A184" t="s">
        <v>2909</v>
      </c>
      <c r="B184" t="s">
        <v>6396</v>
      </c>
      <c r="C184" t="s">
        <v>6401</v>
      </c>
    </row>
    <row r="185" spans="1:3">
      <c r="A185" t="s">
        <v>876</v>
      </c>
      <c r="B185" t="s">
        <v>6396</v>
      </c>
      <c r="C185" t="s">
        <v>6401</v>
      </c>
    </row>
    <row r="186" spans="1:3">
      <c r="A186" t="s">
        <v>6421</v>
      </c>
      <c r="B186" t="s">
        <v>6392</v>
      </c>
      <c r="C186" t="s">
        <v>6393</v>
      </c>
    </row>
    <row r="187" spans="1:3">
      <c r="A187" t="s">
        <v>2923</v>
      </c>
      <c r="B187" t="s">
        <v>6396</v>
      </c>
      <c r="C187" t="s">
        <v>6401</v>
      </c>
    </row>
    <row r="188" spans="1:3">
      <c r="A188" t="s">
        <v>1112</v>
      </c>
      <c r="B188" t="s">
        <v>6396</v>
      </c>
      <c r="C188" t="s">
        <v>6401</v>
      </c>
    </row>
    <row r="189" spans="1:3">
      <c r="A189" t="s">
        <v>1072</v>
      </c>
      <c r="B189" t="s">
        <v>6396</v>
      </c>
      <c r="C189" t="s">
        <v>6393</v>
      </c>
    </row>
    <row r="190" spans="1:3">
      <c r="A190" t="s">
        <v>6422</v>
      </c>
      <c r="B190" t="s">
        <v>6392</v>
      </c>
      <c r="C190" t="s">
        <v>6393</v>
      </c>
    </row>
    <row r="191" spans="1:3">
      <c r="A191" t="s">
        <v>6422</v>
      </c>
      <c r="B191" t="s">
        <v>6392</v>
      </c>
      <c r="C191" t="s">
        <v>6393</v>
      </c>
    </row>
    <row r="192" spans="1:3">
      <c r="A192" t="s">
        <v>3039</v>
      </c>
      <c r="B192" t="s">
        <v>6396</v>
      </c>
      <c r="C192" t="s">
        <v>6401</v>
      </c>
    </row>
    <row r="193" spans="1:3">
      <c r="A193" t="s">
        <v>3071</v>
      </c>
      <c r="B193" t="s">
        <v>6396</v>
      </c>
      <c r="C193" t="s">
        <v>6401</v>
      </c>
    </row>
    <row r="194" spans="1:3">
      <c r="A194" t="s">
        <v>3144</v>
      </c>
      <c r="B194" t="s">
        <v>6396</v>
      </c>
      <c r="C194" t="s">
        <v>6401</v>
      </c>
    </row>
    <row r="195" spans="1:3">
      <c r="A195" t="s">
        <v>3133</v>
      </c>
      <c r="B195" t="s">
        <v>6396</v>
      </c>
      <c r="C195" t="s">
        <v>6401</v>
      </c>
    </row>
    <row r="196" spans="1:3">
      <c r="A196" t="s">
        <v>3125</v>
      </c>
      <c r="B196" t="s">
        <v>6396</v>
      </c>
      <c r="C196" t="s">
        <v>6393</v>
      </c>
    </row>
    <row r="197" spans="1:3">
      <c r="A197" t="s">
        <v>3113</v>
      </c>
      <c r="B197" t="s">
        <v>6396</v>
      </c>
      <c r="C197" t="s">
        <v>6401</v>
      </c>
    </row>
    <row r="198" spans="1:3">
      <c r="A198" t="s">
        <v>1512</v>
      </c>
      <c r="B198" t="s">
        <v>6392</v>
      </c>
      <c r="C198" t="s">
        <v>6393</v>
      </c>
    </row>
    <row r="199" spans="1:3">
      <c r="A199" t="s">
        <v>1512</v>
      </c>
      <c r="B199" t="s">
        <v>6392</v>
      </c>
      <c r="C199" t="s">
        <v>6393</v>
      </c>
    </row>
    <row r="200" spans="1:3">
      <c r="A200" t="s">
        <v>1555</v>
      </c>
      <c r="B200" t="s">
        <v>6392</v>
      </c>
      <c r="C200" t="s">
        <v>6393</v>
      </c>
    </row>
    <row r="201" spans="1:3">
      <c r="A201" t="s">
        <v>1528</v>
      </c>
      <c r="B201" t="s">
        <v>6396</v>
      </c>
      <c r="C201" t="s">
        <v>6401</v>
      </c>
    </row>
    <row r="202" spans="1:3">
      <c r="A202" t="s">
        <v>3899</v>
      </c>
      <c r="B202" t="s">
        <v>6396</v>
      </c>
      <c r="C202" t="s">
        <v>6401</v>
      </c>
    </row>
    <row r="203" spans="1:3">
      <c r="A203" t="s">
        <v>6423</v>
      </c>
      <c r="B203" t="s">
        <v>6396</v>
      </c>
      <c r="C203" t="s">
        <v>6401</v>
      </c>
    </row>
    <row r="204" spans="1:3">
      <c r="A204" t="s">
        <v>3244</v>
      </c>
      <c r="B204" t="s">
        <v>6396</v>
      </c>
      <c r="C204" t="s">
        <v>6401</v>
      </c>
    </row>
    <row r="205" spans="1:3">
      <c r="A205" t="s">
        <v>3230</v>
      </c>
      <c r="B205" t="s">
        <v>6392</v>
      </c>
      <c r="C205" t="s">
        <v>6393</v>
      </c>
    </row>
    <row r="206" spans="1:3">
      <c r="A206" t="s">
        <v>6424</v>
      </c>
      <c r="B206" t="s">
        <v>6396</v>
      </c>
      <c r="C206" t="s">
        <v>6401</v>
      </c>
    </row>
    <row r="207" spans="1:3">
      <c r="A207" t="s">
        <v>2211</v>
      </c>
      <c r="B207" t="s">
        <v>6396</v>
      </c>
      <c r="C207" t="s">
        <v>6393</v>
      </c>
    </row>
    <row r="208" spans="1:3">
      <c r="A208" t="s">
        <v>2215</v>
      </c>
      <c r="B208" t="s">
        <v>6396</v>
      </c>
      <c r="C208" t="s">
        <v>6393</v>
      </c>
    </row>
    <row r="209" spans="1:3">
      <c r="A209" t="s">
        <v>2215</v>
      </c>
      <c r="B209" t="s">
        <v>6396</v>
      </c>
      <c r="C209" t="s">
        <v>6393</v>
      </c>
    </row>
    <row r="210" spans="1:3">
      <c r="A210" t="s">
        <v>6425</v>
      </c>
      <c r="B210" t="s">
        <v>6396</v>
      </c>
      <c r="C210" t="s">
        <v>6401</v>
      </c>
    </row>
    <row r="211" spans="1:3">
      <c r="A211" t="s">
        <v>3438</v>
      </c>
      <c r="B211" t="s">
        <v>6396</v>
      </c>
      <c r="C211" t="s">
        <v>6401</v>
      </c>
    </row>
    <row r="212" spans="1:3">
      <c r="A212" t="s">
        <v>6426</v>
      </c>
      <c r="B212" t="s">
        <v>6392</v>
      </c>
      <c r="C212" t="s">
        <v>6393</v>
      </c>
    </row>
    <row r="213" spans="1:3">
      <c r="A213" t="s">
        <v>2988</v>
      </c>
      <c r="B213" t="s">
        <v>6392</v>
      </c>
      <c r="C213" t="s">
        <v>6393</v>
      </c>
    </row>
    <row r="214" spans="1:3">
      <c r="A214" t="s">
        <v>2988</v>
      </c>
      <c r="B214" t="s">
        <v>6396</v>
      </c>
      <c r="C214" t="s">
        <v>6393</v>
      </c>
    </row>
    <row r="215" spans="1:3">
      <c r="A215" t="s">
        <v>2988</v>
      </c>
      <c r="B215" t="s">
        <v>6392</v>
      </c>
      <c r="C215" t="s">
        <v>6393</v>
      </c>
    </row>
    <row r="216" spans="1:3">
      <c r="A216" t="s">
        <v>6427</v>
      </c>
      <c r="B216" t="s">
        <v>6396</v>
      </c>
      <c r="C216" t="s">
        <v>6401</v>
      </c>
    </row>
    <row r="217" spans="1:3">
      <c r="A217" t="s">
        <v>4115</v>
      </c>
      <c r="B217" t="s">
        <v>6392</v>
      </c>
      <c r="C217" t="s">
        <v>6393</v>
      </c>
    </row>
    <row r="218" spans="1:3">
      <c r="A218" t="s">
        <v>4120</v>
      </c>
      <c r="B218" t="s">
        <v>6392</v>
      </c>
      <c r="C218" t="s">
        <v>6393</v>
      </c>
    </row>
    <row r="219" spans="1:3">
      <c r="A219" t="s">
        <v>4120</v>
      </c>
      <c r="B219" t="s">
        <v>6392</v>
      </c>
      <c r="C219" t="s">
        <v>6393</v>
      </c>
    </row>
    <row r="220" spans="1:3">
      <c r="A220" t="s">
        <v>3558</v>
      </c>
      <c r="B220" t="s">
        <v>6396</v>
      </c>
      <c r="C220" t="s">
        <v>6401</v>
      </c>
    </row>
    <row r="221" spans="1:3">
      <c r="A221" t="s">
        <v>4235</v>
      </c>
      <c r="B221" t="s">
        <v>6396</v>
      </c>
      <c r="C221" t="s">
        <v>6393</v>
      </c>
    </row>
    <row r="222" spans="1:3">
      <c r="A222" t="s">
        <v>6428</v>
      </c>
      <c r="B222" t="s">
        <v>6396</v>
      </c>
      <c r="C222" t="s">
        <v>6393</v>
      </c>
    </row>
    <row r="223" spans="1:3">
      <c r="A223" t="s">
        <v>3546</v>
      </c>
      <c r="B223" t="s">
        <v>6396</v>
      </c>
      <c r="C223" t="s">
        <v>6401</v>
      </c>
    </row>
    <row r="224" spans="1:3">
      <c r="A224" t="s">
        <v>6429</v>
      </c>
      <c r="B224" t="s">
        <v>6396</v>
      </c>
      <c r="C224" t="s">
        <v>6393</v>
      </c>
    </row>
    <row r="225" spans="1:3">
      <c r="A225" t="s">
        <v>6429</v>
      </c>
      <c r="B225" t="s">
        <v>6396</v>
      </c>
      <c r="C225" t="s">
        <v>6393</v>
      </c>
    </row>
    <row r="226" spans="1:3">
      <c r="A226" t="s">
        <v>4506</v>
      </c>
      <c r="B226" t="s">
        <v>6392</v>
      </c>
      <c r="C226" t="s">
        <v>6393</v>
      </c>
    </row>
    <row r="227" spans="1:3">
      <c r="A227" t="s">
        <v>3679</v>
      </c>
      <c r="B227" t="s">
        <v>6396</v>
      </c>
      <c r="C227" t="s">
        <v>6401</v>
      </c>
    </row>
    <row r="228" spans="1:3">
      <c r="A228" t="s">
        <v>6430</v>
      </c>
      <c r="B228" t="s">
        <v>6396</v>
      </c>
      <c r="C228" t="s">
        <v>6401</v>
      </c>
    </row>
    <row r="229" spans="1:3">
      <c r="A229" t="s">
        <v>4594</v>
      </c>
      <c r="B229" t="s">
        <v>6396</v>
      </c>
      <c r="C229" t="s">
        <v>6393</v>
      </c>
    </row>
    <row r="230" spans="1:3">
      <c r="A230" t="s">
        <v>4594</v>
      </c>
      <c r="B230" t="s">
        <v>6396</v>
      </c>
      <c r="C230" t="s">
        <v>6393</v>
      </c>
    </row>
    <row r="231" spans="1:3">
      <c r="A231" t="s">
        <v>4576</v>
      </c>
      <c r="B231" t="s">
        <v>6396</v>
      </c>
      <c r="C231" t="s">
        <v>6401</v>
      </c>
    </row>
    <row r="232" spans="1:3">
      <c r="A232" t="s">
        <v>4576</v>
      </c>
      <c r="B232" t="s">
        <v>6396</v>
      </c>
      <c r="C232" t="s">
        <v>6401</v>
      </c>
    </row>
    <row r="233" spans="1:3">
      <c r="A233" t="s">
        <v>6431</v>
      </c>
      <c r="B233" t="s">
        <v>6396</v>
      </c>
      <c r="C233" t="s">
        <v>6393</v>
      </c>
    </row>
    <row r="234" spans="1:3">
      <c r="A234" t="s">
        <v>3766</v>
      </c>
      <c r="B234" t="s">
        <v>6396</v>
      </c>
      <c r="C234" t="s">
        <v>6401</v>
      </c>
    </row>
    <row r="235" spans="1:3">
      <c r="A235" t="s">
        <v>6366</v>
      </c>
      <c r="B235" t="s">
        <v>6392</v>
      </c>
      <c r="C235" t="s">
        <v>6393</v>
      </c>
    </row>
    <row r="236" spans="1:3">
      <c r="A236" t="s">
        <v>6366</v>
      </c>
      <c r="B236" t="s">
        <v>6392</v>
      </c>
      <c r="C236" t="s">
        <v>6393</v>
      </c>
    </row>
    <row r="237" spans="1:3">
      <c r="A237" t="s">
        <v>6432</v>
      </c>
      <c r="B237" t="s">
        <v>6396</v>
      </c>
      <c r="C237" t="s">
        <v>6401</v>
      </c>
    </row>
    <row r="238" spans="1:3">
      <c r="A238" t="s">
        <v>4952</v>
      </c>
      <c r="B238" t="s">
        <v>6396</v>
      </c>
      <c r="C238" t="s">
        <v>6401</v>
      </c>
    </row>
    <row r="239" spans="1:3">
      <c r="A239" t="s">
        <v>4952</v>
      </c>
      <c r="B239" t="s">
        <v>6396</v>
      </c>
      <c r="C239" t="s">
        <v>6401</v>
      </c>
    </row>
    <row r="240" spans="1:3">
      <c r="A240" t="s">
        <v>5081</v>
      </c>
      <c r="B240" t="s">
        <v>6396</v>
      </c>
      <c r="C240" t="s">
        <v>6401</v>
      </c>
    </row>
    <row r="241" spans="1:3">
      <c r="A241" t="s">
        <v>5081</v>
      </c>
      <c r="B241" t="s">
        <v>6396</v>
      </c>
      <c r="C241" t="s">
        <v>6401</v>
      </c>
    </row>
    <row r="242" spans="1:3">
      <c r="A242" t="s">
        <v>3694</v>
      </c>
      <c r="B242" t="s">
        <v>6396</v>
      </c>
      <c r="C242" t="s">
        <v>6393</v>
      </c>
    </row>
    <row r="243" spans="1:3">
      <c r="A243" t="s">
        <v>3694</v>
      </c>
      <c r="B243" t="s">
        <v>6396</v>
      </c>
      <c r="C243" t="s">
        <v>6393</v>
      </c>
    </row>
    <row r="244" spans="1:3">
      <c r="A244" t="s">
        <v>3828</v>
      </c>
      <c r="B244" t="s">
        <v>6396</v>
      </c>
      <c r="C244" t="s">
        <v>6401</v>
      </c>
    </row>
    <row r="245" spans="1:3">
      <c r="A245" t="s">
        <v>6433</v>
      </c>
      <c r="B245" t="s">
        <v>6396</v>
      </c>
      <c r="C245" t="s">
        <v>6393</v>
      </c>
    </row>
    <row r="246" spans="1:3">
      <c r="A246" t="s">
        <v>5645</v>
      </c>
      <c r="B246" t="s">
        <v>6396</v>
      </c>
      <c r="C246" t="s">
        <v>6393</v>
      </c>
    </row>
    <row r="247" spans="1:3">
      <c r="A247" t="s">
        <v>4061</v>
      </c>
      <c r="B247" t="s">
        <v>6396</v>
      </c>
      <c r="C247" t="s">
        <v>6401</v>
      </c>
    </row>
    <row r="248" spans="1:3">
      <c r="A248" t="s">
        <v>4010</v>
      </c>
      <c r="B248" t="s">
        <v>6396</v>
      </c>
      <c r="C248" t="s">
        <v>6401</v>
      </c>
    </row>
    <row r="249" spans="1:3">
      <c r="A249" t="s">
        <v>4057</v>
      </c>
      <c r="B249" t="s">
        <v>6396</v>
      </c>
      <c r="C249" t="s">
        <v>6401</v>
      </c>
    </row>
    <row r="250" spans="1:3">
      <c r="A250" t="s">
        <v>6196</v>
      </c>
      <c r="B250" t="s">
        <v>6396</v>
      </c>
      <c r="C250" t="s">
        <v>6401</v>
      </c>
    </row>
    <row r="251" spans="1:3">
      <c r="A251" t="s">
        <v>4014</v>
      </c>
      <c r="B251" t="s">
        <v>6396</v>
      </c>
      <c r="C251" t="s">
        <v>6401</v>
      </c>
    </row>
    <row r="252" spans="1:3">
      <c r="A252" t="s">
        <v>6206</v>
      </c>
      <c r="B252" t="s">
        <v>6396</v>
      </c>
      <c r="C252" t="s">
        <v>6401</v>
      </c>
    </row>
    <row r="253" spans="1:3">
      <c r="A253" t="s">
        <v>4072</v>
      </c>
      <c r="B253" t="s">
        <v>6396</v>
      </c>
      <c r="C253" t="s">
        <v>6401</v>
      </c>
    </row>
    <row r="254" spans="1:3">
      <c r="A254" t="s">
        <v>4088</v>
      </c>
      <c r="B254" t="s">
        <v>6396</v>
      </c>
      <c r="C254" t="s">
        <v>6401</v>
      </c>
    </row>
    <row r="255" spans="1:3">
      <c r="A255" t="s">
        <v>4088</v>
      </c>
      <c r="B255" t="s">
        <v>6396</v>
      </c>
      <c r="C255" t="s">
        <v>6401</v>
      </c>
    </row>
    <row r="256" spans="1:3">
      <c r="A256" t="s">
        <v>6434</v>
      </c>
      <c r="B256" t="s">
        <v>6396</v>
      </c>
      <c r="C256" t="s">
        <v>6401</v>
      </c>
    </row>
    <row r="257" spans="1:3">
      <c r="A257" t="s">
        <v>6381</v>
      </c>
      <c r="B257" t="s">
        <v>6396</v>
      </c>
      <c r="C257" t="s">
        <v>6401</v>
      </c>
    </row>
    <row r="258" spans="1:3">
      <c r="A258" t="s">
        <v>6435</v>
      </c>
      <c r="B258" t="s">
        <v>6392</v>
      </c>
      <c r="C258" t="s">
        <v>6393</v>
      </c>
    </row>
    <row r="259" spans="1:3">
      <c r="A259" t="s">
        <v>4239</v>
      </c>
      <c r="B259" t="s">
        <v>6396</v>
      </c>
      <c r="C259" t="s">
        <v>6393</v>
      </c>
    </row>
    <row r="260" spans="1:3">
      <c r="A260" t="s">
        <v>4340</v>
      </c>
      <c r="B260" t="s">
        <v>6396</v>
      </c>
      <c r="C260" t="s">
        <v>6393</v>
      </c>
    </row>
    <row r="261" spans="1:3">
      <c r="A261" t="s">
        <v>4483</v>
      </c>
      <c r="B261" t="s">
        <v>6392</v>
      </c>
      <c r="C261" t="s">
        <v>6393</v>
      </c>
    </row>
    <row r="262" spans="1:3">
      <c r="A262" t="s">
        <v>4929</v>
      </c>
      <c r="B262" t="s">
        <v>6392</v>
      </c>
      <c r="C262" t="s">
        <v>6393</v>
      </c>
    </row>
    <row r="263" spans="1:3">
      <c r="A263" t="s">
        <v>4698</v>
      </c>
      <c r="B263" t="s">
        <v>6392</v>
      </c>
      <c r="C263" t="s">
        <v>6393</v>
      </c>
    </row>
    <row r="264" spans="1:3">
      <c r="A264" t="s">
        <v>4816</v>
      </c>
      <c r="B264" t="s">
        <v>6392</v>
      </c>
      <c r="C264" t="s">
        <v>6393</v>
      </c>
    </row>
    <row r="265" spans="1:3">
      <c r="A265" t="s">
        <v>5196</v>
      </c>
      <c r="B265" t="s">
        <v>6396</v>
      </c>
      <c r="C265" t="s">
        <v>6393</v>
      </c>
    </row>
    <row r="266" spans="1:3">
      <c r="A266" t="s">
        <v>5493</v>
      </c>
      <c r="B266" t="s">
        <v>6396</v>
      </c>
      <c r="C266" t="s">
        <v>6393</v>
      </c>
    </row>
    <row r="267" spans="1:3">
      <c r="A267" t="s">
        <v>5240</v>
      </c>
      <c r="B267" t="s">
        <v>6392</v>
      </c>
      <c r="C267" t="s">
        <v>6393</v>
      </c>
    </row>
    <row r="268" spans="1:3">
      <c r="A268" t="s">
        <v>5244</v>
      </c>
      <c r="B268" t="s">
        <v>6392</v>
      </c>
      <c r="C268" t="s">
        <v>6393</v>
      </c>
    </row>
    <row r="269" spans="1:3">
      <c r="A269" t="s">
        <v>4289</v>
      </c>
      <c r="B269" t="s">
        <v>6396</v>
      </c>
      <c r="C269" t="s">
        <v>6393</v>
      </c>
    </row>
    <row r="270" spans="1:3">
      <c r="A270" t="s">
        <v>5280</v>
      </c>
      <c r="B270" t="s">
        <v>6396</v>
      </c>
      <c r="C270" t="s">
        <v>6393</v>
      </c>
    </row>
    <row r="271" spans="1:3">
      <c r="A271" t="s">
        <v>5280</v>
      </c>
      <c r="B271" t="s">
        <v>6396</v>
      </c>
      <c r="C271" t="s">
        <v>6393</v>
      </c>
    </row>
    <row r="272" spans="1:3">
      <c r="A272" t="s">
        <v>4214</v>
      </c>
      <c r="B272" t="s">
        <v>6392</v>
      </c>
      <c r="C272" t="s">
        <v>6393</v>
      </c>
    </row>
    <row r="273" spans="1:3">
      <c r="A273" t="s">
        <v>5224</v>
      </c>
      <c r="B273" t="s">
        <v>6392</v>
      </c>
      <c r="C273" t="s">
        <v>6393</v>
      </c>
    </row>
    <row r="274" spans="1:3">
      <c r="A274" t="s">
        <v>6304</v>
      </c>
      <c r="B274" t="s">
        <v>6396</v>
      </c>
      <c r="C274" t="s">
        <v>6393</v>
      </c>
    </row>
    <row r="275" spans="1:3">
      <c r="A275" t="s">
        <v>439</v>
      </c>
      <c r="B275" t="s">
        <v>6396</v>
      </c>
      <c r="C275" t="s">
        <v>6393</v>
      </c>
    </row>
    <row r="276" spans="1:3">
      <c r="A276" t="s">
        <v>67</v>
      </c>
      <c r="B276" t="s">
        <v>6392</v>
      </c>
      <c r="C276" t="s">
        <v>6393</v>
      </c>
    </row>
    <row r="277" spans="1:3">
      <c r="A277" t="s">
        <v>67</v>
      </c>
      <c r="B277" t="s">
        <v>6392</v>
      </c>
      <c r="C277" t="s">
        <v>6393</v>
      </c>
    </row>
    <row r="278" spans="1:3">
      <c r="A278" t="s">
        <v>271</v>
      </c>
      <c r="B278" t="s">
        <v>6392</v>
      </c>
      <c r="C278" t="s">
        <v>6393</v>
      </c>
    </row>
    <row r="279" spans="1:3">
      <c r="A279" t="s">
        <v>80</v>
      </c>
      <c r="B279" t="s">
        <v>6392</v>
      </c>
      <c r="C279" t="s">
        <v>6393</v>
      </c>
    </row>
    <row r="280" spans="1:3">
      <c r="A280" t="s">
        <v>5276</v>
      </c>
      <c r="B280" t="s">
        <v>6392</v>
      </c>
      <c r="C280" t="s">
        <v>6393</v>
      </c>
    </row>
    <row r="281" spans="1:3">
      <c r="A281" t="s">
        <v>381</v>
      </c>
      <c r="B281" t="s">
        <v>6392</v>
      </c>
      <c r="C281" t="s">
        <v>6393</v>
      </c>
    </row>
    <row r="282" spans="1:3">
      <c r="A282" t="s">
        <v>4568</v>
      </c>
      <c r="B282" t="s">
        <v>6392</v>
      </c>
      <c r="C282" t="s">
        <v>6393</v>
      </c>
    </row>
    <row r="283" spans="1:3">
      <c r="A283" t="s">
        <v>39</v>
      </c>
      <c r="B283" t="s">
        <v>6392</v>
      </c>
      <c r="C283" t="s">
        <v>6393</v>
      </c>
    </row>
    <row r="284" spans="1:3">
      <c r="A284" t="s">
        <v>5299</v>
      </c>
      <c r="B284" t="s">
        <v>6392</v>
      </c>
      <c r="C284" t="s">
        <v>6436</v>
      </c>
    </row>
    <row r="285" spans="1:3">
      <c r="A285" t="s">
        <v>5375</v>
      </c>
      <c r="B285" t="s">
        <v>6396</v>
      </c>
      <c r="C285" t="s">
        <v>6393</v>
      </c>
    </row>
    <row r="286" spans="1:3">
      <c r="A286" t="s">
        <v>1085</v>
      </c>
      <c r="B286" t="s">
        <v>6396</v>
      </c>
      <c r="C286" t="s">
        <v>6393</v>
      </c>
    </row>
    <row r="287" spans="1:3">
      <c r="A287" t="s">
        <v>5392</v>
      </c>
      <c r="B287" t="s">
        <v>6392</v>
      </c>
      <c r="C287" t="s">
        <v>6393</v>
      </c>
    </row>
    <row r="288" spans="1:3">
      <c r="A288" t="s">
        <v>1089</v>
      </c>
      <c r="B288" t="s">
        <v>6392</v>
      </c>
      <c r="C288" t="s">
        <v>6393</v>
      </c>
    </row>
    <row r="289" spans="1:3">
      <c r="A289" t="s">
        <v>6308</v>
      </c>
      <c r="B289" t="s">
        <v>6396</v>
      </c>
      <c r="C289" t="s">
        <v>6393</v>
      </c>
    </row>
    <row r="290" spans="1:3">
      <c r="A290" t="s">
        <v>1081</v>
      </c>
      <c r="B290" t="s">
        <v>6396</v>
      </c>
      <c r="C290" t="s">
        <v>6393</v>
      </c>
    </row>
    <row r="291" spans="1:3">
      <c r="A291" t="s">
        <v>5400</v>
      </c>
      <c r="B291" t="s">
        <v>6392</v>
      </c>
      <c r="C291" t="s">
        <v>6393</v>
      </c>
    </row>
    <row r="292" spans="1:3">
      <c r="A292" t="s">
        <v>490</v>
      </c>
      <c r="B292" t="s">
        <v>6396</v>
      </c>
      <c r="C292" t="s">
        <v>6393</v>
      </c>
    </row>
    <row r="293" spans="1:3">
      <c r="A293" t="s">
        <v>5413</v>
      </c>
      <c r="B293" t="s">
        <v>6392</v>
      </c>
      <c r="C293" t="s">
        <v>6393</v>
      </c>
    </row>
    <row r="294" spans="1:3">
      <c r="A294" t="s">
        <v>1285</v>
      </c>
      <c r="B294" t="s">
        <v>6392</v>
      </c>
      <c r="C294" t="s">
        <v>6393</v>
      </c>
    </row>
    <row r="295" spans="1:3">
      <c r="A295" t="s">
        <v>3717</v>
      </c>
      <c r="B295" t="s">
        <v>6392</v>
      </c>
      <c r="C295" t="s">
        <v>6393</v>
      </c>
    </row>
    <row r="296" spans="1:3">
      <c r="A296" t="s">
        <v>2602</v>
      </c>
      <c r="B296" t="s">
        <v>6392</v>
      </c>
      <c r="C296" t="s">
        <v>6393</v>
      </c>
    </row>
    <row r="297" spans="1:3">
      <c r="A297" t="s">
        <v>5496</v>
      </c>
      <c r="B297" t="s">
        <v>6392</v>
      </c>
      <c r="C297" t="s">
        <v>6393</v>
      </c>
    </row>
    <row r="298" spans="1:3">
      <c r="A298" t="s">
        <v>5504</v>
      </c>
      <c r="B298" t="s">
        <v>6392</v>
      </c>
      <c r="C298" t="s">
        <v>6393</v>
      </c>
    </row>
    <row r="299" spans="1:3">
      <c r="A299" t="s">
        <v>589</v>
      </c>
      <c r="B299" t="s">
        <v>6392</v>
      </c>
      <c r="C299" t="s">
        <v>6393</v>
      </c>
    </row>
    <row r="300" spans="1:3">
      <c r="A300" t="s">
        <v>1594</v>
      </c>
      <c r="B300" t="s">
        <v>6396</v>
      </c>
      <c r="C300" t="s">
        <v>6393</v>
      </c>
    </row>
    <row r="301" spans="1:3">
      <c r="A301" t="s">
        <v>1468</v>
      </c>
      <c r="B301" t="s">
        <v>6396</v>
      </c>
      <c r="C301" t="s">
        <v>6393</v>
      </c>
    </row>
    <row r="302" spans="1:3">
      <c r="A302" t="s">
        <v>47</v>
      </c>
      <c r="B302" t="s">
        <v>6392</v>
      </c>
      <c r="C302" t="s">
        <v>6393</v>
      </c>
    </row>
    <row r="303" spans="1:3">
      <c r="A303" t="s">
        <v>5592</v>
      </c>
      <c r="B303" t="s">
        <v>6396</v>
      </c>
      <c r="C303" t="s">
        <v>6393</v>
      </c>
    </row>
    <row r="304" spans="1:3">
      <c r="A304" t="s">
        <v>5569</v>
      </c>
      <c r="B304" t="s">
        <v>6396</v>
      </c>
      <c r="C304" t="s">
        <v>6393</v>
      </c>
    </row>
    <row r="305" spans="1:3">
      <c r="A305" t="s">
        <v>5576</v>
      </c>
      <c r="B305" t="s">
        <v>6396</v>
      </c>
      <c r="C305" t="s">
        <v>6393</v>
      </c>
    </row>
    <row r="306" spans="1:3">
      <c r="A306" t="s">
        <v>761</v>
      </c>
      <c r="B306" t="s">
        <v>6392</v>
      </c>
      <c r="C306" t="s">
        <v>6393</v>
      </c>
    </row>
    <row r="307" spans="1:3">
      <c r="A307" t="s">
        <v>5247</v>
      </c>
      <c r="B307" t="s">
        <v>6392</v>
      </c>
      <c r="C307" t="s">
        <v>6393</v>
      </c>
    </row>
    <row r="308" spans="1:3">
      <c r="A308" t="s">
        <v>2485</v>
      </c>
      <c r="B308" t="s">
        <v>6392</v>
      </c>
      <c r="C308" t="s">
        <v>6393</v>
      </c>
    </row>
    <row r="309" spans="1:3">
      <c r="A309" t="s">
        <v>2421</v>
      </c>
      <c r="B309" t="s">
        <v>6392</v>
      </c>
      <c r="C309" t="s">
        <v>6393</v>
      </c>
    </row>
    <row r="310" spans="1:3">
      <c r="A310" t="s">
        <v>2424</v>
      </c>
      <c r="B310" t="s">
        <v>6396</v>
      </c>
      <c r="C310" t="s">
        <v>6393</v>
      </c>
    </row>
    <row r="311" spans="1:3">
      <c r="A311" t="s">
        <v>4905</v>
      </c>
      <c r="B311" t="s">
        <v>6396</v>
      </c>
      <c r="C311" t="s">
        <v>6393</v>
      </c>
    </row>
    <row r="312" spans="1:3">
      <c r="A312" t="s">
        <v>5583</v>
      </c>
      <c r="B312" t="s">
        <v>6392</v>
      </c>
      <c r="C312" t="s">
        <v>6393</v>
      </c>
    </row>
    <row r="313" spans="1:3">
      <c r="A313" t="s">
        <v>2583</v>
      </c>
      <c r="B313" t="s">
        <v>6392</v>
      </c>
      <c r="C313" t="s">
        <v>6393</v>
      </c>
    </row>
    <row r="314" spans="1:3">
      <c r="A314" t="s">
        <v>414</v>
      </c>
      <c r="B314" t="s">
        <v>6396</v>
      </c>
      <c r="C314" t="s">
        <v>6393</v>
      </c>
    </row>
    <row r="315" spans="1:3">
      <c r="A315" t="s">
        <v>5641</v>
      </c>
      <c r="B315" t="s">
        <v>6392</v>
      </c>
      <c r="C315" t="s">
        <v>6393</v>
      </c>
    </row>
    <row r="316" spans="1:3">
      <c r="A316" t="s">
        <v>2552</v>
      </c>
      <c r="B316" t="s">
        <v>6396</v>
      </c>
      <c r="C316" t="s">
        <v>6393</v>
      </c>
    </row>
    <row r="317" spans="1:3">
      <c r="A317" t="s">
        <v>5652</v>
      </c>
      <c r="B317" t="s">
        <v>6396</v>
      </c>
      <c r="C317" t="s">
        <v>6393</v>
      </c>
    </row>
    <row r="318" spans="1:3">
      <c r="A318" t="s">
        <v>5700</v>
      </c>
      <c r="B318" t="s">
        <v>6396</v>
      </c>
      <c r="C318" t="s">
        <v>6393</v>
      </c>
    </row>
    <row r="319" spans="1:3">
      <c r="A319" t="s">
        <v>2559</v>
      </c>
      <c r="B319" t="s">
        <v>6392</v>
      </c>
      <c r="C319" t="s">
        <v>6393</v>
      </c>
    </row>
    <row r="320" spans="1:3">
      <c r="A320" t="s">
        <v>5250</v>
      </c>
      <c r="B320" t="s">
        <v>6392</v>
      </c>
      <c r="C320" t="s">
        <v>6393</v>
      </c>
    </row>
    <row r="321" spans="1:3">
      <c r="A321" t="s">
        <v>5675</v>
      </c>
      <c r="B321" t="s">
        <v>6396</v>
      </c>
      <c r="C321" t="s">
        <v>6393</v>
      </c>
    </row>
    <row r="322" spans="1:3">
      <c r="A322" t="s">
        <v>5717</v>
      </c>
      <c r="B322" t="s">
        <v>6392</v>
      </c>
      <c r="C322" t="s">
        <v>6393</v>
      </c>
    </row>
    <row r="323" spans="1:3">
      <c r="A323" t="s">
        <v>3610</v>
      </c>
      <c r="B323" t="s">
        <v>6392</v>
      </c>
      <c r="C323" t="s">
        <v>6437</v>
      </c>
    </row>
    <row r="324" spans="1:3">
      <c r="A324" t="s">
        <v>6438</v>
      </c>
      <c r="B324" t="s">
        <v>6396</v>
      </c>
      <c r="C324" t="s">
        <v>6439</v>
      </c>
    </row>
    <row r="325" spans="1:3">
      <c r="A325" t="s">
        <v>3600</v>
      </c>
      <c r="B325" t="s">
        <v>6392</v>
      </c>
      <c r="C325" t="s">
        <v>6393</v>
      </c>
    </row>
    <row r="326" spans="1:3">
      <c r="A326" t="s">
        <v>2960</v>
      </c>
      <c r="B326" t="s">
        <v>6392</v>
      </c>
      <c r="C326" t="s">
        <v>6393</v>
      </c>
    </row>
    <row r="327" spans="1:3">
      <c r="A327" t="s">
        <v>1741</v>
      </c>
      <c r="B327" t="s">
        <v>6392</v>
      </c>
      <c r="C327" t="s">
        <v>6393</v>
      </c>
    </row>
    <row r="328" spans="1:3">
      <c r="A328" t="s">
        <v>6344</v>
      </c>
      <c r="B328" t="s">
        <v>6396</v>
      </c>
      <c r="C328" t="s">
        <v>6393</v>
      </c>
    </row>
    <row r="329" spans="1:3">
      <c r="A329" t="s">
        <v>4138</v>
      </c>
      <c r="B329" t="s">
        <v>6392</v>
      </c>
      <c r="C329" t="s">
        <v>6393</v>
      </c>
    </row>
    <row r="330" spans="1:3">
      <c r="A330" t="s">
        <v>4224</v>
      </c>
      <c r="B330" t="s">
        <v>6396</v>
      </c>
      <c r="C330" t="s">
        <v>6393</v>
      </c>
    </row>
    <row r="331" spans="1:3">
      <c r="A331" t="s">
        <v>4224</v>
      </c>
      <c r="B331" t="s">
        <v>6396</v>
      </c>
      <c r="C331" t="s">
        <v>6393</v>
      </c>
    </row>
    <row r="332" spans="1:3">
      <c r="A332" t="s">
        <v>5185</v>
      </c>
      <c r="B332" t="s">
        <v>6396</v>
      </c>
      <c r="C332" t="s">
        <v>6393</v>
      </c>
    </row>
    <row r="333" spans="1:3">
      <c r="A333" t="s">
        <v>5181</v>
      </c>
      <c r="B333" t="s">
        <v>6392</v>
      </c>
      <c r="C333" t="s">
        <v>6393</v>
      </c>
    </row>
    <row r="334" spans="1:3">
      <c r="A334" t="s">
        <v>5656</v>
      </c>
      <c r="B334" t="s">
        <v>6392</v>
      </c>
      <c r="C334" t="s">
        <v>6393</v>
      </c>
    </row>
    <row r="335" spans="1:3">
      <c r="A335" t="s">
        <v>5850</v>
      </c>
      <c r="B335" t="s">
        <v>6396</v>
      </c>
      <c r="C335" t="s">
        <v>6393</v>
      </c>
    </row>
    <row r="336" spans="1:3">
      <c r="A336" t="s">
        <v>5188</v>
      </c>
      <c r="B336" t="s">
        <v>6396</v>
      </c>
      <c r="C336" t="s">
        <v>6393</v>
      </c>
    </row>
    <row r="337" spans="1:3">
      <c r="A337" t="s">
        <v>5854</v>
      </c>
      <c r="B337" t="s">
        <v>6396</v>
      </c>
      <c r="C337" t="s">
        <v>6393</v>
      </c>
    </row>
    <row r="338" spans="1:3">
      <c r="A338" t="s">
        <v>4370</v>
      </c>
      <c r="B338" t="s">
        <v>6396</v>
      </c>
      <c r="C338" t="s">
        <v>6393</v>
      </c>
    </row>
    <row r="339" spans="1:3">
      <c r="A339" t="s">
        <v>4370</v>
      </c>
      <c r="B339" t="s">
        <v>6396</v>
      </c>
      <c r="C339" t="s">
        <v>6393</v>
      </c>
    </row>
    <row r="340" spans="1:3">
      <c r="A340" t="s">
        <v>4402</v>
      </c>
      <c r="B340" t="s">
        <v>6392</v>
      </c>
      <c r="C340" t="s">
        <v>6393</v>
      </c>
    </row>
    <row r="341" spans="1:3">
      <c r="A341" t="s">
        <v>5954</v>
      </c>
      <c r="B341" t="s">
        <v>6396</v>
      </c>
      <c r="C341" t="s">
        <v>6393</v>
      </c>
    </row>
    <row r="342" spans="1:3">
      <c r="A342" t="s">
        <v>5869</v>
      </c>
      <c r="B342" t="s">
        <v>6396</v>
      </c>
      <c r="C342" t="s">
        <v>6393</v>
      </c>
    </row>
    <row r="343" spans="1:3">
      <c r="A343" t="s">
        <v>5897</v>
      </c>
      <c r="B343" t="s">
        <v>6396</v>
      </c>
      <c r="C343" t="s">
        <v>6393</v>
      </c>
    </row>
    <row r="344" spans="1:3">
      <c r="A344" t="s">
        <v>5893</v>
      </c>
      <c r="B344" t="s">
        <v>6396</v>
      </c>
      <c r="C344" t="s">
        <v>6393</v>
      </c>
    </row>
    <row r="345" spans="1:3">
      <c r="A345" t="s">
        <v>5938</v>
      </c>
      <c r="B345" t="s">
        <v>6392</v>
      </c>
      <c r="C345" t="s">
        <v>6393</v>
      </c>
    </row>
    <row r="346" spans="1:3">
      <c r="A346" t="s">
        <v>5942</v>
      </c>
      <c r="B346" t="s">
        <v>6396</v>
      </c>
      <c r="C346" t="s">
        <v>6393</v>
      </c>
    </row>
    <row r="347" spans="1:3">
      <c r="A347" t="s">
        <v>6267</v>
      </c>
      <c r="B347" t="s">
        <v>6396</v>
      </c>
      <c r="C347" t="s">
        <v>6393</v>
      </c>
    </row>
    <row r="348" spans="1:3">
      <c r="A348" t="s">
        <v>5913</v>
      </c>
      <c r="B348" t="s">
        <v>6396</v>
      </c>
      <c r="C348" t="s">
        <v>6393</v>
      </c>
    </row>
    <row r="349" spans="1:3">
      <c r="A349" t="s">
        <v>5977</v>
      </c>
      <c r="B349" t="s">
        <v>6396</v>
      </c>
      <c r="C349" t="s">
        <v>6393</v>
      </c>
    </row>
    <row r="350" spans="1:3">
      <c r="A350" t="s">
        <v>5977</v>
      </c>
      <c r="B350" t="s">
        <v>6396</v>
      </c>
      <c r="C350" t="s">
        <v>6393</v>
      </c>
    </row>
    <row r="351" spans="1:3">
      <c r="A351" t="s">
        <v>1770</v>
      </c>
      <c r="B351" t="s">
        <v>6392</v>
      </c>
      <c r="C351" t="s">
        <v>6393</v>
      </c>
    </row>
    <row r="352" spans="1:3">
      <c r="A352" t="s">
        <v>4359</v>
      </c>
      <c r="B352" t="s">
        <v>6396</v>
      </c>
      <c r="C352" t="s">
        <v>6393</v>
      </c>
    </row>
    <row r="353" spans="1:3">
      <c r="A353" t="s">
        <v>3606</v>
      </c>
      <c r="B353" t="s">
        <v>6392</v>
      </c>
      <c r="C353" t="s">
        <v>6393</v>
      </c>
    </row>
    <row r="354" spans="1:3">
      <c r="A354" t="s">
        <v>3613</v>
      </c>
      <c r="B354" t="s">
        <v>6392</v>
      </c>
      <c r="C354" t="s">
        <v>6440</v>
      </c>
    </row>
    <row r="355" spans="1:3">
      <c r="A355" t="s">
        <v>1849</v>
      </c>
      <c r="B355" t="s">
        <v>6392</v>
      </c>
      <c r="C355" t="s">
        <v>6393</v>
      </c>
    </row>
    <row r="356" spans="1:3">
      <c r="A356" t="s">
        <v>3592</v>
      </c>
      <c r="B356" t="s">
        <v>6392</v>
      </c>
      <c r="C356" t="s">
        <v>6393</v>
      </c>
    </row>
    <row r="357" spans="1:3">
      <c r="A357" t="s">
        <v>4759</v>
      </c>
      <c r="B357" t="s">
        <v>6392</v>
      </c>
      <c r="C357" t="s">
        <v>6393</v>
      </c>
    </row>
    <row r="358" spans="1:3">
      <c r="A358" t="s">
        <v>235</v>
      </c>
      <c r="B358" t="s">
        <v>6392</v>
      </c>
      <c r="C358" t="s">
        <v>6393</v>
      </c>
    </row>
    <row r="359" spans="1:3">
      <c r="A359" t="s">
        <v>235</v>
      </c>
      <c r="B359" t="s">
        <v>6392</v>
      </c>
      <c r="C359" t="s">
        <v>6393</v>
      </c>
    </row>
    <row r="360" spans="1:3">
      <c r="A360" t="s">
        <v>4790</v>
      </c>
      <c r="B360" t="s">
        <v>6392</v>
      </c>
      <c r="C360" t="s">
        <v>6393</v>
      </c>
    </row>
    <row r="361" spans="1:3">
      <c r="A361" t="s">
        <v>4790</v>
      </c>
      <c r="B361" t="s">
        <v>6392</v>
      </c>
      <c r="C361" t="s">
        <v>6393</v>
      </c>
    </row>
    <row r="362" spans="1:3">
      <c r="A362" t="s">
        <v>5042</v>
      </c>
      <c r="B362" t="s">
        <v>6392</v>
      </c>
      <c r="C362" t="s">
        <v>6393</v>
      </c>
    </row>
    <row r="363" spans="1:3">
      <c r="A363" t="s">
        <v>1296</v>
      </c>
      <c r="B363" t="s">
        <v>6392</v>
      </c>
      <c r="C363" t="s">
        <v>6393</v>
      </c>
    </row>
    <row r="364" spans="1:3">
      <c r="A364" t="s">
        <v>703</v>
      </c>
      <c r="B364" t="s">
        <v>6396</v>
      </c>
      <c r="C364" t="s">
        <v>6393</v>
      </c>
    </row>
    <row r="365" spans="1:3">
      <c r="A365" t="s">
        <v>703</v>
      </c>
      <c r="B365" t="s">
        <v>6396</v>
      </c>
      <c r="C365" t="s">
        <v>6393</v>
      </c>
    </row>
    <row r="366" spans="1:3">
      <c r="A366" t="s">
        <v>652</v>
      </c>
      <c r="B366" t="s">
        <v>6396</v>
      </c>
      <c r="C366" t="s">
        <v>6393</v>
      </c>
    </row>
    <row r="367" spans="1:3">
      <c r="A367" t="s">
        <v>4864</v>
      </c>
      <c r="B367" t="s">
        <v>6392</v>
      </c>
      <c r="C367" t="s">
        <v>6393</v>
      </c>
    </row>
    <row r="368" spans="1:3">
      <c r="A368" t="s">
        <v>5111</v>
      </c>
      <c r="B368" t="s">
        <v>6392</v>
      </c>
      <c r="C368" t="s">
        <v>6393</v>
      </c>
    </row>
    <row r="369" spans="1:3">
      <c r="A369" t="s">
        <v>5118</v>
      </c>
      <c r="B369" t="s">
        <v>6392</v>
      </c>
      <c r="C369" t="s">
        <v>6393</v>
      </c>
    </row>
    <row r="370" spans="1:3">
      <c r="A370" t="s">
        <v>6038</v>
      </c>
      <c r="B370" t="s">
        <v>6392</v>
      </c>
      <c r="C370" t="s">
        <v>6393</v>
      </c>
    </row>
    <row r="371" spans="1:3">
      <c r="A371" t="s">
        <v>5122</v>
      </c>
      <c r="B371" t="s">
        <v>6392</v>
      </c>
      <c r="C371" t="s">
        <v>6393</v>
      </c>
    </row>
    <row r="372" spans="1:3">
      <c r="A372" t="s">
        <v>5122</v>
      </c>
      <c r="B372" t="s">
        <v>6392</v>
      </c>
      <c r="C372" t="s">
        <v>6393</v>
      </c>
    </row>
    <row r="373" spans="1:3">
      <c r="A373" t="s">
        <v>5126</v>
      </c>
      <c r="B373" t="s">
        <v>6392</v>
      </c>
      <c r="C373" t="s">
        <v>6393</v>
      </c>
    </row>
    <row r="374" spans="1:3">
      <c r="A374" t="s">
        <v>5152</v>
      </c>
      <c r="B374" t="s">
        <v>6392</v>
      </c>
      <c r="C374" t="s">
        <v>6393</v>
      </c>
    </row>
    <row r="375" spans="1:3">
      <c r="A375" t="s">
        <v>498</v>
      </c>
      <c r="B375" t="s">
        <v>6396</v>
      </c>
      <c r="C375" t="s">
        <v>6393</v>
      </c>
    </row>
    <row r="376" spans="1:3">
      <c r="A376" t="s">
        <v>498</v>
      </c>
      <c r="B376" t="s">
        <v>6396</v>
      </c>
      <c r="C376" t="s">
        <v>6393</v>
      </c>
    </row>
    <row r="377" spans="1:3">
      <c r="A377" t="s">
        <v>5133</v>
      </c>
      <c r="B377" t="s">
        <v>6392</v>
      </c>
      <c r="C377" t="s">
        <v>6393</v>
      </c>
    </row>
    <row r="378" spans="1:3">
      <c r="A378" t="s">
        <v>5136</v>
      </c>
      <c r="B378" t="s">
        <v>6392</v>
      </c>
      <c r="C378" t="s">
        <v>6393</v>
      </c>
    </row>
    <row r="379" spans="1:3">
      <c r="A379" t="s">
        <v>5144</v>
      </c>
      <c r="B379" t="s">
        <v>6392</v>
      </c>
      <c r="C379" t="s">
        <v>6393</v>
      </c>
    </row>
    <row r="380" spans="1:3">
      <c r="A380" t="s">
        <v>1332</v>
      </c>
      <c r="B380" t="s">
        <v>6396</v>
      </c>
      <c r="C380" t="s">
        <v>6439</v>
      </c>
    </row>
    <row r="381" spans="1:3">
      <c r="A381" t="s">
        <v>6110</v>
      </c>
      <c r="B381" t="s">
        <v>6396</v>
      </c>
      <c r="C381" t="s">
        <v>6393</v>
      </c>
    </row>
    <row r="382" spans="1:3">
      <c r="A382" t="s">
        <v>2598</v>
      </c>
      <c r="B382" t="s">
        <v>6396</v>
      </c>
      <c r="C382" t="s">
        <v>6393</v>
      </c>
    </row>
    <row r="383" spans="1:3">
      <c r="A383" t="s">
        <v>576</v>
      </c>
      <c r="B383" t="s">
        <v>6396</v>
      </c>
      <c r="C383" t="s">
        <v>6393</v>
      </c>
    </row>
    <row r="384" spans="1:3">
      <c r="A384" t="s">
        <v>6117</v>
      </c>
      <c r="B384" t="s">
        <v>6396</v>
      </c>
      <c r="C384" t="s">
        <v>6393</v>
      </c>
    </row>
    <row r="385" spans="1:3">
      <c r="A385" t="s">
        <v>6187</v>
      </c>
      <c r="B385" t="s">
        <v>6392</v>
      </c>
      <c r="C385" t="s">
        <v>6393</v>
      </c>
    </row>
    <row r="386" spans="1:3">
      <c r="A386" t="s">
        <v>6210</v>
      </c>
      <c r="B386" t="s">
        <v>6392</v>
      </c>
      <c r="C386" t="s">
        <v>6393</v>
      </c>
    </row>
    <row r="387" spans="1:3">
      <c r="A387" t="s">
        <v>6441</v>
      </c>
      <c r="B387" t="s">
        <v>6392</v>
      </c>
      <c r="C387" t="s">
        <v>6393</v>
      </c>
    </row>
    <row r="388" spans="1:3">
      <c r="A388" t="s">
        <v>6216</v>
      </c>
      <c r="B388" t="s">
        <v>6392</v>
      </c>
      <c r="C388" t="s">
        <v>6393</v>
      </c>
    </row>
    <row r="389" spans="1:3">
      <c r="A389" t="s">
        <v>6220</v>
      </c>
      <c r="B389" t="s">
        <v>6392</v>
      </c>
      <c r="C389" t="s">
        <v>6393</v>
      </c>
    </row>
    <row r="390" spans="1:3">
      <c r="A390" t="s">
        <v>5734</v>
      </c>
      <c r="B390" t="s">
        <v>6396</v>
      </c>
      <c r="C390" t="s">
        <v>6393</v>
      </c>
    </row>
    <row r="391" spans="1:3">
      <c r="A391" t="s">
        <v>6052</v>
      </c>
      <c r="B391" t="s">
        <v>6392</v>
      </c>
      <c r="C391" t="s">
        <v>6393</v>
      </c>
    </row>
    <row r="392" spans="1:3">
      <c r="A392" t="s">
        <v>6148</v>
      </c>
      <c r="B392" t="s">
        <v>6392</v>
      </c>
      <c r="C392" t="s">
        <v>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2025-06-14T15:31:55Z</dcterms:modified>
</cp:coreProperties>
</file>