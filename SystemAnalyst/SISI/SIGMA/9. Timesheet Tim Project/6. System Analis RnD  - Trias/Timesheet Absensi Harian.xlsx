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D:\SISI\TW\SIGMA SIG\Timesheet Tim\"/>
    </mc:Choice>
  </mc:AlternateContent>
  <xr:revisionPtr revIDLastSave="0" documentId="13_ncr:1_{40480162-61AD-49B3-9CCE-A3073D7CCE5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ret" sheetId="2" r:id="rId1"/>
  </sheets>
  <definedNames>
    <definedName name="_xlnm.Print_Area" localSheetId="0">Maret!$A$1:$G$44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2" l="1"/>
  <c r="C8" i="2" l="1"/>
  <c r="C9" i="2" s="1"/>
  <c r="C10" i="2" s="1"/>
  <c r="C11" i="2" s="1"/>
  <c r="C13" i="2" s="1"/>
  <c r="C14" i="2" l="1"/>
  <c r="C15" i="2" s="1"/>
  <c r="C16" i="2" s="1"/>
  <c r="C17" i="2" s="1"/>
  <c r="C19" i="2" s="1"/>
  <c r="C20" i="2" s="1"/>
  <c r="C21" i="2" s="1"/>
  <c r="C22" i="2" s="1"/>
  <c r="C23" i="2" s="1"/>
  <c r="C25" i="2" s="1"/>
  <c r="C26" i="2" s="1"/>
  <c r="C27" i="2" s="1"/>
  <c r="C28" i="2" s="1"/>
  <c r="C29" i="2" s="1"/>
  <c r="C31" i="2" s="1"/>
  <c r="C32" i="2" s="1"/>
</calcChain>
</file>

<file path=xl/sharedStrings.xml><?xml version="1.0" encoding="utf-8"?>
<sst xmlns="http://schemas.openxmlformats.org/spreadsheetml/2006/main" count="44" uniqueCount="25">
  <si>
    <t xml:space="preserve">Monthly Time Sheet
</t>
  </si>
  <si>
    <r>
      <rPr>
        <b/>
        <sz val="10"/>
        <rFont val="Calibri"/>
        <family val="2"/>
      </rPr>
      <t>Day</t>
    </r>
  </si>
  <si>
    <t>Total Working Day</t>
  </si>
  <si>
    <r>
      <rPr>
        <sz val="10"/>
        <rFont val="Calibri"/>
        <family val="2"/>
      </rPr>
      <t>Total Day</t>
    </r>
  </si>
  <si>
    <t>Monday</t>
  </si>
  <si>
    <t>Tuesday</t>
  </si>
  <si>
    <t>Wednesday</t>
  </si>
  <si>
    <t>Friday</t>
  </si>
  <si>
    <t>Thursday</t>
  </si>
  <si>
    <t>Tasks</t>
  </si>
  <si>
    <t>Total Absence(s)</t>
  </si>
  <si>
    <t>Start</t>
  </si>
  <si>
    <t>End</t>
  </si>
  <si>
    <t>Goals</t>
  </si>
  <si>
    <t>Libur Hari Lahir Pancasila</t>
  </si>
  <si>
    <t>1. Revisi Proposal Teknis PT HKI Part 2
2. Create COGM PTPN Timbangan Digital</t>
  </si>
  <si>
    <t>Dapat Membuat Proposal Teknis dan COGM sesuai dengan ketentuan</t>
  </si>
  <si>
    <t>Project Manager</t>
  </si>
  <si>
    <t>Total Working Hour</t>
  </si>
  <si>
    <t>Maret</t>
  </si>
  <si>
    <r>
      <t xml:space="preserve">Start           :           </t>
    </r>
    <r>
      <rPr>
        <u/>
        <sz val="10"/>
        <rFont val="Times New Roman"/>
        <family val="1"/>
      </rPr>
      <t xml:space="preserve">    03/03/25  </t>
    </r>
    <r>
      <rPr>
        <sz val="10"/>
        <rFont val="Times New Roman"/>
        <family val="1"/>
      </rPr>
      <t xml:space="preserve">                                                                 </t>
    </r>
    <r>
      <rPr>
        <b/>
        <sz val="10"/>
        <rFont val="Times New Roman"/>
        <family val="1"/>
      </rPr>
      <t xml:space="preserve"> Project </t>
    </r>
    <r>
      <rPr>
        <sz val="10"/>
        <rFont val="Times New Roman"/>
        <family val="1"/>
      </rPr>
      <t xml:space="preserve">      :  </t>
    </r>
    <r>
      <rPr>
        <u/>
        <sz val="10"/>
        <rFont val="Times New Roman"/>
        <family val="1"/>
      </rPr>
      <t>[SIG] Jasa Rebuilding SIGMA</t>
    </r>
    <r>
      <rPr>
        <sz val="10"/>
        <rFont val="Times New Roman"/>
        <family val="1"/>
      </rPr>
      <t xml:space="preserve">
</t>
    </r>
    <r>
      <rPr>
        <b/>
        <sz val="10"/>
        <rFont val="Times New Roman"/>
        <family val="1"/>
      </rPr>
      <t xml:space="preserve">End   </t>
    </r>
    <r>
      <rPr>
        <sz val="10"/>
        <rFont val="Times New Roman"/>
        <family val="1"/>
      </rPr>
      <t xml:space="preserve">         :            </t>
    </r>
    <r>
      <rPr>
        <u/>
        <sz val="10"/>
        <rFont val="Times New Roman"/>
        <family val="1"/>
      </rPr>
      <t xml:space="preserve">  31/04/24  </t>
    </r>
    <r>
      <rPr>
        <sz val="10"/>
        <rFont val="Times New Roman"/>
        <family val="1"/>
      </rPr>
      <t xml:space="preserve">                                                                  </t>
    </r>
    <r>
      <rPr>
        <b/>
        <sz val="10"/>
        <rFont val="Times New Roman"/>
        <family val="1"/>
      </rPr>
      <t xml:space="preserve">Customer  : </t>
    </r>
    <r>
      <rPr>
        <u/>
        <sz val="10"/>
        <rFont val="Times New Roman"/>
        <family val="1"/>
      </rPr>
      <t> PT Sinergi Informatik</t>
    </r>
    <r>
      <rPr>
        <sz val="10"/>
        <rFont val="Times New Roman"/>
        <family val="1"/>
      </rPr>
      <t>a Semen Indonesia</t>
    </r>
  </si>
  <si>
    <t>Jakarta, 02 April 2025</t>
  </si>
  <si>
    <t>Muhammad Fakhri Ardhiyan F</t>
  </si>
  <si>
    <t>….....................</t>
  </si>
  <si>
    <t>…....................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</si>
</sst>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m/yy;@"/>
  </numFmts>
  <fonts count="15" x14ac:knownFonts="1">
    <font>
      <sz val="10"/>
      <color rgb="FF000000"/>
      <name val="Times New Roman"/>
      <charset val="204"/>
    </font>
    <font>
      <b/>
      <sz val="11"/>
      <color theme="3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/>
      <sz val="10"/>
      <color rgb="FF000000"/>
      <name val="Times New Roman"/>
      <family val="1"/>
    </font>
    <font>
      <u/>
      <sz val="10"/>
      <name val="Times New Roman"/>
      <family val="1"/>
    </font>
    <font>
      <sz val="10"/>
      <name val="Times New Roman"/>
      <family val="1"/>
    </font>
    <font>
      <sz val="10"/>
      <color rgb="FF000000"/>
      <name val="Times New Roman"/>
      <family val="1"/>
    </font>
    <font>
      <sz val="8"/>
      <name val="Times New Roman"/>
      <family val="1"/>
    </font>
    <font>
      <b/>
      <sz val="10"/>
      <name val="Times New Roman"/>
      <family val="1"/>
    </font>
    <font>
      <sz val="10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1"/>
      </bottom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 applyAlignment="1">
      <alignment horizontal="left" vertical="top"/>
    </xf>
    <xf numFmtId="1" fontId="5" fillId="0" borderId="4" xfId="0" applyNumberFormat="1" applyFont="1" applyBorder="1" applyAlignment="1">
      <alignment horizontal="center" vertical="center" shrinkToFit="1"/>
    </xf>
    <xf numFmtId="0" fontId="0" fillId="0" borderId="4" xfId="0" applyBorder="1" applyAlignment="1">
      <alignment horizontal="left" vertical="center" wrapText="1"/>
    </xf>
    <xf numFmtId="1" fontId="5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top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horizontal="left" vertical="top"/>
    </xf>
    <xf numFmtId="0" fontId="3" fillId="0" borderId="4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1" fontId="13" fillId="0" borderId="0" xfId="0" applyNumberFormat="1" applyFont="1" applyAlignment="1">
      <alignment horizontal="center" vertical="center" wrapText="1" shrinkToFit="1"/>
    </xf>
    <xf numFmtId="164" fontId="11" fillId="0" borderId="4" xfId="0" applyNumberFormat="1" applyFont="1" applyBorder="1" applyAlignment="1">
      <alignment horizontal="center" vertical="center" shrinkToFit="1"/>
    </xf>
    <xf numFmtId="0" fontId="11" fillId="0" borderId="0" xfId="0" applyFont="1" applyAlignment="1">
      <alignment horizontal="center" vertical="top"/>
    </xf>
    <xf numFmtId="20" fontId="10" fillId="0" borderId="4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4" xfId="0" applyFont="1" applyBorder="1" applyAlignment="1">
      <alignment horizontal="left" vertical="center" wrapText="1"/>
    </xf>
    <xf numFmtId="1" fontId="5" fillId="0" borderId="2" xfId="0" applyNumberFormat="1" applyFont="1" applyBorder="1" applyAlignment="1">
      <alignment horizontal="left" vertical="center" shrinkToFit="1"/>
    </xf>
    <xf numFmtId="1" fontId="3" fillId="0" borderId="4" xfId="0" applyNumberFormat="1" applyFont="1" applyBorder="1" applyAlignment="1">
      <alignment horizontal="center" vertical="center" shrinkToFit="1"/>
    </xf>
    <xf numFmtId="1" fontId="3" fillId="0" borderId="2" xfId="0" applyNumberFormat="1" applyFont="1" applyBorder="1" applyAlignment="1">
      <alignment horizontal="left" vertical="center" shrinkToFit="1"/>
    </xf>
    <xf numFmtId="164" fontId="10" fillId="0" borderId="4" xfId="0" applyNumberFormat="1" applyFont="1" applyBorder="1" applyAlignment="1">
      <alignment horizontal="center" vertical="center" shrinkToFit="1"/>
    </xf>
    <xf numFmtId="0" fontId="10" fillId="0" borderId="0" xfId="0" applyFont="1" applyAlignment="1">
      <alignment horizontal="left" vertical="center" wrapText="1"/>
    </xf>
    <xf numFmtId="1" fontId="3" fillId="0" borderId="0" xfId="0" applyNumberFormat="1" applyFont="1" applyAlignment="1">
      <alignment horizontal="center" vertical="center" shrinkToFit="1"/>
    </xf>
    <xf numFmtId="0" fontId="10" fillId="0" borderId="6" xfId="0" quotePrefix="1" applyFont="1" applyBorder="1" applyAlignment="1">
      <alignment horizontal="left" vertical="center" wrapText="1"/>
    </xf>
    <xf numFmtId="1" fontId="3" fillId="0" borderId="4" xfId="0" applyNumberFormat="1" applyFont="1" applyBorder="1" applyAlignment="1">
      <alignment horizontal="left" vertical="center" shrinkToFit="1"/>
    </xf>
    <xf numFmtId="17" fontId="10" fillId="0" borderId="5" xfId="0" applyNumberFormat="1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1" fontId="3" fillId="0" borderId="0" xfId="0" applyNumberFormat="1" applyFont="1" applyAlignment="1">
      <alignment horizontal="left" vertical="center" shrinkToFit="1"/>
    </xf>
    <xf numFmtId="164" fontId="10" fillId="0" borderId="0" xfId="0" applyNumberFormat="1" applyFont="1" applyAlignment="1">
      <alignment horizontal="center" vertical="center" shrinkToFit="1"/>
    </xf>
    <xf numFmtId="20" fontId="10" fillId="0" borderId="0" xfId="0" applyNumberFormat="1" applyFont="1" applyAlignment="1">
      <alignment horizontal="center" vertical="center" wrapText="1"/>
    </xf>
    <xf numFmtId="0" fontId="10" fillId="0" borderId="0" xfId="0" quotePrefix="1" applyFont="1" applyAlignment="1">
      <alignment horizontal="left" vertical="center" wrapText="1"/>
    </xf>
    <xf numFmtId="1" fontId="11" fillId="2" borderId="5" xfId="0" applyNumberFormat="1" applyFont="1" applyFill="1" applyBorder="1" applyAlignment="1">
      <alignment horizontal="center" vertical="center"/>
    </xf>
    <xf numFmtId="1" fontId="11" fillId="2" borderId="5" xfId="0" applyNumberFormat="1" applyFont="1" applyFill="1" applyBorder="1" applyAlignment="1">
      <alignment horizontal="center" vertical="center" shrinkToFit="1"/>
    </xf>
    <xf numFmtId="1" fontId="6" fillId="2" borderId="5" xfId="0" applyNumberFormat="1" applyFont="1" applyFill="1" applyBorder="1" applyAlignment="1">
      <alignment horizontal="left" vertical="center" shrinkToFit="1"/>
    </xf>
    <xf numFmtId="17" fontId="1" fillId="0" borderId="0" xfId="0" applyNumberFormat="1" applyFont="1" applyAlignment="1">
      <alignment horizontal="left" wrapText="1" indent="1"/>
    </xf>
    <xf numFmtId="0" fontId="4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20" fontId="10" fillId="0" borderId="1" xfId="0" applyNumberFormat="1" applyFont="1" applyBorder="1" applyAlignment="1">
      <alignment horizontal="center" vertical="center" wrapText="1"/>
    </xf>
    <xf numFmtId="20" fontId="10" fillId="0" borderId="3" xfId="0" applyNumberFormat="1" applyFont="1" applyBorder="1" applyAlignment="1">
      <alignment horizontal="center" vertical="center" wrapText="1"/>
    </xf>
    <xf numFmtId="1" fontId="3" fillId="0" borderId="7" xfId="0" applyNumberFormat="1" applyFont="1" applyBorder="1" applyAlignment="1">
      <alignment horizontal="center" vertical="center" shrinkToFit="1"/>
    </xf>
    <xf numFmtId="1" fontId="5" fillId="0" borderId="1" xfId="0" applyNumberFormat="1" applyFont="1" applyBorder="1" applyAlignment="1">
      <alignment horizontal="center" vertical="center" shrinkToFit="1"/>
    </xf>
    <xf numFmtId="1" fontId="5" fillId="0" borderId="2" xfId="0" applyNumberFormat="1" applyFont="1" applyBorder="1" applyAlignment="1">
      <alignment horizontal="center" vertical="center" shrinkToFit="1"/>
    </xf>
    <xf numFmtId="1" fontId="5" fillId="0" borderId="3" xfId="0" applyNumberFormat="1" applyFont="1" applyBorder="1" applyAlignment="1">
      <alignment horizontal="center" vertical="center" shrinkToFit="1"/>
    </xf>
    <xf numFmtId="0" fontId="10" fillId="0" borderId="0" xfId="0" applyFont="1" applyAlignment="1">
      <alignment horizontal="left" wrapText="1" indent="9"/>
    </xf>
    <xf numFmtId="0" fontId="13" fillId="0" borderId="0" xfId="0" applyFont="1" applyAlignment="1">
      <alignment horizontal="left" vertical="top" wrapText="1" indent="1"/>
    </xf>
    <xf numFmtId="0" fontId="13" fillId="0" borderId="1" xfId="0" applyFont="1" applyBorder="1" applyAlignment="1">
      <alignment horizontal="center" vertical="top" wrapText="1"/>
    </xf>
    <xf numFmtId="0" fontId="13" fillId="0" borderId="3" xfId="0" applyFont="1" applyBorder="1" applyAlignment="1">
      <alignment horizontal="center" vertical="top" wrapText="1"/>
    </xf>
    <xf numFmtId="17" fontId="10" fillId="0" borderId="8" xfId="0" applyNumberFormat="1" applyFont="1" applyBorder="1" applyAlignment="1">
      <alignment horizontal="center" vertical="center" wrapText="1"/>
    </xf>
    <xf numFmtId="17" fontId="10" fillId="0" borderId="9" xfId="0" applyNumberFormat="1" applyFont="1" applyBorder="1" applyAlignment="1">
      <alignment horizontal="center" vertical="center" wrapText="1"/>
    </xf>
    <xf numFmtId="1" fontId="11" fillId="2" borderId="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2D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127000</xdr:colOff>
      <xdr:row>0</xdr:row>
      <xdr:rowOff>20320</xdr:rowOff>
    </xdr:from>
    <xdr:ext cx="952500" cy="5461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20320"/>
          <a:ext cx="952500" cy="5461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4"/>
  <sheetViews>
    <sheetView tabSelected="1" view="pageBreakPreview" topLeftCell="A35" zoomScaleNormal="100" zoomScaleSheetLayoutView="100" workbookViewId="0">
      <selection activeCell="A34" sqref="A34:XFD35"/>
    </sheetView>
  </sheetViews>
  <sheetFormatPr defaultColWidth="9" defaultRowHeight="12.75" x14ac:dyDescent="0.2"/>
  <cols>
    <col min="1" max="1" width="3.5" style="6" customWidth="1"/>
    <col min="2" max="2" width="20.1640625" customWidth="1"/>
    <col min="3" max="3" width="14.5" style="7" customWidth="1"/>
    <col min="4" max="4" width="3.83203125" style="15" customWidth="1"/>
    <col min="5" max="5" width="11.5" style="15" customWidth="1"/>
    <col min="6" max="6" width="17" style="17" customWidth="1"/>
    <col min="7" max="7" width="80.6640625" style="12" customWidth="1"/>
    <col min="8" max="8" width="52.33203125" style="6" hidden="1" customWidth="1"/>
    <col min="9" max="9" width="13.6640625" customWidth="1"/>
  </cols>
  <sheetData>
    <row r="1" spans="1:9" ht="59.25" customHeight="1" x14ac:dyDescent="0.25">
      <c r="A1" s="37" t="s">
        <v>19</v>
      </c>
      <c r="B1" s="37"/>
      <c r="C1" s="37"/>
      <c r="D1" s="37"/>
      <c r="E1" s="47" t="s">
        <v>0</v>
      </c>
      <c r="F1" s="47"/>
      <c r="G1" s="47"/>
      <c r="H1" s="47"/>
      <c r="I1" s="47"/>
    </row>
    <row r="2" spans="1:9" ht="55.5" customHeight="1" x14ac:dyDescent="0.2">
      <c r="A2" s="48" t="s">
        <v>20</v>
      </c>
      <c r="B2" s="48"/>
      <c r="C2" s="48"/>
      <c r="D2" s="48"/>
      <c r="E2" s="48"/>
      <c r="F2" s="48"/>
      <c r="G2" s="48"/>
      <c r="H2" s="48"/>
      <c r="I2" s="48"/>
    </row>
    <row r="3" spans="1:9" x14ac:dyDescent="0.2">
      <c r="A3" s="38" t="s">
        <v>1</v>
      </c>
      <c r="B3" s="39"/>
      <c r="C3" s="40"/>
      <c r="D3" s="49" t="s">
        <v>11</v>
      </c>
      <c r="E3" s="50"/>
      <c r="F3" s="9" t="s">
        <v>12</v>
      </c>
      <c r="G3" s="9" t="s">
        <v>9</v>
      </c>
      <c r="H3" s="8" t="s">
        <v>13</v>
      </c>
    </row>
    <row r="4" spans="1:9" hidden="1" x14ac:dyDescent="0.2">
      <c r="A4" s="1">
        <v>1</v>
      </c>
      <c r="B4" s="8" t="s">
        <v>6</v>
      </c>
      <c r="C4" s="14">
        <v>44713</v>
      </c>
      <c r="D4" s="41">
        <v>0.3125</v>
      </c>
      <c r="E4" s="42"/>
      <c r="F4" s="16">
        <v>0.6875</v>
      </c>
      <c r="G4" s="10" t="s">
        <v>14</v>
      </c>
      <c r="H4" s="2"/>
    </row>
    <row r="5" spans="1:9" ht="38.25" hidden="1" customHeight="1" x14ac:dyDescent="0.2">
      <c r="A5" s="1">
        <v>2</v>
      </c>
      <c r="B5" s="8" t="s">
        <v>8</v>
      </c>
      <c r="C5" s="14">
        <v>44714</v>
      </c>
      <c r="D5" s="41">
        <v>0.3125</v>
      </c>
      <c r="E5" s="42"/>
      <c r="F5" s="16">
        <v>0.6875</v>
      </c>
      <c r="G5" s="11" t="s">
        <v>15</v>
      </c>
      <c r="H5" s="18" t="s">
        <v>16</v>
      </c>
    </row>
    <row r="6" spans="1:9" x14ac:dyDescent="0.2">
      <c r="A6" s="44"/>
      <c r="B6" s="45"/>
      <c r="C6" s="45"/>
      <c r="D6" s="45"/>
      <c r="E6" s="45"/>
      <c r="F6" s="45"/>
      <c r="G6" s="45"/>
      <c r="H6" s="46"/>
    </row>
    <row r="7" spans="1:9" x14ac:dyDescent="0.2">
      <c r="A7" s="1">
        <v>1</v>
      </c>
      <c r="B7" s="19" t="s">
        <v>4</v>
      </c>
      <c r="C7" s="14">
        <v>45719</v>
      </c>
      <c r="D7" s="41">
        <v>0.33333333333333331</v>
      </c>
      <c r="E7" s="42"/>
      <c r="F7" s="16">
        <v>0.70833333333333337</v>
      </c>
      <c r="G7" s="25"/>
      <c r="H7" s="18"/>
    </row>
    <row r="8" spans="1:9" x14ac:dyDescent="0.2">
      <c r="A8" s="1">
        <v>2</v>
      </c>
      <c r="B8" s="19" t="s">
        <v>5</v>
      </c>
      <c r="C8" s="14">
        <f>C7+1</f>
        <v>45720</v>
      </c>
      <c r="D8" s="41">
        <v>0.33333333333333331</v>
      </c>
      <c r="E8" s="42"/>
      <c r="F8" s="16">
        <v>0.70833333333333337</v>
      </c>
      <c r="G8" s="25"/>
      <c r="H8" s="18"/>
    </row>
    <row r="9" spans="1:9" x14ac:dyDescent="0.2">
      <c r="A9" s="1">
        <v>3</v>
      </c>
      <c r="B9" s="19" t="s">
        <v>6</v>
      </c>
      <c r="C9" s="14">
        <f t="shared" ref="C9:C11" si="0">C8+1</f>
        <v>45721</v>
      </c>
      <c r="D9" s="41">
        <v>0.33333333333333331</v>
      </c>
      <c r="E9" s="42"/>
      <c r="F9" s="16">
        <v>0.70833333333333337</v>
      </c>
      <c r="G9" s="25"/>
      <c r="H9" s="18"/>
    </row>
    <row r="10" spans="1:9" x14ac:dyDescent="0.2">
      <c r="A10" s="1">
        <v>4</v>
      </c>
      <c r="B10" s="19" t="s">
        <v>8</v>
      </c>
      <c r="C10" s="14">
        <f t="shared" si="0"/>
        <v>45722</v>
      </c>
      <c r="D10" s="41">
        <v>0.33333333333333331</v>
      </c>
      <c r="E10" s="42"/>
      <c r="F10" s="16">
        <v>0.70833333333333337</v>
      </c>
      <c r="G10" s="25"/>
      <c r="H10" s="18"/>
    </row>
    <row r="11" spans="1:9" x14ac:dyDescent="0.2">
      <c r="A11" s="1">
        <v>5</v>
      </c>
      <c r="B11" s="19" t="s">
        <v>7</v>
      </c>
      <c r="C11" s="14">
        <f t="shared" si="0"/>
        <v>45723</v>
      </c>
      <c r="D11" s="41">
        <v>0.33333333333333331</v>
      </c>
      <c r="E11" s="42"/>
      <c r="F11" s="16">
        <v>0.70833333333333337</v>
      </c>
      <c r="G11" s="25"/>
      <c r="H11" s="18"/>
    </row>
    <row r="12" spans="1:9" x14ac:dyDescent="0.2">
      <c r="A12" s="43"/>
      <c r="B12" s="43"/>
      <c r="C12" s="43"/>
      <c r="D12" s="43"/>
      <c r="E12" s="43"/>
      <c r="F12" s="43"/>
      <c r="G12" s="43"/>
      <c r="H12" s="43"/>
    </row>
    <row r="13" spans="1:9" x14ac:dyDescent="0.2">
      <c r="A13" s="20">
        <v>6</v>
      </c>
      <c r="B13" s="21" t="s">
        <v>4</v>
      </c>
      <c r="C13" s="22">
        <f>C11+3</f>
        <v>45726</v>
      </c>
      <c r="D13" s="41">
        <v>0.33333333333333331</v>
      </c>
      <c r="E13" s="42"/>
      <c r="F13" s="16">
        <v>0.70833333333333337</v>
      </c>
      <c r="G13" s="25"/>
      <c r="H13" s="11"/>
    </row>
    <row r="14" spans="1:9" x14ac:dyDescent="0.2">
      <c r="A14" s="20">
        <v>7</v>
      </c>
      <c r="B14" s="21" t="s">
        <v>5</v>
      </c>
      <c r="C14" s="22">
        <f>C13+1</f>
        <v>45727</v>
      </c>
      <c r="D14" s="41">
        <v>0.33333333333333331</v>
      </c>
      <c r="E14" s="42"/>
      <c r="F14" s="16">
        <v>0.70833333333333337</v>
      </c>
      <c r="G14" s="25"/>
      <c r="H14" s="11"/>
    </row>
    <row r="15" spans="1:9" x14ac:dyDescent="0.2">
      <c r="A15" s="20">
        <v>8</v>
      </c>
      <c r="B15" s="21" t="s">
        <v>6</v>
      </c>
      <c r="C15" s="22">
        <f t="shared" ref="C15:C17" si="1">C14+1</f>
        <v>45728</v>
      </c>
      <c r="D15" s="41">
        <v>0.33333333333333331</v>
      </c>
      <c r="E15" s="42"/>
      <c r="F15" s="16">
        <v>0.70833333333333337</v>
      </c>
      <c r="G15" s="25"/>
      <c r="H15" s="11"/>
    </row>
    <row r="16" spans="1:9" x14ac:dyDescent="0.2">
      <c r="A16" s="20">
        <v>9</v>
      </c>
      <c r="B16" s="21" t="s">
        <v>8</v>
      </c>
      <c r="C16" s="22">
        <f t="shared" si="1"/>
        <v>45729</v>
      </c>
      <c r="D16" s="41">
        <v>0.33333333333333331</v>
      </c>
      <c r="E16" s="42"/>
      <c r="F16" s="16">
        <v>0.70833333333333337</v>
      </c>
      <c r="G16" s="25"/>
      <c r="H16" s="23"/>
    </row>
    <row r="17" spans="1:8" x14ac:dyDescent="0.2">
      <c r="A17" s="20">
        <v>10</v>
      </c>
      <c r="B17" s="21" t="s">
        <v>7</v>
      </c>
      <c r="C17" s="22">
        <f t="shared" si="1"/>
        <v>45730</v>
      </c>
      <c r="D17" s="41">
        <v>0.33333333333333331</v>
      </c>
      <c r="E17" s="42"/>
      <c r="F17" s="16">
        <v>0.70833333333333337</v>
      </c>
      <c r="G17" s="25"/>
      <c r="H17" s="23"/>
    </row>
    <row r="18" spans="1:8" x14ac:dyDescent="0.2">
      <c r="A18" s="24"/>
      <c r="B18" s="24"/>
      <c r="C18" s="24"/>
      <c r="D18" s="24"/>
      <c r="E18" s="24"/>
      <c r="F18" s="24"/>
      <c r="G18" s="24"/>
      <c r="H18" s="24"/>
    </row>
    <row r="19" spans="1:8" x14ac:dyDescent="0.2">
      <c r="A19" s="26">
        <v>11</v>
      </c>
      <c r="B19" s="26" t="s">
        <v>4</v>
      </c>
      <c r="C19" s="22">
        <f>C17+3</f>
        <v>45733</v>
      </c>
      <c r="D19" s="41">
        <v>0.33333333333333331</v>
      </c>
      <c r="E19" s="42"/>
      <c r="F19" s="16">
        <v>0.70833333333333337</v>
      </c>
      <c r="G19" s="25"/>
      <c r="H19" s="11"/>
    </row>
    <row r="20" spans="1:8" x14ac:dyDescent="0.2">
      <c r="A20" s="20">
        <v>12</v>
      </c>
      <c r="B20" s="21" t="s">
        <v>5</v>
      </c>
      <c r="C20" s="22">
        <f>C19+1</f>
        <v>45734</v>
      </c>
      <c r="D20" s="41">
        <v>0.33333333333333331</v>
      </c>
      <c r="E20" s="42"/>
      <c r="F20" s="16">
        <v>0.70833333333333337</v>
      </c>
      <c r="G20" s="25"/>
      <c r="H20" s="11"/>
    </row>
    <row r="21" spans="1:8" x14ac:dyDescent="0.2">
      <c r="A21" s="20">
        <v>13</v>
      </c>
      <c r="B21" s="26" t="s">
        <v>6</v>
      </c>
      <c r="C21" s="22">
        <f>C20+1</f>
        <v>45735</v>
      </c>
      <c r="D21" s="41">
        <v>0.33333333333333331</v>
      </c>
      <c r="E21" s="42"/>
      <c r="F21" s="16">
        <v>0.70833333333333337</v>
      </c>
      <c r="G21" s="25"/>
      <c r="H21" s="11"/>
    </row>
    <row r="22" spans="1:8" x14ac:dyDescent="0.2">
      <c r="A22" s="20">
        <v>14</v>
      </c>
      <c r="B22" s="21" t="s">
        <v>8</v>
      </c>
      <c r="C22" s="22">
        <f t="shared" ref="C22:C23" si="2">C21+1</f>
        <v>45736</v>
      </c>
      <c r="D22" s="41">
        <v>0.33333333333333331</v>
      </c>
      <c r="E22" s="42"/>
      <c r="F22" s="16">
        <v>0.70833333333333337</v>
      </c>
      <c r="G22" s="25"/>
      <c r="H22" s="11"/>
    </row>
    <row r="23" spans="1:8" x14ac:dyDescent="0.2">
      <c r="A23" s="20">
        <v>15</v>
      </c>
      <c r="B23" s="26" t="s">
        <v>7</v>
      </c>
      <c r="C23" s="22">
        <f t="shared" si="2"/>
        <v>45737</v>
      </c>
      <c r="D23" s="41">
        <v>0.33333333333333331</v>
      </c>
      <c r="E23" s="42"/>
      <c r="F23" s="16">
        <v>0.70833333333333337</v>
      </c>
      <c r="G23" s="25"/>
      <c r="H23" s="11"/>
    </row>
    <row r="24" spans="1:8" x14ac:dyDescent="0.2">
      <c r="A24" s="3"/>
      <c r="B24" s="3"/>
      <c r="C24" s="3"/>
      <c r="D24" s="3"/>
      <c r="E24" s="3"/>
      <c r="F24" s="3"/>
      <c r="G24" s="3"/>
      <c r="H24" s="3"/>
    </row>
    <row r="25" spans="1:8" x14ac:dyDescent="0.2">
      <c r="A25" s="26">
        <v>16</v>
      </c>
      <c r="B25" s="26" t="s">
        <v>4</v>
      </c>
      <c r="C25" s="22">
        <f>C23+3</f>
        <v>45740</v>
      </c>
      <c r="D25" s="41">
        <v>0.33333333333333331</v>
      </c>
      <c r="E25" s="42"/>
      <c r="F25" s="16">
        <v>0.70833333333333337</v>
      </c>
      <c r="G25" s="25"/>
      <c r="H25" s="11"/>
    </row>
    <row r="26" spans="1:8" x14ac:dyDescent="0.2">
      <c r="A26" s="20">
        <v>17</v>
      </c>
      <c r="B26" s="21" t="s">
        <v>5</v>
      </c>
      <c r="C26" s="22">
        <f>C25+1</f>
        <v>45741</v>
      </c>
      <c r="D26" s="41">
        <v>0.33333333333333331</v>
      </c>
      <c r="E26" s="42"/>
      <c r="F26" s="16">
        <v>0.70833333333333337</v>
      </c>
      <c r="G26" s="25"/>
      <c r="H26" s="11"/>
    </row>
    <row r="27" spans="1:8" x14ac:dyDescent="0.2">
      <c r="A27" s="20">
        <v>18</v>
      </c>
      <c r="B27" s="26" t="s">
        <v>6</v>
      </c>
      <c r="C27" s="22">
        <f>C26+1</f>
        <v>45742</v>
      </c>
      <c r="D27" s="41">
        <v>0.33333333333333331</v>
      </c>
      <c r="E27" s="42"/>
      <c r="F27" s="16">
        <v>0.70833333333333337</v>
      </c>
      <c r="G27" s="25"/>
      <c r="H27" s="11"/>
    </row>
    <row r="28" spans="1:8" x14ac:dyDescent="0.2">
      <c r="A28" s="20">
        <v>19</v>
      </c>
      <c r="B28" s="21" t="s">
        <v>8</v>
      </c>
      <c r="C28" s="22">
        <f t="shared" ref="C28:C29" si="3">C27+1</f>
        <v>45743</v>
      </c>
      <c r="D28" s="41">
        <v>0.33333333333333331</v>
      </c>
      <c r="E28" s="42"/>
      <c r="F28" s="16">
        <v>0.70833333333333337</v>
      </c>
      <c r="G28" s="25"/>
      <c r="H28" s="11"/>
    </row>
    <row r="29" spans="1:8" x14ac:dyDescent="0.2">
      <c r="A29" s="20">
        <v>20</v>
      </c>
      <c r="B29" s="21" t="s">
        <v>7</v>
      </c>
      <c r="C29" s="22">
        <f t="shared" si="3"/>
        <v>45744</v>
      </c>
      <c r="D29" s="41">
        <v>0.33333333333333331</v>
      </c>
      <c r="E29" s="42"/>
      <c r="F29" s="16">
        <v>0.70833333333333337</v>
      </c>
      <c r="G29" s="25"/>
      <c r="H29" s="11"/>
    </row>
    <row r="30" spans="1:8" x14ac:dyDescent="0.2">
      <c r="A30" s="3"/>
      <c r="B30" s="3"/>
      <c r="C30" s="3"/>
      <c r="D30" s="3"/>
      <c r="E30" s="3"/>
      <c r="F30" s="3"/>
      <c r="G30" s="3"/>
      <c r="H30" s="3"/>
    </row>
    <row r="31" spans="1:8" x14ac:dyDescent="0.2">
      <c r="A31" s="26">
        <v>21</v>
      </c>
      <c r="B31" s="26" t="s">
        <v>4</v>
      </c>
      <c r="C31" s="22">
        <f>C29+3</f>
        <v>45747</v>
      </c>
      <c r="D31" s="41">
        <v>0.33333333333333331</v>
      </c>
      <c r="E31" s="42"/>
      <c r="F31" s="16">
        <v>0.70833333333333337</v>
      </c>
      <c r="G31" s="25"/>
      <c r="H31" s="11"/>
    </row>
    <row r="32" spans="1:8" x14ac:dyDescent="0.2">
      <c r="A32" s="26">
        <v>22</v>
      </c>
      <c r="B32" s="26" t="s">
        <v>5</v>
      </c>
      <c r="C32" s="22">
        <f>C31+1</f>
        <v>45748</v>
      </c>
      <c r="D32" s="41">
        <v>0.33333333333333331</v>
      </c>
      <c r="E32" s="42"/>
      <c r="F32" s="16">
        <v>0.70833333333333337</v>
      </c>
      <c r="G32" s="25"/>
      <c r="H32" s="11"/>
    </row>
    <row r="33" spans="1:8" x14ac:dyDescent="0.2">
      <c r="A33" s="24"/>
      <c r="B33" s="30"/>
      <c r="C33" s="31"/>
      <c r="D33" s="32"/>
      <c r="E33" s="32"/>
      <c r="F33" s="32"/>
      <c r="G33" s="33"/>
      <c r="H33" s="23"/>
    </row>
    <row r="34" spans="1:8" x14ac:dyDescent="0.2">
      <c r="A34" s="24"/>
      <c r="B34" s="30"/>
      <c r="C34" s="31"/>
      <c r="D34" s="32"/>
      <c r="E34" s="32"/>
      <c r="F34" s="32"/>
      <c r="G34" s="33"/>
      <c r="H34" s="23"/>
    </row>
    <row r="35" spans="1:8" x14ac:dyDescent="0.2">
      <c r="A35" s="24"/>
      <c r="B35" s="30"/>
      <c r="C35" s="31"/>
      <c r="D35" s="32"/>
      <c r="E35" s="32"/>
      <c r="F35" s="32"/>
      <c r="G35" s="33"/>
      <c r="H35" s="23"/>
    </row>
    <row r="36" spans="1:8" ht="38.25" x14ac:dyDescent="0.2">
      <c r="B36" s="4"/>
      <c r="C36" s="51" t="s">
        <v>2</v>
      </c>
      <c r="D36" s="52"/>
      <c r="E36" s="27" t="s">
        <v>18</v>
      </c>
      <c r="F36" s="28" t="s">
        <v>10</v>
      </c>
      <c r="G36" s="29" t="s">
        <v>3</v>
      </c>
    </row>
    <row r="37" spans="1:8" x14ac:dyDescent="0.2">
      <c r="C37" s="53">
        <v>22</v>
      </c>
      <c r="D37" s="53"/>
      <c r="E37" s="34">
        <f>8*C37</f>
        <v>176</v>
      </c>
      <c r="F37" s="35">
        <v>0</v>
      </c>
      <c r="G37" s="36">
        <v>22</v>
      </c>
    </row>
    <row r="38" spans="1:8" x14ac:dyDescent="0.2">
      <c r="G38" s="6"/>
      <c r="H38"/>
    </row>
    <row r="39" spans="1:8" x14ac:dyDescent="0.2">
      <c r="B39" s="7" t="s">
        <v>21</v>
      </c>
    </row>
    <row r="40" spans="1:8" x14ac:dyDescent="0.2">
      <c r="G40" s="13"/>
    </row>
    <row r="43" spans="1:8" x14ac:dyDescent="0.2">
      <c r="B43" s="5" t="s">
        <v>22</v>
      </c>
      <c r="E43" s="5" t="s">
        <v>23</v>
      </c>
    </row>
    <row r="44" spans="1:8" x14ac:dyDescent="0.2">
      <c r="B44" s="17" t="s">
        <v>17</v>
      </c>
      <c r="E44" s="15" t="s">
        <v>24</v>
      </c>
    </row>
  </sheetData>
  <mergeCells count="33">
    <mergeCell ref="C36:D36"/>
    <mergeCell ref="C37:D37"/>
    <mergeCell ref="D28:E28"/>
    <mergeCell ref="D22:E22"/>
    <mergeCell ref="D23:E23"/>
    <mergeCell ref="D25:E25"/>
    <mergeCell ref="D26:E26"/>
    <mergeCell ref="D27:E27"/>
    <mergeCell ref="D29:E29"/>
    <mergeCell ref="D31:E31"/>
    <mergeCell ref="D32:E32"/>
    <mergeCell ref="D7:E7"/>
    <mergeCell ref="D4:E4"/>
    <mergeCell ref="D5:E5"/>
    <mergeCell ref="A6:H6"/>
    <mergeCell ref="A1:D1"/>
    <mergeCell ref="E1:I1"/>
    <mergeCell ref="A2:I2"/>
    <mergeCell ref="A3:C3"/>
    <mergeCell ref="D3:E3"/>
    <mergeCell ref="A12:H12"/>
    <mergeCell ref="D13:E13"/>
    <mergeCell ref="D14:E14"/>
    <mergeCell ref="D8:E8"/>
    <mergeCell ref="D15:E15"/>
    <mergeCell ref="D9:E9"/>
    <mergeCell ref="D10:E10"/>
    <mergeCell ref="D11:E11"/>
    <mergeCell ref="D20:E20"/>
    <mergeCell ref="D21:E21"/>
    <mergeCell ref="D19:E19"/>
    <mergeCell ref="D16:E16"/>
    <mergeCell ref="D17:E17"/>
  </mergeCells>
  <phoneticPr fontId="12" type="noConversion"/>
  <pageMargins left="0.51181102362204722" right="0.19685039370078741" top="0.31496062992125984" bottom="0.23622047244094491" header="0.31496062992125984" footer="0.31496062992125984"/>
  <pageSetup paperSize="9" scale="5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Maret</vt:lpstr>
      <vt:lpstr>Maret!Print_Area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office37679</cp:lastModifiedBy>
  <cp:lastPrinted>2024-07-02T04:27:52Z</cp:lastPrinted>
  <dcterms:created xsi:type="dcterms:W3CDTF">2021-12-20T08:24:00Z</dcterms:created>
  <dcterms:modified xsi:type="dcterms:W3CDTF">2025-03-06T03:08:10Z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FDEE6103064E42A0871F4246AF045DC8</vt:lpwstr>
  </property>
  <property fmtid="{D5CDD505-2E9C-101B-9397-08002B2CF9AE}" pid="3" name="KSOProductBuildVer">
    <vt:lpwstr>1057-11.2.0.10443</vt:lpwstr>
  </property>
</Properties>
</file>